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Operations" sheetId="4" state="visible" r:id="rId6"/>
    <sheet name="Tax" sheetId="5" state="visible" r:id="rId7"/>
    <sheet name="Funding" sheetId="6" state="visible" r:id="rId8"/>
    <sheet name="Debt" sheetId="7" state="visible" r:id="rId9"/>
    <sheet name="Waterfall" sheetId="8" state="visible" r:id="rId10"/>
    <sheet name="Ratios" sheetId="9" state="visible" r:id="rId11"/>
    <sheet name="Returns" sheetId="10" state="visible" r:id="rId12"/>
    <sheet name="Checks" sheetId="11" state="visible" r:id="rId13"/>
    <sheet name="Outputs" sheetId="12" state="visible" r:id="rId14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<sst xmlns="http://schemas.openxmlformats.org/spreadsheetml/2006/main" count="4063" uniqueCount="1303">
  <si>
    <t xml:space="preserve">Case R reference model: Mesa Corta Renewables portfolio (ERCOT)</t>
  </si>
  <si>
    <t xml:space="preserve">Case R, Mesa Corta Renewables. USD m nominal unless stated. Illustrative prices: not ERCOT settlement data and not a forecast.</t>
  </si>
  <si>
    <t xml:space="preserve">Owner: Lattimer Energy Transition Fund II (Lattimer Infrastructure Partners). Platform: Mesa Corta Renewables LLC; HoldCo: Mesa Corta HoldCo LLC; OpCo: Mesa Corta OpCo LLC.</t>
  </si>
  <si>
    <t xml:space="preserve">Assets R1-R8 (603.0 MW wind, 401.1 MWac solar, 250.0 MW / 500 MWh storage). Annual periods 2022-2059, first period in column J.</t>
  </si>
  <si>
    <t xml:space="preserve">Python mirror: model/case_r.py (computational source of truth). Verification: model/case_r_verification.md.</t>
  </si>
  <si>
    <t xml:space="preserve">Model version R-1.1; inputs_case_r.json version 1.2. Workbook saved with scenario 'base'.</t>
  </si>
  <si>
    <t xml:space="preserve">Switches on the Inputs sheet: Scenario (1 base, 2 low, 3 high prices and captures), volume case (1 P50, 2 P90 one-year, 3 P90 ten-year, 4 P99 one-year),</t>
  </si>
  <si>
    <t xml:space="preserve">refinancing switch (1 = 2025 USPP refinancing and holdco repricing, 0 = status quo), and sensitivity cells. Debt is always sized on the Operations sizing blocks (base, P50 and P99).</t>
  </si>
  <si>
    <t xml:space="preserve">Colors: blue on pale yellow = input; green = link from another sheet; black = calculation; Checks sheet shows 0 when passing, red when failing.</t>
  </si>
  <si>
    <t xml:space="preserve">Sign convention: costs and outflows stored positive on calculation sheets and subtracted explicitly.</t>
  </si>
  <si>
    <t xml:space="preserve">No circular references: debt sculpting uses forward discount-factor products; USPP series are solved backward from 2043; iterative calculation is off.</t>
  </si>
  <si>
    <t xml:space="preserve">Every Case R price is Illustrative: Case Bible illustrative price paths; not ERCOT settlement data and not a forecast.</t>
  </si>
  <si>
    <t xml:space="preserve">Inputs</t>
  </si>
  <si>
    <t xml:space="preserve">Year</t>
  </si>
  <si>
    <t xml:space="preserve">Period end</t>
  </si>
  <si>
    <t xml:space="preserve">Switches</t>
  </si>
  <si>
    <t xml:space="preserve">Scenario (1 base, 2 low, 3 high prices and captures)</t>
  </si>
  <si>
    <t xml:space="preserve">index</t>
  </si>
  <si>
    <t xml:space="preserve">Volume case (1 P50, 2 P90 one-year, 3 P90 ten-year, 4 P99 one-year)</t>
  </si>
  <si>
    <t xml:space="preserve">Refinancing switch (1 = 2025 refinancing, 0 = status quo)</t>
  </si>
  <si>
    <t xml:space="preserve">flag</t>
  </si>
  <si>
    <t xml:space="preserve">Sensitivity: West solar capture shift</t>
  </si>
  <si>
    <t xml:space="preserve">points</t>
  </si>
  <si>
    <t xml:space="preserve">Sensitivity: battery revenue low case (1 = on)</t>
  </si>
  <si>
    <t xml:space="preserve">Sensitivity: curtailment added</t>
  </si>
  <si>
    <t xml:space="preserve">% points</t>
  </si>
  <si>
    <t xml:space="preserve">Sensitivity: opex factor</t>
  </si>
  <si>
    <t xml:space="preserve">factor</t>
  </si>
  <si>
    <t xml:space="preserve">Sensitivity: SOFR shift on unhedged debt</t>
  </si>
  <si>
    <t xml:space="preserve">Sizing case price scenario (base)</t>
  </si>
  <si>
    <t xml:space="preserve">Sizing case volume case (P50)</t>
  </si>
  <si>
    <t xml:space="preserve">P99 sizing test volume case</t>
  </si>
  <si>
    <t xml:space="preserve">Sensitivity value in sizing cases</t>
  </si>
  <si>
    <t xml:space="preserve">number</t>
  </si>
  <si>
    <t xml:space="preserve">Opex factor in sizing cases</t>
  </si>
  <si>
    <t xml:space="preserve">General</t>
  </si>
  <si>
    <t xml:space="preserve">First model year</t>
  </si>
  <si>
    <t xml:space="preserve">year</t>
  </si>
  <si>
    <t xml:space="preserve">Price base year for escalation</t>
  </si>
  <si>
    <t xml:space="preserve">Opex inflation</t>
  </si>
  <si>
    <t xml:space="preserve">% pa</t>
  </si>
  <si>
    <t xml:space="preserve">Model end date</t>
  </si>
  <si>
    <t xml:space="preserve">date</t>
  </si>
  <si>
    <t xml:space="preserve">Days per year for discounting (unit conversion)</t>
  </si>
  <si>
    <t xml:space="preserve">days</t>
  </si>
  <si>
    <t xml:space="preserve">Large number for MIN tests</t>
  </si>
  <si>
    <t xml:space="preserve">Debt service below which ratios are not shown</t>
  </si>
  <si>
    <t xml:space="preserve">USD m</t>
  </si>
  <si>
    <t xml:space="preserve">Standard normal z for P90</t>
  </si>
  <si>
    <t xml:space="preserve">Standard normal z for P99</t>
  </si>
  <si>
    <t xml:space="preserve">Years in the long-horizon P-value</t>
  </si>
  <si>
    <t xml:space="preserve">years</t>
  </si>
  <si>
    <t xml:space="preserve">Prices and capture (Illustrative)</t>
  </si>
  <si>
    <t xml:space="preserve">Hub ratio to North Hub: West Hub</t>
  </si>
  <si>
    <t xml:space="preserve">ratio</t>
  </si>
  <si>
    <t xml:space="preserve">Hub ratio to North Hub: South Hub</t>
  </si>
  <si>
    <t xml:space="preserve">Hub ratio to North Hub: Houston Hub</t>
  </si>
  <si>
    <t xml:space="preserve">Low case: capture decline multiplier</t>
  </si>
  <si>
    <t xml:space="preserve">x</t>
  </si>
  <si>
    <t xml:space="preserve">Low case: floor adjustment</t>
  </si>
  <si>
    <t xml:space="preserve">High case: capture decline multiplier</t>
  </si>
  <si>
    <t xml:space="preserve">Hub capture ratio 2022: west_wind</t>
  </si>
  <si>
    <t xml:space="preserve">Hub capture decline: west_wind</t>
  </si>
  <si>
    <t xml:space="preserve">points pa</t>
  </si>
  <si>
    <t xml:space="preserve">Hub capture floor: west_wind</t>
  </si>
  <si>
    <t xml:space="preserve">Hub-to-node basis: west_wind</t>
  </si>
  <si>
    <t xml:space="preserve">Hub capture ratio 2022: panhandle_wind</t>
  </si>
  <si>
    <t xml:space="preserve">Hub capture decline: panhandle_wind</t>
  </si>
  <si>
    <t xml:space="preserve">Hub capture floor: panhandle_wind</t>
  </si>
  <si>
    <t xml:space="preserve">Hub-to-node basis: panhandle_wind</t>
  </si>
  <si>
    <t xml:space="preserve">Hub capture ratio 2022: west_solar</t>
  </si>
  <si>
    <t xml:space="preserve">Hub capture decline: west_solar</t>
  </si>
  <si>
    <t xml:space="preserve">Hub capture floor: west_solar</t>
  </si>
  <si>
    <t xml:space="preserve">Hub-to-node basis: west_solar</t>
  </si>
  <si>
    <t xml:space="preserve">Hub capture ratio 2022: south_solar</t>
  </si>
  <si>
    <t xml:space="preserve">Hub capture decline: south_solar</t>
  </si>
  <si>
    <t xml:space="preserve">Hub capture floor: south_solar</t>
  </si>
  <si>
    <t xml:space="preserve">Hub-to-node basis: south_solar</t>
  </si>
  <si>
    <t xml:space="preserve">Hub capture ratio 2022: coastal_wind</t>
  </si>
  <si>
    <t xml:space="preserve">Hub capture decline: coastal_wind</t>
  </si>
  <si>
    <t xml:space="preserve">Hub capture floor: coastal_wind</t>
  </si>
  <si>
    <t xml:space="preserve">Hub-to-node basis: coastal_wind</t>
  </si>
  <si>
    <t xml:space="preserve">Curtailment reaches its long-run value in</t>
  </si>
  <si>
    <t xml:space="preserve">Curtailment 2022: west_wind</t>
  </si>
  <si>
    <t xml:space="preserve">%</t>
  </si>
  <si>
    <t xml:space="preserve">Curtailment from 2025: west_wind</t>
  </si>
  <si>
    <t xml:space="preserve">Curtailment 2022: panhandle_wind</t>
  </si>
  <si>
    <t xml:space="preserve">Curtailment from 2025: panhandle_wind</t>
  </si>
  <si>
    <t xml:space="preserve">Curtailment 2022: west_solar</t>
  </si>
  <si>
    <t xml:space="preserve">Curtailment from 2025: west_solar</t>
  </si>
  <si>
    <t xml:space="preserve">Curtailment 2022: south_solar</t>
  </si>
  <si>
    <t xml:space="preserve">Curtailment from 2025: south_solar</t>
  </si>
  <si>
    <t xml:space="preserve">Curtailment 2022: coastal_wind</t>
  </si>
  <si>
    <t xml:space="preserve">Curtailment from 2025: coastal_wind</t>
  </si>
  <si>
    <t xml:space="preserve">Price paths (Illustrative)</t>
  </si>
  <si>
    <t xml:space="preserve">North Hub ATC, base (Illustrative)</t>
  </si>
  <si>
    <t xml:space="preserve">USD/MWh</t>
  </si>
  <si>
    <t xml:space="preserve">North Hub ATC, low (Illustrative)</t>
  </si>
  <si>
    <t xml:space="preserve">North Hub ATC, high (Illustrative)</t>
  </si>
  <si>
    <t xml:space="preserve">Battery merchant revenue, base (Illustrative)</t>
  </si>
  <si>
    <t xml:space="preserve">USD/kW-yr</t>
  </si>
  <si>
    <t xml:space="preserve">Battery merchant revenue, low (Illustrative)</t>
  </si>
  <si>
    <t xml:space="preserve">Battery merchant revenue, high (Illustrative)</t>
  </si>
  <si>
    <t xml:space="preserve">Term SOFR 3M, annual average (approximate)</t>
  </si>
  <si>
    <t xml:space="preserve">R3 PTC rate (2026+ held at 2025 value)</t>
  </si>
  <si>
    <t xml:space="preserve">MACRS 5-year rates by recovery year (column J = year 1)</t>
  </si>
  <si>
    <t xml:space="preserve">MACRS 15-year rates by recovery year (column J = year 1)</t>
  </si>
  <si>
    <t xml:space="preserve">MACRS 5-year recovery years</t>
  </si>
  <si>
    <t xml:space="preserve">MACRS 15-year recovery years</t>
  </si>
  <si>
    <t xml:space="preserve">Assets</t>
  </si>
  <si>
    <t xml:space="preserve">R1 capacity</t>
  </si>
  <si>
    <t xml:space="preserve">MWac</t>
  </si>
  <si>
    <t xml:space="preserve">R1 COD</t>
  </si>
  <si>
    <t xml:space="preserve">R1 useful life end</t>
  </si>
  <si>
    <t xml:space="preserve">R1 ownership start</t>
  </si>
  <si>
    <t xml:space="preserve">R1 opex (2022 prices)</t>
  </si>
  <si>
    <t xml:space="preserve">R1 decommissioning net of salvage (2022)</t>
  </si>
  <si>
    <t xml:space="preserve">USD/kW</t>
  </si>
  <si>
    <t xml:space="preserve">R1 P50</t>
  </si>
  <si>
    <t xml:space="preserve">GWh/yr</t>
  </si>
  <si>
    <t xml:space="preserve">R1 P90 one-year</t>
  </si>
  <si>
    <t xml:space="preserve">% of P50</t>
  </si>
  <si>
    <t xml:space="preserve">R1 P90 ten-year</t>
  </si>
  <si>
    <t xml:space="preserve">R1 degradation</t>
  </si>
  <si>
    <t xml:space="preserve">R1 P50 reference year</t>
  </si>
  <si>
    <t xml:space="preserve">R2 capacity</t>
  </si>
  <si>
    <t xml:space="preserve">R2 COD</t>
  </si>
  <si>
    <t xml:space="preserve">R2 useful life end</t>
  </si>
  <si>
    <t xml:space="preserve">R2 ownership start</t>
  </si>
  <si>
    <t xml:space="preserve">R2 opex (2022 prices)</t>
  </si>
  <si>
    <t xml:space="preserve">R2 decommissioning net of salvage (2022)</t>
  </si>
  <si>
    <t xml:space="preserve">R2 P50</t>
  </si>
  <si>
    <t xml:space="preserve">R2 P90 one-year</t>
  </si>
  <si>
    <t xml:space="preserve">R2 P90 ten-year</t>
  </si>
  <si>
    <t xml:space="preserve">R2 degradation</t>
  </si>
  <si>
    <t xml:space="preserve">R2 P50 reference year</t>
  </si>
  <si>
    <t xml:space="preserve">R3 capacity</t>
  </si>
  <si>
    <t xml:space="preserve">R3 COD</t>
  </si>
  <si>
    <t xml:space="preserve">R3 useful life end</t>
  </si>
  <si>
    <t xml:space="preserve">R3 ownership start</t>
  </si>
  <si>
    <t xml:space="preserve">R3 opex (2022 prices)</t>
  </si>
  <si>
    <t xml:space="preserve">R3 decommissioning net of salvage (2022)</t>
  </si>
  <si>
    <t xml:space="preserve">R3 P50</t>
  </si>
  <si>
    <t xml:space="preserve">R3 P90 one-year</t>
  </si>
  <si>
    <t xml:space="preserve">R3 P90 ten-year</t>
  </si>
  <si>
    <t xml:space="preserve">R3 degradation</t>
  </si>
  <si>
    <t xml:space="preserve">R3 P50 reference year</t>
  </si>
  <si>
    <t xml:space="preserve">R4 capacity</t>
  </si>
  <si>
    <t xml:space="preserve">R4 COD</t>
  </si>
  <si>
    <t xml:space="preserve">R4 useful life end</t>
  </si>
  <si>
    <t xml:space="preserve">R4 ownership start</t>
  </si>
  <si>
    <t xml:space="preserve">R4 opex (2022 prices)</t>
  </si>
  <si>
    <t xml:space="preserve">R4 decommissioning net of salvage (2022)</t>
  </si>
  <si>
    <t xml:space="preserve">R4 P50</t>
  </si>
  <si>
    <t xml:space="preserve">R4 P90 one-year</t>
  </si>
  <si>
    <t xml:space="preserve">R4 P90 ten-year</t>
  </si>
  <si>
    <t xml:space="preserve">R4 degradation</t>
  </si>
  <si>
    <t xml:space="preserve">R4 P50 reference year</t>
  </si>
  <si>
    <t xml:space="preserve">R5 capacity</t>
  </si>
  <si>
    <t xml:space="preserve">R5 COD</t>
  </si>
  <si>
    <t xml:space="preserve">R5 useful life end</t>
  </si>
  <si>
    <t xml:space="preserve">R5 ownership start</t>
  </si>
  <si>
    <t xml:space="preserve">R5 opex (2022 prices)</t>
  </si>
  <si>
    <t xml:space="preserve">R5 decommissioning net of salvage (2022)</t>
  </si>
  <si>
    <t xml:space="preserve">R5 P50</t>
  </si>
  <si>
    <t xml:space="preserve">R5 P90 one-year</t>
  </si>
  <si>
    <t xml:space="preserve">R5 P90 ten-year</t>
  </si>
  <si>
    <t xml:space="preserve">R5 degradation</t>
  </si>
  <si>
    <t xml:space="preserve">R5 P50 reference year</t>
  </si>
  <si>
    <t xml:space="preserve">R6 capacity</t>
  </si>
  <si>
    <t xml:space="preserve">R6 COD</t>
  </si>
  <si>
    <t xml:space="preserve">R6 useful life end</t>
  </si>
  <si>
    <t xml:space="preserve">R6 ownership start</t>
  </si>
  <si>
    <t xml:space="preserve">R6 opex (2022 prices)</t>
  </si>
  <si>
    <t xml:space="preserve">R6 decommissioning net of salvage (2022)</t>
  </si>
  <si>
    <t xml:space="preserve">R6 energy capacity</t>
  </si>
  <si>
    <t xml:space="preserve">MWh</t>
  </si>
  <si>
    <t xml:space="preserve">R6 availability</t>
  </si>
  <si>
    <t xml:space="preserve">R6 augmentation year 1 after COD year</t>
  </si>
  <si>
    <t xml:space="preserve">R6 augmentation year 2 after COD year</t>
  </si>
  <si>
    <t xml:space="preserve">R6 augmentation share of MWh</t>
  </si>
  <si>
    <t xml:space="preserve">R6 augmentation cost (2025 prices)</t>
  </si>
  <si>
    <t xml:space="preserve">USD/kWh</t>
  </si>
  <si>
    <t xml:space="preserve">R6 overbuild at COD</t>
  </si>
  <si>
    <t xml:space="preserve">% of nameplate MWh</t>
  </si>
  <si>
    <t xml:space="preserve">R7 capacity</t>
  </si>
  <si>
    <t xml:space="preserve">R7 COD</t>
  </si>
  <si>
    <t xml:space="preserve">R7 useful life end</t>
  </si>
  <si>
    <t xml:space="preserve">R7 ownership start</t>
  </si>
  <si>
    <t xml:space="preserve">R7 opex (2022 prices)</t>
  </si>
  <si>
    <t xml:space="preserve">R7 decommissioning net of salvage (2022)</t>
  </si>
  <si>
    <t xml:space="preserve">R7 energy capacity</t>
  </si>
  <si>
    <t xml:space="preserve">R7 availability</t>
  </si>
  <si>
    <t xml:space="preserve">R7 augmentation year 1 after COD year</t>
  </si>
  <si>
    <t xml:space="preserve">R7 augmentation year 2 after COD year</t>
  </si>
  <si>
    <t xml:space="preserve">R7 augmentation share of MWh</t>
  </si>
  <si>
    <t xml:space="preserve">R7 augmentation cost (2025 prices)</t>
  </si>
  <si>
    <t xml:space="preserve">R7 overbuild at COD</t>
  </si>
  <si>
    <t xml:space="preserve">R8 capacity</t>
  </si>
  <si>
    <t xml:space="preserve">R8 COD</t>
  </si>
  <si>
    <t xml:space="preserve">R8 useful life end</t>
  </si>
  <si>
    <t xml:space="preserve">R8 ownership start</t>
  </si>
  <si>
    <t xml:space="preserve">R8 opex (2022 prices)</t>
  </si>
  <si>
    <t xml:space="preserve">R8 decommissioning net of salvage (2022)</t>
  </si>
  <si>
    <t xml:space="preserve">R8 P50</t>
  </si>
  <si>
    <t xml:space="preserve">R8 P90 one-year</t>
  </si>
  <si>
    <t xml:space="preserve">R8 P90 ten-year</t>
  </si>
  <si>
    <t xml:space="preserve">R8 degradation</t>
  </si>
  <si>
    <t xml:space="preserve">R8 P50 reference year</t>
  </si>
  <si>
    <t xml:space="preserve">Yield correlation: iav_wind_west_west</t>
  </si>
  <si>
    <t xml:space="preserve">rho</t>
  </si>
  <si>
    <t xml:space="preserve">Yield correlation: iav_wind_west_coastal</t>
  </si>
  <si>
    <t xml:space="preserve">Yield correlation: iav_solar_west_west</t>
  </si>
  <si>
    <t xml:space="preserve">Yield correlation: iav_solar_west_south</t>
  </si>
  <si>
    <t xml:space="preserve">Yield correlation: iav_wind_solar</t>
  </si>
  <si>
    <t xml:space="preserve">Yield correlation: lt_same_technology</t>
  </si>
  <si>
    <t xml:space="preserve">Yield correlation: lt_cross_technology</t>
  </si>
  <si>
    <t xml:space="preserve">Battery fade, year 1</t>
  </si>
  <si>
    <t xml:space="preserve">points of BOL energy pa</t>
  </si>
  <si>
    <t xml:space="preserve">Battery fade, years 2 to 10</t>
  </si>
  <si>
    <t xml:space="preserve">Battery fade, year 11 on</t>
  </si>
  <si>
    <t xml:space="preserve">Last year of the middle fade rate</t>
  </si>
  <si>
    <t xml:space="preserve">R6 toll minimum usable energy</t>
  </si>
  <si>
    <t xml:space="preserve">Wind and solar availability relative to P50 basis</t>
  </si>
  <si>
    <t xml:space="preserve">Augmentation cost base year</t>
  </si>
  <si>
    <t xml:space="preserve">Augmentation cost escalation</t>
  </si>
  <si>
    <t xml:space="preserve">Contracts and hedges</t>
  </si>
  <si>
    <t xml:space="preserve">R1 swap volume (7x24)</t>
  </si>
  <si>
    <t xml:space="preserve">MW</t>
  </si>
  <si>
    <t xml:space="preserve">R1 swap price (West Hub)</t>
  </si>
  <si>
    <t xml:space="preserve">R1 swap start</t>
  </si>
  <si>
    <t xml:space="preserve">R1 swap end</t>
  </si>
  <si>
    <t xml:space="preserve">Hours per day (unit conversion)</t>
  </si>
  <si>
    <t xml:space="preserve">hours</t>
  </si>
  <si>
    <t xml:space="preserve">R2 PPA price</t>
  </si>
  <si>
    <t xml:space="preserve">R2 PPA end</t>
  </si>
  <si>
    <t xml:space="preserve">R3 PRS fixed payment</t>
  </si>
  <si>
    <t xml:space="preserve">USD m pa</t>
  </si>
  <si>
    <t xml:space="preserve">R3 PRS start</t>
  </si>
  <si>
    <t xml:space="preserve">R3 PRS end</t>
  </si>
  <si>
    <t xml:space="preserve">R4 shape hedge volume</t>
  </si>
  <si>
    <t xml:space="preserve">GWh pa</t>
  </si>
  <si>
    <t xml:space="preserve">R4 shape hedge price</t>
  </si>
  <si>
    <t xml:space="preserve">R4 hedge start</t>
  </si>
  <si>
    <t xml:space="preserve">R4 hedge end</t>
  </si>
  <si>
    <t xml:space="preserve">R5 vPPA strike</t>
  </si>
  <si>
    <t xml:space="preserve">R5 vPPA end</t>
  </si>
  <si>
    <t xml:space="preserve">R6 toll</t>
  </si>
  <si>
    <t xml:space="preserve">USD/kW-month</t>
  </si>
  <si>
    <t xml:space="preserve">Months per year</t>
  </si>
  <si>
    <t xml:space="preserve">months</t>
  </si>
  <si>
    <t xml:space="preserve">R6 toll start</t>
  </si>
  <si>
    <t xml:space="preserve">R6 toll end</t>
  </si>
  <si>
    <t xml:space="preserve">R6 availability guarantee</t>
  </si>
  <si>
    <t xml:space="preserve">R7 revenue floor</t>
  </si>
  <si>
    <t xml:space="preserve">R7 floor premium</t>
  </si>
  <si>
    <t xml:space="preserve">R7 upside share to Galloway</t>
  </si>
  <si>
    <t xml:space="preserve">R7 upside share threshold</t>
  </si>
  <si>
    <t xml:space="preserve">R7 floor start</t>
  </si>
  <si>
    <t xml:space="preserve">R7 floor end</t>
  </si>
  <si>
    <t xml:space="preserve">R8 shape hedge volume</t>
  </si>
  <si>
    <t xml:space="preserve">R8 shape hedge price (South Hub)</t>
  </si>
  <si>
    <t xml:space="preserve">R8 hedge start</t>
  </si>
  <si>
    <t xml:space="preserve">R8 hedge end</t>
  </si>
  <si>
    <t xml:space="preserve">R3 tax equity cash share before flip</t>
  </si>
  <si>
    <t xml:space="preserve">R3 tax equity tax share before flip</t>
  </si>
  <si>
    <t xml:space="preserve">R3 tax equity share after flip</t>
  </si>
  <si>
    <t xml:space="preserve">R3 expected flip date</t>
  </si>
  <si>
    <t xml:space="preserve">R5 tax equity cash share before flip</t>
  </si>
  <si>
    <t xml:space="preserve">R5 tax equity tax share before flip</t>
  </si>
  <si>
    <t xml:space="preserve">R5 tax equity share after flip</t>
  </si>
  <si>
    <t xml:space="preserve">R5 expected flip date</t>
  </si>
  <si>
    <t xml:space="preserve">PTC term</t>
  </si>
  <si>
    <t xml:space="preserve">Operating costs and tax</t>
  </si>
  <si>
    <t xml:space="preserve">Wind land lease</t>
  </si>
  <si>
    <t xml:space="preserve">% of revenue</t>
  </si>
  <si>
    <t xml:space="preserve">Insurance step-up</t>
  </si>
  <si>
    <t xml:space="preserve">Insurance share of opex</t>
  </si>
  <si>
    <t xml:space="preserve">Insurance step-up year</t>
  </si>
  <si>
    <t xml:space="preserve">Decommissioning surety cost</t>
  </si>
  <si>
    <t xml:space="preserve">% of bond pa</t>
  </si>
  <si>
    <t xml:space="preserve">Texas margin tax rate</t>
  </si>
  <si>
    <t xml:space="preserve">Texas margin tax deemed margin</t>
  </si>
  <si>
    <t xml:space="preserve">Asset management cost (2022 prices)</t>
  </si>
  <si>
    <t xml:space="preserve">Asset management cost start</t>
  </si>
  <si>
    <t xml:space="preserve">Federal income tax rate</t>
  </si>
  <si>
    <t xml:space="preserve">NOL use limit</t>
  </si>
  <si>
    <t xml:space="preserve">% of taxable income</t>
  </si>
  <si>
    <t xml:space="preserve">Purchase price allocated to 5-year MACRS</t>
  </si>
  <si>
    <t xml:space="preserve">Purchase price allocated to 15-year MACRS</t>
  </si>
  <si>
    <t xml:space="preserve">Bonus depreciation, 2022 acquisitions</t>
  </si>
  <si>
    <t xml:space="preserve">Bonus depreciation, 2023 acquisitions</t>
  </si>
  <si>
    <t xml:space="preserve">Bonus depreciation, 2024 acquisitions</t>
  </si>
  <si>
    <t xml:space="preserve">R7 ITC rate</t>
  </si>
  <si>
    <t xml:space="preserve">R7 ITC eligible basis</t>
  </si>
  <si>
    <t xml:space="preserve">% of price</t>
  </si>
  <si>
    <t xml:space="preserve">R8 ITC rate</t>
  </si>
  <si>
    <t xml:space="preserve">R8 ITC eligible basis</t>
  </si>
  <si>
    <t xml:space="preserve">ITC transfer price</t>
  </si>
  <si>
    <t xml:space="preserve">USD per USD of credit</t>
  </si>
  <si>
    <t xml:space="preserve">ITC basis reduction</t>
  </si>
  <si>
    <t xml:space="preserve">share of credit</t>
  </si>
  <si>
    <t xml:space="preserve">Acquisitions</t>
  </si>
  <si>
    <t xml:space="preserve">A1 closing</t>
  </si>
  <si>
    <t xml:space="preserve">A1 enterprise value (bid price)</t>
  </si>
  <si>
    <t xml:space="preserve">A1 transaction costs</t>
  </si>
  <si>
    <t xml:space="preserve">A2 closing</t>
  </si>
  <si>
    <t xml:space="preserve">A2 price</t>
  </si>
  <si>
    <t xml:space="preserve">A2 transaction costs</t>
  </si>
  <si>
    <t xml:space="preserve">A3 signing and deposit</t>
  </si>
  <si>
    <t xml:space="preserve">A3 R7 price</t>
  </si>
  <si>
    <t xml:space="preserve">A3 R8 price</t>
  </si>
  <si>
    <t xml:space="preserve">R8 deposit</t>
  </si>
  <si>
    <t xml:space="preserve">A3 transaction costs</t>
  </si>
  <si>
    <t xml:space="preserve">Debt</t>
  </si>
  <si>
    <t xml:space="preserve">Opco TL date</t>
  </si>
  <si>
    <t xml:space="preserve">Opco TL notional amortization to</t>
  </si>
  <si>
    <t xml:space="preserve">Opco TL margin to step date</t>
  </si>
  <si>
    <t xml:space="preserve">Opco TL margin after step date</t>
  </si>
  <si>
    <t xml:space="preserve">Opco TL margin step date</t>
  </si>
  <si>
    <t xml:space="preserve">Opco TL upfront fee</t>
  </si>
  <si>
    <t xml:space="preserve">Opco TL sizing DSCR, contracted</t>
  </si>
  <si>
    <t xml:space="preserve">Opco TL sizing DSCR, hedged</t>
  </si>
  <si>
    <t xml:space="preserve">Opco TL sizing DSCR, merchant</t>
  </si>
  <si>
    <t xml:space="preserve">Opco TL P99 one-year minimum DSCR</t>
  </si>
  <si>
    <t xml:space="preserve">Opco TL hedge ratio</t>
  </si>
  <si>
    <t xml:space="preserve">Opco TL swap fixed rate</t>
  </si>
  <si>
    <t xml:space="preserve">Opco TL swap end</t>
  </si>
  <si>
    <t xml:space="preserve">Holdco TLB date</t>
  </si>
  <si>
    <t xml:space="preserve">Holdco TLB maturity</t>
  </si>
  <si>
    <t xml:space="preserve">Holdco TLB margin</t>
  </si>
  <si>
    <t xml:space="preserve">Holdco SOFR floor</t>
  </si>
  <si>
    <t xml:space="preserve">Holdco TLB OID</t>
  </si>
  <si>
    <t xml:space="preserve">% of face</t>
  </si>
  <si>
    <t xml:space="preserve">Holdco TLB amortization</t>
  </si>
  <si>
    <t xml:space="preserve">Holdco excess cash sweep</t>
  </si>
  <si>
    <t xml:space="preserve">Holdco sizing coverage</t>
  </si>
  <si>
    <t xml:space="preserve">Holdco debt cap</t>
  </si>
  <si>
    <t xml:space="preserve">% of opco equity value</t>
  </si>
  <si>
    <t xml:space="preserve">Holdco TLB test years from</t>
  </si>
  <si>
    <t xml:space="preserve">Holdco TLB test years to</t>
  </si>
  <si>
    <t xml:space="preserve">Redfern loan date</t>
  </si>
  <si>
    <t xml:space="preserve">Redfern loan maturity</t>
  </si>
  <si>
    <t xml:space="preserve">Redfern margin</t>
  </si>
  <si>
    <t xml:space="preserve">Redfern upfront fee</t>
  </si>
  <si>
    <t xml:space="preserve">Redfern sizing DSCR on toll cash flow</t>
  </si>
  <si>
    <t xml:space="preserve">Redfern hedge ratio</t>
  </si>
  <si>
    <t xml:space="preserve">Redfern swap fixed rate</t>
  </si>
  <si>
    <t xml:space="preserve">Holdco incremental date</t>
  </si>
  <si>
    <t xml:space="preserve">Holdco incremental maturity</t>
  </si>
  <si>
    <t xml:space="preserve">Holdco incremental margin</t>
  </si>
  <si>
    <t xml:space="preserve">Holdco incremental OID</t>
  </si>
  <si>
    <t xml:space="preserve">Holdco incremental amortization</t>
  </si>
  <si>
    <t xml:space="preserve">Incremental test years from</t>
  </si>
  <si>
    <t xml:space="preserve">Incremental test years to</t>
  </si>
  <si>
    <t xml:space="preserve">Refinancing year (modeled at December 31)</t>
  </si>
  <si>
    <t xml:space="preserve">Refinancing date (modeled)</t>
  </si>
  <si>
    <t xml:space="preserve">USPP first debt service year</t>
  </si>
  <si>
    <t xml:space="preserve">USPP Series A tenor</t>
  </si>
  <si>
    <t xml:space="preserve">USPP Series A coupon</t>
  </si>
  <si>
    <t xml:space="preserve">USPP Series B tenor</t>
  </si>
  <si>
    <t xml:space="preserve">USPP Series B coupon</t>
  </si>
  <si>
    <t xml:space="preserve">USPP Series C tenor</t>
  </si>
  <si>
    <t xml:space="preserve">USPP Series C coupon</t>
  </si>
  <si>
    <t xml:space="preserve">USPP sizing DSCR, contracted</t>
  </si>
  <si>
    <t xml:space="preserve">USPP sizing DSCR, hedged</t>
  </si>
  <si>
    <t xml:space="preserve">USPP sizing DSCR, merchant</t>
  </si>
  <si>
    <t xml:space="preserve">USPP P99 one-year minimum DSCR</t>
  </si>
  <si>
    <t xml:space="preserve">USPP transaction costs</t>
  </si>
  <si>
    <t xml:space="preserve">% of notes</t>
  </si>
  <si>
    <t xml:space="preserve">SOFR swap rate for unwinds</t>
  </si>
  <si>
    <t xml:space="preserve">Repriced holdco margin</t>
  </si>
  <si>
    <t xml:space="preserve">Repriced holdco maturity</t>
  </si>
  <si>
    <t xml:space="preserve">Repriced holdco OID</t>
  </si>
  <si>
    <t xml:space="preserve">Repriced holdco amortization</t>
  </si>
  <si>
    <t xml:space="preserve">Repricing test years from</t>
  </si>
  <si>
    <t xml:space="preserve">Repricing test years to</t>
  </si>
  <si>
    <t xml:space="preserve">Valuation</t>
  </si>
  <si>
    <t xml:space="preserve">Unlevered discount rate, contracted</t>
  </si>
  <si>
    <t xml:space="preserve">Unlevered discount rate, hedged</t>
  </si>
  <si>
    <t xml:space="preserve">Unlevered discount rate, merchant</t>
  </si>
  <si>
    <t xml:space="preserve">Unlevered discount rate, storage_merchant</t>
  </si>
  <si>
    <t xml:space="preserve">Unlevered discount rate, terminal_post_2040</t>
  </si>
  <si>
    <t xml:space="preserve">Terminal rate applies to cash flows after</t>
  </si>
  <si>
    <t xml:space="preserve">Levered equity discount rate, contracted</t>
  </si>
  <si>
    <t xml:space="preserve">Levered equity discount rate, hedged</t>
  </si>
  <si>
    <t xml:space="preserve">Levered equity discount rate, merchant</t>
  </si>
  <si>
    <t xml:space="preserve">Levered equity discount rate, storage_merchant</t>
  </si>
  <si>
    <t xml:space="preserve">NAV date</t>
  </si>
  <si>
    <t xml:space="preserve">Uri-type stress (R1)</t>
  </si>
  <si>
    <t xml:space="preserve">Event duration</t>
  </si>
  <si>
    <t xml:space="preserve">Price during event</t>
  </si>
  <si>
    <t xml:space="preserve">R1 availability during event</t>
  </si>
  <si>
    <t xml:space="preserve">Time</t>
  </si>
  <si>
    <t xml:space="preserve">Period start (prior December 31)</t>
  </si>
  <si>
    <t xml:space="preserve">Period end (December 31)</t>
  </si>
  <si>
    <t xml:space="preserve">Days in period</t>
  </si>
  <si>
    <t xml:space="preserve">Years since price base year</t>
  </si>
  <si>
    <t xml:space="preserve">Opex escalation factor</t>
  </si>
  <si>
    <t xml:space="preserve">Insurance step-up factor</t>
  </si>
  <si>
    <t xml:space="preserve">Operations: asset yield, hedges, revenue buckets, opex and cash flow</t>
  </si>
  <si>
    <t xml:space="preserve">Yield statistics (normal; sigma_1^2 = sigma_LT^2 + sigma_IAV^2; sigma_10^2 = sigma_LT^2 + sigma_IAV^2/10)</t>
  </si>
  <si>
    <t xml:space="preserve">R1 sigma one-year</t>
  </si>
  <si>
    <t xml:space="preserve">fraction of P50</t>
  </si>
  <si>
    <t xml:space="preserve">R1 sigma ten-year</t>
  </si>
  <si>
    <t xml:space="preserve">R1 sigma inter-annual variability</t>
  </si>
  <si>
    <t xml:space="preserve">R1 sigma long-term</t>
  </si>
  <si>
    <t xml:space="preserve">R1 P99 one-year</t>
  </si>
  <si>
    <t xml:space="preserve">R1 P99 ten-year</t>
  </si>
  <si>
    <t xml:space="preserve">R2 sigma one-year</t>
  </si>
  <si>
    <t xml:space="preserve">R2 sigma ten-year</t>
  </si>
  <si>
    <t xml:space="preserve">R2 sigma inter-annual variability</t>
  </si>
  <si>
    <t xml:space="preserve">R2 sigma long-term</t>
  </si>
  <si>
    <t xml:space="preserve">R2 P99 one-year</t>
  </si>
  <si>
    <t xml:space="preserve">R2 P99 ten-year</t>
  </si>
  <si>
    <t xml:space="preserve">R3 sigma one-year</t>
  </si>
  <si>
    <t xml:space="preserve">R3 sigma ten-year</t>
  </si>
  <si>
    <t xml:space="preserve">R3 sigma inter-annual variability</t>
  </si>
  <si>
    <t xml:space="preserve">R3 sigma long-term</t>
  </si>
  <si>
    <t xml:space="preserve">R3 P99 one-year</t>
  </si>
  <si>
    <t xml:space="preserve">R3 P99 ten-year</t>
  </si>
  <si>
    <t xml:space="preserve">R4 sigma one-year</t>
  </si>
  <si>
    <t xml:space="preserve">R4 sigma ten-year</t>
  </si>
  <si>
    <t xml:space="preserve">R4 sigma inter-annual variability</t>
  </si>
  <si>
    <t xml:space="preserve">R4 sigma long-term</t>
  </si>
  <si>
    <t xml:space="preserve">R4 P99 one-year</t>
  </si>
  <si>
    <t xml:space="preserve">R4 P99 ten-year</t>
  </si>
  <si>
    <t xml:space="preserve">R5 sigma one-year</t>
  </si>
  <si>
    <t xml:space="preserve">R5 sigma ten-year</t>
  </si>
  <si>
    <t xml:space="preserve">R5 sigma inter-annual variability</t>
  </si>
  <si>
    <t xml:space="preserve">R5 sigma long-term</t>
  </si>
  <si>
    <t xml:space="preserve">R5 P99 one-year</t>
  </si>
  <si>
    <t xml:space="preserve">R5 P99 ten-year</t>
  </si>
  <si>
    <t xml:space="preserve">R8 sigma one-year</t>
  </si>
  <si>
    <t xml:space="preserve">R8 sigma ten-year</t>
  </si>
  <si>
    <t xml:space="preserve">R8 sigma inter-annual variability</t>
  </si>
  <si>
    <t xml:space="preserve">R8 sigma long-term</t>
  </si>
  <si>
    <t xml:space="preserve">R8 P99 one-year</t>
  </si>
  <si>
    <t xml:space="preserve">R8 P99 ten-year</t>
  </si>
  <si>
    <t xml:space="preserve">Block L: LIVE case (Inputs switches)</t>
  </si>
  <si>
    <t xml:space="preserve">Price scenario index</t>
  </si>
  <si>
    <t xml:space="preserve">Volume case index</t>
  </si>
  <si>
    <t xml:space="preserve">West solar capture shift</t>
  </si>
  <si>
    <t xml:space="preserve">Curtailment added</t>
  </si>
  <si>
    <t xml:space="preserve">Opex factor</t>
  </si>
  <si>
    <t xml:space="preserve">Battery revenue curve index</t>
  </si>
  <si>
    <t xml:space="preserve">North Hub ATC</t>
  </si>
  <si>
    <t xml:space="preserve">West Hub ATC</t>
  </si>
  <si>
    <t xml:space="preserve">South Hub ATC</t>
  </si>
  <si>
    <t xml:space="preserve">Houston Hub ATC</t>
  </si>
  <si>
    <t xml:space="preserve">Battery merchant revenue</t>
  </si>
  <si>
    <t xml:space="preserve">Hub capture ratio: west_wind</t>
  </si>
  <si>
    <t xml:space="preserve">Hub capture ratio: panhandle_wind</t>
  </si>
  <si>
    <t xml:space="preserve">Hub capture ratio: west_solar</t>
  </si>
  <si>
    <t xml:space="preserve">Hub capture ratio: south_solar</t>
  </si>
  <si>
    <t xml:space="preserve">Hub capture ratio: coastal_wind</t>
  </si>
  <si>
    <t xml:space="preserve">R1 Thatcher Flats Wind (onshore wind)</t>
  </si>
  <si>
    <t xml:space="preserve">R1 operating fraction</t>
  </si>
  <si>
    <t xml:space="preserve">fraction</t>
  </si>
  <si>
    <t xml:space="preserve">R1 owned fraction</t>
  </si>
  <si>
    <t xml:space="preserve">R1 owned share of operating period</t>
  </si>
  <si>
    <t xml:space="preserve">R1 own hub ATC</t>
  </si>
  <si>
    <t xml:space="preserve">R1 volume factor</t>
  </si>
  <si>
    <t xml:space="preserve">R1 degradation factor</t>
  </si>
  <si>
    <t xml:space="preserve">R1 curtailment</t>
  </si>
  <si>
    <t xml:space="preserve">R1 net generation, full year</t>
  </si>
  <si>
    <t xml:space="preserve">GWh</t>
  </si>
  <si>
    <t xml:space="preserve">R1 net generation</t>
  </si>
  <si>
    <t xml:space="preserve">R1 hub capture ratio</t>
  </si>
  <si>
    <t xml:space="preserve">R1 node capture ratio</t>
  </si>
  <si>
    <t xml:space="preserve">R1 realized node price</t>
  </si>
  <si>
    <t xml:space="preserve">R1 swap term fraction</t>
  </si>
  <si>
    <t xml:space="preserve">R1 swap volume</t>
  </si>
  <si>
    <t xml:space="preserve">R1 swap settlement (receive fixed, pay West Hub)</t>
  </si>
  <si>
    <t xml:space="preserve">R1 generation sold at node</t>
  </si>
  <si>
    <t xml:space="preserve">R1 contracted revenue</t>
  </si>
  <si>
    <t xml:space="preserve">R1 hedged revenue (swap volume x price)</t>
  </si>
  <si>
    <t xml:space="preserve">R1 market revenue at node</t>
  </si>
  <si>
    <t xml:space="preserve">R1 total revenue</t>
  </si>
  <si>
    <t xml:space="preserve">R1 merchant revenue (total less contracted and hedged)</t>
  </si>
  <si>
    <t xml:space="preserve">R1 opex (O&amp;M, land, insurance, property tax, site)</t>
  </si>
  <si>
    <t xml:space="preserve">R1 wind land lease</t>
  </si>
  <si>
    <t xml:space="preserve">R1 decommissioning surety cost</t>
  </si>
  <si>
    <t xml:space="preserve">R1 Texas margin tax</t>
  </si>
  <si>
    <t xml:space="preserve">R1 EBITDA</t>
  </si>
  <si>
    <t xml:space="preserve">R1 capex</t>
  </si>
  <si>
    <t xml:space="preserve">R1 decommissioning at end of life</t>
  </si>
  <si>
    <t xml:space="preserve">R1 pre-tax cash flow, 100% of asset</t>
  </si>
  <si>
    <t xml:space="preserve">R1 tax equity cash share</t>
  </si>
  <si>
    <t xml:space="preserve">R1 Mesa share of taxable income</t>
  </si>
  <si>
    <t xml:space="preserve">R1 Mesa share of cash flow</t>
  </si>
  <si>
    <t xml:space="preserve">R1 Mesa taxable operating income</t>
  </si>
  <si>
    <t xml:space="preserve">R1 Mesa unlevered post-tax cash flow (before price shield)</t>
  </si>
  <si>
    <t xml:space="preserve">R1 contracted share of revenue</t>
  </si>
  <si>
    <t xml:space="preserve">R1 hedged share of revenue</t>
  </si>
  <si>
    <t xml:space="preserve">R1 merchant share of revenue</t>
  </si>
  <si>
    <t xml:space="preserve">R1 Mesa-share contracted revenue</t>
  </si>
  <si>
    <t xml:space="preserve">R1 Mesa-share hedged revenue</t>
  </si>
  <si>
    <t xml:space="preserve">R1 Mesa-share merchant revenue</t>
  </si>
  <si>
    <t xml:space="preserve">R1 Mesa-share revenue</t>
  </si>
  <si>
    <t xml:space="preserve">R2 Sandoval Hills Wind (onshore wind (coastal))</t>
  </si>
  <si>
    <t xml:space="preserve">R2 operating fraction</t>
  </si>
  <si>
    <t xml:space="preserve">R2 owned fraction</t>
  </si>
  <si>
    <t xml:space="preserve">R2 owned share of operating period</t>
  </si>
  <si>
    <t xml:space="preserve">R2 own hub ATC</t>
  </si>
  <si>
    <t xml:space="preserve">R2 volume factor</t>
  </si>
  <si>
    <t xml:space="preserve">R2 degradation factor</t>
  </si>
  <si>
    <t xml:space="preserve">R2 curtailment</t>
  </si>
  <si>
    <t xml:space="preserve">R2 net generation, full year</t>
  </si>
  <si>
    <t xml:space="preserve">R2 net generation</t>
  </si>
  <si>
    <t xml:space="preserve">R2 hub capture ratio</t>
  </si>
  <si>
    <t xml:space="preserve">R2 node capture ratio</t>
  </si>
  <si>
    <t xml:space="preserve">R2 realized node price</t>
  </si>
  <si>
    <t xml:space="preserve">R2 PPA term fraction</t>
  </si>
  <si>
    <t xml:space="preserve">R2 PPA volume (as generated)</t>
  </si>
  <si>
    <t xml:space="preserve">R2 PPA revenue</t>
  </si>
  <si>
    <t xml:space="preserve">R2 generation sold at node</t>
  </si>
  <si>
    <t xml:space="preserve">R2 contracted revenue</t>
  </si>
  <si>
    <t xml:space="preserve">R2 hedged revenue</t>
  </si>
  <si>
    <t xml:space="preserve">R2 market revenue at node</t>
  </si>
  <si>
    <t xml:space="preserve">R2 total revenue</t>
  </si>
  <si>
    <t xml:space="preserve">R2 merchant revenue (total less contracted and hedged)</t>
  </si>
  <si>
    <t xml:space="preserve">R2 opex (O&amp;M, land, insurance, property tax, site)</t>
  </si>
  <si>
    <t xml:space="preserve">R2 wind land lease</t>
  </si>
  <si>
    <t xml:space="preserve">R2 decommissioning surety cost</t>
  </si>
  <si>
    <t xml:space="preserve">R2 Texas margin tax</t>
  </si>
  <si>
    <t xml:space="preserve">R2 EBITDA</t>
  </si>
  <si>
    <t xml:space="preserve">R2 capex</t>
  </si>
  <si>
    <t xml:space="preserve">R2 decommissioning at end of life</t>
  </si>
  <si>
    <t xml:space="preserve">R2 pre-tax cash flow, 100% of asset</t>
  </si>
  <si>
    <t xml:space="preserve">R2 tax equity cash share</t>
  </si>
  <si>
    <t xml:space="preserve">R2 Mesa share of taxable income</t>
  </si>
  <si>
    <t xml:space="preserve">R2 Mesa share of cash flow</t>
  </si>
  <si>
    <t xml:space="preserve">R2 Mesa taxable operating income</t>
  </si>
  <si>
    <t xml:space="preserve">R2 Mesa unlevered post-tax cash flow (before price shield)</t>
  </si>
  <si>
    <t xml:space="preserve">R2 contracted share of revenue</t>
  </si>
  <si>
    <t xml:space="preserve">R2 hedged share of revenue</t>
  </si>
  <si>
    <t xml:space="preserve">R2 merchant share of revenue</t>
  </si>
  <si>
    <t xml:space="preserve">R2 Mesa-share contracted revenue</t>
  </si>
  <si>
    <t xml:space="preserve">R2 Mesa-share hedged revenue</t>
  </si>
  <si>
    <t xml:space="preserve">R2 Mesa-share merchant revenue</t>
  </si>
  <si>
    <t xml:space="preserve">R2 Mesa-share revenue</t>
  </si>
  <si>
    <t xml:space="preserve">R3 Ollie Creek Wind (onshore wind (Panhandle))</t>
  </si>
  <si>
    <t xml:space="preserve">R3 operating fraction</t>
  </si>
  <si>
    <t xml:space="preserve">R3 owned fraction</t>
  </si>
  <si>
    <t xml:space="preserve">R3 owned share of operating period</t>
  </si>
  <si>
    <t xml:space="preserve">R3 own hub ATC</t>
  </si>
  <si>
    <t xml:space="preserve">R3 volume factor</t>
  </si>
  <si>
    <t xml:space="preserve">R3 degradation factor</t>
  </si>
  <si>
    <t xml:space="preserve">R3 curtailment</t>
  </si>
  <si>
    <t xml:space="preserve">R3 net generation, full year</t>
  </si>
  <si>
    <t xml:space="preserve">R3 net generation</t>
  </si>
  <si>
    <t xml:space="preserve">R3 hub capture ratio</t>
  </si>
  <si>
    <t xml:space="preserve">R3 node capture ratio</t>
  </si>
  <si>
    <t xml:space="preserve">R3 realized node price</t>
  </si>
  <si>
    <t xml:space="preserve">R3 PRS term fraction</t>
  </si>
  <si>
    <t xml:space="preserve">R3 proxy generation</t>
  </si>
  <si>
    <t xml:space="preserve">R3 PRS net (fixed received less proxy revenue paid)</t>
  </si>
  <si>
    <t xml:space="preserve">R3 generation sold at node</t>
  </si>
  <si>
    <t xml:space="preserve">R3 contracted revenue (PRS fixed payment)</t>
  </si>
  <si>
    <t xml:space="preserve">R3 hedged revenue</t>
  </si>
  <si>
    <t xml:space="preserve">R3 market revenue at node</t>
  </si>
  <si>
    <t xml:space="preserve">R3 total revenue</t>
  </si>
  <si>
    <t xml:space="preserve">R3 merchant revenue (total less contracted and hedged)</t>
  </si>
  <si>
    <t xml:space="preserve">R3 opex (O&amp;M, land, insurance, property tax, site)</t>
  </si>
  <si>
    <t xml:space="preserve">R3 wind land lease</t>
  </si>
  <si>
    <t xml:space="preserve">R3 decommissioning surety cost</t>
  </si>
  <si>
    <t xml:space="preserve">R3 Texas margin tax</t>
  </si>
  <si>
    <t xml:space="preserve">R3 EBITDA</t>
  </si>
  <si>
    <t xml:space="preserve">R3 capex</t>
  </si>
  <si>
    <t xml:space="preserve">R3 decommissioning at end of life</t>
  </si>
  <si>
    <t xml:space="preserve">R3 pre-tax cash flow, 100% of asset</t>
  </si>
  <si>
    <t xml:space="preserve">R3 fraction of year before flip</t>
  </si>
  <si>
    <t xml:space="preserve">R3 tax equity cash share</t>
  </si>
  <si>
    <t xml:space="preserve">R3 Mesa share of taxable income</t>
  </si>
  <si>
    <t xml:space="preserve">R3 Mesa share of cash flow</t>
  </si>
  <si>
    <t xml:space="preserve">R3 Mesa taxable operating income</t>
  </si>
  <si>
    <t xml:space="preserve">R3 Mesa unlevered post-tax cash flow (before price shield)</t>
  </si>
  <si>
    <t xml:space="preserve">R3 contracted share of revenue</t>
  </si>
  <si>
    <t xml:space="preserve">R3 hedged share of revenue</t>
  </si>
  <si>
    <t xml:space="preserve">R3 merchant share of revenue</t>
  </si>
  <si>
    <t xml:space="preserve">R3 Mesa-share contracted revenue</t>
  </si>
  <si>
    <t xml:space="preserve">R3 Mesa-share hedged revenue</t>
  </si>
  <si>
    <t xml:space="preserve">R3 Mesa-share merchant revenue</t>
  </si>
  <si>
    <t xml:space="preserve">R3 Mesa-share revenue</t>
  </si>
  <si>
    <t xml:space="preserve">R3 PTC generated (99% to tax equity before flip)</t>
  </si>
  <si>
    <t xml:space="preserve">R4 Peeler Draw Solar (single-axis tracking PV)</t>
  </si>
  <si>
    <t xml:space="preserve">R4 operating fraction</t>
  </si>
  <si>
    <t xml:space="preserve">R4 owned fraction</t>
  </si>
  <si>
    <t xml:space="preserve">R4 owned share of operating period</t>
  </si>
  <si>
    <t xml:space="preserve">R4 own hub ATC</t>
  </si>
  <si>
    <t xml:space="preserve">R4 volume factor</t>
  </si>
  <si>
    <t xml:space="preserve">R4 degradation factor</t>
  </si>
  <si>
    <t xml:space="preserve">R4 curtailment</t>
  </si>
  <si>
    <t xml:space="preserve">R4 net generation, full year</t>
  </si>
  <si>
    <t xml:space="preserve">R4 net generation</t>
  </si>
  <si>
    <t xml:space="preserve">R4 hub capture ratio</t>
  </si>
  <si>
    <t xml:space="preserve">R4 node capture ratio</t>
  </si>
  <si>
    <t xml:space="preserve">R4 realized node price</t>
  </si>
  <si>
    <t xml:space="preserve">R4 shape hedge term fraction</t>
  </si>
  <si>
    <t xml:space="preserve">R4 shape hedge settlement (strike less hub x shape factor)</t>
  </si>
  <si>
    <t xml:space="preserve">R4 generation sold at node</t>
  </si>
  <si>
    <t xml:space="preserve">R4 contracted revenue</t>
  </si>
  <si>
    <t xml:space="preserve">R4 hedged revenue (volume x strike)</t>
  </si>
  <si>
    <t xml:space="preserve">R4 market revenue at node</t>
  </si>
  <si>
    <t xml:space="preserve">R4 total revenue</t>
  </si>
  <si>
    <t xml:space="preserve">R4 merchant revenue (total less contracted and hedged)</t>
  </si>
  <si>
    <t xml:space="preserve">R4 opex (O&amp;M, land, insurance, property tax, site)</t>
  </si>
  <si>
    <t xml:space="preserve">R4 land lease (in opex)</t>
  </si>
  <si>
    <t xml:space="preserve">R4 decommissioning surety cost</t>
  </si>
  <si>
    <t xml:space="preserve">R4 Texas margin tax</t>
  </si>
  <si>
    <t xml:space="preserve">R4 EBITDA</t>
  </si>
  <si>
    <t xml:space="preserve">R4 capex</t>
  </si>
  <si>
    <t xml:space="preserve">R4 decommissioning at end of life</t>
  </si>
  <si>
    <t xml:space="preserve">R4 pre-tax cash flow, 100% of asset</t>
  </si>
  <si>
    <t xml:space="preserve">R4 tax equity cash share</t>
  </si>
  <si>
    <t xml:space="preserve">R4 Mesa share of taxable income</t>
  </si>
  <si>
    <t xml:space="preserve">R4 Mesa share of cash flow</t>
  </si>
  <si>
    <t xml:space="preserve">R4 Mesa taxable operating income</t>
  </si>
  <si>
    <t xml:space="preserve">R4 Mesa unlevered post-tax cash flow (before price shield)</t>
  </si>
  <si>
    <t xml:space="preserve">R4 contracted share of revenue</t>
  </si>
  <si>
    <t xml:space="preserve">R4 hedged share of revenue</t>
  </si>
  <si>
    <t xml:space="preserve">R4 merchant share of revenue</t>
  </si>
  <si>
    <t xml:space="preserve">R4 Mesa-share contracted revenue</t>
  </si>
  <si>
    <t xml:space="preserve">R4 Mesa-share hedged revenue</t>
  </si>
  <si>
    <t xml:space="preserve">R4 Mesa-share merchant revenue</t>
  </si>
  <si>
    <t xml:space="preserve">R4 Mesa-share revenue</t>
  </si>
  <si>
    <t xml:space="preserve">R5 Calloway Mesa Solar (single-axis tracking PV)</t>
  </si>
  <si>
    <t xml:space="preserve">R5 operating fraction</t>
  </si>
  <si>
    <t xml:space="preserve">R5 owned fraction</t>
  </si>
  <si>
    <t xml:space="preserve">R5 owned share of operating period</t>
  </si>
  <si>
    <t xml:space="preserve">R5 own hub ATC</t>
  </si>
  <si>
    <t xml:space="preserve">R5 volume factor</t>
  </si>
  <si>
    <t xml:space="preserve">R5 degradation factor</t>
  </si>
  <si>
    <t xml:space="preserve">R5 curtailment</t>
  </si>
  <si>
    <t xml:space="preserve">R5 net generation, full year</t>
  </si>
  <si>
    <t xml:space="preserve">R5 net generation</t>
  </si>
  <si>
    <t xml:space="preserve">R5 hub capture ratio</t>
  </si>
  <si>
    <t xml:space="preserve">R5 node capture ratio</t>
  </si>
  <si>
    <t xml:space="preserve">R5 realized node price</t>
  </si>
  <si>
    <t xml:space="preserve">R5 vPPA term fraction</t>
  </si>
  <si>
    <t xml:space="preserve">R5 vPPA volume (as generated)</t>
  </si>
  <si>
    <t xml:space="preserve">R5 vPPA settlement (strike less hub capture price)</t>
  </si>
  <si>
    <t xml:space="preserve">R5 generation sold at node</t>
  </si>
  <si>
    <t xml:space="preserve">R5 contracted revenue (strike x volume)</t>
  </si>
  <si>
    <t xml:space="preserve">R5 hedged revenue</t>
  </si>
  <si>
    <t xml:space="preserve">R5 market revenue at node</t>
  </si>
  <si>
    <t xml:space="preserve">R5 total revenue</t>
  </si>
  <si>
    <t xml:space="preserve">R5 merchant revenue (total less contracted and hedged)</t>
  </si>
  <si>
    <t xml:space="preserve">R5 opex (O&amp;M, land, insurance, property tax, site)</t>
  </si>
  <si>
    <t xml:space="preserve">R5 land lease (in opex)</t>
  </si>
  <si>
    <t xml:space="preserve">R5 decommissioning surety cost</t>
  </si>
  <si>
    <t xml:space="preserve">R5 Texas margin tax</t>
  </si>
  <si>
    <t xml:space="preserve">R5 EBITDA</t>
  </si>
  <si>
    <t xml:space="preserve">R5 capex</t>
  </si>
  <si>
    <t xml:space="preserve">R5 decommissioning at end of life</t>
  </si>
  <si>
    <t xml:space="preserve">R5 pre-tax cash flow, 100% of asset</t>
  </si>
  <si>
    <t xml:space="preserve">R5 fraction of year before flip</t>
  </si>
  <si>
    <t xml:space="preserve">R5 tax equity cash share</t>
  </si>
  <si>
    <t xml:space="preserve">R5 Mesa share of taxable income</t>
  </si>
  <si>
    <t xml:space="preserve">R5 Mesa share of cash flow</t>
  </si>
  <si>
    <t xml:space="preserve">R5 Mesa taxable operating income</t>
  </si>
  <si>
    <t xml:space="preserve">R5 Mesa unlevered post-tax cash flow (before price shield)</t>
  </si>
  <si>
    <t xml:space="preserve">R5 contracted share of revenue</t>
  </si>
  <si>
    <t xml:space="preserve">R5 hedged share of revenue</t>
  </si>
  <si>
    <t xml:space="preserve">R5 merchant share of revenue</t>
  </si>
  <si>
    <t xml:space="preserve">R5 Mesa-share contracted revenue</t>
  </si>
  <si>
    <t xml:space="preserve">R5 Mesa-share hedged revenue</t>
  </si>
  <si>
    <t xml:space="preserve">R5 Mesa-share merchant revenue</t>
  </si>
  <si>
    <t xml:space="preserve">R5 Mesa-share revenue</t>
  </si>
  <si>
    <t xml:space="preserve">R6 Redfern Storage (lithium-ion BESS (LFP), 2-hour)</t>
  </si>
  <si>
    <t xml:space="preserve">R6 operating fraction</t>
  </si>
  <si>
    <t xml:space="preserve">R6 owned fraction</t>
  </si>
  <si>
    <t xml:space="preserve">R6 owned share of operating period</t>
  </si>
  <si>
    <t xml:space="preserve">R6 own hub ATC</t>
  </si>
  <si>
    <t xml:space="preserve">R6 usable energy of original modules, period start</t>
  </si>
  <si>
    <t xml:space="preserve">R6 usable energy of augmentation modules, period start</t>
  </si>
  <si>
    <t xml:space="preserve">R6 usable energy, period start</t>
  </si>
  <si>
    <t xml:space="preserve">R6 usable energy of original modules, period end</t>
  </si>
  <si>
    <t xml:space="preserve">R6 usable energy of augmentation modules, period end</t>
  </si>
  <si>
    <t xml:space="preserve">R6 usable energy, period end</t>
  </si>
  <si>
    <t xml:space="preserve">R6 usable energy, period average</t>
  </si>
  <si>
    <t xml:space="preserve">R6 revenue scaling factor min(1, usable / nameplate)</t>
  </si>
  <si>
    <t xml:space="preserve">R6 augmentation installed</t>
  </si>
  <si>
    <t xml:space="preserve">R6 toll term fraction</t>
  </si>
  <si>
    <t xml:space="preserve">R6 toll revenue</t>
  </si>
  <si>
    <t xml:space="preserve">R6 merchant revenue after toll</t>
  </si>
  <si>
    <t xml:space="preserve">R6 lowest usable energy in toll term (start or end of period)</t>
  </si>
  <si>
    <t xml:space="preserve">R6 contracted revenue (toll)</t>
  </si>
  <si>
    <t xml:space="preserve">R6 hedged revenue</t>
  </si>
  <si>
    <t xml:space="preserve">R6 total revenue</t>
  </si>
  <si>
    <t xml:space="preserve">R6 merchant revenue (total less contracted and hedged)</t>
  </si>
  <si>
    <t xml:space="preserve">R6 opex (O&amp;M, land, insurance, property tax, site)</t>
  </si>
  <si>
    <t xml:space="preserve">R6 land lease (in opex)</t>
  </si>
  <si>
    <t xml:space="preserve">R6 decommissioning surety cost</t>
  </si>
  <si>
    <t xml:space="preserve">R6 Texas margin tax</t>
  </si>
  <si>
    <t xml:space="preserve">R6 EBITDA</t>
  </si>
  <si>
    <t xml:space="preserve">R6 augmentation capex</t>
  </si>
  <si>
    <t xml:space="preserve">R6 decommissioning at end of life</t>
  </si>
  <si>
    <t xml:space="preserve">R6 pre-tax cash flow, 100% of asset</t>
  </si>
  <si>
    <t xml:space="preserve">R6 tax equity cash share</t>
  </si>
  <si>
    <t xml:space="preserve">R6 Mesa share of taxable income</t>
  </si>
  <si>
    <t xml:space="preserve">R6 Mesa share of cash flow</t>
  </si>
  <si>
    <t xml:space="preserve">R6 Mesa taxable operating income</t>
  </si>
  <si>
    <t xml:space="preserve">R6 Mesa unlevered post-tax cash flow (before price shield)</t>
  </si>
  <si>
    <t xml:space="preserve">R6 contracted share of revenue</t>
  </si>
  <si>
    <t xml:space="preserve">R6 hedged share of revenue</t>
  </si>
  <si>
    <t xml:space="preserve">R6 merchant share of revenue</t>
  </si>
  <si>
    <t xml:space="preserve">R6 Mesa-share contracted revenue</t>
  </si>
  <si>
    <t xml:space="preserve">R6 Mesa-share hedged revenue</t>
  </si>
  <si>
    <t xml:space="preserve">R6 Mesa-share merchant revenue</t>
  </si>
  <si>
    <t xml:space="preserve">R6 Mesa-share revenue</t>
  </si>
  <si>
    <t xml:space="preserve">R7 Kerrigan Storage (lithium-ion BESS (LFP), 2-hour)</t>
  </si>
  <si>
    <t xml:space="preserve">R7 operating fraction</t>
  </si>
  <si>
    <t xml:space="preserve">R7 owned fraction</t>
  </si>
  <si>
    <t xml:space="preserve">R7 owned share of operating period</t>
  </si>
  <si>
    <t xml:space="preserve">R7 own hub ATC</t>
  </si>
  <si>
    <t xml:space="preserve">R7 usable energy of original modules, period start</t>
  </si>
  <si>
    <t xml:space="preserve">R7 usable energy of augmentation modules, period start</t>
  </si>
  <si>
    <t xml:space="preserve">R7 usable energy, period start</t>
  </si>
  <si>
    <t xml:space="preserve">R7 usable energy of original modules, period end</t>
  </si>
  <si>
    <t xml:space="preserve">R7 usable energy of augmentation modules, period end</t>
  </si>
  <si>
    <t xml:space="preserve">R7 usable energy, period end</t>
  </si>
  <si>
    <t xml:space="preserve">R7 usable energy, period average</t>
  </si>
  <si>
    <t xml:space="preserve">R7 revenue scaling factor min(1, usable / nameplate)</t>
  </si>
  <si>
    <t xml:space="preserve">R7 augmentation installed</t>
  </si>
  <si>
    <t xml:space="preserve">R7 floor term fraction</t>
  </si>
  <si>
    <t xml:space="preserve">R7 merchant revenue, availability-adjusted</t>
  </si>
  <si>
    <t xml:space="preserve">R7 floor reference revenue (operating years)</t>
  </si>
  <si>
    <t xml:space="preserve">R7 floor payment from Galloway</t>
  </si>
  <si>
    <t xml:space="preserve">R7 upside share paid to Galloway</t>
  </si>
  <si>
    <t xml:space="preserve">R7 net floor settlement (payment less premium and upside share)</t>
  </si>
  <si>
    <t xml:space="preserve">R7 revenue under floor contract (max of floor, less premium and upside share)</t>
  </si>
  <si>
    <t xml:space="preserve">R7 merchant revenue outside floor term</t>
  </si>
  <si>
    <t xml:space="preserve">R7 contracted revenue (floor less premium)</t>
  </si>
  <si>
    <t xml:space="preserve">R7 hedged revenue</t>
  </si>
  <si>
    <t xml:space="preserve">R7 total revenue</t>
  </si>
  <si>
    <t xml:space="preserve">R7 merchant revenue (total less contracted and hedged)</t>
  </si>
  <si>
    <t xml:space="preserve">R7 opex (O&amp;M, land, insurance, property tax, site)</t>
  </si>
  <si>
    <t xml:space="preserve">R7 land lease (in opex)</t>
  </si>
  <si>
    <t xml:space="preserve">R7 decommissioning surety cost</t>
  </si>
  <si>
    <t xml:space="preserve">R7 Texas margin tax</t>
  </si>
  <si>
    <t xml:space="preserve">R7 EBITDA</t>
  </si>
  <si>
    <t xml:space="preserve">R7 augmentation capex</t>
  </si>
  <si>
    <t xml:space="preserve">R7 decommissioning at end of life</t>
  </si>
  <si>
    <t xml:space="preserve">R7 pre-tax cash flow, 100% of asset</t>
  </si>
  <si>
    <t xml:space="preserve">R7 tax equity cash share</t>
  </si>
  <si>
    <t xml:space="preserve">R7 Mesa share of taxable income</t>
  </si>
  <si>
    <t xml:space="preserve">R7 Mesa share of cash flow</t>
  </si>
  <si>
    <t xml:space="preserve">R7 Mesa taxable operating income</t>
  </si>
  <si>
    <t xml:space="preserve">R7 Mesa unlevered post-tax cash flow (before price shield)</t>
  </si>
  <si>
    <t xml:space="preserve">R7 contracted share of revenue</t>
  </si>
  <si>
    <t xml:space="preserve">R7 hedged share of revenue</t>
  </si>
  <si>
    <t xml:space="preserve">R7 merchant share of revenue</t>
  </si>
  <si>
    <t xml:space="preserve">R7 Mesa-share contracted revenue</t>
  </si>
  <si>
    <t xml:space="preserve">R7 Mesa-share hedged revenue</t>
  </si>
  <si>
    <t xml:space="preserve">R7 Mesa-share merchant revenue</t>
  </si>
  <si>
    <t xml:space="preserve">R7 Mesa-share revenue</t>
  </si>
  <si>
    <t xml:space="preserve">R8 Barlow Gap Solar (single-axis tracking PV)</t>
  </si>
  <si>
    <t xml:space="preserve">R8 operating fraction</t>
  </si>
  <si>
    <t xml:space="preserve">R8 owned fraction</t>
  </si>
  <si>
    <t xml:space="preserve">R8 owned share of operating period</t>
  </si>
  <si>
    <t xml:space="preserve">R8 own hub ATC</t>
  </si>
  <si>
    <t xml:space="preserve">R8 volume factor</t>
  </si>
  <si>
    <t xml:space="preserve">R8 degradation factor</t>
  </si>
  <si>
    <t xml:space="preserve">R8 curtailment</t>
  </si>
  <si>
    <t xml:space="preserve">R8 net generation, full year</t>
  </si>
  <si>
    <t xml:space="preserve">R8 net generation</t>
  </si>
  <si>
    <t xml:space="preserve">R8 hub capture ratio</t>
  </si>
  <si>
    <t xml:space="preserve">R8 node capture ratio</t>
  </si>
  <si>
    <t xml:space="preserve">R8 realized node price</t>
  </si>
  <si>
    <t xml:space="preserve">R8 shape hedge term fraction</t>
  </si>
  <si>
    <t xml:space="preserve">R8 shape hedge settlement (strike less hub x shape factor)</t>
  </si>
  <si>
    <t xml:space="preserve">R8 generation sold at node</t>
  </si>
  <si>
    <t xml:space="preserve">R8 contracted revenue</t>
  </si>
  <si>
    <t xml:space="preserve">R8 hedged revenue (volume x strike)</t>
  </si>
  <si>
    <t xml:space="preserve">R8 market revenue at node</t>
  </si>
  <si>
    <t xml:space="preserve">R8 total revenue</t>
  </si>
  <si>
    <t xml:space="preserve">R8 merchant revenue (total less contracted and hedged)</t>
  </si>
  <si>
    <t xml:space="preserve">R8 opex (O&amp;M, land, insurance, property tax, site)</t>
  </si>
  <si>
    <t xml:space="preserve">R8 land lease (in opex)</t>
  </si>
  <si>
    <t xml:space="preserve">R8 decommissioning surety cost</t>
  </si>
  <si>
    <t xml:space="preserve">R8 Texas margin tax</t>
  </si>
  <si>
    <t xml:space="preserve">R8 EBITDA</t>
  </si>
  <si>
    <t xml:space="preserve">R8 capex</t>
  </si>
  <si>
    <t xml:space="preserve">R8 decommissioning at end of life</t>
  </si>
  <si>
    <t xml:space="preserve">R8 pre-tax cash flow, 100% of asset</t>
  </si>
  <si>
    <t xml:space="preserve">R8 tax equity cash share</t>
  </si>
  <si>
    <t xml:space="preserve">R8 Mesa share of taxable income</t>
  </si>
  <si>
    <t xml:space="preserve">R8 Mesa share of cash flow</t>
  </si>
  <si>
    <t xml:space="preserve">R8 Mesa taxable operating income</t>
  </si>
  <si>
    <t xml:space="preserve">R8 Mesa unlevered post-tax cash flow (before price shield)</t>
  </si>
  <si>
    <t xml:space="preserve">R8 contracted share of revenue</t>
  </si>
  <si>
    <t xml:space="preserve">R8 hedged share of revenue</t>
  </si>
  <si>
    <t xml:space="preserve">R8 merchant share of revenue</t>
  </si>
  <si>
    <t xml:space="preserve">R8 Mesa-share contracted revenue</t>
  </si>
  <si>
    <t xml:space="preserve">R8 Mesa-share hedged revenue</t>
  </si>
  <si>
    <t xml:space="preserve">R8 Mesa-share merchant revenue</t>
  </si>
  <si>
    <t xml:space="preserve">R8 Mesa-share revenue</t>
  </si>
  <si>
    <t xml:space="preserve">Block L: portfolio</t>
  </si>
  <si>
    <t xml:space="preserve">Asset management cost</t>
  </si>
  <si>
    <t xml:space="preserve">Mesa cash flow, a1 assets</t>
  </si>
  <si>
    <t xml:space="preserve">Mesa-share contracted revenue, a1</t>
  </si>
  <si>
    <t xml:space="preserve">Mesa-share hedged revenue, a1</t>
  </si>
  <si>
    <t xml:space="preserve">Mesa-share merchant revenue, a1</t>
  </si>
  <si>
    <t xml:space="preserve">Mesa-share revenue, a1</t>
  </si>
  <si>
    <t xml:space="preserve">Mesa cash flow, all assets</t>
  </si>
  <si>
    <t xml:space="preserve">Mesa-share contracted revenue, all</t>
  </si>
  <si>
    <t xml:space="preserve">Mesa-share hedged revenue, all</t>
  </si>
  <si>
    <t xml:space="preserve">Mesa-share merchant revenue, all</t>
  </si>
  <si>
    <t xml:space="preserve">Mesa-share revenue, all</t>
  </si>
  <si>
    <t xml:space="preserve">Mesa cash flow, a3 assets</t>
  </si>
  <si>
    <t xml:space="preserve">Mesa-share contracted revenue, a3</t>
  </si>
  <si>
    <t xml:space="preserve">Mesa-share hedged revenue, a3</t>
  </si>
  <si>
    <t xml:space="preserve">Mesa-share merchant revenue, a3</t>
  </si>
  <si>
    <t xml:space="preserve">Mesa-share revenue, a3</t>
  </si>
  <si>
    <t xml:space="preserve">CFADS, A1 group (opco term loan borrower group)</t>
  </si>
  <si>
    <t xml:space="preserve">CFADS, portfolio (all assets)</t>
  </si>
  <si>
    <t xml:space="preserve">CFADS, R7 and R8</t>
  </si>
  <si>
    <t xml:space="preserve">Contracted share of Mesa revenue, a1</t>
  </si>
  <si>
    <t xml:space="preserve">Hedged share of Mesa revenue, a1</t>
  </si>
  <si>
    <t xml:space="preserve">Merchant share of Mesa revenue, a1</t>
  </si>
  <si>
    <t xml:space="preserve">CFADS allocated to contracted, a1</t>
  </si>
  <si>
    <t xml:space="preserve">CFADS allocated to hedged, a1</t>
  </si>
  <si>
    <t xml:space="preserve">CFADS allocated to merchant, a1</t>
  </si>
  <si>
    <t xml:space="preserve">Contracted share of Mesa revenue, all</t>
  </si>
  <si>
    <t xml:space="preserve">Hedged share of Mesa revenue, all</t>
  </si>
  <si>
    <t xml:space="preserve">Merchant share of Mesa revenue, all</t>
  </si>
  <si>
    <t xml:space="preserve">CFADS allocated to contracted, all</t>
  </si>
  <si>
    <t xml:space="preserve">CFADS allocated to hedged, all</t>
  </si>
  <si>
    <t xml:space="preserve">CFADS allocated to merchant, all</t>
  </si>
  <si>
    <t xml:space="preserve">Block B: Sizing case: base prices, P50 volumes</t>
  </si>
  <si>
    <t xml:space="preserve">Block B: portfolio</t>
  </si>
  <si>
    <t xml:space="preserve">Block Q: Sizing test: base prices, P99 one-year volumes</t>
  </si>
  <si>
    <t xml:space="preserve">Block Q: portfolio</t>
  </si>
  <si>
    <t xml:space="preserve">Uri-type stress on R1's fixed-volume swap (R-F03)</t>
  </si>
  <si>
    <t xml:space="preserve">R1 generation during event</t>
  </si>
  <si>
    <t xml:space="preserve">Swap volume during event</t>
  </si>
  <si>
    <t xml:space="preserve">Volume shortfall</t>
  </si>
  <si>
    <t xml:space="preserve">Swap settlement paid</t>
  </si>
  <si>
    <t xml:space="preserve">Physical revenue</t>
  </si>
  <si>
    <t xml:space="preserve">Net cash over the event</t>
  </si>
  <si>
    <t xml:space="preserve">Net cash versus normal hedged revenue for the same hours</t>
  </si>
  <si>
    <t xml:space="preserve">Portfolio yield with inter-asset correlations (R-F01)</t>
  </si>
  <si>
    <t xml:space="preserve">P50, A1</t>
  </si>
  <si>
    <t xml:space="preserve">Variance, lt component, A1</t>
  </si>
  <si>
    <t xml:space="preserve">GWh^2</t>
  </si>
  <si>
    <t xml:space="preserve">Variance, iav component, A1</t>
  </si>
  <si>
    <t xml:space="preserve">Portfolio sigma 1yr, A1</t>
  </si>
  <si>
    <t xml:space="preserve">Portfolio P90 1yr, A1</t>
  </si>
  <si>
    <t xml:space="preserve">Portfolio P99 1yr, A1</t>
  </si>
  <si>
    <t xml:space="preserve">P90 1yr if fully correlated, A1</t>
  </si>
  <si>
    <t xml:space="preserve">P90 1yr if independent, A1</t>
  </si>
  <si>
    <t xml:space="preserve">Portfolio sigma 10yr, A1</t>
  </si>
  <si>
    <t xml:space="preserve">Portfolio P90 10yr, A1</t>
  </si>
  <si>
    <t xml:space="preserve">Portfolio P99 10yr, A1</t>
  </si>
  <si>
    <t xml:space="preserve">P90 10yr if fully correlated, A1</t>
  </si>
  <si>
    <t xml:space="preserve">P90 10yr if independent, A1</t>
  </si>
  <si>
    <t xml:space="preserve">P50, all_generation</t>
  </si>
  <si>
    <t xml:space="preserve">Variance, lt component, all_generation</t>
  </si>
  <si>
    <t xml:space="preserve">Variance, iav component, all_generation</t>
  </si>
  <si>
    <t xml:space="preserve">Portfolio sigma 1yr, all_generation</t>
  </si>
  <si>
    <t xml:space="preserve">Portfolio P90 1yr, all_generation</t>
  </si>
  <si>
    <t xml:space="preserve">Portfolio P99 1yr, all_generation</t>
  </si>
  <si>
    <t xml:space="preserve">P90 1yr if fully correlated, all_generation</t>
  </si>
  <si>
    <t xml:space="preserve">P90 1yr if independent, all_generation</t>
  </si>
  <si>
    <t xml:space="preserve">Portfolio sigma 10yr, all_generation</t>
  </si>
  <si>
    <t xml:space="preserve">Portfolio P90 10yr, all_generation</t>
  </si>
  <si>
    <t xml:space="preserve">Portfolio P99 10yr, all_generation</t>
  </si>
  <si>
    <t xml:space="preserve">P90 10yr if fully correlated, all_generation</t>
  </si>
  <si>
    <t xml:space="preserve">P90 10yr if independent, all_generation</t>
  </si>
  <si>
    <t xml:space="preserve">Tax: depreciation of purchase prices, taxable income, NOL and cash tax</t>
  </si>
  <si>
    <t xml:space="preserve">ITC on R7 and R8 (claimed by the fund and transferred)</t>
  </si>
  <si>
    <t xml:space="preserve">R7 ITC</t>
  </si>
  <si>
    <t xml:space="preserve">R8 ITC</t>
  </si>
  <si>
    <t xml:space="preserve">Tax depreciation (bonus in acquisition year, MACRS half-year on the remainder)</t>
  </si>
  <si>
    <t xml:space="preserve">Depreciable basis, A1</t>
  </si>
  <si>
    <t xml:space="preserve">Recovery year index, A1</t>
  </si>
  <si>
    <t xml:space="preserve">Tax depreciation, A1</t>
  </si>
  <si>
    <t xml:space="preserve">Depreciable basis, A2</t>
  </si>
  <si>
    <t xml:space="preserve">Recovery year index, A2</t>
  </si>
  <si>
    <t xml:space="preserve">Tax depreciation, A2</t>
  </si>
  <si>
    <t xml:space="preserve">Depreciable basis, R7</t>
  </si>
  <si>
    <t xml:space="preserve">Recovery year index, R7</t>
  </si>
  <si>
    <t xml:space="preserve">Tax depreciation, R7</t>
  </si>
  <si>
    <t xml:space="preserve">Depreciable basis, R8</t>
  </si>
  <si>
    <t xml:space="preserve">Recovery year index, R8</t>
  </si>
  <si>
    <t xml:space="preserve">Tax depreciation, R8</t>
  </si>
  <si>
    <t xml:space="preserve">Tax depreciation, total</t>
  </si>
  <si>
    <t xml:space="preserve">Taxable operating income (Mesa shares) less asset management</t>
  </si>
  <si>
    <t xml:space="preserve">Taxable income, NOL and cash tax (Mesa Corta modeled as a taxable blocker)</t>
  </si>
  <si>
    <t xml:space="preserve">Interest deducted (opco TL, Redfern, USPP, holdco)</t>
  </si>
  <si>
    <t xml:space="preserve">Taxable income before NOL</t>
  </si>
  <si>
    <t xml:space="preserve">NOL opening</t>
  </si>
  <si>
    <t xml:space="preserve">NOL used (limited to 80% of taxable income)</t>
  </si>
  <si>
    <t xml:space="preserve">Cash tax</t>
  </si>
  <si>
    <t xml:space="preserve">NOL closing</t>
  </si>
  <si>
    <t xml:space="preserve">Funding: debt sizing (base P50 and P99 sizing blocks), sources and uses, 2025 refinancing</t>
  </si>
  <si>
    <t xml:space="preserve">Opco term loan, March 22, 2022 (A1 group, sculpted to December 31, 2040)</t>
  </si>
  <si>
    <t xml:space="preserve">Interest period fraction (loan date to notional end)</t>
  </si>
  <si>
    <t xml:space="preserve">Fraction of year before margin step</t>
  </si>
  <si>
    <t xml:space="preserve">Margin</t>
  </si>
  <si>
    <t xml:space="preserve">Hedged share (hedge ratio x fraction of year before swap end)</t>
  </si>
  <si>
    <t xml:space="preserve">All-in sizing rate</t>
  </si>
  <si>
    <t xml:space="preserve">Debt-service capacity by bucket (CFADS / bucket DSCR)</t>
  </si>
  <si>
    <t xml:space="preserve">Debt-service capacity at P99 (P99 CFADS / 1.00x)</t>
  </si>
  <si>
    <t xml:space="preserve">Sculpted debt service</t>
  </si>
  <si>
    <t xml:space="preserve">Discount factor to loan date</t>
  </si>
  <si>
    <t xml:space="preserve">Opco term loan amount (PV of sculpted debt service)</t>
  </si>
  <si>
    <t xml:space="preserve">PV of contracted debt-service capacity</t>
  </si>
  <si>
    <t xml:space="preserve">PV of hedged debt-service capacity</t>
  </si>
  <si>
    <t xml:space="preserve">PV of merchant debt-service capacity</t>
  </si>
  <si>
    <t xml:space="preserve">Years in which the P99 test binds</t>
  </si>
  <si>
    <t xml:space="preserve">Sculpted schedule: opening balance</t>
  </si>
  <si>
    <t xml:space="preserve">Sculpted schedule: interest</t>
  </si>
  <si>
    <t xml:space="preserve">Sculpted schedule: principal</t>
  </si>
  <si>
    <t xml:space="preserve">Sculpted schedule: closing balance</t>
  </si>
  <si>
    <t xml:space="preserve">Base P50 distributions from A1 group (CFADS less sculpted debt service)</t>
  </si>
  <si>
    <t xml:space="preserve">Holdco term loan B, March 22, 2022</t>
  </si>
  <si>
    <t xml:space="preserve">Interest period fraction to maturity</t>
  </si>
  <si>
    <t xml:space="preserve">Rate (SOFR floored + margin)</t>
  </si>
  <si>
    <t xml:space="preserve">Scheduled amortization per unit of face</t>
  </si>
  <si>
    <t xml:space="preserve">Scheduled balance per unit of face</t>
  </si>
  <si>
    <t xml:space="preserve">Debt service per unit of face</t>
  </si>
  <si>
    <t xml:space="preserve">Coverage test year flag</t>
  </si>
  <si>
    <t xml:space="preserve">Face supported at 1.75x coverage</t>
  </si>
  <si>
    <t xml:space="preserve">Face supported by coverage (minimum over test years)</t>
  </si>
  <si>
    <t xml:space="preserve">Opco equity value at March 22, 2022: years from valuation date</t>
  </si>
  <si>
    <t xml:space="preserve">Opco equity value at March 22, 2022: levered discount factor weighted by revenue bucket</t>
  </si>
  <si>
    <t xml:space="preserve">Opco equity value at levered equity rates</t>
  </si>
  <si>
    <t xml:space="preserve">Cap: 45% of opco equity value</t>
  </si>
  <si>
    <t xml:space="preserve">Holdco TLB face</t>
  </si>
  <si>
    <t xml:space="preserve">Redfern term loan, August 31, 2023 (toll cash flow only)</t>
  </si>
  <si>
    <t xml:space="preserve">Interest period fraction</t>
  </si>
  <si>
    <t xml:space="preserve">R6 annualized cash costs (opex, surety, margin tax)</t>
  </si>
  <si>
    <t xml:space="preserve">Toll cash flow for sizing</t>
  </si>
  <si>
    <t xml:space="preserve">Sculpted debt service (toll CF / 1.35x)</t>
  </si>
  <si>
    <t xml:space="preserve">All-in rate</t>
  </si>
  <si>
    <t xml:space="preserve">Discount factor</t>
  </si>
  <si>
    <t xml:space="preserve">Redfern loan amount</t>
  </si>
  <si>
    <t xml:space="preserve">Holdco incremental term loan, February 15, 2024 (R7 and R8)</t>
  </si>
  <si>
    <t xml:space="preserve">Face supported at 1.75x on R7 and R8 distributions</t>
  </si>
  <si>
    <t xml:space="preserve">Holdco incremental face</t>
  </si>
  <si>
    <t xml:space="preserve">2025 refinancing: USPP senior secured notes (sized on base P50 and P99 blocks)</t>
  </si>
  <si>
    <t xml:space="preserve">Series A amortization years</t>
  </si>
  <si>
    <t xml:space="preserve">Series B amortization years</t>
  </si>
  <si>
    <t xml:space="preserve">Series C amortization years</t>
  </si>
  <si>
    <t xml:space="preserve">Notes outstanding flag</t>
  </si>
  <si>
    <t xml:space="preserve">Coupon of the series amortizing in the year</t>
  </si>
  <si>
    <t xml:space="preserve">Debt-service capacity by bucket</t>
  </si>
  <si>
    <t xml:space="preserve">Debt-service capacity at P99 (1.05x)</t>
  </si>
  <si>
    <t xml:space="preserve">Principal, solved backward: (DS - sum of coupons x next-year opening balances) / (1 + coupon of amortizing series)</t>
  </si>
  <si>
    <t xml:space="preserve">Series A opening balance</t>
  </si>
  <si>
    <t xml:space="preserve">Series B opening balance</t>
  </si>
  <si>
    <t xml:space="preserve">Series C opening balance</t>
  </si>
  <si>
    <t xml:space="preserve">Notes opening balance</t>
  </si>
  <si>
    <t xml:space="preserve">Notes interest</t>
  </si>
  <si>
    <t xml:space="preserve">Series A size</t>
  </si>
  <si>
    <t xml:space="preserve">Series B size</t>
  </si>
  <si>
    <t xml:space="preserve">Series C size</t>
  </si>
  <si>
    <t xml:space="preserve">USPP notes total</t>
  </si>
  <si>
    <t xml:space="preserve">Series A share</t>
  </si>
  <si>
    <t xml:space="preserve">Series B share</t>
  </si>
  <si>
    <t xml:space="preserve">Series C share</t>
  </si>
  <si>
    <t xml:space="preserve">Issue-weighted blended coupon</t>
  </si>
  <si>
    <t xml:space="preserve">Discount factor at blended coupon (bucket exhibit)</t>
  </si>
  <si>
    <t xml:space="preserve">PV of contracted capacity at blended coupon</t>
  </si>
  <si>
    <t xml:space="preserve">PV of hedged capacity at blended coupon</t>
  </si>
  <si>
    <t xml:space="preserve">PV of merchant capacity at blended coupon</t>
  </si>
  <si>
    <t xml:space="preserve">2025 holdco repricing (sized on post-refinancing base distributions)</t>
  </si>
  <si>
    <t xml:space="preserve">Base distributions after USPP debt service</t>
  </si>
  <si>
    <t xml:space="preserve">Face supported at 1.75x</t>
  </si>
  <si>
    <t xml:space="preserve">Repriced holdco face</t>
  </si>
  <si>
    <t xml:space="preserve">Opco debt by asset (pro rata to PV of each asset's own debt-service capacity)</t>
  </si>
  <si>
    <t xml:space="preserve">R1 capacity, tl</t>
  </si>
  <si>
    <t xml:space="preserve">PV of capacity, R1</t>
  </si>
  <si>
    <t xml:space="preserve">R2 capacity, tl</t>
  </si>
  <si>
    <t xml:space="preserve">PV of capacity, R2</t>
  </si>
  <si>
    <t xml:space="preserve">R3 capacity, tl</t>
  </si>
  <si>
    <t xml:space="preserve">PV of capacity, R3</t>
  </si>
  <si>
    <t xml:space="preserve">R4 capacity, tl</t>
  </si>
  <si>
    <t xml:space="preserve">PV of capacity, R4</t>
  </si>
  <si>
    <t xml:space="preserve">R5 capacity, tl</t>
  </si>
  <si>
    <t xml:space="preserve">PV of capacity, R5</t>
  </si>
  <si>
    <t xml:space="preserve">Allocated debt, R1</t>
  </si>
  <si>
    <t xml:space="preserve">Allocated debt, R2</t>
  </si>
  <si>
    <t xml:space="preserve">Allocated debt, R3</t>
  </si>
  <si>
    <t xml:space="preserve">Allocated debt, R4</t>
  </si>
  <si>
    <t xml:space="preserve">Allocated debt, R5</t>
  </si>
  <si>
    <t xml:space="preserve">R1 capacity, u</t>
  </si>
  <si>
    <t xml:space="preserve">R2 capacity, u</t>
  </si>
  <si>
    <t xml:space="preserve">R3 capacity, u</t>
  </si>
  <si>
    <t xml:space="preserve">R4 capacity, u</t>
  </si>
  <si>
    <t xml:space="preserve">R5 capacity, u</t>
  </si>
  <si>
    <t xml:space="preserve">R6 capacity, u</t>
  </si>
  <si>
    <t xml:space="preserve">PV of capacity, R6</t>
  </si>
  <si>
    <t xml:space="preserve">R7 capacity, u</t>
  </si>
  <si>
    <t xml:space="preserve">PV of capacity, R7</t>
  </si>
  <si>
    <t xml:space="preserve">R8 capacity, u</t>
  </si>
  <si>
    <t xml:space="preserve">PV of capacity, R8</t>
  </si>
  <si>
    <t xml:space="preserve">Allocated debt, R6</t>
  </si>
  <si>
    <t xml:space="preserve">Allocated debt, R7</t>
  </si>
  <si>
    <t xml:space="preserve">Allocated debt, R8</t>
  </si>
  <si>
    <t xml:space="preserve">Sources and uses</t>
  </si>
  <si>
    <t xml:space="preserve">A1 opco upfront fee</t>
  </si>
  <si>
    <t xml:space="preserve">A1 holdco OID</t>
  </si>
  <si>
    <t xml:space="preserve">A1 uses (price, costs, fee, OID)</t>
  </si>
  <si>
    <t xml:space="preserve">A1 fund equity</t>
  </si>
  <si>
    <t xml:space="preserve">A2 Redfern upfront fee</t>
  </si>
  <si>
    <t xml:space="preserve">A2 uses</t>
  </si>
  <si>
    <t xml:space="preserve">A2 fund equity</t>
  </si>
  <si>
    <t xml:space="preserve">R8 deposit at signing</t>
  </si>
  <si>
    <t xml:space="preserve">R7 ITC transfer proceeds</t>
  </si>
  <si>
    <t xml:space="preserve">R8 ITC transfer proceeds</t>
  </si>
  <si>
    <t xml:space="preserve">A3 uses at signing (deposit, costs, OID)</t>
  </si>
  <si>
    <t xml:space="preserve">A3 equity at signing</t>
  </si>
  <si>
    <t xml:space="preserve">Cash carried to R7 COD</t>
  </si>
  <si>
    <t xml:space="preserve">Funding need at R7 COD</t>
  </si>
  <si>
    <t xml:space="preserve">A3 equity at R7 COD</t>
  </si>
  <si>
    <t xml:space="preserve">Cash carried to R8 COD</t>
  </si>
  <si>
    <t xml:space="preserve">Funding need at R8 COD</t>
  </si>
  <si>
    <t xml:space="preserve">A3 equity at R8 COD</t>
  </si>
  <si>
    <t xml:space="preserve">Cash left after R8 COD (returned)</t>
  </si>
  <si>
    <t xml:space="preserve">A3 uses (prices, costs, OID)</t>
  </si>
  <si>
    <t xml:space="preserve">A3 fund equity, net</t>
  </si>
  <si>
    <t xml:space="preserve">2025 refinancing: uses and proceeds at December 31, 2025</t>
  </si>
  <si>
    <t xml:space="preserve">Discount factor at the SOFR swap rate</t>
  </si>
  <si>
    <t xml:space="preserve">Opco swap: remaining hedged period fraction</t>
  </si>
  <si>
    <t xml:space="preserve">Redfern swap: remaining period fraction</t>
  </si>
  <si>
    <t xml:space="preserve">Opco swap unwind (receivable to opco)</t>
  </si>
  <si>
    <t xml:space="preserve">Redfern swap unwind (payable by Redfern)</t>
  </si>
  <si>
    <t xml:space="preserve">Opco term loan repaid</t>
  </si>
  <si>
    <t xml:space="preserve">Redfern loan repaid</t>
  </si>
  <si>
    <t xml:space="preserve">Net opco proceeds distributed to holdco</t>
  </si>
  <si>
    <t xml:space="preserve">Debt: live schedules (sized amounts held fixed)</t>
  </si>
  <si>
    <t xml:space="preserve">Flags</t>
  </si>
  <si>
    <t xml:space="preserve">Post-refinancing flag</t>
  </si>
  <si>
    <t xml:space="preserve">Refinancing year flag</t>
  </si>
  <si>
    <t xml:space="preserve">SOFR including sensitivity</t>
  </si>
  <si>
    <t xml:space="preserve">Opco term loan</t>
  </si>
  <si>
    <t xml:space="preserve">All-in rate (unhedged share at live SOFR)</t>
  </si>
  <si>
    <t xml:space="preserve">Opening balance</t>
  </si>
  <si>
    <t xml:space="preserve">Interest</t>
  </si>
  <si>
    <t xml:space="preserve">Scheduled principal</t>
  </si>
  <si>
    <t xml:space="preserve">Prepayment from refinancing</t>
  </si>
  <si>
    <t xml:space="preserve">Debt service (interest and scheduled principal)</t>
  </si>
  <si>
    <t xml:space="preserve">Closing balance</t>
  </si>
  <si>
    <t xml:space="preserve">Redfern term loan</t>
  </si>
  <si>
    <t xml:space="preserve">Debt service</t>
  </si>
  <si>
    <t xml:space="preserve">USPP notes (fixed coupons; schedule as sized)</t>
  </si>
  <si>
    <t xml:space="preserve">Principal</t>
  </si>
  <si>
    <t xml:space="preserve">Holdco tranches (sweep from the Waterfall sheet)</t>
  </si>
  <si>
    <t xml:space="preserve">Holdco TLB 2022: interest period fraction</t>
  </si>
  <si>
    <t xml:space="preserve">Holdco TLB 2022: rate</t>
  </si>
  <si>
    <t xml:space="preserve">Holdco TLB 2022: face</t>
  </si>
  <si>
    <t xml:space="preserve">Holdco incremental 2024: interest period fraction</t>
  </si>
  <si>
    <t xml:space="preserve">Holdco incremental 2024: rate</t>
  </si>
  <si>
    <t xml:space="preserve">Holdco incremental 2024: face</t>
  </si>
  <si>
    <t xml:space="preserve">Repriced holdco TLB 2025: interest period fraction</t>
  </si>
  <si>
    <t xml:space="preserve">Repriced holdco TLB 2025: rate</t>
  </si>
  <si>
    <t xml:space="preserve">Repriced holdco TLB 2025: face</t>
  </si>
  <si>
    <t xml:space="preserve">Holdco TLB 2022: opening balance</t>
  </si>
  <si>
    <t xml:space="preserve">Holdco TLB 2022: interest</t>
  </si>
  <si>
    <t xml:space="preserve">Holdco TLB 2022: scheduled amortization</t>
  </si>
  <si>
    <t xml:space="preserve">Holdco TLB 2022: excess cash sweep</t>
  </si>
  <si>
    <t xml:space="preserve">Holdco TLB 2022: balance after amortization</t>
  </si>
  <si>
    <t xml:space="preserve">Holdco TLB 2022: repaid at refinancing</t>
  </si>
  <si>
    <t xml:space="preserve">Holdco TLB 2022: closing balance</t>
  </si>
  <si>
    <t xml:space="preserve">Holdco incremental 2024: opening balance</t>
  </si>
  <si>
    <t xml:space="preserve">Holdco incremental 2024: interest</t>
  </si>
  <si>
    <t xml:space="preserve">Holdco incremental 2024: scheduled amortization</t>
  </si>
  <si>
    <t xml:space="preserve">Holdco incremental 2024: excess cash sweep</t>
  </si>
  <si>
    <t xml:space="preserve">Holdco incremental 2024: balance after amortization</t>
  </si>
  <si>
    <t xml:space="preserve">Holdco incremental 2024: repaid at refinancing</t>
  </si>
  <si>
    <t xml:space="preserve">Holdco incremental 2024: closing balance</t>
  </si>
  <si>
    <t xml:space="preserve">Repriced holdco TLB 2025: opening balance</t>
  </si>
  <si>
    <t xml:space="preserve">Repriced holdco TLB 2025: interest</t>
  </si>
  <si>
    <t xml:space="preserve">Repriced holdco TLB 2025: scheduled amortization</t>
  </si>
  <si>
    <t xml:space="preserve">Repriced holdco TLB 2025: excess cash sweep</t>
  </si>
  <si>
    <t xml:space="preserve">Repriced holdco TLB 2025: balance after amortization</t>
  </si>
  <si>
    <t xml:space="preserve">Repriced holdco TLB 2025: repaid at refinancing</t>
  </si>
  <si>
    <t xml:space="preserve">Repriced holdco TLB 2025: closing balance</t>
  </si>
  <si>
    <t xml:space="preserve">Holdco debt service (interest and scheduled amortization)</t>
  </si>
  <si>
    <t xml:space="preserve">Waterfall: opco to holdco to fund</t>
  </si>
  <si>
    <t xml:space="preserve">Opco</t>
  </si>
  <si>
    <t xml:space="preserve">CFADS (portfolio, Mesa share)</t>
  </si>
  <si>
    <t xml:space="preserve">Opco debt service (term loan, Redfern, USPP)</t>
  </si>
  <si>
    <t xml:space="preserve">Opco distributions to holdco</t>
  </si>
  <si>
    <t xml:space="preserve">Refinancing proceeds distributed by opco</t>
  </si>
  <si>
    <t xml:space="preserve">Holdco</t>
  </si>
  <si>
    <t xml:space="preserve">Holdco debt service</t>
  </si>
  <si>
    <t xml:space="preserve">Excess cash after tax and holdco debt service</t>
  </si>
  <si>
    <t xml:space="preserve">Holdco balances after scheduled amortization</t>
  </si>
  <si>
    <t xml:space="preserve">Excess cash sweep (50%, capped at balances)</t>
  </si>
  <si>
    <t xml:space="preserve">Distribution to the fund from operations (floored at zero)</t>
  </si>
  <si>
    <t xml:space="preserve">Holdco repricing net proceeds (new face x OID less tranches repaid)</t>
  </si>
  <si>
    <t xml:space="preserve">Recapitalization distribution</t>
  </si>
  <si>
    <t xml:space="preserve">Total distribution to the fund</t>
  </si>
  <si>
    <t xml:space="preserve">Ratios</t>
  </si>
  <si>
    <t xml:space="preserve">Cover ratios (shown where debt service exceeds the threshold)</t>
  </si>
  <si>
    <t xml:space="preserve">Opco term loan DSCR (A1 group CFADS)</t>
  </si>
  <si>
    <t xml:space="preserve">Redfern DSCR (R6 Mesa cash flow)</t>
  </si>
  <si>
    <t xml:space="preserve">USPP DSCR (portfolio CFADS)</t>
  </si>
  <si>
    <t xml:space="preserve">Opco aggregate DSCR</t>
  </si>
  <si>
    <t xml:space="preserve">Holdco coverage (opco distributions / holdco debt service)</t>
  </si>
  <si>
    <t xml:space="preserve">Summary</t>
  </si>
  <si>
    <t xml:space="preserve">Minimum dscr_tl, 2022-2025</t>
  </si>
  <si>
    <t xml:space="preserve">Average dscr_tl, 2022-2025</t>
  </si>
  <si>
    <t xml:space="preserve">Minimum dscr_u, 2026-2043</t>
  </si>
  <si>
    <t xml:space="preserve">Average dscr_u, 2026-2043</t>
  </si>
  <si>
    <t xml:space="preserve">Minimum dscr_rf, 2024-2029</t>
  </si>
  <si>
    <t xml:space="preserve">Average dscr_rf, 2024-2029</t>
  </si>
  <si>
    <t xml:space="preserve">Minimum hc_cov, 2023-2031</t>
  </si>
  <si>
    <t xml:space="preserve">Average hc_cov, 2023-2031</t>
  </si>
  <si>
    <t xml:space="preserve">Returns: bid valuations by risk bucket and fund returns</t>
  </si>
  <si>
    <t xml:space="preserve">Unlevered discount factors (bucket rates to 2040, terminal rate after)</t>
  </si>
  <si>
    <t xml:space="preserve">Years from valuation date (a1_date)</t>
  </si>
  <si>
    <t xml:space="preserve">Cash flow on or after valuation date</t>
  </si>
  <si>
    <t xml:space="preserve">DF contracted (v1)</t>
  </si>
  <si>
    <t xml:space="preserve">DF hedged (v1)</t>
  </si>
  <si>
    <t xml:space="preserve">DF merchant (v1)</t>
  </si>
  <si>
    <t xml:space="preserve">DF storage_merchant (v1)</t>
  </si>
  <si>
    <t xml:space="preserve">DF tax shield at contracted rate (v1)</t>
  </si>
  <si>
    <t xml:space="preserve">Years from valuation date (a2_date)</t>
  </si>
  <si>
    <t xml:space="preserve">DF contracted (v2)</t>
  </si>
  <si>
    <t xml:space="preserve">DF hedged (v2)</t>
  </si>
  <si>
    <t xml:space="preserve">DF merchant (v2)</t>
  </si>
  <si>
    <t xml:space="preserve">DF storage_merchant (v2)</t>
  </si>
  <si>
    <t xml:space="preserve">DF tax shield at contracted rate (v2)</t>
  </si>
  <si>
    <t xml:space="preserve">Years from valuation date (a3_date)</t>
  </si>
  <si>
    <t xml:space="preserve">DF contracted (v3)</t>
  </si>
  <si>
    <t xml:space="preserve">DF hedged (v3)</t>
  </si>
  <si>
    <t xml:space="preserve">DF merchant (v3)</t>
  </si>
  <si>
    <t xml:space="preserve">DF storage_merchant (v3)</t>
  </si>
  <si>
    <t xml:space="preserve">DF tax shield at contracted rate (v3)</t>
  </si>
  <si>
    <t xml:space="preserve">A1 valuation at March 22, 2022 (R-F04)</t>
  </si>
  <si>
    <t xml:space="preserve">R1 value: contracted</t>
  </si>
  <si>
    <t xml:space="preserve">R1 value: hedged</t>
  </si>
  <si>
    <t xml:space="preserve">R1 value: merchant</t>
  </si>
  <si>
    <t xml:space="preserve">R1 value: total</t>
  </si>
  <si>
    <t xml:space="preserve">R2 value: contracted</t>
  </si>
  <si>
    <t xml:space="preserve">R2 value: hedged</t>
  </si>
  <si>
    <t xml:space="preserve">R2 value: merchant</t>
  </si>
  <si>
    <t xml:space="preserve">R2 value: total</t>
  </si>
  <si>
    <t xml:space="preserve">R3 value: contracted</t>
  </si>
  <si>
    <t xml:space="preserve">R3 value: hedged</t>
  </si>
  <si>
    <t xml:space="preserve">R3 value: merchant</t>
  </si>
  <si>
    <t xml:space="preserve">R3 value: total</t>
  </si>
  <si>
    <t xml:space="preserve">R4 value: contracted</t>
  </si>
  <si>
    <t xml:space="preserve">R4 value: hedged</t>
  </si>
  <si>
    <t xml:space="preserve">R4 value: merchant</t>
  </si>
  <si>
    <t xml:space="preserve">R4 value: total</t>
  </si>
  <si>
    <t xml:space="preserve">R5 value: contracted</t>
  </si>
  <si>
    <t xml:space="preserve">R5 value: hedged</t>
  </si>
  <si>
    <t xml:space="preserve">R5 value: merchant</t>
  </si>
  <si>
    <t xml:space="preserve">R5 value: total</t>
  </si>
  <si>
    <t xml:space="preserve">Platform cost after tax</t>
  </si>
  <si>
    <t xml:space="preserve">Platform costs value: contracted</t>
  </si>
  <si>
    <t xml:space="preserve">Platform costs value: hedged</t>
  </si>
  <si>
    <t xml:space="preserve">Platform costs value: merchant</t>
  </si>
  <si>
    <t xml:space="preserve">Platform costs value: total</t>
  </si>
  <si>
    <t xml:space="preserve">A1 value by bucket: contracted</t>
  </si>
  <si>
    <t xml:space="preserve">A1 value by bucket: hedged</t>
  </si>
  <si>
    <t xml:space="preserve">A1 value by bucket: merchant</t>
  </si>
  <si>
    <t xml:space="preserve">A1 value before purchase-price tax shield</t>
  </si>
  <si>
    <t xml:space="preserve">PV of A1 tax depreciation per USD of price</t>
  </si>
  <si>
    <t xml:space="preserve">Tax shield at the price paid</t>
  </si>
  <si>
    <t xml:space="preserve">A1 enterprise value</t>
  </si>
  <si>
    <t xml:space="preserve">Value less price</t>
  </si>
  <si>
    <t xml:space="preserve">Breakeven price (closed form)</t>
  </si>
  <si>
    <t xml:space="preserve">A2 valuation at August 31, 2023 (R-F07)</t>
  </si>
  <si>
    <t xml:space="preserve">R6 value: contracted</t>
  </si>
  <si>
    <t xml:space="preserve">R6 value: hedged</t>
  </si>
  <si>
    <t xml:space="preserve">R6 value: merchant</t>
  </si>
  <si>
    <t xml:space="preserve">R6 value: total</t>
  </si>
  <si>
    <t xml:space="preserve">PV of A2 tax depreciation per USD of price</t>
  </si>
  <si>
    <t xml:space="preserve">A2 value</t>
  </si>
  <si>
    <t xml:space="preserve">Breakeven price</t>
  </si>
  <si>
    <t xml:space="preserve">A3 valuation at February 15, 2024 (R-F07)</t>
  </si>
  <si>
    <t xml:space="preserve">R7 value: contracted</t>
  </si>
  <si>
    <t xml:space="preserve">R7 value: hedged</t>
  </si>
  <si>
    <t xml:space="preserve">R7 value: merchant</t>
  </si>
  <si>
    <t xml:space="preserve">R7 value: total</t>
  </si>
  <si>
    <t xml:space="preserve">R8 value: contracted</t>
  </si>
  <si>
    <t xml:space="preserve">R8 value: hedged</t>
  </si>
  <si>
    <t xml:space="preserve">R8 value: merchant</t>
  </si>
  <si>
    <t xml:space="preserve">R8 value: total</t>
  </si>
  <si>
    <t xml:space="preserve">Years from signing to R7 COD</t>
  </si>
  <si>
    <t xml:space="preserve">Years from signing to R8 COD</t>
  </si>
  <si>
    <t xml:space="preserve">PV of ITC transfer proceeds</t>
  </si>
  <si>
    <t xml:space="preserve">Tax shield on R7 and R8 basis</t>
  </si>
  <si>
    <t xml:space="preserve">A3 value</t>
  </si>
  <si>
    <t xml:space="preserve">PV of A3 price payments</t>
  </si>
  <si>
    <t xml:space="preserve">Value less PV of price</t>
  </si>
  <si>
    <t xml:space="preserve">Fund cash flows (gross of fund fees and carry)</t>
  </si>
  <si>
    <t xml:space="preserve">Years from NAV date</t>
  </si>
  <si>
    <t xml:space="preserve">NAV discount factor (levered rates by portfolio bucket, after NAV date)</t>
  </si>
  <si>
    <t xml:space="preserve">NAV before floor</t>
  </si>
  <si>
    <t xml:space="preserve">NAV at December 31, 2025 (floored at zero)</t>
  </si>
  <si>
    <t xml:space="preserve">Fund equity contributed</t>
  </si>
  <si>
    <t xml:space="preserve">Fund distributions, life</t>
  </si>
  <si>
    <t xml:space="preserve">Fund distributions to 2025</t>
  </si>
  <si>
    <t xml:space="preserve">Lifetime multiple</t>
  </si>
  <si>
    <t xml:space="preserve">Multiple to 2025 including NAV</t>
  </si>
  <si>
    <t xml:space="preserve">Dated fund cash flows (life)</t>
  </si>
  <si>
    <t xml:space="preserve">Date</t>
  </si>
  <si>
    <t xml:space="preserve">To 2025 incl. NAV</t>
  </si>
  <si>
    <t xml:space="preserve">A1 equity</t>
  </si>
  <si>
    <t xml:space="preserve">A2 equity</t>
  </si>
  <si>
    <t xml:space="preserve">A3 equity at R8 COD (net of cash returned)</t>
  </si>
  <si>
    <t xml:space="preserve">Distribution, year 2022</t>
  </si>
  <si>
    <t xml:space="preserve">Distribution, year 2023</t>
  </si>
  <si>
    <t xml:space="preserve">Distribution, year 2024</t>
  </si>
  <si>
    <t xml:space="preserve">Distribution, year 2025</t>
  </si>
  <si>
    <t xml:space="preserve">Distribution, year 2026</t>
  </si>
  <si>
    <t xml:space="preserve">Distribution, year 2027</t>
  </si>
  <si>
    <t xml:space="preserve">Distribution, year 2028</t>
  </si>
  <si>
    <t xml:space="preserve">Distribution, year 2029</t>
  </si>
  <si>
    <t xml:space="preserve">Distribution, year 2030</t>
  </si>
  <si>
    <t xml:space="preserve">Distribution, year 2031</t>
  </si>
  <si>
    <t xml:space="preserve">Distribution, year 2032</t>
  </si>
  <si>
    <t xml:space="preserve">Distribution, year 2033</t>
  </si>
  <si>
    <t xml:space="preserve">Distribution, year 2034</t>
  </si>
  <si>
    <t xml:space="preserve">Distribution, year 2035</t>
  </si>
  <si>
    <t xml:space="preserve">Distribution, year 2036</t>
  </si>
  <si>
    <t xml:space="preserve">Distribution, year 2037</t>
  </si>
  <si>
    <t xml:space="preserve">Distribution, year 2038</t>
  </si>
  <si>
    <t xml:space="preserve">Distribution, year 2039</t>
  </si>
  <si>
    <t xml:space="preserve">Distribution, year 2040</t>
  </si>
  <si>
    <t xml:space="preserve">Distribution, year 2041</t>
  </si>
  <si>
    <t xml:space="preserve">Distribution, year 2042</t>
  </si>
  <si>
    <t xml:space="preserve">Distribution, year 2043</t>
  </si>
  <si>
    <t xml:space="preserve">Distribution, year 2044</t>
  </si>
  <si>
    <t xml:space="preserve">Distribution, year 2045</t>
  </si>
  <si>
    <t xml:space="preserve">Distribution, year 2046</t>
  </si>
  <si>
    <t xml:space="preserve">Distribution, year 2047</t>
  </si>
  <si>
    <t xml:space="preserve">Distribution, year 2048</t>
  </si>
  <si>
    <t xml:space="preserve">Distribution, year 2049</t>
  </si>
  <si>
    <t xml:space="preserve">Distribution, year 2050</t>
  </si>
  <si>
    <t xml:space="preserve">Distribution, year 2051</t>
  </si>
  <si>
    <t xml:space="preserve">Distribution, year 2052</t>
  </si>
  <si>
    <t xml:space="preserve">Distribution, year 2053</t>
  </si>
  <si>
    <t xml:space="preserve">Distribution, year 2054</t>
  </si>
  <si>
    <t xml:space="preserve">Distribution, year 2055</t>
  </si>
  <si>
    <t xml:space="preserve">Distribution, year 2056</t>
  </si>
  <si>
    <t xml:space="preserve">Distribution, year 2057</t>
  </si>
  <si>
    <t xml:space="preserve">Distribution, year 2058</t>
  </si>
  <si>
    <t xml:space="preserve">Distribution, year 2059</t>
  </si>
  <si>
    <t xml:space="preserve">Fund gross IRR, life</t>
  </si>
  <si>
    <t xml:space="preserve">Fund gross IRR to December 31, 2025 including NAV</t>
  </si>
  <si>
    <t xml:space="preserve">Checks (0 = pass)</t>
  </si>
  <si>
    <t xml:space="preserve">Opco TL sculpted balance repaid by 2040</t>
  </si>
  <si>
    <t xml:space="preserve">Redfern sculpted balance repaid by 2030</t>
  </si>
  <si>
    <t xml:space="preserve">USPP principal equals notes issued</t>
  </si>
  <si>
    <t xml:space="preserve">USPP interest plus principal equals sculpted debt service</t>
  </si>
  <si>
    <t xml:space="preserve">A1 sources equal uses</t>
  </si>
  <si>
    <t xml:space="preserve">A3 sources equal uses</t>
  </si>
  <si>
    <t xml:space="preserve">NOL never negative</t>
  </si>
  <si>
    <t xml:space="preserve">Debt balances never negative</t>
  </si>
  <si>
    <t xml:space="preserve">R6 toll term years with usable energy below the toll minimum</t>
  </si>
  <si>
    <t xml:space="preserve">Opco TL repaid when refinanced</t>
  </si>
  <si>
    <t xml:space="preserve">R1 revenue buckets sum to revenue</t>
  </si>
  <si>
    <t xml:space="preserve">R2 revenue buckets sum to revenue</t>
  </si>
  <si>
    <t xml:space="preserve">R3 revenue buckets sum to revenue</t>
  </si>
  <si>
    <t xml:space="preserve">R4 revenue buckets sum to revenue</t>
  </si>
  <si>
    <t xml:space="preserve">R5 revenue buckets sum to revenue</t>
  </si>
  <si>
    <t xml:space="preserve">R6 revenue buckets sum to revenue</t>
  </si>
  <si>
    <t xml:space="preserve">R7 revenue buckets sum to revenue</t>
  </si>
  <si>
    <t xml:space="preserve">R8 revenue buckets sum to revenue</t>
  </si>
  <si>
    <t xml:space="preserve">Total of absolute check values (0 = all pass)</t>
  </si>
  <si>
    <t xml:space="preserve">Outputs dashboard</t>
  </si>
  <si>
    <t xml:space="preserve">Selected case</t>
  </si>
  <si>
    <t xml:space="preserve">Scenario (1 base, 2 low, 3 high)</t>
  </si>
  <si>
    <t xml:space="preserve">Volume case</t>
  </si>
  <si>
    <t xml:space="preserve">Refinancing switch</t>
  </si>
  <si>
    <t xml:space="preserve">Debt sized at each transaction (base, P50, P99 test)</t>
  </si>
  <si>
    <t xml:space="preserve">Opco term loan 2022</t>
  </si>
  <si>
    <t xml:space="preserve">Holdco TLB 2022</t>
  </si>
  <si>
    <t xml:space="preserve">Redfern loan 2023</t>
  </si>
  <si>
    <t xml:space="preserve">Holdco incremental 2024</t>
  </si>
  <si>
    <t xml:space="preserve">USPP notes 2025</t>
  </si>
  <si>
    <t xml:space="preserve">Series A</t>
  </si>
  <si>
    <t xml:space="preserve">Series B</t>
  </si>
  <si>
    <t xml:space="preserve">Series C</t>
  </si>
  <si>
    <t xml:space="preserve">Blended coupon (%)</t>
  </si>
  <si>
    <t xml:space="preserve">Repriced holdco TLB 2025</t>
  </si>
  <si>
    <t xml:space="preserve">Net opco refinancing proceeds</t>
  </si>
  <si>
    <t xml:space="preserve">A3 fund equity</t>
  </si>
  <si>
    <t xml:space="preserve">Returns and valuation (selected case)</t>
  </si>
  <si>
    <t xml:space="preserve">Fund gross IRR, life (%)</t>
  </si>
  <si>
    <t xml:space="preserve">Fund gross IRR to 2025 incl. NAV (%)</t>
  </si>
  <si>
    <t xml:space="preserve">NAV at December 31, 2025</t>
  </si>
  <si>
    <t xml:space="preserve">A1 breakeven price</t>
  </si>
  <si>
    <t xml:space="preserve">Minimum USPP DSCR 2026-2043</t>
  </si>
  <si>
    <t xml:space="preserve">Average USPP DSCR 2026-2043</t>
  </si>
  <si>
    <t xml:space="preserve">Minimum opco TL DSCR 2022-2025</t>
  </si>
  <si>
    <t xml:space="preserve">Checks total (0 = pass)</t>
  </si>
  <si>
    <t xml:space="preserve">Key series</t>
  </si>
  <si>
    <t xml:space="preserve">Portfolio CFADS</t>
  </si>
  <si>
    <t xml:space="preserve">Opco debt service</t>
  </si>
  <si>
    <t xml:space="preserve">Fund distributions</t>
  </si>
  <si>
    <t xml:space="preserve">USPP DSCR</t>
  </si>
  <si>
    <t xml:space="preserve">Holdco coverage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</si>
</sst>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yyyy\-mm\-dd"/>
    <numFmt numFmtId="167" formatCode="0.000000"/>
    <numFmt numFmtId="168" formatCode="#,##0.00;\(#,##0.00\);\–"/>
    <numFmt numFmtId="169" formatCode="0.0000"/>
    <numFmt numFmtId="170" formatCode="0.000\x"/>
    <numFmt numFmtId="171" formatCode="#,##0.000;\(#,##0.000\);\–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666666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60"/>
    <col collapsed="false" customWidth="true" hidden="false" outlineLevel="0" max="3" min="3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B4" s="0" t="s">
        <v>2</v>
      </c>
    </row>
    <row r="5" customFormat="false" ht="15" hidden="false" customHeight="false" outlineLevel="0" collapsed="false">
      <c r="B5" s="0" t="s">
        <v>3</v>
      </c>
    </row>
    <row r="6" customFormat="false" ht="15" hidden="false" customHeight="false" outlineLevel="0" collapsed="false">
      <c r="B6" s="0" t="s">
        <v>4</v>
      </c>
    </row>
    <row r="7" customFormat="false" ht="15" hidden="false" customHeight="false" outlineLevel="0" collapsed="false">
      <c r="B7" s="0" t="s">
        <v>5</v>
      </c>
    </row>
    <row r="8" customFormat="false" ht="15" hidden="false" customHeight="false" outlineLevel="0" collapsed="false">
      <c r="B8" s="0" t="s">
        <v>6</v>
      </c>
    </row>
    <row r="9" customFormat="false" ht="15" hidden="false" customHeight="false" outlineLevel="0" collapsed="false">
      <c r="B9" s="0" t="s">
        <v>7</v>
      </c>
    </row>
    <row r="10" customFormat="false" ht="15" hidden="false" customHeight="false" outlineLevel="0" collapsed="false">
      <c r="B10" s="0" t="s">
        <v>8</v>
      </c>
    </row>
    <row r="11" customFormat="false" ht="15" hidden="false" customHeight="false" outlineLevel="0" collapsed="false">
      <c r="B11" s="0" t="s">
        <v>9</v>
      </c>
    </row>
    <row r="12" customFormat="false" ht="15" hidden="false" customHeight="false" outlineLevel="0" collapsed="false">
      <c r="B12" s="0" t="s">
        <v>10</v>
      </c>
    </row>
    <row r="13" customFormat="false" ht="15" hidden="false" customHeight="false" outlineLevel="0" collapsed="false">
      <c r="B13" s="0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3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15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16</v>
      </c>
      <c r="E8" s="0" t="s">
        <v>17</v>
      </c>
      <c r="F8" s="6" t="n">
        <v>1</v>
      </c>
    </row>
    <row r="9" customFormat="false" ht="15" hidden="false" customHeight="false" outlineLevel="0" collapsed="false">
      <c r="D9" s="0" t="s">
        <v>18</v>
      </c>
      <c r="E9" s="0" t="s">
        <v>17</v>
      </c>
      <c r="F9" s="6" t="n">
        <v>1</v>
      </c>
    </row>
    <row r="10" customFormat="false" ht="15" hidden="false" customHeight="false" outlineLevel="0" collapsed="false">
      <c r="D10" s="0" t="s">
        <v>19</v>
      </c>
      <c r="E10" s="0" t="s">
        <v>20</v>
      </c>
      <c r="F10" s="6" t="n">
        <v>1</v>
      </c>
    </row>
    <row r="11" customFormat="false" ht="15" hidden="false" customHeight="false" outlineLevel="0" collapsed="false">
      <c r="D11" s="0" t="s">
        <v>21</v>
      </c>
      <c r="E11" s="0" t="s">
        <v>22</v>
      </c>
      <c r="F11" s="7" t="n">
        <v>0</v>
      </c>
    </row>
    <row r="12" customFormat="false" ht="15" hidden="false" customHeight="false" outlineLevel="0" collapsed="false">
      <c r="D12" s="0" t="s">
        <v>23</v>
      </c>
      <c r="E12" s="0" t="s">
        <v>20</v>
      </c>
      <c r="F12" s="6" t="n">
        <v>0</v>
      </c>
    </row>
    <row r="13" customFormat="false" ht="15" hidden="false" customHeight="false" outlineLevel="0" collapsed="false">
      <c r="D13" s="0" t="s">
        <v>24</v>
      </c>
      <c r="E13" s="0" t="s">
        <v>25</v>
      </c>
      <c r="F13" s="7" t="n">
        <v>0</v>
      </c>
    </row>
    <row r="14" customFormat="false" ht="15" hidden="false" customHeight="false" outlineLevel="0" collapsed="false">
      <c r="D14" s="0" t="s">
        <v>26</v>
      </c>
      <c r="E14" s="0" t="s">
        <v>27</v>
      </c>
      <c r="F14" s="7" t="n">
        <v>1</v>
      </c>
    </row>
    <row r="15" customFormat="false" ht="15" hidden="false" customHeight="false" outlineLevel="0" collapsed="false">
      <c r="D15" s="0" t="s">
        <v>28</v>
      </c>
      <c r="E15" s="0" t="s">
        <v>25</v>
      </c>
      <c r="F15" s="7" t="n">
        <v>0</v>
      </c>
    </row>
    <row r="16" customFormat="false" ht="15" hidden="false" customHeight="false" outlineLevel="0" collapsed="false">
      <c r="D16" s="0" t="s">
        <v>29</v>
      </c>
      <c r="E16" s="0" t="s">
        <v>17</v>
      </c>
      <c r="F16" s="6" t="n">
        <v>1</v>
      </c>
    </row>
    <row r="17" customFormat="false" ht="15" hidden="false" customHeight="false" outlineLevel="0" collapsed="false">
      <c r="D17" s="0" t="s">
        <v>30</v>
      </c>
      <c r="E17" s="0" t="s">
        <v>17</v>
      </c>
      <c r="F17" s="6" t="n">
        <v>1</v>
      </c>
    </row>
    <row r="18" customFormat="false" ht="15" hidden="false" customHeight="false" outlineLevel="0" collapsed="false">
      <c r="D18" s="0" t="s">
        <v>31</v>
      </c>
      <c r="E18" s="0" t="s">
        <v>17</v>
      </c>
      <c r="F18" s="6" t="n">
        <v>4</v>
      </c>
    </row>
    <row r="19" customFormat="false" ht="15" hidden="false" customHeight="false" outlineLevel="0" collapsed="false">
      <c r="D19" s="0" t="s">
        <v>32</v>
      </c>
      <c r="E19" s="0" t="s">
        <v>33</v>
      </c>
      <c r="F19" s="7" t="n">
        <v>0</v>
      </c>
    </row>
    <row r="20" customFormat="false" ht="15" hidden="false" customHeight="false" outlineLevel="0" collapsed="false">
      <c r="D20" s="0" t="s">
        <v>34</v>
      </c>
      <c r="E20" s="0" t="s">
        <v>27</v>
      </c>
      <c r="F20" s="7" t="n">
        <v>1</v>
      </c>
    </row>
    <row r="22" customFormat="false" ht="15" hidden="false" customHeight="false" outlineLevel="0" collapsed="false">
      <c r="A22" s="4" t="s">
        <v>35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</row>
    <row r="23" customFormat="false" ht="15" hidden="false" customHeight="false" outlineLevel="0" collapsed="false">
      <c r="D23" s="0" t="s">
        <v>36</v>
      </c>
      <c r="E23" s="0" t="s">
        <v>37</v>
      </c>
      <c r="F23" s="6" t="n">
        <v>2022</v>
      </c>
    </row>
    <row r="24" customFormat="false" ht="15" hidden="false" customHeight="false" outlineLevel="0" collapsed="false">
      <c r="D24" s="0" t="s">
        <v>38</v>
      </c>
      <c r="E24" s="0" t="s">
        <v>37</v>
      </c>
      <c r="F24" s="6" t="n">
        <v>2022</v>
      </c>
    </row>
    <row r="25" customFormat="false" ht="15" hidden="false" customHeight="false" outlineLevel="0" collapsed="false">
      <c r="D25" s="0" t="s">
        <v>39</v>
      </c>
      <c r="E25" s="0" t="s">
        <v>40</v>
      </c>
      <c r="F25" s="7" t="n">
        <v>2.5</v>
      </c>
    </row>
    <row r="26" customFormat="false" ht="15" hidden="false" customHeight="false" outlineLevel="0" collapsed="false">
      <c r="D26" s="0" t="s">
        <v>41</v>
      </c>
      <c r="E26" s="0" t="s">
        <v>42</v>
      </c>
      <c r="F26" s="8" t="n">
        <v>58440</v>
      </c>
    </row>
    <row r="27" customFormat="false" ht="15" hidden="false" customHeight="false" outlineLevel="0" collapsed="false">
      <c r="D27" s="0" t="s">
        <v>43</v>
      </c>
      <c r="E27" s="0" t="s">
        <v>44</v>
      </c>
      <c r="F27" s="6" t="n">
        <v>365</v>
      </c>
    </row>
    <row r="28" customFormat="false" ht="15" hidden="false" customHeight="false" outlineLevel="0" collapsed="false">
      <c r="D28" s="0" t="s">
        <v>45</v>
      </c>
      <c r="E28" s="0" t="s">
        <v>33</v>
      </c>
      <c r="F28" s="7" t="n">
        <v>1000000000</v>
      </c>
    </row>
    <row r="29" customFormat="false" ht="15" hidden="false" customHeight="false" outlineLevel="0" collapsed="false">
      <c r="D29" s="0" t="s">
        <v>46</v>
      </c>
      <c r="E29" s="0" t="s">
        <v>47</v>
      </c>
      <c r="F29" s="7" t="n">
        <v>0.001</v>
      </c>
    </row>
    <row r="30" customFormat="false" ht="15" hidden="false" customHeight="false" outlineLevel="0" collapsed="false">
      <c r="D30" s="0" t="s">
        <v>48</v>
      </c>
      <c r="E30" s="0" t="s">
        <v>33</v>
      </c>
      <c r="F30" s="7" t="n">
        <v>1.2816</v>
      </c>
    </row>
    <row r="31" customFormat="false" ht="15" hidden="false" customHeight="false" outlineLevel="0" collapsed="false">
      <c r="D31" s="0" t="s">
        <v>49</v>
      </c>
      <c r="E31" s="0" t="s">
        <v>33</v>
      </c>
      <c r="F31" s="7" t="n">
        <v>2.3263</v>
      </c>
    </row>
    <row r="32" customFormat="false" ht="15" hidden="false" customHeight="false" outlineLevel="0" collapsed="false">
      <c r="D32" s="0" t="s">
        <v>50</v>
      </c>
      <c r="E32" s="0" t="s">
        <v>51</v>
      </c>
      <c r="F32" s="6" t="n">
        <v>10</v>
      </c>
    </row>
    <row r="34" customFormat="false" ht="15" hidden="false" customHeight="false" outlineLevel="0" collapsed="false">
      <c r="A34" s="4" t="s">
        <v>52</v>
      </c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</row>
    <row r="35" customFormat="false" ht="15" hidden="false" customHeight="false" outlineLevel="0" collapsed="false">
      <c r="D35" s="0" t="s">
        <v>53</v>
      </c>
      <c r="E35" s="0" t="s">
        <v>54</v>
      </c>
      <c r="F35" s="7" t="n">
        <v>0.968</v>
      </c>
    </row>
    <row r="36" customFormat="false" ht="15" hidden="false" customHeight="false" outlineLevel="0" collapsed="false">
      <c r="D36" s="0" t="s">
        <v>55</v>
      </c>
      <c r="E36" s="0" t="s">
        <v>54</v>
      </c>
      <c r="F36" s="7" t="n">
        <v>0.991</v>
      </c>
    </row>
    <row r="37" customFormat="false" ht="15" hidden="false" customHeight="false" outlineLevel="0" collapsed="false">
      <c r="D37" s="0" t="s">
        <v>56</v>
      </c>
      <c r="E37" s="0" t="s">
        <v>54</v>
      </c>
      <c r="F37" s="7" t="n">
        <v>1.012</v>
      </c>
    </row>
    <row r="38" customFormat="false" ht="15" hidden="false" customHeight="false" outlineLevel="0" collapsed="false">
      <c r="D38" s="0" t="s">
        <v>57</v>
      </c>
      <c r="E38" s="0" t="s">
        <v>58</v>
      </c>
      <c r="F38" s="7" t="n">
        <v>1.5</v>
      </c>
    </row>
    <row r="39" customFormat="false" ht="15" hidden="false" customHeight="false" outlineLevel="0" collapsed="false">
      <c r="D39" s="0" t="s">
        <v>59</v>
      </c>
      <c r="E39" s="0" t="s">
        <v>54</v>
      </c>
      <c r="F39" s="7" t="n">
        <v>-0.04</v>
      </c>
    </row>
    <row r="40" customFormat="false" ht="15" hidden="false" customHeight="false" outlineLevel="0" collapsed="false">
      <c r="D40" s="0" t="s">
        <v>60</v>
      </c>
      <c r="E40" s="0" t="s">
        <v>58</v>
      </c>
      <c r="F40" s="7" t="n">
        <v>0.5</v>
      </c>
    </row>
    <row r="41" customFormat="false" ht="15" hidden="false" customHeight="false" outlineLevel="0" collapsed="false">
      <c r="D41" s="0" t="s">
        <v>61</v>
      </c>
      <c r="E41" s="0" t="s">
        <v>54</v>
      </c>
      <c r="F41" s="7" t="n">
        <v>0.74</v>
      </c>
    </row>
    <row r="42" customFormat="false" ht="15" hidden="false" customHeight="false" outlineLevel="0" collapsed="false">
      <c r="D42" s="0" t="s">
        <v>62</v>
      </c>
      <c r="E42" s="0" t="s">
        <v>63</v>
      </c>
      <c r="F42" s="7" t="n">
        <v>0.6</v>
      </c>
    </row>
    <row r="43" customFormat="false" ht="15" hidden="false" customHeight="false" outlineLevel="0" collapsed="false">
      <c r="D43" s="0" t="s">
        <v>64</v>
      </c>
      <c r="E43" s="0" t="s">
        <v>54</v>
      </c>
      <c r="F43" s="7" t="n">
        <v>0.62</v>
      </c>
    </row>
    <row r="44" customFormat="false" ht="15" hidden="false" customHeight="false" outlineLevel="0" collapsed="false">
      <c r="D44" s="0" t="s">
        <v>65</v>
      </c>
      <c r="E44" s="0" t="s">
        <v>54</v>
      </c>
      <c r="F44" s="7" t="n">
        <v>0.04</v>
      </c>
    </row>
    <row r="45" customFormat="false" ht="15" hidden="false" customHeight="false" outlineLevel="0" collapsed="false">
      <c r="D45" s="0" t="s">
        <v>66</v>
      </c>
      <c r="E45" s="0" t="s">
        <v>54</v>
      </c>
      <c r="F45" s="7" t="n">
        <v>0.66</v>
      </c>
    </row>
    <row r="46" customFormat="false" ht="15" hidden="false" customHeight="false" outlineLevel="0" collapsed="false">
      <c r="D46" s="0" t="s">
        <v>67</v>
      </c>
      <c r="E46" s="0" t="s">
        <v>63</v>
      </c>
      <c r="F46" s="7" t="n">
        <v>0.5</v>
      </c>
    </row>
    <row r="47" customFormat="false" ht="15" hidden="false" customHeight="false" outlineLevel="0" collapsed="false">
      <c r="D47" s="0" t="s">
        <v>68</v>
      </c>
      <c r="E47" s="0" t="s">
        <v>54</v>
      </c>
      <c r="F47" s="7" t="n">
        <v>0.58</v>
      </c>
    </row>
    <row r="48" customFormat="false" ht="15" hidden="false" customHeight="false" outlineLevel="0" collapsed="false">
      <c r="D48" s="0" t="s">
        <v>69</v>
      </c>
      <c r="E48" s="0" t="s">
        <v>54</v>
      </c>
      <c r="F48" s="7" t="n">
        <v>0.07</v>
      </c>
    </row>
    <row r="49" customFormat="false" ht="15" hidden="false" customHeight="false" outlineLevel="0" collapsed="false">
      <c r="D49" s="0" t="s">
        <v>70</v>
      </c>
      <c r="E49" s="0" t="s">
        <v>54</v>
      </c>
      <c r="F49" s="7" t="n">
        <v>0.86</v>
      </c>
    </row>
    <row r="50" customFormat="false" ht="15" hidden="false" customHeight="false" outlineLevel="0" collapsed="false">
      <c r="D50" s="0" t="s">
        <v>71</v>
      </c>
      <c r="E50" s="0" t="s">
        <v>63</v>
      </c>
      <c r="F50" s="7" t="n">
        <v>2</v>
      </c>
    </row>
    <row r="51" customFormat="false" ht="15" hidden="false" customHeight="false" outlineLevel="0" collapsed="false">
      <c r="D51" s="0" t="s">
        <v>72</v>
      </c>
      <c r="E51" s="0" t="s">
        <v>54</v>
      </c>
      <c r="F51" s="7" t="n">
        <v>0.6</v>
      </c>
    </row>
    <row r="52" customFormat="false" ht="15" hidden="false" customHeight="false" outlineLevel="0" collapsed="false">
      <c r="D52" s="0" t="s">
        <v>73</v>
      </c>
      <c r="E52" s="0" t="s">
        <v>54</v>
      </c>
      <c r="F52" s="7" t="n">
        <v>0.03</v>
      </c>
    </row>
    <row r="53" customFormat="false" ht="15" hidden="false" customHeight="false" outlineLevel="0" collapsed="false">
      <c r="D53" s="0" t="s">
        <v>74</v>
      </c>
      <c r="E53" s="0" t="s">
        <v>54</v>
      </c>
      <c r="F53" s="7" t="n">
        <v>0.9</v>
      </c>
    </row>
    <row r="54" customFormat="false" ht="15" hidden="false" customHeight="false" outlineLevel="0" collapsed="false">
      <c r="D54" s="0" t="s">
        <v>75</v>
      </c>
      <c r="E54" s="0" t="s">
        <v>63</v>
      </c>
      <c r="F54" s="7" t="n">
        <v>1.8</v>
      </c>
    </row>
    <row r="55" customFormat="false" ht="15" hidden="false" customHeight="false" outlineLevel="0" collapsed="false">
      <c r="D55" s="0" t="s">
        <v>76</v>
      </c>
      <c r="E55" s="0" t="s">
        <v>54</v>
      </c>
      <c r="F55" s="7" t="n">
        <v>0.64</v>
      </c>
    </row>
    <row r="56" customFormat="false" ht="15" hidden="false" customHeight="false" outlineLevel="0" collapsed="false">
      <c r="D56" s="0" t="s">
        <v>77</v>
      </c>
      <c r="E56" s="0" t="s">
        <v>54</v>
      </c>
      <c r="F56" s="7" t="n">
        <v>0.02</v>
      </c>
    </row>
    <row r="57" customFormat="false" ht="15" hidden="false" customHeight="false" outlineLevel="0" collapsed="false">
      <c r="D57" s="0" t="s">
        <v>78</v>
      </c>
      <c r="E57" s="0" t="s">
        <v>54</v>
      </c>
      <c r="F57" s="7" t="n">
        <v>0.92</v>
      </c>
    </row>
    <row r="58" customFormat="false" ht="15" hidden="false" customHeight="false" outlineLevel="0" collapsed="false">
      <c r="D58" s="0" t="s">
        <v>79</v>
      </c>
      <c r="E58" s="0" t="s">
        <v>63</v>
      </c>
      <c r="F58" s="7" t="n">
        <v>0.3</v>
      </c>
    </row>
    <row r="59" customFormat="false" ht="15" hidden="false" customHeight="false" outlineLevel="0" collapsed="false">
      <c r="D59" s="0" t="s">
        <v>80</v>
      </c>
      <c r="E59" s="0" t="s">
        <v>54</v>
      </c>
      <c r="F59" s="7" t="n">
        <v>0.85</v>
      </c>
    </row>
    <row r="60" customFormat="false" ht="15" hidden="false" customHeight="false" outlineLevel="0" collapsed="false">
      <c r="D60" s="0" t="s">
        <v>81</v>
      </c>
      <c r="E60" s="0" t="s">
        <v>54</v>
      </c>
      <c r="F60" s="7" t="n">
        <v>0.01</v>
      </c>
    </row>
    <row r="61" customFormat="false" ht="15" hidden="false" customHeight="false" outlineLevel="0" collapsed="false">
      <c r="D61" s="0" t="s">
        <v>82</v>
      </c>
      <c r="E61" s="0" t="s">
        <v>37</v>
      </c>
      <c r="F61" s="6" t="n">
        <v>2025</v>
      </c>
    </row>
    <row r="62" customFormat="false" ht="15" hidden="false" customHeight="false" outlineLevel="0" collapsed="false">
      <c r="D62" s="0" t="s">
        <v>83</v>
      </c>
      <c r="E62" s="0" t="s">
        <v>84</v>
      </c>
      <c r="F62" s="7" t="n">
        <v>4.5</v>
      </c>
    </row>
    <row r="63" customFormat="false" ht="15" hidden="false" customHeight="false" outlineLevel="0" collapsed="false">
      <c r="D63" s="0" t="s">
        <v>85</v>
      </c>
      <c r="E63" s="0" t="s">
        <v>84</v>
      </c>
      <c r="F63" s="7" t="n">
        <v>6</v>
      </c>
    </row>
    <row r="64" customFormat="false" ht="15" hidden="false" customHeight="false" outlineLevel="0" collapsed="false">
      <c r="D64" s="0" t="s">
        <v>86</v>
      </c>
      <c r="E64" s="0" t="s">
        <v>84</v>
      </c>
      <c r="F64" s="7" t="n">
        <v>5.2</v>
      </c>
    </row>
    <row r="65" customFormat="false" ht="15" hidden="false" customHeight="false" outlineLevel="0" collapsed="false">
      <c r="D65" s="0" t="s">
        <v>87</v>
      </c>
      <c r="E65" s="0" t="s">
        <v>84</v>
      </c>
      <c r="F65" s="7" t="n">
        <v>7</v>
      </c>
    </row>
    <row r="66" customFormat="false" ht="15" hidden="false" customHeight="false" outlineLevel="0" collapsed="false">
      <c r="D66" s="0" t="s">
        <v>88</v>
      </c>
      <c r="E66" s="0" t="s">
        <v>84</v>
      </c>
      <c r="F66" s="7" t="n">
        <v>2</v>
      </c>
    </row>
    <row r="67" customFormat="false" ht="15" hidden="false" customHeight="false" outlineLevel="0" collapsed="false">
      <c r="D67" s="0" t="s">
        <v>89</v>
      </c>
      <c r="E67" s="0" t="s">
        <v>84</v>
      </c>
      <c r="F67" s="7" t="n">
        <v>3.5</v>
      </c>
    </row>
    <row r="68" customFormat="false" ht="15" hidden="false" customHeight="false" outlineLevel="0" collapsed="false">
      <c r="D68" s="0" t="s">
        <v>90</v>
      </c>
      <c r="E68" s="0" t="s">
        <v>84</v>
      </c>
      <c r="F68" s="7" t="n">
        <v>1.8</v>
      </c>
    </row>
    <row r="69" customFormat="false" ht="15" hidden="false" customHeight="false" outlineLevel="0" collapsed="false">
      <c r="D69" s="0" t="s">
        <v>91</v>
      </c>
      <c r="E69" s="0" t="s">
        <v>84</v>
      </c>
      <c r="F69" s="7" t="n">
        <v>1.8</v>
      </c>
    </row>
    <row r="70" customFormat="false" ht="15" hidden="false" customHeight="false" outlineLevel="0" collapsed="false">
      <c r="D70" s="0" t="s">
        <v>92</v>
      </c>
      <c r="E70" s="0" t="s">
        <v>84</v>
      </c>
      <c r="F70" s="7" t="n">
        <v>1.5</v>
      </c>
    </row>
    <row r="71" customFormat="false" ht="15" hidden="false" customHeight="false" outlineLevel="0" collapsed="false">
      <c r="D71" s="0" t="s">
        <v>93</v>
      </c>
      <c r="E71" s="0" t="s">
        <v>84</v>
      </c>
      <c r="F71" s="7" t="n">
        <v>1.5</v>
      </c>
    </row>
    <row r="73" customFormat="false" ht="15" hidden="false" customHeight="false" outlineLevel="0" collapsed="false">
      <c r="A73" s="4" t="s">
        <v>94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</row>
    <row r="74" customFormat="false" ht="15" hidden="false" customHeight="false" outlineLevel="0" collapsed="false">
      <c r="D74" s="0" t="s">
        <v>95</v>
      </c>
      <c r="E74" s="0" t="s">
        <v>96</v>
      </c>
      <c r="J74" s="9" t="n">
        <v>74.6</v>
      </c>
      <c r="K74" s="9" t="n">
        <v>61.2</v>
      </c>
      <c r="L74" s="9" t="n">
        <v>30.1</v>
      </c>
      <c r="M74" s="9" t="n">
        <v>39.8</v>
      </c>
      <c r="N74" s="9" t="n">
        <v>44.6</v>
      </c>
      <c r="O74" s="9" t="n">
        <v>47.3</v>
      </c>
      <c r="P74" s="9" t="n">
        <v>49.1</v>
      </c>
      <c r="Q74" s="9" t="n">
        <v>50.4</v>
      </c>
      <c r="R74" s="9" t="n">
        <v>51.8</v>
      </c>
      <c r="S74" s="9" t="n">
        <v>52.84</v>
      </c>
      <c r="T74" s="9" t="n">
        <v>53.9</v>
      </c>
      <c r="U74" s="9" t="n">
        <v>54.98</v>
      </c>
      <c r="V74" s="9" t="n">
        <v>56.08</v>
      </c>
      <c r="W74" s="9" t="n">
        <v>57.2</v>
      </c>
      <c r="X74" s="9" t="n">
        <v>58.34</v>
      </c>
      <c r="Y74" s="9" t="n">
        <v>59.51</v>
      </c>
      <c r="Z74" s="9" t="n">
        <v>60.7</v>
      </c>
      <c r="AA74" s="9" t="n">
        <v>61.91</v>
      </c>
      <c r="AB74" s="9" t="n">
        <v>63.15</v>
      </c>
      <c r="AC74" s="9" t="n">
        <v>64.41</v>
      </c>
      <c r="AD74" s="9" t="n">
        <v>65.7</v>
      </c>
      <c r="AE74" s="9" t="n">
        <v>67.01</v>
      </c>
      <c r="AF74" s="9" t="n">
        <v>68.35</v>
      </c>
      <c r="AG74" s="9" t="n">
        <v>69.72</v>
      </c>
      <c r="AH74" s="9" t="n">
        <v>71.11</v>
      </c>
      <c r="AI74" s="9" t="n">
        <v>72.53</v>
      </c>
      <c r="AJ74" s="9" t="n">
        <v>73.98</v>
      </c>
      <c r="AK74" s="9" t="n">
        <v>75.46</v>
      </c>
      <c r="AL74" s="9" t="n">
        <v>76.97</v>
      </c>
      <c r="AM74" s="9" t="n">
        <v>78.51</v>
      </c>
      <c r="AN74" s="9" t="n">
        <v>80.08</v>
      </c>
      <c r="AO74" s="9" t="n">
        <v>81.68</v>
      </c>
      <c r="AP74" s="9" t="n">
        <v>83.31</v>
      </c>
      <c r="AQ74" s="9" t="n">
        <v>84.98</v>
      </c>
      <c r="AR74" s="9" t="n">
        <v>86.68</v>
      </c>
      <c r="AS74" s="9" t="n">
        <v>88.41</v>
      </c>
      <c r="AT74" s="9" t="n">
        <v>90.18</v>
      </c>
      <c r="AU74" s="9" t="n">
        <v>91.98</v>
      </c>
    </row>
    <row r="75" customFormat="false" ht="15" hidden="false" customHeight="false" outlineLevel="0" collapsed="false">
      <c r="D75" s="0" t="s">
        <v>97</v>
      </c>
      <c r="E75" s="0" t="s">
        <v>96</v>
      </c>
      <c r="J75" s="9" t="n">
        <v>74.6</v>
      </c>
      <c r="K75" s="9" t="n">
        <v>61.2</v>
      </c>
      <c r="L75" s="9" t="n">
        <v>30.1</v>
      </c>
      <c r="M75" s="9" t="n">
        <v>39.8</v>
      </c>
      <c r="N75" s="9" t="n">
        <v>35.2</v>
      </c>
      <c r="O75" s="9" t="n">
        <v>36.4</v>
      </c>
      <c r="P75" s="9" t="n">
        <v>37.3</v>
      </c>
      <c r="Q75" s="9" t="n">
        <v>38</v>
      </c>
      <c r="R75" s="9" t="n">
        <v>38.6</v>
      </c>
      <c r="S75" s="9" t="n">
        <v>38.99</v>
      </c>
      <c r="T75" s="9" t="n">
        <v>39.38</v>
      </c>
      <c r="U75" s="9" t="n">
        <v>39.77</v>
      </c>
      <c r="V75" s="9" t="n">
        <v>40.17</v>
      </c>
      <c r="W75" s="9" t="n">
        <v>40.57</v>
      </c>
      <c r="X75" s="9" t="n">
        <v>40.98</v>
      </c>
      <c r="Y75" s="9" t="n">
        <v>41.39</v>
      </c>
      <c r="Z75" s="9" t="n">
        <v>41.8</v>
      </c>
      <c r="AA75" s="9" t="n">
        <v>42.22</v>
      </c>
      <c r="AB75" s="9" t="n">
        <v>42.64</v>
      </c>
      <c r="AC75" s="9" t="n">
        <v>43.07</v>
      </c>
      <c r="AD75" s="9" t="n">
        <v>43.5</v>
      </c>
      <c r="AE75" s="9" t="n">
        <v>43.94</v>
      </c>
      <c r="AF75" s="9" t="n">
        <v>44.38</v>
      </c>
      <c r="AG75" s="9" t="n">
        <v>44.82</v>
      </c>
      <c r="AH75" s="9" t="n">
        <v>45.27</v>
      </c>
      <c r="AI75" s="9" t="n">
        <v>45.72</v>
      </c>
      <c r="AJ75" s="9" t="n">
        <v>46.18</v>
      </c>
      <c r="AK75" s="9" t="n">
        <v>46.64</v>
      </c>
      <c r="AL75" s="9" t="n">
        <v>47.11</v>
      </c>
      <c r="AM75" s="9" t="n">
        <v>47.58</v>
      </c>
      <c r="AN75" s="9" t="n">
        <v>48.06</v>
      </c>
      <c r="AO75" s="9" t="n">
        <v>48.54</v>
      </c>
      <c r="AP75" s="9" t="n">
        <v>49.03</v>
      </c>
      <c r="AQ75" s="9" t="n">
        <v>49.52</v>
      </c>
      <c r="AR75" s="9" t="n">
        <v>50.02</v>
      </c>
      <c r="AS75" s="9" t="n">
        <v>50.52</v>
      </c>
      <c r="AT75" s="9" t="n">
        <v>51.03</v>
      </c>
      <c r="AU75" s="9" t="n">
        <v>51.54</v>
      </c>
    </row>
    <row r="76" customFormat="false" ht="15" hidden="false" customHeight="false" outlineLevel="0" collapsed="false">
      <c r="D76" s="0" t="s">
        <v>98</v>
      </c>
      <c r="E76" s="0" t="s">
        <v>96</v>
      </c>
      <c r="J76" s="9" t="n">
        <v>74.6</v>
      </c>
      <c r="K76" s="9" t="n">
        <v>61.2</v>
      </c>
      <c r="L76" s="9" t="n">
        <v>30.1</v>
      </c>
      <c r="M76" s="9" t="n">
        <v>39.8</v>
      </c>
      <c r="N76" s="9" t="n">
        <v>56.3</v>
      </c>
      <c r="O76" s="9" t="n">
        <v>60.4</v>
      </c>
      <c r="P76" s="9" t="n">
        <v>63.2</v>
      </c>
      <c r="Q76" s="9" t="n">
        <v>65.1</v>
      </c>
      <c r="R76" s="9" t="n">
        <v>66.9</v>
      </c>
      <c r="S76" s="9" t="n">
        <v>68.77</v>
      </c>
      <c r="T76" s="9" t="n">
        <v>70.7</v>
      </c>
      <c r="U76" s="9" t="n">
        <v>72.68</v>
      </c>
      <c r="V76" s="9" t="n">
        <v>74.72</v>
      </c>
      <c r="W76" s="9" t="n">
        <v>76.81</v>
      </c>
      <c r="X76" s="9" t="n">
        <v>78.96</v>
      </c>
      <c r="Y76" s="9" t="n">
        <v>81.17</v>
      </c>
      <c r="Z76" s="9" t="n">
        <v>83.44</v>
      </c>
      <c r="AA76" s="9" t="n">
        <v>85.78</v>
      </c>
      <c r="AB76" s="9" t="n">
        <v>88.18</v>
      </c>
      <c r="AC76" s="9" t="n">
        <v>90.65</v>
      </c>
      <c r="AD76" s="9" t="n">
        <v>93.19</v>
      </c>
      <c r="AE76" s="9" t="n">
        <v>95.8</v>
      </c>
      <c r="AF76" s="9" t="n">
        <v>98.48</v>
      </c>
      <c r="AG76" s="9" t="n">
        <v>101.24</v>
      </c>
      <c r="AH76" s="9" t="n">
        <v>104.07</v>
      </c>
      <c r="AI76" s="9" t="n">
        <v>106.98</v>
      </c>
      <c r="AJ76" s="9" t="n">
        <v>109.98</v>
      </c>
      <c r="AK76" s="9" t="n">
        <v>113.06</v>
      </c>
      <c r="AL76" s="9" t="n">
        <v>116.23</v>
      </c>
      <c r="AM76" s="9" t="n">
        <v>119.48</v>
      </c>
      <c r="AN76" s="9" t="n">
        <v>122.83</v>
      </c>
      <c r="AO76" s="9" t="n">
        <v>126.27</v>
      </c>
      <c r="AP76" s="9" t="n">
        <v>129.81</v>
      </c>
      <c r="AQ76" s="9" t="n">
        <v>133.44</v>
      </c>
      <c r="AR76" s="9" t="n">
        <v>137.18</v>
      </c>
      <c r="AS76" s="9" t="n">
        <v>141.02</v>
      </c>
      <c r="AT76" s="9" t="n">
        <v>144.97</v>
      </c>
      <c r="AU76" s="9" t="n">
        <v>149.03</v>
      </c>
    </row>
    <row r="77" customFormat="false" ht="15" hidden="false" customHeight="false" outlineLevel="0" collapsed="false">
      <c r="D77" s="0" t="s">
        <v>99</v>
      </c>
      <c r="E77" s="0" t="s">
        <v>100</v>
      </c>
      <c r="J77" s="9" t="n">
        <v>0</v>
      </c>
      <c r="K77" s="9" t="n">
        <v>142.5</v>
      </c>
      <c r="L77" s="9" t="n">
        <v>61.8</v>
      </c>
      <c r="M77" s="9" t="n">
        <v>52.4</v>
      </c>
      <c r="N77" s="9" t="n">
        <v>57.9</v>
      </c>
      <c r="O77" s="9" t="n">
        <v>58.77</v>
      </c>
      <c r="P77" s="9" t="n">
        <v>59.65</v>
      </c>
      <c r="Q77" s="9" t="n">
        <v>60.54</v>
      </c>
      <c r="R77" s="9" t="n">
        <v>61.45</v>
      </c>
      <c r="S77" s="9" t="n">
        <v>62.37</v>
      </c>
      <c r="T77" s="9" t="n">
        <v>63.31</v>
      </c>
      <c r="U77" s="9" t="n">
        <v>64.26</v>
      </c>
      <c r="V77" s="9" t="n">
        <v>65.22</v>
      </c>
      <c r="W77" s="9" t="n">
        <v>66.2</v>
      </c>
      <c r="X77" s="9" t="n">
        <v>67.19</v>
      </c>
      <c r="Y77" s="9" t="n">
        <v>68.2</v>
      </c>
      <c r="Z77" s="9" t="n">
        <v>69.22</v>
      </c>
      <c r="AA77" s="9" t="n">
        <v>70.26</v>
      </c>
      <c r="AB77" s="9" t="n">
        <v>71.31</v>
      </c>
      <c r="AC77" s="9" t="n">
        <v>72.38</v>
      </c>
      <c r="AD77" s="9" t="n">
        <v>73.47</v>
      </c>
      <c r="AE77" s="9" t="n">
        <v>74.57</v>
      </c>
      <c r="AF77" s="9" t="n">
        <v>75.69</v>
      </c>
      <c r="AG77" s="9" t="n">
        <v>76.83</v>
      </c>
      <c r="AH77" s="9" t="n">
        <v>77.98</v>
      </c>
      <c r="AI77" s="9" t="n">
        <v>79.15</v>
      </c>
      <c r="AJ77" s="9" t="n">
        <v>80.34</v>
      </c>
      <c r="AK77" s="9" t="n">
        <v>81.55</v>
      </c>
      <c r="AL77" s="9" t="n">
        <v>82.77</v>
      </c>
      <c r="AM77" s="9" t="n">
        <v>84.01</v>
      </c>
      <c r="AN77" s="9" t="n">
        <v>85.27</v>
      </c>
      <c r="AO77" s="9" t="n">
        <v>86.55</v>
      </c>
      <c r="AP77" s="9" t="n">
        <v>87.85</v>
      </c>
      <c r="AQ77" s="9" t="n">
        <v>89.17</v>
      </c>
      <c r="AR77" s="9" t="n">
        <v>90.51</v>
      </c>
      <c r="AS77" s="9" t="n">
        <v>91.87</v>
      </c>
      <c r="AT77" s="9" t="n">
        <v>93.25</v>
      </c>
      <c r="AU77" s="9" t="n">
        <v>94.65</v>
      </c>
    </row>
    <row r="78" customFormat="false" ht="15" hidden="false" customHeight="false" outlineLevel="0" collapsed="false">
      <c r="D78" s="0" t="s">
        <v>101</v>
      </c>
      <c r="E78" s="0" t="s">
        <v>100</v>
      </c>
      <c r="J78" s="9" t="n">
        <v>0</v>
      </c>
      <c r="K78" s="9" t="n">
        <v>142.5</v>
      </c>
      <c r="L78" s="9" t="n">
        <v>61.8</v>
      </c>
      <c r="M78" s="9" t="n">
        <v>52.4</v>
      </c>
      <c r="N78" s="9" t="n">
        <v>39</v>
      </c>
      <c r="O78" s="9" t="n">
        <v>39.19</v>
      </c>
      <c r="P78" s="9" t="n">
        <v>39.39</v>
      </c>
      <c r="Q78" s="9" t="n">
        <v>39.59</v>
      </c>
      <c r="R78" s="9" t="n">
        <v>39.79</v>
      </c>
      <c r="S78" s="9" t="n">
        <v>39.99</v>
      </c>
      <c r="T78" s="9" t="n">
        <v>40.19</v>
      </c>
      <c r="U78" s="9" t="n">
        <v>40.39</v>
      </c>
      <c r="V78" s="9" t="n">
        <v>40.59</v>
      </c>
      <c r="W78" s="9" t="n">
        <v>40.79</v>
      </c>
      <c r="X78" s="9" t="n">
        <v>40.99</v>
      </c>
      <c r="Y78" s="9" t="n">
        <v>41.19</v>
      </c>
      <c r="Z78" s="9" t="n">
        <v>41.4</v>
      </c>
      <c r="AA78" s="9" t="n">
        <v>41.61</v>
      </c>
      <c r="AB78" s="9" t="n">
        <v>41.82</v>
      </c>
      <c r="AC78" s="9" t="n">
        <v>42.03</v>
      </c>
      <c r="AD78" s="9" t="n">
        <v>42.24</v>
      </c>
      <c r="AE78" s="9" t="n">
        <v>42.45</v>
      </c>
      <c r="AF78" s="9" t="n">
        <v>42.66</v>
      </c>
      <c r="AG78" s="9" t="n">
        <v>42.87</v>
      </c>
      <c r="AH78" s="9" t="n">
        <v>43.08</v>
      </c>
      <c r="AI78" s="9" t="n">
        <v>43.3</v>
      </c>
      <c r="AJ78" s="9" t="n">
        <v>43.52</v>
      </c>
      <c r="AK78" s="9" t="n">
        <v>43.74</v>
      </c>
      <c r="AL78" s="9" t="n">
        <v>43.96</v>
      </c>
      <c r="AM78" s="9" t="n">
        <v>44.18</v>
      </c>
      <c r="AN78" s="9" t="n">
        <v>44.4</v>
      </c>
      <c r="AO78" s="9" t="n">
        <v>44.62</v>
      </c>
      <c r="AP78" s="9" t="n">
        <v>44.84</v>
      </c>
      <c r="AQ78" s="9" t="n">
        <v>45.06</v>
      </c>
      <c r="AR78" s="9" t="n">
        <v>45.29</v>
      </c>
      <c r="AS78" s="9" t="n">
        <v>45.52</v>
      </c>
      <c r="AT78" s="9" t="n">
        <v>45.75</v>
      </c>
      <c r="AU78" s="9" t="n">
        <v>45.98</v>
      </c>
    </row>
    <row r="79" customFormat="false" ht="15" hidden="false" customHeight="false" outlineLevel="0" collapsed="false">
      <c r="D79" s="0" t="s">
        <v>102</v>
      </c>
      <c r="E79" s="0" t="s">
        <v>100</v>
      </c>
      <c r="J79" s="9" t="n">
        <v>0</v>
      </c>
      <c r="K79" s="9" t="n">
        <v>142.5</v>
      </c>
      <c r="L79" s="9" t="n">
        <v>61.8</v>
      </c>
      <c r="M79" s="9" t="n">
        <v>52.4</v>
      </c>
      <c r="N79" s="9" t="n">
        <v>84.5</v>
      </c>
      <c r="O79" s="9" t="n">
        <v>86.61</v>
      </c>
      <c r="P79" s="9" t="n">
        <v>88.78</v>
      </c>
      <c r="Q79" s="9" t="n">
        <v>91</v>
      </c>
      <c r="R79" s="9" t="n">
        <v>93.27</v>
      </c>
      <c r="S79" s="9" t="n">
        <v>95.6</v>
      </c>
      <c r="T79" s="9" t="n">
        <v>97.99</v>
      </c>
      <c r="U79" s="9" t="n">
        <v>100.44</v>
      </c>
      <c r="V79" s="9" t="n">
        <v>102.95</v>
      </c>
      <c r="W79" s="9" t="n">
        <v>105.52</v>
      </c>
      <c r="X79" s="9" t="n">
        <v>108.16</v>
      </c>
      <c r="Y79" s="9" t="n">
        <v>110.86</v>
      </c>
      <c r="Z79" s="9" t="n">
        <v>113.63</v>
      </c>
      <c r="AA79" s="9" t="n">
        <v>116.47</v>
      </c>
      <c r="AB79" s="9" t="n">
        <v>119.38</v>
      </c>
      <c r="AC79" s="9" t="n">
        <v>122.36</v>
      </c>
      <c r="AD79" s="9" t="n">
        <v>125.42</v>
      </c>
      <c r="AE79" s="9" t="n">
        <v>128.56</v>
      </c>
      <c r="AF79" s="9" t="n">
        <v>131.77</v>
      </c>
      <c r="AG79" s="9" t="n">
        <v>135.06</v>
      </c>
      <c r="AH79" s="9" t="n">
        <v>138.44</v>
      </c>
      <c r="AI79" s="9" t="n">
        <v>141.9</v>
      </c>
      <c r="AJ79" s="9" t="n">
        <v>145.45</v>
      </c>
      <c r="AK79" s="9" t="n">
        <v>149.09</v>
      </c>
      <c r="AL79" s="9" t="n">
        <v>152.82</v>
      </c>
      <c r="AM79" s="9" t="n">
        <v>156.64</v>
      </c>
      <c r="AN79" s="9" t="n">
        <v>160.56</v>
      </c>
      <c r="AO79" s="9" t="n">
        <v>164.57</v>
      </c>
      <c r="AP79" s="9" t="n">
        <v>168.68</v>
      </c>
      <c r="AQ79" s="9" t="n">
        <v>172.9</v>
      </c>
      <c r="AR79" s="9" t="n">
        <v>177.22</v>
      </c>
      <c r="AS79" s="9" t="n">
        <v>181.65</v>
      </c>
      <c r="AT79" s="9" t="n">
        <v>186.19</v>
      </c>
      <c r="AU79" s="9" t="n">
        <v>190.84</v>
      </c>
    </row>
    <row r="80" customFormat="false" ht="15" hidden="false" customHeight="false" outlineLevel="0" collapsed="false">
      <c r="D80" s="0" t="s">
        <v>103</v>
      </c>
      <c r="E80" s="0" t="s">
        <v>84</v>
      </c>
      <c r="J80" s="10" t="n">
        <v>2.04</v>
      </c>
      <c r="K80" s="10" t="n">
        <v>5.17</v>
      </c>
      <c r="L80" s="10" t="n">
        <v>5.16</v>
      </c>
      <c r="M80" s="10" t="n">
        <v>4.27</v>
      </c>
      <c r="N80" s="10" t="n">
        <v>3.66</v>
      </c>
      <c r="O80" s="10" t="n">
        <v>3.45</v>
      </c>
      <c r="P80" s="10" t="n">
        <v>3.5</v>
      </c>
      <c r="Q80" s="10" t="n">
        <v>3.5</v>
      </c>
      <c r="R80" s="10" t="n">
        <v>3.5</v>
      </c>
      <c r="S80" s="10" t="n">
        <v>3.5</v>
      </c>
      <c r="T80" s="10" t="n">
        <v>3.5</v>
      </c>
      <c r="U80" s="10" t="n">
        <v>3.5</v>
      </c>
      <c r="V80" s="10" t="n">
        <v>3.5</v>
      </c>
      <c r="W80" s="10" t="n">
        <v>3.5</v>
      </c>
      <c r="X80" s="10" t="n">
        <v>3.5</v>
      </c>
      <c r="Y80" s="10" t="n">
        <v>3.5</v>
      </c>
      <c r="Z80" s="10" t="n">
        <v>3.5</v>
      </c>
      <c r="AA80" s="10" t="n">
        <v>3.5</v>
      </c>
      <c r="AB80" s="10" t="n">
        <v>3.5</v>
      </c>
      <c r="AC80" s="10" t="n">
        <v>3.5</v>
      </c>
      <c r="AD80" s="10" t="n">
        <v>3.5</v>
      </c>
      <c r="AE80" s="10" t="n">
        <v>3.5</v>
      </c>
      <c r="AF80" s="10" t="n">
        <v>3.5</v>
      </c>
      <c r="AG80" s="10" t="n">
        <v>3.5</v>
      </c>
      <c r="AH80" s="10" t="n">
        <v>3.5</v>
      </c>
      <c r="AI80" s="10" t="n">
        <v>3.5</v>
      </c>
      <c r="AJ80" s="10" t="n">
        <v>3.5</v>
      </c>
      <c r="AK80" s="10" t="n">
        <v>3.5</v>
      </c>
      <c r="AL80" s="10" t="n">
        <v>3.5</v>
      </c>
      <c r="AM80" s="10" t="n">
        <v>3.5</v>
      </c>
      <c r="AN80" s="10" t="n">
        <v>3.5</v>
      </c>
      <c r="AO80" s="10" t="n">
        <v>3.5</v>
      </c>
      <c r="AP80" s="10" t="n">
        <v>3.5</v>
      </c>
      <c r="AQ80" s="10" t="n">
        <v>3.5</v>
      </c>
      <c r="AR80" s="10" t="n">
        <v>3.5</v>
      </c>
      <c r="AS80" s="10" t="n">
        <v>3.5</v>
      </c>
      <c r="AT80" s="10" t="n">
        <v>3.5</v>
      </c>
      <c r="AU80" s="10" t="n">
        <v>3.5</v>
      </c>
    </row>
    <row r="81" customFormat="false" ht="15" hidden="false" customHeight="false" outlineLevel="0" collapsed="false">
      <c r="D81" s="0" t="s">
        <v>104</v>
      </c>
      <c r="E81" s="0" t="s">
        <v>96</v>
      </c>
      <c r="J81" s="9" t="n">
        <v>26</v>
      </c>
      <c r="K81" s="9" t="n">
        <v>27.5</v>
      </c>
      <c r="L81" s="9" t="n">
        <v>30</v>
      </c>
      <c r="M81" s="9" t="n">
        <v>30</v>
      </c>
      <c r="N81" s="9" t="n">
        <v>30</v>
      </c>
      <c r="O81" s="9" t="n">
        <v>30</v>
      </c>
      <c r="P81" s="9" t="n">
        <v>30</v>
      </c>
      <c r="Q81" s="9" t="n">
        <v>30</v>
      </c>
      <c r="R81" s="9" t="n">
        <v>30</v>
      </c>
      <c r="S81" s="9" t="n">
        <v>30</v>
      </c>
      <c r="T81" s="9" t="n">
        <v>30</v>
      </c>
      <c r="U81" s="9" t="n">
        <v>30</v>
      </c>
      <c r="V81" s="9" t="n">
        <v>30</v>
      </c>
      <c r="W81" s="9" t="n">
        <v>30</v>
      </c>
      <c r="X81" s="9" t="n">
        <v>30</v>
      </c>
      <c r="Y81" s="9" t="n">
        <v>30</v>
      </c>
      <c r="Z81" s="9" t="n">
        <v>30</v>
      </c>
      <c r="AA81" s="9" t="n">
        <v>30</v>
      </c>
      <c r="AB81" s="9" t="n">
        <v>30</v>
      </c>
      <c r="AC81" s="9" t="n">
        <v>30</v>
      </c>
      <c r="AD81" s="9" t="n">
        <v>30</v>
      </c>
      <c r="AE81" s="9" t="n">
        <v>30</v>
      </c>
      <c r="AF81" s="9" t="n">
        <v>30</v>
      </c>
      <c r="AG81" s="9" t="n">
        <v>30</v>
      </c>
      <c r="AH81" s="9" t="n">
        <v>30</v>
      </c>
      <c r="AI81" s="9" t="n">
        <v>30</v>
      </c>
      <c r="AJ81" s="9" t="n">
        <v>30</v>
      </c>
      <c r="AK81" s="9" t="n">
        <v>30</v>
      </c>
      <c r="AL81" s="9" t="n">
        <v>30</v>
      </c>
      <c r="AM81" s="9" t="n">
        <v>30</v>
      </c>
      <c r="AN81" s="9" t="n">
        <v>30</v>
      </c>
      <c r="AO81" s="9" t="n">
        <v>30</v>
      </c>
      <c r="AP81" s="9" t="n">
        <v>30</v>
      </c>
      <c r="AQ81" s="9" t="n">
        <v>30</v>
      </c>
      <c r="AR81" s="9" t="n">
        <v>30</v>
      </c>
      <c r="AS81" s="9" t="n">
        <v>30</v>
      </c>
      <c r="AT81" s="9" t="n">
        <v>30</v>
      </c>
      <c r="AU81" s="9" t="n">
        <v>30</v>
      </c>
    </row>
    <row r="82" customFormat="false" ht="15" hidden="false" customHeight="false" outlineLevel="0" collapsed="false">
      <c r="D82" s="0" t="s">
        <v>105</v>
      </c>
      <c r="E82" s="0" t="s">
        <v>27</v>
      </c>
      <c r="J82" s="7" t="n">
        <v>0.2</v>
      </c>
      <c r="K82" s="7" t="n">
        <v>0.32</v>
      </c>
      <c r="L82" s="7" t="n">
        <v>0.192</v>
      </c>
      <c r="M82" s="7" t="n">
        <v>0.1152</v>
      </c>
      <c r="N82" s="7" t="n">
        <v>0.1152</v>
      </c>
      <c r="O82" s="7" t="n">
        <v>0.0576</v>
      </c>
      <c r="P82" s="7" t="n">
        <v>0</v>
      </c>
      <c r="Q82" s="7" t="n">
        <v>0</v>
      </c>
      <c r="R82" s="7" t="n">
        <v>0</v>
      </c>
      <c r="S82" s="7" t="n">
        <v>0</v>
      </c>
      <c r="T82" s="7" t="n">
        <v>0</v>
      </c>
      <c r="U82" s="7" t="n">
        <v>0</v>
      </c>
      <c r="V82" s="7" t="n">
        <v>0</v>
      </c>
      <c r="W82" s="7" t="n">
        <v>0</v>
      </c>
      <c r="X82" s="7" t="n">
        <v>0</v>
      </c>
      <c r="Y82" s="7" t="n">
        <v>0</v>
      </c>
      <c r="Z82" s="7" t="n">
        <v>0</v>
      </c>
      <c r="AA82" s="7" t="n">
        <v>0</v>
      </c>
      <c r="AB82" s="7" t="n">
        <v>0</v>
      </c>
      <c r="AC82" s="7" t="n">
        <v>0</v>
      </c>
      <c r="AD82" s="7" t="n">
        <v>0</v>
      </c>
      <c r="AE82" s="7" t="n">
        <v>0</v>
      </c>
      <c r="AF82" s="7" t="n">
        <v>0</v>
      </c>
      <c r="AG82" s="7" t="n">
        <v>0</v>
      </c>
      <c r="AH82" s="7" t="n">
        <v>0</v>
      </c>
      <c r="AI82" s="7" t="n">
        <v>0</v>
      </c>
      <c r="AJ82" s="7" t="n">
        <v>0</v>
      </c>
      <c r="AK82" s="7" t="n">
        <v>0</v>
      </c>
      <c r="AL82" s="7" t="n">
        <v>0</v>
      </c>
      <c r="AM82" s="7" t="n">
        <v>0</v>
      </c>
      <c r="AN82" s="7" t="n">
        <v>0</v>
      </c>
      <c r="AO82" s="7" t="n">
        <v>0</v>
      </c>
      <c r="AP82" s="7" t="n">
        <v>0</v>
      </c>
      <c r="AQ82" s="7" t="n">
        <v>0</v>
      </c>
      <c r="AR82" s="7" t="n">
        <v>0</v>
      </c>
      <c r="AS82" s="7" t="n">
        <v>0</v>
      </c>
      <c r="AT82" s="7" t="n">
        <v>0</v>
      </c>
      <c r="AU82" s="7" t="n">
        <v>0</v>
      </c>
    </row>
    <row r="83" customFormat="false" ht="15" hidden="false" customHeight="false" outlineLevel="0" collapsed="false">
      <c r="D83" s="0" t="s">
        <v>106</v>
      </c>
      <c r="E83" s="0" t="s">
        <v>27</v>
      </c>
      <c r="J83" s="7" t="n">
        <v>0.05</v>
      </c>
      <c r="K83" s="7" t="n">
        <v>0.095</v>
      </c>
      <c r="L83" s="7" t="n">
        <v>0.0855</v>
      </c>
      <c r="M83" s="7" t="n">
        <v>0.077</v>
      </c>
      <c r="N83" s="7" t="n">
        <v>0.0693</v>
      </c>
      <c r="O83" s="7" t="n">
        <v>0.0623</v>
      </c>
      <c r="P83" s="7" t="n">
        <v>0.059</v>
      </c>
      <c r="Q83" s="7" t="n">
        <v>0.059</v>
      </c>
      <c r="R83" s="7" t="n">
        <v>0.0591</v>
      </c>
      <c r="S83" s="7" t="n">
        <v>0.059</v>
      </c>
      <c r="T83" s="7" t="n">
        <v>0.0591</v>
      </c>
      <c r="U83" s="7" t="n">
        <v>0.059</v>
      </c>
      <c r="V83" s="7" t="n">
        <v>0.0591</v>
      </c>
      <c r="W83" s="7" t="n">
        <v>0.059</v>
      </c>
      <c r="X83" s="7" t="n">
        <v>0.0591</v>
      </c>
      <c r="Y83" s="7" t="n">
        <v>0.0295</v>
      </c>
      <c r="Z83" s="7" t="n">
        <v>0</v>
      </c>
      <c r="AA83" s="7" t="n">
        <v>0</v>
      </c>
      <c r="AB83" s="7" t="n">
        <v>0</v>
      </c>
      <c r="AC83" s="7" t="n">
        <v>0</v>
      </c>
      <c r="AD83" s="7" t="n">
        <v>0</v>
      </c>
      <c r="AE83" s="7" t="n">
        <v>0</v>
      </c>
      <c r="AF83" s="7" t="n">
        <v>0</v>
      </c>
      <c r="AG83" s="7" t="n">
        <v>0</v>
      </c>
      <c r="AH83" s="7" t="n">
        <v>0</v>
      </c>
      <c r="AI83" s="7" t="n">
        <v>0</v>
      </c>
      <c r="AJ83" s="7" t="n">
        <v>0</v>
      </c>
      <c r="AK83" s="7" t="n">
        <v>0</v>
      </c>
      <c r="AL83" s="7" t="n">
        <v>0</v>
      </c>
      <c r="AM83" s="7" t="n">
        <v>0</v>
      </c>
      <c r="AN83" s="7" t="n">
        <v>0</v>
      </c>
      <c r="AO83" s="7" t="n">
        <v>0</v>
      </c>
      <c r="AP83" s="7" t="n">
        <v>0</v>
      </c>
      <c r="AQ83" s="7" t="n">
        <v>0</v>
      </c>
      <c r="AR83" s="7" t="n">
        <v>0</v>
      </c>
      <c r="AS83" s="7" t="n">
        <v>0</v>
      </c>
      <c r="AT83" s="7" t="n">
        <v>0</v>
      </c>
      <c r="AU83" s="7" t="n">
        <v>0</v>
      </c>
    </row>
    <row r="84" customFormat="false" ht="15" hidden="false" customHeight="false" outlineLevel="0" collapsed="false">
      <c r="D84" s="0" t="s">
        <v>107</v>
      </c>
      <c r="E84" s="0" t="s">
        <v>51</v>
      </c>
      <c r="F84" s="6" t="n">
        <v>6</v>
      </c>
    </row>
    <row r="85" customFormat="false" ht="15" hidden="false" customHeight="false" outlineLevel="0" collapsed="false">
      <c r="D85" s="0" t="s">
        <v>108</v>
      </c>
      <c r="E85" s="0" t="s">
        <v>51</v>
      </c>
      <c r="F85" s="6" t="n">
        <v>16</v>
      </c>
    </row>
    <row r="87" customFormat="false" ht="15" hidden="false" customHeight="false" outlineLevel="0" collapsed="false">
      <c r="A87" s="4" t="s">
        <v>109</v>
      </c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</row>
    <row r="88" customFormat="false" ht="15" hidden="false" customHeight="false" outlineLevel="0" collapsed="false">
      <c r="D88" s="0" t="s">
        <v>110</v>
      </c>
      <c r="E88" s="0" t="s">
        <v>111</v>
      </c>
      <c r="F88" s="7" t="n">
        <v>201.6</v>
      </c>
    </row>
    <row r="89" customFormat="false" ht="15" hidden="false" customHeight="false" outlineLevel="0" collapsed="false">
      <c r="D89" s="0" t="s">
        <v>112</v>
      </c>
      <c r="E89" s="0" t="s">
        <v>42</v>
      </c>
      <c r="F89" s="8" t="n">
        <v>41988</v>
      </c>
    </row>
    <row r="90" customFormat="false" ht="15" hidden="false" customHeight="false" outlineLevel="0" collapsed="false">
      <c r="D90" s="0" t="s">
        <v>113</v>
      </c>
      <c r="E90" s="0" t="s">
        <v>42</v>
      </c>
      <c r="F90" s="8" t="n">
        <v>52962</v>
      </c>
    </row>
    <row r="91" customFormat="false" ht="15" hidden="false" customHeight="false" outlineLevel="0" collapsed="false">
      <c r="D91" s="0" t="s">
        <v>114</v>
      </c>
      <c r="E91" s="0" t="s">
        <v>42</v>
      </c>
      <c r="F91" s="8" t="n">
        <v>44642</v>
      </c>
    </row>
    <row r="92" customFormat="false" ht="15" hidden="false" customHeight="false" outlineLevel="0" collapsed="false">
      <c r="D92" s="0" t="s">
        <v>115</v>
      </c>
      <c r="E92" s="0" t="s">
        <v>100</v>
      </c>
      <c r="F92" s="7" t="n">
        <v>41.5</v>
      </c>
    </row>
    <row r="93" customFormat="false" ht="15" hidden="false" customHeight="false" outlineLevel="0" collapsed="false">
      <c r="D93" s="0" t="s">
        <v>116</v>
      </c>
      <c r="E93" s="0" t="s">
        <v>117</v>
      </c>
      <c r="F93" s="7" t="n">
        <v>62</v>
      </c>
    </row>
    <row r="94" customFormat="false" ht="15" hidden="false" customHeight="false" outlineLevel="0" collapsed="false">
      <c r="D94" s="0" t="s">
        <v>118</v>
      </c>
      <c r="E94" s="0" t="s">
        <v>119</v>
      </c>
      <c r="F94" s="7" t="n">
        <v>695.8</v>
      </c>
    </row>
    <row r="95" customFormat="false" ht="15" hidden="false" customHeight="false" outlineLevel="0" collapsed="false">
      <c r="D95" s="0" t="s">
        <v>120</v>
      </c>
      <c r="E95" s="0" t="s">
        <v>121</v>
      </c>
      <c r="F95" s="7" t="n">
        <v>87.6</v>
      </c>
    </row>
    <row r="96" customFormat="false" ht="15" hidden="false" customHeight="false" outlineLevel="0" collapsed="false">
      <c r="D96" s="0" t="s">
        <v>122</v>
      </c>
      <c r="E96" s="0" t="s">
        <v>121</v>
      </c>
      <c r="F96" s="7" t="n">
        <v>92.9</v>
      </c>
    </row>
    <row r="97" customFormat="false" ht="15" hidden="false" customHeight="false" outlineLevel="0" collapsed="false">
      <c r="D97" s="0" t="s">
        <v>123</v>
      </c>
      <c r="E97" s="0" t="s">
        <v>40</v>
      </c>
      <c r="F97" s="7" t="n">
        <v>0.2</v>
      </c>
    </row>
    <row r="98" customFormat="false" ht="15" hidden="false" customHeight="false" outlineLevel="0" collapsed="false">
      <c r="D98" s="0" t="s">
        <v>124</v>
      </c>
      <c r="E98" s="0" t="s">
        <v>37</v>
      </c>
      <c r="F98" s="6" t="n">
        <v>2022</v>
      </c>
    </row>
    <row r="99" customFormat="false" ht="15" hidden="false" customHeight="false" outlineLevel="0" collapsed="false">
      <c r="D99" s="0" t="s">
        <v>125</v>
      </c>
      <c r="E99" s="0" t="s">
        <v>111</v>
      </c>
      <c r="F99" s="7" t="n">
        <v>248.4</v>
      </c>
    </row>
    <row r="100" customFormat="false" ht="15" hidden="false" customHeight="false" outlineLevel="0" collapsed="false">
      <c r="D100" s="0" t="s">
        <v>126</v>
      </c>
      <c r="E100" s="0" t="s">
        <v>42</v>
      </c>
      <c r="F100" s="8" t="n">
        <v>42916</v>
      </c>
    </row>
    <row r="101" customFormat="false" ht="15" hidden="false" customHeight="false" outlineLevel="0" collapsed="false">
      <c r="D101" s="0" t="s">
        <v>127</v>
      </c>
      <c r="E101" s="0" t="s">
        <v>42</v>
      </c>
      <c r="F101" s="8" t="n">
        <v>53873</v>
      </c>
    </row>
    <row r="102" customFormat="false" ht="15" hidden="false" customHeight="false" outlineLevel="0" collapsed="false">
      <c r="D102" s="0" t="s">
        <v>128</v>
      </c>
      <c r="E102" s="0" t="s">
        <v>42</v>
      </c>
      <c r="F102" s="8" t="n">
        <v>44642</v>
      </c>
    </row>
    <row r="103" customFormat="false" ht="15" hidden="false" customHeight="false" outlineLevel="0" collapsed="false">
      <c r="D103" s="0" t="s">
        <v>129</v>
      </c>
      <c r="E103" s="0" t="s">
        <v>100</v>
      </c>
      <c r="F103" s="7" t="n">
        <v>41.5</v>
      </c>
    </row>
    <row r="104" customFormat="false" ht="15" hidden="false" customHeight="false" outlineLevel="0" collapsed="false">
      <c r="D104" s="0" t="s">
        <v>130</v>
      </c>
      <c r="E104" s="0" t="s">
        <v>117</v>
      </c>
      <c r="F104" s="7" t="n">
        <v>62</v>
      </c>
    </row>
    <row r="105" customFormat="false" ht="15" hidden="false" customHeight="false" outlineLevel="0" collapsed="false">
      <c r="D105" s="0" t="s">
        <v>131</v>
      </c>
      <c r="E105" s="0" t="s">
        <v>119</v>
      </c>
      <c r="F105" s="7" t="n">
        <v>785.5</v>
      </c>
    </row>
    <row r="106" customFormat="false" ht="15" hidden="false" customHeight="false" outlineLevel="0" collapsed="false">
      <c r="D106" s="0" t="s">
        <v>132</v>
      </c>
      <c r="E106" s="0" t="s">
        <v>121</v>
      </c>
      <c r="F106" s="7" t="n">
        <v>89.2</v>
      </c>
    </row>
    <row r="107" customFormat="false" ht="15" hidden="false" customHeight="false" outlineLevel="0" collapsed="false">
      <c r="D107" s="0" t="s">
        <v>133</v>
      </c>
      <c r="E107" s="0" t="s">
        <v>121</v>
      </c>
      <c r="F107" s="7" t="n">
        <v>94.1</v>
      </c>
    </row>
    <row r="108" customFormat="false" ht="15" hidden="false" customHeight="false" outlineLevel="0" collapsed="false">
      <c r="D108" s="0" t="s">
        <v>134</v>
      </c>
      <c r="E108" s="0" t="s">
        <v>40</v>
      </c>
      <c r="F108" s="7" t="n">
        <v>0.2</v>
      </c>
    </row>
    <row r="109" customFormat="false" ht="15" hidden="false" customHeight="false" outlineLevel="0" collapsed="false">
      <c r="D109" s="0" t="s">
        <v>135</v>
      </c>
      <c r="E109" s="0" t="s">
        <v>37</v>
      </c>
      <c r="F109" s="6" t="n">
        <v>2022</v>
      </c>
    </row>
    <row r="110" customFormat="false" ht="15" hidden="false" customHeight="false" outlineLevel="0" collapsed="false">
      <c r="D110" s="0" t="s">
        <v>136</v>
      </c>
      <c r="E110" s="0" t="s">
        <v>111</v>
      </c>
      <c r="F110" s="7" t="n">
        <v>153</v>
      </c>
    </row>
    <row r="111" customFormat="false" ht="15" hidden="false" customHeight="false" outlineLevel="0" collapsed="false">
      <c r="D111" s="0" t="s">
        <v>137</v>
      </c>
      <c r="E111" s="0" t="s">
        <v>42</v>
      </c>
      <c r="F111" s="8" t="n">
        <v>43789</v>
      </c>
    </row>
    <row r="112" customFormat="false" ht="15" hidden="false" customHeight="false" outlineLevel="0" collapsed="false">
      <c r="D112" s="0" t="s">
        <v>138</v>
      </c>
      <c r="E112" s="0" t="s">
        <v>42</v>
      </c>
      <c r="F112" s="8" t="n">
        <v>54757</v>
      </c>
    </row>
    <row r="113" customFormat="false" ht="15" hidden="false" customHeight="false" outlineLevel="0" collapsed="false">
      <c r="D113" s="0" t="s">
        <v>139</v>
      </c>
      <c r="E113" s="0" t="s">
        <v>42</v>
      </c>
      <c r="F113" s="8" t="n">
        <v>44642</v>
      </c>
    </row>
    <row r="114" customFormat="false" ht="15" hidden="false" customHeight="false" outlineLevel="0" collapsed="false">
      <c r="D114" s="0" t="s">
        <v>140</v>
      </c>
      <c r="E114" s="0" t="s">
        <v>100</v>
      </c>
      <c r="F114" s="7" t="n">
        <v>37.2</v>
      </c>
    </row>
    <row r="115" customFormat="false" ht="15" hidden="false" customHeight="false" outlineLevel="0" collapsed="false">
      <c r="D115" s="0" t="s">
        <v>141</v>
      </c>
      <c r="E115" s="0" t="s">
        <v>117</v>
      </c>
      <c r="F115" s="7" t="n">
        <v>62</v>
      </c>
    </row>
    <row r="116" customFormat="false" ht="15" hidden="false" customHeight="false" outlineLevel="0" collapsed="false">
      <c r="D116" s="0" t="s">
        <v>142</v>
      </c>
      <c r="E116" s="0" t="s">
        <v>119</v>
      </c>
      <c r="F116" s="7" t="n">
        <v>619.2</v>
      </c>
    </row>
    <row r="117" customFormat="false" ht="15" hidden="false" customHeight="false" outlineLevel="0" collapsed="false">
      <c r="D117" s="0" t="s">
        <v>143</v>
      </c>
      <c r="E117" s="0" t="s">
        <v>121</v>
      </c>
      <c r="F117" s="7" t="n">
        <v>86.9</v>
      </c>
    </row>
    <row r="118" customFormat="false" ht="15" hidden="false" customHeight="false" outlineLevel="0" collapsed="false">
      <c r="D118" s="0" t="s">
        <v>144</v>
      </c>
      <c r="E118" s="0" t="s">
        <v>121</v>
      </c>
      <c r="F118" s="7" t="n">
        <v>92.4</v>
      </c>
    </row>
    <row r="119" customFormat="false" ht="15" hidden="false" customHeight="false" outlineLevel="0" collapsed="false">
      <c r="D119" s="0" t="s">
        <v>145</v>
      </c>
      <c r="E119" s="0" t="s">
        <v>40</v>
      </c>
      <c r="F119" s="7" t="n">
        <v>0.2</v>
      </c>
    </row>
    <row r="120" customFormat="false" ht="15" hidden="false" customHeight="false" outlineLevel="0" collapsed="false">
      <c r="D120" s="0" t="s">
        <v>146</v>
      </c>
      <c r="E120" s="0" t="s">
        <v>37</v>
      </c>
      <c r="F120" s="6" t="n">
        <v>2022</v>
      </c>
    </row>
    <row r="121" customFormat="false" ht="15" hidden="false" customHeight="false" outlineLevel="0" collapsed="false">
      <c r="D121" s="0" t="s">
        <v>147</v>
      </c>
      <c r="E121" s="0" t="s">
        <v>111</v>
      </c>
      <c r="F121" s="7" t="n">
        <v>98.7</v>
      </c>
    </row>
    <row r="122" customFormat="false" ht="15" hidden="false" customHeight="false" outlineLevel="0" collapsed="false">
      <c r="D122" s="0" t="s">
        <v>148</v>
      </c>
      <c r="E122" s="0" t="s">
        <v>42</v>
      </c>
      <c r="F122" s="8" t="n">
        <v>44113</v>
      </c>
    </row>
    <row r="123" customFormat="false" ht="15" hidden="false" customHeight="false" outlineLevel="0" collapsed="false">
      <c r="D123" s="0" t="s">
        <v>149</v>
      </c>
      <c r="E123" s="0" t="s">
        <v>42</v>
      </c>
      <c r="F123" s="8" t="n">
        <v>56918</v>
      </c>
    </row>
    <row r="124" customFormat="false" ht="15" hidden="false" customHeight="false" outlineLevel="0" collapsed="false">
      <c r="D124" s="0" t="s">
        <v>150</v>
      </c>
      <c r="E124" s="0" t="s">
        <v>42</v>
      </c>
      <c r="F124" s="8" t="n">
        <v>44642</v>
      </c>
    </row>
    <row r="125" customFormat="false" ht="15" hidden="false" customHeight="false" outlineLevel="0" collapsed="false">
      <c r="D125" s="0" t="s">
        <v>151</v>
      </c>
      <c r="E125" s="0" t="s">
        <v>100</v>
      </c>
      <c r="F125" s="7" t="n">
        <v>18.4</v>
      </c>
    </row>
    <row r="126" customFormat="false" ht="15" hidden="false" customHeight="false" outlineLevel="0" collapsed="false">
      <c r="D126" s="0" t="s">
        <v>152</v>
      </c>
      <c r="E126" s="0" t="s">
        <v>117</v>
      </c>
      <c r="F126" s="7" t="n">
        <v>38</v>
      </c>
    </row>
    <row r="127" customFormat="false" ht="15" hidden="false" customHeight="false" outlineLevel="0" collapsed="false">
      <c r="D127" s="0" t="s">
        <v>153</v>
      </c>
      <c r="E127" s="0" t="s">
        <v>119</v>
      </c>
      <c r="F127" s="7" t="n">
        <v>234.3</v>
      </c>
    </row>
    <row r="128" customFormat="false" ht="15" hidden="false" customHeight="false" outlineLevel="0" collapsed="false">
      <c r="D128" s="0" t="s">
        <v>154</v>
      </c>
      <c r="E128" s="0" t="s">
        <v>121</v>
      </c>
      <c r="F128" s="7" t="n">
        <v>94.6</v>
      </c>
    </row>
    <row r="129" customFormat="false" ht="15" hidden="false" customHeight="false" outlineLevel="0" collapsed="false">
      <c r="D129" s="0" t="s">
        <v>155</v>
      </c>
      <c r="E129" s="0" t="s">
        <v>121</v>
      </c>
      <c r="F129" s="7" t="n">
        <v>96.8</v>
      </c>
    </row>
    <row r="130" customFormat="false" ht="15" hidden="false" customHeight="false" outlineLevel="0" collapsed="false">
      <c r="D130" s="0" t="s">
        <v>156</v>
      </c>
      <c r="E130" s="0" t="s">
        <v>40</v>
      </c>
      <c r="F130" s="7" t="n">
        <v>0.45</v>
      </c>
    </row>
    <row r="131" customFormat="false" ht="15" hidden="false" customHeight="false" outlineLevel="0" collapsed="false">
      <c r="D131" s="0" t="s">
        <v>157</v>
      </c>
      <c r="E131" s="0" t="s">
        <v>37</v>
      </c>
      <c r="F131" s="6" t="n">
        <v>2022</v>
      </c>
    </row>
    <row r="132" customFormat="false" ht="15" hidden="false" customHeight="false" outlineLevel="0" collapsed="false">
      <c r="D132" s="0" t="s">
        <v>158</v>
      </c>
      <c r="E132" s="0" t="s">
        <v>111</v>
      </c>
      <c r="F132" s="7" t="n">
        <v>182.4</v>
      </c>
    </row>
    <row r="133" customFormat="false" ht="15" hidden="false" customHeight="false" outlineLevel="0" collapsed="false">
      <c r="D133" s="0" t="s">
        <v>159</v>
      </c>
      <c r="E133" s="0" t="s">
        <v>42</v>
      </c>
      <c r="F133" s="8" t="n">
        <v>44375</v>
      </c>
    </row>
    <row r="134" customFormat="false" ht="15" hidden="false" customHeight="false" outlineLevel="0" collapsed="false">
      <c r="D134" s="0" t="s">
        <v>160</v>
      </c>
      <c r="E134" s="0" t="s">
        <v>42</v>
      </c>
      <c r="F134" s="8" t="n">
        <v>57161</v>
      </c>
    </row>
    <row r="135" customFormat="false" ht="15" hidden="false" customHeight="false" outlineLevel="0" collapsed="false">
      <c r="D135" s="0" t="s">
        <v>161</v>
      </c>
      <c r="E135" s="0" t="s">
        <v>42</v>
      </c>
      <c r="F135" s="8" t="n">
        <v>44642</v>
      </c>
    </row>
    <row r="136" customFormat="false" ht="15" hidden="false" customHeight="false" outlineLevel="0" collapsed="false">
      <c r="D136" s="0" t="s">
        <v>162</v>
      </c>
      <c r="E136" s="0" t="s">
        <v>100</v>
      </c>
      <c r="F136" s="7" t="n">
        <v>18.4</v>
      </c>
    </row>
    <row r="137" customFormat="false" ht="15" hidden="false" customHeight="false" outlineLevel="0" collapsed="false">
      <c r="D137" s="0" t="s">
        <v>163</v>
      </c>
      <c r="E137" s="0" t="s">
        <v>117</v>
      </c>
      <c r="F137" s="7" t="n">
        <v>38</v>
      </c>
    </row>
    <row r="138" customFormat="false" ht="15" hidden="false" customHeight="false" outlineLevel="0" collapsed="false">
      <c r="D138" s="0" t="s">
        <v>164</v>
      </c>
      <c r="E138" s="0" t="s">
        <v>119</v>
      </c>
      <c r="F138" s="7" t="n">
        <v>452.2</v>
      </c>
    </row>
    <row r="139" customFormat="false" ht="15" hidden="false" customHeight="false" outlineLevel="0" collapsed="false">
      <c r="D139" s="0" t="s">
        <v>165</v>
      </c>
      <c r="E139" s="0" t="s">
        <v>121</v>
      </c>
      <c r="F139" s="7" t="n">
        <v>94.2</v>
      </c>
    </row>
    <row r="140" customFormat="false" ht="15" hidden="false" customHeight="false" outlineLevel="0" collapsed="false">
      <c r="D140" s="0" t="s">
        <v>166</v>
      </c>
      <c r="E140" s="0" t="s">
        <v>121</v>
      </c>
      <c r="F140" s="7" t="n">
        <v>96.5</v>
      </c>
    </row>
    <row r="141" customFormat="false" ht="15" hidden="false" customHeight="false" outlineLevel="0" collapsed="false">
      <c r="D141" s="0" t="s">
        <v>167</v>
      </c>
      <c r="E141" s="0" t="s">
        <v>40</v>
      </c>
      <c r="F141" s="7" t="n">
        <v>0.45</v>
      </c>
    </row>
    <row r="142" customFormat="false" ht="15" hidden="false" customHeight="false" outlineLevel="0" collapsed="false">
      <c r="D142" s="0" t="s">
        <v>168</v>
      </c>
      <c r="E142" s="0" t="s">
        <v>37</v>
      </c>
      <c r="F142" s="6" t="n">
        <v>2022</v>
      </c>
    </row>
    <row r="143" customFormat="false" ht="15" hidden="false" customHeight="false" outlineLevel="0" collapsed="false">
      <c r="D143" s="0" t="s">
        <v>169</v>
      </c>
      <c r="E143" s="0" t="s">
        <v>111</v>
      </c>
      <c r="F143" s="7" t="n">
        <v>100</v>
      </c>
    </row>
    <row r="144" customFormat="false" ht="15" hidden="false" customHeight="false" outlineLevel="0" collapsed="false">
      <c r="D144" s="0" t="s">
        <v>170</v>
      </c>
      <c r="E144" s="0" t="s">
        <v>42</v>
      </c>
      <c r="F144" s="8" t="n">
        <v>45121</v>
      </c>
    </row>
    <row r="145" customFormat="false" ht="15" hidden="false" customHeight="false" outlineLevel="0" collapsed="false">
      <c r="D145" s="0" t="s">
        <v>171</v>
      </c>
      <c r="E145" s="0" t="s">
        <v>42</v>
      </c>
      <c r="F145" s="8" t="n">
        <v>52443</v>
      </c>
    </row>
    <row r="146" customFormat="false" ht="15" hidden="false" customHeight="false" outlineLevel="0" collapsed="false">
      <c r="D146" s="0" t="s">
        <v>172</v>
      </c>
      <c r="E146" s="0" t="s">
        <v>42</v>
      </c>
      <c r="F146" s="8" t="n">
        <v>45169</v>
      </c>
    </row>
    <row r="147" customFormat="false" ht="15" hidden="false" customHeight="false" outlineLevel="0" collapsed="false">
      <c r="D147" s="0" t="s">
        <v>173</v>
      </c>
      <c r="E147" s="0" t="s">
        <v>100</v>
      </c>
      <c r="F147" s="7" t="n">
        <v>14.6</v>
      </c>
    </row>
    <row r="148" customFormat="false" ht="15" hidden="false" customHeight="false" outlineLevel="0" collapsed="false">
      <c r="D148" s="0" t="s">
        <v>174</v>
      </c>
      <c r="E148" s="0" t="s">
        <v>117</v>
      </c>
      <c r="F148" s="7" t="n">
        <v>21</v>
      </c>
    </row>
    <row r="149" customFormat="false" ht="15" hidden="false" customHeight="false" outlineLevel="0" collapsed="false">
      <c r="D149" s="0" t="s">
        <v>175</v>
      </c>
      <c r="E149" s="0" t="s">
        <v>176</v>
      </c>
      <c r="F149" s="7" t="n">
        <v>200</v>
      </c>
    </row>
    <row r="150" customFormat="false" ht="15" hidden="false" customHeight="false" outlineLevel="0" collapsed="false">
      <c r="D150" s="0" t="s">
        <v>177</v>
      </c>
      <c r="E150" s="0" t="s">
        <v>84</v>
      </c>
      <c r="F150" s="7" t="n">
        <v>97.5</v>
      </c>
    </row>
    <row r="151" customFormat="false" ht="15" hidden="false" customHeight="false" outlineLevel="0" collapsed="false">
      <c r="D151" s="0" t="s">
        <v>178</v>
      </c>
      <c r="E151" s="0" t="s">
        <v>51</v>
      </c>
      <c r="F151" s="6" t="n">
        <v>5</v>
      </c>
    </row>
    <row r="152" customFormat="false" ht="15" hidden="false" customHeight="false" outlineLevel="0" collapsed="false">
      <c r="D152" s="0" t="s">
        <v>179</v>
      </c>
      <c r="E152" s="0" t="s">
        <v>51</v>
      </c>
      <c r="F152" s="6" t="n">
        <v>9</v>
      </c>
    </row>
    <row r="153" customFormat="false" ht="15" hidden="false" customHeight="false" outlineLevel="0" collapsed="false">
      <c r="D153" s="0" t="s">
        <v>180</v>
      </c>
      <c r="E153" s="0" t="s">
        <v>84</v>
      </c>
      <c r="F153" s="7" t="n">
        <v>6</v>
      </c>
    </row>
    <row r="154" customFormat="false" ht="15" hidden="false" customHeight="false" outlineLevel="0" collapsed="false">
      <c r="D154" s="0" t="s">
        <v>181</v>
      </c>
      <c r="E154" s="0" t="s">
        <v>182</v>
      </c>
      <c r="F154" s="7" t="n">
        <v>41</v>
      </c>
    </row>
    <row r="155" customFormat="false" ht="15" hidden="false" customHeight="false" outlineLevel="0" collapsed="false">
      <c r="D155" s="0" t="s">
        <v>183</v>
      </c>
      <c r="E155" s="0" t="s">
        <v>184</v>
      </c>
      <c r="F155" s="7" t="n">
        <v>8</v>
      </c>
    </row>
    <row r="156" customFormat="false" ht="15" hidden="false" customHeight="false" outlineLevel="0" collapsed="false">
      <c r="D156" s="0" t="s">
        <v>185</v>
      </c>
      <c r="E156" s="0" t="s">
        <v>111</v>
      </c>
      <c r="F156" s="7" t="n">
        <v>150</v>
      </c>
    </row>
    <row r="157" customFormat="false" ht="15" hidden="false" customHeight="false" outlineLevel="0" collapsed="false">
      <c r="D157" s="0" t="s">
        <v>186</v>
      </c>
      <c r="E157" s="0" t="s">
        <v>42</v>
      </c>
      <c r="F157" s="8" t="n">
        <v>45384</v>
      </c>
    </row>
    <row r="158" customFormat="false" ht="15" hidden="false" customHeight="false" outlineLevel="0" collapsed="false">
      <c r="D158" s="0" t="s">
        <v>187</v>
      </c>
      <c r="E158" s="0" t="s">
        <v>42</v>
      </c>
      <c r="F158" s="8" t="n">
        <v>52687</v>
      </c>
    </row>
    <row r="159" customFormat="false" ht="15" hidden="false" customHeight="false" outlineLevel="0" collapsed="false">
      <c r="D159" s="0" t="s">
        <v>188</v>
      </c>
      <c r="E159" s="0" t="s">
        <v>42</v>
      </c>
      <c r="F159" s="8" t="n">
        <v>45384</v>
      </c>
    </row>
    <row r="160" customFormat="false" ht="15" hidden="false" customHeight="false" outlineLevel="0" collapsed="false">
      <c r="D160" s="0" t="s">
        <v>189</v>
      </c>
      <c r="E160" s="0" t="s">
        <v>100</v>
      </c>
      <c r="F160" s="7" t="n">
        <v>14.6</v>
      </c>
    </row>
    <row r="161" customFormat="false" ht="15" hidden="false" customHeight="false" outlineLevel="0" collapsed="false">
      <c r="D161" s="0" t="s">
        <v>190</v>
      </c>
      <c r="E161" s="0" t="s">
        <v>117</v>
      </c>
      <c r="F161" s="7" t="n">
        <v>21</v>
      </c>
    </row>
    <row r="162" customFormat="false" ht="15" hidden="false" customHeight="false" outlineLevel="0" collapsed="false">
      <c r="D162" s="0" t="s">
        <v>191</v>
      </c>
      <c r="E162" s="0" t="s">
        <v>176</v>
      </c>
      <c r="F162" s="7" t="n">
        <v>300</v>
      </c>
    </row>
    <row r="163" customFormat="false" ht="15" hidden="false" customHeight="false" outlineLevel="0" collapsed="false">
      <c r="D163" s="0" t="s">
        <v>192</v>
      </c>
      <c r="E163" s="0" t="s">
        <v>84</v>
      </c>
      <c r="F163" s="7" t="n">
        <v>97.5</v>
      </c>
    </row>
    <row r="164" customFormat="false" ht="15" hidden="false" customHeight="false" outlineLevel="0" collapsed="false">
      <c r="D164" s="0" t="s">
        <v>193</v>
      </c>
      <c r="E164" s="0" t="s">
        <v>51</v>
      </c>
      <c r="F164" s="6" t="n">
        <v>5</v>
      </c>
    </row>
    <row r="165" customFormat="false" ht="15" hidden="false" customHeight="false" outlineLevel="0" collapsed="false">
      <c r="D165" s="0" t="s">
        <v>194</v>
      </c>
      <c r="E165" s="0" t="s">
        <v>51</v>
      </c>
      <c r="F165" s="6" t="n">
        <v>9</v>
      </c>
    </row>
    <row r="166" customFormat="false" ht="15" hidden="false" customHeight="false" outlineLevel="0" collapsed="false">
      <c r="D166" s="0" t="s">
        <v>195</v>
      </c>
      <c r="E166" s="0" t="s">
        <v>84</v>
      </c>
      <c r="F166" s="7" t="n">
        <v>6</v>
      </c>
    </row>
    <row r="167" customFormat="false" ht="15" hidden="false" customHeight="false" outlineLevel="0" collapsed="false">
      <c r="D167" s="0" t="s">
        <v>196</v>
      </c>
      <c r="E167" s="0" t="s">
        <v>182</v>
      </c>
      <c r="F167" s="7" t="n">
        <v>41</v>
      </c>
    </row>
    <row r="168" customFormat="false" ht="15" hidden="false" customHeight="false" outlineLevel="0" collapsed="false">
      <c r="D168" s="0" t="s">
        <v>197</v>
      </c>
      <c r="E168" s="0" t="s">
        <v>184</v>
      </c>
      <c r="F168" s="7" t="n">
        <v>8</v>
      </c>
    </row>
    <row r="169" customFormat="false" ht="15" hidden="false" customHeight="false" outlineLevel="0" collapsed="false">
      <c r="D169" s="0" t="s">
        <v>198</v>
      </c>
      <c r="E169" s="0" t="s">
        <v>111</v>
      </c>
      <c r="F169" s="7" t="n">
        <v>120</v>
      </c>
    </row>
    <row r="170" customFormat="false" ht="15" hidden="false" customHeight="false" outlineLevel="0" collapsed="false">
      <c r="D170" s="0" t="s">
        <v>199</v>
      </c>
      <c r="E170" s="0" t="s">
        <v>42</v>
      </c>
      <c r="F170" s="8" t="n">
        <v>45645</v>
      </c>
    </row>
    <row r="171" customFormat="false" ht="15" hidden="false" customHeight="false" outlineLevel="0" collapsed="false">
      <c r="D171" s="0" t="s">
        <v>200</v>
      </c>
      <c r="E171" s="0" t="s">
        <v>42</v>
      </c>
      <c r="F171" s="8" t="n">
        <v>58440</v>
      </c>
    </row>
    <row r="172" customFormat="false" ht="15" hidden="false" customHeight="false" outlineLevel="0" collapsed="false">
      <c r="D172" s="0" t="s">
        <v>201</v>
      </c>
      <c r="E172" s="0" t="s">
        <v>42</v>
      </c>
      <c r="F172" s="8" t="n">
        <v>45645</v>
      </c>
    </row>
    <row r="173" customFormat="false" ht="15" hidden="false" customHeight="false" outlineLevel="0" collapsed="false">
      <c r="D173" s="0" t="s">
        <v>202</v>
      </c>
      <c r="E173" s="0" t="s">
        <v>100</v>
      </c>
      <c r="F173" s="7" t="n">
        <v>18.4</v>
      </c>
    </row>
    <row r="174" customFormat="false" ht="15" hidden="false" customHeight="false" outlineLevel="0" collapsed="false">
      <c r="D174" s="0" t="s">
        <v>203</v>
      </c>
      <c r="E174" s="0" t="s">
        <v>117</v>
      </c>
      <c r="F174" s="7" t="n">
        <v>38</v>
      </c>
    </row>
    <row r="175" customFormat="false" ht="15" hidden="false" customHeight="false" outlineLevel="0" collapsed="false">
      <c r="D175" s="0" t="s">
        <v>204</v>
      </c>
      <c r="E175" s="0" t="s">
        <v>119</v>
      </c>
      <c r="F175" s="7" t="n">
        <v>290.1</v>
      </c>
    </row>
    <row r="176" customFormat="false" ht="15" hidden="false" customHeight="false" outlineLevel="0" collapsed="false">
      <c r="D176" s="0" t="s">
        <v>205</v>
      </c>
      <c r="E176" s="0" t="s">
        <v>121</v>
      </c>
      <c r="F176" s="7" t="n">
        <v>94.4</v>
      </c>
    </row>
    <row r="177" customFormat="false" ht="15" hidden="false" customHeight="false" outlineLevel="0" collapsed="false">
      <c r="D177" s="0" t="s">
        <v>206</v>
      </c>
      <c r="E177" s="0" t="s">
        <v>121</v>
      </c>
      <c r="F177" s="7" t="n">
        <v>96.6</v>
      </c>
    </row>
    <row r="178" customFormat="false" ht="15" hidden="false" customHeight="false" outlineLevel="0" collapsed="false">
      <c r="D178" s="0" t="s">
        <v>207</v>
      </c>
      <c r="E178" s="0" t="s">
        <v>40</v>
      </c>
      <c r="F178" s="7" t="n">
        <v>0.4</v>
      </c>
    </row>
    <row r="179" customFormat="false" ht="15" hidden="false" customHeight="false" outlineLevel="0" collapsed="false">
      <c r="D179" s="0" t="s">
        <v>208</v>
      </c>
      <c r="E179" s="0" t="s">
        <v>37</v>
      </c>
      <c r="F179" s="6" t="n">
        <v>2025</v>
      </c>
    </row>
    <row r="180" customFormat="false" ht="15" hidden="false" customHeight="false" outlineLevel="0" collapsed="false">
      <c r="D180" s="0" t="s">
        <v>209</v>
      </c>
      <c r="E180" s="0" t="s">
        <v>210</v>
      </c>
      <c r="F180" s="7" t="n">
        <v>0.6</v>
      </c>
    </row>
    <row r="181" customFormat="false" ht="15" hidden="false" customHeight="false" outlineLevel="0" collapsed="false">
      <c r="D181" s="0" t="s">
        <v>211</v>
      </c>
      <c r="E181" s="0" t="s">
        <v>210</v>
      </c>
      <c r="F181" s="7" t="n">
        <v>0.3</v>
      </c>
    </row>
    <row r="182" customFormat="false" ht="15" hidden="false" customHeight="false" outlineLevel="0" collapsed="false">
      <c r="D182" s="0" t="s">
        <v>212</v>
      </c>
      <c r="E182" s="0" t="s">
        <v>210</v>
      </c>
      <c r="F182" s="7" t="n">
        <v>0.85</v>
      </c>
    </row>
    <row r="183" customFormat="false" ht="15" hidden="false" customHeight="false" outlineLevel="0" collapsed="false">
      <c r="D183" s="0" t="s">
        <v>213</v>
      </c>
      <c r="E183" s="0" t="s">
        <v>210</v>
      </c>
      <c r="F183" s="7" t="n">
        <v>0.5</v>
      </c>
    </row>
    <row r="184" customFormat="false" ht="15" hidden="false" customHeight="false" outlineLevel="0" collapsed="false">
      <c r="D184" s="0" t="s">
        <v>214</v>
      </c>
      <c r="E184" s="0" t="s">
        <v>210</v>
      </c>
      <c r="F184" s="7" t="n">
        <v>-0.1</v>
      </c>
    </row>
    <row r="185" customFormat="false" ht="15" hidden="false" customHeight="false" outlineLevel="0" collapsed="false">
      <c r="D185" s="0" t="s">
        <v>215</v>
      </c>
      <c r="E185" s="0" t="s">
        <v>210</v>
      </c>
      <c r="F185" s="7" t="n">
        <v>0.5</v>
      </c>
    </row>
    <row r="186" customFormat="false" ht="15" hidden="false" customHeight="false" outlineLevel="0" collapsed="false">
      <c r="D186" s="0" t="s">
        <v>216</v>
      </c>
      <c r="E186" s="0" t="s">
        <v>210</v>
      </c>
      <c r="F186" s="7" t="n">
        <v>0</v>
      </c>
    </row>
    <row r="187" customFormat="false" ht="15" hidden="false" customHeight="false" outlineLevel="0" collapsed="false">
      <c r="D187" s="0" t="s">
        <v>217</v>
      </c>
      <c r="E187" s="0" t="s">
        <v>218</v>
      </c>
      <c r="F187" s="7" t="n">
        <v>2</v>
      </c>
    </row>
    <row r="188" customFormat="false" ht="15" hidden="false" customHeight="false" outlineLevel="0" collapsed="false">
      <c r="D188" s="0" t="s">
        <v>219</v>
      </c>
      <c r="E188" s="0" t="s">
        <v>218</v>
      </c>
      <c r="F188" s="7" t="n">
        <v>1.5</v>
      </c>
    </row>
    <row r="189" customFormat="false" ht="15" hidden="false" customHeight="false" outlineLevel="0" collapsed="false">
      <c r="D189" s="0" t="s">
        <v>220</v>
      </c>
      <c r="E189" s="0" t="s">
        <v>218</v>
      </c>
      <c r="F189" s="7" t="n">
        <v>1</v>
      </c>
    </row>
    <row r="190" customFormat="false" ht="15" hidden="false" customHeight="false" outlineLevel="0" collapsed="false">
      <c r="D190" s="0" t="s">
        <v>221</v>
      </c>
      <c r="E190" s="0" t="s">
        <v>51</v>
      </c>
      <c r="F190" s="6" t="n">
        <v>10</v>
      </c>
    </row>
    <row r="191" customFormat="false" ht="15" hidden="false" customHeight="false" outlineLevel="0" collapsed="false">
      <c r="D191" s="0" t="s">
        <v>222</v>
      </c>
      <c r="E191" s="0" t="s">
        <v>176</v>
      </c>
      <c r="F191" s="7" t="n">
        <v>200</v>
      </c>
    </row>
    <row r="192" customFormat="false" ht="15" hidden="false" customHeight="false" outlineLevel="0" collapsed="false">
      <c r="D192" s="0" t="s">
        <v>223</v>
      </c>
      <c r="E192" s="0" t="s">
        <v>84</v>
      </c>
      <c r="F192" s="7" t="n">
        <v>100</v>
      </c>
    </row>
    <row r="193" customFormat="false" ht="15" hidden="false" customHeight="false" outlineLevel="0" collapsed="false">
      <c r="D193" s="0" t="s">
        <v>224</v>
      </c>
      <c r="E193" s="0" t="s">
        <v>37</v>
      </c>
      <c r="F193" s="6" t="n">
        <v>2025</v>
      </c>
    </row>
    <row r="194" customFormat="false" ht="15" hidden="false" customHeight="false" outlineLevel="0" collapsed="false">
      <c r="D194" s="0" t="s">
        <v>225</v>
      </c>
      <c r="E194" s="0" t="s">
        <v>40</v>
      </c>
      <c r="F194" s="7" t="n">
        <v>2.5</v>
      </c>
    </row>
    <row r="196" customFormat="false" ht="15" hidden="false" customHeight="false" outlineLevel="0" collapsed="false">
      <c r="A196" s="4" t="s">
        <v>226</v>
      </c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</row>
    <row r="197" customFormat="false" ht="15" hidden="false" customHeight="false" outlineLevel="0" collapsed="false">
      <c r="D197" s="0" t="s">
        <v>227</v>
      </c>
      <c r="E197" s="0" t="s">
        <v>228</v>
      </c>
      <c r="F197" s="7" t="n">
        <v>40</v>
      </c>
    </row>
    <row r="198" customFormat="false" ht="15" hidden="false" customHeight="false" outlineLevel="0" collapsed="false">
      <c r="D198" s="0" t="s">
        <v>229</v>
      </c>
      <c r="E198" s="0" t="s">
        <v>96</v>
      </c>
      <c r="F198" s="7" t="n">
        <v>48.25</v>
      </c>
    </row>
    <row r="199" customFormat="false" ht="15" hidden="false" customHeight="false" outlineLevel="0" collapsed="false">
      <c r="D199" s="0" t="s">
        <v>230</v>
      </c>
      <c r="E199" s="0" t="s">
        <v>42</v>
      </c>
      <c r="F199" s="8" t="n">
        <v>44927</v>
      </c>
    </row>
    <row r="200" customFormat="false" ht="15" hidden="false" customHeight="false" outlineLevel="0" collapsed="false">
      <c r="D200" s="0" t="s">
        <v>231</v>
      </c>
      <c r="E200" s="0" t="s">
        <v>42</v>
      </c>
      <c r="F200" s="8" t="n">
        <v>46752</v>
      </c>
    </row>
    <row r="201" customFormat="false" ht="15" hidden="false" customHeight="false" outlineLevel="0" collapsed="false">
      <c r="D201" s="0" t="s">
        <v>232</v>
      </c>
      <c r="E201" s="0" t="s">
        <v>233</v>
      </c>
      <c r="F201" s="6" t="n">
        <v>24</v>
      </c>
    </row>
    <row r="202" customFormat="false" ht="15" hidden="false" customHeight="false" outlineLevel="0" collapsed="false">
      <c r="D202" s="0" t="s">
        <v>234</v>
      </c>
      <c r="E202" s="0" t="s">
        <v>96</v>
      </c>
      <c r="F202" s="7" t="n">
        <v>31.4</v>
      </c>
    </row>
    <row r="203" customFormat="false" ht="15" hidden="false" customHeight="false" outlineLevel="0" collapsed="false">
      <c r="D203" s="0" t="s">
        <v>235</v>
      </c>
      <c r="E203" s="0" t="s">
        <v>42</v>
      </c>
      <c r="F203" s="8" t="n">
        <v>47299</v>
      </c>
    </row>
    <row r="204" customFormat="false" ht="15" hidden="false" customHeight="false" outlineLevel="0" collapsed="false">
      <c r="D204" s="0" t="s">
        <v>236</v>
      </c>
      <c r="E204" s="0" t="s">
        <v>237</v>
      </c>
      <c r="F204" s="7" t="n">
        <v>25.84</v>
      </c>
    </row>
    <row r="205" customFormat="false" ht="15" hidden="false" customHeight="false" outlineLevel="0" collapsed="false">
      <c r="D205" s="0" t="s">
        <v>238</v>
      </c>
      <c r="E205" s="0" t="s">
        <v>42</v>
      </c>
      <c r="F205" s="8" t="n">
        <v>43831</v>
      </c>
    </row>
    <row r="206" customFormat="false" ht="15" hidden="false" customHeight="false" outlineLevel="0" collapsed="false">
      <c r="D206" s="0" t="s">
        <v>239</v>
      </c>
      <c r="E206" s="0" t="s">
        <v>42</v>
      </c>
      <c r="F206" s="8" t="n">
        <v>47483</v>
      </c>
    </row>
    <row r="207" customFormat="false" ht="15" hidden="false" customHeight="false" outlineLevel="0" collapsed="false">
      <c r="D207" s="0" t="s">
        <v>240</v>
      </c>
      <c r="E207" s="0" t="s">
        <v>241</v>
      </c>
      <c r="F207" s="7" t="n">
        <v>168.4</v>
      </c>
    </row>
    <row r="208" customFormat="false" ht="15" hidden="false" customHeight="false" outlineLevel="0" collapsed="false">
      <c r="D208" s="0" t="s">
        <v>242</v>
      </c>
      <c r="E208" s="0" t="s">
        <v>96</v>
      </c>
      <c r="F208" s="7" t="n">
        <v>44.1</v>
      </c>
    </row>
    <row r="209" customFormat="false" ht="15" hidden="false" customHeight="false" outlineLevel="0" collapsed="false">
      <c r="D209" s="0" t="s">
        <v>243</v>
      </c>
      <c r="E209" s="0" t="s">
        <v>42</v>
      </c>
      <c r="F209" s="8" t="n">
        <v>44562</v>
      </c>
    </row>
    <row r="210" customFormat="false" ht="15" hidden="false" customHeight="false" outlineLevel="0" collapsed="false">
      <c r="D210" s="0" t="s">
        <v>244</v>
      </c>
      <c r="E210" s="0" t="s">
        <v>42</v>
      </c>
      <c r="F210" s="8" t="n">
        <v>46387</v>
      </c>
    </row>
    <row r="211" customFormat="false" ht="15" hidden="false" customHeight="false" outlineLevel="0" collapsed="false">
      <c r="D211" s="0" t="s">
        <v>245</v>
      </c>
      <c r="E211" s="0" t="s">
        <v>96</v>
      </c>
      <c r="F211" s="7" t="n">
        <v>27.85</v>
      </c>
    </row>
    <row r="212" customFormat="false" ht="15" hidden="false" customHeight="false" outlineLevel="0" collapsed="false">
      <c r="D212" s="0" t="s">
        <v>246</v>
      </c>
      <c r="E212" s="0" t="s">
        <v>42</v>
      </c>
      <c r="F212" s="8" t="n">
        <v>48760</v>
      </c>
    </row>
    <row r="213" customFormat="false" ht="15" hidden="false" customHeight="false" outlineLevel="0" collapsed="false">
      <c r="D213" s="0" t="s">
        <v>247</v>
      </c>
      <c r="E213" s="0" t="s">
        <v>248</v>
      </c>
      <c r="F213" s="7" t="n">
        <v>9.15</v>
      </c>
    </row>
    <row r="214" customFormat="false" ht="15" hidden="false" customHeight="false" outlineLevel="0" collapsed="false">
      <c r="D214" s="0" t="s">
        <v>249</v>
      </c>
      <c r="E214" s="0" t="s">
        <v>250</v>
      </c>
      <c r="F214" s="6" t="n">
        <v>12</v>
      </c>
    </row>
    <row r="215" customFormat="false" ht="15" hidden="false" customHeight="false" outlineLevel="0" collapsed="false">
      <c r="D215" s="0" t="s">
        <v>251</v>
      </c>
      <c r="E215" s="0" t="s">
        <v>42</v>
      </c>
      <c r="F215" s="8" t="n">
        <v>45121</v>
      </c>
    </row>
    <row r="216" customFormat="false" ht="15" hidden="false" customHeight="false" outlineLevel="0" collapsed="false">
      <c r="D216" s="0" t="s">
        <v>252</v>
      </c>
      <c r="E216" s="0" t="s">
        <v>42</v>
      </c>
      <c r="F216" s="8" t="n">
        <v>47677</v>
      </c>
    </row>
    <row r="217" customFormat="false" ht="15" hidden="false" customHeight="false" outlineLevel="0" collapsed="false">
      <c r="D217" s="0" t="s">
        <v>253</v>
      </c>
      <c r="E217" s="0" t="s">
        <v>84</v>
      </c>
      <c r="F217" s="7" t="n">
        <v>97</v>
      </c>
    </row>
    <row r="218" customFormat="false" ht="15" hidden="false" customHeight="false" outlineLevel="0" collapsed="false">
      <c r="D218" s="0" t="s">
        <v>254</v>
      </c>
      <c r="E218" s="0" t="s">
        <v>100</v>
      </c>
      <c r="F218" s="7" t="n">
        <v>74</v>
      </c>
    </row>
    <row r="219" customFormat="false" ht="15" hidden="false" customHeight="false" outlineLevel="0" collapsed="false">
      <c r="D219" s="0" t="s">
        <v>255</v>
      </c>
      <c r="E219" s="0" t="s">
        <v>100</v>
      </c>
      <c r="F219" s="7" t="n">
        <v>5.8</v>
      </c>
    </row>
    <row r="220" customFormat="false" ht="15" hidden="false" customHeight="false" outlineLevel="0" collapsed="false">
      <c r="D220" s="0" t="s">
        <v>256</v>
      </c>
      <c r="E220" s="0" t="s">
        <v>84</v>
      </c>
      <c r="F220" s="7" t="n">
        <v>20</v>
      </c>
    </row>
    <row r="221" customFormat="false" ht="15" hidden="false" customHeight="false" outlineLevel="0" collapsed="false">
      <c r="D221" s="0" t="s">
        <v>257</v>
      </c>
      <c r="E221" s="0" t="s">
        <v>100</v>
      </c>
      <c r="F221" s="7" t="n">
        <v>140</v>
      </c>
    </row>
    <row r="222" customFormat="false" ht="15" hidden="false" customHeight="false" outlineLevel="0" collapsed="false">
      <c r="D222" s="0" t="s">
        <v>258</v>
      </c>
      <c r="E222" s="0" t="s">
        <v>42</v>
      </c>
      <c r="F222" s="8" t="n">
        <v>45384</v>
      </c>
    </row>
    <row r="223" customFormat="false" ht="15" hidden="false" customHeight="false" outlineLevel="0" collapsed="false">
      <c r="D223" s="0" t="s">
        <v>259</v>
      </c>
      <c r="E223" s="0" t="s">
        <v>42</v>
      </c>
      <c r="F223" s="8" t="n">
        <v>48305</v>
      </c>
    </row>
    <row r="224" customFormat="false" ht="15" hidden="false" customHeight="false" outlineLevel="0" collapsed="false">
      <c r="D224" s="0" t="s">
        <v>260</v>
      </c>
      <c r="E224" s="0" t="s">
        <v>241</v>
      </c>
      <c r="F224" s="7" t="n">
        <v>174.1</v>
      </c>
    </row>
    <row r="225" customFormat="false" ht="15" hidden="false" customHeight="false" outlineLevel="0" collapsed="false">
      <c r="D225" s="0" t="s">
        <v>261</v>
      </c>
      <c r="E225" s="0" t="s">
        <v>96</v>
      </c>
      <c r="F225" s="7" t="n">
        <v>38.9</v>
      </c>
    </row>
    <row r="226" customFormat="false" ht="15" hidden="false" customHeight="false" outlineLevel="0" collapsed="false">
      <c r="D226" s="0" t="s">
        <v>262</v>
      </c>
      <c r="E226" s="0" t="s">
        <v>42</v>
      </c>
      <c r="F226" s="8" t="n">
        <v>45658</v>
      </c>
    </row>
    <row r="227" customFormat="false" ht="15" hidden="false" customHeight="false" outlineLevel="0" collapsed="false">
      <c r="D227" s="0" t="s">
        <v>263</v>
      </c>
      <c r="E227" s="0" t="s">
        <v>42</v>
      </c>
      <c r="F227" s="8" t="n">
        <v>49309</v>
      </c>
    </row>
    <row r="228" customFormat="false" ht="15" hidden="false" customHeight="false" outlineLevel="0" collapsed="false">
      <c r="D228" s="0" t="s">
        <v>264</v>
      </c>
      <c r="E228" s="0" t="s">
        <v>84</v>
      </c>
      <c r="F228" s="7" t="n">
        <v>40</v>
      </c>
    </row>
    <row r="229" customFormat="false" ht="15" hidden="false" customHeight="false" outlineLevel="0" collapsed="false">
      <c r="D229" s="0" t="s">
        <v>265</v>
      </c>
      <c r="E229" s="0" t="s">
        <v>84</v>
      </c>
      <c r="F229" s="7" t="n">
        <v>99</v>
      </c>
    </row>
    <row r="230" customFormat="false" ht="15" hidden="false" customHeight="false" outlineLevel="0" collapsed="false">
      <c r="D230" s="0" t="s">
        <v>266</v>
      </c>
      <c r="E230" s="0" t="s">
        <v>84</v>
      </c>
      <c r="F230" s="7" t="n">
        <v>5</v>
      </c>
    </row>
    <row r="231" customFormat="false" ht="15" hidden="false" customHeight="false" outlineLevel="0" collapsed="false">
      <c r="D231" s="0" t="s">
        <v>267</v>
      </c>
      <c r="E231" s="0" t="s">
        <v>42</v>
      </c>
      <c r="F231" s="8" t="n">
        <v>47483</v>
      </c>
    </row>
    <row r="232" customFormat="false" ht="15" hidden="false" customHeight="false" outlineLevel="0" collapsed="false">
      <c r="D232" s="0" t="s">
        <v>268</v>
      </c>
      <c r="E232" s="0" t="s">
        <v>84</v>
      </c>
      <c r="F232" s="7" t="n">
        <v>20</v>
      </c>
    </row>
    <row r="233" customFormat="false" ht="15" hidden="false" customHeight="false" outlineLevel="0" collapsed="false">
      <c r="D233" s="0" t="s">
        <v>269</v>
      </c>
      <c r="E233" s="0" t="s">
        <v>84</v>
      </c>
      <c r="F233" s="7" t="n">
        <v>99</v>
      </c>
    </row>
    <row r="234" customFormat="false" ht="15" hidden="false" customHeight="false" outlineLevel="0" collapsed="false">
      <c r="D234" s="0" t="s">
        <v>270</v>
      </c>
      <c r="E234" s="0" t="s">
        <v>84</v>
      </c>
      <c r="F234" s="7" t="n">
        <v>5</v>
      </c>
    </row>
    <row r="235" customFormat="false" ht="15" hidden="false" customHeight="false" outlineLevel="0" collapsed="false">
      <c r="D235" s="0" t="s">
        <v>271</v>
      </c>
      <c r="E235" s="0" t="s">
        <v>42</v>
      </c>
      <c r="F235" s="8" t="n">
        <v>46568</v>
      </c>
    </row>
    <row r="236" customFormat="false" ht="15" hidden="false" customHeight="false" outlineLevel="0" collapsed="false">
      <c r="D236" s="0" t="s">
        <v>272</v>
      </c>
      <c r="E236" s="0" t="s">
        <v>51</v>
      </c>
      <c r="F236" s="6" t="n">
        <v>10</v>
      </c>
    </row>
    <row r="238" customFormat="false" ht="15" hidden="false" customHeight="false" outlineLevel="0" collapsed="false">
      <c r="A238" s="4" t="s">
        <v>273</v>
      </c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</row>
    <row r="239" customFormat="false" ht="15" hidden="false" customHeight="false" outlineLevel="0" collapsed="false">
      <c r="D239" s="0" t="s">
        <v>274</v>
      </c>
      <c r="E239" s="0" t="s">
        <v>275</v>
      </c>
      <c r="F239" s="7" t="n">
        <v>4</v>
      </c>
    </row>
    <row r="240" customFormat="false" ht="15" hidden="false" customHeight="false" outlineLevel="0" collapsed="false">
      <c r="D240" s="0" t="s">
        <v>276</v>
      </c>
      <c r="E240" s="0" t="s">
        <v>84</v>
      </c>
      <c r="F240" s="7" t="n">
        <v>22</v>
      </c>
    </row>
    <row r="241" customFormat="false" ht="15" hidden="false" customHeight="false" outlineLevel="0" collapsed="false">
      <c r="D241" s="0" t="s">
        <v>277</v>
      </c>
      <c r="E241" s="0" t="s">
        <v>84</v>
      </c>
      <c r="F241" s="7" t="n">
        <v>15</v>
      </c>
    </row>
    <row r="242" customFormat="false" ht="15" hidden="false" customHeight="false" outlineLevel="0" collapsed="false">
      <c r="D242" s="0" t="s">
        <v>278</v>
      </c>
      <c r="E242" s="0" t="s">
        <v>37</v>
      </c>
      <c r="F242" s="6" t="n">
        <v>2023</v>
      </c>
    </row>
    <row r="243" customFormat="false" ht="15" hidden="false" customHeight="false" outlineLevel="0" collapsed="false">
      <c r="D243" s="0" t="s">
        <v>279</v>
      </c>
      <c r="E243" s="0" t="s">
        <v>280</v>
      </c>
      <c r="F243" s="7" t="n">
        <v>0.6</v>
      </c>
    </row>
    <row r="244" customFormat="false" ht="15" hidden="false" customHeight="false" outlineLevel="0" collapsed="false">
      <c r="D244" s="0" t="s">
        <v>281</v>
      </c>
      <c r="E244" s="0" t="s">
        <v>84</v>
      </c>
      <c r="F244" s="7" t="n">
        <v>0.75</v>
      </c>
    </row>
    <row r="245" customFormat="false" ht="15" hidden="false" customHeight="false" outlineLevel="0" collapsed="false">
      <c r="D245" s="0" t="s">
        <v>282</v>
      </c>
      <c r="E245" s="0" t="s">
        <v>275</v>
      </c>
      <c r="F245" s="7" t="n">
        <v>70</v>
      </c>
    </row>
    <row r="246" customFormat="false" ht="15" hidden="false" customHeight="false" outlineLevel="0" collapsed="false">
      <c r="D246" s="0" t="s">
        <v>283</v>
      </c>
      <c r="E246" s="0" t="s">
        <v>237</v>
      </c>
      <c r="F246" s="7" t="n">
        <v>3.2</v>
      </c>
    </row>
    <row r="247" customFormat="false" ht="15" hidden="false" customHeight="false" outlineLevel="0" collapsed="false">
      <c r="D247" s="0" t="s">
        <v>284</v>
      </c>
      <c r="E247" s="0" t="s">
        <v>42</v>
      </c>
      <c r="F247" s="8" t="n">
        <v>44642</v>
      </c>
    </row>
    <row r="248" customFormat="false" ht="15" hidden="false" customHeight="false" outlineLevel="0" collapsed="false">
      <c r="D248" s="0" t="s">
        <v>285</v>
      </c>
      <c r="E248" s="0" t="s">
        <v>84</v>
      </c>
      <c r="F248" s="7" t="n">
        <v>21</v>
      </c>
    </row>
    <row r="249" customFormat="false" ht="15" hidden="false" customHeight="false" outlineLevel="0" collapsed="false">
      <c r="D249" s="0" t="s">
        <v>286</v>
      </c>
      <c r="E249" s="0" t="s">
        <v>287</v>
      </c>
      <c r="F249" s="7" t="n">
        <v>80</v>
      </c>
    </row>
    <row r="250" customFormat="false" ht="15" hidden="false" customHeight="false" outlineLevel="0" collapsed="false">
      <c r="D250" s="0" t="s">
        <v>288</v>
      </c>
      <c r="E250" s="0" t="s">
        <v>84</v>
      </c>
      <c r="F250" s="7" t="n">
        <v>85</v>
      </c>
    </row>
    <row r="251" customFormat="false" ht="15" hidden="false" customHeight="false" outlineLevel="0" collapsed="false">
      <c r="D251" s="0" t="s">
        <v>289</v>
      </c>
      <c r="E251" s="0" t="s">
        <v>84</v>
      </c>
      <c r="F251" s="7" t="n">
        <v>10</v>
      </c>
    </row>
    <row r="252" customFormat="false" ht="15" hidden="false" customHeight="false" outlineLevel="0" collapsed="false">
      <c r="D252" s="0" t="s">
        <v>290</v>
      </c>
      <c r="E252" s="0" t="s">
        <v>84</v>
      </c>
      <c r="F252" s="7" t="n">
        <v>100</v>
      </c>
    </row>
    <row r="253" customFormat="false" ht="15" hidden="false" customHeight="false" outlineLevel="0" collapsed="false">
      <c r="D253" s="0" t="s">
        <v>291</v>
      </c>
      <c r="E253" s="0" t="s">
        <v>84</v>
      </c>
      <c r="F253" s="7" t="n">
        <v>80</v>
      </c>
    </row>
    <row r="254" customFormat="false" ht="15" hidden="false" customHeight="false" outlineLevel="0" collapsed="false">
      <c r="D254" s="0" t="s">
        <v>292</v>
      </c>
      <c r="E254" s="0" t="s">
        <v>84</v>
      </c>
      <c r="F254" s="7" t="n">
        <v>60</v>
      </c>
    </row>
    <row r="255" customFormat="false" ht="15" hidden="false" customHeight="false" outlineLevel="0" collapsed="false">
      <c r="D255" s="0" t="s">
        <v>293</v>
      </c>
      <c r="E255" s="0" t="s">
        <v>84</v>
      </c>
      <c r="F255" s="7" t="n">
        <v>30</v>
      </c>
    </row>
    <row r="256" customFormat="false" ht="15" hidden="false" customHeight="false" outlineLevel="0" collapsed="false">
      <c r="D256" s="0" t="s">
        <v>294</v>
      </c>
      <c r="E256" s="0" t="s">
        <v>295</v>
      </c>
      <c r="F256" s="7" t="n">
        <v>92</v>
      </c>
    </row>
    <row r="257" customFormat="false" ht="15" hidden="false" customHeight="false" outlineLevel="0" collapsed="false">
      <c r="D257" s="0" t="s">
        <v>296</v>
      </c>
      <c r="E257" s="0" t="s">
        <v>84</v>
      </c>
      <c r="F257" s="7" t="n">
        <v>30</v>
      </c>
    </row>
    <row r="258" customFormat="false" ht="15" hidden="false" customHeight="false" outlineLevel="0" collapsed="false">
      <c r="D258" s="0" t="s">
        <v>297</v>
      </c>
      <c r="E258" s="0" t="s">
        <v>295</v>
      </c>
      <c r="F258" s="7" t="n">
        <v>94</v>
      </c>
    </row>
    <row r="259" customFormat="false" ht="15" hidden="false" customHeight="false" outlineLevel="0" collapsed="false">
      <c r="D259" s="0" t="s">
        <v>298</v>
      </c>
      <c r="E259" s="0" t="s">
        <v>299</v>
      </c>
      <c r="F259" s="7" t="n">
        <v>0.925</v>
      </c>
    </row>
    <row r="260" customFormat="false" ht="15" hidden="false" customHeight="false" outlineLevel="0" collapsed="false">
      <c r="D260" s="0" t="s">
        <v>300</v>
      </c>
      <c r="E260" s="0" t="s">
        <v>301</v>
      </c>
      <c r="F260" s="7" t="n">
        <v>0.5</v>
      </c>
    </row>
    <row r="262" customFormat="false" ht="15" hidden="false" customHeight="false" outlineLevel="0" collapsed="false">
      <c r="A262" s="4" t="s">
        <v>302</v>
      </c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</row>
    <row r="263" customFormat="false" ht="15" hidden="false" customHeight="false" outlineLevel="0" collapsed="false">
      <c r="D263" s="0" t="s">
        <v>303</v>
      </c>
      <c r="E263" s="0" t="s">
        <v>42</v>
      </c>
      <c r="F263" s="8" t="n">
        <v>44642</v>
      </c>
    </row>
    <row r="264" customFormat="false" ht="15" hidden="false" customHeight="false" outlineLevel="0" collapsed="false">
      <c r="D264" s="0" t="s">
        <v>304</v>
      </c>
      <c r="E264" s="0" t="s">
        <v>47</v>
      </c>
      <c r="F264" s="7" t="n">
        <v>446.3</v>
      </c>
    </row>
    <row r="265" customFormat="false" ht="15" hidden="false" customHeight="false" outlineLevel="0" collapsed="false">
      <c r="D265" s="0" t="s">
        <v>305</v>
      </c>
      <c r="E265" s="0" t="s">
        <v>47</v>
      </c>
      <c r="F265" s="7" t="n">
        <v>14.9</v>
      </c>
    </row>
    <row r="266" customFormat="false" ht="15" hidden="false" customHeight="false" outlineLevel="0" collapsed="false">
      <c r="D266" s="0" t="s">
        <v>306</v>
      </c>
      <c r="E266" s="0" t="s">
        <v>42</v>
      </c>
      <c r="F266" s="8" t="n">
        <v>45169</v>
      </c>
    </row>
    <row r="267" customFormat="false" ht="15" hidden="false" customHeight="false" outlineLevel="0" collapsed="false">
      <c r="D267" s="0" t="s">
        <v>307</v>
      </c>
      <c r="E267" s="0" t="s">
        <v>47</v>
      </c>
      <c r="F267" s="7" t="n">
        <v>63.7</v>
      </c>
    </row>
    <row r="268" customFormat="false" ht="15" hidden="false" customHeight="false" outlineLevel="0" collapsed="false">
      <c r="D268" s="0" t="s">
        <v>308</v>
      </c>
      <c r="E268" s="0" t="s">
        <v>47</v>
      </c>
      <c r="F268" s="7" t="n">
        <v>2.6</v>
      </c>
    </row>
    <row r="269" customFormat="false" ht="15" hidden="false" customHeight="false" outlineLevel="0" collapsed="false">
      <c r="D269" s="0" t="s">
        <v>309</v>
      </c>
      <c r="E269" s="0" t="s">
        <v>42</v>
      </c>
      <c r="F269" s="8" t="n">
        <v>45337</v>
      </c>
    </row>
    <row r="270" customFormat="false" ht="15" hidden="false" customHeight="false" outlineLevel="0" collapsed="false">
      <c r="D270" s="0" t="s">
        <v>310</v>
      </c>
      <c r="E270" s="0" t="s">
        <v>47</v>
      </c>
      <c r="F270" s="7" t="n">
        <v>87.4</v>
      </c>
    </row>
    <row r="271" customFormat="false" ht="15" hidden="false" customHeight="false" outlineLevel="0" collapsed="false">
      <c r="D271" s="0" t="s">
        <v>311</v>
      </c>
      <c r="E271" s="0" t="s">
        <v>47</v>
      </c>
      <c r="F271" s="7" t="n">
        <v>101.9</v>
      </c>
    </row>
    <row r="272" customFormat="false" ht="15" hidden="false" customHeight="false" outlineLevel="0" collapsed="false">
      <c r="D272" s="0" t="s">
        <v>312</v>
      </c>
      <c r="E272" s="0" t="s">
        <v>295</v>
      </c>
      <c r="F272" s="7" t="n">
        <v>20</v>
      </c>
    </row>
    <row r="273" customFormat="false" ht="15" hidden="false" customHeight="false" outlineLevel="0" collapsed="false">
      <c r="D273" s="0" t="s">
        <v>313</v>
      </c>
      <c r="E273" s="0" t="s">
        <v>47</v>
      </c>
      <c r="F273" s="7" t="n">
        <v>4.4</v>
      </c>
    </row>
    <row r="275" customFormat="false" ht="15" hidden="false" customHeight="false" outlineLevel="0" collapsed="false">
      <c r="A275" s="4" t="s">
        <v>314</v>
      </c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</row>
    <row r="276" customFormat="false" ht="15" hidden="false" customHeight="false" outlineLevel="0" collapsed="false">
      <c r="D276" s="0" t="s">
        <v>315</v>
      </c>
      <c r="E276" s="0" t="s">
        <v>42</v>
      </c>
      <c r="F276" s="8" t="n">
        <v>44642</v>
      </c>
    </row>
    <row r="277" customFormat="false" ht="15" hidden="false" customHeight="false" outlineLevel="0" collapsed="false">
      <c r="D277" s="0" t="s">
        <v>316</v>
      </c>
      <c r="E277" s="0" t="s">
        <v>42</v>
      </c>
      <c r="F277" s="8" t="n">
        <v>51501</v>
      </c>
    </row>
    <row r="278" customFormat="false" ht="15" hidden="false" customHeight="false" outlineLevel="0" collapsed="false">
      <c r="D278" s="0" t="s">
        <v>317</v>
      </c>
      <c r="E278" s="0" t="s">
        <v>84</v>
      </c>
      <c r="F278" s="7" t="n">
        <v>1.625</v>
      </c>
    </row>
    <row r="279" customFormat="false" ht="15" hidden="false" customHeight="false" outlineLevel="0" collapsed="false">
      <c r="D279" s="0" t="s">
        <v>318</v>
      </c>
      <c r="E279" s="0" t="s">
        <v>84</v>
      </c>
      <c r="F279" s="7" t="n">
        <v>1.875</v>
      </c>
    </row>
    <row r="280" customFormat="false" ht="15" hidden="false" customHeight="false" outlineLevel="0" collapsed="false">
      <c r="D280" s="0" t="s">
        <v>319</v>
      </c>
      <c r="E280" s="0" t="s">
        <v>42</v>
      </c>
      <c r="F280" s="8" t="n">
        <v>46103</v>
      </c>
    </row>
    <row r="281" customFormat="false" ht="15" hidden="false" customHeight="false" outlineLevel="0" collapsed="false">
      <c r="D281" s="0" t="s">
        <v>320</v>
      </c>
      <c r="E281" s="0" t="s">
        <v>84</v>
      </c>
      <c r="F281" s="7" t="n">
        <v>1.5</v>
      </c>
    </row>
    <row r="282" customFormat="false" ht="15" hidden="false" customHeight="false" outlineLevel="0" collapsed="false">
      <c r="D282" s="0" t="s">
        <v>321</v>
      </c>
      <c r="E282" s="0" t="s">
        <v>58</v>
      </c>
      <c r="F282" s="11" t="n">
        <v>1.3</v>
      </c>
    </row>
    <row r="283" customFormat="false" ht="15" hidden="false" customHeight="false" outlineLevel="0" collapsed="false">
      <c r="D283" s="0" t="s">
        <v>322</v>
      </c>
      <c r="E283" s="0" t="s">
        <v>58</v>
      </c>
      <c r="F283" s="11" t="n">
        <v>1.4</v>
      </c>
    </row>
    <row r="284" customFormat="false" ht="15" hidden="false" customHeight="false" outlineLevel="0" collapsed="false">
      <c r="D284" s="0" t="s">
        <v>323</v>
      </c>
      <c r="E284" s="0" t="s">
        <v>58</v>
      </c>
      <c r="F284" s="11" t="n">
        <v>2</v>
      </c>
    </row>
    <row r="285" customFormat="false" ht="15" hidden="false" customHeight="false" outlineLevel="0" collapsed="false">
      <c r="D285" s="0" t="s">
        <v>324</v>
      </c>
      <c r="E285" s="0" t="s">
        <v>58</v>
      </c>
      <c r="F285" s="11" t="n">
        <v>1</v>
      </c>
    </row>
    <row r="286" customFormat="false" ht="15" hidden="false" customHeight="false" outlineLevel="0" collapsed="false">
      <c r="D286" s="0" t="s">
        <v>325</v>
      </c>
      <c r="E286" s="0" t="s">
        <v>84</v>
      </c>
      <c r="F286" s="7" t="n">
        <v>85</v>
      </c>
    </row>
    <row r="287" customFormat="false" ht="15" hidden="false" customHeight="false" outlineLevel="0" collapsed="false">
      <c r="D287" s="0" t="s">
        <v>326</v>
      </c>
      <c r="E287" s="0" t="s">
        <v>84</v>
      </c>
      <c r="F287" s="7" t="n">
        <v>2.41</v>
      </c>
    </row>
    <row r="288" customFormat="false" ht="15" hidden="false" customHeight="false" outlineLevel="0" collapsed="false">
      <c r="D288" s="0" t="s">
        <v>327</v>
      </c>
      <c r="E288" s="0" t="s">
        <v>42</v>
      </c>
      <c r="F288" s="8" t="n">
        <v>47199</v>
      </c>
    </row>
    <row r="289" customFormat="false" ht="15" hidden="false" customHeight="false" outlineLevel="0" collapsed="false">
      <c r="D289" s="0" t="s">
        <v>328</v>
      </c>
      <c r="E289" s="0" t="s">
        <v>42</v>
      </c>
      <c r="F289" s="8" t="n">
        <v>44642</v>
      </c>
    </row>
    <row r="290" customFormat="false" ht="15" hidden="false" customHeight="false" outlineLevel="0" collapsed="false">
      <c r="D290" s="0" t="s">
        <v>329</v>
      </c>
      <c r="E290" s="0" t="s">
        <v>42</v>
      </c>
      <c r="F290" s="8" t="n">
        <v>46834</v>
      </c>
    </row>
    <row r="291" customFormat="false" ht="15" hidden="false" customHeight="false" outlineLevel="0" collapsed="false">
      <c r="D291" s="0" t="s">
        <v>330</v>
      </c>
      <c r="E291" s="0" t="s">
        <v>84</v>
      </c>
      <c r="F291" s="7" t="n">
        <v>4.75</v>
      </c>
    </row>
    <row r="292" customFormat="false" ht="15" hidden="false" customHeight="false" outlineLevel="0" collapsed="false">
      <c r="D292" s="0" t="s">
        <v>331</v>
      </c>
      <c r="E292" s="0" t="s">
        <v>84</v>
      </c>
      <c r="F292" s="7" t="n">
        <v>0.5</v>
      </c>
    </row>
    <row r="293" customFormat="false" ht="15" hidden="false" customHeight="false" outlineLevel="0" collapsed="false">
      <c r="D293" s="0" t="s">
        <v>332</v>
      </c>
      <c r="E293" s="0" t="s">
        <v>333</v>
      </c>
      <c r="F293" s="7" t="n">
        <v>98</v>
      </c>
    </row>
    <row r="294" customFormat="false" ht="15" hidden="false" customHeight="false" outlineLevel="0" collapsed="false">
      <c r="D294" s="0" t="s">
        <v>334</v>
      </c>
      <c r="E294" s="0" t="s">
        <v>40</v>
      </c>
      <c r="F294" s="7" t="n">
        <v>1</v>
      </c>
    </row>
    <row r="295" customFormat="false" ht="15" hidden="false" customHeight="false" outlineLevel="0" collapsed="false">
      <c r="D295" s="0" t="s">
        <v>335</v>
      </c>
      <c r="E295" s="0" t="s">
        <v>84</v>
      </c>
      <c r="F295" s="7" t="n">
        <v>50</v>
      </c>
    </row>
    <row r="296" customFormat="false" ht="15" hidden="false" customHeight="false" outlineLevel="0" collapsed="false">
      <c r="D296" s="0" t="s">
        <v>336</v>
      </c>
      <c r="E296" s="0" t="s">
        <v>58</v>
      </c>
      <c r="F296" s="11" t="n">
        <v>1.75</v>
      </c>
    </row>
    <row r="297" customFormat="false" ht="15" hidden="false" customHeight="false" outlineLevel="0" collapsed="false">
      <c r="D297" s="0" t="s">
        <v>337</v>
      </c>
      <c r="E297" s="0" t="s">
        <v>338</v>
      </c>
      <c r="F297" s="7" t="n">
        <v>45</v>
      </c>
    </row>
    <row r="298" customFormat="false" ht="15" hidden="false" customHeight="false" outlineLevel="0" collapsed="false">
      <c r="D298" s="0" t="s">
        <v>339</v>
      </c>
      <c r="E298" s="0" t="s">
        <v>37</v>
      </c>
      <c r="F298" s="6" t="n">
        <v>2023</v>
      </c>
    </row>
    <row r="299" customFormat="false" ht="15" hidden="false" customHeight="false" outlineLevel="0" collapsed="false">
      <c r="D299" s="0" t="s">
        <v>340</v>
      </c>
      <c r="E299" s="0" t="s">
        <v>37</v>
      </c>
      <c r="F299" s="6" t="n">
        <v>2027</v>
      </c>
    </row>
    <row r="300" customFormat="false" ht="15" hidden="false" customHeight="false" outlineLevel="0" collapsed="false">
      <c r="D300" s="0" t="s">
        <v>341</v>
      </c>
      <c r="E300" s="0" t="s">
        <v>42</v>
      </c>
      <c r="F300" s="8" t="n">
        <v>45169</v>
      </c>
    </row>
    <row r="301" customFormat="false" ht="15" hidden="false" customHeight="false" outlineLevel="0" collapsed="false">
      <c r="D301" s="0" t="s">
        <v>342</v>
      </c>
      <c r="E301" s="0" t="s">
        <v>42</v>
      </c>
      <c r="F301" s="8" t="n">
        <v>47664</v>
      </c>
    </row>
    <row r="302" customFormat="false" ht="15" hidden="false" customHeight="false" outlineLevel="0" collapsed="false">
      <c r="D302" s="0" t="s">
        <v>343</v>
      </c>
      <c r="E302" s="0" t="s">
        <v>84</v>
      </c>
      <c r="F302" s="7" t="n">
        <v>2.1</v>
      </c>
    </row>
    <row r="303" customFormat="false" ht="15" hidden="false" customHeight="false" outlineLevel="0" collapsed="false">
      <c r="D303" s="0" t="s">
        <v>344</v>
      </c>
      <c r="E303" s="0" t="s">
        <v>84</v>
      </c>
      <c r="F303" s="7" t="n">
        <v>1.4</v>
      </c>
    </row>
    <row r="304" customFormat="false" ht="15" hidden="false" customHeight="false" outlineLevel="0" collapsed="false">
      <c r="D304" s="0" t="s">
        <v>345</v>
      </c>
      <c r="E304" s="0" t="s">
        <v>58</v>
      </c>
      <c r="F304" s="11" t="n">
        <v>1.35</v>
      </c>
    </row>
    <row r="305" customFormat="false" ht="15" hidden="false" customHeight="false" outlineLevel="0" collapsed="false">
      <c r="D305" s="0" t="s">
        <v>346</v>
      </c>
      <c r="E305" s="0" t="s">
        <v>84</v>
      </c>
      <c r="F305" s="7" t="n">
        <v>75</v>
      </c>
    </row>
    <row r="306" customFormat="false" ht="15" hidden="false" customHeight="false" outlineLevel="0" collapsed="false">
      <c r="D306" s="0" t="s">
        <v>347</v>
      </c>
      <c r="E306" s="0" t="s">
        <v>84</v>
      </c>
      <c r="F306" s="7" t="n">
        <v>4.38</v>
      </c>
    </row>
    <row r="307" customFormat="false" ht="15" hidden="false" customHeight="false" outlineLevel="0" collapsed="false">
      <c r="D307" s="0" t="s">
        <v>348</v>
      </c>
      <c r="E307" s="0" t="s">
        <v>42</v>
      </c>
      <c r="F307" s="8" t="n">
        <v>45337</v>
      </c>
    </row>
    <row r="308" customFormat="false" ht="15" hidden="false" customHeight="false" outlineLevel="0" collapsed="false">
      <c r="D308" s="0" t="s">
        <v>349</v>
      </c>
      <c r="E308" s="0" t="s">
        <v>42</v>
      </c>
      <c r="F308" s="8" t="n">
        <v>46834</v>
      </c>
    </row>
    <row r="309" customFormat="false" ht="15" hidden="false" customHeight="false" outlineLevel="0" collapsed="false">
      <c r="D309" s="0" t="s">
        <v>350</v>
      </c>
      <c r="E309" s="0" t="s">
        <v>84</v>
      </c>
      <c r="F309" s="7" t="n">
        <v>4.25</v>
      </c>
    </row>
    <row r="310" customFormat="false" ht="15" hidden="false" customHeight="false" outlineLevel="0" collapsed="false">
      <c r="D310" s="0" t="s">
        <v>351</v>
      </c>
      <c r="E310" s="0" t="s">
        <v>333</v>
      </c>
      <c r="F310" s="7" t="n">
        <v>99</v>
      </c>
    </row>
    <row r="311" customFormat="false" ht="15" hidden="false" customHeight="false" outlineLevel="0" collapsed="false">
      <c r="D311" s="0" t="s">
        <v>352</v>
      </c>
      <c r="E311" s="0" t="s">
        <v>40</v>
      </c>
      <c r="F311" s="7" t="n">
        <v>1</v>
      </c>
    </row>
    <row r="312" customFormat="false" ht="15" hidden="false" customHeight="false" outlineLevel="0" collapsed="false">
      <c r="D312" s="0" t="s">
        <v>353</v>
      </c>
      <c r="E312" s="0" t="s">
        <v>37</v>
      </c>
      <c r="F312" s="6" t="n">
        <v>2025</v>
      </c>
    </row>
    <row r="313" customFormat="false" ht="15" hidden="false" customHeight="false" outlineLevel="0" collapsed="false">
      <c r="D313" s="0" t="s">
        <v>354</v>
      </c>
      <c r="E313" s="0" t="s">
        <v>37</v>
      </c>
      <c r="F313" s="6" t="n">
        <v>2027</v>
      </c>
    </row>
    <row r="314" customFormat="false" ht="15" hidden="false" customHeight="false" outlineLevel="0" collapsed="false">
      <c r="D314" s="0" t="s">
        <v>355</v>
      </c>
      <c r="E314" s="0" t="s">
        <v>37</v>
      </c>
      <c r="F314" s="6" t="n">
        <v>2025</v>
      </c>
    </row>
    <row r="315" customFormat="false" ht="15" hidden="false" customHeight="false" outlineLevel="0" collapsed="false">
      <c r="D315" s="0" t="s">
        <v>356</v>
      </c>
      <c r="E315" s="0" t="s">
        <v>42</v>
      </c>
      <c r="F315" s="8" t="n">
        <v>46022</v>
      </c>
    </row>
    <row r="316" customFormat="false" ht="15" hidden="false" customHeight="false" outlineLevel="0" collapsed="false">
      <c r="D316" s="0" t="s">
        <v>357</v>
      </c>
      <c r="E316" s="0" t="s">
        <v>37</v>
      </c>
      <c r="F316" s="6" t="n">
        <v>2026</v>
      </c>
    </row>
    <row r="317" customFormat="false" ht="15" hidden="false" customHeight="false" outlineLevel="0" collapsed="false">
      <c r="D317" s="0" t="s">
        <v>358</v>
      </c>
      <c r="E317" s="0" t="s">
        <v>51</v>
      </c>
      <c r="F317" s="6" t="n">
        <v>7</v>
      </c>
    </row>
    <row r="318" customFormat="false" ht="15" hidden="false" customHeight="false" outlineLevel="0" collapsed="false">
      <c r="D318" s="0" t="s">
        <v>359</v>
      </c>
      <c r="E318" s="0" t="s">
        <v>84</v>
      </c>
      <c r="F318" s="7" t="n">
        <v>5.71</v>
      </c>
    </row>
    <row r="319" customFormat="false" ht="15" hidden="false" customHeight="false" outlineLevel="0" collapsed="false">
      <c r="D319" s="0" t="s">
        <v>360</v>
      </c>
      <c r="E319" s="0" t="s">
        <v>51</v>
      </c>
      <c r="F319" s="6" t="n">
        <v>12</v>
      </c>
    </row>
    <row r="320" customFormat="false" ht="15" hidden="false" customHeight="false" outlineLevel="0" collapsed="false">
      <c r="D320" s="0" t="s">
        <v>361</v>
      </c>
      <c r="E320" s="0" t="s">
        <v>84</v>
      </c>
      <c r="F320" s="7" t="n">
        <v>6.08</v>
      </c>
    </row>
    <row r="321" customFormat="false" ht="15" hidden="false" customHeight="false" outlineLevel="0" collapsed="false">
      <c r="D321" s="0" t="s">
        <v>362</v>
      </c>
      <c r="E321" s="0" t="s">
        <v>51</v>
      </c>
      <c r="F321" s="6" t="n">
        <v>18</v>
      </c>
    </row>
    <row r="322" customFormat="false" ht="15" hidden="false" customHeight="false" outlineLevel="0" collapsed="false">
      <c r="D322" s="0" t="s">
        <v>363</v>
      </c>
      <c r="E322" s="0" t="s">
        <v>84</v>
      </c>
      <c r="F322" s="7" t="n">
        <v>6.39</v>
      </c>
    </row>
    <row r="323" customFormat="false" ht="15" hidden="false" customHeight="false" outlineLevel="0" collapsed="false">
      <c r="D323" s="0" t="s">
        <v>364</v>
      </c>
      <c r="E323" s="0" t="s">
        <v>58</v>
      </c>
      <c r="F323" s="11" t="n">
        <v>1.35</v>
      </c>
    </row>
    <row r="324" customFormat="false" ht="15" hidden="false" customHeight="false" outlineLevel="0" collapsed="false">
      <c r="D324" s="0" t="s">
        <v>365</v>
      </c>
      <c r="E324" s="0" t="s">
        <v>58</v>
      </c>
      <c r="F324" s="11" t="n">
        <v>1.5</v>
      </c>
    </row>
    <row r="325" customFormat="false" ht="15" hidden="false" customHeight="false" outlineLevel="0" collapsed="false">
      <c r="D325" s="0" t="s">
        <v>366</v>
      </c>
      <c r="E325" s="0" t="s">
        <v>58</v>
      </c>
      <c r="F325" s="11" t="n">
        <v>2.25</v>
      </c>
    </row>
    <row r="326" customFormat="false" ht="15" hidden="false" customHeight="false" outlineLevel="0" collapsed="false">
      <c r="D326" s="0" t="s">
        <v>367</v>
      </c>
      <c r="E326" s="0" t="s">
        <v>58</v>
      </c>
      <c r="F326" s="11" t="n">
        <v>1.05</v>
      </c>
    </row>
    <row r="327" customFormat="false" ht="15" hidden="false" customHeight="false" outlineLevel="0" collapsed="false">
      <c r="D327" s="0" t="s">
        <v>368</v>
      </c>
      <c r="E327" s="0" t="s">
        <v>369</v>
      </c>
      <c r="F327" s="7" t="n">
        <v>1.1</v>
      </c>
    </row>
    <row r="328" customFormat="false" ht="15" hidden="false" customHeight="false" outlineLevel="0" collapsed="false">
      <c r="D328" s="0" t="s">
        <v>370</v>
      </c>
      <c r="E328" s="0" t="s">
        <v>84</v>
      </c>
      <c r="F328" s="7" t="n">
        <v>3.55</v>
      </c>
    </row>
    <row r="329" customFormat="false" ht="15" hidden="false" customHeight="false" outlineLevel="0" collapsed="false">
      <c r="D329" s="0" t="s">
        <v>371</v>
      </c>
      <c r="E329" s="0" t="s">
        <v>84</v>
      </c>
      <c r="F329" s="7" t="n">
        <v>3.5</v>
      </c>
    </row>
    <row r="330" customFormat="false" ht="15" hidden="false" customHeight="false" outlineLevel="0" collapsed="false">
      <c r="D330" s="0" t="s">
        <v>372</v>
      </c>
      <c r="E330" s="0" t="s">
        <v>42</v>
      </c>
      <c r="F330" s="8" t="n">
        <v>48213</v>
      </c>
    </row>
    <row r="331" customFormat="false" ht="15" hidden="false" customHeight="false" outlineLevel="0" collapsed="false">
      <c r="D331" s="0" t="s">
        <v>373</v>
      </c>
      <c r="E331" s="0" t="s">
        <v>333</v>
      </c>
      <c r="F331" s="7" t="n">
        <v>99.5</v>
      </c>
    </row>
    <row r="332" customFormat="false" ht="15" hidden="false" customHeight="false" outlineLevel="0" collapsed="false">
      <c r="D332" s="0" t="s">
        <v>374</v>
      </c>
      <c r="E332" s="0" t="s">
        <v>40</v>
      </c>
      <c r="F332" s="7" t="n">
        <v>1</v>
      </c>
    </row>
    <row r="333" customFormat="false" ht="15" hidden="false" customHeight="false" outlineLevel="0" collapsed="false">
      <c r="D333" s="0" t="s">
        <v>375</v>
      </c>
      <c r="E333" s="0" t="s">
        <v>37</v>
      </c>
      <c r="F333" s="6" t="n">
        <v>2026</v>
      </c>
    </row>
    <row r="334" customFormat="false" ht="15" hidden="false" customHeight="false" outlineLevel="0" collapsed="false">
      <c r="D334" s="0" t="s">
        <v>376</v>
      </c>
      <c r="E334" s="0" t="s">
        <v>37</v>
      </c>
      <c r="F334" s="6" t="n">
        <v>2031</v>
      </c>
    </row>
    <row r="336" customFormat="false" ht="15" hidden="false" customHeight="false" outlineLevel="0" collapsed="false">
      <c r="A336" s="4" t="s">
        <v>377</v>
      </c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</row>
    <row r="337" customFormat="false" ht="15" hidden="false" customHeight="false" outlineLevel="0" collapsed="false">
      <c r="D337" s="0" t="s">
        <v>378</v>
      </c>
      <c r="E337" s="0" t="s">
        <v>84</v>
      </c>
      <c r="F337" s="7" t="n">
        <v>6.75</v>
      </c>
    </row>
    <row r="338" customFormat="false" ht="15" hidden="false" customHeight="false" outlineLevel="0" collapsed="false">
      <c r="D338" s="0" t="s">
        <v>379</v>
      </c>
      <c r="E338" s="0" t="s">
        <v>84</v>
      </c>
      <c r="F338" s="7" t="n">
        <v>7.75</v>
      </c>
    </row>
    <row r="339" customFormat="false" ht="15" hidden="false" customHeight="false" outlineLevel="0" collapsed="false">
      <c r="D339" s="0" t="s">
        <v>380</v>
      </c>
      <c r="E339" s="0" t="s">
        <v>84</v>
      </c>
      <c r="F339" s="7" t="n">
        <v>9.25</v>
      </c>
    </row>
    <row r="340" customFormat="false" ht="15" hidden="false" customHeight="false" outlineLevel="0" collapsed="false">
      <c r="D340" s="0" t="s">
        <v>381</v>
      </c>
      <c r="E340" s="0" t="s">
        <v>84</v>
      </c>
      <c r="F340" s="7" t="n">
        <v>10.25</v>
      </c>
    </row>
    <row r="341" customFormat="false" ht="15" hidden="false" customHeight="false" outlineLevel="0" collapsed="false">
      <c r="D341" s="0" t="s">
        <v>382</v>
      </c>
      <c r="E341" s="0" t="s">
        <v>84</v>
      </c>
      <c r="F341" s="7" t="n">
        <v>10.5</v>
      </c>
    </row>
    <row r="342" customFormat="false" ht="15" hidden="false" customHeight="false" outlineLevel="0" collapsed="false">
      <c r="D342" s="0" t="s">
        <v>383</v>
      </c>
      <c r="E342" s="0" t="s">
        <v>37</v>
      </c>
      <c r="F342" s="6" t="n">
        <v>2040</v>
      </c>
    </row>
    <row r="343" customFormat="false" ht="15" hidden="false" customHeight="false" outlineLevel="0" collapsed="false">
      <c r="D343" s="0" t="s">
        <v>384</v>
      </c>
      <c r="E343" s="0" t="s">
        <v>84</v>
      </c>
      <c r="F343" s="7" t="n">
        <v>8.25</v>
      </c>
    </row>
    <row r="344" customFormat="false" ht="15" hidden="false" customHeight="false" outlineLevel="0" collapsed="false">
      <c r="D344" s="0" t="s">
        <v>385</v>
      </c>
      <c r="E344" s="0" t="s">
        <v>84</v>
      </c>
      <c r="F344" s="7" t="n">
        <v>9.5</v>
      </c>
    </row>
    <row r="345" customFormat="false" ht="15" hidden="false" customHeight="false" outlineLevel="0" collapsed="false">
      <c r="D345" s="0" t="s">
        <v>386</v>
      </c>
      <c r="E345" s="0" t="s">
        <v>84</v>
      </c>
      <c r="F345" s="7" t="n">
        <v>11.5</v>
      </c>
    </row>
    <row r="346" customFormat="false" ht="15" hidden="false" customHeight="false" outlineLevel="0" collapsed="false">
      <c r="D346" s="0" t="s">
        <v>387</v>
      </c>
      <c r="E346" s="0" t="s">
        <v>84</v>
      </c>
      <c r="F346" s="7" t="n">
        <v>12.5</v>
      </c>
    </row>
    <row r="347" customFormat="false" ht="15" hidden="false" customHeight="false" outlineLevel="0" collapsed="false">
      <c r="D347" s="0" t="s">
        <v>388</v>
      </c>
      <c r="E347" s="0" t="s">
        <v>42</v>
      </c>
      <c r="F347" s="8" t="n">
        <v>46022</v>
      </c>
    </row>
    <row r="349" customFormat="false" ht="15" hidden="false" customHeight="false" outlineLevel="0" collapsed="false">
      <c r="A349" s="4" t="s">
        <v>389</v>
      </c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</row>
    <row r="350" customFormat="false" ht="15" hidden="false" customHeight="false" outlineLevel="0" collapsed="false">
      <c r="D350" s="0" t="s">
        <v>390</v>
      </c>
      <c r="E350" s="0" t="s">
        <v>233</v>
      </c>
      <c r="F350" s="7" t="n">
        <v>72</v>
      </c>
    </row>
    <row r="351" customFormat="false" ht="15" hidden="false" customHeight="false" outlineLevel="0" collapsed="false">
      <c r="D351" s="0" t="s">
        <v>391</v>
      </c>
      <c r="E351" s="0" t="s">
        <v>96</v>
      </c>
      <c r="F351" s="7" t="n">
        <v>5000</v>
      </c>
    </row>
    <row r="352" customFormat="false" ht="15" hidden="false" customHeight="false" outlineLevel="0" collapsed="false">
      <c r="D352" s="0" t="s">
        <v>392</v>
      </c>
      <c r="E352" s="0" t="s">
        <v>84</v>
      </c>
      <c r="F352" s="7" t="n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4" topLeftCell="J5" activePane="bottomRight" state="frozen"/>
      <selection pane="topLeft" activeCell="A1" activeCellId="0" sqref="A1"/>
      <selection pane="topRight" activeCell="J1" activeCellId="0" sqref="J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393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E4" s="0" t="s">
        <v>37</v>
      </c>
      <c r="J4" s="12" t="n">
        <f aca="false">Inputs!$F$23</f>
        <v>2022</v>
      </c>
      <c r="K4" s="12" t="n">
        <f aca="false">J4+1</f>
        <v>2023</v>
      </c>
      <c r="L4" s="12" t="n">
        <f aca="false">K4+1</f>
        <v>2024</v>
      </c>
      <c r="M4" s="12" t="n">
        <f aca="false">L4+1</f>
        <v>2025</v>
      </c>
      <c r="N4" s="12" t="n">
        <f aca="false">M4+1</f>
        <v>2026</v>
      </c>
      <c r="O4" s="12" t="n">
        <f aca="false">N4+1</f>
        <v>2027</v>
      </c>
      <c r="P4" s="12" t="n">
        <f aca="false">O4+1</f>
        <v>2028</v>
      </c>
      <c r="Q4" s="12" t="n">
        <f aca="false">P4+1</f>
        <v>2029</v>
      </c>
      <c r="R4" s="12" t="n">
        <f aca="false">Q4+1</f>
        <v>2030</v>
      </c>
      <c r="S4" s="12" t="n">
        <f aca="false">R4+1</f>
        <v>2031</v>
      </c>
      <c r="T4" s="12" t="n">
        <f aca="false">S4+1</f>
        <v>2032</v>
      </c>
      <c r="U4" s="12" t="n">
        <f aca="false">T4+1</f>
        <v>2033</v>
      </c>
      <c r="V4" s="12" t="n">
        <f aca="false">U4+1</f>
        <v>2034</v>
      </c>
      <c r="W4" s="12" t="n">
        <f aca="false">V4+1</f>
        <v>2035</v>
      </c>
      <c r="X4" s="12" t="n">
        <f aca="false">W4+1</f>
        <v>2036</v>
      </c>
      <c r="Y4" s="12" t="n">
        <f aca="false">X4+1</f>
        <v>2037</v>
      </c>
      <c r="Z4" s="12" t="n">
        <f aca="false">Y4+1</f>
        <v>2038</v>
      </c>
      <c r="AA4" s="12" t="n">
        <f aca="false">Z4+1</f>
        <v>2039</v>
      </c>
      <c r="AB4" s="12" t="n">
        <f aca="false">AA4+1</f>
        <v>2040</v>
      </c>
      <c r="AC4" s="12" t="n">
        <f aca="false">AB4+1</f>
        <v>2041</v>
      </c>
      <c r="AD4" s="12" t="n">
        <f aca="false">AC4+1</f>
        <v>2042</v>
      </c>
      <c r="AE4" s="12" t="n">
        <f aca="false">AD4+1</f>
        <v>2043</v>
      </c>
      <c r="AF4" s="12" t="n">
        <f aca="false">AE4+1</f>
        <v>2044</v>
      </c>
      <c r="AG4" s="12" t="n">
        <f aca="false">AF4+1</f>
        <v>2045</v>
      </c>
      <c r="AH4" s="12" t="n">
        <f aca="false">AG4+1</f>
        <v>2046</v>
      </c>
      <c r="AI4" s="12" t="n">
        <f aca="false">AH4+1</f>
        <v>2047</v>
      </c>
      <c r="AJ4" s="12" t="n">
        <f aca="false">AI4+1</f>
        <v>2048</v>
      </c>
      <c r="AK4" s="12" t="n">
        <f aca="false">AJ4+1</f>
        <v>2049</v>
      </c>
      <c r="AL4" s="12" t="n">
        <f aca="false">AK4+1</f>
        <v>2050</v>
      </c>
      <c r="AM4" s="12" t="n">
        <f aca="false">AL4+1</f>
        <v>2051</v>
      </c>
      <c r="AN4" s="12" t="n">
        <f aca="false">AM4+1</f>
        <v>2052</v>
      </c>
      <c r="AO4" s="12" t="n">
        <f aca="false">AN4+1</f>
        <v>2053</v>
      </c>
      <c r="AP4" s="12" t="n">
        <f aca="false">AO4+1</f>
        <v>2054</v>
      </c>
      <c r="AQ4" s="12" t="n">
        <f aca="false">AP4+1</f>
        <v>2055</v>
      </c>
      <c r="AR4" s="12" t="n">
        <f aca="false">AQ4+1</f>
        <v>2056</v>
      </c>
      <c r="AS4" s="12" t="n">
        <f aca="false">AR4+1</f>
        <v>2057</v>
      </c>
      <c r="AT4" s="12" t="n">
        <f aca="false">AS4+1</f>
        <v>2058</v>
      </c>
      <c r="AU4" s="12" t="n">
        <f aca="false">AT4+1</f>
        <v>2059</v>
      </c>
    </row>
    <row r="5" customFormat="false" ht="15" hidden="false" customHeight="false" outlineLevel="0" collapsed="false">
      <c r="D5" s="0" t="s">
        <v>394</v>
      </c>
      <c r="E5" s="0" t="s">
        <v>42</v>
      </c>
      <c r="J5" s="13" t="n">
        <f aca="false">DATE(J4,1,1)-1</f>
        <v>44561</v>
      </c>
      <c r="K5" s="13" t="n">
        <f aca="false">DATE(K4,1,1)-1</f>
        <v>44926</v>
      </c>
      <c r="L5" s="13" t="n">
        <f aca="false">DATE(L4,1,1)-1</f>
        <v>45291</v>
      </c>
      <c r="M5" s="13" t="n">
        <f aca="false">DATE(M4,1,1)-1</f>
        <v>45657</v>
      </c>
      <c r="N5" s="13" t="n">
        <f aca="false">DATE(N4,1,1)-1</f>
        <v>46022</v>
      </c>
      <c r="O5" s="13" t="n">
        <f aca="false">DATE(O4,1,1)-1</f>
        <v>46387</v>
      </c>
      <c r="P5" s="13" t="n">
        <f aca="false">DATE(P4,1,1)-1</f>
        <v>46752</v>
      </c>
      <c r="Q5" s="13" t="n">
        <f aca="false">DATE(Q4,1,1)-1</f>
        <v>47118</v>
      </c>
      <c r="R5" s="13" t="n">
        <f aca="false">DATE(R4,1,1)-1</f>
        <v>47483</v>
      </c>
      <c r="S5" s="13" t="n">
        <f aca="false">DATE(S4,1,1)-1</f>
        <v>47848</v>
      </c>
      <c r="T5" s="13" t="n">
        <f aca="false">DATE(T4,1,1)-1</f>
        <v>48213</v>
      </c>
      <c r="U5" s="13" t="n">
        <f aca="false">DATE(U4,1,1)-1</f>
        <v>48579</v>
      </c>
      <c r="V5" s="13" t="n">
        <f aca="false">DATE(V4,1,1)-1</f>
        <v>48944</v>
      </c>
      <c r="W5" s="13" t="n">
        <f aca="false">DATE(W4,1,1)-1</f>
        <v>49309</v>
      </c>
      <c r="X5" s="13" t="n">
        <f aca="false">DATE(X4,1,1)-1</f>
        <v>49674</v>
      </c>
      <c r="Y5" s="13" t="n">
        <f aca="false">DATE(Y4,1,1)-1</f>
        <v>50040</v>
      </c>
      <c r="Z5" s="13" t="n">
        <f aca="false">DATE(Z4,1,1)-1</f>
        <v>50405</v>
      </c>
      <c r="AA5" s="13" t="n">
        <f aca="false">DATE(AA4,1,1)-1</f>
        <v>50770</v>
      </c>
      <c r="AB5" s="13" t="n">
        <f aca="false">DATE(AB4,1,1)-1</f>
        <v>51135</v>
      </c>
      <c r="AC5" s="13" t="n">
        <f aca="false">DATE(AC4,1,1)-1</f>
        <v>51501</v>
      </c>
      <c r="AD5" s="13" t="n">
        <f aca="false">DATE(AD4,1,1)-1</f>
        <v>51866</v>
      </c>
      <c r="AE5" s="13" t="n">
        <f aca="false">DATE(AE4,1,1)-1</f>
        <v>52231</v>
      </c>
      <c r="AF5" s="13" t="n">
        <f aca="false">DATE(AF4,1,1)-1</f>
        <v>52596</v>
      </c>
      <c r="AG5" s="13" t="n">
        <f aca="false">DATE(AG4,1,1)-1</f>
        <v>52962</v>
      </c>
      <c r="AH5" s="13" t="n">
        <f aca="false">DATE(AH4,1,1)-1</f>
        <v>53327</v>
      </c>
      <c r="AI5" s="13" t="n">
        <f aca="false">DATE(AI4,1,1)-1</f>
        <v>53692</v>
      </c>
      <c r="AJ5" s="13" t="n">
        <f aca="false">DATE(AJ4,1,1)-1</f>
        <v>54057</v>
      </c>
      <c r="AK5" s="13" t="n">
        <f aca="false">DATE(AK4,1,1)-1</f>
        <v>54423</v>
      </c>
      <c r="AL5" s="13" t="n">
        <f aca="false">DATE(AL4,1,1)-1</f>
        <v>54788</v>
      </c>
      <c r="AM5" s="13" t="n">
        <f aca="false">DATE(AM4,1,1)-1</f>
        <v>55153</v>
      </c>
      <c r="AN5" s="13" t="n">
        <f aca="false">DATE(AN4,1,1)-1</f>
        <v>55518</v>
      </c>
      <c r="AO5" s="13" t="n">
        <f aca="false">DATE(AO4,1,1)-1</f>
        <v>55884</v>
      </c>
      <c r="AP5" s="13" t="n">
        <f aca="false">DATE(AP4,1,1)-1</f>
        <v>56249</v>
      </c>
      <c r="AQ5" s="13" t="n">
        <f aca="false">DATE(AQ4,1,1)-1</f>
        <v>56614</v>
      </c>
      <c r="AR5" s="13" t="n">
        <f aca="false">DATE(AR4,1,1)-1</f>
        <v>56979</v>
      </c>
      <c r="AS5" s="13" t="n">
        <f aca="false">DATE(AS4,1,1)-1</f>
        <v>57345</v>
      </c>
      <c r="AT5" s="13" t="n">
        <f aca="false">DATE(AT4,1,1)-1</f>
        <v>57710</v>
      </c>
      <c r="AU5" s="13" t="n">
        <f aca="false">DATE(AU4,1,1)-1</f>
        <v>58075</v>
      </c>
    </row>
    <row r="6" customFormat="false" ht="15" hidden="false" customHeight="false" outlineLevel="0" collapsed="false">
      <c r="D6" s="0" t="s">
        <v>395</v>
      </c>
      <c r="E6" s="0" t="s">
        <v>42</v>
      </c>
      <c r="J6" s="13" t="n">
        <f aca="false">DATE(J4+1,1,1)-1</f>
        <v>44926</v>
      </c>
      <c r="K6" s="13" t="n">
        <f aca="false">DATE(K4+1,1,1)-1</f>
        <v>45291</v>
      </c>
      <c r="L6" s="13" t="n">
        <f aca="false">DATE(L4+1,1,1)-1</f>
        <v>45657</v>
      </c>
      <c r="M6" s="13" t="n">
        <f aca="false">DATE(M4+1,1,1)-1</f>
        <v>46022</v>
      </c>
      <c r="N6" s="13" t="n">
        <f aca="false">DATE(N4+1,1,1)-1</f>
        <v>46387</v>
      </c>
      <c r="O6" s="13" t="n">
        <f aca="false">DATE(O4+1,1,1)-1</f>
        <v>46752</v>
      </c>
      <c r="P6" s="13" t="n">
        <f aca="false">DATE(P4+1,1,1)-1</f>
        <v>47118</v>
      </c>
      <c r="Q6" s="13" t="n">
        <f aca="false">DATE(Q4+1,1,1)-1</f>
        <v>47483</v>
      </c>
      <c r="R6" s="13" t="n">
        <f aca="false">DATE(R4+1,1,1)-1</f>
        <v>47848</v>
      </c>
      <c r="S6" s="13" t="n">
        <f aca="false">DATE(S4+1,1,1)-1</f>
        <v>48213</v>
      </c>
      <c r="T6" s="13" t="n">
        <f aca="false">DATE(T4+1,1,1)-1</f>
        <v>48579</v>
      </c>
      <c r="U6" s="13" t="n">
        <f aca="false">DATE(U4+1,1,1)-1</f>
        <v>48944</v>
      </c>
      <c r="V6" s="13" t="n">
        <f aca="false">DATE(V4+1,1,1)-1</f>
        <v>49309</v>
      </c>
      <c r="W6" s="13" t="n">
        <f aca="false">DATE(W4+1,1,1)-1</f>
        <v>49674</v>
      </c>
      <c r="X6" s="13" t="n">
        <f aca="false">DATE(X4+1,1,1)-1</f>
        <v>50040</v>
      </c>
      <c r="Y6" s="13" t="n">
        <f aca="false">DATE(Y4+1,1,1)-1</f>
        <v>50405</v>
      </c>
      <c r="Z6" s="13" t="n">
        <f aca="false">DATE(Z4+1,1,1)-1</f>
        <v>50770</v>
      </c>
      <c r="AA6" s="13" t="n">
        <f aca="false">DATE(AA4+1,1,1)-1</f>
        <v>51135</v>
      </c>
      <c r="AB6" s="13" t="n">
        <f aca="false">DATE(AB4+1,1,1)-1</f>
        <v>51501</v>
      </c>
      <c r="AC6" s="13" t="n">
        <f aca="false">DATE(AC4+1,1,1)-1</f>
        <v>51866</v>
      </c>
      <c r="AD6" s="13" t="n">
        <f aca="false">DATE(AD4+1,1,1)-1</f>
        <v>52231</v>
      </c>
      <c r="AE6" s="13" t="n">
        <f aca="false">DATE(AE4+1,1,1)-1</f>
        <v>52596</v>
      </c>
      <c r="AF6" s="13" t="n">
        <f aca="false">DATE(AF4+1,1,1)-1</f>
        <v>52962</v>
      </c>
      <c r="AG6" s="13" t="n">
        <f aca="false">DATE(AG4+1,1,1)-1</f>
        <v>53327</v>
      </c>
      <c r="AH6" s="13" t="n">
        <f aca="false">DATE(AH4+1,1,1)-1</f>
        <v>53692</v>
      </c>
      <c r="AI6" s="13" t="n">
        <f aca="false">DATE(AI4+1,1,1)-1</f>
        <v>54057</v>
      </c>
      <c r="AJ6" s="13" t="n">
        <f aca="false">DATE(AJ4+1,1,1)-1</f>
        <v>54423</v>
      </c>
      <c r="AK6" s="13" t="n">
        <f aca="false">DATE(AK4+1,1,1)-1</f>
        <v>54788</v>
      </c>
      <c r="AL6" s="13" t="n">
        <f aca="false">DATE(AL4+1,1,1)-1</f>
        <v>55153</v>
      </c>
      <c r="AM6" s="13" t="n">
        <f aca="false">DATE(AM4+1,1,1)-1</f>
        <v>55518</v>
      </c>
      <c r="AN6" s="13" t="n">
        <f aca="false">DATE(AN4+1,1,1)-1</f>
        <v>55884</v>
      </c>
      <c r="AO6" s="13" t="n">
        <f aca="false">DATE(AO4+1,1,1)-1</f>
        <v>56249</v>
      </c>
      <c r="AP6" s="13" t="n">
        <f aca="false">DATE(AP4+1,1,1)-1</f>
        <v>56614</v>
      </c>
      <c r="AQ6" s="13" t="n">
        <f aca="false">DATE(AQ4+1,1,1)-1</f>
        <v>56979</v>
      </c>
      <c r="AR6" s="13" t="n">
        <f aca="false">DATE(AR4+1,1,1)-1</f>
        <v>57345</v>
      </c>
      <c r="AS6" s="13" t="n">
        <f aca="false">DATE(AS4+1,1,1)-1</f>
        <v>57710</v>
      </c>
      <c r="AT6" s="13" t="n">
        <f aca="false">DATE(AT4+1,1,1)-1</f>
        <v>58075</v>
      </c>
      <c r="AU6" s="13" t="n">
        <f aca="false">DATE(AU4+1,1,1)-1</f>
        <v>58440</v>
      </c>
    </row>
    <row r="7" customFormat="false" ht="15" hidden="false" customHeight="false" outlineLevel="0" collapsed="false">
      <c r="D7" s="0" t="s">
        <v>396</v>
      </c>
      <c r="E7" s="0" t="s">
        <v>44</v>
      </c>
      <c r="J7" s="12" t="n">
        <f aca="false">J6-J5</f>
        <v>365</v>
      </c>
      <c r="K7" s="12" t="n">
        <f aca="false">K6-K5</f>
        <v>365</v>
      </c>
      <c r="L7" s="12" t="n">
        <f aca="false">L6-L5</f>
        <v>366</v>
      </c>
      <c r="M7" s="12" t="n">
        <f aca="false">M6-M5</f>
        <v>365</v>
      </c>
      <c r="N7" s="12" t="n">
        <f aca="false">N6-N5</f>
        <v>365</v>
      </c>
      <c r="O7" s="12" t="n">
        <f aca="false">O6-O5</f>
        <v>365</v>
      </c>
      <c r="P7" s="12" t="n">
        <f aca="false">P6-P5</f>
        <v>366</v>
      </c>
      <c r="Q7" s="12" t="n">
        <f aca="false">Q6-Q5</f>
        <v>365</v>
      </c>
      <c r="R7" s="12" t="n">
        <f aca="false">R6-R5</f>
        <v>365</v>
      </c>
      <c r="S7" s="12" t="n">
        <f aca="false">S6-S5</f>
        <v>365</v>
      </c>
      <c r="T7" s="12" t="n">
        <f aca="false">T6-T5</f>
        <v>366</v>
      </c>
      <c r="U7" s="12" t="n">
        <f aca="false">U6-U5</f>
        <v>365</v>
      </c>
      <c r="V7" s="12" t="n">
        <f aca="false">V6-V5</f>
        <v>365</v>
      </c>
      <c r="W7" s="12" t="n">
        <f aca="false">W6-W5</f>
        <v>365</v>
      </c>
      <c r="X7" s="12" t="n">
        <f aca="false">X6-X5</f>
        <v>366</v>
      </c>
      <c r="Y7" s="12" t="n">
        <f aca="false">Y6-Y5</f>
        <v>365</v>
      </c>
      <c r="Z7" s="12" t="n">
        <f aca="false">Z6-Z5</f>
        <v>365</v>
      </c>
      <c r="AA7" s="12" t="n">
        <f aca="false">AA6-AA5</f>
        <v>365</v>
      </c>
      <c r="AB7" s="12" t="n">
        <f aca="false">AB6-AB5</f>
        <v>366</v>
      </c>
      <c r="AC7" s="12" t="n">
        <f aca="false">AC6-AC5</f>
        <v>365</v>
      </c>
      <c r="AD7" s="12" t="n">
        <f aca="false">AD6-AD5</f>
        <v>365</v>
      </c>
      <c r="AE7" s="12" t="n">
        <f aca="false">AE6-AE5</f>
        <v>365</v>
      </c>
      <c r="AF7" s="12" t="n">
        <f aca="false">AF6-AF5</f>
        <v>366</v>
      </c>
      <c r="AG7" s="12" t="n">
        <f aca="false">AG6-AG5</f>
        <v>365</v>
      </c>
      <c r="AH7" s="12" t="n">
        <f aca="false">AH6-AH5</f>
        <v>365</v>
      </c>
      <c r="AI7" s="12" t="n">
        <f aca="false">AI6-AI5</f>
        <v>365</v>
      </c>
      <c r="AJ7" s="12" t="n">
        <f aca="false">AJ6-AJ5</f>
        <v>366</v>
      </c>
      <c r="AK7" s="12" t="n">
        <f aca="false">AK6-AK5</f>
        <v>365</v>
      </c>
      <c r="AL7" s="12" t="n">
        <f aca="false">AL6-AL5</f>
        <v>365</v>
      </c>
      <c r="AM7" s="12" t="n">
        <f aca="false">AM6-AM5</f>
        <v>365</v>
      </c>
      <c r="AN7" s="12" t="n">
        <f aca="false">AN6-AN5</f>
        <v>366</v>
      </c>
      <c r="AO7" s="12" t="n">
        <f aca="false">AO6-AO5</f>
        <v>365</v>
      </c>
      <c r="AP7" s="12" t="n">
        <f aca="false">AP6-AP5</f>
        <v>365</v>
      </c>
      <c r="AQ7" s="12" t="n">
        <f aca="false">AQ6-AQ5</f>
        <v>365</v>
      </c>
      <c r="AR7" s="12" t="n">
        <f aca="false">AR6-AR5</f>
        <v>366</v>
      </c>
      <c r="AS7" s="12" t="n">
        <f aca="false">AS6-AS5</f>
        <v>365</v>
      </c>
      <c r="AT7" s="12" t="n">
        <f aca="false">AT6-AT5</f>
        <v>365</v>
      </c>
      <c r="AU7" s="12" t="n">
        <f aca="false">AU6-AU5</f>
        <v>365</v>
      </c>
    </row>
    <row r="8" customFormat="false" ht="15" hidden="false" customHeight="false" outlineLevel="0" collapsed="false">
      <c r="D8" s="0" t="s">
        <v>397</v>
      </c>
      <c r="E8" s="0" t="s">
        <v>51</v>
      </c>
      <c r="J8" s="12" t="n">
        <f aca="false">J4-Inputs!$F$24</f>
        <v>0</v>
      </c>
      <c r="K8" s="12" t="n">
        <f aca="false">K4-Inputs!$F$24</f>
        <v>1</v>
      </c>
      <c r="L8" s="12" t="n">
        <f aca="false">L4-Inputs!$F$24</f>
        <v>2</v>
      </c>
      <c r="M8" s="12" t="n">
        <f aca="false">M4-Inputs!$F$24</f>
        <v>3</v>
      </c>
      <c r="N8" s="12" t="n">
        <f aca="false">N4-Inputs!$F$24</f>
        <v>4</v>
      </c>
      <c r="O8" s="12" t="n">
        <f aca="false">O4-Inputs!$F$24</f>
        <v>5</v>
      </c>
      <c r="P8" s="12" t="n">
        <f aca="false">P4-Inputs!$F$24</f>
        <v>6</v>
      </c>
      <c r="Q8" s="12" t="n">
        <f aca="false">Q4-Inputs!$F$24</f>
        <v>7</v>
      </c>
      <c r="R8" s="12" t="n">
        <f aca="false">R4-Inputs!$F$24</f>
        <v>8</v>
      </c>
      <c r="S8" s="12" t="n">
        <f aca="false">S4-Inputs!$F$24</f>
        <v>9</v>
      </c>
      <c r="T8" s="12" t="n">
        <f aca="false">T4-Inputs!$F$24</f>
        <v>10</v>
      </c>
      <c r="U8" s="12" t="n">
        <f aca="false">U4-Inputs!$F$24</f>
        <v>11</v>
      </c>
      <c r="V8" s="12" t="n">
        <f aca="false">V4-Inputs!$F$24</f>
        <v>12</v>
      </c>
      <c r="W8" s="12" t="n">
        <f aca="false">W4-Inputs!$F$24</f>
        <v>13</v>
      </c>
      <c r="X8" s="12" t="n">
        <f aca="false">X4-Inputs!$F$24</f>
        <v>14</v>
      </c>
      <c r="Y8" s="12" t="n">
        <f aca="false">Y4-Inputs!$F$24</f>
        <v>15</v>
      </c>
      <c r="Z8" s="12" t="n">
        <f aca="false">Z4-Inputs!$F$24</f>
        <v>16</v>
      </c>
      <c r="AA8" s="12" t="n">
        <f aca="false">AA4-Inputs!$F$24</f>
        <v>17</v>
      </c>
      <c r="AB8" s="12" t="n">
        <f aca="false">AB4-Inputs!$F$24</f>
        <v>18</v>
      </c>
      <c r="AC8" s="12" t="n">
        <f aca="false">AC4-Inputs!$F$24</f>
        <v>19</v>
      </c>
      <c r="AD8" s="12" t="n">
        <f aca="false">AD4-Inputs!$F$24</f>
        <v>20</v>
      </c>
      <c r="AE8" s="12" t="n">
        <f aca="false">AE4-Inputs!$F$24</f>
        <v>21</v>
      </c>
      <c r="AF8" s="12" t="n">
        <f aca="false">AF4-Inputs!$F$24</f>
        <v>22</v>
      </c>
      <c r="AG8" s="12" t="n">
        <f aca="false">AG4-Inputs!$F$24</f>
        <v>23</v>
      </c>
      <c r="AH8" s="12" t="n">
        <f aca="false">AH4-Inputs!$F$24</f>
        <v>24</v>
      </c>
      <c r="AI8" s="12" t="n">
        <f aca="false">AI4-Inputs!$F$24</f>
        <v>25</v>
      </c>
      <c r="AJ8" s="12" t="n">
        <f aca="false">AJ4-Inputs!$F$24</f>
        <v>26</v>
      </c>
      <c r="AK8" s="12" t="n">
        <f aca="false">AK4-Inputs!$F$24</f>
        <v>27</v>
      </c>
      <c r="AL8" s="12" t="n">
        <f aca="false">AL4-Inputs!$F$24</f>
        <v>28</v>
      </c>
      <c r="AM8" s="12" t="n">
        <f aca="false">AM4-Inputs!$F$24</f>
        <v>29</v>
      </c>
      <c r="AN8" s="12" t="n">
        <f aca="false">AN4-Inputs!$F$24</f>
        <v>30</v>
      </c>
      <c r="AO8" s="12" t="n">
        <f aca="false">AO4-Inputs!$F$24</f>
        <v>31</v>
      </c>
      <c r="AP8" s="12" t="n">
        <f aca="false">AP4-Inputs!$F$24</f>
        <v>32</v>
      </c>
      <c r="AQ8" s="12" t="n">
        <f aca="false">AQ4-Inputs!$F$24</f>
        <v>33</v>
      </c>
      <c r="AR8" s="12" t="n">
        <f aca="false">AR4-Inputs!$F$24</f>
        <v>34</v>
      </c>
      <c r="AS8" s="12" t="n">
        <f aca="false">AS4-Inputs!$F$24</f>
        <v>35</v>
      </c>
      <c r="AT8" s="12" t="n">
        <f aca="false">AT4-Inputs!$F$24</f>
        <v>36</v>
      </c>
      <c r="AU8" s="12" t="n">
        <f aca="false">AU4-Inputs!$F$24</f>
        <v>37</v>
      </c>
    </row>
    <row r="9" customFormat="false" ht="15" hidden="false" customHeight="false" outlineLevel="0" collapsed="false">
      <c r="D9" s="0" t="s">
        <v>398</v>
      </c>
      <c r="E9" s="0" t="s">
        <v>27</v>
      </c>
      <c r="J9" s="14" t="n">
        <f aca="false">(1+Inputs!$F$25/100)^J8</f>
        <v>1</v>
      </c>
      <c r="K9" s="14" t="n">
        <f aca="false">(1+Inputs!$F$25/100)^K8</f>
        <v>1.025</v>
      </c>
      <c r="L9" s="14" t="n">
        <f aca="false">(1+Inputs!$F$25/100)^L8</f>
        <v>1.050625</v>
      </c>
      <c r="M9" s="14" t="n">
        <f aca="false">(1+Inputs!$F$25/100)^M8</f>
        <v>1.076890625</v>
      </c>
      <c r="N9" s="14" t="n">
        <f aca="false">(1+Inputs!$F$25/100)^N8</f>
        <v>1.103812890625</v>
      </c>
      <c r="O9" s="14" t="n">
        <f aca="false">(1+Inputs!$F$25/100)^O8</f>
        <v>1.13140821289062</v>
      </c>
      <c r="P9" s="14" t="n">
        <f aca="false">(1+Inputs!$F$25/100)^P8</f>
        <v>1.15969341821289</v>
      </c>
      <c r="Q9" s="14" t="n">
        <f aca="false">(1+Inputs!$F$25/100)^Q8</f>
        <v>1.18868575366821</v>
      </c>
      <c r="R9" s="14" t="n">
        <f aca="false">(1+Inputs!$F$25/100)^R8</f>
        <v>1.21840289750992</v>
      </c>
      <c r="S9" s="14" t="n">
        <f aca="false">(1+Inputs!$F$25/100)^S8</f>
        <v>1.24886296994767</v>
      </c>
      <c r="T9" s="14" t="n">
        <f aca="false">(1+Inputs!$F$25/100)^T8</f>
        <v>1.28008454419636</v>
      </c>
      <c r="U9" s="14" t="n">
        <f aca="false">(1+Inputs!$F$25/100)^U8</f>
        <v>1.31208665780127</v>
      </c>
      <c r="V9" s="14" t="n">
        <f aca="false">(1+Inputs!$F$25/100)^V8</f>
        <v>1.3448888242463</v>
      </c>
      <c r="W9" s="14" t="n">
        <f aca="false">(1+Inputs!$F$25/100)^W8</f>
        <v>1.37851104485245</v>
      </c>
      <c r="X9" s="14" t="n">
        <f aca="false">(1+Inputs!$F$25/100)^X8</f>
        <v>1.41297382097377</v>
      </c>
      <c r="Y9" s="14" t="n">
        <f aca="false">(1+Inputs!$F$25/100)^Y8</f>
        <v>1.44829816649811</v>
      </c>
      <c r="Z9" s="14" t="n">
        <f aca="false">(1+Inputs!$F$25/100)^Z8</f>
        <v>1.48450562066056</v>
      </c>
      <c r="AA9" s="14" t="n">
        <f aca="false">(1+Inputs!$F$25/100)^AA8</f>
        <v>1.52161826117708</v>
      </c>
      <c r="AB9" s="14" t="n">
        <f aca="false">(1+Inputs!$F$25/100)^AB8</f>
        <v>1.5596587177065</v>
      </c>
      <c r="AC9" s="14" t="n">
        <f aca="false">(1+Inputs!$F$25/100)^AC8</f>
        <v>1.59865018564917</v>
      </c>
      <c r="AD9" s="14" t="n">
        <f aca="false">(1+Inputs!$F$25/100)^AD8</f>
        <v>1.63861644029039</v>
      </c>
      <c r="AE9" s="14" t="n">
        <f aca="false">(1+Inputs!$F$25/100)^AE8</f>
        <v>1.67958185129765</v>
      </c>
      <c r="AF9" s="14" t="n">
        <f aca="false">(1+Inputs!$F$25/100)^AF8</f>
        <v>1.7215713975801</v>
      </c>
      <c r="AG9" s="14" t="n">
        <f aca="false">(1+Inputs!$F$25/100)^AG8</f>
        <v>1.7646106825196</v>
      </c>
      <c r="AH9" s="14" t="n">
        <f aca="false">(1+Inputs!$F$25/100)^AH8</f>
        <v>1.80872594958259</v>
      </c>
      <c r="AI9" s="14" t="n">
        <f aca="false">(1+Inputs!$F$25/100)^AI8</f>
        <v>1.85394409832215</v>
      </c>
      <c r="AJ9" s="14" t="n">
        <f aca="false">(1+Inputs!$F$25/100)^AJ8</f>
        <v>1.90029270078021</v>
      </c>
      <c r="AK9" s="14" t="n">
        <f aca="false">(1+Inputs!$F$25/100)^AK8</f>
        <v>1.94780001829971</v>
      </c>
      <c r="AL9" s="14" t="n">
        <f aca="false">(1+Inputs!$F$25/100)^AL8</f>
        <v>1.9964950187572</v>
      </c>
      <c r="AM9" s="14" t="n">
        <f aca="false">(1+Inputs!$F$25/100)^AM8</f>
        <v>2.04640739422613</v>
      </c>
      <c r="AN9" s="14" t="n">
        <f aca="false">(1+Inputs!$F$25/100)^AN8</f>
        <v>2.09756757908179</v>
      </c>
      <c r="AO9" s="14" t="n">
        <f aca="false">(1+Inputs!$F$25/100)^AO8</f>
        <v>2.15000676855883</v>
      </c>
      <c r="AP9" s="14" t="n">
        <f aca="false">(1+Inputs!$F$25/100)^AP8</f>
        <v>2.2037569377728</v>
      </c>
      <c r="AQ9" s="14" t="n">
        <f aca="false">(1+Inputs!$F$25/100)^AQ8</f>
        <v>2.25885086121712</v>
      </c>
      <c r="AR9" s="14" t="n">
        <f aca="false">(1+Inputs!$F$25/100)^AR8</f>
        <v>2.31532213274755</v>
      </c>
      <c r="AS9" s="14" t="n">
        <f aca="false">(1+Inputs!$F$25/100)^AS8</f>
        <v>2.37320518606624</v>
      </c>
      <c r="AT9" s="14" t="n">
        <f aca="false">(1+Inputs!$F$25/100)^AT8</f>
        <v>2.43253531571789</v>
      </c>
      <c r="AU9" s="14" t="n">
        <f aca="false">(1+Inputs!$F$25/100)^AU8</f>
        <v>2.49334869861084</v>
      </c>
    </row>
    <row r="10" customFormat="false" ht="15" hidden="false" customHeight="false" outlineLevel="0" collapsed="false">
      <c r="D10" s="0" t="s">
        <v>399</v>
      </c>
      <c r="E10" s="0" t="s">
        <v>27</v>
      </c>
      <c r="J10" s="14" t="n">
        <f aca="false">1+Inputs!$F$241/100*Inputs!$F$240/100*(J4&gt;=Inputs!$F$242)</f>
        <v>1</v>
      </c>
      <c r="K10" s="14" t="n">
        <f aca="false">1+Inputs!$F$241/100*Inputs!$F$240/100*(K4&gt;=Inputs!$F$242)</f>
        <v>1.033</v>
      </c>
      <c r="L10" s="14" t="n">
        <f aca="false">1+Inputs!$F$241/100*Inputs!$F$240/100*(L4&gt;=Inputs!$F$242)</f>
        <v>1.033</v>
      </c>
      <c r="M10" s="14" t="n">
        <f aca="false">1+Inputs!$F$241/100*Inputs!$F$240/100*(M4&gt;=Inputs!$F$242)</f>
        <v>1.033</v>
      </c>
      <c r="N10" s="14" t="n">
        <f aca="false">1+Inputs!$F$241/100*Inputs!$F$240/100*(N4&gt;=Inputs!$F$242)</f>
        <v>1.033</v>
      </c>
      <c r="O10" s="14" t="n">
        <f aca="false">1+Inputs!$F$241/100*Inputs!$F$240/100*(O4&gt;=Inputs!$F$242)</f>
        <v>1.033</v>
      </c>
      <c r="P10" s="14" t="n">
        <f aca="false">1+Inputs!$F$241/100*Inputs!$F$240/100*(P4&gt;=Inputs!$F$242)</f>
        <v>1.033</v>
      </c>
      <c r="Q10" s="14" t="n">
        <f aca="false">1+Inputs!$F$241/100*Inputs!$F$240/100*(Q4&gt;=Inputs!$F$242)</f>
        <v>1.033</v>
      </c>
      <c r="R10" s="14" t="n">
        <f aca="false">1+Inputs!$F$241/100*Inputs!$F$240/100*(R4&gt;=Inputs!$F$242)</f>
        <v>1.033</v>
      </c>
      <c r="S10" s="14" t="n">
        <f aca="false">1+Inputs!$F$241/100*Inputs!$F$240/100*(S4&gt;=Inputs!$F$242)</f>
        <v>1.033</v>
      </c>
      <c r="T10" s="14" t="n">
        <f aca="false">1+Inputs!$F$241/100*Inputs!$F$240/100*(T4&gt;=Inputs!$F$242)</f>
        <v>1.033</v>
      </c>
      <c r="U10" s="14" t="n">
        <f aca="false">1+Inputs!$F$241/100*Inputs!$F$240/100*(U4&gt;=Inputs!$F$242)</f>
        <v>1.033</v>
      </c>
      <c r="V10" s="14" t="n">
        <f aca="false">1+Inputs!$F$241/100*Inputs!$F$240/100*(V4&gt;=Inputs!$F$242)</f>
        <v>1.033</v>
      </c>
      <c r="W10" s="14" t="n">
        <f aca="false">1+Inputs!$F$241/100*Inputs!$F$240/100*(W4&gt;=Inputs!$F$242)</f>
        <v>1.033</v>
      </c>
      <c r="X10" s="14" t="n">
        <f aca="false">1+Inputs!$F$241/100*Inputs!$F$240/100*(X4&gt;=Inputs!$F$242)</f>
        <v>1.033</v>
      </c>
      <c r="Y10" s="14" t="n">
        <f aca="false">1+Inputs!$F$241/100*Inputs!$F$240/100*(Y4&gt;=Inputs!$F$242)</f>
        <v>1.033</v>
      </c>
      <c r="Z10" s="14" t="n">
        <f aca="false">1+Inputs!$F$241/100*Inputs!$F$240/100*(Z4&gt;=Inputs!$F$242)</f>
        <v>1.033</v>
      </c>
      <c r="AA10" s="14" t="n">
        <f aca="false">1+Inputs!$F$241/100*Inputs!$F$240/100*(AA4&gt;=Inputs!$F$242)</f>
        <v>1.033</v>
      </c>
      <c r="AB10" s="14" t="n">
        <f aca="false">1+Inputs!$F$241/100*Inputs!$F$240/100*(AB4&gt;=Inputs!$F$242)</f>
        <v>1.033</v>
      </c>
      <c r="AC10" s="14" t="n">
        <f aca="false">1+Inputs!$F$241/100*Inputs!$F$240/100*(AC4&gt;=Inputs!$F$242)</f>
        <v>1.033</v>
      </c>
      <c r="AD10" s="14" t="n">
        <f aca="false">1+Inputs!$F$241/100*Inputs!$F$240/100*(AD4&gt;=Inputs!$F$242)</f>
        <v>1.033</v>
      </c>
      <c r="AE10" s="14" t="n">
        <f aca="false">1+Inputs!$F$241/100*Inputs!$F$240/100*(AE4&gt;=Inputs!$F$242)</f>
        <v>1.033</v>
      </c>
      <c r="AF10" s="14" t="n">
        <f aca="false">1+Inputs!$F$241/100*Inputs!$F$240/100*(AF4&gt;=Inputs!$F$242)</f>
        <v>1.033</v>
      </c>
      <c r="AG10" s="14" t="n">
        <f aca="false">1+Inputs!$F$241/100*Inputs!$F$240/100*(AG4&gt;=Inputs!$F$242)</f>
        <v>1.033</v>
      </c>
      <c r="AH10" s="14" t="n">
        <f aca="false">1+Inputs!$F$241/100*Inputs!$F$240/100*(AH4&gt;=Inputs!$F$242)</f>
        <v>1.033</v>
      </c>
      <c r="AI10" s="14" t="n">
        <f aca="false">1+Inputs!$F$241/100*Inputs!$F$240/100*(AI4&gt;=Inputs!$F$242)</f>
        <v>1.033</v>
      </c>
      <c r="AJ10" s="14" t="n">
        <f aca="false">1+Inputs!$F$241/100*Inputs!$F$240/100*(AJ4&gt;=Inputs!$F$242)</f>
        <v>1.033</v>
      </c>
      <c r="AK10" s="14" t="n">
        <f aca="false">1+Inputs!$F$241/100*Inputs!$F$240/100*(AK4&gt;=Inputs!$F$242)</f>
        <v>1.033</v>
      </c>
      <c r="AL10" s="14" t="n">
        <f aca="false">1+Inputs!$F$241/100*Inputs!$F$240/100*(AL4&gt;=Inputs!$F$242)</f>
        <v>1.033</v>
      </c>
      <c r="AM10" s="14" t="n">
        <f aca="false">1+Inputs!$F$241/100*Inputs!$F$240/100*(AM4&gt;=Inputs!$F$242)</f>
        <v>1.033</v>
      </c>
      <c r="AN10" s="14" t="n">
        <f aca="false">1+Inputs!$F$241/100*Inputs!$F$240/100*(AN4&gt;=Inputs!$F$242)</f>
        <v>1.033</v>
      </c>
      <c r="AO10" s="14" t="n">
        <f aca="false">1+Inputs!$F$241/100*Inputs!$F$240/100*(AO4&gt;=Inputs!$F$242)</f>
        <v>1.033</v>
      </c>
      <c r="AP10" s="14" t="n">
        <f aca="false">1+Inputs!$F$241/100*Inputs!$F$240/100*(AP4&gt;=Inputs!$F$242)</f>
        <v>1.033</v>
      </c>
      <c r="AQ10" s="14" t="n">
        <f aca="false">1+Inputs!$F$241/100*Inputs!$F$240/100*(AQ4&gt;=Inputs!$F$242)</f>
        <v>1.033</v>
      </c>
      <c r="AR10" s="14" t="n">
        <f aca="false">1+Inputs!$F$241/100*Inputs!$F$240/100*(AR4&gt;=Inputs!$F$242)</f>
        <v>1.033</v>
      </c>
      <c r="AS10" s="14" t="n">
        <f aca="false">1+Inputs!$F$241/100*Inputs!$F$240/100*(AS4&gt;=Inputs!$F$242)</f>
        <v>1.033</v>
      </c>
      <c r="AT10" s="14" t="n">
        <f aca="false">1+Inputs!$F$241/100*Inputs!$F$240/100*(AT4&gt;=Inputs!$F$242)</f>
        <v>1.033</v>
      </c>
      <c r="AU10" s="14" t="n">
        <f aca="false">1+Inputs!$F$241/100*Inputs!$F$240/100*(AU4&gt;=Inputs!$F$242)</f>
        <v>1.033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2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400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401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402</v>
      </c>
      <c r="E8" s="0" t="s">
        <v>403</v>
      </c>
      <c r="F8" s="14" t="n">
        <f aca="false">(1-Inputs!$F$95/100)/Inputs!$F$30</f>
        <v>0.0967540574282148</v>
      </c>
    </row>
    <row r="9" customFormat="false" ht="15" hidden="false" customHeight="false" outlineLevel="0" collapsed="false">
      <c r="D9" s="0" t="s">
        <v>404</v>
      </c>
      <c r="E9" s="0" t="s">
        <v>403</v>
      </c>
      <c r="F9" s="14" t="n">
        <f aca="false">(1-Inputs!$F$96/100)/Inputs!$F$30</f>
        <v>0.0553995006242197</v>
      </c>
    </row>
    <row r="10" customFormat="false" ht="15" hidden="false" customHeight="false" outlineLevel="0" collapsed="false">
      <c r="D10" s="0" t="s">
        <v>405</v>
      </c>
      <c r="E10" s="0" t="s">
        <v>403</v>
      </c>
      <c r="F10" s="14" t="n">
        <f aca="false">SQRT((Operations!$F$8^2-Operations!$F$9^2)*Inputs!$F$32/(Inputs!$F$32-1))</f>
        <v>0.0836144788060681</v>
      </c>
    </row>
    <row r="11" customFormat="false" ht="15" hidden="false" customHeight="false" outlineLevel="0" collapsed="false">
      <c r="D11" s="0" t="s">
        <v>406</v>
      </c>
      <c r="E11" s="0" t="s">
        <v>403</v>
      </c>
      <c r="F11" s="14" t="n">
        <f aca="false">SQRT(Operations!$F$9^2-Operations!$F$10^2/Inputs!$F$32)</f>
        <v>0.0486823023573442</v>
      </c>
    </row>
    <row r="12" customFormat="false" ht="15" hidden="false" customHeight="false" outlineLevel="0" collapsed="false">
      <c r="D12" s="0" t="s">
        <v>407</v>
      </c>
      <c r="E12" s="0" t="s">
        <v>121</v>
      </c>
      <c r="F12" s="15" t="n">
        <f aca="false">100*(1-Inputs!$F$31*Operations!$F$8)</f>
        <v>77.4921036204744</v>
      </c>
    </row>
    <row r="13" customFormat="false" ht="15" hidden="false" customHeight="false" outlineLevel="0" collapsed="false">
      <c r="D13" s="0" t="s">
        <v>408</v>
      </c>
      <c r="E13" s="0" t="s">
        <v>121</v>
      </c>
      <c r="F13" s="15" t="n">
        <f aca="false">100*(1-Inputs!$F$31*Operations!$F$9)</f>
        <v>87.1124141697878</v>
      </c>
    </row>
    <row r="14" customFormat="false" ht="15" hidden="false" customHeight="false" outlineLevel="0" collapsed="false">
      <c r="D14" s="0" t="s">
        <v>409</v>
      </c>
      <c r="E14" s="0" t="s">
        <v>403</v>
      </c>
      <c r="F14" s="14" t="n">
        <f aca="false">(1-Inputs!$F$106/100)/Inputs!$F$30</f>
        <v>0.0842696629213483</v>
      </c>
    </row>
    <row r="15" customFormat="false" ht="15" hidden="false" customHeight="false" outlineLevel="0" collapsed="false">
      <c r="D15" s="0" t="s">
        <v>410</v>
      </c>
      <c r="E15" s="0" t="s">
        <v>403</v>
      </c>
      <c r="F15" s="14" t="n">
        <f aca="false">(1-Inputs!$F$107/100)/Inputs!$F$30</f>
        <v>0.04603620474407</v>
      </c>
    </row>
    <row r="16" customFormat="false" ht="15" hidden="false" customHeight="false" outlineLevel="0" collapsed="false">
      <c r="D16" s="0" t="s">
        <v>411</v>
      </c>
      <c r="E16" s="0" t="s">
        <v>403</v>
      </c>
      <c r="F16" s="14" t="n">
        <f aca="false">SQRT((Operations!$F$14^2-Operations!$F$15^2)*Inputs!$F$32/(Inputs!$F$32-1))</f>
        <v>0.0744016423178931</v>
      </c>
    </row>
    <row r="17" customFormat="false" ht="15" hidden="false" customHeight="false" outlineLevel="0" collapsed="false">
      <c r="D17" s="0" t="s">
        <v>412</v>
      </c>
      <c r="E17" s="0" t="s">
        <v>403</v>
      </c>
      <c r="F17" s="14" t="n">
        <f aca="false">SQRT(Operations!$F$15^2-Operations!$F$16^2/Inputs!$F$32)</f>
        <v>0.0395698333238587</v>
      </c>
    </row>
    <row r="18" customFormat="false" ht="15" hidden="false" customHeight="false" outlineLevel="0" collapsed="false">
      <c r="D18" s="0" t="s">
        <v>413</v>
      </c>
      <c r="E18" s="0" t="s">
        <v>121</v>
      </c>
      <c r="F18" s="15" t="n">
        <f aca="false">100*(1-Inputs!$F$31*Operations!$F$14)</f>
        <v>80.3963483146067</v>
      </c>
    </row>
    <row r="19" customFormat="false" ht="15" hidden="false" customHeight="false" outlineLevel="0" collapsed="false">
      <c r="D19" s="0" t="s">
        <v>414</v>
      </c>
      <c r="E19" s="0" t="s">
        <v>121</v>
      </c>
      <c r="F19" s="15" t="n">
        <f aca="false">100*(1-Inputs!$F$31*Operations!$F$15)</f>
        <v>89.290597690387</v>
      </c>
    </row>
    <row r="20" customFormat="false" ht="15" hidden="false" customHeight="false" outlineLevel="0" collapsed="false">
      <c r="D20" s="0" t="s">
        <v>415</v>
      </c>
      <c r="E20" s="0" t="s">
        <v>403</v>
      </c>
      <c r="F20" s="14" t="n">
        <f aca="false">(1-Inputs!$F$117/100)/Inputs!$F$30</f>
        <v>0.102215980024969</v>
      </c>
    </row>
    <row r="21" customFormat="false" ht="15" hidden="false" customHeight="false" outlineLevel="0" collapsed="false">
      <c r="D21" s="0" t="s">
        <v>416</v>
      </c>
      <c r="E21" s="0" t="s">
        <v>403</v>
      </c>
      <c r="F21" s="14" t="n">
        <f aca="false">(1-Inputs!$F$118/100)/Inputs!$F$30</f>
        <v>0.0593008739076154</v>
      </c>
    </row>
    <row r="22" customFormat="false" ht="15" hidden="false" customHeight="false" outlineLevel="0" collapsed="false">
      <c r="D22" s="0" t="s">
        <v>417</v>
      </c>
      <c r="E22" s="0" t="s">
        <v>403</v>
      </c>
      <c r="F22" s="14" t="n">
        <f aca="false">SQRT((Operations!$F$20^2-Operations!$F$21^2)*Inputs!$F$32/(Inputs!$F$32-1))</f>
        <v>0.0877592219038856</v>
      </c>
    </row>
    <row r="23" customFormat="false" ht="15" hidden="false" customHeight="false" outlineLevel="0" collapsed="false">
      <c r="D23" s="0" t="s">
        <v>418</v>
      </c>
      <c r="E23" s="0" t="s">
        <v>403</v>
      </c>
      <c r="F23" s="14" t="n">
        <f aca="false">SQRT(Operations!$F$21^2-Operations!$F$22^2/Inputs!$F$32)</f>
        <v>0.0524063502191229</v>
      </c>
    </row>
    <row r="24" customFormat="false" ht="15" hidden="false" customHeight="false" outlineLevel="0" collapsed="false">
      <c r="D24" s="0" t="s">
        <v>419</v>
      </c>
      <c r="E24" s="0" t="s">
        <v>121</v>
      </c>
      <c r="F24" s="15" t="n">
        <f aca="false">100*(1-Inputs!$F$31*Operations!$F$20)</f>
        <v>76.2214965667915</v>
      </c>
    </row>
    <row r="25" customFormat="false" ht="15" hidden="false" customHeight="false" outlineLevel="0" collapsed="false">
      <c r="D25" s="0" t="s">
        <v>420</v>
      </c>
      <c r="E25" s="0" t="s">
        <v>121</v>
      </c>
      <c r="F25" s="15" t="n">
        <f aca="false">100*(1-Inputs!$F$31*Operations!$F$21)</f>
        <v>86.2048377028714</v>
      </c>
    </row>
    <row r="26" customFormat="false" ht="15" hidden="false" customHeight="false" outlineLevel="0" collapsed="false">
      <c r="D26" s="0" t="s">
        <v>421</v>
      </c>
      <c r="E26" s="0" t="s">
        <v>403</v>
      </c>
      <c r="F26" s="14" t="n">
        <f aca="false">(1-Inputs!$F$128/100)/Inputs!$F$30</f>
        <v>0.0421348314606742</v>
      </c>
    </row>
    <row r="27" customFormat="false" ht="15" hidden="false" customHeight="false" outlineLevel="0" collapsed="false">
      <c r="D27" s="0" t="s">
        <v>422</v>
      </c>
      <c r="E27" s="0" t="s">
        <v>403</v>
      </c>
      <c r="F27" s="14" t="n">
        <f aca="false">(1-Inputs!$F$129/100)/Inputs!$F$30</f>
        <v>0.0249687890137329</v>
      </c>
    </row>
    <row r="28" customFormat="false" ht="15" hidden="false" customHeight="false" outlineLevel="0" collapsed="false">
      <c r="D28" s="0" t="s">
        <v>423</v>
      </c>
      <c r="E28" s="0" t="s">
        <v>403</v>
      </c>
      <c r="F28" s="14" t="n">
        <f aca="false">SQRT((Operations!$F$26^2-Operations!$F$27^2)*Inputs!$F$32/(Inputs!$F$32-1))</f>
        <v>0.0357755906451299</v>
      </c>
    </row>
    <row r="29" customFormat="false" ht="15" hidden="false" customHeight="false" outlineLevel="0" collapsed="false">
      <c r="D29" s="0" t="s">
        <v>424</v>
      </c>
      <c r="E29" s="0" t="s">
        <v>403</v>
      </c>
      <c r="F29" s="14" t="n">
        <f aca="false">SQRT(Operations!$F$27^2-Operations!$F$28^2/Inputs!$F$32)</f>
        <v>0.0222587316847011</v>
      </c>
    </row>
    <row r="30" customFormat="false" ht="15" hidden="false" customHeight="false" outlineLevel="0" collapsed="false">
      <c r="D30" s="0" t="s">
        <v>425</v>
      </c>
      <c r="E30" s="0" t="s">
        <v>121</v>
      </c>
      <c r="F30" s="15" t="n">
        <f aca="false">100*(1-Inputs!$F$31*Operations!$F$26)</f>
        <v>90.1981741573034</v>
      </c>
    </row>
    <row r="31" customFormat="false" ht="15" hidden="false" customHeight="false" outlineLevel="0" collapsed="false">
      <c r="D31" s="0" t="s">
        <v>426</v>
      </c>
      <c r="E31" s="0" t="s">
        <v>121</v>
      </c>
      <c r="F31" s="15" t="n">
        <f aca="false">100*(1-Inputs!$F$31*Operations!$F$27)</f>
        <v>94.1915106117353</v>
      </c>
    </row>
    <row r="32" customFormat="false" ht="15" hidden="false" customHeight="false" outlineLevel="0" collapsed="false">
      <c r="D32" s="0" t="s">
        <v>427</v>
      </c>
      <c r="E32" s="0" t="s">
        <v>403</v>
      </c>
      <c r="F32" s="14" t="n">
        <f aca="false">(1-Inputs!$F$139/100)/Inputs!$F$30</f>
        <v>0.0452559300873907</v>
      </c>
    </row>
    <row r="33" customFormat="false" ht="15" hidden="false" customHeight="false" outlineLevel="0" collapsed="false">
      <c r="D33" s="0" t="s">
        <v>428</v>
      </c>
      <c r="E33" s="0" t="s">
        <v>403</v>
      </c>
      <c r="F33" s="14" t="n">
        <f aca="false">(1-Inputs!$F$140/100)/Inputs!$F$30</f>
        <v>0.0273096129837703</v>
      </c>
    </row>
    <row r="34" customFormat="false" ht="15" hidden="false" customHeight="false" outlineLevel="0" collapsed="false">
      <c r="D34" s="0" t="s">
        <v>429</v>
      </c>
      <c r="E34" s="0" t="s">
        <v>403</v>
      </c>
      <c r="F34" s="14" t="n">
        <f aca="false">SQRT((Operations!$F$32^2-Operations!$F$33^2)*Inputs!$F$32/(Inputs!$F$32-1))</f>
        <v>0.0380392231307441</v>
      </c>
    </row>
    <row r="35" customFormat="false" ht="15" hidden="false" customHeight="false" outlineLevel="0" collapsed="false">
      <c r="D35" s="0" t="s">
        <v>430</v>
      </c>
      <c r="E35" s="0" t="s">
        <v>403</v>
      </c>
      <c r="F35" s="14" t="n">
        <f aca="false">SQRT(Operations!$F$33^2-Operations!$F$34^2/Inputs!$F$32)</f>
        <v>0.0245176816131596</v>
      </c>
    </row>
    <row r="36" customFormat="false" ht="15" hidden="false" customHeight="false" outlineLevel="0" collapsed="false">
      <c r="D36" s="0" t="s">
        <v>431</v>
      </c>
      <c r="E36" s="0" t="s">
        <v>121</v>
      </c>
      <c r="F36" s="15" t="n">
        <f aca="false">100*(1-Inputs!$F$31*Operations!$F$32)</f>
        <v>89.4721129837703</v>
      </c>
    </row>
    <row r="37" customFormat="false" ht="15" hidden="false" customHeight="false" outlineLevel="0" collapsed="false">
      <c r="D37" s="0" t="s">
        <v>432</v>
      </c>
      <c r="E37" s="0" t="s">
        <v>121</v>
      </c>
      <c r="F37" s="15" t="n">
        <f aca="false">100*(1-Inputs!$F$31*Operations!$F$33)</f>
        <v>93.6469647315855</v>
      </c>
    </row>
    <row r="38" customFormat="false" ht="15" hidden="false" customHeight="false" outlineLevel="0" collapsed="false">
      <c r="D38" s="0" t="s">
        <v>433</v>
      </c>
      <c r="E38" s="0" t="s">
        <v>403</v>
      </c>
      <c r="F38" s="14" t="n">
        <f aca="false">(1-Inputs!$F$176/100)/Inputs!$F$30</f>
        <v>0.0436953807740324</v>
      </c>
    </row>
    <row r="39" customFormat="false" ht="15" hidden="false" customHeight="false" outlineLevel="0" collapsed="false">
      <c r="D39" s="0" t="s">
        <v>434</v>
      </c>
      <c r="E39" s="0" t="s">
        <v>403</v>
      </c>
      <c r="F39" s="14" t="n">
        <f aca="false">(1-Inputs!$F$177/100)/Inputs!$F$30</f>
        <v>0.0265293383270912</v>
      </c>
    </row>
    <row r="40" customFormat="false" ht="15" hidden="false" customHeight="false" outlineLevel="0" collapsed="false">
      <c r="D40" s="0" t="s">
        <v>435</v>
      </c>
      <c r="E40" s="0" t="s">
        <v>403</v>
      </c>
      <c r="F40" s="14" t="n">
        <f aca="false">SQRT((Operations!$F$38^2-Operations!$F$39^2)*Inputs!$F$32/(Inputs!$F$32-1))</f>
        <v>0.036598125466787</v>
      </c>
    </row>
    <row r="41" customFormat="false" ht="15" hidden="false" customHeight="false" outlineLevel="0" collapsed="false">
      <c r="D41" s="0" t="s">
        <v>436</v>
      </c>
      <c r="E41" s="0" t="s">
        <v>403</v>
      </c>
      <c r="F41" s="14" t="n">
        <f aca="false">SQRT(Operations!$F$39^2-Operations!$F$40^2/Inputs!$F$32)</f>
        <v>0.0238718142022135</v>
      </c>
    </row>
    <row r="42" customFormat="false" ht="15" hidden="false" customHeight="false" outlineLevel="0" collapsed="false">
      <c r="D42" s="0" t="s">
        <v>437</v>
      </c>
      <c r="E42" s="0" t="s">
        <v>121</v>
      </c>
      <c r="F42" s="15" t="n">
        <f aca="false">100*(1-Inputs!$F$31*Operations!$F$38)</f>
        <v>89.8351435705368</v>
      </c>
    </row>
    <row r="43" customFormat="false" ht="15" hidden="false" customHeight="false" outlineLevel="0" collapsed="false">
      <c r="D43" s="0" t="s">
        <v>438</v>
      </c>
      <c r="E43" s="0" t="s">
        <v>121</v>
      </c>
      <c r="F43" s="15" t="n">
        <f aca="false">100*(1-Inputs!$F$31*Operations!$F$39)</f>
        <v>93.8284800249688</v>
      </c>
    </row>
    <row r="45" customFormat="false" ht="15" hidden="false" customHeight="false" outlineLevel="0" collapsed="false">
      <c r="A45" s="4" t="s">
        <v>439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</row>
    <row r="46" customFormat="false" ht="15" hidden="false" customHeight="false" outlineLevel="0" collapsed="false">
      <c r="D46" s="0" t="s">
        <v>440</v>
      </c>
      <c r="E46" s="0" t="s">
        <v>17</v>
      </c>
      <c r="F46" s="16" t="n">
        <f aca="false">Inputs!$F$8</f>
        <v>1</v>
      </c>
    </row>
    <row r="47" customFormat="false" ht="15" hidden="false" customHeight="false" outlineLevel="0" collapsed="false">
      <c r="D47" s="0" t="s">
        <v>441</v>
      </c>
      <c r="E47" s="0" t="s">
        <v>17</v>
      </c>
      <c r="F47" s="16" t="n">
        <f aca="false">Inputs!$F$9</f>
        <v>1</v>
      </c>
    </row>
    <row r="48" customFormat="false" ht="15" hidden="false" customHeight="false" outlineLevel="0" collapsed="false">
      <c r="D48" s="0" t="s">
        <v>442</v>
      </c>
      <c r="E48" s="0" t="s">
        <v>22</v>
      </c>
      <c r="F48" s="17" t="n">
        <f aca="false">Inputs!$F$11</f>
        <v>0</v>
      </c>
    </row>
    <row r="49" customFormat="false" ht="15" hidden="false" customHeight="false" outlineLevel="0" collapsed="false">
      <c r="D49" s="0" t="s">
        <v>443</v>
      </c>
      <c r="E49" s="0" t="s">
        <v>25</v>
      </c>
      <c r="F49" s="17" t="n">
        <f aca="false">Inputs!$F$13</f>
        <v>0</v>
      </c>
    </row>
    <row r="50" customFormat="false" ht="15" hidden="false" customHeight="false" outlineLevel="0" collapsed="false">
      <c r="D50" s="0" t="s">
        <v>444</v>
      </c>
      <c r="E50" s="0" t="s">
        <v>27</v>
      </c>
      <c r="F50" s="17" t="n">
        <f aca="false">Inputs!$F$14</f>
        <v>1</v>
      </c>
    </row>
    <row r="51" customFormat="false" ht="15" hidden="false" customHeight="false" outlineLevel="0" collapsed="false">
      <c r="D51" s="0" t="s">
        <v>445</v>
      </c>
      <c r="E51" s="0" t="s">
        <v>17</v>
      </c>
      <c r="F51" s="12" t="n">
        <f aca="false">IF(Inputs!$F$12=1,2,Operations!$F$46)</f>
        <v>1</v>
      </c>
    </row>
    <row r="52" customFormat="false" ht="15" hidden="false" customHeight="false" outlineLevel="0" collapsed="false">
      <c r="D52" s="0" t="s">
        <v>446</v>
      </c>
      <c r="E52" s="0" t="s">
        <v>96</v>
      </c>
      <c r="J52" s="18" t="n">
        <f aca="false">CHOOSE(Operations!$F$46,Inputs!J74,Inputs!J75,Inputs!J76)</f>
        <v>74.6</v>
      </c>
      <c r="K52" s="18" t="n">
        <f aca="false">CHOOSE(Operations!$F$46,Inputs!K74,Inputs!K75,Inputs!K76)</f>
        <v>61.2</v>
      </c>
      <c r="L52" s="18" t="n">
        <f aca="false">CHOOSE(Operations!$F$46,Inputs!L74,Inputs!L75,Inputs!L76)</f>
        <v>30.1</v>
      </c>
      <c r="M52" s="18" t="n">
        <f aca="false">CHOOSE(Operations!$F$46,Inputs!M74,Inputs!M75,Inputs!M76)</f>
        <v>39.8</v>
      </c>
      <c r="N52" s="18" t="n">
        <f aca="false">CHOOSE(Operations!$F$46,Inputs!N74,Inputs!N75,Inputs!N76)</f>
        <v>44.6</v>
      </c>
      <c r="O52" s="18" t="n">
        <f aca="false">CHOOSE(Operations!$F$46,Inputs!O74,Inputs!O75,Inputs!O76)</f>
        <v>47.3</v>
      </c>
      <c r="P52" s="18" t="n">
        <f aca="false">CHOOSE(Operations!$F$46,Inputs!P74,Inputs!P75,Inputs!P76)</f>
        <v>49.1</v>
      </c>
      <c r="Q52" s="18" t="n">
        <f aca="false">CHOOSE(Operations!$F$46,Inputs!Q74,Inputs!Q75,Inputs!Q76)</f>
        <v>50.4</v>
      </c>
      <c r="R52" s="18" t="n">
        <f aca="false">CHOOSE(Operations!$F$46,Inputs!R74,Inputs!R75,Inputs!R76)</f>
        <v>51.8</v>
      </c>
      <c r="S52" s="18" t="n">
        <f aca="false">CHOOSE(Operations!$F$46,Inputs!S74,Inputs!S75,Inputs!S76)</f>
        <v>52.84</v>
      </c>
      <c r="T52" s="18" t="n">
        <f aca="false">CHOOSE(Operations!$F$46,Inputs!T74,Inputs!T75,Inputs!T76)</f>
        <v>53.9</v>
      </c>
      <c r="U52" s="18" t="n">
        <f aca="false">CHOOSE(Operations!$F$46,Inputs!U74,Inputs!U75,Inputs!U76)</f>
        <v>54.98</v>
      </c>
      <c r="V52" s="18" t="n">
        <f aca="false">CHOOSE(Operations!$F$46,Inputs!V74,Inputs!V75,Inputs!V76)</f>
        <v>56.08</v>
      </c>
      <c r="W52" s="18" t="n">
        <f aca="false">CHOOSE(Operations!$F$46,Inputs!W74,Inputs!W75,Inputs!W76)</f>
        <v>57.2</v>
      </c>
      <c r="X52" s="18" t="n">
        <f aca="false">CHOOSE(Operations!$F$46,Inputs!X74,Inputs!X75,Inputs!X76)</f>
        <v>58.34</v>
      </c>
      <c r="Y52" s="18" t="n">
        <f aca="false">CHOOSE(Operations!$F$46,Inputs!Y74,Inputs!Y75,Inputs!Y76)</f>
        <v>59.51</v>
      </c>
      <c r="Z52" s="18" t="n">
        <f aca="false">CHOOSE(Operations!$F$46,Inputs!Z74,Inputs!Z75,Inputs!Z76)</f>
        <v>60.7</v>
      </c>
      <c r="AA52" s="18" t="n">
        <f aca="false">CHOOSE(Operations!$F$46,Inputs!AA74,Inputs!AA75,Inputs!AA76)</f>
        <v>61.91</v>
      </c>
      <c r="AB52" s="18" t="n">
        <f aca="false">CHOOSE(Operations!$F$46,Inputs!AB74,Inputs!AB75,Inputs!AB76)</f>
        <v>63.15</v>
      </c>
      <c r="AC52" s="18" t="n">
        <f aca="false">CHOOSE(Operations!$F$46,Inputs!AC74,Inputs!AC75,Inputs!AC76)</f>
        <v>64.41</v>
      </c>
      <c r="AD52" s="18" t="n">
        <f aca="false">CHOOSE(Operations!$F$46,Inputs!AD74,Inputs!AD75,Inputs!AD76)</f>
        <v>65.7</v>
      </c>
      <c r="AE52" s="18" t="n">
        <f aca="false">CHOOSE(Operations!$F$46,Inputs!AE74,Inputs!AE75,Inputs!AE76)</f>
        <v>67.01</v>
      </c>
      <c r="AF52" s="18" t="n">
        <f aca="false">CHOOSE(Operations!$F$46,Inputs!AF74,Inputs!AF75,Inputs!AF76)</f>
        <v>68.35</v>
      </c>
      <c r="AG52" s="18" t="n">
        <f aca="false">CHOOSE(Operations!$F$46,Inputs!AG74,Inputs!AG75,Inputs!AG76)</f>
        <v>69.72</v>
      </c>
      <c r="AH52" s="18" t="n">
        <f aca="false">CHOOSE(Operations!$F$46,Inputs!AH74,Inputs!AH75,Inputs!AH76)</f>
        <v>71.11</v>
      </c>
      <c r="AI52" s="18" t="n">
        <f aca="false">CHOOSE(Operations!$F$46,Inputs!AI74,Inputs!AI75,Inputs!AI76)</f>
        <v>72.53</v>
      </c>
      <c r="AJ52" s="18" t="n">
        <f aca="false">CHOOSE(Operations!$F$46,Inputs!AJ74,Inputs!AJ75,Inputs!AJ76)</f>
        <v>73.98</v>
      </c>
      <c r="AK52" s="18" t="n">
        <f aca="false">CHOOSE(Operations!$F$46,Inputs!AK74,Inputs!AK75,Inputs!AK76)</f>
        <v>75.46</v>
      </c>
      <c r="AL52" s="18" t="n">
        <f aca="false">CHOOSE(Operations!$F$46,Inputs!AL74,Inputs!AL75,Inputs!AL76)</f>
        <v>76.97</v>
      </c>
      <c r="AM52" s="18" t="n">
        <f aca="false">CHOOSE(Operations!$F$46,Inputs!AM74,Inputs!AM75,Inputs!AM76)</f>
        <v>78.51</v>
      </c>
      <c r="AN52" s="18" t="n">
        <f aca="false">CHOOSE(Operations!$F$46,Inputs!AN74,Inputs!AN75,Inputs!AN76)</f>
        <v>80.08</v>
      </c>
      <c r="AO52" s="18" t="n">
        <f aca="false">CHOOSE(Operations!$F$46,Inputs!AO74,Inputs!AO75,Inputs!AO76)</f>
        <v>81.68</v>
      </c>
      <c r="AP52" s="18" t="n">
        <f aca="false">CHOOSE(Operations!$F$46,Inputs!AP74,Inputs!AP75,Inputs!AP76)</f>
        <v>83.31</v>
      </c>
      <c r="AQ52" s="18" t="n">
        <f aca="false">CHOOSE(Operations!$F$46,Inputs!AQ74,Inputs!AQ75,Inputs!AQ76)</f>
        <v>84.98</v>
      </c>
      <c r="AR52" s="18" t="n">
        <f aca="false">CHOOSE(Operations!$F$46,Inputs!AR74,Inputs!AR75,Inputs!AR76)</f>
        <v>86.68</v>
      </c>
      <c r="AS52" s="18" t="n">
        <f aca="false">CHOOSE(Operations!$F$46,Inputs!AS74,Inputs!AS75,Inputs!AS76)</f>
        <v>88.41</v>
      </c>
      <c r="AT52" s="18" t="n">
        <f aca="false">CHOOSE(Operations!$F$46,Inputs!AT74,Inputs!AT75,Inputs!AT76)</f>
        <v>90.18</v>
      </c>
      <c r="AU52" s="18" t="n">
        <f aca="false">CHOOSE(Operations!$F$46,Inputs!AU74,Inputs!AU75,Inputs!AU76)</f>
        <v>91.98</v>
      </c>
    </row>
    <row r="53" customFormat="false" ht="15" hidden="false" customHeight="false" outlineLevel="0" collapsed="false">
      <c r="D53" s="0" t="s">
        <v>447</v>
      </c>
      <c r="E53" s="0" t="s">
        <v>96</v>
      </c>
      <c r="J53" s="18" t="n">
        <f aca="false">Operations!J52*Inputs!$F$35</f>
        <v>72.2128</v>
      </c>
      <c r="K53" s="18" t="n">
        <f aca="false">Operations!K52*Inputs!$F$35</f>
        <v>59.2416</v>
      </c>
      <c r="L53" s="18" t="n">
        <f aca="false">Operations!L52*Inputs!$F$35</f>
        <v>29.1368</v>
      </c>
      <c r="M53" s="18" t="n">
        <f aca="false">Operations!M52*Inputs!$F$35</f>
        <v>38.5264</v>
      </c>
      <c r="N53" s="18" t="n">
        <f aca="false">Operations!N52*Inputs!$F$35</f>
        <v>43.1728</v>
      </c>
      <c r="O53" s="18" t="n">
        <f aca="false">Operations!O52*Inputs!$F$35</f>
        <v>45.7864</v>
      </c>
      <c r="P53" s="18" t="n">
        <f aca="false">Operations!P52*Inputs!$F$35</f>
        <v>47.5288</v>
      </c>
      <c r="Q53" s="18" t="n">
        <f aca="false">Operations!Q52*Inputs!$F$35</f>
        <v>48.7872</v>
      </c>
      <c r="R53" s="18" t="n">
        <f aca="false">Operations!R52*Inputs!$F$35</f>
        <v>50.1424</v>
      </c>
      <c r="S53" s="18" t="n">
        <f aca="false">Operations!S52*Inputs!$F$35</f>
        <v>51.14912</v>
      </c>
      <c r="T53" s="18" t="n">
        <f aca="false">Operations!T52*Inputs!$F$35</f>
        <v>52.1752</v>
      </c>
      <c r="U53" s="18" t="n">
        <f aca="false">Operations!U52*Inputs!$F$35</f>
        <v>53.22064</v>
      </c>
      <c r="V53" s="18" t="n">
        <f aca="false">Operations!V52*Inputs!$F$35</f>
        <v>54.28544</v>
      </c>
      <c r="W53" s="18" t="n">
        <f aca="false">Operations!W52*Inputs!$F$35</f>
        <v>55.3696</v>
      </c>
      <c r="X53" s="18" t="n">
        <f aca="false">Operations!X52*Inputs!$F$35</f>
        <v>56.47312</v>
      </c>
      <c r="Y53" s="18" t="n">
        <f aca="false">Operations!Y52*Inputs!$F$35</f>
        <v>57.60568</v>
      </c>
      <c r="Z53" s="18" t="n">
        <f aca="false">Operations!Z52*Inputs!$F$35</f>
        <v>58.7576</v>
      </c>
      <c r="AA53" s="18" t="n">
        <f aca="false">Operations!AA52*Inputs!$F$35</f>
        <v>59.92888</v>
      </c>
      <c r="AB53" s="18" t="n">
        <f aca="false">Operations!AB52*Inputs!$F$35</f>
        <v>61.1292</v>
      </c>
      <c r="AC53" s="18" t="n">
        <f aca="false">Operations!AC52*Inputs!$F$35</f>
        <v>62.34888</v>
      </c>
      <c r="AD53" s="18" t="n">
        <f aca="false">Operations!AD52*Inputs!$F$35</f>
        <v>63.5976</v>
      </c>
      <c r="AE53" s="18" t="n">
        <f aca="false">Operations!AE52*Inputs!$F$35</f>
        <v>64.86568</v>
      </c>
      <c r="AF53" s="18" t="n">
        <f aca="false">Operations!AF52*Inputs!$F$35</f>
        <v>66.1628</v>
      </c>
      <c r="AG53" s="18" t="n">
        <f aca="false">Operations!AG52*Inputs!$F$35</f>
        <v>67.48896</v>
      </c>
      <c r="AH53" s="18" t="n">
        <f aca="false">Operations!AH52*Inputs!$F$35</f>
        <v>68.83448</v>
      </c>
      <c r="AI53" s="18" t="n">
        <f aca="false">Operations!AI52*Inputs!$F$35</f>
        <v>70.20904</v>
      </c>
      <c r="AJ53" s="18" t="n">
        <f aca="false">Operations!AJ52*Inputs!$F$35</f>
        <v>71.61264</v>
      </c>
      <c r="AK53" s="18" t="n">
        <f aca="false">Operations!AK52*Inputs!$F$35</f>
        <v>73.04528</v>
      </c>
      <c r="AL53" s="18" t="n">
        <f aca="false">Operations!AL52*Inputs!$F$35</f>
        <v>74.50696</v>
      </c>
      <c r="AM53" s="18" t="n">
        <f aca="false">Operations!AM52*Inputs!$F$35</f>
        <v>75.99768</v>
      </c>
      <c r="AN53" s="18" t="n">
        <f aca="false">Operations!AN52*Inputs!$F$35</f>
        <v>77.51744</v>
      </c>
      <c r="AO53" s="18" t="n">
        <f aca="false">Operations!AO52*Inputs!$F$35</f>
        <v>79.06624</v>
      </c>
      <c r="AP53" s="18" t="n">
        <f aca="false">Operations!AP52*Inputs!$F$35</f>
        <v>80.64408</v>
      </c>
      <c r="AQ53" s="18" t="n">
        <f aca="false">Operations!AQ52*Inputs!$F$35</f>
        <v>82.26064</v>
      </c>
      <c r="AR53" s="18" t="n">
        <f aca="false">Operations!AR52*Inputs!$F$35</f>
        <v>83.90624</v>
      </c>
      <c r="AS53" s="18" t="n">
        <f aca="false">Operations!AS52*Inputs!$F$35</f>
        <v>85.58088</v>
      </c>
      <c r="AT53" s="18" t="n">
        <f aca="false">Operations!AT52*Inputs!$F$35</f>
        <v>87.29424</v>
      </c>
      <c r="AU53" s="18" t="n">
        <f aca="false">Operations!AU52*Inputs!$F$35</f>
        <v>89.03664</v>
      </c>
    </row>
    <row r="54" customFormat="false" ht="15" hidden="false" customHeight="false" outlineLevel="0" collapsed="false">
      <c r="D54" s="0" t="s">
        <v>448</v>
      </c>
      <c r="E54" s="0" t="s">
        <v>96</v>
      </c>
      <c r="J54" s="18" t="n">
        <f aca="false">Operations!J52*Inputs!$F$36</f>
        <v>73.9286</v>
      </c>
      <c r="K54" s="18" t="n">
        <f aca="false">Operations!K52*Inputs!$F$36</f>
        <v>60.6492</v>
      </c>
      <c r="L54" s="18" t="n">
        <f aca="false">Operations!L52*Inputs!$F$36</f>
        <v>29.8291</v>
      </c>
      <c r="M54" s="18" t="n">
        <f aca="false">Operations!M52*Inputs!$F$36</f>
        <v>39.4418</v>
      </c>
      <c r="N54" s="18" t="n">
        <f aca="false">Operations!N52*Inputs!$F$36</f>
        <v>44.1986</v>
      </c>
      <c r="O54" s="18" t="n">
        <f aca="false">Operations!O52*Inputs!$F$36</f>
        <v>46.8743</v>
      </c>
      <c r="P54" s="18" t="n">
        <f aca="false">Operations!P52*Inputs!$F$36</f>
        <v>48.6581</v>
      </c>
      <c r="Q54" s="18" t="n">
        <f aca="false">Operations!Q52*Inputs!$F$36</f>
        <v>49.9464</v>
      </c>
      <c r="R54" s="18" t="n">
        <f aca="false">Operations!R52*Inputs!$F$36</f>
        <v>51.3338</v>
      </c>
      <c r="S54" s="18" t="n">
        <f aca="false">Operations!S52*Inputs!$F$36</f>
        <v>52.36444</v>
      </c>
      <c r="T54" s="18" t="n">
        <f aca="false">Operations!T52*Inputs!$F$36</f>
        <v>53.4149</v>
      </c>
      <c r="U54" s="18" t="n">
        <f aca="false">Operations!U52*Inputs!$F$36</f>
        <v>54.48518</v>
      </c>
      <c r="V54" s="18" t="n">
        <f aca="false">Operations!V52*Inputs!$F$36</f>
        <v>55.57528</v>
      </c>
      <c r="W54" s="18" t="n">
        <f aca="false">Operations!W52*Inputs!$F$36</f>
        <v>56.6852</v>
      </c>
      <c r="X54" s="18" t="n">
        <f aca="false">Operations!X52*Inputs!$F$36</f>
        <v>57.81494</v>
      </c>
      <c r="Y54" s="18" t="n">
        <f aca="false">Operations!Y52*Inputs!$F$36</f>
        <v>58.97441</v>
      </c>
      <c r="Z54" s="18" t="n">
        <f aca="false">Operations!Z52*Inputs!$F$36</f>
        <v>60.1537</v>
      </c>
      <c r="AA54" s="18" t="n">
        <f aca="false">Operations!AA52*Inputs!$F$36</f>
        <v>61.35281</v>
      </c>
      <c r="AB54" s="18" t="n">
        <f aca="false">Operations!AB52*Inputs!$F$36</f>
        <v>62.58165</v>
      </c>
      <c r="AC54" s="18" t="n">
        <f aca="false">Operations!AC52*Inputs!$F$36</f>
        <v>63.83031</v>
      </c>
      <c r="AD54" s="18" t="n">
        <f aca="false">Operations!AD52*Inputs!$F$36</f>
        <v>65.1087</v>
      </c>
      <c r="AE54" s="18" t="n">
        <f aca="false">Operations!AE52*Inputs!$F$36</f>
        <v>66.40691</v>
      </c>
      <c r="AF54" s="18" t="n">
        <f aca="false">Operations!AF52*Inputs!$F$36</f>
        <v>67.73485</v>
      </c>
      <c r="AG54" s="18" t="n">
        <f aca="false">Operations!AG52*Inputs!$F$36</f>
        <v>69.09252</v>
      </c>
      <c r="AH54" s="18" t="n">
        <f aca="false">Operations!AH52*Inputs!$F$36</f>
        <v>70.47001</v>
      </c>
      <c r="AI54" s="18" t="n">
        <f aca="false">Operations!AI52*Inputs!$F$36</f>
        <v>71.87723</v>
      </c>
      <c r="AJ54" s="18" t="n">
        <f aca="false">Operations!AJ52*Inputs!$F$36</f>
        <v>73.31418</v>
      </c>
      <c r="AK54" s="18" t="n">
        <f aca="false">Operations!AK52*Inputs!$F$36</f>
        <v>74.78086</v>
      </c>
      <c r="AL54" s="18" t="n">
        <f aca="false">Operations!AL52*Inputs!$F$36</f>
        <v>76.27727</v>
      </c>
      <c r="AM54" s="18" t="n">
        <f aca="false">Operations!AM52*Inputs!$F$36</f>
        <v>77.80341</v>
      </c>
      <c r="AN54" s="18" t="n">
        <f aca="false">Operations!AN52*Inputs!$F$36</f>
        <v>79.35928</v>
      </c>
      <c r="AO54" s="18" t="n">
        <f aca="false">Operations!AO52*Inputs!$F$36</f>
        <v>80.94488</v>
      </c>
      <c r="AP54" s="18" t="n">
        <f aca="false">Operations!AP52*Inputs!$F$36</f>
        <v>82.56021</v>
      </c>
      <c r="AQ54" s="18" t="n">
        <f aca="false">Operations!AQ52*Inputs!$F$36</f>
        <v>84.21518</v>
      </c>
      <c r="AR54" s="18" t="n">
        <f aca="false">Operations!AR52*Inputs!$F$36</f>
        <v>85.89988</v>
      </c>
      <c r="AS54" s="18" t="n">
        <f aca="false">Operations!AS52*Inputs!$F$36</f>
        <v>87.61431</v>
      </c>
      <c r="AT54" s="18" t="n">
        <f aca="false">Operations!AT52*Inputs!$F$36</f>
        <v>89.36838</v>
      </c>
      <c r="AU54" s="18" t="n">
        <f aca="false">Operations!AU52*Inputs!$F$36</f>
        <v>91.15218</v>
      </c>
    </row>
    <row r="55" customFormat="false" ht="15" hidden="false" customHeight="false" outlineLevel="0" collapsed="false">
      <c r="D55" s="0" t="s">
        <v>449</v>
      </c>
      <c r="E55" s="0" t="s">
        <v>96</v>
      </c>
      <c r="J55" s="18" t="n">
        <f aca="false">Operations!J52*Inputs!$F$37</f>
        <v>75.4952</v>
      </c>
      <c r="K55" s="18" t="n">
        <f aca="false">Operations!K52*Inputs!$F$37</f>
        <v>61.9344</v>
      </c>
      <c r="L55" s="18" t="n">
        <f aca="false">Operations!L52*Inputs!$F$37</f>
        <v>30.4612</v>
      </c>
      <c r="M55" s="18" t="n">
        <f aca="false">Operations!M52*Inputs!$F$37</f>
        <v>40.2776</v>
      </c>
      <c r="N55" s="18" t="n">
        <f aca="false">Operations!N52*Inputs!$F$37</f>
        <v>45.1352</v>
      </c>
      <c r="O55" s="18" t="n">
        <f aca="false">Operations!O52*Inputs!$F$37</f>
        <v>47.8676</v>
      </c>
      <c r="P55" s="18" t="n">
        <f aca="false">Operations!P52*Inputs!$F$37</f>
        <v>49.6892</v>
      </c>
      <c r="Q55" s="18" t="n">
        <f aca="false">Operations!Q52*Inputs!$F$37</f>
        <v>51.0048</v>
      </c>
      <c r="R55" s="18" t="n">
        <f aca="false">Operations!R52*Inputs!$F$37</f>
        <v>52.4216</v>
      </c>
      <c r="S55" s="18" t="n">
        <f aca="false">Operations!S52*Inputs!$F$37</f>
        <v>53.47408</v>
      </c>
      <c r="T55" s="18" t="n">
        <f aca="false">Operations!T52*Inputs!$F$37</f>
        <v>54.5468</v>
      </c>
      <c r="U55" s="18" t="n">
        <f aca="false">Operations!U52*Inputs!$F$37</f>
        <v>55.63976</v>
      </c>
      <c r="V55" s="18" t="n">
        <f aca="false">Operations!V52*Inputs!$F$37</f>
        <v>56.75296</v>
      </c>
      <c r="W55" s="18" t="n">
        <f aca="false">Operations!W52*Inputs!$F$37</f>
        <v>57.8864</v>
      </c>
      <c r="X55" s="18" t="n">
        <f aca="false">Operations!X52*Inputs!$F$37</f>
        <v>59.04008</v>
      </c>
      <c r="Y55" s="18" t="n">
        <f aca="false">Operations!Y52*Inputs!$F$37</f>
        <v>60.22412</v>
      </c>
      <c r="Z55" s="18" t="n">
        <f aca="false">Operations!Z52*Inputs!$F$37</f>
        <v>61.4284</v>
      </c>
      <c r="AA55" s="18" t="n">
        <f aca="false">Operations!AA52*Inputs!$F$37</f>
        <v>62.65292</v>
      </c>
      <c r="AB55" s="18" t="n">
        <f aca="false">Operations!AB52*Inputs!$F$37</f>
        <v>63.9078</v>
      </c>
      <c r="AC55" s="18" t="n">
        <f aca="false">Operations!AC52*Inputs!$F$37</f>
        <v>65.18292</v>
      </c>
      <c r="AD55" s="18" t="n">
        <f aca="false">Operations!AD52*Inputs!$F$37</f>
        <v>66.4884</v>
      </c>
      <c r="AE55" s="18" t="n">
        <f aca="false">Operations!AE52*Inputs!$F$37</f>
        <v>67.81412</v>
      </c>
      <c r="AF55" s="18" t="n">
        <f aca="false">Operations!AF52*Inputs!$F$37</f>
        <v>69.1702</v>
      </c>
      <c r="AG55" s="18" t="n">
        <f aca="false">Operations!AG52*Inputs!$F$37</f>
        <v>70.55664</v>
      </c>
      <c r="AH55" s="18" t="n">
        <f aca="false">Operations!AH52*Inputs!$F$37</f>
        <v>71.96332</v>
      </c>
      <c r="AI55" s="18" t="n">
        <f aca="false">Operations!AI52*Inputs!$F$37</f>
        <v>73.40036</v>
      </c>
      <c r="AJ55" s="18" t="n">
        <f aca="false">Operations!AJ52*Inputs!$F$37</f>
        <v>74.86776</v>
      </c>
      <c r="AK55" s="18" t="n">
        <f aca="false">Operations!AK52*Inputs!$F$37</f>
        <v>76.36552</v>
      </c>
      <c r="AL55" s="18" t="n">
        <f aca="false">Operations!AL52*Inputs!$F$37</f>
        <v>77.89364</v>
      </c>
      <c r="AM55" s="18" t="n">
        <f aca="false">Operations!AM52*Inputs!$F$37</f>
        <v>79.45212</v>
      </c>
      <c r="AN55" s="18" t="n">
        <f aca="false">Operations!AN52*Inputs!$F$37</f>
        <v>81.04096</v>
      </c>
      <c r="AO55" s="18" t="n">
        <f aca="false">Operations!AO52*Inputs!$F$37</f>
        <v>82.66016</v>
      </c>
      <c r="AP55" s="18" t="n">
        <f aca="false">Operations!AP52*Inputs!$F$37</f>
        <v>84.30972</v>
      </c>
      <c r="AQ55" s="18" t="n">
        <f aca="false">Operations!AQ52*Inputs!$F$37</f>
        <v>85.99976</v>
      </c>
      <c r="AR55" s="18" t="n">
        <f aca="false">Operations!AR52*Inputs!$F$37</f>
        <v>87.72016</v>
      </c>
      <c r="AS55" s="18" t="n">
        <f aca="false">Operations!AS52*Inputs!$F$37</f>
        <v>89.47092</v>
      </c>
      <c r="AT55" s="18" t="n">
        <f aca="false">Operations!AT52*Inputs!$F$37</f>
        <v>91.26216</v>
      </c>
      <c r="AU55" s="18" t="n">
        <f aca="false">Operations!AU52*Inputs!$F$37</f>
        <v>93.08376</v>
      </c>
    </row>
    <row r="56" customFormat="false" ht="15" hidden="false" customHeight="false" outlineLevel="0" collapsed="false">
      <c r="D56" s="0" t="s">
        <v>450</v>
      </c>
      <c r="E56" s="0" t="s">
        <v>100</v>
      </c>
      <c r="J56" s="18" t="n">
        <f aca="false">CHOOSE(Operations!$F$51,Inputs!J77,Inputs!J78,Inputs!J79)</f>
        <v>0</v>
      </c>
      <c r="K56" s="18" t="n">
        <f aca="false">CHOOSE(Operations!$F$51,Inputs!K77,Inputs!K78,Inputs!K79)</f>
        <v>142.5</v>
      </c>
      <c r="L56" s="18" t="n">
        <f aca="false">CHOOSE(Operations!$F$51,Inputs!L77,Inputs!L78,Inputs!L79)</f>
        <v>61.8</v>
      </c>
      <c r="M56" s="18" t="n">
        <f aca="false">CHOOSE(Operations!$F$51,Inputs!M77,Inputs!M78,Inputs!M79)</f>
        <v>52.4</v>
      </c>
      <c r="N56" s="18" t="n">
        <f aca="false">CHOOSE(Operations!$F$51,Inputs!N77,Inputs!N78,Inputs!N79)</f>
        <v>57.9</v>
      </c>
      <c r="O56" s="18" t="n">
        <f aca="false">CHOOSE(Operations!$F$51,Inputs!O77,Inputs!O78,Inputs!O79)</f>
        <v>58.77</v>
      </c>
      <c r="P56" s="18" t="n">
        <f aca="false">CHOOSE(Operations!$F$51,Inputs!P77,Inputs!P78,Inputs!P79)</f>
        <v>59.65</v>
      </c>
      <c r="Q56" s="18" t="n">
        <f aca="false">CHOOSE(Operations!$F$51,Inputs!Q77,Inputs!Q78,Inputs!Q79)</f>
        <v>60.54</v>
      </c>
      <c r="R56" s="18" t="n">
        <f aca="false">CHOOSE(Operations!$F$51,Inputs!R77,Inputs!R78,Inputs!R79)</f>
        <v>61.45</v>
      </c>
      <c r="S56" s="18" t="n">
        <f aca="false">CHOOSE(Operations!$F$51,Inputs!S77,Inputs!S78,Inputs!S79)</f>
        <v>62.37</v>
      </c>
      <c r="T56" s="18" t="n">
        <f aca="false">CHOOSE(Operations!$F$51,Inputs!T77,Inputs!T78,Inputs!T79)</f>
        <v>63.31</v>
      </c>
      <c r="U56" s="18" t="n">
        <f aca="false">CHOOSE(Operations!$F$51,Inputs!U77,Inputs!U78,Inputs!U79)</f>
        <v>64.26</v>
      </c>
      <c r="V56" s="18" t="n">
        <f aca="false">CHOOSE(Operations!$F$51,Inputs!V77,Inputs!V78,Inputs!V79)</f>
        <v>65.22</v>
      </c>
      <c r="W56" s="18" t="n">
        <f aca="false">CHOOSE(Operations!$F$51,Inputs!W77,Inputs!W78,Inputs!W79)</f>
        <v>66.2</v>
      </c>
      <c r="X56" s="18" t="n">
        <f aca="false">CHOOSE(Operations!$F$51,Inputs!X77,Inputs!X78,Inputs!X79)</f>
        <v>67.19</v>
      </c>
      <c r="Y56" s="18" t="n">
        <f aca="false">CHOOSE(Operations!$F$51,Inputs!Y77,Inputs!Y78,Inputs!Y79)</f>
        <v>68.2</v>
      </c>
      <c r="Z56" s="18" t="n">
        <f aca="false">CHOOSE(Operations!$F$51,Inputs!Z77,Inputs!Z78,Inputs!Z79)</f>
        <v>69.22</v>
      </c>
      <c r="AA56" s="18" t="n">
        <f aca="false">CHOOSE(Operations!$F$51,Inputs!AA77,Inputs!AA78,Inputs!AA79)</f>
        <v>70.26</v>
      </c>
      <c r="AB56" s="18" t="n">
        <f aca="false">CHOOSE(Operations!$F$51,Inputs!AB77,Inputs!AB78,Inputs!AB79)</f>
        <v>71.31</v>
      </c>
      <c r="AC56" s="18" t="n">
        <f aca="false">CHOOSE(Operations!$F$51,Inputs!AC77,Inputs!AC78,Inputs!AC79)</f>
        <v>72.38</v>
      </c>
      <c r="AD56" s="18" t="n">
        <f aca="false">CHOOSE(Operations!$F$51,Inputs!AD77,Inputs!AD78,Inputs!AD79)</f>
        <v>73.47</v>
      </c>
      <c r="AE56" s="18" t="n">
        <f aca="false">CHOOSE(Operations!$F$51,Inputs!AE77,Inputs!AE78,Inputs!AE79)</f>
        <v>74.57</v>
      </c>
      <c r="AF56" s="18" t="n">
        <f aca="false">CHOOSE(Operations!$F$51,Inputs!AF77,Inputs!AF78,Inputs!AF79)</f>
        <v>75.69</v>
      </c>
      <c r="AG56" s="18" t="n">
        <f aca="false">CHOOSE(Operations!$F$51,Inputs!AG77,Inputs!AG78,Inputs!AG79)</f>
        <v>76.83</v>
      </c>
      <c r="AH56" s="18" t="n">
        <f aca="false">CHOOSE(Operations!$F$51,Inputs!AH77,Inputs!AH78,Inputs!AH79)</f>
        <v>77.98</v>
      </c>
      <c r="AI56" s="18" t="n">
        <f aca="false">CHOOSE(Operations!$F$51,Inputs!AI77,Inputs!AI78,Inputs!AI79)</f>
        <v>79.15</v>
      </c>
      <c r="AJ56" s="18" t="n">
        <f aca="false">CHOOSE(Operations!$F$51,Inputs!AJ77,Inputs!AJ78,Inputs!AJ79)</f>
        <v>80.34</v>
      </c>
      <c r="AK56" s="18" t="n">
        <f aca="false">CHOOSE(Operations!$F$51,Inputs!AK77,Inputs!AK78,Inputs!AK79)</f>
        <v>81.55</v>
      </c>
      <c r="AL56" s="18" t="n">
        <f aca="false">CHOOSE(Operations!$F$51,Inputs!AL77,Inputs!AL78,Inputs!AL79)</f>
        <v>82.77</v>
      </c>
      <c r="AM56" s="18" t="n">
        <f aca="false">CHOOSE(Operations!$F$51,Inputs!AM77,Inputs!AM78,Inputs!AM79)</f>
        <v>84.01</v>
      </c>
      <c r="AN56" s="18" t="n">
        <f aca="false">CHOOSE(Operations!$F$51,Inputs!AN77,Inputs!AN78,Inputs!AN79)</f>
        <v>85.27</v>
      </c>
      <c r="AO56" s="18" t="n">
        <f aca="false">CHOOSE(Operations!$F$51,Inputs!AO77,Inputs!AO78,Inputs!AO79)</f>
        <v>86.55</v>
      </c>
      <c r="AP56" s="18" t="n">
        <f aca="false">CHOOSE(Operations!$F$51,Inputs!AP77,Inputs!AP78,Inputs!AP79)</f>
        <v>87.85</v>
      </c>
      <c r="AQ56" s="18" t="n">
        <f aca="false">CHOOSE(Operations!$F$51,Inputs!AQ77,Inputs!AQ78,Inputs!AQ79)</f>
        <v>89.17</v>
      </c>
      <c r="AR56" s="18" t="n">
        <f aca="false">CHOOSE(Operations!$F$51,Inputs!AR77,Inputs!AR78,Inputs!AR79)</f>
        <v>90.51</v>
      </c>
      <c r="AS56" s="18" t="n">
        <f aca="false">CHOOSE(Operations!$F$51,Inputs!AS77,Inputs!AS78,Inputs!AS79)</f>
        <v>91.87</v>
      </c>
      <c r="AT56" s="18" t="n">
        <f aca="false">CHOOSE(Operations!$F$51,Inputs!AT77,Inputs!AT78,Inputs!AT79)</f>
        <v>93.25</v>
      </c>
      <c r="AU56" s="18" t="n">
        <f aca="false">CHOOSE(Operations!$F$51,Inputs!AU77,Inputs!AU78,Inputs!AU79)</f>
        <v>94.65</v>
      </c>
    </row>
    <row r="57" customFormat="false" ht="15" hidden="false" customHeight="false" outlineLevel="0" collapsed="false">
      <c r="D57" s="0" t="s">
        <v>451</v>
      </c>
      <c r="E57" s="0" t="s">
        <v>54</v>
      </c>
      <c r="J57" s="14" t="n">
        <f aca="false">MAX(Inputs!$F$43+CHOOSE(Operations!$F$46,0,Inputs!$F$39,0),Inputs!$F$41-Inputs!$F$42/100*CHOOSE(Operations!$F$46,1,Inputs!$F$38,Inputs!$F$40)*Time!J$8)</f>
        <v>0.74</v>
      </c>
      <c r="K57" s="14" t="n">
        <f aca="false">MAX(Inputs!$F$43+CHOOSE(Operations!$F$46,0,Inputs!$F$39,0),Inputs!$F$41-Inputs!$F$42/100*CHOOSE(Operations!$F$46,1,Inputs!$F$38,Inputs!$F$40)*Time!K$8)</f>
        <v>0.734</v>
      </c>
      <c r="L57" s="14" t="n">
        <f aca="false">MAX(Inputs!$F$43+CHOOSE(Operations!$F$46,0,Inputs!$F$39,0),Inputs!$F$41-Inputs!$F$42/100*CHOOSE(Operations!$F$46,1,Inputs!$F$38,Inputs!$F$40)*Time!L$8)</f>
        <v>0.728</v>
      </c>
      <c r="M57" s="14" t="n">
        <f aca="false">MAX(Inputs!$F$43+CHOOSE(Operations!$F$46,0,Inputs!$F$39,0),Inputs!$F$41-Inputs!$F$42/100*CHOOSE(Operations!$F$46,1,Inputs!$F$38,Inputs!$F$40)*Time!M$8)</f>
        <v>0.722</v>
      </c>
      <c r="N57" s="14" t="n">
        <f aca="false">MAX(Inputs!$F$43+CHOOSE(Operations!$F$46,0,Inputs!$F$39,0),Inputs!$F$41-Inputs!$F$42/100*CHOOSE(Operations!$F$46,1,Inputs!$F$38,Inputs!$F$40)*Time!N$8)</f>
        <v>0.716</v>
      </c>
      <c r="O57" s="14" t="n">
        <f aca="false">MAX(Inputs!$F$43+CHOOSE(Operations!$F$46,0,Inputs!$F$39,0),Inputs!$F$41-Inputs!$F$42/100*CHOOSE(Operations!$F$46,1,Inputs!$F$38,Inputs!$F$40)*Time!O$8)</f>
        <v>0.71</v>
      </c>
      <c r="P57" s="14" t="n">
        <f aca="false">MAX(Inputs!$F$43+CHOOSE(Operations!$F$46,0,Inputs!$F$39,0),Inputs!$F$41-Inputs!$F$42/100*CHOOSE(Operations!$F$46,1,Inputs!$F$38,Inputs!$F$40)*Time!P$8)</f>
        <v>0.704</v>
      </c>
      <c r="Q57" s="14" t="n">
        <f aca="false">MAX(Inputs!$F$43+CHOOSE(Operations!$F$46,0,Inputs!$F$39,0),Inputs!$F$41-Inputs!$F$42/100*CHOOSE(Operations!$F$46,1,Inputs!$F$38,Inputs!$F$40)*Time!Q$8)</f>
        <v>0.698</v>
      </c>
      <c r="R57" s="14" t="n">
        <f aca="false">MAX(Inputs!$F$43+CHOOSE(Operations!$F$46,0,Inputs!$F$39,0),Inputs!$F$41-Inputs!$F$42/100*CHOOSE(Operations!$F$46,1,Inputs!$F$38,Inputs!$F$40)*Time!R$8)</f>
        <v>0.692</v>
      </c>
      <c r="S57" s="14" t="n">
        <f aca="false">MAX(Inputs!$F$43+CHOOSE(Operations!$F$46,0,Inputs!$F$39,0),Inputs!$F$41-Inputs!$F$42/100*CHOOSE(Operations!$F$46,1,Inputs!$F$38,Inputs!$F$40)*Time!S$8)</f>
        <v>0.686</v>
      </c>
      <c r="T57" s="14" t="n">
        <f aca="false">MAX(Inputs!$F$43+CHOOSE(Operations!$F$46,0,Inputs!$F$39,0),Inputs!$F$41-Inputs!$F$42/100*CHOOSE(Operations!$F$46,1,Inputs!$F$38,Inputs!$F$40)*Time!T$8)</f>
        <v>0.68</v>
      </c>
      <c r="U57" s="14" t="n">
        <f aca="false">MAX(Inputs!$F$43+CHOOSE(Operations!$F$46,0,Inputs!$F$39,0),Inputs!$F$41-Inputs!$F$42/100*CHOOSE(Operations!$F$46,1,Inputs!$F$38,Inputs!$F$40)*Time!U$8)</f>
        <v>0.674</v>
      </c>
      <c r="V57" s="14" t="n">
        <f aca="false">MAX(Inputs!$F$43+CHOOSE(Operations!$F$46,0,Inputs!$F$39,0),Inputs!$F$41-Inputs!$F$42/100*CHOOSE(Operations!$F$46,1,Inputs!$F$38,Inputs!$F$40)*Time!V$8)</f>
        <v>0.668</v>
      </c>
      <c r="W57" s="14" t="n">
        <f aca="false">MAX(Inputs!$F$43+CHOOSE(Operations!$F$46,0,Inputs!$F$39,0),Inputs!$F$41-Inputs!$F$42/100*CHOOSE(Operations!$F$46,1,Inputs!$F$38,Inputs!$F$40)*Time!W$8)</f>
        <v>0.662</v>
      </c>
      <c r="X57" s="14" t="n">
        <f aca="false">MAX(Inputs!$F$43+CHOOSE(Operations!$F$46,0,Inputs!$F$39,0),Inputs!$F$41-Inputs!$F$42/100*CHOOSE(Operations!$F$46,1,Inputs!$F$38,Inputs!$F$40)*Time!X$8)</f>
        <v>0.656</v>
      </c>
      <c r="Y57" s="14" t="n">
        <f aca="false">MAX(Inputs!$F$43+CHOOSE(Operations!$F$46,0,Inputs!$F$39,0),Inputs!$F$41-Inputs!$F$42/100*CHOOSE(Operations!$F$46,1,Inputs!$F$38,Inputs!$F$40)*Time!Y$8)</f>
        <v>0.65</v>
      </c>
      <c r="Z57" s="14" t="n">
        <f aca="false">MAX(Inputs!$F$43+CHOOSE(Operations!$F$46,0,Inputs!$F$39,0),Inputs!$F$41-Inputs!$F$42/100*CHOOSE(Operations!$F$46,1,Inputs!$F$38,Inputs!$F$40)*Time!Z$8)</f>
        <v>0.644</v>
      </c>
      <c r="AA57" s="14" t="n">
        <f aca="false">MAX(Inputs!$F$43+CHOOSE(Operations!$F$46,0,Inputs!$F$39,0),Inputs!$F$41-Inputs!$F$42/100*CHOOSE(Operations!$F$46,1,Inputs!$F$38,Inputs!$F$40)*Time!AA$8)</f>
        <v>0.638</v>
      </c>
      <c r="AB57" s="14" t="n">
        <f aca="false">MAX(Inputs!$F$43+CHOOSE(Operations!$F$46,0,Inputs!$F$39,0),Inputs!$F$41-Inputs!$F$42/100*CHOOSE(Operations!$F$46,1,Inputs!$F$38,Inputs!$F$40)*Time!AB$8)</f>
        <v>0.632</v>
      </c>
      <c r="AC57" s="14" t="n">
        <f aca="false">MAX(Inputs!$F$43+CHOOSE(Operations!$F$46,0,Inputs!$F$39,0),Inputs!$F$41-Inputs!$F$42/100*CHOOSE(Operations!$F$46,1,Inputs!$F$38,Inputs!$F$40)*Time!AC$8)</f>
        <v>0.626</v>
      </c>
      <c r="AD57" s="14" t="n">
        <f aca="false">MAX(Inputs!$F$43+CHOOSE(Operations!$F$46,0,Inputs!$F$39,0),Inputs!$F$41-Inputs!$F$42/100*CHOOSE(Operations!$F$46,1,Inputs!$F$38,Inputs!$F$40)*Time!AD$8)</f>
        <v>0.62</v>
      </c>
      <c r="AE57" s="14" t="n">
        <f aca="false">MAX(Inputs!$F$43+CHOOSE(Operations!$F$46,0,Inputs!$F$39,0),Inputs!$F$41-Inputs!$F$42/100*CHOOSE(Operations!$F$46,1,Inputs!$F$38,Inputs!$F$40)*Time!AE$8)</f>
        <v>0.62</v>
      </c>
      <c r="AF57" s="14" t="n">
        <f aca="false">MAX(Inputs!$F$43+CHOOSE(Operations!$F$46,0,Inputs!$F$39,0),Inputs!$F$41-Inputs!$F$42/100*CHOOSE(Operations!$F$46,1,Inputs!$F$38,Inputs!$F$40)*Time!AF$8)</f>
        <v>0.62</v>
      </c>
      <c r="AG57" s="14" t="n">
        <f aca="false">MAX(Inputs!$F$43+CHOOSE(Operations!$F$46,0,Inputs!$F$39,0),Inputs!$F$41-Inputs!$F$42/100*CHOOSE(Operations!$F$46,1,Inputs!$F$38,Inputs!$F$40)*Time!AG$8)</f>
        <v>0.62</v>
      </c>
      <c r="AH57" s="14" t="n">
        <f aca="false">MAX(Inputs!$F$43+CHOOSE(Operations!$F$46,0,Inputs!$F$39,0),Inputs!$F$41-Inputs!$F$42/100*CHOOSE(Operations!$F$46,1,Inputs!$F$38,Inputs!$F$40)*Time!AH$8)</f>
        <v>0.62</v>
      </c>
      <c r="AI57" s="14" t="n">
        <f aca="false">MAX(Inputs!$F$43+CHOOSE(Operations!$F$46,0,Inputs!$F$39,0),Inputs!$F$41-Inputs!$F$42/100*CHOOSE(Operations!$F$46,1,Inputs!$F$38,Inputs!$F$40)*Time!AI$8)</f>
        <v>0.62</v>
      </c>
      <c r="AJ57" s="14" t="n">
        <f aca="false">MAX(Inputs!$F$43+CHOOSE(Operations!$F$46,0,Inputs!$F$39,0),Inputs!$F$41-Inputs!$F$42/100*CHOOSE(Operations!$F$46,1,Inputs!$F$38,Inputs!$F$40)*Time!AJ$8)</f>
        <v>0.62</v>
      </c>
      <c r="AK57" s="14" t="n">
        <f aca="false">MAX(Inputs!$F$43+CHOOSE(Operations!$F$46,0,Inputs!$F$39,0),Inputs!$F$41-Inputs!$F$42/100*CHOOSE(Operations!$F$46,1,Inputs!$F$38,Inputs!$F$40)*Time!AK$8)</f>
        <v>0.62</v>
      </c>
      <c r="AL57" s="14" t="n">
        <f aca="false">MAX(Inputs!$F$43+CHOOSE(Operations!$F$46,0,Inputs!$F$39,0),Inputs!$F$41-Inputs!$F$42/100*CHOOSE(Operations!$F$46,1,Inputs!$F$38,Inputs!$F$40)*Time!AL$8)</f>
        <v>0.62</v>
      </c>
      <c r="AM57" s="14" t="n">
        <f aca="false">MAX(Inputs!$F$43+CHOOSE(Operations!$F$46,0,Inputs!$F$39,0),Inputs!$F$41-Inputs!$F$42/100*CHOOSE(Operations!$F$46,1,Inputs!$F$38,Inputs!$F$40)*Time!AM$8)</f>
        <v>0.62</v>
      </c>
      <c r="AN57" s="14" t="n">
        <f aca="false">MAX(Inputs!$F$43+CHOOSE(Operations!$F$46,0,Inputs!$F$39,0),Inputs!$F$41-Inputs!$F$42/100*CHOOSE(Operations!$F$46,1,Inputs!$F$38,Inputs!$F$40)*Time!AN$8)</f>
        <v>0.62</v>
      </c>
      <c r="AO57" s="14" t="n">
        <f aca="false">MAX(Inputs!$F$43+CHOOSE(Operations!$F$46,0,Inputs!$F$39,0),Inputs!$F$41-Inputs!$F$42/100*CHOOSE(Operations!$F$46,1,Inputs!$F$38,Inputs!$F$40)*Time!AO$8)</f>
        <v>0.62</v>
      </c>
      <c r="AP57" s="14" t="n">
        <f aca="false">MAX(Inputs!$F$43+CHOOSE(Operations!$F$46,0,Inputs!$F$39,0),Inputs!$F$41-Inputs!$F$42/100*CHOOSE(Operations!$F$46,1,Inputs!$F$38,Inputs!$F$40)*Time!AP$8)</f>
        <v>0.62</v>
      </c>
      <c r="AQ57" s="14" t="n">
        <f aca="false">MAX(Inputs!$F$43+CHOOSE(Operations!$F$46,0,Inputs!$F$39,0),Inputs!$F$41-Inputs!$F$42/100*CHOOSE(Operations!$F$46,1,Inputs!$F$38,Inputs!$F$40)*Time!AQ$8)</f>
        <v>0.62</v>
      </c>
      <c r="AR57" s="14" t="n">
        <f aca="false">MAX(Inputs!$F$43+CHOOSE(Operations!$F$46,0,Inputs!$F$39,0),Inputs!$F$41-Inputs!$F$42/100*CHOOSE(Operations!$F$46,1,Inputs!$F$38,Inputs!$F$40)*Time!AR$8)</f>
        <v>0.62</v>
      </c>
      <c r="AS57" s="14" t="n">
        <f aca="false">MAX(Inputs!$F$43+CHOOSE(Operations!$F$46,0,Inputs!$F$39,0),Inputs!$F$41-Inputs!$F$42/100*CHOOSE(Operations!$F$46,1,Inputs!$F$38,Inputs!$F$40)*Time!AS$8)</f>
        <v>0.62</v>
      </c>
      <c r="AT57" s="14" t="n">
        <f aca="false">MAX(Inputs!$F$43+CHOOSE(Operations!$F$46,0,Inputs!$F$39,0),Inputs!$F$41-Inputs!$F$42/100*CHOOSE(Operations!$F$46,1,Inputs!$F$38,Inputs!$F$40)*Time!AT$8)</f>
        <v>0.62</v>
      </c>
      <c r="AU57" s="14" t="n">
        <f aca="false">MAX(Inputs!$F$43+CHOOSE(Operations!$F$46,0,Inputs!$F$39,0),Inputs!$F$41-Inputs!$F$42/100*CHOOSE(Operations!$F$46,1,Inputs!$F$38,Inputs!$F$40)*Time!AU$8)</f>
        <v>0.62</v>
      </c>
    </row>
    <row r="58" customFormat="false" ht="15" hidden="false" customHeight="false" outlineLevel="0" collapsed="false">
      <c r="D58" s="0" t="s">
        <v>452</v>
      </c>
      <c r="E58" s="0" t="s">
        <v>54</v>
      </c>
      <c r="J58" s="14" t="n">
        <f aca="false">MAX(Inputs!$F$47+CHOOSE(Operations!$F$46,0,Inputs!$F$39,0),Inputs!$F$45-Inputs!$F$46/100*CHOOSE(Operations!$F$46,1,Inputs!$F$38,Inputs!$F$40)*Time!J$8)</f>
        <v>0.66</v>
      </c>
      <c r="K58" s="14" t="n">
        <f aca="false">MAX(Inputs!$F$47+CHOOSE(Operations!$F$46,0,Inputs!$F$39,0),Inputs!$F$45-Inputs!$F$46/100*CHOOSE(Operations!$F$46,1,Inputs!$F$38,Inputs!$F$40)*Time!K$8)</f>
        <v>0.655</v>
      </c>
      <c r="L58" s="14" t="n">
        <f aca="false">MAX(Inputs!$F$47+CHOOSE(Operations!$F$46,0,Inputs!$F$39,0),Inputs!$F$45-Inputs!$F$46/100*CHOOSE(Operations!$F$46,1,Inputs!$F$38,Inputs!$F$40)*Time!L$8)</f>
        <v>0.65</v>
      </c>
      <c r="M58" s="14" t="n">
        <f aca="false">MAX(Inputs!$F$47+CHOOSE(Operations!$F$46,0,Inputs!$F$39,0),Inputs!$F$45-Inputs!$F$46/100*CHOOSE(Operations!$F$46,1,Inputs!$F$38,Inputs!$F$40)*Time!M$8)</f>
        <v>0.645</v>
      </c>
      <c r="N58" s="14" t="n">
        <f aca="false">MAX(Inputs!$F$47+CHOOSE(Operations!$F$46,0,Inputs!$F$39,0),Inputs!$F$45-Inputs!$F$46/100*CHOOSE(Operations!$F$46,1,Inputs!$F$38,Inputs!$F$40)*Time!N$8)</f>
        <v>0.64</v>
      </c>
      <c r="O58" s="14" t="n">
        <f aca="false">MAX(Inputs!$F$47+CHOOSE(Operations!$F$46,0,Inputs!$F$39,0),Inputs!$F$45-Inputs!$F$46/100*CHOOSE(Operations!$F$46,1,Inputs!$F$38,Inputs!$F$40)*Time!O$8)</f>
        <v>0.635</v>
      </c>
      <c r="P58" s="14" t="n">
        <f aca="false">MAX(Inputs!$F$47+CHOOSE(Operations!$F$46,0,Inputs!$F$39,0),Inputs!$F$45-Inputs!$F$46/100*CHOOSE(Operations!$F$46,1,Inputs!$F$38,Inputs!$F$40)*Time!P$8)</f>
        <v>0.63</v>
      </c>
      <c r="Q58" s="14" t="n">
        <f aca="false">MAX(Inputs!$F$47+CHOOSE(Operations!$F$46,0,Inputs!$F$39,0),Inputs!$F$45-Inputs!$F$46/100*CHOOSE(Operations!$F$46,1,Inputs!$F$38,Inputs!$F$40)*Time!Q$8)</f>
        <v>0.625</v>
      </c>
      <c r="R58" s="14" t="n">
        <f aca="false">MAX(Inputs!$F$47+CHOOSE(Operations!$F$46,0,Inputs!$F$39,0),Inputs!$F$45-Inputs!$F$46/100*CHOOSE(Operations!$F$46,1,Inputs!$F$38,Inputs!$F$40)*Time!R$8)</f>
        <v>0.62</v>
      </c>
      <c r="S58" s="14" t="n">
        <f aca="false">MAX(Inputs!$F$47+CHOOSE(Operations!$F$46,0,Inputs!$F$39,0),Inputs!$F$45-Inputs!$F$46/100*CHOOSE(Operations!$F$46,1,Inputs!$F$38,Inputs!$F$40)*Time!S$8)</f>
        <v>0.615</v>
      </c>
      <c r="T58" s="14" t="n">
        <f aca="false">MAX(Inputs!$F$47+CHOOSE(Operations!$F$46,0,Inputs!$F$39,0),Inputs!$F$45-Inputs!$F$46/100*CHOOSE(Operations!$F$46,1,Inputs!$F$38,Inputs!$F$40)*Time!T$8)</f>
        <v>0.61</v>
      </c>
      <c r="U58" s="14" t="n">
        <f aca="false">MAX(Inputs!$F$47+CHOOSE(Operations!$F$46,0,Inputs!$F$39,0),Inputs!$F$45-Inputs!$F$46/100*CHOOSE(Operations!$F$46,1,Inputs!$F$38,Inputs!$F$40)*Time!U$8)</f>
        <v>0.605</v>
      </c>
      <c r="V58" s="14" t="n">
        <f aca="false">MAX(Inputs!$F$47+CHOOSE(Operations!$F$46,0,Inputs!$F$39,0),Inputs!$F$45-Inputs!$F$46/100*CHOOSE(Operations!$F$46,1,Inputs!$F$38,Inputs!$F$40)*Time!V$8)</f>
        <v>0.6</v>
      </c>
      <c r="W58" s="14" t="n">
        <f aca="false">MAX(Inputs!$F$47+CHOOSE(Operations!$F$46,0,Inputs!$F$39,0),Inputs!$F$45-Inputs!$F$46/100*CHOOSE(Operations!$F$46,1,Inputs!$F$38,Inputs!$F$40)*Time!W$8)</f>
        <v>0.595</v>
      </c>
      <c r="X58" s="14" t="n">
        <f aca="false">MAX(Inputs!$F$47+CHOOSE(Operations!$F$46,0,Inputs!$F$39,0),Inputs!$F$45-Inputs!$F$46/100*CHOOSE(Operations!$F$46,1,Inputs!$F$38,Inputs!$F$40)*Time!X$8)</f>
        <v>0.59</v>
      </c>
      <c r="Y58" s="14" t="n">
        <f aca="false">MAX(Inputs!$F$47+CHOOSE(Operations!$F$46,0,Inputs!$F$39,0),Inputs!$F$45-Inputs!$F$46/100*CHOOSE(Operations!$F$46,1,Inputs!$F$38,Inputs!$F$40)*Time!Y$8)</f>
        <v>0.585</v>
      </c>
      <c r="Z58" s="14" t="n">
        <f aca="false">MAX(Inputs!$F$47+CHOOSE(Operations!$F$46,0,Inputs!$F$39,0),Inputs!$F$45-Inputs!$F$46/100*CHOOSE(Operations!$F$46,1,Inputs!$F$38,Inputs!$F$40)*Time!Z$8)</f>
        <v>0.58</v>
      </c>
      <c r="AA58" s="14" t="n">
        <f aca="false">MAX(Inputs!$F$47+CHOOSE(Operations!$F$46,0,Inputs!$F$39,0),Inputs!$F$45-Inputs!$F$46/100*CHOOSE(Operations!$F$46,1,Inputs!$F$38,Inputs!$F$40)*Time!AA$8)</f>
        <v>0.58</v>
      </c>
      <c r="AB58" s="14" t="n">
        <f aca="false">MAX(Inputs!$F$47+CHOOSE(Operations!$F$46,0,Inputs!$F$39,0),Inputs!$F$45-Inputs!$F$46/100*CHOOSE(Operations!$F$46,1,Inputs!$F$38,Inputs!$F$40)*Time!AB$8)</f>
        <v>0.58</v>
      </c>
      <c r="AC58" s="14" t="n">
        <f aca="false">MAX(Inputs!$F$47+CHOOSE(Operations!$F$46,0,Inputs!$F$39,0),Inputs!$F$45-Inputs!$F$46/100*CHOOSE(Operations!$F$46,1,Inputs!$F$38,Inputs!$F$40)*Time!AC$8)</f>
        <v>0.58</v>
      </c>
      <c r="AD58" s="14" t="n">
        <f aca="false">MAX(Inputs!$F$47+CHOOSE(Operations!$F$46,0,Inputs!$F$39,0),Inputs!$F$45-Inputs!$F$46/100*CHOOSE(Operations!$F$46,1,Inputs!$F$38,Inputs!$F$40)*Time!AD$8)</f>
        <v>0.58</v>
      </c>
      <c r="AE58" s="14" t="n">
        <f aca="false">MAX(Inputs!$F$47+CHOOSE(Operations!$F$46,0,Inputs!$F$39,0),Inputs!$F$45-Inputs!$F$46/100*CHOOSE(Operations!$F$46,1,Inputs!$F$38,Inputs!$F$40)*Time!AE$8)</f>
        <v>0.58</v>
      </c>
      <c r="AF58" s="14" t="n">
        <f aca="false">MAX(Inputs!$F$47+CHOOSE(Operations!$F$46,0,Inputs!$F$39,0),Inputs!$F$45-Inputs!$F$46/100*CHOOSE(Operations!$F$46,1,Inputs!$F$38,Inputs!$F$40)*Time!AF$8)</f>
        <v>0.58</v>
      </c>
      <c r="AG58" s="14" t="n">
        <f aca="false">MAX(Inputs!$F$47+CHOOSE(Operations!$F$46,0,Inputs!$F$39,0),Inputs!$F$45-Inputs!$F$46/100*CHOOSE(Operations!$F$46,1,Inputs!$F$38,Inputs!$F$40)*Time!AG$8)</f>
        <v>0.58</v>
      </c>
      <c r="AH58" s="14" t="n">
        <f aca="false">MAX(Inputs!$F$47+CHOOSE(Operations!$F$46,0,Inputs!$F$39,0),Inputs!$F$45-Inputs!$F$46/100*CHOOSE(Operations!$F$46,1,Inputs!$F$38,Inputs!$F$40)*Time!AH$8)</f>
        <v>0.58</v>
      </c>
      <c r="AI58" s="14" t="n">
        <f aca="false">MAX(Inputs!$F$47+CHOOSE(Operations!$F$46,0,Inputs!$F$39,0),Inputs!$F$45-Inputs!$F$46/100*CHOOSE(Operations!$F$46,1,Inputs!$F$38,Inputs!$F$40)*Time!AI$8)</f>
        <v>0.58</v>
      </c>
      <c r="AJ58" s="14" t="n">
        <f aca="false">MAX(Inputs!$F$47+CHOOSE(Operations!$F$46,0,Inputs!$F$39,0),Inputs!$F$45-Inputs!$F$46/100*CHOOSE(Operations!$F$46,1,Inputs!$F$38,Inputs!$F$40)*Time!AJ$8)</f>
        <v>0.58</v>
      </c>
      <c r="AK58" s="14" t="n">
        <f aca="false">MAX(Inputs!$F$47+CHOOSE(Operations!$F$46,0,Inputs!$F$39,0),Inputs!$F$45-Inputs!$F$46/100*CHOOSE(Operations!$F$46,1,Inputs!$F$38,Inputs!$F$40)*Time!AK$8)</f>
        <v>0.58</v>
      </c>
      <c r="AL58" s="14" t="n">
        <f aca="false">MAX(Inputs!$F$47+CHOOSE(Operations!$F$46,0,Inputs!$F$39,0),Inputs!$F$45-Inputs!$F$46/100*CHOOSE(Operations!$F$46,1,Inputs!$F$38,Inputs!$F$40)*Time!AL$8)</f>
        <v>0.58</v>
      </c>
      <c r="AM58" s="14" t="n">
        <f aca="false">MAX(Inputs!$F$47+CHOOSE(Operations!$F$46,0,Inputs!$F$39,0),Inputs!$F$45-Inputs!$F$46/100*CHOOSE(Operations!$F$46,1,Inputs!$F$38,Inputs!$F$40)*Time!AM$8)</f>
        <v>0.58</v>
      </c>
      <c r="AN58" s="14" t="n">
        <f aca="false">MAX(Inputs!$F$47+CHOOSE(Operations!$F$46,0,Inputs!$F$39,0),Inputs!$F$45-Inputs!$F$46/100*CHOOSE(Operations!$F$46,1,Inputs!$F$38,Inputs!$F$40)*Time!AN$8)</f>
        <v>0.58</v>
      </c>
      <c r="AO58" s="14" t="n">
        <f aca="false">MAX(Inputs!$F$47+CHOOSE(Operations!$F$46,0,Inputs!$F$39,0),Inputs!$F$45-Inputs!$F$46/100*CHOOSE(Operations!$F$46,1,Inputs!$F$38,Inputs!$F$40)*Time!AO$8)</f>
        <v>0.58</v>
      </c>
      <c r="AP58" s="14" t="n">
        <f aca="false">MAX(Inputs!$F$47+CHOOSE(Operations!$F$46,0,Inputs!$F$39,0),Inputs!$F$45-Inputs!$F$46/100*CHOOSE(Operations!$F$46,1,Inputs!$F$38,Inputs!$F$40)*Time!AP$8)</f>
        <v>0.58</v>
      </c>
      <c r="AQ58" s="14" t="n">
        <f aca="false">MAX(Inputs!$F$47+CHOOSE(Operations!$F$46,0,Inputs!$F$39,0),Inputs!$F$45-Inputs!$F$46/100*CHOOSE(Operations!$F$46,1,Inputs!$F$38,Inputs!$F$40)*Time!AQ$8)</f>
        <v>0.58</v>
      </c>
      <c r="AR58" s="14" t="n">
        <f aca="false">MAX(Inputs!$F$47+CHOOSE(Operations!$F$46,0,Inputs!$F$39,0),Inputs!$F$45-Inputs!$F$46/100*CHOOSE(Operations!$F$46,1,Inputs!$F$38,Inputs!$F$40)*Time!AR$8)</f>
        <v>0.58</v>
      </c>
      <c r="AS58" s="14" t="n">
        <f aca="false">MAX(Inputs!$F$47+CHOOSE(Operations!$F$46,0,Inputs!$F$39,0),Inputs!$F$45-Inputs!$F$46/100*CHOOSE(Operations!$F$46,1,Inputs!$F$38,Inputs!$F$40)*Time!AS$8)</f>
        <v>0.58</v>
      </c>
      <c r="AT58" s="14" t="n">
        <f aca="false">MAX(Inputs!$F$47+CHOOSE(Operations!$F$46,0,Inputs!$F$39,0),Inputs!$F$45-Inputs!$F$46/100*CHOOSE(Operations!$F$46,1,Inputs!$F$38,Inputs!$F$40)*Time!AT$8)</f>
        <v>0.58</v>
      </c>
      <c r="AU58" s="14" t="n">
        <f aca="false">MAX(Inputs!$F$47+CHOOSE(Operations!$F$46,0,Inputs!$F$39,0),Inputs!$F$45-Inputs!$F$46/100*CHOOSE(Operations!$F$46,1,Inputs!$F$38,Inputs!$F$40)*Time!AU$8)</f>
        <v>0.58</v>
      </c>
    </row>
    <row r="59" customFormat="false" ht="15" hidden="false" customHeight="false" outlineLevel="0" collapsed="false">
      <c r="D59" s="0" t="s">
        <v>453</v>
      </c>
      <c r="E59" s="0" t="s">
        <v>54</v>
      </c>
      <c r="J59" s="14" t="n">
        <f aca="false">MAX(Inputs!$F$51+CHOOSE(Operations!$F$46,0,Inputs!$F$39,0),Inputs!$F$49-Inputs!$F$50/100*CHOOSE(Operations!$F$46,1,Inputs!$F$38,Inputs!$F$40)*Time!J$8)+Operations!$F$48/100</f>
        <v>0.86</v>
      </c>
      <c r="K59" s="14" t="n">
        <f aca="false">MAX(Inputs!$F$51+CHOOSE(Operations!$F$46,0,Inputs!$F$39,0),Inputs!$F$49-Inputs!$F$50/100*CHOOSE(Operations!$F$46,1,Inputs!$F$38,Inputs!$F$40)*Time!K$8)+Operations!$F$48/100</f>
        <v>0.84</v>
      </c>
      <c r="L59" s="14" t="n">
        <f aca="false">MAX(Inputs!$F$51+CHOOSE(Operations!$F$46,0,Inputs!$F$39,0),Inputs!$F$49-Inputs!$F$50/100*CHOOSE(Operations!$F$46,1,Inputs!$F$38,Inputs!$F$40)*Time!L$8)+Operations!$F$48/100</f>
        <v>0.82</v>
      </c>
      <c r="M59" s="14" t="n">
        <f aca="false">MAX(Inputs!$F$51+CHOOSE(Operations!$F$46,0,Inputs!$F$39,0),Inputs!$F$49-Inputs!$F$50/100*CHOOSE(Operations!$F$46,1,Inputs!$F$38,Inputs!$F$40)*Time!M$8)+Operations!$F$48/100</f>
        <v>0.8</v>
      </c>
      <c r="N59" s="14" t="n">
        <f aca="false">MAX(Inputs!$F$51+CHOOSE(Operations!$F$46,0,Inputs!$F$39,0),Inputs!$F$49-Inputs!$F$50/100*CHOOSE(Operations!$F$46,1,Inputs!$F$38,Inputs!$F$40)*Time!N$8)+Operations!$F$48/100</f>
        <v>0.78</v>
      </c>
      <c r="O59" s="14" t="n">
        <f aca="false">MAX(Inputs!$F$51+CHOOSE(Operations!$F$46,0,Inputs!$F$39,0),Inputs!$F$49-Inputs!$F$50/100*CHOOSE(Operations!$F$46,1,Inputs!$F$38,Inputs!$F$40)*Time!O$8)+Operations!$F$48/100</f>
        <v>0.76</v>
      </c>
      <c r="P59" s="14" t="n">
        <f aca="false">MAX(Inputs!$F$51+CHOOSE(Operations!$F$46,0,Inputs!$F$39,0),Inputs!$F$49-Inputs!$F$50/100*CHOOSE(Operations!$F$46,1,Inputs!$F$38,Inputs!$F$40)*Time!P$8)+Operations!$F$48/100</f>
        <v>0.74</v>
      </c>
      <c r="Q59" s="14" t="n">
        <f aca="false">MAX(Inputs!$F$51+CHOOSE(Operations!$F$46,0,Inputs!$F$39,0),Inputs!$F$49-Inputs!$F$50/100*CHOOSE(Operations!$F$46,1,Inputs!$F$38,Inputs!$F$40)*Time!Q$8)+Operations!$F$48/100</f>
        <v>0.72</v>
      </c>
      <c r="R59" s="14" t="n">
        <f aca="false">MAX(Inputs!$F$51+CHOOSE(Operations!$F$46,0,Inputs!$F$39,0),Inputs!$F$49-Inputs!$F$50/100*CHOOSE(Operations!$F$46,1,Inputs!$F$38,Inputs!$F$40)*Time!R$8)+Operations!$F$48/100</f>
        <v>0.7</v>
      </c>
      <c r="S59" s="14" t="n">
        <f aca="false">MAX(Inputs!$F$51+CHOOSE(Operations!$F$46,0,Inputs!$F$39,0),Inputs!$F$49-Inputs!$F$50/100*CHOOSE(Operations!$F$46,1,Inputs!$F$38,Inputs!$F$40)*Time!S$8)+Operations!$F$48/100</f>
        <v>0.68</v>
      </c>
      <c r="T59" s="14" t="n">
        <f aca="false">MAX(Inputs!$F$51+CHOOSE(Operations!$F$46,0,Inputs!$F$39,0),Inputs!$F$49-Inputs!$F$50/100*CHOOSE(Operations!$F$46,1,Inputs!$F$38,Inputs!$F$40)*Time!T$8)+Operations!$F$48/100</f>
        <v>0.66</v>
      </c>
      <c r="U59" s="14" t="n">
        <f aca="false">MAX(Inputs!$F$51+CHOOSE(Operations!$F$46,0,Inputs!$F$39,0),Inputs!$F$49-Inputs!$F$50/100*CHOOSE(Operations!$F$46,1,Inputs!$F$38,Inputs!$F$40)*Time!U$8)+Operations!$F$48/100</f>
        <v>0.64</v>
      </c>
      <c r="V59" s="14" t="n">
        <f aca="false">MAX(Inputs!$F$51+CHOOSE(Operations!$F$46,0,Inputs!$F$39,0),Inputs!$F$49-Inputs!$F$50/100*CHOOSE(Operations!$F$46,1,Inputs!$F$38,Inputs!$F$40)*Time!V$8)+Operations!$F$48/100</f>
        <v>0.62</v>
      </c>
      <c r="W59" s="14" t="n">
        <f aca="false">MAX(Inputs!$F$51+CHOOSE(Operations!$F$46,0,Inputs!$F$39,0),Inputs!$F$49-Inputs!$F$50/100*CHOOSE(Operations!$F$46,1,Inputs!$F$38,Inputs!$F$40)*Time!W$8)+Operations!$F$48/100</f>
        <v>0.6</v>
      </c>
      <c r="X59" s="14" t="n">
        <f aca="false">MAX(Inputs!$F$51+CHOOSE(Operations!$F$46,0,Inputs!$F$39,0),Inputs!$F$49-Inputs!$F$50/100*CHOOSE(Operations!$F$46,1,Inputs!$F$38,Inputs!$F$40)*Time!X$8)+Operations!$F$48/100</f>
        <v>0.6</v>
      </c>
      <c r="Y59" s="14" t="n">
        <f aca="false">MAX(Inputs!$F$51+CHOOSE(Operations!$F$46,0,Inputs!$F$39,0),Inputs!$F$49-Inputs!$F$50/100*CHOOSE(Operations!$F$46,1,Inputs!$F$38,Inputs!$F$40)*Time!Y$8)+Operations!$F$48/100</f>
        <v>0.6</v>
      </c>
      <c r="Z59" s="14" t="n">
        <f aca="false">MAX(Inputs!$F$51+CHOOSE(Operations!$F$46,0,Inputs!$F$39,0),Inputs!$F$49-Inputs!$F$50/100*CHOOSE(Operations!$F$46,1,Inputs!$F$38,Inputs!$F$40)*Time!Z$8)+Operations!$F$48/100</f>
        <v>0.6</v>
      </c>
      <c r="AA59" s="14" t="n">
        <f aca="false">MAX(Inputs!$F$51+CHOOSE(Operations!$F$46,0,Inputs!$F$39,0),Inputs!$F$49-Inputs!$F$50/100*CHOOSE(Operations!$F$46,1,Inputs!$F$38,Inputs!$F$40)*Time!AA$8)+Operations!$F$48/100</f>
        <v>0.6</v>
      </c>
      <c r="AB59" s="14" t="n">
        <f aca="false">MAX(Inputs!$F$51+CHOOSE(Operations!$F$46,0,Inputs!$F$39,0),Inputs!$F$49-Inputs!$F$50/100*CHOOSE(Operations!$F$46,1,Inputs!$F$38,Inputs!$F$40)*Time!AB$8)+Operations!$F$48/100</f>
        <v>0.6</v>
      </c>
      <c r="AC59" s="14" t="n">
        <f aca="false">MAX(Inputs!$F$51+CHOOSE(Operations!$F$46,0,Inputs!$F$39,0),Inputs!$F$49-Inputs!$F$50/100*CHOOSE(Operations!$F$46,1,Inputs!$F$38,Inputs!$F$40)*Time!AC$8)+Operations!$F$48/100</f>
        <v>0.6</v>
      </c>
      <c r="AD59" s="14" t="n">
        <f aca="false">MAX(Inputs!$F$51+CHOOSE(Operations!$F$46,0,Inputs!$F$39,0),Inputs!$F$49-Inputs!$F$50/100*CHOOSE(Operations!$F$46,1,Inputs!$F$38,Inputs!$F$40)*Time!AD$8)+Operations!$F$48/100</f>
        <v>0.6</v>
      </c>
      <c r="AE59" s="14" t="n">
        <f aca="false">MAX(Inputs!$F$51+CHOOSE(Operations!$F$46,0,Inputs!$F$39,0),Inputs!$F$49-Inputs!$F$50/100*CHOOSE(Operations!$F$46,1,Inputs!$F$38,Inputs!$F$40)*Time!AE$8)+Operations!$F$48/100</f>
        <v>0.6</v>
      </c>
      <c r="AF59" s="14" t="n">
        <f aca="false">MAX(Inputs!$F$51+CHOOSE(Operations!$F$46,0,Inputs!$F$39,0),Inputs!$F$49-Inputs!$F$50/100*CHOOSE(Operations!$F$46,1,Inputs!$F$38,Inputs!$F$40)*Time!AF$8)+Operations!$F$48/100</f>
        <v>0.6</v>
      </c>
      <c r="AG59" s="14" t="n">
        <f aca="false">MAX(Inputs!$F$51+CHOOSE(Operations!$F$46,0,Inputs!$F$39,0),Inputs!$F$49-Inputs!$F$50/100*CHOOSE(Operations!$F$46,1,Inputs!$F$38,Inputs!$F$40)*Time!AG$8)+Operations!$F$48/100</f>
        <v>0.6</v>
      </c>
      <c r="AH59" s="14" t="n">
        <f aca="false">MAX(Inputs!$F$51+CHOOSE(Operations!$F$46,0,Inputs!$F$39,0),Inputs!$F$49-Inputs!$F$50/100*CHOOSE(Operations!$F$46,1,Inputs!$F$38,Inputs!$F$40)*Time!AH$8)+Operations!$F$48/100</f>
        <v>0.6</v>
      </c>
      <c r="AI59" s="14" t="n">
        <f aca="false">MAX(Inputs!$F$51+CHOOSE(Operations!$F$46,0,Inputs!$F$39,0),Inputs!$F$49-Inputs!$F$50/100*CHOOSE(Operations!$F$46,1,Inputs!$F$38,Inputs!$F$40)*Time!AI$8)+Operations!$F$48/100</f>
        <v>0.6</v>
      </c>
      <c r="AJ59" s="14" t="n">
        <f aca="false">MAX(Inputs!$F$51+CHOOSE(Operations!$F$46,0,Inputs!$F$39,0),Inputs!$F$49-Inputs!$F$50/100*CHOOSE(Operations!$F$46,1,Inputs!$F$38,Inputs!$F$40)*Time!AJ$8)+Operations!$F$48/100</f>
        <v>0.6</v>
      </c>
      <c r="AK59" s="14" t="n">
        <f aca="false">MAX(Inputs!$F$51+CHOOSE(Operations!$F$46,0,Inputs!$F$39,0),Inputs!$F$49-Inputs!$F$50/100*CHOOSE(Operations!$F$46,1,Inputs!$F$38,Inputs!$F$40)*Time!AK$8)+Operations!$F$48/100</f>
        <v>0.6</v>
      </c>
      <c r="AL59" s="14" t="n">
        <f aca="false">MAX(Inputs!$F$51+CHOOSE(Operations!$F$46,0,Inputs!$F$39,0),Inputs!$F$49-Inputs!$F$50/100*CHOOSE(Operations!$F$46,1,Inputs!$F$38,Inputs!$F$40)*Time!AL$8)+Operations!$F$48/100</f>
        <v>0.6</v>
      </c>
      <c r="AM59" s="14" t="n">
        <f aca="false">MAX(Inputs!$F$51+CHOOSE(Operations!$F$46,0,Inputs!$F$39,0),Inputs!$F$49-Inputs!$F$50/100*CHOOSE(Operations!$F$46,1,Inputs!$F$38,Inputs!$F$40)*Time!AM$8)+Operations!$F$48/100</f>
        <v>0.6</v>
      </c>
      <c r="AN59" s="14" t="n">
        <f aca="false">MAX(Inputs!$F$51+CHOOSE(Operations!$F$46,0,Inputs!$F$39,0),Inputs!$F$49-Inputs!$F$50/100*CHOOSE(Operations!$F$46,1,Inputs!$F$38,Inputs!$F$40)*Time!AN$8)+Operations!$F$48/100</f>
        <v>0.6</v>
      </c>
      <c r="AO59" s="14" t="n">
        <f aca="false">MAX(Inputs!$F$51+CHOOSE(Operations!$F$46,0,Inputs!$F$39,0),Inputs!$F$49-Inputs!$F$50/100*CHOOSE(Operations!$F$46,1,Inputs!$F$38,Inputs!$F$40)*Time!AO$8)+Operations!$F$48/100</f>
        <v>0.6</v>
      </c>
      <c r="AP59" s="14" t="n">
        <f aca="false">MAX(Inputs!$F$51+CHOOSE(Operations!$F$46,0,Inputs!$F$39,0),Inputs!$F$49-Inputs!$F$50/100*CHOOSE(Operations!$F$46,1,Inputs!$F$38,Inputs!$F$40)*Time!AP$8)+Operations!$F$48/100</f>
        <v>0.6</v>
      </c>
      <c r="AQ59" s="14" t="n">
        <f aca="false">MAX(Inputs!$F$51+CHOOSE(Operations!$F$46,0,Inputs!$F$39,0),Inputs!$F$49-Inputs!$F$50/100*CHOOSE(Operations!$F$46,1,Inputs!$F$38,Inputs!$F$40)*Time!AQ$8)+Operations!$F$48/100</f>
        <v>0.6</v>
      </c>
      <c r="AR59" s="14" t="n">
        <f aca="false">MAX(Inputs!$F$51+CHOOSE(Operations!$F$46,0,Inputs!$F$39,0),Inputs!$F$49-Inputs!$F$50/100*CHOOSE(Operations!$F$46,1,Inputs!$F$38,Inputs!$F$40)*Time!AR$8)+Operations!$F$48/100</f>
        <v>0.6</v>
      </c>
      <c r="AS59" s="14" t="n">
        <f aca="false">MAX(Inputs!$F$51+CHOOSE(Operations!$F$46,0,Inputs!$F$39,0),Inputs!$F$49-Inputs!$F$50/100*CHOOSE(Operations!$F$46,1,Inputs!$F$38,Inputs!$F$40)*Time!AS$8)+Operations!$F$48/100</f>
        <v>0.6</v>
      </c>
      <c r="AT59" s="14" t="n">
        <f aca="false">MAX(Inputs!$F$51+CHOOSE(Operations!$F$46,0,Inputs!$F$39,0),Inputs!$F$49-Inputs!$F$50/100*CHOOSE(Operations!$F$46,1,Inputs!$F$38,Inputs!$F$40)*Time!AT$8)+Operations!$F$48/100</f>
        <v>0.6</v>
      </c>
      <c r="AU59" s="14" t="n">
        <f aca="false">MAX(Inputs!$F$51+CHOOSE(Operations!$F$46,0,Inputs!$F$39,0),Inputs!$F$49-Inputs!$F$50/100*CHOOSE(Operations!$F$46,1,Inputs!$F$38,Inputs!$F$40)*Time!AU$8)+Operations!$F$48/100</f>
        <v>0.6</v>
      </c>
    </row>
    <row r="60" customFormat="false" ht="15" hidden="false" customHeight="false" outlineLevel="0" collapsed="false">
      <c r="D60" s="0" t="s">
        <v>454</v>
      </c>
      <c r="E60" s="0" t="s">
        <v>54</v>
      </c>
      <c r="J60" s="14" t="n">
        <f aca="false">MAX(Inputs!$F$55+CHOOSE(Operations!$F$46,0,Inputs!$F$39,0),Inputs!$F$53-Inputs!$F$54/100*CHOOSE(Operations!$F$46,1,Inputs!$F$38,Inputs!$F$40)*Time!J$8)</f>
        <v>0.9</v>
      </c>
      <c r="K60" s="14" t="n">
        <f aca="false">MAX(Inputs!$F$55+CHOOSE(Operations!$F$46,0,Inputs!$F$39,0),Inputs!$F$53-Inputs!$F$54/100*CHOOSE(Operations!$F$46,1,Inputs!$F$38,Inputs!$F$40)*Time!K$8)</f>
        <v>0.882</v>
      </c>
      <c r="L60" s="14" t="n">
        <f aca="false">MAX(Inputs!$F$55+CHOOSE(Operations!$F$46,0,Inputs!$F$39,0),Inputs!$F$53-Inputs!$F$54/100*CHOOSE(Operations!$F$46,1,Inputs!$F$38,Inputs!$F$40)*Time!L$8)</f>
        <v>0.864</v>
      </c>
      <c r="M60" s="14" t="n">
        <f aca="false">MAX(Inputs!$F$55+CHOOSE(Operations!$F$46,0,Inputs!$F$39,0),Inputs!$F$53-Inputs!$F$54/100*CHOOSE(Operations!$F$46,1,Inputs!$F$38,Inputs!$F$40)*Time!M$8)</f>
        <v>0.846</v>
      </c>
      <c r="N60" s="14" t="n">
        <f aca="false">MAX(Inputs!$F$55+CHOOSE(Operations!$F$46,0,Inputs!$F$39,0),Inputs!$F$53-Inputs!$F$54/100*CHOOSE(Operations!$F$46,1,Inputs!$F$38,Inputs!$F$40)*Time!N$8)</f>
        <v>0.828</v>
      </c>
      <c r="O60" s="14" t="n">
        <f aca="false">MAX(Inputs!$F$55+CHOOSE(Operations!$F$46,0,Inputs!$F$39,0),Inputs!$F$53-Inputs!$F$54/100*CHOOSE(Operations!$F$46,1,Inputs!$F$38,Inputs!$F$40)*Time!O$8)</f>
        <v>0.81</v>
      </c>
      <c r="P60" s="14" t="n">
        <f aca="false">MAX(Inputs!$F$55+CHOOSE(Operations!$F$46,0,Inputs!$F$39,0),Inputs!$F$53-Inputs!$F$54/100*CHOOSE(Operations!$F$46,1,Inputs!$F$38,Inputs!$F$40)*Time!P$8)</f>
        <v>0.792</v>
      </c>
      <c r="Q60" s="14" t="n">
        <f aca="false">MAX(Inputs!$F$55+CHOOSE(Operations!$F$46,0,Inputs!$F$39,0),Inputs!$F$53-Inputs!$F$54/100*CHOOSE(Operations!$F$46,1,Inputs!$F$38,Inputs!$F$40)*Time!Q$8)</f>
        <v>0.774</v>
      </c>
      <c r="R60" s="14" t="n">
        <f aca="false">MAX(Inputs!$F$55+CHOOSE(Operations!$F$46,0,Inputs!$F$39,0),Inputs!$F$53-Inputs!$F$54/100*CHOOSE(Operations!$F$46,1,Inputs!$F$38,Inputs!$F$40)*Time!R$8)</f>
        <v>0.756</v>
      </c>
      <c r="S60" s="14" t="n">
        <f aca="false">MAX(Inputs!$F$55+CHOOSE(Operations!$F$46,0,Inputs!$F$39,0),Inputs!$F$53-Inputs!$F$54/100*CHOOSE(Operations!$F$46,1,Inputs!$F$38,Inputs!$F$40)*Time!S$8)</f>
        <v>0.738</v>
      </c>
      <c r="T60" s="14" t="n">
        <f aca="false">MAX(Inputs!$F$55+CHOOSE(Operations!$F$46,0,Inputs!$F$39,0),Inputs!$F$53-Inputs!$F$54/100*CHOOSE(Operations!$F$46,1,Inputs!$F$38,Inputs!$F$40)*Time!T$8)</f>
        <v>0.72</v>
      </c>
      <c r="U60" s="14" t="n">
        <f aca="false">MAX(Inputs!$F$55+CHOOSE(Operations!$F$46,0,Inputs!$F$39,0),Inputs!$F$53-Inputs!$F$54/100*CHOOSE(Operations!$F$46,1,Inputs!$F$38,Inputs!$F$40)*Time!U$8)</f>
        <v>0.702</v>
      </c>
      <c r="V60" s="14" t="n">
        <f aca="false">MAX(Inputs!$F$55+CHOOSE(Operations!$F$46,0,Inputs!$F$39,0),Inputs!$F$53-Inputs!$F$54/100*CHOOSE(Operations!$F$46,1,Inputs!$F$38,Inputs!$F$40)*Time!V$8)</f>
        <v>0.684</v>
      </c>
      <c r="W60" s="14" t="n">
        <f aca="false">MAX(Inputs!$F$55+CHOOSE(Operations!$F$46,0,Inputs!$F$39,0),Inputs!$F$53-Inputs!$F$54/100*CHOOSE(Operations!$F$46,1,Inputs!$F$38,Inputs!$F$40)*Time!W$8)</f>
        <v>0.666</v>
      </c>
      <c r="X60" s="14" t="n">
        <f aca="false">MAX(Inputs!$F$55+CHOOSE(Operations!$F$46,0,Inputs!$F$39,0),Inputs!$F$53-Inputs!$F$54/100*CHOOSE(Operations!$F$46,1,Inputs!$F$38,Inputs!$F$40)*Time!X$8)</f>
        <v>0.648</v>
      </c>
      <c r="Y60" s="14" t="n">
        <f aca="false">MAX(Inputs!$F$55+CHOOSE(Operations!$F$46,0,Inputs!$F$39,0),Inputs!$F$53-Inputs!$F$54/100*CHOOSE(Operations!$F$46,1,Inputs!$F$38,Inputs!$F$40)*Time!Y$8)</f>
        <v>0.64</v>
      </c>
      <c r="Z60" s="14" t="n">
        <f aca="false">MAX(Inputs!$F$55+CHOOSE(Operations!$F$46,0,Inputs!$F$39,0),Inputs!$F$53-Inputs!$F$54/100*CHOOSE(Operations!$F$46,1,Inputs!$F$38,Inputs!$F$40)*Time!Z$8)</f>
        <v>0.64</v>
      </c>
      <c r="AA60" s="14" t="n">
        <f aca="false">MAX(Inputs!$F$55+CHOOSE(Operations!$F$46,0,Inputs!$F$39,0),Inputs!$F$53-Inputs!$F$54/100*CHOOSE(Operations!$F$46,1,Inputs!$F$38,Inputs!$F$40)*Time!AA$8)</f>
        <v>0.64</v>
      </c>
      <c r="AB60" s="14" t="n">
        <f aca="false">MAX(Inputs!$F$55+CHOOSE(Operations!$F$46,0,Inputs!$F$39,0),Inputs!$F$53-Inputs!$F$54/100*CHOOSE(Operations!$F$46,1,Inputs!$F$38,Inputs!$F$40)*Time!AB$8)</f>
        <v>0.64</v>
      </c>
      <c r="AC60" s="14" t="n">
        <f aca="false">MAX(Inputs!$F$55+CHOOSE(Operations!$F$46,0,Inputs!$F$39,0),Inputs!$F$53-Inputs!$F$54/100*CHOOSE(Operations!$F$46,1,Inputs!$F$38,Inputs!$F$40)*Time!AC$8)</f>
        <v>0.64</v>
      </c>
      <c r="AD60" s="14" t="n">
        <f aca="false">MAX(Inputs!$F$55+CHOOSE(Operations!$F$46,0,Inputs!$F$39,0),Inputs!$F$53-Inputs!$F$54/100*CHOOSE(Operations!$F$46,1,Inputs!$F$38,Inputs!$F$40)*Time!AD$8)</f>
        <v>0.64</v>
      </c>
      <c r="AE60" s="14" t="n">
        <f aca="false">MAX(Inputs!$F$55+CHOOSE(Operations!$F$46,0,Inputs!$F$39,0),Inputs!$F$53-Inputs!$F$54/100*CHOOSE(Operations!$F$46,1,Inputs!$F$38,Inputs!$F$40)*Time!AE$8)</f>
        <v>0.64</v>
      </c>
      <c r="AF60" s="14" t="n">
        <f aca="false">MAX(Inputs!$F$55+CHOOSE(Operations!$F$46,0,Inputs!$F$39,0),Inputs!$F$53-Inputs!$F$54/100*CHOOSE(Operations!$F$46,1,Inputs!$F$38,Inputs!$F$40)*Time!AF$8)</f>
        <v>0.64</v>
      </c>
      <c r="AG60" s="14" t="n">
        <f aca="false">MAX(Inputs!$F$55+CHOOSE(Operations!$F$46,0,Inputs!$F$39,0),Inputs!$F$53-Inputs!$F$54/100*CHOOSE(Operations!$F$46,1,Inputs!$F$38,Inputs!$F$40)*Time!AG$8)</f>
        <v>0.64</v>
      </c>
      <c r="AH60" s="14" t="n">
        <f aca="false">MAX(Inputs!$F$55+CHOOSE(Operations!$F$46,0,Inputs!$F$39,0),Inputs!$F$53-Inputs!$F$54/100*CHOOSE(Operations!$F$46,1,Inputs!$F$38,Inputs!$F$40)*Time!AH$8)</f>
        <v>0.64</v>
      </c>
      <c r="AI60" s="14" t="n">
        <f aca="false">MAX(Inputs!$F$55+CHOOSE(Operations!$F$46,0,Inputs!$F$39,0),Inputs!$F$53-Inputs!$F$54/100*CHOOSE(Operations!$F$46,1,Inputs!$F$38,Inputs!$F$40)*Time!AI$8)</f>
        <v>0.64</v>
      </c>
      <c r="AJ60" s="14" t="n">
        <f aca="false">MAX(Inputs!$F$55+CHOOSE(Operations!$F$46,0,Inputs!$F$39,0),Inputs!$F$53-Inputs!$F$54/100*CHOOSE(Operations!$F$46,1,Inputs!$F$38,Inputs!$F$40)*Time!AJ$8)</f>
        <v>0.64</v>
      </c>
      <c r="AK60" s="14" t="n">
        <f aca="false">MAX(Inputs!$F$55+CHOOSE(Operations!$F$46,0,Inputs!$F$39,0),Inputs!$F$53-Inputs!$F$54/100*CHOOSE(Operations!$F$46,1,Inputs!$F$38,Inputs!$F$40)*Time!AK$8)</f>
        <v>0.64</v>
      </c>
      <c r="AL60" s="14" t="n">
        <f aca="false">MAX(Inputs!$F$55+CHOOSE(Operations!$F$46,0,Inputs!$F$39,0),Inputs!$F$53-Inputs!$F$54/100*CHOOSE(Operations!$F$46,1,Inputs!$F$38,Inputs!$F$40)*Time!AL$8)</f>
        <v>0.64</v>
      </c>
      <c r="AM60" s="14" t="n">
        <f aca="false">MAX(Inputs!$F$55+CHOOSE(Operations!$F$46,0,Inputs!$F$39,0),Inputs!$F$53-Inputs!$F$54/100*CHOOSE(Operations!$F$46,1,Inputs!$F$38,Inputs!$F$40)*Time!AM$8)</f>
        <v>0.64</v>
      </c>
      <c r="AN60" s="14" t="n">
        <f aca="false">MAX(Inputs!$F$55+CHOOSE(Operations!$F$46,0,Inputs!$F$39,0),Inputs!$F$53-Inputs!$F$54/100*CHOOSE(Operations!$F$46,1,Inputs!$F$38,Inputs!$F$40)*Time!AN$8)</f>
        <v>0.64</v>
      </c>
      <c r="AO60" s="14" t="n">
        <f aca="false">MAX(Inputs!$F$55+CHOOSE(Operations!$F$46,0,Inputs!$F$39,0),Inputs!$F$53-Inputs!$F$54/100*CHOOSE(Operations!$F$46,1,Inputs!$F$38,Inputs!$F$40)*Time!AO$8)</f>
        <v>0.64</v>
      </c>
      <c r="AP60" s="14" t="n">
        <f aca="false">MAX(Inputs!$F$55+CHOOSE(Operations!$F$46,0,Inputs!$F$39,0),Inputs!$F$53-Inputs!$F$54/100*CHOOSE(Operations!$F$46,1,Inputs!$F$38,Inputs!$F$40)*Time!AP$8)</f>
        <v>0.64</v>
      </c>
      <c r="AQ60" s="14" t="n">
        <f aca="false">MAX(Inputs!$F$55+CHOOSE(Operations!$F$46,0,Inputs!$F$39,0),Inputs!$F$53-Inputs!$F$54/100*CHOOSE(Operations!$F$46,1,Inputs!$F$38,Inputs!$F$40)*Time!AQ$8)</f>
        <v>0.64</v>
      </c>
      <c r="AR60" s="14" t="n">
        <f aca="false">MAX(Inputs!$F$55+CHOOSE(Operations!$F$46,0,Inputs!$F$39,0),Inputs!$F$53-Inputs!$F$54/100*CHOOSE(Operations!$F$46,1,Inputs!$F$38,Inputs!$F$40)*Time!AR$8)</f>
        <v>0.64</v>
      </c>
      <c r="AS60" s="14" t="n">
        <f aca="false">MAX(Inputs!$F$55+CHOOSE(Operations!$F$46,0,Inputs!$F$39,0),Inputs!$F$53-Inputs!$F$54/100*CHOOSE(Operations!$F$46,1,Inputs!$F$38,Inputs!$F$40)*Time!AS$8)</f>
        <v>0.64</v>
      </c>
      <c r="AT60" s="14" t="n">
        <f aca="false">MAX(Inputs!$F$55+CHOOSE(Operations!$F$46,0,Inputs!$F$39,0),Inputs!$F$53-Inputs!$F$54/100*CHOOSE(Operations!$F$46,1,Inputs!$F$38,Inputs!$F$40)*Time!AT$8)</f>
        <v>0.64</v>
      </c>
      <c r="AU60" s="14" t="n">
        <f aca="false">MAX(Inputs!$F$55+CHOOSE(Operations!$F$46,0,Inputs!$F$39,0),Inputs!$F$53-Inputs!$F$54/100*CHOOSE(Operations!$F$46,1,Inputs!$F$38,Inputs!$F$40)*Time!AU$8)</f>
        <v>0.64</v>
      </c>
    </row>
    <row r="61" customFormat="false" ht="15" hidden="false" customHeight="false" outlineLevel="0" collapsed="false">
      <c r="D61" s="0" t="s">
        <v>455</v>
      </c>
      <c r="E61" s="0" t="s">
        <v>54</v>
      </c>
      <c r="J61" s="14" t="n">
        <f aca="false">MAX(Inputs!$F$59+CHOOSE(Operations!$F$46,0,Inputs!$F$39,0),Inputs!$F$57-Inputs!$F$58/100*CHOOSE(Operations!$F$46,1,Inputs!$F$38,Inputs!$F$40)*Time!J$8)</f>
        <v>0.92</v>
      </c>
      <c r="K61" s="14" t="n">
        <f aca="false">MAX(Inputs!$F$59+CHOOSE(Operations!$F$46,0,Inputs!$F$39,0),Inputs!$F$57-Inputs!$F$58/100*CHOOSE(Operations!$F$46,1,Inputs!$F$38,Inputs!$F$40)*Time!K$8)</f>
        <v>0.917</v>
      </c>
      <c r="L61" s="14" t="n">
        <f aca="false">MAX(Inputs!$F$59+CHOOSE(Operations!$F$46,0,Inputs!$F$39,0),Inputs!$F$57-Inputs!$F$58/100*CHOOSE(Operations!$F$46,1,Inputs!$F$38,Inputs!$F$40)*Time!L$8)</f>
        <v>0.914</v>
      </c>
      <c r="M61" s="14" t="n">
        <f aca="false">MAX(Inputs!$F$59+CHOOSE(Operations!$F$46,0,Inputs!$F$39,0),Inputs!$F$57-Inputs!$F$58/100*CHOOSE(Operations!$F$46,1,Inputs!$F$38,Inputs!$F$40)*Time!M$8)</f>
        <v>0.911</v>
      </c>
      <c r="N61" s="14" t="n">
        <f aca="false">MAX(Inputs!$F$59+CHOOSE(Operations!$F$46,0,Inputs!$F$39,0),Inputs!$F$57-Inputs!$F$58/100*CHOOSE(Operations!$F$46,1,Inputs!$F$38,Inputs!$F$40)*Time!N$8)</f>
        <v>0.908</v>
      </c>
      <c r="O61" s="14" t="n">
        <f aca="false">MAX(Inputs!$F$59+CHOOSE(Operations!$F$46,0,Inputs!$F$39,0),Inputs!$F$57-Inputs!$F$58/100*CHOOSE(Operations!$F$46,1,Inputs!$F$38,Inputs!$F$40)*Time!O$8)</f>
        <v>0.905</v>
      </c>
      <c r="P61" s="14" t="n">
        <f aca="false">MAX(Inputs!$F$59+CHOOSE(Operations!$F$46,0,Inputs!$F$39,0),Inputs!$F$57-Inputs!$F$58/100*CHOOSE(Operations!$F$46,1,Inputs!$F$38,Inputs!$F$40)*Time!P$8)</f>
        <v>0.902</v>
      </c>
      <c r="Q61" s="14" t="n">
        <f aca="false">MAX(Inputs!$F$59+CHOOSE(Operations!$F$46,0,Inputs!$F$39,0),Inputs!$F$57-Inputs!$F$58/100*CHOOSE(Operations!$F$46,1,Inputs!$F$38,Inputs!$F$40)*Time!Q$8)</f>
        <v>0.899</v>
      </c>
      <c r="R61" s="14" t="n">
        <f aca="false">MAX(Inputs!$F$59+CHOOSE(Operations!$F$46,0,Inputs!$F$39,0),Inputs!$F$57-Inputs!$F$58/100*CHOOSE(Operations!$F$46,1,Inputs!$F$38,Inputs!$F$40)*Time!R$8)</f>
        <v>0.896</v>
      </c>
      <c r="S61" s="14" t="n">
        <f aca="false">MAX(Inputs!$F$59+CHOOSE(Operations!$F$46,0,Inputs!$F$39,0),Inputs!$F$57-Inputs!$F$58/100*CHOOSE(Operations!$F$46,1,Inputs!$F$38,Inputs!$F$40)*Time!S$8)</f>
        <v>0.893</v>
      </c>
      <c r="T61" s="14" t="n">
        <f aca="false">MAX(Inputs!$F$59+CHOOSE(Operations!$F$46,0,Inputs!$F$39,0),Inputs!$F$57-Inputs!$F$58/100*CHOOSE(Operations!$F$46,1,Inputs!$F$38,Inputs!$F$40)*Time!T$8)</f>
        <v>0.89</v>
      </c>
      <c r="U61" s="14" t="n">
        <f aca="false">MAX(Inputs!$F$59+CHOOSE(Operations!$F$46,0,Inputs!$F$39,0),Inputs!$F$57-Inputs!$F$58/100*CHOOSE(Operations!$F$46,1,Inputs!$F$38,Inputs!$F$40)*Time!U$8)</f>
        <v>0.887</v>
      </c>
      <c r="V61" s="14" t="n">
        <f aca="false">MAX(Inputs!$F$59+CHOOSE(Operations!$F$46,0,Inputs!$F$39,0),Inputs!$F$57-Inputs!$F$58/100*CHOOSE(Operations!$F$46,1,Inputs!$F$38,Inputs!$F$40)*Time!V$8)</f>
        <v>0.884</v>
      </c>
      <c r="W61" s="14" t="n">
        <f aca="false">MAX(Inputs!$F$59+CHOOSE(Operations!$F$46,0,Inputs!$F$39,0),Inputs!$F$57-Inputs!$F$58/100*CHOOSE(Operations!$F$46,1,Inputs!$F$38,Inputs!$F$40)*Time!W$8)</f>
        <v>0.881</v>
      </c>
      <c r="X61" s="14" t="n">
        <f aca="false">MAX(Inputs!$F$59+CHOOSE(Operations!$F$46,0,Inputs!$F$39,0),Inputs!$F$57-Inputs!$F$58/100*CHOOSE(Operations!$F$46,1,Inputs!$F$38,Inputs!$F$40)*Time!X$8)</f>
        <v>0.878</v>
      </c>
      <c r="Y61" s="14" t="n">
        <f aca="false">MAX(Inputs!$F$59+CHOOSE(Operations!$F$46,0,Inputs!$F$39,0),Inputs!$F$57-Inputs!$F$58/100*CHOOSE(Operations!$F$46,1,Inputs!$F$38,Inputs!$F$40)*Time!Y$8)</f>
        <v>0.875</v>
      </c>
      <c r="Z61" s="14" t="n">
        <f aca="false">MAX(Inputs!$F$59+CHOOSE(Operations!$F$46,0,Inputs!$F$39,0),Inputs!$F$57-Inputs!$F$58/100*CHOOSE(Operations!$F$46,1,Inputs!$F$38,Inputs!$F$40)*Time!Z$8)</f>
        <v>0.872</v>
      </c>
      <c r="AA61" s="14" t="n">
        <f aca="false">MAX(Inputs!$F$59+CHOOSE(Operations!$F$46,0,Inputs!$F$39,0),Inputs!$F$57-Inputs!$F$58/100*CHOOSE(Operations!$F$46,1,Inputs!$F$38,Inputs!$F$40)*Time!AA$8)</f>
        <v>0.869</v>
      </c>
      <c r="AB61" s="14" t="n">
        <f aca="false">MAX(Inputs!$F$59+CHOOSE(Operations!$F$46,0,Inputs!$F$39,0),Inputs!$F$57-Inputs!$F$58/100*CHOOSE(Operations!$F$46,1,Inputs!$F$38,Inputs!$F$40)*Time!AB$8)</f>
        <v>0.866</v>
      </c>
      <c r="AC61" s="14" t="n">
        <f aca="false">MAX(Inputs!$F$59+CHOOSE(Operations!$F$46,0,Inputs!$F$39,0),Inputs!$F$57-Inputs!$F$58/100*CHOOSE(Operations!$F$46,1,Inputs!$F$38,Inputs!$F$40)*Time!AC$8)</f>
        <v>0.863</v>
      </c>
      <c r="AD61" s="14" t="n">
        <f aca="false">MAX(Inputs!$F$59+CHOOSE(Operations!$F$46,0,Inputs!$F$39,0),Inputs!$F$57-Inputs!$F$58/100*CHOOSE(Operations!$F$46,1,Inputs!$F$38,Inputs!$F$40)*Time!AD$8)</f>
        <v>0.86</v>
      </c>
      <c r="AE61" s="14" t="n">
        <f aca="false">MAX(Inputs!$F$59+CHOOSE(Operations!$F$46,0,Inputs!$F$39,0),Inputs!$F$57-Inputs!$F$58/100*CHOOSE(Operations!$F$46,1,Inputs!$F$38,Inputs!$F$40)*Time!AE$8)</f>
        <v>0.857</v>
      </c>
      <c r="AF61" s="14" t="n">
        <f aca="false">MAX(Inputs!$F$59+CHOOSE(Operations!$F$46,0,Inputs!$F$39,0),Inputs!$F$57-Inputs!$F$58/100*CHOOSE(Operations!$F$46,1,Inputs!$F$38,Inputs!$F$40)*Time!AF$8)</f>
        <v>0.854</v>
      </c>
      <c r="AG61" s="14" t="n">
        <f aca="false">MAX(Inputs!$F$59+CHOOSE(Operations!$F$46,0,Inputs!$F$39,0),Inputs!$F$57-Inputs!$F$58/100*CHOOSE(Operations!$F$46,1,Inputs!$F$38,Inputs!$F$40)*Time!AG$8)</f>
        <v>0.851</v>
      </c>
      <c r="AH61" s="14" t="n">
        <f aca="false">MAX(Inputs!$F$59+CHOOSE(Operations!$F$46,0,Inputs!$F$39,0),Inputs!$F$57-Inputs!$F$58/100*CHOOSE(Operations!$F$46,1,Inputs!$F$38,Inputs!$F$40)*Time!AH$8)</f>
        <v>0.85</v>
      </c>
      <c r="AI61" s="14" t="n">
        <f aca="false">MAX(Inputs!$F$59+CHOOSE(Operations!$F$46,0,Inputs!$F$39,0),Inputs!$F$57-Inputs!$F$58/100*CHOOSE(Operations!$F$46,1,Inputs!$F$38,Inputs!$F$40)*Time!AI$8)</f>
        <v>0.85</v>
      </c>
      <c r="AJ61" s="14" t="n">
        <f aca="false">MAX(Inputs!$F$59+CHOOSE(Operations!$F$46,0,Inputs!$F$39,0),Inputs!$F$57-Inputs!$F$58/100*CHOOSE(Operations!$F$46,1,Inputs!$F$38,Inputs!$F$40)*Time!AJ$8)</f>
        <v>0.85</v>
      </c>
      <c r="AK61" s="14" t="n">
        <f aca="false">MAX(Inputs!$F$59+CHOOSE(Operations!$F$46,0,Inputs!$F$39,0),Inputs!$F$57-Inputs!$F$58/100*CHOOSE(Operations!$F$46,1,Inputs!$F$38,Inputs!$F$40)*Time!AK$8)</f>
        <v>0.85</v>
      </c>
      <c r="AL61" s="14" t="n">
        <f aca="false">MAX(Inputs!$F$59+CHOOSE(Operations!$F$46,0,Inputs!$F$39,0),Inputs!$F$57-Inputs!$F$58/100*CHOOSE(Operations!$F$46,1,Inputs!$F$38,Inputs!$F$40)*Time!AL$8)</f>
        <v>0.85</v>
      </c>
      <c r="AM61" s="14" t="n">
        <f aca="false">MAX(Inputs!$F$59+CHOOSE(Operations!$F$46,0,Inputs!$F$39,0),Inputs!$F$57-Inputs!$F$58/100*CHOOSE(Operations!$F$46,1,Inputs!$F$38,Inputs!$F$40)*Time!AM$8)</f>
        <v>0.85</v>
      </c>
      <c r="AN61" s="14" t="n">
        <f aca="false">MAX(Inputs!$F$59+CHOOSE(Operations!$F$46,0,Inputs!$F$39,0),Inputs!$F$57-Inputs!$F$58/100*CHOOSE(Operations!$F$46,1,Inputs!$F$38,Inputs!$F$40)*Time!AN$8)</f>
        <v>0.85</v>
      </c>
      <c r="AO61" s="14" t="n">
        <f aca="false">MAX(Inputs!$F$59+CHOOSE(Operations!$F$46,0,Inputs!$F$39,0),Inputs!$F$57-Inputs!$F$58/100*CHOOSE(Operations!$F$46,1,Inputs!$F$38,Inputs!$F$40)*Time!AO$8)</f>
        <v>0.85</v>
      </c>
      <c r="AP61" s="14" t="n">
        <f aca="false">MAX(Inputs!$F$59+CHOOSE(Operations!$F$46,0,Inputs!$F$39,0),Inputs!$F$57-Inputs!$F$58/100*CHOOSE(Operations!$F$46,1,Inputs!$F$38,Inputs!$F$40)*Time!AP$8)</f>
        <v>0.85</v>
      </c>
      <c r="AQ61" s="14" t="n">
        <f aca="false">MAX(Inputs!$F$59+CHOOSE(Operations!$F$46,0,Inputs!$F$39,0),Inputs!$F$57-Inputs!$F$58/100*CHOOSE(Operations!$F$46,1,Inputs!$F$38,Inputs!$F$40)*Time!AQ$8)</f>
        <v>0.85</v>
      </c>
      <c r="AR61" s="14" t="n">
        <f aca="false">MAX(Inputs!$F$59+CHOOSE(Operations!$F$46,0,Inputs!$F$39,0),Inputs!$F$57-Inputs!$F$58/100*CHOOSE(Operations!$F$46,1,Inputs!$F$38,Inputs!$F$40)*Time!AR$8)</f>
        <v>0.85</v>
      </c>
      <c r="AS61" s="14" t="n">
        <f aca="false">MAX(Inputs!$F$59+CHOOSE(Operations!$F$46,0,Inputs!$F$39,0),Inputs!$F$57-Inputs!$F$58/100*CHOOSE(Operations!$F$46,1,Inputs!$F$38,Inputs!$F$40)*Time!AS$8)</f>
        <v>0.85</v>
      </c>
      <c r="AT61" s="14" t="n">
        <f aca="false">MAX(Inputs!$F$59+CHOOSE(Operations!$F$46,0,Inputs!$F$39,0),Inputs!$F$57-Inputs!$F$58/100*CHOOSE(Operations!$F$46,1,Inputs!$F$38,Inputs!$F$40)*Time!AT$8)</f>
        <v>0.85</v>
      </c>
      <c r="AU61" s="14" t="n">
        <f aca="false">MAX(Inputs!$F$59+CHOOSE(Operations!$F$46,0,Inputs!$F$39,0),Inputs!$F$57-Inputs!$F$58/100*CHOOSE(Operations!$F$46,1,Inputs!$F$38,Inputs!$F$40)*Time!AU$8)</f>
        <v>0.85</v>
      </c>
    </row>
    <row r="62" customFormat="false" ht="15" hidden="false" customHeight="false" outlineLevel="0" collapsed="false">
      <c r="D62" s="19" t="s">
        <v>456</v>
      </c>
    </row>
    <row r="63" customFormat="false" ht="15" hidden="false" customHeight="false" outlineLevel="0" collapsed="false">
      <c r="D63" s="0" t="s">
        <v>457</v>
      </c>
      <c r="E63" s="0" t="s">
        <v>458</v>
      </c>
      <c r="J63" s="14" t="n">
        <f aca="false">MAX(0,MIN(Inputs!$F$90,Time!J$6)-MAX(Inputs!$F$89,Time!J$5))/Time!J$7</f>
        <v>1</v>
      </c>
      <c r="K63" s="14" t="n">
        <f aca="false">MAX(0,MIN(Inputs!$F$90,Time!K$6)-MAX(Inputs!$F$89,Time!K$5))/Time!K$7</f>
        <v>1</v>
      </c>
      <c r="L63" s="14" t="n">
        <f aca="false">MAX(0,MIN(Inputs!$F$90,Time!L$6)-MAX(Inputs!$F$89,Time!L$5))/Time!L$7</f>
        <v>1</v>
      </c>
      <c r="M63" s="14" t="n">
        <f aca="false">MAX(0,MIN(Inputs!$F$90,Time!M$6)-MAX(Inputs!$F$89,Time!M$5))/Time!M$7</f>
        <v>1</v>
      </c>
      <c r="N63" s="14" t="n">
        <f aca="false">MAX(0,MIN(Inputs!$F$90,Time!N$6)-MAX(Inputs!$F$89,Time!N$5))/Time!N$7</f>
        <v>1</v>
      </c>
      <c r="O63" s="14" t="n">
        <f aca="false">MAX(0,MIN(Inputs!$F$90,Time!O$6)-MAX(Inputs!$F$89,Time!O$5))/Time!O$7</f>
        <v>1</v>
      </c>
      <c r="P63" s="14" t="n">
        <f aca="false">MAX(0,MIN(Inputs!$F$90,Time!P$6)-MAX(Inputs!$F$89,Time!P$5))/Time!P$7</f>
        <v>1</v>
      </c>
      <c r="Q63" s="14" t="n">
        <f aca="false">MAX(0,MIN(Inputs!$F$90,Time!Q$6)-MAX(Inputs!$F$89,Time!Q$5))/Time!Q$7</f>
        <v>1</v>
      </c>
      <c r="R63" s="14" t="n">
        <f aca="false">MAX(0,MIN(Inputs!$F$90,Time!R$6)-MAX(Inputs!$F$89,Time!R$5))/Time!R$7</f>
        <v>1</v>
      </c>
      <c r="S63" s="14" t="n">
        <f aca="false">MAX(0,MIN(Inputs!$F$90,Time!S$6)-MAX(Inputs!$F$89,Time!S$5))/Time!S$7</f>
        <v>1</v>
      </c>
      <c r="T63" s="14" t="n">
        <f aca="false">MAX(0,MIN(Inputs!$F$90,Time!T$6)-MAX(Inputs!$F$89,Time!T$5))/Time!T$7</f>
        <v>1</v>
      </c>
      <c r="U63" s="14" t="n">
        <f aca="false">MAX(0,MIN(Inputs!$F$90,Time!U$6)-MAX(Inputs!$F$89,Time!U$5))/Time!U$7</f>
        <v>1</v>
      </c>
      <c r="V63" s="14" t="n">
        <f aca="false">MAX(0,MIN(Inputs!$F$90,Time!V$6)-MAX(Inputs!$F$89,Time!V$5))/Time!V$7</f>
        <v>1</v>
      </c>
      <c r="W63" s="14" t="n">
        <f aca="false">MAX(0,MIN(Inputs!$F$90,Time!W$6)-MAX(Inputs!$F$89,Time!W$5))/Time!W$7</f>
        <v>1</v>
      </c>
      <c r="X63" s="14" t="n">
        <f aca="false">MAX(0,MIN(Inputs!$F$90,Time!X$6)-MAX(Inputs!$F$89,Time!X$5))/Time!X$7</f>
        <v>1</v>
      </c>
      <c r="Y63" s="14" t="n">
        <f aca="false">MAX(0,MIN(Inputs!$F$90,Time!Y$6)-MAX(Inputs!$F$89,Time!Y$5))/Time!Y$7</f>
        <v>1</v>
      </c>
      <c r="Z63" s="14" t="n">
        <f aca="false">MAX(0,MIN(Inputs!$F$90,Time!Z$6)-MAX(Inputs!$F$89,Time!Z$5))/Time!Z$7</f>
        <v>1</v>
      </c>
      <c r="AA63" s="14" t="n">
        <f aca="false">MAX(0,MIN(Inputs!$F$90,Time!AA$6)-MAX(Inputs!$F$89,Time!AA$5))/Time!AA$7</f>
        <v>1</v>
      </c>
      <c r="AB63" s="14" t="n">
        <f aca="false">MAX(0,MIN(Inputs!$F$90,Time!AB$6)-MAX(Inputs!$F$89,Time!AB$5))/Time!AB$7</f>
        <v>1</v>
      </c>
      <c r="AC63" s="14" t="n">
        <f aca="false">MAX(0,MIN(Inputs!$F$90,Time!AC$6)-MAX(Inputs!$F$89,Time!AC$5))/Time!AC$7</f>
        <v>1</v>
      </c>
      <c r="AD63" s="14" t="n">
        <f aca="false">MAX(0,MIN(Inputs!$F$90,Time!AD$6)-MAX(Inputs!$F$89,Time!AD$5))/Time!AD$7</f>
        <v>1</v>
      </c>
      <c r="AE63" s="14" t="n">
        <f aca="false">MAX(0,MIN(Inputs!$F$90,Time!AE$6)-MAX(Inputs!$F$89,Time!AE$5))/Time!AE$7</f>
        <v>1</v>
      </c>
      <c r="AF63" s="14" t="n">
        <f aca="false">MAX(0,MIN(Inputs!$F$90,Time!AF$6)-MAX(Inputs!$F$89,Time!AF$5))/Time!AF$7</f>
        <v>1</v>
      </c>
      <c r="AG63" s="14" t="n">
        <f aca="false">MAX(0,MIN(Inputs!$F$90,Time!AG$6)-MAX(Inputs!$F$89,Time!AG$5))/Time!AG$7</f>
        <v>0</v>
      </c>
      <c r="AH63" s="14" t="n">
        <f aca="false">MAX(0,MIN(Inputs!$F$90,Time!AH$6)-MAX(Inputs!$F$89,Time!AH$5))/Time!AH$7</f>
        <v>0</v>
      </c>
      <c r="AI63" s="14" t="n">
        <f aca="false">MAX(0,MIN(Inputs!$F$90,Time!AI$6)-MAX(Inputs!$F$89,Time!AI$5))/Time!AI$7</f>
        <v>0</v>
      </c>
      <c r="AJ63" s="14" t="n">
        <f aca="false">MAX(0,MIN(Inputs!$F$90,Time!AJ$6)-MAX(Inputs!$F$89,Time!AJ$5))/Time!AJ$7</f>
        <v>0</v>
      </c>
      <c r="AK63" s="14" t="n">
        <f aca="false">MAX(0,MIN(Inputs!$F$90,Time!AK$6)-MAX(Inputs!$F$89,Time!AK$5))/Time!AK$7</f>
        <v>0</v>
      </c>
      <c r="AL63" s="14" t="n">
        <f aca="false">MAX(0,MIN(Inputs!$F$90,Time!AL$6)-MAX(Inputs!$F$89,Time!AL$5))/Time!AL$7</f>
        <v>0</v>
      </c>
      <c r="AM63" s="14" t="n">
        <f aca="false">MAX(0,MIN(Inputs!$F$90,Time!AM$6)-MAX(Inputs!$F$89,Time!AM$5))/Time!AM$7</f>
        <v>0</v>
      </c>
      <c r="AN63" s="14" t="n">
        <f aca="false">MAX(0,MIN(Inputs!$F$90,Time!AN$6)-MAX(Inputs!$F$89,Time!AN$5))/Time!AN$7</f>
        <v>0</v>
      </c>
      <c r="AO63" s="14" t="n">
        <f aca="false">MAX(0,MIN(Inputs!$F$90,Time!AO$6)-MAX(Inputs!$F$89,Time!AO$5))/Time!AO$7</f>
        <v>0</v>
      </c>
      <c r="AP63" s="14" t="n">
        <f aca="false">MAX(0,MIN(Inputs!$F$90,Time!AP$6)-MAX(Inputs!$F$89,Time!AP$5))/Time!AP$7</f>
        <v>0</v>
      </c>
      <c r="AQ63" s="14" t="n">
        <f aca="false">MAX(0,MIN(Inputs!$F$90,Time!AQ$6)-MAX(Inputs!$F$89,Time!AQ$5))/Time!AQ$7</f>
        <v>0</v>
      </c>
      <c r="AR63" s="14" t="n">
        <f aca="false">MAX(0,MIN(Inputs!$F$90,Time!AR$6)-MAX(Inputs!$F$89,Time!AR$5))/Time!AR$7</f>
        <v>0</v>
      </c>
      <c r="AS63" s="14" t="n">
        <f aca="false">MAX(0,MIN(Inputs!$F$90,Time!AS$6)-MAX(Inputs!$F$89,Time!AS$5))/Time!AS$7</f>
        <v>0</v>
      </c>
      <c r="AT63" s="14" t="n">
        <f aca="false">MAX(0,MIN(Inputs!$F$90,Time!AT$6)-MAX(Inputs!$F$89,Time!AT$5))/Time!AT$7</f>
        <v>0</v>
      </c>
      <c r="AU63" s="14" t="n">
        <f aca="false">MAX(0,MIN(Inputs!$F$90,Time!AU$6)-MAX(Inputs!$F$89,Time!AU$5))/Time!AU$7</f>
        <v>0</v>
      </c>
    </row>
    <row r="64" customFormat="false" ht="15" hidden="false" customHeight="false" outlineLevel="0" collapsed="false">
      <c r="D64" s="0" t="s">
        <v>459</v>
      </c>
      <c r="E64" s="0" t="s">
        <v>458</v>
      </c>
      <c r="J64" s="14" t="n">
        <f aca="false">MAX(0,MIN(Inputs!$F$90,Time!J$6)-MAX(MAX(Inputs!$F$91,Inputs!$F$89),Time!J$5))/Time!J$7</f>
        <v>0.778082191780822</v>
      </c>
      <c r="K64" s="14" t="n">
        <f aca="false">MAX(0,MIN(Inputs!$F$90,Time!K$6)-MAX(MAX(Inputs!$F$91,Inputs!$F$89),Time!K$5))/Time!K$7</f>
        <v>1</v>
      </c>
      <c r="L64" s="14" t="n">
        <f aca="false">MAX(0,MIN(Inputs!$F$90,Time!L$6)-MAX(MAX(Inputs!$F$91,Inputs!$F$89),Time!L$5))/Time!L$7</f>
        <v>1</v>
      </c>
      <c r="M64" s="14" t="n">
        <f aca="false">MAX(0,MIN(Inputs!$F$90,Time!M$6)-MAX(MAX(Inputs!$F$91,Inputs!$F$89),Time!M$5))/Time!M$7</f>
        <v>1</v>
      </c>
      <c r="N64" s="14" t="n">
        <f aca="false">MAX(0,MIN(Inputs!$F$90,Time!N$6)-MAX(MAX(Inputs!$F$91,Inputs!$F$89),Time!N$5))/Time!N$7</f>
        <v>1</v>
      </c>
      <c r="O64" s="14" t="n">
        <f aca="false">MAX(0,MIN(Inputs!$F$90,Time!O$6)-MAX(MAX(Inputs!$F$91,Inputs!$F$89),Time!O$5))/Time!O$7</f>
        <v>1</v>
      </c>
      <c r="P64" s="14" t="n">
        <f aca="false">MAX(0,MIN(Inputs!$F$90,Time!P$6)-MAX(MAX(Inputs!$F$91,Inputs!$F$89),Time!P$5))/Time!P$7</f>
        <v>1</v>
      </c>
      <c r="Q64" s="14" t="n">
        <f aca="false">MAX(0,MIN(Inputs!$F$90,Time!Q$6)-MAX(MAX(Inputs!$F$91,Inputs!$F$89),Time!Q$5))/Time!Q$7</f>
        <v>1</v>
      </c>
      <c r="R64" s="14" t="n">
        <f aca="false">MAX(0,MIN(Inputs!$F$90,Time!R$6)-MAX(MAX(Inputs!$F$91,Inputs!$F$89),Time!R$5))/Time!R$7</f>
        <v>1</v>
      </c>
      <c r="S64" s="14" t="n">
        <f aca="false">MAX(0,MIN(Inputs!$F$90,Time!S$6)-MAX(MAX(Inputs!$F$91,Inputs!$F$89),Time!S$5))/Time!S$7</f>
        <v>1</v>
      </c>
      <c r="T64" s="14" t="n">
        <f aca="false">MAX(0,MIN(Inputs!$F$90,Time!T$6)-MAX(MAX(Inputs!$F$91,Inputs!$F$89),Time!T$5))/Time!T$7</f>
        <v>1</v>
      </c>
      <c r="U64" s="14" t="n">
        <f aca="false">MAX(0,MIN(Inputs!$F$90,Time!U$6)-MAX(MAX(Inputs!$F$91,Inputs!$F$89),Time!U$5))/Time!U$7</f>
        <v>1</v>
      </c>
      <c r="V64" s="14" t="n">
        <f aca="false">MAX(0,MIN(Inputs!$F$90,Time!V$6)-MAX(MAX(Inputs!$F$91,Inputs!$F$89),Time!V$5))/Time!V$7</f>
        <v>1</v>
      </c>
      <c r="W64" s="14" t="n">
        <f aca="false">MAX(0,MIN(Inputs!$F$90,Time!W$6)-MAX(MAX(Inputs!$F$91,Inputs!$F$89),Time!W$5))/Time!W$7</f>
        <v>1</v>
      </c>
      <c r="X64" s="14" t="n">
        <f aca="false">MAX(0,MIN(Inputs!$F$90,Time!X$6)-MAX(MAX(Inputs!$F$91,Inputs!$F$89),Time!X$5))/Time!X$7</f>
        <v>1</v>
      </c>
      <c r="Y64" s="14" t="n">
        <f aca="false">MAX(0,MIN(Inputs!$F$90,Time!Y$6)-MAX(MAX(Inputs!$F$91,Inputs!$F$89),Time!Y$5))/Time!Y$7</f>
        <v>1</v>
      </c>
      <c r="Z64" s="14" t="n">
        <f aca="false">MAX(0,MIN(Inputs!$F$90,Time!Z$6)-MAX(MAX(Inputs!$F$91,Inputs!$F$89),Time!Z$5))/Time!Z$7</f>
        <v>1</v>
      </c>
      <c r="AA64" s="14" t="n">
        <f aca="false">MAX(0,MIN(Inputs!$F$90,Time!AA$6)-MAX(MAX(Inputs!$F$91,Inputs!$F$89),Time!AA$5))/Time!AA$7</f>
        <v>1</v>
      </c>
      <c r="AB64" s="14" t="n">
        <f aca="false">MAX(0,MIN(Inputs!$F$90,Time!AB$6)-MAX(MAX(Inputs!$F$91,Inputs!$F$89),Time!AB$5))/Time!AB$7</f>
        <v>1</v>
      </c>
      <c r="AC64" s="14" t="n">
        <f aca="false">MAX(0,MIN(Inputs!$F$90,Time!AC$6)-MAX(MAX(Inputs!$F$91,Inputs!$F$89),Time!AC$5))/Time!AC$7</f>
        <v>1</v>
      </c>
      <c r="AD64" s="14" t="n">
        <f aca="false">MAX(0,MIN(Inputs!$F$90,Time!AD$6)-MAX(MAX(Inputs!$F$91,Inputs!$F$89),Time!AD$5))/Time!AD$7</f>
        <v>1</v>
      </c>
      <c r="AE64" s="14" t="n">
        <f aca="false">MAX(0,MIN(Inputs!$F$90,Time!AE$6)-MAX(MAX(Inputs!$F$91,Inputs!$F$89),Time!AE$5))/Time!AE$7</f>
        <v>1</v>
      </c>
      <c r="AF64" s="14" t="n">
        <f aca="false">MAX(0,MIN(Inputs!$F$90,Time!AF$6)-MAX(MAX(Inputs!$F$91,Inputs!$F$89),Time!AF$5))/Time!AF$7</f>
        <v>1</v>
      </c>
      <c r="AG64" s="14" t="n">
        <f aca="false">MAX(0,MIN(Inputs!$F$90,Time!AG$6)-MAX(MAX(Inputs!$F$91,Inputs!$F$89),Time!AG$5))/Time!AG$7</f>
        <v>0</v>
      </c>
      <c r="AH64" s="14" t="n">
        <f aca="false">MAX(0,MIN(Inputs!$F$90,Time!AH$6)-MAX(MAX(Inputs!$F$91,Inputs!$F$89),Time!AH$5))/Time!AH$7</f>
        <v>0</v>
      </c>
      <c r="AI64" s="14" t="n">
        <f aca="false">MAX(0,MIN(Inputs!$F$90,Time!AI$6)-MAX(MAX(Inputs!$F$91,Inputs!$F$89),Time!AI$5))/Time!AI$7</f>
        <v>0</v>
      </c>
      <c r="AJ64" s="14" t="n">
        <f aca="false">MAX(0,MIN(Inputs!$F$90,Time!AJ$6)-MAX(MAX(Inputs!$F$91,Inputs!$F$89),Time!AJ$5))/Time!AJ$7</f>
        <v>0</v>
      </c>
      <c r="AK64" s="14" t="n">
        <f aca="false">MAX(0,MIN(Inputs!$F$90,Time!AK$6)-MAX(MAX(Inputs!$F$91,Inputs!$F$89),Time!AK$5))/Time!AK$7</f>
        <v>0</v>
      </c>
      <c r="AL64" s="14" t="n">
        <f aca="false">MAX(0,MIN(Inputs!$F$90,Time!AL$6)-MAX(MAX(Inputs!$F$91,Inputs!$F$89),Time!AL$5))/Time!AL$7</f>
        <v>0</v>
      </c>
      <c r="AM64" s="14" t="n">
        <f aca="false">MAX(0,MIN(Inputs!$F$90,Time!AM$6)-MAX(MAX(Inputs!$F$91,Inputs!$F$89),Time!AM$5))/Time!AM$7</f>
        <v>0</v>
      </c>
      <c r="AN64" s="14" t="n">
        <f aca="false">MAX(0,MIN(Inputs!$F$90,Time!AN$6)-MAX(MAX(Inputs!$F$91,Inputs!$F$89),Time!AN$5))/Time!AN$7</f>
        <v>0</v>
      </c>
      <c r="AO64" s="14" t="n">
        <f aca="false">MAX(0,MIN(Inputs!$F$90,Time!AO$6)-MAX(MAX(Inputs!$F$91,Inputs!$F$89),Time!AO$5))/Time!AO$7</f>
        <v>0</v>
      </c>
      <c r="AP64" s="14" t="n">
        <f aca="false">MAX(0,MIN(Inputs!$F$90,Time!AP$6)-MAX(MAX(Inputs!$F$91,Inputs!$F$89),Time!AP$5))/Time!AP$7</f>
        <v>0</v>
      </c>
      <c r="AQ64" s="14" t="n">
        <f aca="false">MAX(0,MIN(Inputs!$F$90,Time!AQ$6)-MAX(MAX(Inputs!$F$91,Inputs!$F$89),Time!AQ$5))/Time!AQ$7</f>
        <v>0</v>
      </c>
      <c r="AR64" s="14" t="n">
        <f aca="false">MAX(0,MIN(Inputs!$F$90,Time!AR$6)-MAX(MAX(Inputs!$F$91,Inputs!$F$89),Time!AR$5))/Time!AR$7</f>
        <v>0</v>
      </c>
      <c r="AS64" s="14" t="n">
        <f aca="false">MAX(0,MIN(Inputs!$F$90,Time!AS$6)-MAX(MAX(Inputs!$F$91,Inputs!$F$89),Time!AS$5))/Time!AS$7</f>
        <v>0</v>
      </c>
      <c r="AT64" s="14" t="n">
        <f aca="false">MAX(0,MIN(Inputs!$F$90,Time!AT$6)-MAX(MAX(Inputs!$F$91,Inputs!$F$89),Time!AT$5))/Time!AT$7</f>
        <v>0</v>
      </c>
      <c r="AU64" s="14" t="n">
        <f aca="false">MAX(0,MIN(Inputs!$F$90,Time!AU$6)-MAX(MAX(Inputs!$F$91,Inputs!$F$89),Time!AU$5))/Time!AU$7</f>
        <v>0</v>
      </c>
    </row>
    <row r="65" customFormat="false" ht="15" hidden="false" customHeight="false" outlineLevel="0" collapsed="false">
      <c r="D65" s="0" t="s">
        <v>460</v>
      </c>
      <c r="E65" s="0" t="s">
        <v>458</v>
      </c>
      <c r="J65" s="14" t="n">
        <f aca="false">IF(Operations!J63&gt;0,Operations!J64/Operations!J63,0)</f>
        <v>0.778082191780822</v>
      </c>
      <c r="K65" s="14" t="n">
        <f aca="false">IF(Operations!K63&gt;0,Operations!K64/Operations!K63,0)</f>
        <v>1</v>
      </c>
      <c r="L65" s="14" t="n">
        <f aca="false">IF(Operations!L63&gt;0,Operations!L64/Operations!L63,0)</f>
        <v>1</v>
      </c>
      <c r="M65" s="14" t="n">
        <f aca="false">IF(Operations!M63&gt;0,Operations!M64/Operations!M63,0)</f>
        <v>1</v>
      </c>
      <c r="N65" s="14" t="n">
        <f aca="false">IF(Operations!N63&gt;0,Operations!N64/Operations!N63,0)</f>
        <v>1</v>
      </c>
      <c r="O65" s="14" t="n">
        <f aca="false">IF(Operations!O63&gt;0,Operations!O64/Operations!O63,0)</f>
        <v>1</v>
      </c>
      <c r="P65" s="14" t="n">
        <f aca="false">IF(Operations!P63&gt;0,Operations!P64/Operations!P63,0)</f>
        <v>1</v>
      </c>
      <c r="Q65" s="14" t="n">
        <f aca="false">IF(Operations!Q63&gt;0,Operations!Q64/Operations!Q63,0)</f>
        <v>1</v>
      </c>
      <c r="R65" s="14" t="n">
        <f aca="false">IF(Operations!R63&gt;0,Operations!R64/Operations!R63,0)</f>
        <v>1</v>
      </c>
      <c r="S65" s="14" t="n">
        <f aca="false">IF(Operations!S63&gt;0,Operations!S64/Operations!S63,0)</f>
        <v>1</v>
      </c>
      <c r="T65" s="14" t="n">
        <f aca="false">IF(Operations!T63&gt;0,Operations!T64/Operations!T63,0)</f>
        <v>1</v>
      </c>
      <c r="U65" s="14" t="n">
        <f aca="false">IF(Operations!U63&gt;0,Operations!U64/Operations!U63,0)</f>
        <v>1</v>
      </c>
      <c r="V65" s="14" t="n">
        <f aca="false">IF(Operations!V63&gt;0,Operations!V64/Operations!V63,0)</f>
        <v>1</v>
      </c>
      <c r="W65" s="14" t="n">
        <f aca="false">IF(Operations!W63&gt;0,Operations!W64/Operations!W63,0)</f>
        <v>1</v>
      </c>
      <c r="X65" s="14" t="n">
        <f aca="false">IF(Operations!X63&gt;0,Operations!X64/Operations!X63,0)</f>
        <v>1</v>
      </c>
      <c r="Y65" s="14" t="n">
        <f aca="false">IF(Operations!Y63&gt;0,Operations!Y64/Operations!Y63,0)</f>
        <v>1</v>
      </c>
      <c r="Z65" s="14" t="n">
        <f aca="false">IF(Operations!Z63&gt;0,Operations!Z64/Operations!Z63,0)</f>
        <v>1</v>
      </c>
      <c r="AA65" s="14" t="n">
        <f aca="false">IF(Operations!AA63&gt;0,Operations!AA64/Operations!AA63,0)</f>
        <v>1</v>
      </c>
      <c r="AB65" s="14" t="n">
        <f aca="false">IF(Operations!AB63&gt;0,Operations!AB64/Operations!AB63,0)</f>
        <v>1</v>
      </c>
      <c r="AC65" s="14" t="n">
        <f aca="false">IF(Operations!AC63&gt;0,Operations!AC64/Operations!AC63,0)</f>
        <v>1</v>
      </c>
      <c r="AD65" s="14" t="n">
        <f aca="false">IF(Operations!AD63&gt;0,Operations!AD64/Operations!AD63,0)</f>
        <v>1</v>
      </c>
      <c r="AE65" s="14" t="n">
        <f aca="false">IF(Operations!AE63&gt;0,Operations!AE64/Operations!AE63,0)</f>
        <v>1</v>
      </c>
      <c r="AF65" s="14" t="n">
        <f aca="false">IF(Operations!AF63&gt;0,Operations!AF64/Operations!AF63,0)</f>
        <v>1</v>
      </c>
      <c r="AG65" s="14" t="n">
        <f aca="false">IF(Operations!AG63&gt;0,Operations!AG64/Operations!AG63,0)</f>
        <v>0</v>
      </c>
      <c r="AH65" s="14" t="n">
        <f aca="false">IF(Operations!AH63&gt;0,Operations!AH64/Operations!AH63,0)</f>
        <v>0</v>
      </c>
      <c r="AI65" s="14" t="n">
        <f aca="false">IF(Operations!AI63&gt;0,Operations!AI64/Operations!AI63,0)</f>
        <v>0</v>
      </c>
      <c r="AJ65" s="14" t="n">
        <f aca="false">IF(Operations!AJ63&gt;0,Operations!AJ64/Operations!AJ63,0)</f>
        <v>0</v>
      </c>
      <c r="AK65" s="14" t="n">
        <f aca="false">IF(Operations!AK63&gt;0,Operations!AK64/Operations!AK63,0)</f>
        <v>0</v>
      </c>
      <c r="AL65" s="14" t="n">
        <f aca="false">IF(Operations!AL63&gt;0,Operations!AL64/Operations!AL63,0)</f>
        <v>0</v>
      </c>
      <c r="AM65" s="14" t="n">
        <f aca="false">IF(Operations!AM63&gt;0,Operations!AM64/Operations!AM63,0)</f>
        <v>0</v>
      </c>
      <c r="AN65" s="14" t="n">
        <f aca="false">IF(Operations!AN63&gt;0,Operations!AN64/Operations!AN63,0)</f>
        <v>0</v>
      </c>
      <c r="AO65" s="14" t="n">
        <f aca="false">IF(Operations!AO63&gt;0,Operations!AO64/Operations!AO63,0)</f>
        <v>0</v>
      </c>
      <c r="AP65" s="14" t="n">
        <f aca="false">IF(Operations!AP63&gt;0,Operations!AP64/Operations!AP63,0)</f>
        <v>0</v>
      </c>
      <c r="AQ65" s="14" t="n">
        <f aca="false">IF(Operations!AQ63&gt;0,Operations!AQ64/Operations!AQ63,0)</f>
        <v>0</v>
      </c>
      <c r="AR65" s="14" t="n">
        <f aca="false">IF(Operations!AR63&gt;0,Operations!AR64/Operations!AR63,0)</f>
        <v>0</v>
      </c>
      <c r="AS65" s="14" t="n">
        <f aca="false">IF(Operations!AS63&gt;0,Operations!AS64/Operations!AS63,0)</f>
        <v>0</v>
      </c>
      <c r="AT65" s="14" t="n">
        <f aca="false">IF(Operations!AT63&gt;0,Operations!AT64/Operations!AT63,0)</f>
        <v>0</v>
      </c>
      <c r="AU65" s="14" t="n">
        <f aca="false">IF(Operations!AU63&gt;0,Operations!AU64/Operations!AU63,0)</f>
        <v>0</v>
      </c>
    </row>
    <row r="66" customFormat="false" ht="15" hidden="false" customHeight="false" outlineLevel="0" collapsed="false">
      <c r="D66" s="0" t="s">
        <v>461</v>
      </c>
      <c r="E66" s="0" t="s">
        <v>96</v>
      </c>
      <c r="J66" s="18" t="n">
        <f aca="false">Operations!J53</f>
        <v>72.2128</v>
      </c>
      <c r="K66" s="18" t="n">
        <f aca="false">Operations!K53</f>
        <v>59.2416</v>
      </c>
      <c r="L66" s="18" t="n">
        <f aca="false">Operations!L53</f>
        <v>29.1368</v>
      </c>
      <c r="M66" s="18" t="n">
        <f aca="false">Operations!M53</f>
        <v>38.5264</v>
      </c>
      <c r="N66" s="18" t="n">
        <f aca="false">Operations!N53</f>
        <v>43.1728</v>
      </c>
      <c r="O66" s="18" t="n">
        <f aca="false">Operations!O53</f>
        <v>45.7864</v>
      </c>
      <c r="P66" s="18" t="n">
        <f aca="false">Operations!P53</f>
        <v>47.5288</v>
      </c>
      <c r="Q66" s="18" t="n">
        <f aca="false">Operations!Q53</f>
        <v>48.7872</v>
      </c>
      <c r="R66" s="18" t="n">
        <f aca="false">Operations!R53</f>
        <v>50.1424</v>
      </c>
      <c r="S66" s="18" t="n">
        <f aca="false">Operations!S53</f>
        <v>51.14912</v>
      </c>
      <c r="T66" s="18" t="n">
        <f aca="false">Operations!T53</f>
        <v>52.1752</v>
      </c>
      <c r="U66" s="18" t="n">
        <f aca="false">Operations!U53</f>
        <v>53.22064</v>
      </c>
      <c r="V66" s="18" t="n">
        <f aca="false">Operations!V53</f>
        <v>54.28544</v>
      </c>
      <c r="W66" s="18" t="n">
        <f aca="false">Operations!W53</f>
        <v>55.3696</v>
      </c>
      <c r="X66" s="18" t="n">
        <f aca="false">Operations!X53</f>
        <v>56.47312</v>
      </c>
      <c r="Y66" s="18" t="n">
        <f aca="false">Operations!Y53</f>
        <v>57.60568</v>
      </c>
      <c r="Z66" s="18" t="n">
        <f aca="false">Operations!Z53</f>
        <v>58.7576</v>
      </c>
      <c r="AA66" s="18" t="n">
        <f aca="false">Operations!AA53</f>
        <v>59.92888</v>
      </c>
      <c r="AB66" s="18" t="n">
        <f aca="false">Operations!AB53</f>
        <v>61.1292</v>
      </c>
      <c r="AC66" s="18" t="n">
        <f aca="false">Operations!AC53</f>
        <v>62.34888</v>
      </c>
      <c r="AD66" s="18" t="n">
        <f aca="false">Operations!AD53</f>
        <v>63.5976</v>
      </c>
      <c r="AE66" s="18" t="n">
        <f aca="false">Operations!AE53</f>
        <v>64.86568</v>
      </c>
      <c r="AF66" s="18" t="n">
        <f aca="false">Operations!AF53</f>
        <v>66.1628</v>
      </c>
      <c r="AG66" s="18" t="n">
        <f aca="false">Operations!AG53</f>
        <v>67.48896</v>
      </c>
      <c r="AH66" s="18" t="n">
        <f aca="false">Operations!AH53</f>
        <v>68.83448</v>
      </c>
      <c r="AI66" s="18" t="n">
        <f aca="false">Operations!AI53</f>
        <v>70.20904</v>
      </c>
      <c r="AJ66" s="18" t="n">
        <f aca="false">Operations!AJ53</f>
        <v>71.61264</v>
      </c>
      <c r="AK66" s="18" t="n">
        <f aca="false">Operations!AK53</f>
        <v>73.04528</v>
      </c>
      <c r="AL66" s="18" t="n">
        <f aca="false">Operations!AL53</f>
        <v>74.50696</v>
      </c>
      <c r="AM66" s="18" t="n">
        <f aca="false">Operations!AM53</f>
        <v>75.99768</v>
      </c>
      <c r="AN66" s="18" t="n">
        <f aca="false">Operations!AN53</f>
        <v>77.51744</v>
      </c>
      <c r="AO66" s="18" t="n">
        <f aca="false">Operations!AO53</f>
        <v>79.06624</v>
      </c>
      <c r="AP66" s="18" t="n">
        <f aca="false">Operations!AP53</f>
        <v>80.64408</v>
      </c>
      <c r="AQ66" s="18" t="n">
        <f aca="false">Operations!AQ53</f>
        <v>82.26064</v>
      </c>
      <c r="AR66" s="18" t="n">
        <f aca="false">Operations!AR53</f>
        <v>83.90624</v>
      </c>
      <c r="AS66" s="18" t="n">
        <f aca="false">Operations!AS53</f>
        <v>85.58088</v>
      </c>
      <c r="AT66" s="18" t="n">
        <f aca="false">Operations!AT53</f>
        <v>87.29424</v>
      </c>
      <c r="AU66" s="18" t="n">
        <f aca="false">Operations!AU53</f>
        <v>89.03664</v>
      </c>
    </row>
    <row r="67" customFormat="false" ht="15" hidden="false" customHeight="false" outlineLevel="0" collapsed="false">
      <c r="D67" s="0" t="s">
        <v>462</v>
      </c>
      <c r="E67" s="0" t="s">
        <v>27</v>
      </c>
      <c r="J67" s="14" t="n">
        <f aca="false">CHOOSE(Operations!$F$47,1,Inputs!$F$95/100,Inputs!$F$96/100,Operations!$F$12/100)</f>
        <v>1</v>
      </c>
      <c r="K67" s="14" t="n">
        <f aca="false">CHOOSE(Operations!$F$47,1,Inputs!$F$95/100,Inputs!$F$96/100,Operations!$F$12/100)</f>
        <v>1</v>
      </c>
      <c r="L67" s="14" t="n">
        <f aca="false">CHOOSE(Operations!$F$47,1,Inputs!$F$95/100,Inputs!$F$96/100,Operations!$F$12/100)</f>
        <v>1</v>
      </c>
      <c r="M67" s="14" t="n">
        <f aca="false">CHOOSE(Operations!$F$47,1,Inputs!$F$95/100,Inputs!$F$96/100,Operations!$F$12/100)</f>
        <v>1</v>
      </c>
      <c r="N67" s="14" t="n">
        <f aca="false">CHOOSE(Operations!$F$47,1,Inputs!$F$95/100,Inputs!$F$96/100,Operations!$F$12/100)</f>
        <v>1</v>
      </c>
      <c r="O67" s="14" t="n">
        <f aca="false">CHOOSE(Operations!$F$47,1,Inputs!$F$95/100,Inputs!$F$96/100,Operations!$F$12/100)</f>
        <v>1</v>
      </c>
      <c r="P67" s="14" t="n">
        <f aca="false">CHOOSE(Operations!$F$47,1,Inputs!$F$95/100,Inputs!$F$96/100,Operations!$F$12/100)</f>
        <v>1</v>
      </c>
      <c r="Q67" s="14" t="n">
        <f aca="false">CHOOSE(Operations!$F$47,1,Inputs!$F$95/100,Inputs!$F$96/100,Operations!$F$12/100)</f>
        <v>1</v>
      </c>
      <c r="R67" s="14" t="n">
        <f aca="false">CHOOSE(Operations!$F$47,1,Inputs!$F$95/100,Inputs!$F$96/100,Operations!$F$12/100)</f>
        <v>1</v>
      </c>
      <c r="S67" s="14" t="n">
        <f aca="false">CHOOSE(Operations!$F$47,1,Inputs!$F$95/100,Inputs!$F$96/100,Operations!$F$12/100)</f>
        <v>1</v>
      </c>
      <c r="T67" s="14" t="n">
        <f aca="false">CHOOSE(Operations!$F$47,1,Inputs!$F$95/100,Inputs!$F$96/100,Operations!$F$12/100)</f>
        <v>1</v>
      </c>
      <c r="U67" s="14" t="n">
        <f aca="false">CHOOSE(Operations!$F$47,1,Inputs!$F$95/100,Inputs!$F$96/100,Operations!$F$12/100)</f>
        <v>1</v>
      </c>
      <c r="V67" s="14" t="n">
        <f aca="false">CHOOSE(Operations!$F$47,1,Inputs!$F$95/100,Inputs!$F$96/100,Operations!$F$12/100)</f>
        <v>1</v>
      </c>
      <c r="W67" s="14" t="n">
        <f aca="false">CHOOSE(Operations!$F$47,1,Inputs!$F$95/100,Inputs!$F$96/100,Operations!$F$12/100)</f>
        <v>1</v>
      </c>
      <c r="X67" s="14" t="n">
        <f aca="false">CHOOSE(Operations!$F$47,1,Inputs!$F$95/100,Inputs!$F$96/100,Operations!$F$12/100)</f>
        <v>1</v>
      </c>
      <c r="Y67" s="14" t="n">
        <f aca="false">CHOOSE(Operations!$F$47,1,Inputs!$F$95/100,Inputs!$F$96/100,Operations!$F$12/100)</f>
        <v>1</v>
      </c>
      <c r="Z67" s="14" t="n">
        <f aca="false">CHOOSE(Operations!$F$47,1,Inputs!$F$95/100,Inputs!$F$96/100,Operations!$F$12/100)</f>
        <v>1</v>
      </c>
      <c r="AA67" s="14" t="n">
        <f aca="false">CHOOSE(Operations!$F$47,1,Inputs!$F$95/100,Inputs!$F$96/100,Operations!$F$12/100)</f>
        <v>1</v>
      </c>
      <c r="AB67" s="14" t="n">
        <f aca="false">CHOOSE(Operations!$F$47,1,Inputs!$F$95/100,Inputs!$F$96/100,Operations!$F$12/100)</f>
        <v>1</v>
      </c>
      <c r="AC67" s="14" t="n">
        <f aca="false">CHOOSE(Operations!$F$47,1,Inputs!$F$95/100,Inputs!$F$96/100,Operations!$F$12/100)</f>
        <v>1</v>
      </c>
      <c r="AD67" s="14" t="n">
        <f aca="false">CHOOSE(Operations!$F$47,1,Inputs!$F$95/100,Inputs!$F$96/100,Operations!$F$12/100)</f>
        <v>1</v>
      </c>
      <c r="AE67" s="14" t="n">
        <f aca="false">CHOOSE(Operations!$F$47,1,Inputs!$F$95/100,Inputs!$F$96/100,Operations!$F$12/100)</f>
        <v>1</v>
      </c>
      <c r="AF67" s="14" t="n">
        <f aca="false">CHOOSE(Operations!$F$47,1,Inputs!$F$95/100,Inputs!$F$96/100,Operations!$F$12/100)</f>
        <v>1</v>
      </c>
      <c r="AG67" s="14" t="n">
        <f aca="false">CHOOSE(Operations!$F$47,1,Inputs!$F$95/100,Inputs!$F$96/100,Operations!$F$12/100)</f>
        <v>1</v>
      </c>
      <c r="AH67" s="14" t="n">
        <f aca="false">CHOOSE(Operations!$F$47,1,Inputs!$F$95/100,Inputs!$F$96/100,Operations!$F$12/100)</f>
        <v>1</v>
      </c>
      <c r="AI67" s="14" t="n">
        <f aca="false">CHOOSE(Operations!$F$47,1,Inputs!$F$95/100,Inputs!$F$96/100,Operations!$F$12/100)</f>
        <v>1</v>
      </c>
      <c r="AJ67" s="14" t="n">
        <f aca="false">CHOOSE(Operations!$F$47,1,Inputs!$F$95/100,Inputs!$F$96/100,Operations!$F$12/100)</f>
        <v>1</v>
      </c>
      <c r="AK67" s="14" t="n">
        <f aca="false">CHOOSE(Operations!$F$47,1,Inputs!$F$95/100,Inputs!$F$96/100,Operations!$F$12/100)</f>
        <v>1</v>
      </c>
      <c r="AL67" s="14" t="n">
        <f aca="false">CHOOSE(Operations!$F$47,1,Inputs!$F$95/100,Inputs!$F$96/100,Operations!$F$12/100)</f>
        <v>1</v>
      </c>
      <c r="AM67" s="14" t="n">
        <f aca="false">CHOOSE(Operations!$F$47,1,Inputs!$F$95/100,Inputs!$F$96/100,Operations!$F$12/100)</f>
        <v>1</v>
      </c>
      <c r="AN67" s="14" t="n">
        <f aca="false">CHOOSE(Operations!$F$47,1,Inputs!$F$95/100,Inputs!$F$96/100,Operations!$F$12/100)</f>
        <v>1</v>
      </c>
      <c r="AO67" s="14" t="n">
        <f aca="false">CHOOSE(Operations!$F$47,1,Inputs!$F$95/100,Inputs!$F$96/100,Operations!$F$12/100)</f>
        <v>1</v>
      </c>
      <c r="AP67" s="14" t="n">
        <f aca="false">CHOOSE(Operations!$F$47,1,Inputs!$F$95/100,Inputs!$F$96/100,Operations!$F$12/100)</f>
        <v>1</v>
      </c>
      <c r="AQ67" s="14" t="n">
        <f aca="false">CHOOSE(Operations!$F$47,1,Inputs!$F$95/100,Inputs!$F$96/100,Operations!$F$12/100)</f>
        <v>1</v>
      </c>
      <c r="AR67" s="14" t="n">
        <f aca="false">CHOOSE(Operations!$F$47,1,Inputs!$F$95/100,Inputs!$F$96/100,Operations!$F$12/100)</f>
        <v>1</v>
      </c>
      <c r="AS67" s="14" t="n">
        <f aca="false">CHOOSE(Operations!$F$47,1,Inputs!$F$95/100,Inputs!$F$96/100,Operations!$F$12/100)</f>
        <v>1</v>
      </c>
      <c r="AT67" s="14" t="n">
        <f aca="false">CHOOSE(Operations!$F$47,1,Inputs!$F$95/100,Inputs!$F$96/100,Operations!$F$12/100)</f>
        <v>1</v>
      </c>
      <c r="AU67" s="14" t="n">
        <f aca="false">CHOOSE(Operations!$F$47,1,Inputs!$F$95/100,Inputs!$F$96/100,Operations!$F$12/100)</f>
        <v>1</v>
      </c>
    </row>
    <row r="68" customFormat="false" ht="15" hidden="false" customHeight="false" outlineLevel="0" collapsed="false">
      <c r="D68" s="0" t="s">
        <v>463</v>
      </c>
      <c r="E68" s="0" t="s">
        <v>27</v>
      </c>
      <c r="J68" s="14" t="n">
        <f aca="false">(1-Inputs!$F$97/100)^MAX(0,Time!J$4-Inputs!$F$98)</f>
        <v>1</v>
      </c>
      <c r="K68" s="14" t="n">
        <f aca="false">(1-Inputs!$F$97/100)^MAX(0,Time!K$4-Inputs!$F$98)</f>
        <v>0.998</v>
      </c>
      <c r="L68" s="14" t="n">
        <f aca="false">(1-Inputs!$F$97/100)^MAX(0,Time!L$4-Inputs!$F$98)</f>
        <v>0.996004</v>
      </c>
      <c r="M68" s="14" t="n">
        <f aca="false">(1-Inputs!$F$97/100)^MAX(0,Time!M$4-Inputs!$F$98)</f>
        <v>0.994011992</v>
      </c>
      <c r="N68" s="14" t="n">
        <f aca="false">(1-Inputs!$F$97/100)^MAX(0,Time!N$4-Inputs!$F$98)</f>
        <v>0.992023968016</v>
      </c>
      <c r="O68" s="14" t="n">
        <f aca="false">(1-Inputs!$F$97/100)^MAX(0,Time!O$4-Inputs!$F$98)</f>
        <v>0.990039920079968</v>
      </c>
      <c r="P68" s="14" t="n">
        <f aca="false">(1-Inputs!$F$97/100)^MAX(0,Time!P$4-Inputs!$F$98)</f>
        <v>0.988059840239808</v>
      </c>
      <c r="Q68" s="14" t="n">
        <f aca="false">(1-Inputs!$F$97/100)^MAX(0,Time!Q$4-Inputs!$F$98)</f>
        <v>0.986083720559329</v>
      </c>
      <c r="R68" s="14" t="n">
        <f aca="false">(1-Inputs!$F$97/100)^MAX(0,Time!R$4-Inputs!$F$98)</f>
        <v>0.98411155311821</v>
      </c>
      <c r="S68" s="14" t="n">
        <f aca="false">(1-Inputs!$F$97/100)^MAX(0,Time!S$4-Inputs!$F$98)</f>
        <v>0.982143330011973</v>
      </c>
      <c r="T68" s="14" t="n">
        <f aca="false">(1-Inputs!$F$97/100)^MAX(0,Time!T$4-Inputs!$F$98)</f>
        <v>0.980179043351949</v>
      </c>
      <c r="U68" s="14" t="n">
        <f aca="false">(1-Inputs!$F$97/100)^MAX(0,Time!U$4-Inputs!$F$98)</f>
        <v>0.978218685265246</v>
      </c>
      <c r="V68" s="14" t="n">
        <f aca="false">(1-Inputs!$F$97/100)^MAX(0,Time!V$4-Inputs!$F$98)</f>
        <v>0.976262247894715</v>
      </c>
      <c r="W68" s="14" t="n">
        <f aca="false">(1-Inputs!$F$97/100)^MAX(0,Time!W$4-Inputs!$F$98)</f>
        <v>0.974309723398926</v>
      </c>
      <c r="X68" s="14" t="n">
        <f aca="false">(1-Inputs!$F$97/100)^MAX(0,Time!X$4-Inputs!$F$98)</f>
        <v>0.972361103952128</v>
      </c>
      <c r="Y68" s="14" t="n">
        <f aca="false">(1-Inputs!$F$97/100)^MAX(0,Time!Y$4-Inputs!$F$98)</f>
        <v>0.970416381744224</v>
      </c>
      <c r="Z68" s="14" t="n">
        <f aca="false">(1-Inputs!$F$97/100)^MAX(0,Time!Z$4-Inputs!$F$98)</f>
        <v>0.968475548980735</v>
      </c>
      <c r="AA68" s="14" t="n">
        <f aca="false">(1-Inputs!$F$97/100)^MAX(0,Time!AA$4-Inputs!$F$98)</f>
        <v>0.966538597882774</v>
      </c>
      <c r="AB68" s="14" t="n">
        <f aca="false">(1-Inputs!$F$97/100)^MAX(0,Time!AB$4-Inputs!$F$98)</f>
        <v>0.964605520687008</v>
      </c>
      <c r="AC68" s="14" t="n">
        <f aca="false">(1-Inputs!$F$97/100)^MAX(0,Time!AC$4-Inputs!$F$98)</f>
        <v>0.962676309645634</v>
      </c>
      <c r="AD68" s="14" t="n">
        <f aca="false">(1-Inputs!$F$97/100)^MAX(0,Time!AD$4-Inputs!$F$98)</f>
        <v>0.960750957026343</v>
      </c>
      <c r="AE68" s="14" t="n">
        <f aca="false">(1-Inputs!$F$97/100)^MAX(0,Time!AE$4-Inputs!$F$98)</f>
        <v>0.95882945511229</v>
      </c>
      <c r="AF68" s="14" t="n">
        <f aca="false">(1-Inputs!$F$97/100)^MAX(0,Time!AF$4-Inputs!$F$98)</f>
        <v>0.956911796202066</v>
      </c>
      <c r="AG68" s="14" t="n">
        <f aca="false">(1-Inputs!$F$97/100)^MAX(0,Time!AG$4-Inputs!$F$98)</f>
        <v>0.954997972609661</v>
      </c>
      <c r="AH68" s="14" t="n">
        <f aca="false">(1-Inputs!$F$97/100)^MAX(0,Time!AH$4-Inputs!$F$98)</f>
        <v>0.953087976664442</v>
      </c>
      <c r="AI68" s="14" t="n">
        <f aca="false">(1-Inputs!$F$97/100)^MAX(0,Time!AI$4-Inputs!$F$98)</f>
        <v>0.951181800711113</v>
      </c>
      <c r="AJ68" s="14" t="n">
        <f aca="false">(1-Inputs!$F$97/100)^MAX(0,Time!AJ$4-Inputs!$F$98)</f>
        <v>0.949279437109691</v>
      </c>
      <c r="AK68" s="14" t="n">
        <f aca="false">(1-Inputs!$F$97/100)^MAX(0,Time!AK$4-Inputs!$F$98)</f>
        <v>0.947380878235472</v>
      </c>
      <c r="AL68" s="14" t="n">
        <f aca="false">(1-Inputs!$F$97/100)^MAX(0,Time!AL$4-Inputs!$F$98)</f>
        <v>0.945486116479001</v>
      </c>
      <c r="AM68" s="14" t="n">
        <f aca="false">(1-Inputs!$F$97/100)^MAX(0,Time!AM$4-Inputs!$F$98)</f>
        <v>0.943595144246043</v>
      </c>
      <c r="AN68" s="14" t="n">
        <f aca="false">(1-Inputs!$F$97/100)^MAX(0,Time!AN$4-Inputs!$F$98)</f>
        <v>0.941707953957551</v>
      </c>
      <c r="AO68" s="14" t="n">
        <f aca="false">(1-Inputs!$F$97/100)^MAX(0,Time!AO$4-Inputs!$F$98)</f>
        <v>0.939824538049635</v>
      </c>
      <c r="AP68" s="14" t="n">
        <f aca="false">(1-Inputs!$F$97/100)^MAX(0,Time!AP$4-Inputs!$F$98)</f>
        <v>0.937944888973536</v>
      </c>
      <c r="AQ68" s="14" t="n">
        <f aca="false">(1-Inputs!$F$97/100)^MAX(0,Time!AQ$4-Inputs!$F$98)</f>
        <v>0.936068999195589</v>
      </c>
      <c r="AR68" s="14" t="n">
        <f aca="false">(1-Inputs!$F$97/100)^MAX(0,Time!AR$4-Inputs!$F$98)</f>
        <v>0.934196861197198</v>
      </c>
      <c r="AS68" s="14" t="n">
        <f aca="false">(1-Inputs!$F$97/100)^MAX(0,Time!AS$4-Inputs!$F$98)</f>
        <v>0.932328467474804</v>
      </c>
      <c r="AT68" s="14" t="n">
        <f aca="false">(1-Inputs!$F$97/100)^MAX(0,Time!AT$4-Inputs!$F$98)</f>
        <v>0.930463810539854</v>
      </c>
      <c r="AU68" s="14" t="n">
        <f aca="false">(1-Inputs!$F$97/100)^MAX(0,Time!AU$4-Inputs!$F$98)</f>
        <v>0.928602882918774</v>
      </c>
    </row>
    <row r="69" customFormat="false" ht="15" hidden="false" customHeight="false" outlineLevel="0" collapsed="false">
      <c r="D69" s="0" t="s">
        <v>464</v>
      </c>
      <c r="E69" s="0" t="s">
        <v>458</v>
      </c>
      <c r="J69" s="14" t="n">
        <f aca="false">(IF(Time!J$4&gt;=Inputs!$F$61,Inputs!$F$63,Inputs!$F$62+(Inputs!$F$63-Inputs!$F$62)*(Time!J$4-Inputs!$F$23)/(Inputs!$F$61-Inputs!$F$23))+Operations!$F$49)/100</f>
        <v>0.045</v>
      </c>
      <c r="K69" s="14" t="n">
        <f aca="false">(IF(Time!K$4&gt;=Inputs!$F$61,Inputs!$F$63,Inputs!$F$62+(Inputs!$F$63-Inputs!$F$62)*(Time!K$4-Inputs!$F$23)/(Inputs!$F$61-Inputs!$F$23))+Operations!$F$49)/100</f>
        <v>0.05</v>
      </c>
      <c r="L69" s="14" t="n">
        <f aca="false">(IF(Time!L$4&gt;=Inputs!$F$61,Inputs!$F$63,Inputs!$F$62+(Inputs!$F$63-Inputs!$F$62)*(Time!L$4-Inputs!$F$23)/(Inputs!$F$61-Inputs!$F$23))+Operations!$F$49)/100</f>
        <v>0.055</v>
      </c>
      <c r="M69" s="14" t="n">
        <f aca="false">(IF(Time!M$4&gt;=Inputs!$F$61,Inputs!$F$63,Inputs!$F$62+(Inputs!$F$63-Inputs!$F$62)*(Time!M$4-Inputs!$F$23)/(Inputs!$F$61-Inputs!$F$23))+Operations!$F$49)/100</f>
        <v>0.06</v>
      </c>
      <c r="N69" s="14" t="n">
        <f aca="false">(IF(Time!N$4&gt;=Inputs!$F$61,Inputs!$F$63,Inputs!$F$62+(Inputs!$F$63-Inputs!$F$62)*(Time!N$4-Inputs!$F$23)/(Inputs!$F$61-Inputs!$F$23))+Operations!$F$49)/100</f>
        <v>0.06</v>
      </c>
      <c r="O69" s="14" t="n">
        <f aca="false">(IF(Time!O$4&gt;=Inputs!$F$61,Inputs!$F$63,Inputs!$F$62+(Inputs!$F$63-Inputs!$F$62)*(Time!O$4-Inputs!$F$23)/(Inputs!$F$61-Inputs!$F$23))+Operations!$F$49)/100</f>
        <v>0.06</v>
      </c>
      <c r="P69" s="14" t="n">
        <f aca="false">(IF(Time!P$4&gt;=Inputs!$F$61,Inputs!$F$63,Inputs!$F$62+(Inputs!$F$63-Inputs!$F$62)*(Time!P$4-Inputs!$F$23)/(Inputs!$F$61-Inputs!$F$23))+Operations!$F$49)/100</f>
        <v>0.06</v>
      </c>
      <c r="Q69" s="14" t="n">
        <f aca="false">(IF(Time!Q$4&gt;=Inputs!$F$61,Inputs!$F$63,Inputs!$F$62+(Inputs!$F$63-Inputs!$F$62)*(Time!Q$4-Inputs!$F$23)/(Inputs!$F$61-Inputs!$F$23))+Operations!$F$49)/100</f>
        <v>0.06</v>
      </c>
      <c r="R69" s="14" t="n">
        <f aca="false">(IF(Time!R$4&gt;=Inputs!$F$61,Inputs!$F$63,Inputs!$F$62+(Inputs!$F$63-Inputs!$F$62)*(Time!R$4-Inputs!$F$23)/(Inputs!$F$61-Inputs!$F$23))+Operations!$F$49)/100</f>
        <v>0.06</v>
      </c>
      <c r="S69" s="14" t="n">
        <f aca="false">(IF(Time!S$4&gt;=Inputs!$F$61,Inputs!$F$63,Inputs!$F$62+(Inputs!$F$63-Inputs!$F$62)*(Time!S$4-Inputs!$F$23)/(Inputs!$F$61-Inputs!$F$23))+Operations!$F$49)/100</f>
        <v>0.06</v>
      </c>
      <c r="T69" s="14" t="n">
        <f aca="false">(IF(Time!T$4&gt;=Inputs!$F$61,Inputs!$F$63,Inputs!$F$62+(Inputs!$F$63-Inputs!$F$62)*(Time!T$4-Inputs!$F$23)/(Inputs!$F$61-Inputs!$F$23))+Operations!$F$49)/100</f>
        <v>0.06</v>
      </c>
      <c r="U69" s="14" t="n">
        <f aca="false">(IF(Time!U$4&gt;=Inputs!$F$61,Inputs!$F$63,Inputs!$F$62+(Inputs!$F$63-Inputs!$F$62)*(Time!U$4-Inputs!$F$23)/(Inputs!$F$61-Inputs!$F$23))+Operations!$F$49)/100</f>
        <v>0.06</v>
      </c>
      <c r="V69" s="14" t="n">
        <f aca="false">(IF(Time!V$4&gt;=Inputs!$F$61,Inputs!$F$63,Inputs!$F$62+(Inputs!$F$63-Inputs!$F$62)*(Time!V$4-Inputs!$F$23)/(Inputs!$F$61-Inputs!$F$23))+Operations!$F$49)/100</f>
        <v>0.06</v>
      </c>
      <c r="W69" s="14" t="n">
        <f aca="false">(IF(Time!W$4&gt;=Inputs!$F$61,Inputs!$F$63,Inputs!$F$62+(Inputs!$F$63-Inputs!$F$62)*(Time!W$4-Inputs!$F$23)/(Inputs!$F$61-Inputs!$F$23))+Operations!$F$49)/100</f>
        <v>0.06</v>
      </c>
      <c r="X69" s="14" t="n">
        <f aca="false">(IF(Time!X$4&gt;=Inputs!$F$61,Inputs!$F$63,Inputs!$F$62+(Inputs!$F$63-Inputs!$F$62)*(Time!X$4-Inputs!$F$23)/(Inputs!$F$61-Inputs!$F$23))+Operations!$F$49)/100</f>
        <v>0.06</v>
      </c>
      <c r="Y69" s="14" t="n">
        <f aca="false">(IF(Time!Y$4&gt;=Inputs!$F$61,Inputs!$F$63,Inputs!$F$62+(Inputs!$F$63-Inputs!$F$62)*(Time!Y$4-Inputs!$F$23)/(Inputs!$F$61-Inputs!$F$23))+Operations!$F$49)/100</f>
        <v>0.06</v>
      </c>
      <c r="Z69" s="14" t="n">
        <f aca="false">(IF(Time!Z$4&gt;=Inputs!$F$61,Inputs!$F$63,Inputs!$F$62+(Inputs!$F$63-Inputs!$F$62)*(Time!Z$4-Inputs!$F$23)/(Inputs!$F$61-Inputs!$F$23))+Operations!$F$49)/100</f>
        <v>0.06</v>
      </c>
      <c r="AA69" s="14" t="n">
        <f aca="false">(IF(Time!AA$4&gt;=Inputs!$F$61,Inputs!$F$63,Inputs!$F$62+(Inputs!$F$63-Inputs!$F$62)*(Time!AA$4-Inputs!$F$23)/(Inputs!$F$61-Inputs!$F$23))+Operations!$F$49)/100</f>
        <v>0.06</v>
      </c>
      <c r="AB69" s="14" t="n">
        <f aca="false">(IF(Time!AB$4&gt;=Inputs!$F$61,Inputs!$F$63,Inputs!$F$62+(Inputs!$F$63-Inputs!$F$62)*(Time!AB$4-Inputs!$F$23)/(Inputs!$F$61-Inputs!$F$23))+Operations!$F$49)/100</f>
        <v>0.06</v>
      </c>
      <c r="AC69" s="14" t="n">
        <f aca="false">(IF(Time!AC$4&gt;=Inputs!$F$61,Inputs!$F$63,Inputs!$F$62+(Inputs!$F$63-Inputs!$F$62)*(Time!AC$4-Inputs!$F$23)/(Inputs!$F$61-Inputs!$F$23))+Operations!$F$49)/100</f>
        <v>0.06</v>
      </c>
      <c r="AD69" s="14" t="n">
        <f aca="false">(IF(Time!AD$4&gt;=Inputs!$F$61,Inputs!$F$63,Inputs!$F$62+(Inputs!$F$63-Inputs!$F$62)*(Time!AD$4-Inputs!$F$23)/(Inputs!$F$61-Inputs!$F$23))+Operations!$F$49)/100</f>
        <v>0.06</v>
      </c>
      <c r="AE69" s="14" t="n">
        <f aca="false">(IF(Time!AE$4&gt;=Inputs!$F$61,Inputs!$F$63,Inputs!$F$62+(Inputs!$F$63-Inputs!$F$62)*(Time!AE$4-Inputs!$F$23)/(Inputs!$F$61-Inputs!$F$23))+Operations!$F$49)/100</f>
        <v>0.06</v>
      </c>
      <c r="AF69" s="14" t="n">
        <f aca="false">(IF(Time!AF$4&gt;=Inputs!$F$61,Inputs!$F$63,Inputs!$F$62+(Inputs!$F$63-Inputs!$F$62)*(Time!AF$4-Inputs!$F$23)/(Inputs!$F$61-Inputs!$F$23))+Operations!$F$49)/100</f>
        <v>0.06</v>
      </c>
      <c r="AG69" s="14" t="n">
        <f aca="false">(IF(Time!AG$4&gt;=Inputs!$F$61,Inputs!$F$63,Inputs!$F$62+(Inputs!$F$63-Inputs!$F$62)*(Time!AG$4-Inputs!$F$23)/(Inputs!$F$61-Inputs!$F$23))+Operations!$F$49)/100</f>
        <v>0.06</v>
      </c>
      <c r="AH69" s="14" t="n">
        <f aca="false">(IF(Time!AH$4&gt;=Inputs!$F$61,Inputs!$F$63,Inputs!$F$62+(Inputs!$F$63-Inputs!$F$62)*(Time!AH$4-Inputs!$F$23)/(Inputs!$F$61-Inputs!$F$23))+Operations!$F$49)/100</f>
        <v>0.06</v>
      </c>
      <c r="AI69" s="14" t="n">
        <f aca="false">(IF(Time!AI$4&gt;=Inputs!$F$61,Inputs!$F$63,Inputs!$F$62+(Inputs!$F$63-Inputs!$F$62)*(Time!AI$4-Inputs!$F$23)/(Inputs!$F$61-Inputs!$F$23))+Operations!$F$49)/100</f>
        <v>0.06</v>
      </c>
      <c r="AJ69" s="14" t="n">
        <f aca="false">(IF(Time!AJ$4&gt;=Inputs!$F$61,Inputs!$F$63,Inputs!$F$62+(Inputs!$F$63-Inputs!$F$62)*(Time!AJ$4-Inputs!$F$23)/(Inputs!$F$61-Inputs!$F$23))+Operations!$F$49)/100</f>
        <v>0.06</v>
      </c>
      <c r="AK69" s="14" t="n">
        <f aca="false">(IF(Time!AK$4&gt;=Inputs!$F$61,Inputs!$F$63,Inputs!$F$62+(Inputs!$F$63-Inputs!$F$62)*(Time!AK$4-Inputs!$F$23)/(Inputs!$F$61-Inputs!$F$23))+Operations!$F$49)/100</f>
        <v>0.06</v>
      </c>
      <c r="AL69" s="14" t="n">
        <f aca="false">(IF(Time!AL$4&gt;=Inputs!$F$61,Inputs!$F$63,Inputs!$F$62+(Inputs!$F$63-Inputs!$F$62)*(Time!AL$4-Inputs!$F$23)/(Inputs!$F$61-Inputs!$F$23))+Operations!$F$49)/100</f>
        <v>0.06</v>
      </c>
      <c r="AM69" s="14" t="n">
        <f aca="false">(IF(Time!AM$4&gt;=Inputs!$F$61,Inputs!$F$63,Inputs!$F$62+(Inputs!$F$63-Inputs!$F$62)*(Time!AM$4-Inputs!$F$23)/(Inputs!$F$61-Inputs!$F$23))+Operations!$F$49)/100</f>
        <v>0.06</v>
      </c>
      <c r="AN69" s="14" t="n">
        <f aca="false">(IF(Time!AN$4&gt;=Inputs!$F$61,Inputs!$F$63,Inputs!$F$62+(Inputs!$F$63-Inputs!$F$62)*(Time!AN$4-Inputs!$F$23)/(Inputs!$F$61-Inputs!$F$23))+Operations!$F$49)/100</f>
        <v>0.06</v>
      </c>
      <c r="AO69" s="14" t="n">
        <f aca="false">(IF(Time!AO$4&gt;=Inputs!$F$61,Inputs!$F$63,Inputs!$F$62+(Inputs!$F$63-Inputs!$F$62)*(Time!AO$4-Inputs!$F$23)/(Inputs!$F$61-Inputs!$F$23))+Operations!$F$49)/100</f>
        <v>0.06</v>
      </c>
      <c r="AP69" s="14" t="n">
        <f aca="false">(IF(Time!AP$4&gt;=Inputs!$F$61,Inputs!$F$63,Inputs!$F$62+(Inputs!$F$63-Inputs!$F$62)*(Time!AP$4-Inputs!$F$23)/(Inputs!$F$61-Inputs!$F$23))+Operations!$F$49)/100</f>
        <v>0.06</v>
      </c>
      <c r="AQ69" s="14" t="n">
        <f aca="false">(IF(Time!AQ$4&gt;=Inputs!$F$61,Inputs!$F$63,Inputs!$F$62+(Inputs!$F$63-Inputs!$F$62)*(Time!AQ$4-Inputs!$F$23)/(Inputs!$F$61-Inputs!$F$23))+Operations!$F$49)/100</f>
        <v>0.06</v>
      </c>
      <c r="AR69" s="14" t="n">
        <f aca="false">(IF(Time!AR$4&gt;=Inputs!$F$61,Inputs!$F$63,Inputs!$F$62+(Inputs!$F$63-Inputs!$F$62)*(Time!AR$4-Inputs!$F$23)/(Inputs!$F$61-Inputs!$F$23))+Operations!$F$49)/100</f>
        <v>0.06</v>
      </c>
      <c r="AS69" s="14" t="n">
        <f aca="false">(IF(Time!AS$4&gt;=Inputs!$F$61,Inputs!$F$63,Inputs!$F$62+(Inputs!$F$63-Inputs!$F$62)*(Time!AS$4-Inputs!$F$23)/(Inputs!$F$61-Inputs!$F$23))+Operations!$F$49)/100</f>
        <v>0.06</v>
      </c>
      <c r="AT69" s="14" t="n">
        <f aca="false">(IF(Time!AT$4&gt;=Inputs!$F$61,Inputs!$F$63,Inputs!$F$62+(Inputs!$F$63-Inputs!$F$62)*(Time!AT$4-Inputs!$F$23)/(Inputs!$F$61-Inputs!$F$23))+Operations!$F$49)/100</f>
        <v>0.06</v>
      </c>
      <c r="AU69" s="14" t="n">
        <f aca="false">(IF(Time!AU$4&gt;=Inputs!$F$61,Inputs!$F$63,Inputs!$F$62+(Inputs!$F$63-Inputs!$F$62)*(Time!AU$4-Inputs!$F$23)/(Inputs!$F$61-Inputs!$F$23))+Operations!$F$49)/100</f>
        <v>0.06</v>
      </c>
    </row>
    <row r="70" customFormat="false" ht="15" hidden="false" customHeight="false" outlineLevel="0" collapsed="false">
      <c r="D70" s="0" t="s">
        <v>465</v>
      </c>
      <c r="E70" s="0" t="s">
        <v>466</v>
      </c>
      <c r="J70" s="20" t="n">
        <f aca="false">Inputs!$F$94*Operations!J67*Inputs!$F$192/100*Operations!J68*(1-Operations!J69)</f>
        <v>664.489</v>
      </c>
      <c r="K70" s="20" t="n">
        <f aca="false">Inputs!$F$94*Operations!K67*Inputs!$F$192/100*Operations!K68*(1-Operations!K69)</f>
        <v>659.68798</v>
      </c>
      <c r="L70" s="20" t="n">
        <f aca="false">Inputs!$F$94*Operations!L67*Inputs!$F$192/100*Operations!L68*(1-Operations!L69)</f>
        <v>654.903506124</v>
      </c>
      <c r="M70" s="20" t="n">
        <f aca="false">Inputs!$F$94*Operations!M67*Inputs!$F$192/100*Operations!M68*(1-Operations!M69)</f>
        <v>650.135531391584</v>
      </c>
      <c r="N70" s="20" t="n">
        <f aca="false">Inputs!$F$94*Operations!N67*Inputs!$F$192/100*Operations!N68*(1-Operations!N69)</f>
        <v>648.835260328801</v>
      </c>
      <c r="O70" s="20" t="n">
        <f aca="false">Inputs!$F$94*Operations!O67*Inputs!$F$192/100*Operations!O68*(1-Operations!O69)</f>
        <v>647.537589808143</v>
      </c>
      <c r="P70" s="20" t="n">
        <f aca="false">Inputs!$F$94*Operations!P67*Inputs!$F$192/100*Operations!P68*(1-Operations!P69)</f>
        <v>646.242514628527</v>
      </c>
      <c r="Q70" s="20" t="n">
        <f aca="false">Inputs!$F$94*Operations!Q67*Inputs!$F$192/100*Operations!Q68*(1-Operations!Q69)</f>
        <v>644.95002959927</v>
      </c>
      <c r="R70" s="20" t="n">
        <f aca="false">Inputs!$F$94*Operations!R67*Inputs!$F$192/100*Operations!R68*(1-Operations!R69)</f>
        <v>643.660129540071</v>
      </c>
      <c r="S70" s="20" t="n">
        <f aca="false">Inputs!$F$94*Operations!S67*Inputs!$F$192/100*Operations!S68*(1-Operations!S69)</f>
        <v>642.372809280991</v>
      </c>
      <c r="T70" s="20" t="n">
        <f aca="false">Inputs!$F$94*Operations!T67*Inputs!$F$192/100*Operations!T68*(1-Operations!T69)</f>
        <v>641.088063662429</v>
      </c>
      <c r="U70" s="20" t="n">
        <f aca="false">Inputs!$F$94*Operations!U67*Inputs!$F$192/100*Operations!U68*(1-Operations!U69)</f>
        <v>639.805887535104</v>
      </c>
      <c r="V70" s="20" t="n">
        <f aca="false">Inputs!$F$94*Operations!V67*Inputs!$F$192/100*Operations!V68*(1-Operations!V69)</f>
        <v>638.526275760034</v>
      </c>
      <c r="W70" s="20" t="n">
        <f aca="false">Inputs!$F$94*Operations!W67*Inputs!$F$192/100*Operations!W68*(1-Operations!W69)</f>
        <v>637.249223208514</v>
      </c>
      <c r="X70" s="20" t="n">
        <f aca="false">Inputs!$F$94*Operations!X67*Inputs!$F$192/100*Operations!X68*(1-Operations!X69)</f>
        <v>635.974724762097</v>
      </c>
      <c r="Y70" s="20" t="n">
        <f aca="false">Inputs!$F$94*Operations!Y67*Inputs!$F$192/100*Operations!Y68*(1-Operations!Y69)</f>
        <v>634.702775312573</v>
      </c>
      <c r="Z70" s="20" t="n">
        <f aca="false">Inputs!$F$94*Operations!Z67*Inputs!$F$192/100*Operations!Z68*(1-Operations!Z69)</f>
        <v>633.433369761948</v>
      </c>
      <c r="AA70" s="20" t="n">
        <f aca="false">Inputs!$F$94*Operations!AA67*Inputs!$F$192/100*Operations!AA68*(1-Operations!AA69)</f>
        <v>632.166503022424</v>
      </c>
      <c r="AB70" s="20" t="n">
        <f aca="false">Inputs!$F$94*Operations!AB67*Inputs!$F$192/100*Operations!AB68*(1-Operations!AB69)</f>
        <v>630.902170016379</v>
      </c>
      <c r="AC70" s="20" t="n">
        <f aca="false">Inputs!$F$94*Operations!AC67*Inputs!$F$192/100*Operations!AC68*(1-Operations!AC69)</f>
        <v>629.640365676346</v>
      </c>
      <c r="AD70" s="20" t="n">
        <f aca="false">Inputs!$F$94*Operations!AD67*Inputs!$F$192/100*Operations!AD68*(1-Operations!AD69)</f>
        <v>628.381084944993</v>
      </c>
      <c r="AE70" s="20" t="n">
        <f aca="false">Inputs!$F$94*Operations!AE67*Inputs!$F$192/100*Operations!AE68*(1-Operations!AE69)</f>
        <v>627.124322775104</v>
      </c>
      <c r="AF70" s="20" t="n">
        <f aca="false">Inputs!$F$94*Operations!AF67*Inputs!$F$192/100*Operations!AF68*(1-Operations!AF69)</f>
        <v>625.870074129553</v>
      </c>
      <c r="AG70" s="20" t="n">
        <f aca="false">Inputs!$F$94*Operations!AG67*Inputs!$F$192/100*Operations!AG68*(1-Operations!AG69)</f>
        <v>624.618333981294</v>
      </c>
      <c r="AH70" s="20" t="n">
        <f aca="false">Inputs!$F$94*Operations!AH67*Inputs!$F$192/100*Operations!AH68*(1-Operations!AH69)</f>
        <v>623.369097313332</v>
      </c>
      <c r="AI70" s="20" t="n">
        <f aca="false">Inputs!$F$94*Operations!AI67*Inputs!$F$192/100*Operations!AI68*(1-Operations!AI69)</f>
        <v>622.122359118705</v>
      </c>
      <c r="AJ70" s="20" t="n">
        <f aca="false">Inputs!$F$94*Operations!AJ67*Inputs!$F$192/100*Operations!AJ68*(1-Operations!AJ69)</f>
        <v>620.878114400467</v>
      </c>
      <c r="AK70" s="20" t="n">
        <f aca="false">Inputs!$F$94*Operations!AK67*Inputs!$F$192/100*Operations!AK68*(1-Operations!AK69)</f>
        <v>619.636358171666</v>
      </c>
      <c r="AL70" s="20" t="n">
        <f aca="false">Inputs!$F$94*Operations!AL67*Inputs!$F$192/100*Operations!AL68*(1-Operations!AL69)</f>
        <v>618.397085455323</v>
      </c>
      <c r="AM70" s="20" t="n">
        <f aca="false">Inputs!$F$94*Operations!AM67*Inputs!$F$192/100*Operations!AM68*(1-Operations!AM69)</f>
        <v>617.160291284412</v>
      </c>
      <c r="AN70" s="20" t="n">
        <f aca="false">Inputs!$F$94*Operations!AN67*Inputs!$F$192/100*Operations!AN68*(1-Operations!AN69)</f>
        <v>615.925970701844</v>
      </c>
      <c r="AO70" s="20" t="n">
        <f aca="false">Inputs!$F$94*Operations!AO67*Inputs!$F$192/100*Operations!AO68*(1-Operations!AO69)</f>
        <v>614.69411876044</v>
      </c>
      <c r="AP70" s="20" t="n">
        <f aca="false">Inputs!$F$94*Operations!AP67*Inputs!$F$192/100*Operations!AP68*(1-Operations!AP69)</f>
        <v>613.464730522919</v>
      </c>
      <c r="AQ70" s="20" t="n">
        <f aca="false">Inputs!$F$94*Operations!AQ67*Inputs!$F$192/100*Operations!AQ68*(1-Operations!AQ69)</f>
        <v>612.237801061873</v>
      </c>
      <c r="AR70" s="20" t="n">
        <f aca="false">Inputs!$F$94*Operations!AR67*Inputs!$F$192/100*Operations!AR68*(1-Operations!AR69)</f>
        <v>611.01332545975</v>
      </c>
      <c r="AS70" s="20" t="n">
        <f aca="false">Inputs!$F$94*Operations!AS67*Inputs!$F$192/100*Operations!AS68*(1-Operations!AS69)</f>
        <v>609.79129880883</v>
      </c>
      <c r="AT70" s="20" t="n">
        <f aca="false">Inputs!$F$94*Operations!AT67*Inputs!$F$192/100*Operations!AT68*(1-Operations!AT69)</f>
        <v>608.571716211212</v>
      </c>
      <c r="AU70" s="20" t="n">
        <f aca="false">Inputs!$F$94*Operations!AU67*Inputs!$F$192/100*Operations!AU68*(1-Operations!AU69)</f>
        <v>607.35457277879</v>
      </c>
    </row>
    <row r="71" customFormat="false" ht="15" hidden="false" customHeight="false" outlineLevel="0" collapsed="false">
      <c r="D71" s="0" t="s">
        <v>467</v>
      </c>
      <c r="E71" s="0" t="s">
        <v>466</v>
      </c>
      <c r="G71" s="20" t="n">
        <f aca="false">SUM(J71:AU71)</f>
        <v>14737.6791912689</v>
      </c>
      <c r="J71" s="20" t="n">
        <f aca="false">Operations!J70*Operations!J63</f>
        <v>664.489</v>
      </c>
      <c r="K71" s="20" t="n">
        <f aca="false">Operations!K70*Operations!K63</f>
        <v>659.68798</v>
      </c>
      <c r="L71" s="20" t="n">
        <f aca="false">Operations!L70*Operations!L63</f>
        <v>654.903506124</v>
      </c>
      <c r="M71" s="20" t="n">
        <f aca="false">Operations!M70*Operations!M63</f>
        <v>650.135531391584</v>
      </c>
      <c r="N71" s="20" t="n">
        <f aca="false">Operations!N70*Operations!N63</f>
        <v>648.835260328801</v>
      </c>
      <c r="O71" s="20" t="n">
        <f aca="false">Operations!O70*Operations!O63</f>
        <v>647.537589808143</v>
      </c>
      <c r="P71" s="20" t="n">
        <f aca="false">Operations!P70*Operations!P63</f>
        <v>646.242514628527</v>
      </c>
      <c r="Q71" s="20" t="n">
        <f aca="false">Operations!Q70*Operations!Q63</f>
        <v>644.95002959927</v>
      </c>
      <c r="R71" s="20" t="n">
        <f aca="false">Operations!R70*Operations!R63</f>
        <v>643.660129540071</v>
      </c>
      <c r="S71" s="20" t="n">
        <f aca="false">Operations!S70*Operations!S63</f>
        <v>642.372809280991</v>
      </c>
      <c r="T71" s="20" t="n">
        <f aca="false">Operations!T70*Operations!T63</f>
        <v>641.088063662429</v>
      </c>
      <c r="U71" s="20" t="n">
        <f aca="false">Operations!U70*Operations!U63</f>
        <v>639.805887535104</v>
      </c>
      <c r="V71" s="20" t="n">
        <f aca="false">Operations!V70*Operations!V63</f>
        <v>638.526275760034</v>
      </c>
      <c r="W71" s="20" t="n">
        <f aca="false">Operations!W70*Operations!W63</f>
        <v>637.249223208514</v>
      </c>
      <c r="X71" s="20" t="n">
        <f aca="false">Operations!X70*Operations!X63</f>
        <v>635.974724762097</v>
      </c>
      <c r="Y71" s="20" t="n">
        <f aca="false">Operations!Y70*Operations!Y63</f>
        <v>634.702775312573</v>
      </c>
      <c r="Z71" s="20" t="n">
        <f aca="false">Operations!Z70*Operations!Z63</f>
        <v>633.433369761948</v>
      </c>
      <c r="AA71" s="20" t="n">
        <f aca="false">Operations!AA70*Operations!AA63</f>
        <v>632.166503022424</v>
      </c>
      <c r="AB71" s="20" t="n">
        <f aca="false">Operations!AB70*Operations!AB63</f>
        <v>630.902170016379</v>
      </c>
      <c r="AC71" s="20" t="n">
        <f aca="false">Operations!AC70*Operations!AC63</f>
        <v>629.640365676346</v>
      </c>
      <c r="AD71" s="20" t="n">
        <f aca="false">Operations!AD70*Operations!AD63</f>
        <v>628.381084944993</v>
      </c>
      <c r="AE71" s="20" t="n">
        <f aca="false">Operations!AE70*Operations!AE63</f>
        <v>627.124322775104</v>
      </c>
      <c r="AF71" s="20" t="n">
        <f aca="false">Operations!AF70*Operations!AF63</f>
        <v>625.870074129553</v>
      </c>
      <c r="AG71" s="20" t="n">
        <f aca="false">Operations!AG70*Operations!AG63</f>
        <v>0</v>
      </c>
      <c r="AH71" s="20" t="n">
        <f aca="false">Operations!AH70*Operations!AH63</f>
        <v>0</v>
      </c>
      <c r="AI71" s="20" t="n">
        <f aca="false">Operations!AI70*Operations!AI63</f>
        <v>0</v>
      </c>
      <c r="AJ71" s="20" t="n">
        <f aca="false">Operations!AJ70*Operations!AJ63</f>
        <v>0</v>
      </c>
      <c r="AK71" s="20" t="n">
        <f aca="false">Operations!AK70*Operations!AK63</f>
        <v>0</v>
      </c>
      <c r="AL71" s="20" t="n">
        <f aca="false">Operations!AL70*Operations!AL63</f>
        <v>0</v>
      </c>
      <c r="AM71" s="20" t="n">
        <f aca="false">Operations!AM70*Operations!AM63</f>
        <v>0</v>
      </c>
      <c r="AN71" s="20" t="n">
        <f aca="false">Operations!AN70*Operations!AN63</f>
        <v>0</v>
      </c>
      <c r="AO71" s="20" t="n">
        <f aca="false">Operations!AO70*Operations!AO63</f>
        <v>0</v>
      </c>
      <c r="AP71" s="20" t="n">
        <f aca="false">Operations!AP70*Operations!AP63</f>
        <v>0</v>
      </c>
      <c r="AQ71" s="20" t="n">
        <f aca="false">Operations!AQ70*Operations!AQ63</f>
        <v>0</v>
      </c>
      <c r="AR71" s="20" t="n">
        <f aca="false">Operations!AR70*Operations!AR63</f>
        <v>0</v>
      </c>
      <c r="AS71" s="20" t="n">
        <f aca="false">Operations!AS70*Operations!AS63</f>
        <v>0</v>
      </c>
      <c r="AT71" s="20" t="n">
        <f aca="false">Operations!AT70*Operations!AT63</f>
        <v>0</v>
      </c>
      <c r="AU71" s="20" t="n">
        <f aca="false">Operations!AU70*Operations!AU63</f>
        <v>0</v>
      </c>
    </row>
    <row r="72" customFormat="false" ht="15" hidden="false" customHeight="false" outlineLevel="0" collapsed="false">
      <c r="D72" s="0" t="s">
        <v>468</v>
      </c>
      <c r="E72" s="0" t="s">
        <v>54</v>
      </c>
      <c r="J72" s="14" t="n">
        <f aca="false">Operations!J57</f>
        <v>0.74</v>
      </c>
      <c r="K72" s="14" t="n">
        <f aca="false">Operations!K57</f>
        <v>0.734</v>
      </c>
      <c r="L72" s="14" t="n">
        <f aca="false">Operations!L57</f>
        <v>0.728</v>
      </c>
      <c r="M72" s="14" t="n">
        <f aca="false">Operations!M57</f>
        <v>0.722</v>
      </c>
      <c r="N72" s="14" t="n">
        <f aca="false">Operations!N57</f>
        <v>0.716</v>
      </c>
      <c r="O72" s="14" t="n">
        <f aca="false">Operations!O57</f>
        <v>0.71</v>
      </c>
      <c r="P72" s="14" t="n">
        <f aca="false">Operations!P57</f>
        <v>0.704</v>
      </c>
      <c r="Q72" s="14" t="n">
        <f aca="false">Operations!Q57</f>
        <v>0.698</v>
      </c>
      <c r="R72" s="14" t="n">
        <f aca="false">Operations!R57</f>
        <v>0.692</v>
      </c>
      <c r="S72" s="14" t="n">
        <f aca="false">Operations!S57</f>
        <v>0.686</v>
      </c>
      <c r="T72" s="14" t="n">
        <f aca="false">Operations!T57</f>
        <v>0.68</v>
      </c>
      <c r="U72" s="14" t="n">
        <f aca="false">Operations!U57</f>
        <v>0.674</v>
      </c>
      <c r="V72" s="14" t="n">
        <f aca="false">Operations!V57</f>
        <v>0.668</v>
      </c>
      <c r="W72" s="14" t="n">
        <f aca="false">Operations!W57</f>
        <v>0.662</v>
      </c>
      <c r="X72" s="14" t="n">
        <f aca="false">Operations!X57</f>
        <v>0.656</v>
      </c>
      <c r="Y72" s="14" t="n">
        <f aca="false">Operations!Y57</f>
        <v>0.65</v>
      </c>
      <c r="Z72" s="14" t="n">
        <f aca="false">Operations!Z57</f>
        <v>0.644</v>
      </c>
      <c r="AA72" s="14" t="n">
        <f aca="false">Operations!AA57</f>
        <v>0.638</v>
      </c>
      <c r="AB72" s="14" t="n">
        <f aca="false">Operations!AB57</f>
        <v>0.632</v>
      </c>
      <c r="AC72" s="14" t="n">
        <f aca="false">Operations!AC57</f>
        <v>0.626</v>
      </c>
      <c r="AD72" s="14" t="n">
        <f aca="false">Operations!AD57</f>
        <v>0.62</v>
      </c>
      <c r="AE72" s="14" t="n">
        <f aca="false">Operations!AE57</f>
        <v>0.62</v>
      </c>
      <c r="AF72" s="14" t="n">
        <f aca="false">Operations!AF57</f>
        <v>0.62</v>
      </c>
      <c r="AG72" s="14" t="n">
        <f aca="false">Operations!AG57</f>
        <v>0.62</v>
      </c>
      <c r="AH72" s="14" t="n">
        <f aca="false">Operations!AH57</f>
        <v>0.62</v>
      </c>
      <c r="AI72" s="14" t="n">
        <f aca="false">Operations!AI57</f>
        <v>0.62</v>
      </c>
      <c r="AJ72" s="14" t="n">
        <f aca="false">Operations!AJ57</f>
        <v>0.62</v>
      </c>
      <c r="AK72" s="14" t="n">
        <f aca="false">Operations!AK57</f>
        <v>0.62</v>
      </c>
      <c r="AL72" s="14" t="n">
        <f aca="false">Operations!AL57</f>
        <v>0.62</v>
      </c>
      <c r="AM72" s="14" t="n">
        <f aca="false">Operations!AM57</f>
        <v>0.62</v>
      </c>
      <c r="AN72" s="14" t="n">
        <f aca="false">Operations!AN57</f>
        <v>0.62</v>
      </c>
      <c r="AO72" s="14" t="n">
        <f aca="false">Operations!AO57</f>
        <v>0.62</v>
      </c>
      <c r="AP72" s="14" t="n">
        <f aca="false">Operations!AP57</f>
        <v>0.62</v>
      </c>
      <c r="AQ72" s="14" t="n">
        <f aca="false">Operations!AQ57</f>
        <v>0.62</v>
      </c>
      <c r="AR72" s="14" t="n">
        <f aca="false">Operations!AR57</f>
        <v>0.62</v>
      </c>
      <c r="AS72" s="14" t="n">
        <f aca="false">Operations!AS57</f>
        <v>0.62</v>
      </c>
      <c r="AT72" s="14" t="n">
        <f aca="false">Operations!AT57</f>
        <v>0.62</v>
      </c>
      <c r="AU72" s="14" t="n">
        <f aca="false">Operations!AU57</f>
        <v>0.62</v>
      </c>
    </row>
    <row r="73" customFormat="false" ht="15" hidden="false" customHeight="false" outlineLevel="0" collapsed="false">
      <c r="D73" s="0" t="s">
        <v>469</v>
      </c>
      <c r="E73" s="0" t="s">
        <v>54</v>
      </c>
      <c r="J73" s="14" t="n">
        <f aca="false">Operations!J72-Inputs!$F$44</f>
        <v>0.7</v>
      </c>
      <c r="K73" s="14" t="n">
        <f aca="false">Operations!K72-Inputs!$F$44</f>
        <v>0.694</v>
      </c>
      <c r="L73" s="14" t="n">
        <f aca="false">Operations!L72-Inputs!$F$44</f>
        <v>0.688</v>
      </c>
      <c r="M73" s="14" t="n">
        <f aca="false">Operations!M72-Inputs!$F$44</f>
        <v>0.682</v>
      </c>
      <c r="N73" s="14" t="n">
        <f aca="false">Operations!N72-Inputs!$F$44</f>
        <v>0.676</v>
      </c>
      <c r="O73" s="14" t="n">
        <f aca="false">Operations!O72-Inputs!$F$44</f>
        <v>0.67</v>
      </c>
      <c r="P73" s="14" t="n">
        <f aca="false">Operations!P72-Inputs!$F$44</f>
        <v>0.664</v>
      </c>
      <c r="Q73" s="14" t="n">
        <f aca="false">Operations!Q72-Inputs!$F$44</f>
        <v>0.658</v>
      </c>
      <c r="R73" s="14" t="n">
        <f aca="false">Operations!R72-Inputs!$F$44</f>
        <v>0.652</v>
      </c>
      <c r="S73" s="14" t="n">
        <f aca="false">Operations!S72-Inputs!$F$44</f>
        <v>0.646</v>
      </c>
      <c r="T73" s="14" t="n">
        <f aca="false">Operations!T72-Inputs!$F$44</f>
        <v>0.64</v>
      </c>
      <c r="U73" s="14" t="n">
        <f aca="false">Operations!U72-Inputs!$F$44</f>
        <v>0.634</v>
      </c>
      <c r="V73" s="14" t="n">
        <f aca="false">Operations!V72-Inputs!$F$44</f>
        <v>0.628</v>
      </c>
      <c r="W73" s="14" t="n">
        <f aca="false">Operations!W72-Inputs!$F$44</f>
        <v>0.622</v>
      </c>
      <c r="X73" s="14" t="n">
        <f aca="false">Operations!X72-Inputs!$F$44</f>
        <v>0.616</v>
      </c>
      <c r="Y73" s="14" t="n">
        <f aca="false">Operations!Y72-Inputs!$F$44</f>
        <v>0.61</v>
      </c>
      <c r="Z73" s="14" t="n">
        <f aca="false">Operations!Z72-Inputs!$F$44</f>
        <v>0.604</v>
      </c>
      <c r="AA73" s="14" t="n">
        <f aca="false">Operations!AA72-Inputs!$F$44</f>
        <v>0.598</v>
      </c>
      <c r="AB73" s="14" t="n">
        <f aca="false">Operations!AB72-Inputs!$F$44</f>
        <v>0.592</v>
      </c>
      <c r="AC73" s="14" t="n">
        <f aca="false">Operations!AC72-Inputs!$F$44</f>
        <v>0.586</v>
      </c>
      <c r="AD73" s="14" t="n">
        <f aca="false">Operations!AD72-Inputs!$F$44</f>
        <v>0.58</v>
      </c>
      <c r="AE73" s="14" t="n">
        <f aca="false">Operations!AE72-Inputs!$F$44</f>
        <v>0.58</v>
      </c>
      <c r="AF73" s="14" t="n">
        <f aca="false">Operations!AF72-Inputs!$F$44</f>
        <v>0.58</v>
      </c>
      <c r="AG73" s="14" t="n">
        <f aca="false">Operations!AG72-Inputs!$F$44</f>
        <v>0.58</v>
      </c>
      <c r="AH73" s="14" t="n">
        <f aca="false">Operations!AH72-Inputs!$F$44</f>
        <v>0.58</v>
      </c>
      <c r="AI73" s="14" t="n">
        <f aca="false">Operations!AI72-Inputs!$F$44</f>
        <v>0.58</v>
      </c>
      <c r="AJ73" s="14" t="n">
        <f aca="false">Operations!AJ72-Inputs!$F$44</f>
        <v>0.58</v>
      </c>
      <c r="AK73" s="14" t="n">
        <f aca="false">Operations!AK72-Inputs!$F$44</f>
        <v>0.58</v>
      </c>
      <c r="AL73" s="14" t="n">
        <f aca="false">Operations!AL72-Inputs!$F$44</f>
        <v>0.58</v>
      </c>
      <c r="AM73" s="14" t="n">
        <f aca="false">Operations!AM72-Inputs!$F$44</f>
        <v>0.58</v>
      </c>
      <c r="AN73" s="14" t="n">
        <f aca="false">Operations!AN72-Inputs!$F$44</f>
        <v>0.58</v>
      </c>
      <c r="AO73" s="14" t="n">
        <f aca="false">Operations!AO72-Inputs!$F$44</f>
        <v>0.58</v>
      </c>
      <c r="AP73" s="14" t="n">
        <f aca="false">Operations!AP72-Inputs!$F$44</f>
        <v>0.58</v>
      </c>
      <c r="AQ73" s="14" t="n">
        <f aca="false">Operations!AQ72-Inputs!$F$44</f>
        <v>0.58</v>
      </c>
      <c r="AR73" s="14" t="n">
        <f aca="false">Operations!AR72-Inputs!$F$44</f>
        <v>0.58</v>
      </c>
      <c r="AS73" s="14" t="n">
        <f aca="false">Operations!AS72-Inputs!$F$44</f>
        <v>0.58</v>
      </c>
      <c r="AT73" s="14" t="n">
        <f aca="false">Operations!AT72-Inputs!$F$44</f>
        <v>0.58</v>
      </c>
      <c r="AU73" s="14" t="n">
        <f aca="false">Operations!AU72-Inputs!$F$44</f>
        <v>0.58</v>
      </c>
    </row>
    <row r="74" customFormat="false" ht="15" hidden="false" customHeight="false" outlineLevel="0" collapsed="false">
      <c r="D74" s="0" t="s">
        <v>470</v>
      </c>
      <c r="E74" s="0" t="s">
        <v>96</v>
      </c>
      <c r="J74" s="18" t="n">
        <f aca="false">Operations!J66*Operations!J73</f>
        <v>50.54896</v>
      </c>
      <c r="K74" s="18" t="n">
        <f aca="false">Operations!K66*Operations!K73</f>
        <v>41.1136704</v>
      </c>
      <c r="L74" s="18" t="n">
        <f aca="false">Operations!L66*Operations!L73</f>
        <v>20.0461184</v>
      </c>
      <c r="M74" s="18" t="n">
        <f aca="false">Operations!M66*Operations!M73</f>
        <v>26.2750048</v>
      </c>
      <c r="N74" s="18" t="n">
        <f aca="false">Operations!N66*Operations!N73</f>
        <v>29.1848128</v>
      </c>
      <c r="O74" s="18" t="n">
        <f aca="false">Operations!O66*Operations!O73</f>
        <v>30.676888</v>
      </c>
      <c r="P74" s="18" t="n">
        <f aca="false">Operations!P66*Operations!P73</f>
        <v>31.5591232</v>
      </c>
      <c r="Q74" s="18" t="n">
        <f aca="false">Operations!Q66*Operations!Q73</f>
        <v>32.1019776</v>
      </c>
      <c r="R74" s="18" t="n">
        <f aca="false">Operations!R66*Operations!R73</f>
        <v>32.6928448</v>
      </c>
      <c r="S74" s="18" t="n">
        <f aca="false">Operations!S66*Operations!S73</f>
        <v>33.04233152</v>
      </c>
      <c r="T74" s="18" t="n">
        <f aca="false">Operations!T66*Operations!T73</f>
        <v>33.392128</v>
      </c>
      <c r="U74" s="18" t="n">
        <f aca="false">Operations!U66*Operations!U73</f>
        <v>33.74188576</v>
      </c>
      <c r="V74" s="18" t="n">
        <f aca="false">Operations!V66*Operations!V73</f>
        <v>34.09125632</v>
      </c>
      <c r="W74" s="18" t="n">
        <f aca="false">Operations!W66*Operations!W73</f>
        <v>34.4398912</v>
      </c>
      <c r="X74" s="18" t="n">
        <f aca="false">Operations!X66*Operations!X73</f>
        <v>34.78744192</v>
      </c>
      <c r="Y74" s="18" t="n">
        <f aca="false">Operations!Y66*Operations!Y73</f>
        <v>35.1394648</v>
      </c>
      <c r="Z74" s="18" t="n">
        <f aca="false">Operations!Z66*Operations!Z73</f>
        <v>35.4895904</v>
      </c>
      <c r="AA74" s="18" t="n">
        <f aca="false">Operations!AA66*Operations!AA73</f>
        <v>35.83747024</v>
      </c>
      <c r="AB74" s="18" t="n">
        <f aca="false">Operations!AB66*Operations!AB73</f>
        <v>36.1884864</v>
      </c>
      <c r="AC74" s="18" t="n">
        <f aca="false">Operations!AC66*Operations!AC73</f>
        <v>36.53644368</v>
      </c>
      <c r="AD74" s="18" t="n">
        <f aca="false">Operations!AD66*Operations!AD73</f>
        <v>36.886608</v>
      </c>
      <c r="AE74" s="18" t="n">
        <f aca="false">Operations!AE66*Operations!AE73</f>
        <v>37.6220944</v>
      </c>
      <c r="AF74" s="18" t="n">
        <f aca="false">Operations!AF66*Operations!AF73</f>
        <v>38.374424</v>
      </c>
      <c r="AG74" s="18" t="n">
        <f aca="false">Operations!AG66*Operations!AG73</f>
        <v>39.1435968</v>
      </c>
      <c r="AH74" s="18" t="n">
        <f aca="false">Operations!AH66*Operations!AH73</f>
        <v>39.9239984</v>
      </c>
      <c r="AI74" s="18" t="n">
        <f aca="false">Operations!AI66*Operations!AI73</f>
        <v>40.7212432</v>
      </c>
      <c r="AJ74" s="18" t="n">
        <f aca="false">Operations!AJ66*Operations!AJ73</f>
        <v>41.5353312</v>
      </c>
      <c r="AK74" s="18" t="n">
        <f aca="false">Operations!AK66*Operations!AK73</f>
        <v>42.3662624</v>
      </c>
      <c r="AL74" s="18" t="n">
        <f aca="false">Operations!AL66*Operations!AL73</f>
        <v>43.2140368</v>
      </c>
      <c r="AM74" s="18" t="n">
        <f aca="false">Operations!AM66*Operations!AM73</f>
        <v>44.0786544</v>
      </c>
      <c r="AN74" s="18" t="n">
        <f aca="false">Operations!AN66*Operations!AN73</f>
        <v>44.9601152</v>
      </c>
      <c r="AO74" s="18" t="n">
        <f aca="false">Operations!AO66*Operations!AO73</f>
        <v>45.8584192</v>
      </c>
      <c r="AP74" s="18" t="n">
        <f aca="false">Operations!AP66*Operations!AP73</f>
        <v>46.7735664</v>
      </c>
      <c r="AQ74" s="18" t="n">
        <f aca="false">Operations!AQ66*Operations!AQ73</f>
        <v>47.7111712</v>
      </c>
      <c r="AR74" s="18" t="n">
        <f aca="false">Operations!AR66*Operations!AR73</f>
        <v>48.6656192</v>
      </c>
      <c r="AS74" s="18" t="n">
        <f aca="false">Operations!AS66*Operations!AS73</f>
        <v>49.6369104</v>
      </c>
      <c r="AT74" s="18" t="n">
        <f aca="false">Operations!AT66*Operations!AT73</f>
        <v>50.6306592</v>
      </c>
      <c r="AU74" s="18" t="n">
        <f aca="false">Operations!AU66*Operations!AU73</f>
        <v>51.6412512</v>
      </c>
    </row>
    <row r="75" customFormat="false" ht="15" hidden="false" customHeight="false" outlineLevel="0" collapsed="false">
      <c r="D75" s="0" t="s">
        <v>471</v>
      </c>
      <c r="E75" s="0" t="s">
        <v>458</v>
      </c>
      <c r="J75" s="14" t="n">
        <f aca="false">MAX(0,MIN(Inputs!$F$200,Time!J$6)-MAX(Inputs!$F$199-1,Time!J$5))/Time!J$7</f>
        <v>0</v>
      </c>
      <c r="K75" s="14" t="n">
        <f aca="false">MAX(0,MIN(Inputs!$F$200,Time!K$6)-MAX(Inputs!$F$199-1,Time!K$5))/Time!K$7</f>
        <v>1</v>
      </c>
      <c r="L75" s="14" t="n">
        <f aca="false">MAX(0,MIN(Inputs!$F$200,Time!L$6)-MAX(Inputs!$F$199-1,Time!L$5))/Time!L$7</f>
        <v>1</v>
      </c>
      <c r="M75" s="14" t="n">
        <f aca="false">MAX(0,MIN(Inputs!$F$200,Time!M$6)-MAX(Inputs!$F$199-1,Time!M$5))/Time!M$7</f>
        <v>1</v>
      </c>
      <c r="N75" s="14" t="n">
        <f aca="false">MAX(0,MIN(Inputs!$F$200,Time!N$6)-MAX(Inputs!$F$199-1,Time!N$5))/Time!N$7</f>
        <v>1</v>
      </c>
      <c r="O75" s="14" t="n">
        <f aca="false">MAX(0,MIN(Inputs!$F$200,Time!O$6)-MAX(Inputs!$F$199-1,Time!O$5))/Time!O$7</f>
        <v>1</v>
      </c>
      <c r="P75" s="14" t="n">
        <f aca="false">MAX(0,MIN(Inputs!$F$200,Time!P$6)-MAX(Inputs!$F$199-1,Time!P$5))/Time!P$7</f>
        <v>0</v>
      </c>
      <c r="Q75" s="14" t="n">
        <f aca="false">MAX(0,MIN(Inputs!$F$200,Time!Q$6)-MAX(Inputs!$F$199-1,Time!Q$5))/Time!Q$7</f>
        <v>0</v>
      </c>
      <c r="R75" s="14" t="n">
        <f aca="false">MAX(0,MIN(Inputs!$F$200,Time!R$6)-MAX(Inputs!$F$199-1,Time!R$5))/Time!R$7</f>
        <v>0</v>
      </c>
      <c r="S75" s="14" t="n">
        <f aca="false">MAX(0,MIN(Inputs!$F$200,Time!S$6)-MAX(Inputs!$F$199-1,Time!S$5))/Time!S$7</f>
        <v>0</v>
      </c>
      <c r="T75" s="14" t="n">
        <f aca="false">MAX(0,MIN(Inputs!$F$200,Time!T$6)-MAX(Inputs!$F$199-1,Time!T$5))/Time!T$7</f>
        <v>0</v>
      </c>
      <c r="U75" s="14" t="n">
        <f aca="false">MAX(0,MIN(Inputs!$F$200,Time!U$6)-MAX(Inputs!$F$199-1,Time!U$5))/Time!U$7</f>
        <v>0</v>
      </c>
      <c r="V75" s="14" t="n">
        <f aca="false">MAX(0,MIN(Inputs!$F$200,Time!V$6)-MAX(Inputs!$F$199-1,Time!V$5))/Time!V$7</f>
        <v>0</v>
      </c>
      <c r="W75" s="14" t="n">
        <f aca="false">MAX(0,MIN(Inputs!$F$200,Time!W$6)-MAX(Inputs!$F$199-1,Time!W$5))/Time!W$7</f>
        <v>0</v>
      </c>
      <c r="X75" s="14" t="n">
        <f aca="false">MAX(0,MIN(Inputs!$F$200,Time!X$6)-MAX(Inputs!$F$199-1,Time!X$5))/Time!X$7</f>
        <v>0</v>
      </c>
      <c r="Y75" s="14" t="n">
        <f aca="false">MAX(0,MIN(Inputs!$F$200,Time!Y$6)-MAX(Inputs!$F$199-1,Time!Y$5))/Time!Y$7</f>
        <v>0</v>
      </c>
      <c r="Z75" s="14" t="n">
        <f aca="false">MAX(0,MIN(Inputs!$F$200,Time!Z$6)-MAX(Inputs!$F$199-1,Time!Z$5))/Time!Z$7</f>
        <v>0</v>
      </c>
      <c r="AA75" s="14" t="n">
        <f aca="false">MAX(0,MIN(Inputs!$F$200,Time!AA$6)-MAX(Inputs!$F$199-1,Time!AA$5))/Time!AA$7</f>
        <v>0</v>
      </c>
      <c r="AB75" s="14" t="n">
        <f aca="false">MAX(0,MIN(Inputs!$F$200,Time!AB$6)-MAX(Inputs!$F$199-1,Time!AB$5))/Time!AB$7</f>
        <v>0</v>
      </c>
      <c r="AC75" s="14" t="n">
        <f aca="false">MAX(0,MIN(Inputs!$F$200,Time!AC$6)-MAX(Inputs!$F$199-1,Time!AC$5))/Time!AC$7</f>
        <v>0</v>
      </c>
      <c r="AD75" s="14" t="n">
        <f aca="false">MAX(0,MIN(Inputs!$F$200,Time!AD$6)-MAX(Inputs!$F$199-1,Time!AD$5))/Time!AD$7</f>
        <v>0</v>
      </c>
      <c r="AE75" s="14" t="n">
        <f aca="false">MAX(0,MIN(Inputs!$F$200,Time!AE$6)-MAX(Inputs!$F$199-1,Time!AE$5))/Time!AE$7</f>
        <v>0</v>
      </c>
      <c r="AF75" s="14" t="n">
        <f aca="false">MAX(0,MIN(Inputs!$F$200,Time!AF$6)-MAX(Inputs!$F$199-1,Time!AF$5))/Time!AF$7</f>
        <v>0</v>
      </c>
      <c r="AG75" s="14" t="n">
        <f aca="false">MAX(0,MIN(Inputs!$F$200,Time!AG$6)-MAX(Inputs!$F$199-1,Time!AG$5))/Time!AG$7</f>
        <v>0</v>
      </c>
      <c r="AH75" s="14" t="n">
        <f aca="false">MAX(0,MIN(Inputs!$F$200,Time!AH$6)-MAX(Inputs!$F$199-1,Time!AH$5))/Time!AH$7</f>
        <v>0</v>
      </c>
      <c r="AI75" s="14" t="n">
        <f aca="false">MAX(0,MIN(Inputs!$F$200,Time!AI$6)-MAX(Inputs!$F$199-1,Time!AI$5))/Time!AI$7</f>
        <v>0</v>
      </c>
      <c r="AJ75" s="14" t="n">
        <f aca="false">MAX(0,MIN(Inputs!$F$200,Time!AJ$6)-MAX(Inputs!$F$199-1,Time!AJ$5))/Time!AJ$7</f>
        <v>0</v>
      </c>
      <c r="AK75" s="14" t="n">
        <f aca="false">MAX(0,MIN(Inputs!$F$200,Time!AK$6)-MAX(Inputs!$F$199-1,Time!AK$5))/Time!AK$7</f>
        <v>0</v>
      </c>
      <c r="AL75" s="14" t="n">
        <f aca="false">MAX(0,MIN(Inputs!$F$200,Time!AL$6)-MAX(Inputs!$F$199-1,Time!AL$5))/Time!AL$7</f>
        <v>0</v>
      </c>
      <c r="AM75" s="14" t="n">
        <f aca="false">MAX(0,MIN(Inputs!$F$200,Time!AM$6)-MAX(Inputs!$F$199-1,Time!AM$5))/Time!AM$7</f>
        <v>0</v>
      </c>
      <c r="AN75" s="14" t="n">
        <f aca="false">MAX(0,MIN(Inputs!$F$200,Time!AN$6)-MAX(Inputs!$F$199-1,Time!AN$5))/Time!AN$7</f>
        <v>0</v>
      </c>
      <c r="AO75" s="14" t="n">
        <f aca="false">MAX(0,MIN(Inputs!$F$200,Time!AO$6)-MAX(Inputs!$F$199-1,Time!AO$5))/Time!AO$7</f>
        <v>0</v>
      </c>
      <c r="AP75" s="14" t="n">
        <f aca="false">MAX(0,MIN(Inputs!$F$200,Time!AP$6)-MAX(Inputs!$F$199-1,Time!AP$5))/Time!AP$7</f>
        <v>0</v>
      </c>
      <c r="AQ75" s="14" t="n">
        <f aca="false">MAX(0,MIN(Inputs!$F$200,Time!AQ$6)-MAX(Inputs!$F$199-1,Time!AQ$5))/Time!AQ$7</f>
        <v>0</v>
      </c>
      <c r="AR75" s="14" t="n">
        <f aca="false">MAX(0,MIN(Inputs!$F$200,Time!AR$6)-MAX(Inputs!$F$199-1,Time!AR$5))/Time!AR$7</f>
        <v>0</v>
      </c>
      <c r="AS75" s="14" t="n">
        <f aca="false">MAX(0,MIN(Inputs!$F$200,Time!AS$6)-MAX(Inputs!$F$199-1,Time!AS$5))/Time!AS$7</f>
        <v>0</v>
      </c>
      <c r="AT75" s="14" t="n">
        <f aca="false">MAX(0,MIN(Inputs!$F$200,Time!AT$6)-MAX(Inputs!$F$199-1,Time!AT$5))/Time!AT$7</f>
        <v>0</v>
      </c>
      <c r="AU75" s="14" t="n">
        <f aca="false">MAX(0,MIN(Inputs!$F$200,Time!AU$6)-MAX(Inputs!$F$199-1,Time!AU$5))/Time!AU$7</f>
        <v>0</v>
      </c>
    </row>
    <row r="76" customFormat="false" ht="15" hidden="false" customHeight="false" outlineLevel="0" collapsed="false">
      <c r="D76" s="0" t="s">
        <v>472</v>
      </c>
      <c r="E76" s="0" t="s">
        <v>466</v>
      </c>
      <c r="J76" s="20" t="n">
        <f aca="false">Inputs!$F$197*Time!J$7*Inputs!$F$201/1000*Operations!J75</f>
        <v>0</v>
      </c>
      <c r="K76" s="20" t="n">
        <f aca="false">Inputs!$F$197*Time!K$7*Inputs!$F$201/1000*Operations!K75</f>
        <v>350.4</v>
      </c>
      <c r="L76" s="20" t="n">
        <f aca="false">Inputs!$F$197*Time!L$7*Inputs!$F$201/1000*Operations!L75</f>
        <v>351.36</v>
      </c>
      <c r="M76" s="20" t="n">
        <f aca="false">Inputs!$F$197*Time!M$7*Inputs!$F$201/1000*Operations!M75</f>
        <v>350.4</v>
      </c>
      <c r="N76" s="20" t="n">
        <f aca="false">Inputs!$F$197*Time!N$7*Inputs!$F$201/1000*Operations!N75</f>
        <v>350.4</v>
      </c>
      <c r="O76" s="20" t="n">
        <f aca="false">Inputs!$F$197*Time!O$7*Inputs!$F$201/1000*Operations!O75</f>
        <v>350.4</v>
      </c>
      <c r="P76" s="20" t="n">
        <f aca="false">Inputs!$F$197*Time!P$7*Inputs!$F$201/1000*Operations!P75</f>
        <v>0</v>
      </c>
      <c r="Q76" s="20" t="n">
        <f aca="false">Inputs!$F$197*Time!Q$7*Inputs!$F$201/1000*Operations!Q75</f>
        <v>0</v>
      </c>
      <c r="R76" s="20" t="n">
        <f aca="false">Inputs!$F$197*Time!R$7*Inputs!$F$201/1000*Operations!R75</f>
        <v>0</v>
      </c>
      <c r="S76" s="20" t="n">
        <f aca="false">Inputs!$F$197*Time!S$7*Inputs!$F$201/1000*Operations!S75</f>
        <v>0</v>
      </c>
      <c r="T76" s="20" t="n">
        <f aca="false">Inputs!$F$197*Time!T$7*Inputs!$F$201/1000*Operations!T75</f>
        <v>0</v>
      </c>
      <c r="U76" s="20" t="n">
        <f aca="false">Inputs!$F$197*Time!U$7*Inputs!$F$201/1000*Operations!U75</f>
        <v>0</v>
      </c>
      <c r="V76" s="20" t="n">
        <f aca="false">Inputs!$F$197*Time!V$7*Inputs!$F$201/1000*Operations!V75</f>
        <v>0</v>
      </c>
      <c r="W76" s="20" t="n">
        <f aca="false">Inputs!$F$197*Time!W$7*Inputs!$F$201/1000*Operations!W75</f>
        <v>0</v>
      </c>
      <c r="X76" s="20" t="n">
        <f aca="false">Inputs!$F$197*Time!X$7*Inputs!$F$201/1000*Operations!X75</f>
        <v>0</v>
      </c>
      <c r="Y76" s="20" t="n">
        <f aca="false">Inputs!$F$197*Time!Y$7*Inputs!$F$201/1000*Operations!Y75</f>
        <v>0</v>
      </c>
      <c r="Z76" s="20" t="n">
        <f aca="false">Inputs!$F$197*Time!Z$7*Inputs!$F$201/1000*Operations!Z75</f>
        <v>0</v>
      </c>
      <c r="AA76" s="20" t="n">
        <f aca="false">Inputs!$F$197*Time!AA$7*Inputs!$F$201/1000*Operations!AA75</f>
        <v>0</v>
      </c>
      <c r="AB76" s="20" t="n">
        <f aca="false">Inputs!$F$197*Time!AB$7*Inputs!$F$201/1000*Operations!AB75</f>
        <v>0</v>
      </c>
      <c r="AC76" s="20" t="n">
        <f aca="false">Inputs!$F$197*Time!AC$7*Inputs!$F$201/1000*Operations!AC75</f>
        <v>0</v>
      </c>
      <c r="AD76" s="20" t="n">
        <f aca="false">Inputs!$F$197*Time!AD$7*Inputs!$F$201/1000*Operations!AD75</f>
        <v>0</v>
      </c>
      <c r="AE76" s="20" t="n">
        <f aca="false">Inputs!$F$197*Time!AE$7*Inputs!$F$201/1000*Operations!AE75</f>
        <v>0</v>
      </c>
      <c r="AF76" s="20" t="n">
        <f aca="false">Inputs!$F$197*Time!AF$7*Inputs!$F$201/1000*Operations!AF75</f>
        <v>0</v>
      </c>
      <c r="AG76" s="20" t="n">
        <f aca="false">Inputs!$F$197*Time!AG$7*Inputs!$F$201/1000*Operations!AG75</f>
        <v>0</v>
      </c>
      <c r="AH76" s="20" t="n">
        <f aca="false">Inputs!$F$197*Time!AH$7*Inputs!$F$201/1000*Operations!AH75</f>
        <v>0</v>
      </c>
      <c r="AI76" s="20" t="n">
        <f aca="false">Inputs!$F$197*Time!AI$7*Inputs!$F$201/1000*Operations!AI75</f>
        <v>0</v>
      </c>
      <c r="AJ76" s="20" t="n">
        <f aca="false">Inputs!$F$197*Time!AJ$7*Inputs!$F$201/1000*Operations!AJ75</f>
        <v>0</v>
      </c>
      <c r="AK76" s="20" t="n">
        <f aca="false">Inputs!$F$197*Time!AK$7*Inputs!$F$201/1000*Operations!AK75</f>
        <v>0</v>
      </c>
      <c r="AL76" s="20" t="n">
        <f aca="false">Inputs!$F$197*Time!AL$7*Inputs!$F$201/1000*Operations!AL75</f>
        <v>0</v>
      </c>
      <c r="AM76" s="20" t="n">
        <f aca="false">Inputs!$F$197*Time!AM$7*Inputs!$F$201/1000*Operations!AM75</f>
        <v>0</v>
      </c>
      <c r="AN76" s="20" t="n">
        <f aca="false">Inputs!$F$197*Time!AN$7*Inputs!$F$201/1000*Operations!AN75</f>
        <v>0</v>
      </c>
      <c r="AO76" s="20" t="n">
        <f aca="false">Inputs!$F$197*Time!AO$7*Inputs!$F$201/1000*Operations!AO75</f>
        <v>0</v>
      </c>
      <c r="AP76" s="20" t="n">
        <f aca="false">Inputs!$F$197*Time!AP$7*Inputs!$F$201/1000*Operations!AP75</f>
        <v>0</v>
      </c>
      <c r="AQ76" s="20" t="n">
        <f aca="false">Inputs!$F$197*Time!AQ$7*Inputs!$F$201/1000*Operations!AQ75</f>
        <v>0</v>
      </c>
      <c r="AR76" s="20" t="n">
        <f aca="false">Inputs!$F$197*Time!AR$7*Inputs!$F$201/1000*Operations!AR75</f>
        <v>0</v>
      </c>
      <c r="AS76" s="20" t="n">
        <f aca="false">Inputs!$F$197*Time!AS$7*Inputs!$F$201/1000*Operations!AS75</f>
        <v>0</v>
      </c>
      <c r="AT76" s="20" t="n">
        <f aca="false">Inputs!$F$197*Time!AT$7*Inputs!$F$201/1000*Operations!AT75</f>
        <v>0</v>
      </c>
      <c r="AU76" s="20" t="n">
        <f aca="false">Inputs!$F$197*Time!AU$7*Inputs!$F$201/1000*Operations!AU75</f>
        <v>0</v>
      </c>
    </row>
    <row r="77" customFormat="false" ht="15" hidden="false" customHeight="false" outlineLevel="0" collapsed="false">
      <c r="D77" s="0" t="s">
        <v>473</v>
      </c>
      <c r="E77" s="0" t="s">
        <v>47</v>
      </c>
      <c r="G77" s="20" t="n">
        <f aca="false">SUM(J77:AU77)</f>
        <v>8.913603072</v>
      </c>
      <c r="J77" s="20" t="n">
        <f aca="false">Operations!J76*(Inputs!$F$198-Operations!J66)/1000</f>
        <v>-0</v>
      </c>
      <c r="K77" s="20" t="n">
        <f aca="false">Operations!K76*(Inputs!$F$198-Operations!K66)/1000</f>
        <v>-3.85145664</v>
      </c>
      <c r="L77" s="20" t="n">
        <f aca="false">Operations!L76*(Inputs!$F$198-Operations!L66)/1000</f>
        <v>6.715613952</v>
      </c>
      <c r="M77" s="20" t="n">
        <f aca="false">Operations!M76*(Inputs!$F$198-Operations!M66)/1000</f>
        <v>3.40714944</v>
      </c>
      <c r="N77" s="20" t="n">
        <f aca="false">Operations!N76*(Inputs!$F$198-Operations!N66)/1000</f>
        <v>1.77905088</v>
      </c>
      <c r="O77" s="20" t="n">
        <f aca="false">Operations!O76*(Inputs!$F$198-Operations!O66)/1000</f>
        <v>0.863245440000002</v>
      </c>
      <c r="P77" s="20" t="n">
        <f aca="false">Operations!P76*(Inputs!$F$198-Operations!P66)/1000</f>
        <v>0</v>
      </c>
      <c r="Q77" s="20" t="n">
        <f aca="false">Operations!Q76*(Inputs!$F$198-Operations!Q66)/1000</f>
        <v>-0</v>
      </c>
      <c r="R77" s="20" t="n">
        <f aca="false">Operations!R76*(Inputs!$F$198-Operations!R66)/1000</f>
        <v>-0</v>
      </c>
      <c r="S77" s="20" t="n">
        <f aca="false">Operations!S76*(Inputs!$F$198-Operations!S66)/1000</f>
        <v>-0</v>
      </c>
      <c r="T77" s="20" t="n">
        <f aca="false">Operations!T76*(Inputs!$F$198-Operations!T66)/1000</f>
        <v>-0</v>
      </c>
      <c r="U77" s="20" t="n">
        <f aca="false">Operations!U76*(Inputs!$F$198-Operations!U66)/1000</f>
        <v>-0</v>
      </c>
      <c r="V77" s="20" t="n">
        <f aca="false">Operations!V76*(Inputs!$F$198-Operations!V66)/1000</f>
        <v>-0</v>
      </c>
      <c r="W77" s="20" t="n">
        <f aca="false">Operations!W76*(Inputs!$F$198-Operations!W66)/1000</f>
        <v>-0</v>
      </c>
      <c r="X77" s="20" t="n">
        <f aca="false">Operations!X76*(Inputs!$F$198-Operations!X66)/1000</f>
        <v>-0</v>
      </c>
      <c r="Y77" s="20" t="n">
        <f aca="false">Operations!Y76*(Inputs!$F$198-Operations!Y66)/1000</f>
        <v>-0</v>
      </c>
      <c r="Z77" s="20" t="n">
        <f aca="false">Operations!Z76*(Inputs!$F$198-Operations!Z66)/1000</f>
        <v>-0</v>
      </c>
      <c r="AA77" s="20" t="n">
        <f aca="false">Operations!AA76*(Inputs!$F$198-Operations!AA66)/1000</f>
        <v>-0</v>
      </c>
      <c r="AB77" s="20" t="n">
        <f aca="false">Operations!AB76*(Inputs!$F$198-Operations!AB66)/1000</f>
        <v>-0</v>
      </c>
      <c r="AC77" s="20" t="n">
        <f aca="false">Operations!AC76*(Inputs!$F$198-Operations!AC66)/1000</f>
        <v>-0</v>
      </c>
      <c r="AD77" s="20" t="n">
        <f aca="false">Operations!AD76*(Inputs!$F$198-Operations!AD66)/1000</f>
        <v>-0</v>
      </c>
      <c r="AE77" s="20" t="n">
        <f aca="false">Operations!AE76*(Inputs!$F$198-Operations!AE66)/1000</f>
        <v>-0</v>
      </c>
      <c r="AF77" s="20" t="n">
        <f aca="false">Operations!AF76*(Inputs!$F$198-Operations!AF66)/1000</f>
        <v>-0</v>
      </c>
      <c r="AG77" s="20" t="n">
        <f aca="false">Operations!AG76*(Inputs!$F$198-Operations!AG66)/1000</f>
        <v>-0</v>
      </c>
      <c r="AH77" s="20" t="n">
        <f aca="false">Operations!AH76*(Inputs!$F$198-Operations!AH66)/1000</f>
        <v>-0</v>
      </c>
      <c r="AI77" s="20" t="n">
        <f aca="false">Operations!AI76*(Inputs!$F$198-Operations!AI66)/1000</f>
        <v>-0</v>
      </c>
      <c r="AJ77" s="20" t="n">
        <f aca="false">Operations!AJ76*(Inputs!$F$198-Operations!AJ66)/1000</f>
        <v>-0</v>
      </c>
      <c r="AK77" s="20" t="n">
        <f aca="false">Operations!AK76*(Inputs!$F$198-Operations!AK66)/1000</f>
        <v>-0</v>
      </c>
      <c r="AL77" s="20" t="n">
        <f aca="false">Operations!AL76*(Inputs!$F$198-Operations!AL66)/1000</f>
        <v>-0</v>
      </c>
      <c r="AM77" s="20" t="n">
        <f aca="false">Operations!AM76*(Inputs!$F$198-Operations!AM66)/1000</f>
        <v>-0</v>
      </c>
      <c r="AN77" s="20" t="n">
        <f aca="false">Operations!AN76*(Inputs!$F$198-Operations!AN66)/1000</f>
        <v>-0</v>
      </c>
      <c r="AO77" s="20" t="n">
        <f aca="false">Operations!AO76*(Inputs!$F$198-Operations!AO66)/1000</f>
        <v>-0</v>
      </c>
      <c r="AP77" s="20" t="n">
        <f aca="false">Operations!AP76*(Inputs!$F$198-Operations!AP66)/1000</f>
        <v>-0</v>
      </c>
      <c r="AQ77" s="20" t="n">
        <f aca="false">Operations!AQ76*(Inputs!$F$198-Operations!AQ66)/1000</f>
        <v>-0</v>
      </c>
      <c r="AR77" s="20" t="n">
        <f aca="false">Operations!AR76*(Inputs!$F$198-Operations!AR66)/1000</f>
        <v>-0</v>
      </c>
      <c r="AS77" s="20" t="n">
        <f aca="false">Operations!AS76*(Inputs!$F$198-Operations!AS66)/1000</f>
        <v>-0</v>
      </c>
      <c r="AT77" s="20" t="n">
        <f aca="false">Operations!AT76*(Inputs!$F$198-Operations!AT66)/1000</f>
        <v>-0</v>
      </c>
      <c r="AU77" s="20" t="n">
        <f aca="false">Operations!AU76*(Inputs!$F$198-Operations!AU66)/1000</f>
        <v>-0</v>
      </c>
    </row>
    <row r="78" customFormat="false" ht="15" hidden="false" customHeight="false" outlineLevel="0" collapsed="false">
      <c r="D78" s="0" t="s">
        <v>474</v>
      </c>
      <c r="E78" s="0" t="s">
        <v>466</v>
      </c>
      <c r="J78" s="20" t="n">
        <f aca="false">Operations!J71</f>
        <v>664.489</v>
      </c>
      <c r="K78" s="20" t="n">
        <f aca="false">Operations!K71</f>
        <v>659.68798</v>
      </c>
      <c r="L78" s="20" t="n">
        <f aca="false">Operations!L71</f>
        <v>654.903506124</v>
      </c>
      <c r="M78" s="20" t="n">
        <f aca="false">Operations!M71</f>
        <v>650.135531391584</v>
      </c>
      <c r="N78" s="20" t="n">
        <f aca="false">Operations!N71</f>
        <v>648.835260328801</v>
      </c>
      <c r="O78" s="20" t="n">
        <f aca="false">Operations!O71</f>
        <v>647.537589808143</v>
      </c>
      <c r="P78" s="20" t="n">
        <f aca="false">Operations!P71</f>
        <v>646.242514628527</v>
      </c>
      <c r="Q78" s="20" t="n">
        <f aca="false">Operations!Q71</f>
        <v>644.95002959927</v>
      </c>
      <c r="R78" s="20" t="n">
        <f aca="false">Operations!R71</f>
        <v>643.660129540071</v>
      </c>
      <c r="S78" s="20" t="n">
        <f aca="false">Operations!S71</f>
        <v>642.372809280991</v>
      </c>
      <c r="T78" s="20" t="n">
        <f aca="false">Operations!T71</f>
        <v>641.088063662429</v>
      </c>
      <c r="U78" s="20" t="n">
        <f aca="false">Operations!U71</f>
        <v>639.805887535104</v>
      </c>
      <c r="V78" s="20" t="n">
        <f aca="false">Operations!V71</f>
        <v>638.526275760034</v>
      </c>
      <c r="W78" s="20" t="n">
        <f aca="false">Operations!W71</f>
        <v>637.249223208514</v>
      </c>
      <c r="X78" s="20" t="n">
        <f aca="false">Operations!X71</f>
        <v>635.974724762097</v>
      </c>
      <c r="Y78" s="20" t="n">
        <f aca="false">Operations!Y71</f>
        <v>634.702775312573</v>
      </c>
      <c r="Z78" s="20" t="n">
        <f aca="false">Operations!Z71</f>
        <v>633.433369761948</v>
      </c>
      <c r="AA78" s="20" t="n">
        <f aca="false">Operations!AA71</f>
        <v>632.166503022424</v>
      </c>
      <c r="AB78" s="20" t="n">
        <f aca="false">Operations!AB71</f>
        <v>630.902170016379</v>
      </c>
      <c r="AC78" s="20" t="n">
        <f aca="false">Operations!AC71</f>
        <v>629.640365676346</v>
      </c>
      <c r="AD78" s="20" t="n">
        <f aca="false">Operations!AD71</f>
        <v>628.381084944993</v>
      </c>
      <c r="AE78" s="20" t="n">
        <f aca="false">Operations!AE71</f>
        <v>627.124322775104</v>
      </c>
      <c r="AF78" s="20" t="n">
        <f aca="false">Operations!AF71</f>
        <v>625.870074129553</v>
      </c>
      <c r="AG78" s="20" t="n">
        <f aca="false">Operations!AG71</f>
        <v>0</v>
      </c>
      <c r="AH78" s="20" t="n">
        <f aca="false">Operations!AH71</f>
        <v>0</v>
      </c>
      <c r="AI78" s="20" t="n">
        <f aca="false">Operations!AI71</f>
        <v>0</v>
      </c>
      <c r="AJ78" s="20" t="n">
        <f aca="false">Operations!AJ71</f>
        <v>0</v>
      </c>
      <c r="AK78" s="20" t="n">
        <f aca="false">Operations!AK71</f>
        <v>0</v>
      </c>
      <c r="AL78" s="20" t="n">
        <f aca="false">Operations!AL71</f>
        <v>0</v>
      </c>
      <c r="AM78" s="20" t="n">
        <f aca="false">Operations!AM71</f>
        <v>0</v>
      </c>
      <c r="AN78" s="20" t="n">
        <f aca="false">Operations!AN71</f>
        <v>0</v>
      </c>
      <c r="AO78" s="20" t="n">
        <f aca="false">Operations!AO71</f>
        <v>0</v>
      </c>
      <c r="AP78" s="20" t="n">
        <f aca="false">Operations!AP71</f>
        <v>0</v>
      </c>
      <c r="AQ78" s="20" t="n">
        <f aca="false">Operations!AQ71</f>
        <v>0</v>
      </c>
      <c r="AR78" s="20" t="n">
        <f aca="false">Operations!AR71</f>
        <v>0</v>
      </c>
      <c r="AS78" s="20" t="n">
        <f aca="false">Operations!AS71</f>
        <v>0</v>
      </c>
      <c r="AT78" s="20" t="n">
        <f aca="false">Operations!AT71</f>
        <v>0</v>
      </c>
      <c r="AU78" s="20" t="n">
        <f aca="false">Operations!AU71</f>
        <v>0</v>
      </c>
    </row>
    <row r="79" customFormat="false" ht="15" hidden="false" customHeight="false" outlineLevel="0" collapsed="false">
      <c r="D79" s="0" t="s">
        <v>475</v>
      </c>
      <c r="E79" s="0" t="s">
        <v>47</v>
      </c>
      <c r="J79" s="20" t="n">
        <f aca="false">0</f>
        <v>0</v>
      </c>
      <c r="K79" s="20" t="n">
        <f aca="false">0</f>
        <v>0</v>
      </c>
      <c r="L79" s="20" t="n">
        <f aca="false">0</f>
        <v>0</v>
      </c>
      <c r="M79" s="20" t="n">
        <f aca="false">0</f>
        <v>0</v>
      </c>
      <c r="N79" s="20" t="n">
        <f aca="false">0</f>
        <v>0</v>
      </c>
      <c r="O79" s="20" t="n">
        <f aca="false">0</f>
        <v>0</v>
      </c>
      <c r="P79" s="20" t="n">
        <f aca="false">0</f>
        <v>0</v>
      </c>
      <c r="Q79" s="20" t="n">
        <f aca="false">0</f>
        <v>0</v>
      </c>
      <c r="R79" s="20" t="n">
        <f aca="false">0</f>
        <v>0</v>
      </c>
      <c r="S79" s="20" t="n">
        <f aca="false">0</f>
        <v>0</v>
      </c>
      <c r="T79" s="20" t="n">
        <f aca="false">0</f>
        <v>0</v>
      </c>
      <c r="U79" s="20" t="n">
        <f aca="false">0</f>
        <v>0</v>
      </c>
      <c r="V79" s="20" t="n">
        <f aca="false">0</f>
        <v>0</v>
      </c>
      <c r="W79" s="20" t="n">
        <f aca="false">0</f>
        <v>0</v>
      </c>
      <c r="X79" s="20" t="n">
        <f aca="false">0</f>
        <v>0</v>
      </c>
      <c r="Y79" s="20" t="n">
        <f aca="false">0</f>
        <v>0</v>
      </c>
      <c r="Z79" s="20" t="n">
        <f aca="false">0</f>
        <v>0</v>
      </c>
      <c r="AA79" s="20" t="n">
        <f aca="false">0</f>
        <v>0</v>
      </c>
      <c r="AB79" s="20" t="n">
        <f aca="false">0</f>
        <v>0</v>
      </c>
      <c r="AC79" s="20" t="n">
        <f aca="false">0</f>
        <v>0</v>
      </c>
      <c r="AD79" s="20" t="n">
        <f aca="false">0</f>
        <v>0</v>
      </c>
      <c r="AE79" s="20" t="n">
        <f aca="false">0</f>
        <v>0</v>
      </c>
      <c r="AF79" s="20" t="n">
        <f aca="false">0</f>
        <v>0</v>
      </c>
      <c r="AG79" s="20" t="n">
        <f aca="false">0</f>
        <v>0</v>
      </c>
      <c r="AH79" s="20" t="n">
        <f aca="false">0</f>
        <v>0</v>
      </c>
      <c r="AI79" s="20" t="n">
        <f aca="false">0</f>
        <v>0</v>
      </c>
      <c r="AJ79" s="20" t="n">
        <f aca="false">0</f>
        <v>0</v>
      </c>
      <c r="AK79" s="20" t="n">
        <f aca="false">0</f>
        <v>0</v>
      </c>
      <c r="AL79" s="20" t="n">
        <f aca="false">0</f>
        <v>0</v>
      </c>
      <c r="AM79" s="20" t="n">
        <f aca="false">0</f>
        <v>0</v>
      </c>
      <c r="AN79" s="20" t="n">
        <f aca="false">0</f>
        <v>0</v>
      </c>
      <c r="AO79" s="20" t="n">
        <f aca="false">0</f>
        <v>0</v>
      </c>
      <c r="AP79" s="20" t="n">
        <f aca="false">0</f>
        <v>0</v>
      </c>
      <c r="AQ79" s="20" t="n">
        <f aca="false">0</f>
        <v>0</v>
      </c>
      <c r="AR79" s="20" t="n">
        <f aca="false">0</f>
        <v>0</v>
      </c>
      <c r="AS79" s="20" t="n">
        <f aca="false">0</f>
        <v>0</v>
      </c>
      <c r="AT79" s="20" t="n">
        <f aca="false">0</f>
        <v>0</v>
      </c>
      <c r="AU79" s="20" t="n">
        <f aca="false">0</f>
        <v>0</v>
      </c>
    </row>
    <row r="80" customFormat="false" ht="15" hidden="false" customHeight="false" outlineLevel="0" collapsed="false">
      <c r="D80" s="0" t="s">
        <v>476</v>
      </c>
      <c r="E80" s="0" t="s">
        <v>47</v>
      </c>
      <c r="J80" s="20" t="n">
        <f aca="false">Operations!J76*Inputs!$F$198/1000</f>
        <v>0</v>
      </c>
      <c r="K80" s="20" t="n">
        <f aca="false">Operations!K76*Inputs!$F$198/1000</f>
        <v>16.9068</v>
      </c>
      <c r="L80" s="20" t="n">
        <f aca="false">Operations!L76*Inputs!$F$198/1000</f>
        <v>16.95312</v>
      </c>
      <c r="M80" s="20" t="n">
        <f aca="false">Operations!M76*Inputs!$F$198/1000</f>
        <v>16.9068</v>
      </c>
      <c r="N80" s="20" t="n">
        <f aca="false">Operations!N76*Inputs!$F$198/1000</f>
        <v>16.9068</v>
      </c>
      <c r="O80" s="20" t="n">
        <f aca="false">Operations!O76*Inputs!$F$198/1000</f>
        <v>16.9068</v>
      </c>
      <c r="P80" s="20" t="n">
        <f aca="false">Operations!P76*Inputs!$F$198/1000</f>
        <v>0</v>
      </c>
      <c r="Q80" s="20" t="n">
        <f aca="false">Operations!Q76*Inputs!$F$198/1000</f>
        <v>0</v>
      </c>
      <c r="R80" s="20" t="n">
        <f aca="false">Operations!R76*Inputs!$F$198/1000</f>
        <v>0</v>
      </c>
      <c r="S80" s="20" t="n">
        <f aca="false">Operations!S76*Inputs!$F$198/1000</f>
        <v>0</v>
      </c>
      <c r="T80" s="20" t="n">
        <f aca="false">Operations!T76*Inputs!$F$198/1000</f>
        <v>0</v>
      </c>
      <c r="U80" s="20" t="n">
        <f aca="false">Operations!U76*Inputs!$F$198/1000</f>
        <v>0</v>
      </c>
      <c r="V80" s="20" t="n">
        <f aca="false">Operations!V76*Inputs!$F$198/1000</f>
        <v>0</v>
      </c>
      <c r="W80" s="20" t="n">
        <f aca="false">Operations!W76*Inputs!$F$198/1000</f>
        <v>0</v>
      </c>
      <c r="X80" s="20" t="n">
        <f aca="false">Operations!X76*Inputs!$F$198/1000</f>
        <v>0</v>
      </c>
      <c r="Y80" s="20" t="n">
        <f aca="false">Operations!Y76*Inputs!$F$198/1000</f>
        <v>0</v>
      </c>
      <c r="Z80" s="20" t="n">
        <f aca="false">Operations!Z76*Inputs!$F$198/1000</f>
        <v>0</v>
      </c>
      <c r="AA80" s="20" t="n">
        <f aca="false">Operations!AA76*Inputs!$F$198/1000</f>
        <v>0</v>
      </c>
      <c r="AB80" s="20" t="n">
        <f aca="false">Operations!AB76*Inputs!$F$198/1000</f>
        <v>0</v>
      </c>
      <c r="AC80" s="20" t="n">
        <f aca="false">Operations!AC76*Inputs!$F$198/1000</f>
        <v>0</v>
      </c>
      <c r="AD80" s="20" t="n">
        <f aca="false">Operations!AD76*Inputs!$F$198/1000</f>
        <v>0</v>
      </c>
      <c r="AE80" s="20" t="n">
        <f aca="false">Operations!AE76*Inputs!$F$198/1000</f>
        <v>0</v>
      </c>
      <c r="AF80" s="20" t="n">
        <f aca="false">Operations!AF76*Inputs!$F$198/1000</f>
        <v>0</v>
      </c>
      <c r="AG80" s="20" t="n">
        <f aca="false">Operations!AG76*Inputs!$F$198/1000</f>
        <v>0</v>
      </c>
      <c r="AH80" s="20" t="n">
        <f aca="false">Operations!AH76*Inputs!$F$198/1000</f>
        <v>0</v>
      </c>
      <c r="AI80" s="20" t="n">
        <f aca="false">Operations!AI76*Inputs!$F$198/1000</f>
        <v>0</v>
      </c>
      <c r="AJ80" s="20" t="n">
        <f aca="false">Operations!AJ76*Inputs!$F$198/1000</f>
        <v>0</v>
      </c>
      <c r="AK80" s="20" t="n">
        <f aca="false">Operations!AK76*Inputs!$F$198/1000</f>
        <v>0</v>
      </c>
      <c r="AL80" s="20" t="n">
        <f aca="false">Operations!AL76*Inputs!$F$198/1000</f>
        <v>0</v>
      </c>
      <c r="AM80" s="20" t="n">
        <f aca="false">Operations!AM76*Inputs!$F$198/1000</f>
        <v>0</v>
      </c>
      <c r="AN80" s="20" t="n">
        <f aca="false">Operations!AN76*Inputs!$F$198/1000</f>
        <v>0</v>
      </c>
      <c r="AO80" s="20" t="n">
        <f aca="false">Operations!AO76*Inputs!$F$198/1000</f>
        <v>0</v>
      </c>
      <c r="AP80" s="20" t="n">
        <f aca="false">Operations!AP76*Inputs!$F$198/1000</f>
        <v>0</v>
      </c>
      <c r="AQ80" s="20" t="n">
        <f aca="false">Operations!AQ76*Inputs!$F$198/1000</f>
        <v>0</v>
      </c>
      <c r="AR80" s="20" t="n">
        <f aca="false">Operations!AR76*Inputs!$F$198/1000</f>
        <v>0</v>
      </c>
      <c r="AS80" s="20" t="n">
        <f aca="false">Operations!AS76*Inputs!$F$198/1000</f>
        <v>0</v>
      </c>
      <c r="AT80" s="20" t="n">
        <f aca="false">Operations!AT76*Inputs!$F$198/1000</f>
        <v>0</v>
      </c>
      <c r="AU80" s="20" t="n">
        <f aca="false">Operations!AU76*Inputs!$F$198/1000</f>
        <v>0</v>
      </c>
    </row>
    <row r="81" customFormat="false" ht="15" hidden="false" customHeight="false" outlineLevel="0" collapsed="false">
      <c r="D81" s="0" t="s">
        <v>477</v>
      </c>
      <c r="E81" s="0" t="s">
        <v>47</v>
      </c>
      <c r="G81" s="20" t="n">
        <f aca="false">SUM(J81:AU81)</f>
        <v>505.989470385293</v>
      </c>
      <c r="J81" s="20" t="n">
        <f aca="false">Operations!J78*Operations!J74/1000</f>
        <v>33.58922788144</v>
      </c>
      <c r="K81" s="20" t="n">
        <f aca="false">Operations!K78*Operations!K74/1000</f>
        <v>27.1221941765618</v>
      </c>
      <c r="L81" s="20" t="n">
        <f aca="false">Operations!L78*Operations!L74/1000</f>
        <v>13.1282732243368</v>
      </c>
      <c r="M81" s="20" t="n">
        <f aca="false">Operations!M78*Operations!M74/1000</f>
        <v>17.0823142079644</v>
      </c>
      <c r="N81" s="20" t="n">
        <f aca="false">Operations!N78*Operations!N74/1000</f>
        <v>18.9361356107353</v>
      </c>
      <c r="O81" s="20" t="n">
        <f aca="false">Operations!O78*Operations!O74/1000</f>
        <v>19.8644381183343</v>
      </c>
      <c r="P81" s="20" t="n">
        <f aca="false">Operations!P78*Operations!P74/1000</f>
        <v>20.3948471362395</v>
      </c>
      <c r="Q81" s="20" t="n">
        <f aca="false">Operations!Q78*Operations!Q74/1000</f>
        <v>20.7041714033151</v>
      </c>
      <c r="R81" s="20" t="n">
        <f aca="false">Operations!R78*Operations!R74/1000</f>
        <v>21.0430807190014</v>
      </c>
      <c r="S81" s="20" t="n">
        <f aca="false">Operations!S78*Operations!S74/1000</f>
        <v>21.2254953236962</v>
      </c>
      <c r="T81" s="20" t="n">
        <f aca="false">Operations!T78*Operations!T74/1000</f>
        <v>21.407294681088</v>
      </c>
      <c r="U81" s="20" t="n">
        <f aca="false">Operations!U78*Operations!U74/1000</f>
        <v>21.5882571657849</v>
      </c>
      <c r="V81" s="20" t="n">
        <f aca="false">Operations!V78*Operations!V74/1000</f>
        <v>21.7681629339903</v>
      </c>
      <c r="W81" s="20" t="n">
        <f aca="false">Operations!W78*Operations!W74/1000</f>
        <v>21.9467939145857</v>
      </c>
      <c r="X81" s="20" t="n">
        <f aca="false">Operations!X78*Operations!X74/1000</f>
        <v>22.1239338002494</v>
      </c>
      <c r="Y81" s="20" t="n">
        <f aca="false">Operations!Y78*Operations!Y74/1000</f>
        <v>22.3031158315585</v>
      </c>
      <c r="Z81" s="20" t="n">
        <f aca="false">Operations!Z78*Operations!Z74/1000</f>
        <v>22.4802908385433</v>
      </c>
      <c r="AA81" s="20" t="n">
        <f aca="false">Operations!AA78*Operations!AA74/1000</f>
        <v>22.655248238791</v>
      </c>
      <c r="AB81" s="20" t="n">
        <f aca="false">Operations!AB78*Operations!AB74/1000</f>
        <v>22.8313945993682</v>
      </c>
      <c r="AC81" s="20" t="n">
        <f aca="false">Operations!AC78*Operations!AC74/1000</f>
        <v>23.0048197591884</v>
      </c>
      <c r="AD81" s="20" t="n">
        <f aca="false">Operations!AD78*Operations!AD74/1000</f>
        <v>23.1788467549807</v>
      </c>
      <c r="AE81" s="20" t="n">
        <f aca="false">Operations!AE78*Operations!AE74/1000</f>
        <v>23.593730471981</v>
      </c>
      <c r="AF81" s="20" t="n">
        <f aca="false">Operations!AF78*Operations!AF74/1000</f>
        <v>24.0174035935589</v>
      </c>
      <c r="AG81" s="20" t="n">
        <f aca="false">Operations!AG78*Operations!AG74/1000</f>
        <v>0</v>
      </c>
      <c r="AH81" s="20" t="n">
        <f aca="false">Operations!AH78*Operations!AH74/1000</f>
        <v>0</v>
      </c>
      <c r="AI81" s="20" t="n">
        <f aca="false">Operations!AI78*Operations!AI74/1000</f>
        <v>0</v>
      </c>
      <c r="AJ81" s="20" t="n">
        <f aca="false">Operations!AJ78*Operations!AJ74/1000</f>
        <v>0</v>
      </c>
      <c r="AK81" s="20" t="n">
        <f aca="false">Operations!AK78*Operations!AK74/1000</f>
        <v>0</v>
      </c>
      <c r="AL81" s="20" t="n">
        <f aca="false">Operations!AL78*Operations!AL74/1000</f>
        <v>0</v>
      </c>
      <c r="AM81" s="20" t="n">
        <f aca="false">Operations!AM78*Operations!AM74/1000</f>
        <v>0</v>
      </c>
      <c r="AN81" s="20" t="n">
        <f aca="false">Operations!AN78*Operations!AN74/1000</f>
        <v>0</v>
      </c>
      <c r="AO81" s="20" t="n">
        <f aca="false">Operations!AO78*Operations!AO74/1000</f>
        <v>0</v>
      </c>
      <c r="AP81" s="20" t="n">
        <f aca="false">Operations!AP78*Operations!AP74/1000</f>
        <v>0</v>
      </c>
      <c r="AQ81" s="20" t="n">
        <f aca="false">Operations!AQ78*Operations!AQ74/1000</f>
        <v>0</v>
      </c>
      <c r="AR81" s="20" t="n">
        <f aca="false">Operations!AR78*Operations!AR74/1000</f>
        <v>0</v>
      </c>
      <c r="AS81" s="20" t="n">
        <f aca="false">Operations!AS78*Operations!AS74/1000</f>
        <v>0</v>
      </c>
      <c r="AT81" s="20" t="n">
        <f aca="false">Operations!AT78*Operations!AT74/1000</f>
        <v>0</v>
      </c>
      <c r="AU81" s="20" t="n">
        <f aca="false">Operations!AU78*Operations!AU74/1000</f>
        <v>0</v>
      </c>
    </row>
    <row r="82" customFormat="false" ht="15" hidden="false" customHeight="false" outlineLevel="0" collapsed="false">
      <c r="D82" s="0" t="s">
        <v>478</v>
      </c>
      <c r="E82" s="0" t="s">
        <v>47</v>
      </c>
      <c r="G82" s="20" t="n">
        <f aca="false">SUM(J82:AU82)</f>
        <v>514.903073457293</v>
      </c>
      <c r="J82" s="20" t="n">
        <f aca="false">Operations!J81+Operations!J77</f>
        <v>33.58922788144</v>
      </c>
      <c r="K82" s="20" t="n">
        <f aca="false">Operations!K81+Operations!K77</f>
        <v>23.2707375365618</v>
      </c>
      <c r="L82" s="20" t="n">
        <f aca="false">Operations!L81+Operations!L77</f>
        <v>19.8438871763368</v>
      </c>
      <c r="M82" s="20" t="n">
        <f aca="false">Operations!M81+Operations!M77</f>
        <v>20.4894636479644</v>
      </c>
      <c r="N82" s="20" t="n">
        <f aca="false">Operations!N81+Operations!N77</f>
        <v>20.7151864907353</v>
      </c>
      <c r="O82" s="20" t="n">
        <f aca="false">Operations!O81+Operations!O77</f>
        <v>20.7276835583343</v>
      </c>
      <c r="P82" s="20" t="n">
        <f aca="false">Operations!P81+Operations!P77</f>
        <v>20.3948471362395</v>
      </c>
      <c r="Q82" s="20" t="n">
        <f aca="false">Operations!Q81+Operations!Q77</f>
        <v>20.7041714033151</v>
      </c>
      <c r="R82" s="20" t="n">
        <f aca="false">Operations!R81+Operations!R77</f>
        <v>21.0430807190014</v>
      </c>
      <c r="S82" s="20" t="n">
        <f aca="false">Operations!S81+Operations!S77</f>
        <v>21.2254953236962</v>
      </c>
      <c r="T82" s="20" t="n">
        <f aca="false">Operations!T81+Operations!T77</f>
        <v>21.407294681088</v>
      </c>
      <c r="U82" s="20" t="n">
        <f aca="false">Operations!U81+Operations!U77</f>
        <v>21.5882571657849</v>
      </c>
      <c r="V82" s="20" t="n">
        <f aca="false">Operations!V81+Operations!V77</f>
        <v>21.7681629339903</v>
      </c>
      <c r="W82" s="20" t="n">
        <f aca="false">Operations!W81+Operations!W77</f>
        <v>21.9467939145857</v>
      </c>
      <c r="X82" s="20" t="n">
        <f aca="false">Operations!X81+Operations!X77</f>
        <v>22.1239338002494</v>
      </c>
      <c r="Y82" s="20" t="n">
        <f aca="false">Operations!Y81+Operations!Y77</f>
        <v>22.3031158315585</v>
      </c>
      <c r="Z82" s="20" t="n">
        <f aca="false">Operations!Z81+Operations!Z77</f>
        <v>22.4802908385433</v>
      </c>
      <c r="AA82" s="20" t="n">
        <f aca="false">Operations!AA81+Operations!AA77</f>
        <v>22.655248238791</v>
      </c>
      <c r="AB82" s="20" t="n">
        <f aca="false">Operations!AB81+Operations!AB77</f>
        <v>22.8313945993682</v>
      </c>
      <c r="AC82" s="20" t="n">
        <f aca="false">Operations!AC81+Operations!AC77</f>
        <v>23.0048197591884</v>
      </c>
      <c r="AD82" s="20" t="n">
        <f aca="false">Operations!AD81+Operations!AD77</f>
        <v>23.1788467549807</v>
      </c>
      <c r="AE82" s="20" t="n">
        <f aca="false">Operations!AE81+Operations!AE77</f>
        <v>23.593730471981</v>
      </c>
      <c r="AF82" s="20" t="n">
        <f aca="false">Operations!AF81+Operations!AF77</f>
        <v>24.0174035935589</v>
      </c>
      <c r="AG82" s="20" t="n">
        <f aca="false">Operations!AG81+Operations!AG77</f>
        <v>0</v>
      </c>
      <c r="AH82" s="20" t="n">
        <f aca="false">Operations!AH81+Operations!AH77</f>
        <v>0</v>
      </c>
      <c r="AI82" s="20" t="n">
        <f aca="false">Operations!AI81+Operations!AI77</f>
        <v>0</v>
      </c>
      <c r="AJ82" s="20" t="n">
        <f aca="false">Operations!AJ81+Operations!AJ77</f>
        <v>0</v>
      </c>
      <c r="AK82" s="20" t="n">
        <f aca="false">Operations!AK81+Operations!AK77</f>
        <v>0</v>
      </c>
      <c r="AL82" s="20" t="n">
        <f aca="false">Operations!AL81+Operations!AL77</f>
        <v>0</v>
      </c>
      <c r="AM82" s="20" t="n">
        <f aca="false">Operations!AM81+Operations!AM77</f>
        <v>0</v>
      </c>
      <c r="AN82" s="20" t="n">
        <f aca="false">Operations!AN81+Operations!AN77</f>
        <v>0</v>
      </c>
      <c r="AO82" s="20" t="n">
        <f aca="false">Operations!AO81+Operations!AO77</f>
        <v>0</v>
      </c>
      <c r="AP82" s="20" t="n">
        <f aca="false">Operations!AP81+Operations!AP77</f>
        <v>0</v>
      </c>
      <c r="AQ82" s="20" t="n">
        <f aca="false">Operations!AQ81+Operations!AQ77</f>
        <v>0</v>
      </c>
      <c r="AR82" s="20" t="n">
        <f aca="false">Operations!AR81+Operations!AR77</f>
        <v>0</v>
      </c>
      <c r="AS82" s="20" t="n">
        <f aca="false">Operations!AS81+Operations!AS77</f>
        <v>0</v>
      </c>
      <c r="AT82" s="20" t="n">
        <f aca="false">Operations!AT81+Operations!AT77</f>
        <v>0</v>
      </c>
      <c r="AU82" s="20" t="n">
        <f aca="false">Operations!AU81+Operations!AU77</f>
        <v>0</v>
      </c>
    </row>
    <row r="83" customFormat="false" ht="15" hidden="false" customHeight="false" outlineLevel="0" collapsed="false">
      <c r="D83" s="0" t="s">
        <v>479</v>
      </c>
      <c r="E83" s="0" t="s">
        <v>47</v>
      </c>
      <c r="J83" s="20" t="n">
        <f aca="false">Operations!J82-Operations!J79-Operations!J80</f>
        <v>33.58922788144</v>
      </c>
      <c r="K83" s="20" t="n">
        <f aca="false">Operations!K82-Operations!K79-Operations!K80</f>
        <v>6.36393753656179</v>
      </c>
      <c r="L83" s="20" t="n">
        <f aca="false">Operations!L82-Operations!L79-Operations!L80</f>
        <v>2.89076717633683</v>
      </c>
      <c r="M83" s="20" t="n">
        <f aca="false">Operations!M82-Operations!M79-Operations!M80</f>
        <v>3.58266364796441</v>
      </c>
      <c r="N83" s="20" t="n">
        <f aca="false">Operations!N82-Operations!N79-Operations!N80</f>
        <v>3.80838649073531</v>
      </c>
      <c r="O83" s="20" t="n">
        <f aca="false">Operations!O82-Operations!O79-Operations!O80</f>
        <v>3.82088355833434</v>
      </c>
      <c r="P83" s="20" t="n">
        <f aca="false">Operations!P82-Operations!P79-Operations!P80</f>
        <v>20.3948471362395</v>
      </c>
      <c r="Q83" s="20" t="n">
        <f aca="false">Operations!Q82-Operations!Q79-Operations!Q80</f>
        <v>20.7041714033151</v>
      </c>
      <c r="R83" s="20" t="n">
        <f aca="false">Operations!R82-Operations!R79-Operations!R80</f>
        <v>21.0430807190014</v>
      </c>
      <c r="S83" s="20" t="n">
        <f aca="false">Operations!S82-Operations!S79-Operations!S80</f>
        <v>21.2254953236962</v>
      </c>
      <c r="T83" s="20" t="n">
        <f aca="false">Operations!T82-Operations!T79-Operations!T80</f>
        <v>21.407294681088</v>
      </c>
      <c r="U83" s="20" t="n">
        <f aca="false">Operations!U82-Operations!U79-Operations!U80</f>
        <v>21.5882571657849</v>
      </c>
      <c r="V83" s="20" t="n">
        <f aca="false">Operations!V82-Operations!V79-Operations!V80</f>
        <v>21.7681629339903</v>
      </c>
      <c r="W83" s="20" t="n">
        <f aca="false">Operations!W82-Operations!W79-Operations!W80</f>
        <v>21.9467939145857</v>
      </c>
      <c r="X83" s="20" t="n">
        <f aca="false">Operations!X82-Operations!X79-Operations!X80</f>
        <v>22.1239338002494</v>
      </c>
      <c r="Y83" s="20" t="n">
        <f aca="false">Operations!Y82-Operations!Y79-Operations!Y80</f>
        <v>22.3031158315585</v>
      </c>
      <c r="Z83" s="20" t="n">
        <f aca="false">Operations!Z82-Operations!Z79-Operations!Z80</f>
        <v>22.4802908385433</v>
      </c>
      <c r="AA83" s="20" t="n">
        <f aca="false">Operations!AA82-Operations!AA79-Operations!AA80</f>
        <v>22.655248238791</v>
      </c>
      <c r="AB83" s="20" t="n">
        <f aca="false">Operations!AB82-Operations!AB79-Operations!AB80</f>
        <v>22.8313945993682</v>
      </c>
      <c r="AC83" s="20" t="n">
        <f aca="false">Operations!AC82-Operations!AC79-Operations!AC80</f>
        <v>23.0048197591884</v>
      </c>
      <c r="AD83" s="20" t="n">
        <f aca="false">Operations!AD82-Operations!AD79-Operations!AD80</f>
        <v>23.1788467549807</v>
      </c>
      <c r="AE83" s="20" t="n">
        <f aca="false">Operations!AE82-Operations!AE79-Operations!AE80</f>
        <v>23.593730471981</v>
      </c>
      <c r="AF83" s="20" t="n">
        <f aca="false">Operations!AF82-Operations!AF79-Operations!AF80</f>
        <v>24.0174035935589</v>
      </c>
      <c r="AG83" s="20" t="n">
        <f aca="false">Operations!AG82-Operations!AG79-Operations!AG80</f>
        <v>0</v>
      </c>
      <c r="AH83" s="20" t="n">
        <f aca="false">Operations!AH82-Operations!AH79-Operations!AH80</f>
        <v>0</v>
      </c>
      <c r="AI83" s="20" t="n">
        <f aca="false">Operations!AI82-Operations!AI79-Operations!AI80</f>
        <v>0</v>
      </c>
      <c r="AJ83" s="20" t="n">
        <f aca="false">Operations!AJ82-Operations!AJ79-Operations!AJ80</f>
        <v>0</v>
      </c>
      <c r="AK83" s="20" t="n">
        <f aca="false">Operations!AK82-Operations!AK79-Operations!AK80</f>
        <v>0</v>
      </c>
      <c r="AL83" s="20" t="n">
        <f aca="false">Operations!AL82-Operations!AL79-Operations!AL80</f>
        <v>0</v>
      </c>
      <c r="AM83" s="20" t="n">
        <f aca="false">Operations!AM82-Operations!AM79-Operations!AM80</f>
        <v>0</v>
      </c>
      <c r="AN83" s="20" t="n">
        <f aca="false">Operations!AN82-Operations!AN79-Operations!AN80</f>
        <v>0</v>
      </c>
      <c r="AO83" s="20" t="n">
        <f aca="false">Operations!AO82-Operations!AO79-Operations!AO80</f>
        <v>0</v>
      </c>
      <c r="AP83" s="20" t="n">
        <f aca="false">Operations!AP82-Operations!AP79-Operations!AP80</f>
        <v>0</v>
      </c>
      <c r="AQ83" s="20" t="n">
        <f aca="false">Operations!AQ82-Operations!AQ79-Operations!AQ80</f>
        <v>0</v>
      </c>
      <c r="AR83" s="20" t="n">
        <f aca="false">Operations!AR82-Operations!AR79-Operations!AR80</f>
        <v>0</v>
      </c>
      <c r="AS83" s="20" t="n">
        <f aca="false">Operations!AS82-Operations!AS79-Operations!AS80</f>
        <v>0</v>
      </c>
      <c r="AT83" s="20" t="n">
        <f aca="false">Operations!AT82-Operations!AT79-Operations!AT80</f>
        <v>0</v>
      </c>
      <c r="AU83" s="20" t="n">
        <f aca="false">Operations!AU82-Operations!AU79-Operations!AU80</f>
        <v>0</v>
      </c>
    </row>
    <row r="84" customFormat="false" ht="15" hidden="false" customHeight="false" outlineLevel="0" collapsed="false">
      <c r="D84" s="0" t="s">
        <v>480</v>
      </c>
      <c r="E84" s="0" t="s">
        <v>47</v>
      </c>
      <c r="J84" s="20" t="n">
        <f aca="false">Inputs!$F$92*Inputs!$F$88/1000*Time!J$9*Time!J$10*Operations!J63*Operations!$F$50</f>
        <v>8.3664</v>
      </c>
      <c r="K84" s="20" t="n">
        <f aca="false">Inputs!$F$92*Inputs!$F$88/1000*Time!K$9*Time!K$10*Operations!K63*Operations!$F$50</f>
        <v>8.85855348</v>
      </c>
      <c r="L84" s="20" t="n">
        <f aca="false">Inputs!$F$92*Inputs!$F$88/1000*Time!L$9*Time!L$10*Operations!L63*Operations!$F$50</f>
        <v>9.080017317</v>
      </c>
      <c r="M84" s="20" t="n">
        <f aca="false">Inputs!$F$92*Inputs!$F$88/1000*Time!M$9*Time!M$10*Operations!M63*Operations!$F$50</f>
        <v>9.307017749925</v>
      </c>
      <c r="N84" s="20" t="n">
        <f aca="false">Inputs!$F$92*Inputs!$F$88/1000*Time!N$9*Time!N$10*Operations!N63*Operations!$F$50</f>
        <v>9.53969319367312</v>
      </c>
      <c r="O84" s="20" t="n">
        <f aca="false">Inputs!$F$92*Inputs!$F$88/1000*Time!O$9*Time!O$10*Operations!O63*Operations!$F$50</f>
        <v>9.77818552351495</v>
      </c>
      <c r="P84" s="20" t="n">
        <f aca="false">Inputs!$F$92*Inputs!$F$88/1000*Time!P$9*Time!P$10*Operations!P63*Operations!$F$50</f>
        <v>10.0226401616028</v>
      </c>
      <c r="Q84" s="20" t="n">
        <f aca="false">Inputs!$F$92*Inputs!$F$88/1000*Time!Q$9*Time!Q$10*Operations!Q63*Operations!$F$50</f>
        <v>10.2732061656429</v>
      </c>
      <c r="R84" s="20" t="n">
        <f aca="false">Inputs!$F$92*Inputs!$F$88/1000*Time!R$9*Time!R$10*Operations!R63*Operations!$F$50</f>
        <v>10.530036319784</v>
      </c>
      <c r="S84" s="20" t="n">
        <f aca="false">Inputs!$F$92*Inputs!$F$88/1000*Time!S$9*Time!S$10*Operations!S63*Operations!$F$50</f>
        <v>10.7932872277786</v>
      </c>
      <c r="T84" s="20" t="n">
        <f aca="false">Inputs!$F$92*Inputs!$F$88/1000*Time!T$9*Time!T$10*Operations!T63*Operations!$F$50</f>
        <v>11.063119408473</v>
      </c>
      <c r="U84" s="20" t="n">
        <f aca="false">Inputs!$F$92*Inputs!$F$88/1000*Time!U$9*Time!U$10*Operations!U63*Operations!$F$50</f>
        <v>11.3396973936849</v>
      </c>
      <c r="V84" s="20" t="n">
        <f aca="false">Inputs!$F$92*Inputs!$F$88/1000*Time!V$9*Time!V$10*Operations!V63*Operations!$F$50</f>
        <v>11.623189828527</v>
      </c>
      <c r="W84" s="20" t="n">
        <f aca="false">Inputs!$F$92*Inputs!$F$88/1000*Time!W$9*Time!W$10*Operations!W63*Operations!$F$50</f>
        <v>11.9137695742401</v>
      </c>
      <c r="X84" s="20" t="n">
        <f aca="false">Inputs!$F$92*Inputs!$F$88/1000*Time!X$9*Time!X$10*Operations!X63*Operations!$F$50</f>
        <v>12.2116138135961</v>
      </c>
      <c r="Y84" s="20" t="n">
        <f aca="false">Inputs!$F$92*Inputs!$F$88/1000*Time!Y$9*Time!Y$10*Operations!Y63*Operations!$F$50</f>
        <v>12.516904158936</v>
      </c>
      <c r="Z84" s="20" t="n">
        <f aca="false">Inputs!$F$92*Inputs!$F$88/1000*Time!Z$9*Time!Z$10*Operations!Z63*Operations!$F$50</f>
        <v>12.8298267629094</v>
      </c>
      <c r="AA84" s="20" t="n">
        <f aca="false">Inputs!$F$92*Inputs!$F$88/1000*Time!AA$9*Time!AA$10*Operations!AA63*Operations!$F$50</f>
        <v>13.1505724319822</v>
      </c>
      <c r="AB84" s="20" t="n">
        <f aca="false">Inputs!$F$92*Inputs!$F$88/1000*Time!AB$9*Time!AB$10*Operations!AB63*Operations!$F$50</f>
        <v>13.4793367427817</v>
      </c>
      <c r="AC84" s="20" t="n">
        <f aca="false">Inputs!$F$92*Inputs!$F$88/1000*Time!AC$9*Time!AC$10*Operations!AC63*Operations!$F$50</f>
        <v>13.8163201613513</v>
      </c>
      <c r="AD84" s="20" t="n">
        <f aca="false">Inputs!$F$92*Inputs!$F$88/1000*Time!AD$9*Time!AD$10*Operations!AD63*Operations!$F$50</f>
        <v>14.1617281653851</v>
      </c>
      <c r="AE84" s="20" t="n">
        <f aca="false">Inputs!$F$92*Inputs!$F$88/1000*Time!AE$9*Time!AE$10*Operations!AE63*Operations!$F$50</f>
        <v>14.5157713695197</v>
      </c>
      <c r="AF84" s="20" t="n">
        <f aca="false">Inputs!$F$92*Inputs!$F$88/1000*Time!AF$9*Time!AF$10*Operations!AF63*Operations!$F$50</f>
        <v>14.8786656537577</v>
      </c>
      <c r="AG84" s="20" t="n">
        <f aca="false">Inputs!$F$92*Inputs!$F$88/1000*Time!AG$9*Time!AG$10*Operations!AG63*Operations!$F$50</f>
        <v>0</v>
      </c>
      <c r="AH84" s="20" t="n">
        <f aca="false">Inputs!$F$92*Inputs!$F$88/1000*Time!AH$9*Time!AH$10*Operations!AH63*Operations!$F$50</f>
        <v>0</v>
      </c>
      <c r="AI84" s="20" t="n">
        <f aca="false">Inputs!$F$92*Inputs!$F$88/1000*Time!AI$9*Time!AI$10*Operations!AI63*Operations!$F$50</f>
        <v>0</v>
      </c>
      <c r="AJ84" s="20" t="n">
        <f aca="false">Inputs!$F$92*Inputs!$F$88/1000*Time!AJ$9*Time!AJ$10*Operations!AJ63*Operations!$F$50</f>
        <v>0</v>
      </c>
      <c r="AK84" s="20" t="n">
        <f aca="false">Inputs!$F$92*Inputs!$F$88/1000*Time!AK$9*Time!AK$10*Operations!AK63*Operations!$F$50</f>
        <v>0</v>
      </c>
      <c r="AL84" s="20" t="n">
        <f aca="false">Inputs!$F$92*Inputs!$F$88/1000*Time!AL$9*Time!AL$10*Operations!AL63*Operations!$F$50</f>
        <v>0</v>
      </c>
      <c r="AM84" s="20" t="n">
        <f aca="false">Inputs!$F$92*Inputs!$F$88/1000*Time!AM$9*Time!AM$10*Operations!AM63*Operations!$F$50</f>
        <v>0</v>
      </c>
      <c r="AN84" s="20" t="n">
        <f aca="false">Inputs!$F$92*Inputs!$F$88/1000*Time!AN$9*Time!AN$10*Operations!AN63*Operations!$F$50</f>
        <v>0</v>
      </c>
      <c r="AO84" s="20" t="n">
        <f aca="false">Inputs!$F$92*Inputs!$F$88/1000*Time!AO$9*Time!AO$10*Operations!AO63*Operations!$F$50</f>
        <v>0</v>
      </c>
      <c r="AP84" s="20" t="n">
        <f aca="false">Inputs!$F$92*Inputs!$F$88/1000*Time!AP$9*Time!AP$10*Operations!AP63*Operations!$F$50</f>
        <v>0</v>
      </c>
      <c r="AQ84" s="20" t="n">
        <f aca="false">Inputs!$F$92*Inputs!$F$88/1000*Time!AQ$9*Time!AQ$10*Operations!AQ63*Operations!$F$50</f>
        <v>0</v>
      </c>
      <c r="AR84" s="20" t="n">
        <f aca="false">Inputs!$F$92*Inputs!$F$88/1000*Time!AR$9*Time!AR$10*Operations!AR63*Operations!$F$50</f>
        <v>0</v>
      </c>
      <c r="AS84" s="20" t="n">
        <f aca="false">Inputs!$F$92*Inputs!$F$88/1000*Time!AS$9*Time!AS$10*Operations!AS63*Operations!$F$50</f>
        <v>0</v>
      </c>
      <c r="AT84" s="20" t="n">
        <f aca="false">Inputs!$F$92*Inputs!$F$88/1000*Time!AT$9*Time!AT$10*Operations!AT63*Operations!$F$50</f>
        <v>0</v>
      </c>
      <c r="AU84" s="20" t="n">
        <f aca="false">Inputs!$F$92*Inputs!$F$88/1000*Time!AU$9*Time!AU$10*Operations!AU63*Operations!$F$50</f>
        <v>0</v>
      </c>
    </row>
    <row r="85" customFormat="false" ht="15" hidden="false" customHeight="false" outlineLevel="0" collapsed="false">
      <c r="D85" s="0" t="s">
        <v>481</v>
      </c>
      <c r="E85" s="0" t="s">
        <v>47</v>
      </c>
      <c r="J85" s="20" t="n">
        <f aca="false">Inputs!$F$239/100*Operations!J82</f>
        <v>1.3435691152576</v>
      </c>
      <c r="K85" s="20" t="n">
        <f aca="false">Inputs!$F$239/100*Operations!K82</f>
        <v>0.930829501462472</v>
      </c>
      <c r="L85" s="20" t="n">
        <f aca="false">Inputs!$F$239/100*Operations!L82</f>
        <v>0.793755487053473</v>
      </c>
      <c r="M85" s="20" t="n">
        <f aca="false">Inputs!$F$239/100*Operations!M82</f>
        <v>0.819578545918577</v>
      </c>
      <c r="N85" s="20" t="n">
        <f aca="false">Inputs!$F$239/100*Operations!N82</f>
        <v>0.828607459629413</v>
      </c>
      <c r="O85" s="20" t="n">
        <f aca="false">Inputs!$F$239/100*Operations!O82</f>
        <v>0.829107342333374</v>
      </c>
      <c r="P85" s="20" t="n">
        <f aca="false">Inputs!$F$239/100*Operations!P82</f>
        <v>0.815793885449579</v>
      </c>
      <c r="Q85" s="20" t="n">
        <f aca="false">Inputs!$F$239/100*Operations!Q82</f>
        <v>0.828166856132604</v>
      </c>
      <c r="R85" s="20" t="n">
        <f aca="false">Inputs!$F$239/100*Operations!R82</f>
        <v>0.841723228760058</v>
      </c>
      <c r="S85" s="20" t="n">
        <f aca="false">Inputs!$F$239/100*Operations!S82</f>
        <v>0.84901981294785</v>
      </c>
      <c r="T85" s="20" t="n">
        <f aca="false">Inputs!$F$239/100*Operations!T82</f>
        <v>0.856291787243519</v>
      </c>
      <c r="U85" s="20" t="n">
        <f aca="false">Inputs!$F$239/100*Operations!U82</f>
        <v>0.863530286631396</v>
      </c>
      <c r="V85" s="20" t="n">
        <f aca="false">Inputs!$F$239/100*Operations!V82</f>
        <v>0.870726517359613</v>
      </c>
      <c r="W85" s="20" t="n">
        <f aca="false">Inputs!$F$239/100*Operations!W82</f>
        <v>0.877871756583429</v>
      </c>
      <c r="X85" s="20" t="n">
        <f aca="false">Inputs!$F$239/100*Operations!X82</f>
        <v>0.884957352009977</v>
      </c>
      <c r="Y85" s="20" t="n">
        <f aca="false">Inputs!$F$239/100*Operations!Y82</f>
        <v>0.892124633262339</v>
      </c>
      <c r="Z85" s="20" t="n">
        <f aca="false">Inputs!$F$239/100*Operations!Z82</f>
        <v>0.899211633541731</v>
      </c>
      <c r="AA85" s="20" t="n">
        <f aca="false">Inputs!$F$239/100*Operations!AA82</f>
        <v>0.906209929551639</v>
      </c>
      <c r="AB85" s="20" t="n">
        <f aca="false">Inputs!$F$239/100*Operations!AB82</f>
        <v>0.913255783974729</v>
      </c>
      <c r="AC85" s="20" t="n">
        <f aca="false">Inputs!$F$239/100*Operations!AC82</f>
        <v>0.920192790367537</v>
      </c>
      <c r="AD85" s="20" t="n">
        <f aca="false">Inputs!$F$239/100*Operations!AD82</f>
        <v>0.927153870199227</v>
      </c>
      <c r="AE85" s="20" t="n">
        <f aca="false">Inputs!$F$239/100*Operations!AE82</f>
        <v>0.94374921887924</v>
      </c>
      <c r="AF85" s="20" t="n">
        <f aca="false">Inputs!$F$239/100*Operations!AF82</f>
        <v>0.960696143742356</v>
      </c>
      <c r="AG85" s="20" t="n">
        <f aca="false">Inputs!$F$239/100*Operations!AG82</f>
        <v>0</v>
      </c>
      <c r="AH85" s="20" t="n">
        <f aca="false">Inputs!$F$239/100*Operations!AH82</f>
        <v>0</v>
      </c>
      <c r="AI85" s="20" t="n">
        <f aca="false">Inputs!$F$239/100*Operations!AI82</f>
        <v>0</v>
      </c>
      <c r="AJ85" s="20" t="n">
        <f aca="false">Inputs!$F$239/100*Operations!AJ82</f>
        <v>0</v>
      </c>
      <c r="AK85" s="20" t="n">
        <f aca="false">Inputs!$F$239/100*Operations!AK82</f>
        <v>0</v>
      </c>
      <c r="AL85" s="20" t="n">
        <f aca="false">Inputs!$F$239/100*Operations!AL82</f>
        <v>0</v>
      </c>
      <c r="AM85" s="20" t="n">
        <f aca="false">Inputs!$F$239/100*Operations!AM82</f>
        <v>0</v>
      </c>
      <c r="AN85" s="20" t="n">
        <f aca="false">Inputs!$F$239/100*Operations!AN82</f>
        <v>0</v>
      </c>
      <c r="AO85" s="20" t="n">
        <f aca="false">Inputs!$F$239/100*Operations!AO82</f>
        <v>0</v>
      </c>
      <c r="AP85" s="20" t="n">
        <f aca="false">Inputs!$F$239/100*Operations!AP82</f>
        <v>0</v>
      </c>
      <c r="AQ85" s="20" t="n">
        <f aca="false">Inputs!$F$239/100*Operations!AQ82</f>
        <v>0</v>
      </c>
      <c r="AR85" s="20" t="n">
        <f aca="false">Inputs!$F$239/100*Operations!AR82</f>
        <v>0</v>
      </c>
      <c r="AS85" s="20" t="n">
        <f aca="false">Inputs!$F$239/100*Operations!AS82</f>
        <v>0</v>
      </c>
      <c r="AT85" s="20" t="n">
        <f aca="false">Inputs!$F$239/100*Operations!AT82</f>
        <v>0</v>
      </c>
      <c r="AU85" s="20" t="n">
        <f aca="false">Inputs!$F$239/100*Operations!AU82</f>
        <v>0</v>
      </c>
    </row>
    <row r="86" customFormat="false" ht="15" hidden="false" customHeight="false" outlineLevel="0" collapsed="false">
      <c r="D86" s="0" t="s">
        <v>482</v>
      </c>
      <c r="E86" s="0" t="s">
        <v>47</v>
      </c>
      <c r="J86" s="20" t="n">
        <f aca="false">Inputs!$F$243/100*Inputs!$F$93*Inputs!$F$88/1000*Time!J$9*Operations!J63</f>
        <v>0.0749952</v>
      </c>
      <c r="K86" s="20" t="n">
        <f aca="false">Inputs!$F$243/100*Inputs!$F$93*Inputs!$F$88/1000*Time!K$9*Operations!K63</f>
        <v>0.07687008</v>
      </c>
      <c r="L86" s="20" t="n">
        <f aca="false">Inputs!$F$243/100*Inputs!$F$93*Inputs!$F$88/1000*Time!L$9*Operations!L63</f>
        <v>0.078791832</v>
      </c>
      <c r="M86" s="20" t="n">
        <f aca="false">Inputs!$F$243/100*Inputs!$F$93*Inputs!$F$88/1000*Time!M$9*Operations!M63</f>
        <v>0.0807616278</v>
      </c>
      <c r="N86" s="20" t="n">
        <f aca="false">Inputs!$F$243/100*Inputs!$F$93*Inputs!$F$88/1000*Time!N$9*Operations!N63</f>
        <v>0.082780668495</v>
      </c>
      <c r="O86" s="20" t="n">
        <f aca="false">Inputs!$F$243/100*Inputs!$F$93*Inputs!$F$88/1000*Time!O$9*Operations!O63</f>
        <v>0.084850185207375</v>
      </c>
      <c r="P86" s="20" t="n">
        <f aca="false">Inputs!$F$243/100*Inputs!$F$93*Inputs!$F$88/1000*Time!P$9*Operations!P63</f>
        <v>0.0869714398375593</v>
      </c>
      <c r="Q86" s="20" t="n">
        <f aca="false">Inputs!$F$243/100*Inputs!$F$93*Inputs!$F$88/1000*Time!Q$9*Operations!Q63</f>
        <v>0.0891457258334983</v>
      </c>
      <c r="R86" s="20" t="n">
        <f aca="false">Inputs!$F$243/100*Inputs!$F$93*Inputs!$F$88/1000*Time!R$9*Operations!R63</f>
        <v>0.0913743689793358</v>
      </c>
      <c r="S86" s="20" t="n">
        <f aca="false">Inputs!$F$243/100*Inputs!$F$93*Inputs!$F$88/1000*Time!S$9*Operations!S63</f>
        <v>0.0936587282038191</v>
      </c>
      <c r="T86" s="20" t="n">
        <f aca="false">Inputs!$F$243/100*Inputs!$F$93*Inputs!$F$88/1000*Time!T$9*Operations!T63</f>
        <v>0.0960001964089146</v>
      </c>
      <c r="U86" s="20" t="n">
        <f aca="false">Inputs!$F$243/100*Inputs!$F$93*Inputs!$F$88/1000*Time!U$9*Operations!U63</f>
        <v>0.0984002013191375</v>
      </c>
      <c r="V86" s="20" t="n">
        <f aca="false">Inputs!$F$243/100*Inputs!$F$93*Inputs!$F$88/1000*Time!V$9*Operations!V63</f>
        <v>0.100860206352116</v>
      </c>
      <c r="W86" s="20" t="n">
        <f aca="false">Inputs!$F$243/100*Inputs!$F$93*Inputs!$F$88/1000*Time!W$9*Operations!W63</f>
        <v>0.103381711510919</v>
      </c>
      <c r="X86" s="20" t="n">
        <f aca="false">Inputs!$F$243/100*Inputs!$F$93*Inputs!$F$88/1000*Time!X$9*Operations!X63</f>
        <v>0.105966254298692</v>
      </c>
      <c r="Y86" s="20" t="n">
        <f aca="false">Inputs!$F$243/100*Inputs!$F$93*Inputs!$F$88/1000*Time!Y$9*Operations!Y63</f>
        <v>0.108615410656159</v>
      </c>
      <c r="Z86" s="20" t="n">
        <f aca="false">Inputs!$F$243/100*Inputs!$F$93*Inputs!$F$88/1000*Time!Z$9*Operations!Z63</f>
        <v>0.111330795922563</v>
      </c>
      <c r="AA86" s="20" t="n">
        <f aca="false">Inputs!$F$243/100*Inputs!$F$93*Inputs!$F$88/1000*Time!AA$9*Operations!AA63</f>
        <v>0.114114065820627</v>
      </c>
      <c r="AB86" s="20" t="n">
        <f aca="false">Inputs!$F$243/100*Inputs!$F$93*Inputs!$F$88/1000*Time!AB$9*Operations!AB63</f>
        <v>0.116966917466143</v>
      </c>
      <c r="AC86" s="20" t="n">
        <f aca="false">Inputs!$F$243/100*Inputs!$F$93*Inputs!$F$88/1000*Time!AC$9*Operations!AC63</f>
        <v>0.119891090402796</v>
      </c>
      <c r="AD86" s="20" t="n">
        <f aca="false">Inputs!$F$243/100*Inputs!$F$93*Inputs!$F$88/1000*Time!AD$9*Operations!AD63</f>
        <v>0.122888367662866</v>
      </c>
      <c r="AE86" s="20" t="n">
        <f aca="false">Inputs!$F$243/100*Inputs!$F$93*Inputs!$F$88/1000*Time!AE$9*Operations!AE63</f>
        <v>0.125960576854438</v>
      </c>
      <c r="AF86" s="20" t="n">
        <f aca="false">Inputs!$F$243/100*Inputs!$F$93*Inputs!$F$88/1000*Time!AF$9*Operations!AF63</f>
        <v>0.129109591275799</v>
      </c>
      <c r="AG86" s="20" t="n">
        <f aca="false">Inputs!$F$243/100*Inputs!$F$93*Inputs!$F$88/1000*Time!AG$9*Operations!AG63</f>
        <v>0</v>
      </c>
      <c r="AH86" s="20" t="n">
        <f aca="false">Inputs!$F$243/100*Inputs!$F$93*Inputs!$F$88/1000*Time!AH$9*Operations!AH63</f>
        <v>0</v>
      </c>
      <c r="AI86" s="20" t="n">
        <f aca="false">Inputs!$F$243/100*Inputs!$F$93*Inputs!$F$88/1000*Time!AI$9*Operations!AI63</f>
        <v>0</v>
      </c>
      <c r="AJ86" s="20" t="n">
        <f aca="false">Inputs!$F$243/100*Inputs!$F$93*Inputs!$F$88/1000*Time!AJ$9*Operations!AJ63</f>
        <v>0</v>
      </c>
      <c r="AK86" s="20" t="n">
        <f aca="false">Inputs!$F$243/100*Inputs!$F$93*Inputs!$F$88/1000*Time!AK$9*Operations!AK63</f>
        <v>0</v>
      </c>
      <c r="AL86" s="20" t="n">
        <f aca="false">Inputs!$F$243/100*Inputs!$F$93*Inputs!$F$88/1000*Time!AL$9*Operations!AL63</f>
        <v>0</v>
      </c>
      <c r="AM86" s="20" t="n">
        <f aca="false">Inputs!$F$243/100*Inputs!$F$93*Inputs!$F$88/1000*Time!AM$9*Operations!AM63</f>
        <v>0</v>
      </c>
      <c r="AN86" s="20" t="n">
        <f aca="false">Inputs!$F$243/100*Inputs!$F$93*Inputs!$F$88/1000*Time!AN$9*Operations!AN63</f>
        <v>0</v>
      </c>
      <c r="AO86" s="20" t="n">
        <f aca="false">Inputs!$F$243/100*Inputs!$F$93*Inputs!$F$88/1000*Time!AO$9*Operations!AO63</f>
        <v>0</v>
      </c>
      <c r="AP86" s="20" t="n">
        <f aca="false">Inputs!$F$243/100*Inputs!$F$93*Inputs!$F$88/1000*Time!AP$9*Operations!AP63</f>
        <v>0</v>
      </c>
      <c r="AQ86" s="20" t="n">
        <f aca="false">Inputs!$F$243/100*Inputs!$F$93*Inputs!$F$88/1000*Time!AQ$9*Operations!AQ63</f>
        <v>0</v>
      </c>
      <c r="AR86" s="20" t="n">
        <f aca="false">Inputs!$F$243/100*Inputs!$F$93*Inputs!$F$88/1000*Time!AR$9*Operations!AR63</f>
        <v>0</v>
      </c>
      <c r="AS86" s="20" t="n">
        <f aca="false">Inputs!$F$243/100*Inputs!$F$93*Inputs!$F$88/1000*Time!AS$9*Operations!AS63</f>
        <v>0</v>
      </c>
      <c r="AT86" s="20" t="n">
        <f aca="false">Inputs!$F$243/100*Inputs!$F$93*Inputs!$F$88/1000*Time!AT$9*Operations!AT63</f>
        <v>0</v>
      </c>
      <c r="AU86" s="20" t="n">
        <f aca="false">Inputs!$F$243/100*Inputs!$F$93*Inputs!$F$88/1000*Time!AU$9*Operations!AU63</f>
        <v>0</v>
      </c>
    </row>
    <row r="87" customFormat="false" ht="15" hidden="false" customHeight="false" outlineLevel="0" collapsed="false">
      <c r="D87" s="0" t="s">
        <v>483</v>
      </c>
      <c r="E87" s="0" t="s">
        <v>47</v>
      </c>
      <c r="J87" s="20" t="n">
        <f aca="false">Inputs!$F$244/100*Inputs!$F$245/100*Operations!J82</f>
        <v>0.17634344637756</v>
      </c>
      <c r="K87" s="20" t="n">
        <f aca="false">Inputs!$F$244/100*Inputs!$F$245/100*Operations!K82</f>
        <v>0.122171372066949</v>
      </c>
      <c r="L87" s="20" t="n">
        <f aca="false">Inputs!$F$244/100*Inputs!$F$245/100*Operations!L82</f>
        <v>0.104180407675768</v>
      </c>
      <c r="M87" s="20" t="n">
        <f aca="false">Inputs!$F$244/100*Inputs!$F$245/100*Operations!M82</f>
        <v>0.107569684151813</v>
      </c>
      <c r="N87" s="20" t="n">
        <f aca="false">Inputs!$F$244/100*Inputs!$F$245/100*Operations!N82</f>
        <v>0.10875472907636</v>
      </c>
      <c r="O87" s="20" t="n">
        <f aca="false">Inputs!$F$244/100*Inputs!$F$245/100*Operations!O82</f>
        <v>0.108820338681255</v>
      </c>
      <c r="P87" s="20" t="n">
        <f aca="false">Inputs!$F$244/100*Inputs!$F$245/100*Operations!P82</f>
        <v>0.107072947465257</v>
      </c>
      <c r="Q87" s="20" t="n">
        <f aca="false">Inputs!$F$244/100*Inputs!$F$245/100*Operations!Q82</f>
        <v>0.108696899867404</v>
      </c>
      <c r="R87" s="20" t="n">
        <f aca="false">Inputs!$F$244/100*Inputs!$F$245/100*Operations!R82</f>
        <v>0.110476173774758</v>
      </c>
      <c r="S87" s="20" t="n">
        <f aca="false">Inputs!$F$244/100*Inputs!$F$245/100*Operations!S82</f>
        <v>0.111433850449405</v>
      </c>
      <c r="T87" s="20" t="n">
        <f aca="false">Inputs!$F$244/100*Inputs!$F$245/100*Operations!T82</f>
        <v>0.112388297075712</v>
      </c>
      <c r="U87" s="20" t="n">
        <f aca="false">Inputs!$F$244/100*Inputs!$F$245/100*Operations!U82</f>
        <v>0.113338350120371</v>
      </c>
      <c r="V87" s="20" t="n">
        <f aca="false">Inputs!$F$244/100*Inputs!$F$245/100*Operations!V82</f>
        <v>0.114282855403449</v>
      </c>
      <c r="W87" s="20" t="n">
        <f aca="false">Inputs!$F$244/100*Inputs!$F$245/100*Operations!W82</f>
        <v>0.115220668051575</v>
      </c>
      <c r="X87" s="20" t="n">
        <f aca="false">Inputs!$F$244/100*Inputs!$F$245/100*Operations!X82</f>
        <v>0.11615065245131</v>
      </c>
      <c r="Y87" s="20" t="n">
        <f aca="false">Inputs!$F$244/100*Inputs!$F$245/100*Operations!Y82</f>
        <v>0.117091358115682</v>
      </c>
      <c r="Z87" s="20" t="n">
        <f aca="false">Inputs!$F$244/100*Inputs!$F$245/100*Operations!Z82</f>
        <v>0.118021526902352</v>
      </c>
      <c r="AA87" s="20" t="n">
        <f aca="false">Inputs!$F$244/100*Inputs!$F$245/100*Operations!AA82</f>
        <v>0.118940053253653</v>
      </c>
      <c r="AB87" s="20" t="n">
        <f aca="false">Inputs!$F$244/100*Inputs!$F$245/100*Operations!AB82</f>
        <v>0.119864821646683</v>
      </c>
      <c r="AC87" s="20" t="n">
        <f aca="false">Inputs!$F$244/100*Inputs!$F$245/100*Operations!AC82</f>
        <v>0.120775303735739</v>
      </c>
      <c r="AD87" s="20" t="n">
        <f aca="false">Inputs!$F$244/100*Inputs!$F$245/100*Operations!AD82</f>
        <v>0.121688945463649</v>
      </c>
      <c r="AE87" s="20" t="n">
        <f aca="false">Inputs!$F$244/100*Inputs!$F$245/100*Operations!AE82</f>
        <v>0.1238670849779</v>
      </c>
      <c r="AF87" s="20" t="n">
        <f aca="false">Inputs!$F$244/100*Inputs!$F$245/100*Operations!AF82</f>
        <v>0.126091368866184</v>
      </c>
      <c r="AG87" s="20" t="n">
        <f aca="false">Inputs!$F$244/100*Inputs!$F$245/100*Operations!AG82</f>
        <v>0</v>
      </c>
      <c r="AH87" s="20" t="n">
        <f aca="false">Inputs!$F$244/100*Inputs!$F$245/100*Operations!AH82</f>
        <v>0</v>
      </c>
      <c r="AI87" s="20" t="n">
        <f aca="false">Inputs!$F$244/100*Inputs!$F$245/100*Operations!AI82</f>
        <v>0</v>
      </c>
      <c r="AJ87" s="20" t="n">
        <f aca="false">Inputs!$F$244/100*Inputs!$F$245/100*Operations!AJ82</f>
        <v>0</v>
      </c>
      <c r="AK87" s="20" t="n">
        <f aca="false">Inputs!$F$244/100*Inputs!$F$245/100*Operations!AK82</f>
        <v>0</v>
      </c>
      <c r="AL87" s="20" t="n">
        <f aca="false">Inputs!$F$244/100*Inputs!$F$245/100*Operations!AL82</f>
        <v>0</v>
      </c>
      <c r="AM87" s="20" t="n">
        <f aca="false">Inputs!$F$244/100*Inputs!$F$245/100*Operations!AM82</f>
        <v>0</v>
      </c>
      <c r="AN87" s="20" t="n">
        <f aca="false">Inputs!$F$244/100*Inputs!$F$245/100*Operations!AN82</f>
        <v>0</v>
      </c>
      <c r="AO87" s="20" t="n">
        <f aca="false">Inputs!$F$244/100*Inputs!$F$245/100*Operations!AO82</f>
        <v>0</v>
      </c>
      <c r="AP87" s="20" t="n">
        <f aca="false">Inputs!$F$244/100*Inputs!$F$245/100*Operations!AP82</f>
        <v>0</v>
      </c>
      <c r="AQ87" s="20" t="n">
        <f aca="false">Inputs!$F$244/100*Inputs!$F$245/100*Operations!AQ82</f>
        <v>0</v>
      </c>
      <c r="AR87" s="20" t="n">
        <f aca="false">Inputs!$F$244/100*Inputs!$F$245/100*Operations!AR82</f>
        <v>0</v>
      </c>
      <c r="AS87" s="20" t="n">
        <f aca="false">Inputs!$F$244/100*Inputs!$F$245/100*Operations!AS82</f>
        <v>0</v>
      </c>
      <c r="AT87" s="20" t="n">
        <f aca="false">Inputs!$F$244/100*Inputs!$F$245/100*Operations!AT82</f>
        <v>0</v>
      </c>
      <c r="AU87" s="20" t="n">
        <f aca="false">Inputs!$F$244/100*Inputs!$F$245/100*Operations!AU82</f>
        <v>0</v>
      </c>
    </row>
    <row r="88" customFormat="false" ht="15" hidden="false" customHeight="false" outlineLevel="0" collapsed="false">
      <c r="D88" s="0" t="s">
        <v>484</v>
      </c>
      <c r="E88" s="0" t="s">
        <v>47</v>
      </c>
      <c r="G88" s="20" t="n">
        <f aca="false">SUM(J88:AU88)</f>
        <v>225.260471536977</v>
      </c>
      <c r="J88" s="20" t="n">
        <f aca="false">Operations!J82-Operations!J84-Operations!J85-Operations!J86-Operations!J87</f>
        <v>23.6279201198048</v>
      </c>
      <c r="K88" s="20" t="n">
        <f aca="false">Operations!K82-Operations!K84-Operations!K85-Operations!K86-Operations!K87</f>
        <v>13.2823131030324</v>
      </c>
      <c r="L88" s="20" t="n">
        <f aca="false">Operations!L82-Operations!L84-Operations!L85-Operations!L86-Operations!L87</f>
        <v>9.78714213260759</v>
      </c>
      <c r="M88" s="20" t="n">
        <f aca="false">Operations!M82-Operations!M84-Operations!M85-Operations!M86-Operations!M87</f>
        <v>10.174536040169</v>
      </c>
      <c r="N88" s="20" t="n">
        <f aca="false">Operations!N82-Operations!N84-Operations!N85-Operations!N86-Operations!N87</f>
        <v>10.1553504398614</v>
      </c>
      <c r="O88" s="20" t="n">
        <f aca="false">Operations!O82-Operations!O84-Operations!O85-Operations!O86-Operations!O87</f>
        <v>9.92672016859739</v>
      </c>
      <c r="P88" s="20" t="n">
        <f aca="false">Operations!P82-Operations!P84-Operations!P85-Operations!P86-Operations!P87</f>
        <v>9.36236870188427</v>
      </c>
      <c r="Q88" s="20" t="n">
        <f aca="false">Operations!Q82-Operations!Q84-Operations!Q85-Operations!Q86-Operations!Q87</f>
        <v>9.4049557558387</v>
      </c>
      <c r="R88" s="20" t="n">
        <f aca="false">Operations!R82-Operations!R84-Operations!R85-Operations!R86-Operations!R87</f>
        <v>9.46947062770333</v>
      </c>
      <c r="S88" s="20" t="n">
        <f aca="false">Operations!S82-Operations!S84-Operations!S85-Operations!S86-Operations!S87</f>
        <v>9.37809570431661</v>
      </c>
      <c r="T88" s="20" t="n">
        <f aca="false">Operations!T82-Operations!T84-Operations!T85-Operations!T86-Operations!T87</f>
        <v>9.27949499188681</v>
      </c>
      <c r="U88" s="20" t="n">
        <f aca="false">Operations!U82-Operations!U84-Operations!U85-Operations!U86-Operations!U87</f>
        <v>9.17329093402914</v>
      </c>
      <c r="V88" s="20" t="n">
        <f aca="false">Operations!V82-Operations!V84-Operations!V85-Operations!V86-Operations!V87</f>
        <v>9.05910352634817</v>
      </c>
      <c r="W88" s="20" t="n">
        <f aca="false">Operations!W82-Operations!W84-Operations!W85-Operations!W86-Operations!W87</f>
        <v>8.93655020419967</v>
      </c>
      <c r="X88" s="20" t="n">
        <f aca="false">Operations!X82-Operations!X84-Operations!X85-Operations!X86-Operations!X87</f>
        <v>8.80524572789331</v>
      </c>
      <c r="Y88" s="20" t="n">
        <f aca="false">Operations!Y82-Operations!Y84-Operations!Y85-Operations!Y86-Operations!Y87</f>
        <v>8.66838027058824</v>
      </c>
      <c r="Z88" s="20" t="n">
        <f aca="false">Operations!Z82-Operations!Z84-Operations!Z85-Operations!Z86-Operations!Z87</f>
        <v>8.52190011926718</v>
      </c>
      <c r="AA88" s="20" t="n">
        <f aca="false">Operations!AA82-Operations!AA84-Operations!AA85-Operations!AA86-Operations!AA87</f>
        <v>8.36541175818288</v>
      </c>
      <c r="AB88" s="20" t="n">
        <f aca="false">Operations!AB82-Operations!AB84-Operations!AB85-Operations!AB86-Operations!AB87</f>
        <v>8.20197033349893</v>
      </c>
      <c r="AC88" s="20" t="n">
        <f aca="false">Operations!AC82-Operations!AC84-Operations!AC85-Operations!AC86-Operations!AC87</f>
        <v>8.02764041333108</v>
      </c>
      <c r="AD88" s="20" t="n">
        <f aca="false">Operations!AD82-Operations!AD84-Operations!AD85-Operations!AD86-Operations!AD87</f>
        <v>7.84538740626987</v>
      </c>
      <c r="AE88" s="20" t="n">
        <f aca="false">Operations!AE82-Operations!AE84-Operations!AE85-Operations!AE86-Operations!AE87</f>
        <v>7.88438222174975</v>
      </c>
      <c r="AF88" s="20" t="n">
        <f aca="false">Operations!AF82-Operations!AF84-Operations!AF85-Operations!AF86-Operations!AF87</f>
        <v>7.92284083591689</v>
      </c>
      <c r="AG88" s="20" t="n">
        <f aca="false">Operations!AG82-Operations!AG84-Operations!AG85-Operations!AG86-Operations!AG87</f>
        <v>0</v>
      </c>
      <c r="AH88" s="20" t="n">
        <f aca="false">Operations!AH82-Operations!AH84-Operations!AH85-Operations!AH86-Operations!AH87</f>
        <v>0</v>
      </c>
      <c r="AI88" s="20" t="n">
        <f aca="false">Operations!AI82-Operations!AI84-Operations!AI85-Operations!AI86-Operations!AI87</f>
        <v>0</v>
      </c>
      <c r="AJ88" s="20" t="n">
        <f aca="false">Operations!AJ82-Operations!AJ84-Operations!AJ85-Operations!AJ86-Operations!AJ87</f>
        <v>0</v>
      </c>
      <c r="AK88" s="20" t="n">
        <f aca="false">Operations!AK82-Operations!AK84-Operations!AK85-Operations!AK86-Operations!AK87</f>
        <v>0</v>
      </c>
      <c r="AL88" s="20" t="n">
        <f aca="false">Operations!AL82-Operations!AL84-Operations!AL85-Operations!AL86-Operations!AL87</f>
        <v>0</v>
      </c>
      <c r="AM88" s="20" t="n">
        <f aca="false">Operations!AM82-Operations!AM84-Operations!AM85-Operations!AM86-Operations!AM87</f>
        <v>0</v>
      </c>
      <c r="AN88" s="20" t="n">
        <f aca="false">Operations!AN82-Operations!AN84-Operations!AN85-Operations!AN86-Operations!AN87</f>
        <v>0</v>
      </c>
      <c r="AO88" s="20" t="n">
        <f aca="false">Operations!AO82-Operations!AO84-Operations!AO85-Operations!AO86-Operations!AO87</f>
        <v>0</v>
      </c>
      <c r="AP88" s="20" t="n">
        <f aca="false">Operations!AP82-Operations!AP84-Operations!AP85-Operations!AP86-Operations!AP87</f>
        <v>0</v>
      </c>
      <c r="AQ88" s="20" t="n">
        <f aca="false">Operations!AQ82-Operations!AQ84-Operations!AQ85-Operations!AQ86-Operations!AQ87</f>
        <v>0</v>
      </c>
      <c r="AR88" s="20" t="n">
        <f aca="false">Operations!AR82-Operations!AR84-Operations!AR85-Operations!AR86-Operations!AR87</f>
        <v>0</v>
      </c>
      <c r="AS88" s="20" t="n">
        <f aca="false">Operations!AS82-Operations!AS84-Operations!AS85-Operations!AS86-Operations!AS87</f>
        <v>0</v>
      </c>
      <c r="AT88" s="20" t="n">
        <f aca="false">Operations!AT82-Operations!AT84-Operations!AT85-Operations!AT86-Operations!AT87</f>
        <v>0</v>
      </c>
      <c r="AU88" s="20" t="n">
        <f aca="false">Operations!AU82-Operations!AU84-Operations!AU85-Operations!AU86-Operations!AU87</f>
        <v>0</v>
      </c>
    </row>
    <row r="89" customFormat="false" ht="15" hidden="false" customHeight="false" outlineLevel="0" collapsed="false">
      <c r="D89" s="0" t="s">
        <v>485</v>
      </c>
      <c r="E89" s="0" t="s">
        <v>47</v>
      </c>
      <c r="J89" s="20" t="n">
        <f aca="false">0</f>
        <v>0</v>
      </c>
      <c r="K89" s="20" t="n">
        <f aca="false">0</f>
        <v>0</v>
      </c>
      <c r="L89" s="20" t="n">
        <f aca="false">0</f>
        <v>0</v>
      </c>
      <c r="M89" s="20" t="n">
        <f aca="false">0</f>
        <v>0</v>
      </c>
      <c r="N89" s="20" t="n">
        <f aca="false">0</f>
        <v>0</v>
      </c>
      <c r="O89" s="20" t="n">
        <f aca="false">0</f>
        <v>0</v>
      </c>
      <c r="P89" s="20" t="n">
        <f aca="false">0</f>
        <v>0</v>
      </c>
      <c r="Q89" s="20" t="n">
        <f aca="false">0</f>
        <v>0</v>
      </c>
      <c r="R89" s="20" t="n">
        <f aca="false">0</f>
        <v>0</v>
      </c>
      <c r="S89" s="20" t="n">
        <f aca="false">0</f>
        <v>0</v>
      </c>
      <c r="T89" s="20" t="n">
        <f aca="false">0</f>
        <v>0</v>
      </c>
      <c r="U89" s="20" t="n">
        <f aca="false">0</f>
        <v>0</v>
      </c>
      <c r="V89" s="20" t="n">
        <f aca="false">0</f>
        <v>0</v>
      </c>
      <c r="W89" s="20" t="n">
        <f aca="false">0</f>
        <v>0</v>
      </c>
      <c r="X89" s="20" t="n">
        <f aca="false">0</f>
        <v>0</v>
      </c>
      <c r="Y89" s="20" t="n">
        <f aca="false">0</f>
        <v>0</v>
      </c>
      <c r="Z89" s="20" t="n">
        <f aca="false">0</f>
        <v>0</v>
      </c>
      <c r="AA89" s="20" t="n">
        <f aca="false">0</f>
        <v>0</v>
      </c>
      <c r="AB89" s="20" t="n">
        <f aca="false">0</f>
        <v>0</v>
      </c>
      <c r="AC89" s="20" t="n">
        <f aca="false">0</f>
        <v>0</v>
      </c>
      <c r="AD89" s="20" t="n">
        <f aca="false">0</f>
        <v>0</v>
      </c>
      <c r="AE89" s="20" t="n">
        <f aca="false">0</f>
        <v>0</v>
      </c>
      <c r="AF89" s="20" t="n">
        <f aca="false">0</f>
        <v>0</v>
      </c>
      <c r="AG89" s="20" t="n">
        <f aca="false">0</f>
        <v>0</v>
      </c>
      <c r="AH89" s="20" t="n">
        <f aca="false">0</f>
        <v>0</v>
      </c>
      <c r="AI89" s="20" t="n">
        <f aca="false">0</f>
        <v>0</v>
      </c>
      <c r="AJ89" s="20" t="n">
        <f aca="false">0</f>
        <v>0</v>
      </c>
      <c r="AK89" s="20" t="n">
        <f aca="false">0</f>
        <v>0</v>
      </c>
      <c r="AL89" s="20" t="n">
        <f aca="false">0</f>
        <v>0</v>
      </c>
      <c r="AM89" s="20" t="n">
        <f aca="false">0</f>
        <v>0</v>
      </c>
      <c r="AN89" s="20" t="n">
        <f aca="false">0</f>
        <v>0</v>
      </c>
      <c r="AO89" s="20" t="n">
        <f aca="false">0</f>
        <v>0</v>
      </c>
      <c r="AP89" s="20" t="n">
        <f aca="false">0</f>
        <v>0</v>
      </c>
      <c r="AQ89" s="20" t="n">
        <f aca="false">0</f>
        <v>0</v>
      </c>
      <c r="AR89" s="20" t="n">
        <f aca="false">0</f>
        <v>0</v>
      </c>
      <c r="AS89" s="20" t="n">
        <f aca="false">0</f>
        <v>0</v>
      </c>
      <c r="AT89" s="20" t="n">
        <f aca="false">0</f>
        <v>0</v>
      </c>
      <c r="AU89" s="20" t="n">
        <f aca="false">0</f>
        <v>0</v>
      </c>
    </row>
    <row r="90" customFormat="false" ht="15" hidden="false" customHeight="false" outlineLevel="0" collapsed="false">
      <c r="D90" s="0" t="s">
        <v>486</v>
      </c>
      <c r="E90" s="0" t="s">
        <v>47</v>
      </c>
      <c r="J90" s="20" t="n">
        <f aca="false">IF(Time!J$4=YEAR(Inputs!$F$90),Inputs!$F$93*Inputs!$F$88/1000*Time!J$9,0)</f>
        <v>0</v>
      </c>
      <c r="K90" s="20" t="n">
        <f aca="false">IF(Time!K$4=YEAR(Inputs!$F$90),Inputs!$F$93*Inputs!$F$88/1000*Time!K$9,0)</f>
        <v>0</v>
      </c>
      <c r="L90" s="20" t="n">
        <f aca="false">IF(Time!L$4=YEAR(Inputs!$F$90),Inputs!$F$93*Inputs!$F$88/1000*Time!L$9,0)</f>
        <v>0</v>
      </c>
      <c r="M90" s="20" t="n">
        <f aca="false">IF(Time!M$4=YEAR(Inputs!$F$90),Inputs!$F$93*Inputs!$F$88/1000*Time!M$9,0)</f>
        <v>0</v>
      </c>
      <c r="N90" s="20" t="n">
        <f aca="false">IF(Time!N$4=YEAR(Inputs!$F$90),Inputs!$F$93*Inputs!$F$88/1000*Time!N$9,0)</f>
        <v>0</v>
      </c>
      <c r="O90" s="20" t="n">
        <f aca="false">IF(Time!O$4=YEAR(Inputs!$F$90),Inputs!$F$93*Inputs!$F$88/1000*Time!O$9,0)</f>
        <v>0</v>
      </c>
      <c r="P90" s="20" t="n">
        <f aca="false">IF(Time!P$4=YEAR(Inputs!$F$90),Inputs!$F$93*Inputs!$F$88/1000*Time!P$9,0)</f>
        <v>0</v>
      </c>
      <c r="Q90" s="20" t="n">
        <f aca="false">IF(Time!Q$4=YEAR(Inputs!$F$90),Inputs!$F$93*Inputs!$F$88/1000*Time!Q$9,0)</f>
        <v>0</v>
      </c>
      <c r="R90" s="20" t="n">
        <f aca="false">IF(Time!R$4=YEAR(Inputs!$F$90),Inputs!$F$93*Inputs!$F$88/1000*Time!R$9,0)</f>
        <v>0</v>
      </c>
      <c r="S90" s="20" t="n">
        <f aca="false">IF(Time!S$4=YEAR(Inputs!$F$90),Inputs!$F$93*Inputs!$F$88/1000*Time!S$9,0)</f>
        <v>0</v>
      </c>
      <c r="T90" s="20" t="n">
        <f aca="false">IF(Time!T$4=YEAR(Inputs!$F$90),Inputs!$F$93*Inputs!$F$88/1000*Time!T$9,0)</f>
        <v>0</v>
      </c>
      <c r="U90" s="20" t="n">
        <f aca="false">IF(Time!U$4=YEAR(Inputs!$F$90),Inputs!$F$93*Inputs!$F$88/1000*Time!U$9,0)</f>
        <v>0</v>
      </c>
      <c r="V90" s="20" t="n">
        <f aca="false">IF(Time!V$4=YEAR(Inputs!$F$90),Inputs!$F$93*Inputs!$F$88/1000*Time!V$9,0)</f>
        <v>0</v>
      </c>
      <c r="W90" s="20" t="n">
        <f aca="false">IF(Time!W$4=YEAR(Inputs!$F$90),Inputs!$F$93*Inputs!$F$88/1000*Time!W$9,0)</f>
        <v>0</v>
      </c>
      <c r="X90" s="20" t="n">
        <f aca="false">IF(Time!X$4=YEAR(Inputs!$F$90),Inputs!$F$93*Inputs!$F$88/1000*Time!X$9,0)</f>
        <v>0</v>
      </c>
      <c r="Y90" s="20" t="n">
        <f aca="false">IF(Time!Y$4=YEAR(Inputs!$F$90),Inputs!$F$93*Inputs!$F$88/1000*Time!Y$9,0)</f>
        <v>0</v>
      </c>
      <c r="Z90" s="20" t="n">
        <f aca="false">IF(Time!Z$4=YEAR(Inputs!$F$90),Inputs!$F$93*Inputs!$F$88/1000*Time!Z$9,0)</f>
        <v>0</v>
      </c>
      <c r="AA90" s="20" t="n">
        <f aca="false">IF(Time!AA$4=YEAR(Inputs!$F$90),Inputs!$F$93*Inputs!$F$88/1000*Time!AA$9,0)</f>
        <v>0</v>
      </c>
      <c r="AB90" s="20" t="n">
        <f aca="false">IF(Time!AB$4=YEAR(Inputs!$F$90),Inputs!$F$93*Inputs!$F$88/1000*Time!AB$9,0)</f>
        <v>0</v>
      </c>
      <c r="AC90" s="20" t="n">
        <f aca="false">IF(Time!AC$4=YEAR(Inputs!$F$90),Inputs!$F$93*Inputs!$F$88/1000*Time!AC$9,0)</f>
        <v>0</v>
      </c>
      <c r="AD90" s="20" t="n">
        <f aca="false">IF(Time!AD$4=YEAR(Inputs!$F$90),Inputs!$F$93*Inputs!$F$88/1000*Time!AD$9,0)</f>
        <v>0</v>
      </c>
      <c r="AE90" s="20" t="n">
        <f aca="false">IF(Time!AE$4=YEAR(Inputs!$F$90),Inputs!$F$93*Inputs!$F$88/1000*Time!AE$9,0)</f>
        <v>0</v>
      </c>
      <c r="AF90" s="20" t="n">
        <f aca="false">IF(Time!AF$4=YEAR(Inputs!$F$90),Inputs!$F$93*Inputs!$F$88/1000*Time!AF$9,0)</f>
        <v>21.5182652126331</v>
      </c>
      <c r="AG90" s="20" t="n">
        <f aca="false">IF(Time!AG$4=YEAR(Inputs!$F$90),Inputs!$F$93*Inputs!$F$88/1000*Time!AG$9,0)</f>
        <v>0</v>
      </c>
      <c r="AH90" s="20" t="n">
        <f aca="false">IF(Time!AH$4=YEAR(Inputs!$F$90),Inputs!$F$93*Inputs!$F$88/1000*Time!AH$9,0)</f>
        <v>0</v>
      </c>
      <c r="AI90" s="20" t="n">
        <f aca="false">IF(Time!AI$4=YEAR(Inputs!$F$90),Inputs!$F$93*Inputs!$F$88/1000*Time!AI$9,0)</f>
        <v>0</v>
      </c>
      <c r="AJ90" s="20" t="n">
        <f aca="false">IF(Time!AJ$4=YEAR(Inputs!$F$90),Inputs!$F$93*Inputs!$F$88/1000*Time!AJ$9,0)</f>
        <v>0</v>
      </c>
      <c r="AK90" s="20" t="n">
        <f aca="false">IF(Time!AK$4=YEAR(Inputs!$F$90),Inputs!$F$93*Inputs!$F$88/1000*Time!AK$9,0)</f>
        <v>0</v>
      </c>
      <c r="AL90" s="20" t="n">
        <f aca="false">IF(Time!AL$4=YEAR(Inputs!$F$90),Inputs!$F$93*Inputs!$F$88/1000*Time!AL$9,0)</f>
        <v>0</v>
      </c>
      <c r="AM90" s="20" t="n">
        <f aca="false">IF(Time!AM$4=YEAR(Inputs!$F$90),Inputs!$F$93*Inputs!$F$88/1000*Time!AM$9,0)</f>
        <v>0</v>
      </c>
      <c r="AN90" s="20" t="n">
        <f aca="false">IF(Time!AN$4=YEAR(Inputs!$F$90),Inputs!$F$93*Inputs!$F$88/1000*Time!AN$9,0)</f>
        <v>0</v>
      </c>
      <c r="AO90" s="20" t="n">
        <f aca="false">IF(Time!AO$4=YEAR(Inputs!$F$90),Inputs!$F$93*Inputs!$F$88/1000*Time!AO$9,0)</f>
        <v>0</v>
      </c>
      <c r="AP90" s="20" t="n">
        <f aca="false">IF(Time!AP$4=YEAR(Inputs!$F$90),Inputs!$F$93*Inputs!$F$88/1000*Time!AP$9,0)</f>
        <v>0</v>
      </c>
      <c r="AQ90" s="20" t="n">
        <f aca="false">IF(Time!AQ$4=YEAR(Inputs!$F$90),Inputs!$F$93*Inputs!$F$88/1000*Time!AQ$9,0)</f>
        <v>0</v>
      </c>
      <c r="AR90" s="20" t="n">
        <f aca="false">IF(Time!AR$4=YEAR(Inputs!$F$90),Inputs!$F$93*Inputs!$F$88/1000*Time!AR$9,0)</f>
        <v>0</v>
      </c>
      <c r="AS90" s="20" t="n">
        <f aca="false">IF(Time!AS$4=YEAR(Inputs!$F$90),Inputs!$F$93*Inputs!$F$88/1000*Time!AS$9,0)</f>
        <v>0</v>
      </c>
      <c r="AT90" s="20" t="n">
        <f aca="false">IF(Time!AT$4=YEAR(Inputs!$F$90),Inputs!$F$93*Inputs!$F$88/1000*Time!AT$9,0)</f>
        <v>0</v>
      </c>
      <c r="AU90" s="20" t="n">
        <f aca="false">IF(Time!AU$4=YEAR(Inputs!$F$90),Inputs!$F$93*Inputs!$F$88/1000*Time!AU$9,0)</f>
        <v>0</v>
      </c>
    </row>
    <row r="91" customFormat="false" ht="15" hidden="false" customHeight="false" outlineLevel="0" collapsed="false">
      <c r="D91" s="0" t="s">
        <v>487</v>
      </c>
      <c r="E91" s="0" t="s">
        <v>47</v>
      </c>
      <c r="G91" s="20" t="n">
        <f aca="false">SUM(J91:AU91)</f>
        <v>203.742206324344</v>
      </c>
      <c r="J91" s="20" t="n">
        <f aca="false">Operations!J88-Operations!J89-Operations!J90</f>
        <v>23.6279201198048</v>
      </c>
      <c r="K91" s="20" t="n">
        <f aca="false">Operations!K88-Operations!K89-Operations!K90</f>
        <v>13.2823131030324</v>
      </c>
      <c r="L91" s="20" t="n">
        <f aca="false">Operations!L88-Operations!L89-Operations!L90</f>
        <v>9.78714213260759</v>
      </c>
      <c r="M91" s="20" t="n">
        <f aca="false">Operations!M88-Operations!M89-Operations!M90</f>
        <v>10.174536040169</v>
      </c>
      <c r="N91" s="20" t="n">
        <f aca="false">Operations!N88-Operations!N89-Operations!N90</f>
        <v>10.1553504398614</v>
      </c>
      <c r="O91" s="20" t="n">
        <f aca="false">Operations!O88-Operations!O89-Operations!O90</f>
        <v>9.92672016859739</v>
      </c>
      <c r="P91" s="20" t="n">
        <f aca="false">Operations!P88-Operations!P89-Operations!P90</f>
        <v>9.36236870188427</v>
      </c>
      <c r="Q91" s="20" t="n">
        <f aca="false">Operations!Q88-Operations!Q89-Operations!Q90</f>
        <v>9.4049557558387</v>
      </c>
      <c r="R91" s="20" t="n">
        <f aca="false">Operations!R88-Operations!R89-Operations!R90</f>
        <v>9.46947062770333</v>
      </c>
      <c r="S91" s="20" t="n">
        <f aca="false">Operations!S88-Operations!S89-Operations!S90</f>
        <v>9.37809570431661</v>
      </c>
      <c r="T91" s="20" t="n">
        <f aca="false">Operations!T88-Operations!T89-Operations!T90</f>
        <v>9.27949499188681</v>
      </c>
      <c r="U91" s="20" t="n">
        <f aca="false">Operations!U88-Operations!U89-Operations!U90</f>
        <v>9.17329093402914</v>
      </c>
      <c r="V91" s="20" t="n">
        <f aca="false">Operations!V88-Operations!V89-Operations!V90</f>
        <v>9.05910352634817</v>
      </c>
      <c r="W91" s="20" t="n">
        <f aca="false">Operations!W88-Operations!W89-Operations!W90</f>
        <v>8.93655020419967</v>
      </c>
      <c r="X91" s="20" t="n">
        <f aca="false">Operations!X88-Operations!X89-Operations!X90</f>
        <v>8.80524572789331</v>
      </c>
      <c r="Y91" s="20" t="n">
        <f aca="false">Operations!Y88-Operations!Y89-Operations!Y90</f>
        <v>8.66838027058824</v>
      </c>
      <c r="Z91" s="20" t="n">
        <f aca="false">Operations!Z88-Operations!Z89-Operations!Z90</f>
        <v>8.52190011926718</v>
      </c>
      <c r="AA91" s="20" t="n">
        <f aca="false">Operations!AA88-Operations!AA89-Operations!AA90</f>
        <v>8.36541175818288</v>
      </c>
      <c r="AB91" s="20" t="n">
        <f aca="false">Operations!AB88-Operations!AB89-Operations!AB90</f>
        <v>8.20197033349893</v>
      </c>
      <c r="AC91" s="20" t="n">
        <f aca="false">Operations!AC88-Operations!AC89-Operations!AC90</f>
        <v>8.02764041333108</v>
      </c>
      <c r="AD91" s="20" t="n">
        <f aca="false">Operations!AD88-Operations!AD89-Operations!AD90</f>
        <v>7.84538740626987</v>
      </c>
      <c r="AE91" s="20" t="n">
        <f aca="false">Operations!AE88-Operations!AE89-Operations!AE90</f>
        <v>7.88438222174975</v>
      </c>
      <c r="AF91" s="20" t="n">
        <f aca="false">Operations!AF88-Operations!AF89-Operations!AF90</f>
        <v>-13.5954243767162</v>
      </c>
      <c r="AG91" s="20" t="n">
        <f aca="false">Operations!AG88-Operations!AG89-Operations!AG90</f>
        <v>0</v>
      </c>
      <c r="AH91" s="20" t="n">
        <f aca="false">Operations!AH88-Operations!AH89-Operations!AH90</f>
        <v>0</v>
      </c>
      <c r="AI91" s="20" t="n">
        <f aca="false">Operations!AI88-Operations!AI89-Operations!AI90</f>
        <v>0</v>
      </c>
      <c r="AJ91" s="20" t="n">
        <f aca="false">Operations!AJ88-Operations!AJ89-Operations!AJ90</f>
        <v>0</v>
      </c>
      <c r="AK91" s="20" t="n">
        <f aca="false">Operations!AK88-Operations!AK89-Operations!AK90</f>
        <v>0</v>
      </c>
      <c r="AL91" s="20" t="n">
        <f aca="false">Operations!AL88-Operations!AL89-Operations!AL90</f>
        <v>0</v>
      </c>
      <c r="AM91" s="20" t="n">
        <f aca="false">Operations!AM88-Operations!AM89-Operations!AM90</f>
        <v>0</v>
      </c>
      <c r="AN91" s="20" t="n">
        <f aca="false">Operations!AN88-Operations!AN89-Operations!AN90</f>
        <v>0</v>
      </c>
      <c r="AO91" s="20" t="n">
        <f aca="false">Operations!AO88-Operations!AO89-Operations!AO90</f>
        <v>0</v>
      </c>
      <c r="AP91" s="20" t="n">
        <f aca="false">Operations!AP88-Operations!AP89-Operations!AP90</f>
        <v>0</v>
      </c>
      <c r="AQ91" s="20" t="n">
        <f aca="false">Operations!AQ88-Operations!AQ89-Operations!AQ90</f>
        <v>0</v>
      </c>
      <c r="AR91" s="20" t="n">
        <f aca="false">Operations!AR88-Operations!AR89-Operations!AR90</f>
        <v>0</v>
      </c>
      <c r="AS91" s="20" t="n">
        <f aca="false">Operations!AS88-Operations!AS89-Operations!AS90</f>
        <v>0</v>
      </c>
      <c r="AT91" s="20" t="n">
        <f aca="false">Operations!AT88-Operations!AT89-Operations!AT90</f>
        <v>0</v>
      </c>
      <c r="AU91" s="20" t="n">
        <f aca="false">Operations!AU88-Operations!AU89-Operations!AU90</f>
        <v>0</v>
      </c>
    </row>
    <row r="92" customFormat="false" ht="15" hidden="false" customHeight="false" outlineLevel="0" collapsed="false">
      <c r="D92" s="0" t="s">
        <v>488</v>
      </c>
      <c r="E92" s="0" t="s">
        <v>458</v>
      </c>
      <c r="J92" s="14" t="n">
        <f aca="false">0</f>
        <v>0</v>
      </c>
      <c r="K92" s="14" t="n">
        <f aca="false">0</f>
        <v>0</v>
      </c>
      <c r="L92" s="14" t="n">
        <f aca="false">0</f>
        <v>0</v>
      </c>
      <c r="M92" s="14" t="n">
        <f aca="false">0</f>
        <v>0</v>
      </c>
      <c r="N92" s="14" t="n">
        <f aca="false">0</f>
        <v>0</v>
      </c>
      <c r="O92" s="14" t="n">
        <f aca="false">0</f>
        <v>0</v>
      </c>
      <c r="P92" s="14" t="n">
        <f aca="false">0</f>
        <v>0</v>
      </c>
      <c r="Q92" s="14" t="n">
        <f aca="false">0</f>
        <v>0</v>
      </c>
      <c r="R92" s="14" t="n">
        <f aca="false">0</f>
        <v>0</v>
      </c>
      <c r="S92" s="14" t="n">
        <f aca="false">0</f>
        <v>0</v>
      </c>
      <c r="T92" s="14" t="n">
        <f aca="false">0</f>
        <v>0</v>
      </c>
      <c r="U92" s="14" t="n">
        <f aca="false">0</f>
        <v>0</v>
      </c>
      <c r="V92" s="14" t="n">
        <f aca="false">0</f>
        <v>0</v>
      </c>
      <c r="W92" s="14" t="n">
        <f aca="false">0</f>
        <v>0</v>
      </c>
      <c r="X92" s="14" t="n">
        <f aca="false">0</f>
        <v>0</v>
      </c>
      <c r="Y92" s="14" t="n">
        <f aca="false">0</f>
        <v>0</v>
      </c>
      <c r="Z92" s="14" t="n">
        <f aca="false">0</f>
        <v>0</v>
      </c>
      <c r="AA92" s="14" t="n">
        <f aca="false">0</f>
        <v>0</v>
      </c>
      <c r="AB92" s="14" t="n">
        <f aca="false">0</f>
        <v>0</v>
      </c>
      <c r="AC92" s="14" t="n">
        <f aca="false">0</f>
        <v>0</v>
      </c>
      <c r="AD92" s="14" t="n">
        <f aca="false">0</f>
        <v>0</v>
      </c>
      <c r="AE92" s="14" t="n">
        <f aca="false">0</f>
        <v>0</v>
      </c>
      <c r="AF92" s="14" t="n">
        <f aca="false">0</f>
        <v>0</v>
      </c>
      <c r="AG92" s="14" t="n">
        <f aca="false">0</f>
        <v>0</v>
      </c>
      <c r="AH92" s="14" t="n">
        <f aca="false">0</f>
        <v>0</v>
      </c>
      <c r="AI92" s="14" t="n">
        <f aca="false">0</f>
        <v>0</v>
      </c>
      <c r="AJ92" s="14" t="n">
        <f aca="false">0</f>
        <v>0</v>
      </c>
      <c r="AK92" s="14" t="n">
        <f aca="false">0</f>
        <v>0</v>
      </c>
      <c r="AL92" s="14" t="n">
        <f aca="false">0</f>
        <v>0</v>
      </c>
      <c r="AM92" s="14" t="n">
        <f aca="false">0</f>
        <v>0</v>
      </c>
      <c r="AN92" s="14" t="n">
        <f aca="false">0</f>
        <v>0</v>
      </c>
      <c r="AO92" s="14" t="n">
        <f aca="false">0</f>
        <v>0</v>
      </c>
      <c r="AP92" s="14" t="n">
        <f aca="false">0</f>
        <v>0</v>
      </c>
      <c r="AQ92" s="14" t="n">
        <f aca="false">0</f>
        <v>0</v>
      </c>
      <c r="AR92" s="14" t="n">
        <f aca="false">0</f>
        <v>0</v>
      </c>
      <c r="AS92" s="14" t="n">
        <f aca="false">0</f>
        <v>0</v>
      </c>
      <c r="AT92" s="14" t="n">
        <f aca="false">0</f>
        <v>0</v>
      </c>
      <c r="AU92" s="14" t="n">
        <f aca="false">0</f>
        <v>0</v>
      </c>
    </row>
    <row r="93" customFormat="false" ht="15" hidden="false" customHeight="false" outlineLevel="0" collapsed="false">
      <c r="D93" s="0" t="s">
        <v>489</v>
      </c>
      <c r="E93" s="0" t="s">
        <v>458</v>
      </c>
      <c r="J93" s="14" t="n">
        <f aca="false">1</f>
        <v>1</v>
      </c>
      <c r="K93" s="14" t="n">
        <f aca="false">1</f>
        <v>1</v>
      </c>
      <c r="L93" s="14" t="n">
        <f aca="false">1</f>
        <v>1</v>
      </c>
      <c r="M93" s="14" t="n">
        <f aca="false">1</f>
        <v>1</v>
      </c>
      <c r="N93" s="14" t="n">
        <f aca="false">1</f>
        <v>1</v>
      </c>
      <c r="O93" s="14" t="n">
        <f aca="false">1</f>
        <v>1</v>
      </c>
      <c r="P93" s="14" t="n">
        <f aca="false">1</f>
        <v>1</v>
      </c>
      <c r="Q93" s="14" t="n">
        <f aca="false">1</f>
        <v>1</v>
      </c>
      <c r="R93" s="14" t="n">
        <f aca="false">1</f>
        <v>1</v>
      </c>
      <c r="S93" s="14" t="n">
        <f aca="false">1</f>
        <v>1</v>
      </c>
      <c r="T93" s="14" t="n">
        <f aca="false">1</f>
        <v>1</v>
      </c>
      <c r="U93" s="14" t="n">
        <f aca="false">1</f>
        <v>1</v>
      </c>
      <c r="V93" s="14" t="n">
        <f aca="false">1</f>
        <v>1</v>
      </c>
      <c r="W93" s="14" t="n">
        <f aca="false">1</f>
        <v>1</v>
      </c>
      <c r="X93" s="14" t="n">
        <f aca="false">1</f>
        <v>1</v>
      </c>
      <c r="Y93" s="14" t="n">
        <f aca="false">1</f>
        <v>1</v>
      </c>
      <c r="Z93" s="14" t="n">
        <f aca="false">1</f>
        <v>1</v>
      </c>
      <c r="AA93" s="14" t="n">
        <f aca="false">1</f>
        <v>1</v>
      </c>
      <c r="AB93" s="14" t="n">
        <f aca="false">1</f>
        <v>1</v>
      </c>
      <c r="AC93" s="14" t="n">
        <f aca="false">1</f>
        <v>1</v>
      </c>
      <c r="AD93" s="14" t="n">
        <f aca="false">1</f>
        <v>1</v>
      </c>
      <c r="AE93" s="14" t="n">
        <f aca="false">1</f>
        <v>1</v>
      </c>
      <c r="AF93" s="14" t="n">
        <f aca="false">1</f>
        <v>1</v>
      </c>
      <c r="AG93" s="14" t="n">
        <f aca="false">1</f>
        <v>1</v>
      </c>
      <c r="AH93" s="14" t="n">
        <f aca="false">1</f>
        <v>1</v>
      </c>
      <c r="AI93" s="14" t="n">
        <f aca="false">1</f>
        <v>1</v>
      </c>
      <c r="AJ93" s="14" t="n">
        <f aca="false">1</f>
        <v>1</v>
      </c>
      <c r="AK93" s="14" t="n">
        <f aca="false">1</f>
        <v>1</v>
      </c>
      <c r="AL93" s="14" t="n">
        <f aca="false">1</f>
        <v>1</v>
      </c>
      <c r="AM93" s="14" t="n">
        <f aca="false">1</f>
        <v>1</v>
      </c>
      <c r="AN93" s="14" t="n">
        <f aca="false">1</f>
        <v>1</v>
      </c>
      <c r="AO93" s="14" t="n">
        <f aca="false">1</f>
        <v>1</v>
      </c>
      <c r="AP93" s="14" t="n">
        <f aca="false">1</f>
        <v>1</v>
      </c>
      <c r="AQ93" s="14" t="n">
        <f aca="false">1</f>
        <v>1</v>
      </c>
      <c r="AR93" s="14" t="n">
        <f aca="false">1</f>
        <v>1</v>
      </c>
      <c r="AS93" s="14" t="n">
        <f aca="false">1</f>
        <v>1</v>
      </c>
      <c r="AT93" s="14" t="n">
        <f aca="false">1</f>
        <v>1</v>
      </c>
      <c r="AU93" s="14" t="n">
        <f aca="false">1</f>
        <v>1</v>
      </c>
    </row>
    <row r="94" customFormat="false" ht="15" hidden="false" customHeight="false" outlineLevel="0" collapsed="false">
      <c r="D94" s="0" t="s">
        <v>490</v>
      </c>
      <c r="E94" s="0" t="s">
        <v>47</v>
      </c>
      <c r="G94" s="20" t="n">
        <f aca="false">SUM(J94:AU94)</f>
        <v>198.498750078579</v>
      </c>
      <c r="J94" s="20" t="n">
        <f aca="false">Operations!J91*(1-Operations!J92)*Operations!J65</f>
        <v>18.3844638740399</v>
      </c>
      <c r="K94" s="20" t="n">
        <f aca="false">Operations!K91*(1-Operations!K92)*Operations!K65</f>
        <v>13.2823131030324</v>
      </c>
      <c r="L94" s="20" t="n">
        <f aca="false">Operations!L91*(1-Operations!L92)*Operations!L65</f>
        <v>9.78714213260759</v>
      </c>
      <c r="M94" s="20" t="n">
        <f aca="false">Operations!M91*(1-Operations!M92)*Operations!M65</f>
        <v>10.174536040169</v>
      </c>
      <c r="N94" s="20" t="n">
        <f aca="false">Operations!N91*(1-Operations!N92)*Operations!N65</f>
        <v>10.1553504398614</v>
      </c>
      <c r="O94" s="20" t="n">
        <f aca="false">Operations!O91*(1-Operations!O92)*Operations!O65</f>
        <v>9.92672016859739</v>
      </c>
      <c r="P94" s="20" t="n">
        <f aca="false">Operations!P91*(1-Operations!P92)*Operations!P65</f>
        <v>9.36236870188427</v>
      </c>
      <c r="Q94" s="20" t="n">
        <f aca="false">Operations!Q91*(1-Operations!Q92)*Operations!Q65</f>
        <v>9.4049557558387</v>
      </c>
      <c r="R94" s="20" t="n">
        <f aca="false">Operations!R91*(1-Operations!R92)*Operations!R65</f>
        <v>9.46947062770333</v>
      </c>
      <c r="S94" s="20" t="n">
        <f aca="false">Operations!S91*(1-Operations!S92)*Operations!S65</f>
        <v>9.37809570431661</v>
      </c>
      <c r="T94" s="20" t="n">
        <f aca="false">Operations!T91*(1-Operations!T92)*Operations!T65</f>
        <v>9.27949499188681</v>
      </c>
      <c r="U94" s="20" t="n">
        <f aca="false">Operations!U91*(1-Operations!U92)*Operations!U65</f>
        <v>9.17329093402914</v>
      </c>
      <c r="V94" s="20" t="n">
        <f aca="false">Operations!V91*(1-Operations!V92)*Operations!V65</f>
        <v>9.05910352634817</v>
      </c>
      <c r="W94" s="20" t="n">
        <f aca="false">Operations!W91*(1-Operations!W92)*Operations!W65</f>
        <v>8.93655020419967</v>
      </c>
      <c r="X94" s="20" t="n">
        <f aca="false">Operations!X91*(1-Operations!X92)*Operations!X65</f>
        <v>8.80524572789331</v>
      </c>
      <c r="Y94" s="20" t="n">
        <f aca="false">Operations!Y91*(1-Operations!Y92)*Operations!Y65</f>
        <v>8.66838027058824</v>
      </c>
      <c r="Z94" s="20" t="n">
        <f aca="false">Operations!Z91*(1-Operations!Z92)*Operations!Z65</f>
        <v>8.52190011926718</v>
      </c>
      <c r="AA94" s="20" t="n">
        <f aca="false">Operations!AA91*(1-Operations!AA92)*Operations!AA65</f>
        <v>8.36541175818288</v>
      </c>
      <c r="AB94" s="20" t="n">
        <f aca="false">Operations!AB91*(1-Operations!AB92)*Operations!AB65</f>
        <v>8.20197033349893</v>
      </c>
      <c r="AC94" s="20" t="n">
        <f aca="false">Operations!AC91*(1-Operations!AC92)*Operations!AC65</f>
        <v>8.02764041333108</v>
      </c>
      <c r="AD94" s="20" t="n">
        <f aca="false">Operations!AD91*(1-Operations!AD92)*Operations!AD65</f>
        <v>7.84538740626987</v>
      </c>
      <c r="AE94" s="20" t="n">
        <f aca="false">Operations!AE91*(1-Operations!AE92)*Operations!AE65</f>
        <v>7.88438222174975</v>
      </c>
      <c r="AF94" s="20" t="n">
        <f aca="false">Operations!AF91*(1-Operations!AF92)*Operations!AF65</f>
        <v>-13.5954243767162</v>
      </c>
      <c r="AG94" s="20" t="n">
        <f aca="false">Operations!AG91*(1-Operations!AG92)*Operations!AG65</f>
        <v>0</v>
      </c>
      <c r="AH94" s="20" t="n">
        <f aca="false">Operations!AH91*(1-Operations!AH92)*Operations!AH65</f>
        <v>0</v>
      </c>
      <c r="AI94" s="20" t="n">
        <f aca="false">Operations!AI91*(1-Operations!AI92)*Operations!AI65</f>
        <v>0</v>
      </c>
      <c r="AJ94" s="20" t="n">
        <f aca="false">Operations!AJ91*(1-Operations!AJ92)*Operations!AJ65</f>
        <v>0</v>
      </c>
      <c r="AK94" s="20" t="n">
        <f aca="false">Operations!AK91*(1-Operations!AK92)*Operations!AK65</f>
        <v>0</v>
      </c>
      <c r="AL94" s="20" t="n">
        <f aca="false">Operations!AL91*(1-Operations!AL92)*Operations!AL65</f>
        <v>0</v>
      </c>
      <c r="AM94" s="20" t="n">
        <f aca="false">Operations!AM91*(1-Operations!AM92)*Operations!AM65</f>
        <v>0</v>
      </c>
      <c r="AN94" s="20" t="n">
        <f aca="false">Operations!AN91*(1-Operations!AN92)*Operations!AN65</f>
        <v>0</v>
      </c>
      <c r="AO94" s="20" t="n">
        <f aca="false">Operations!AO91*(1-Operations!AO92)*Operations!AO65</f>
        <v>0</v>
      </c>
      <c r="AP94" s="20" t="n">
        <f aca="false">Operations!AP91*(1-Operations!AP92)*Operations!AP65</f>
        <v>0</v>
      </c>
      <c r="AQ94" s="20" t="n">
        <f aca="false">Operations!AQ91*(1-Operations!AQ92)*Operations!AQ65</f>
        <v>0</v>
      </c>
      <c r="AR94" s="20" t="n">
        <f aca="false">Operations!AR91*(1-Operations!AR92)*Operations!AR65</f>
        <v>0</v>
      </c>
      <c r="AS94" s="20" t="n">
        <f aca="false">Operations!AS91*(1-Operations!AS92)*Operations!AS65</f>
        <v>0</v>
      </c>
      <c r="AT94" s="20" t="n">
        <f aca="false">Operations!AT91*(1-Operations!AT92)*Operations!AT65</f>
        <v>0</v>
      </c>
      <c r="AU94" s="20" t="n">
        <f aca="false">Operations!AU91*(1-Operations!AU92)*Operations!AU65</f>
        <v>0</v>
      </c>
    </row>
    <row r="95" customFormat="false" ht="15" hidden="false" customHeight="false" outlineLevel="0" collapsed="false">
      <c r="D95" s="0" t="s">
        <v>491</v>
      </c>
      <c r="E95" s="0" t="s">
        <v>47</v>
      </c>
      <c r="J95" s="20" t="n">
        <f aca="false">Operations!J91*Operations!J93*Operations!J65</f>
        <v>18.3844638740399</v>
      </c>
      <c r="K95" s="20" t="n">
        <f aca="false">Operations!K91*Operations!K93*Operations!K65</f>
        <v>13.2823131030324</v>
      </c>
      <c r="L95" s="20" t="n">
        <f aca="false">Operations!L91*Operations!L93*Operations!L65</f>
        <v>9.78714213260759</v>
      </c>
      <c r="M95" s="20" t="n">
        <f aca="false">Operations!M91*Operations!M93*Operations!M65</f>
        <v>10.174536040169</v>
      </c>
      <c r="N95" s="20" t="n">
        <f aca="false">Operations!N91*Operations!N93*Operations!N65</f>
        <v>10.1553504398614</v>
      </c>
      <c r="O95" s="20" t="n">
        <f aca="false">Operations!O91*Operations!O93*Operations!O65</f>
        <v>9.92672016859739</v>
      </c>
      <c r="P95" s="20" t="n">
        <f aca="false">Operations!P91*Operations!P93*Operations!P65</f>
        <v>9.36236870188427</v>
      </c>
      <c r="Q95" s="20" t="n">
        <f aca="false">Operations!Q91*Operations!Q93*Operations!Q65</f>
        <v>9.4049557558387</v>
      </c>
      <c r="R95" s="20" t="n">
        <f aca="false">Operations!R91*Operations!R93*Operations!R65</f>
        <v>9.46947062770333</v>
      </c>
      <c r="S95" s="20" t="n">
        <f aca="false">Operations!S91*Operations!S93*Operations!S65</f>
        <v>9.37809570431661</v>
      </c>
      <c r="T95" s="20" t="n">
        <f aca="false">Operations!T91*Operations!T93*Operations!T65</f>
        <v>9.27949499188681</v>
      </c>
      <c r="U95" s="20" t="n">
        <f aca="false">Operations!U91*Operations!U93*Operations!U65</f>
        <v>9.17329093402914</v>
      </c>
      <c r="V95" s="20" t="n">
        <f aca="false">Operations!V91*Operations!V93*Operations!V65</f>
        <v>9.05910352634817</v>
      </c>
      <c r="W95" s="20" t="n">
        <f aca="false">Operations!W91*Operations!W93*Operations!W65</f>
        <v>8.93655020419967</v>
      </c>
      <c r="X95" s="20" t="n">
        <f aca="false">Operations!X91*Operations!X93*Operations!X65</f>
        <v>8.80524572789331</v>
      </c>
      <c r="Y95" s="20" t="n">
        <f aca="false">Operations!Y91*Operations!Y93*Operations!Y65</f>
        <v>8.66838027058824</v>
      </c>
      <c r="Z95" s="20" t="n">
        <f aca="false">Operations!Z91*Operations!Z93*Operations!Z65</f>
        <v>8.52190011926718</v>
      </c>
      <c r="AA95" s="20" t="n">
        <f aca="false">Operations!AA91*Operations!AA93*Operations!AA65</f>
        <v>8.36541175818288</v>
      </c>
      <c r="AB95" s="20" t="n">
        <f aca="false">Operations!AB91*Operations!AB93*Operations!AB65</f>
        <v>8.20197033349893</v>
      </c>
      <c r="AC95" s="20" t="n">
        <f aca="false">Operations!AC91*Operations!AC93*Operations!AC65</f>
        <v>8.02764041333108</v>
      </c>
      <c r="AD95" s="20" t="n">
        <f aca="false">Operations!AD91*Operations!AD93*Operations!AD65</f>
        <v>7.84538740626987</v>
      </c>
      <c r="AE95" s="20" t="n">
        <f aca="false">Operations!AE91*Operations!AE93*Operations!AE65</f>
        <v>7.88438222174975</v>
      </c>
      <c r="AF95" s="20" t="n">
        <f aca="false">Operations!AF91*Operations!AF93*Operations!AF65</f>
        <v>-13.5954243767162</v>
      </c>
      <c r="AG95" s="20" t="n">
        <f aca="false">Operations!AG91*Operations!AG93*Operations!AG65</f>
        <v>0</v>
      </c>
      <c r="AH95" s="20" t="n">
        <f aca="false">Operations!AH91*Operations!AH93*Operations!AH65</f>
        <v>0</v>
      </c>
      <c r="AI95" s="20" t="n">
        <f aca="false">Operations!AI91*Operations!AI93*Operations!AI65</f>
        <v>0</v>
      </c>
      <c r="AJ95" s="20" t="n">
        <f aca="false">Operations!AJ91*Operations!AJ93*Operations!AJ65</f>
        <v>0</v>
      </c>
      <c r="AK95" s="20" t="n">
        <f aca="false">Operations!AK91*Operations!AK93*Operations!AK65</f>
        <v>0</v>
      </c>
      <c r="AL95" s="20" t="n">
        <f aca="false">Operations!AL91*Operations!AL93*Operations!AL65</f>
        <v>0</v>
      </c>
      <c r="AM95" s="20" t="n">
        <f aca="false">Operations!AM91*Operations!AM93*Operations!AM65</f>
        <v>0</v>
      </c>
      <c r="AN95" s="20" t="n">
        <f aca="false">Operations!AN91*Operations!AN93*Operations!AN65</f>
        <v>0</v>
      </c>
      <c r="AO95" s="20" t="n">
        <f aca="false">Operations!AO91*Operations!AO93*Operations!AO65</f>
        <v>0</v>
      </c>
      <c r="AP95" s="20" t="n">
        <f aca="false">Operations!AP91*Operations!AP93*Operations!AP65</f>
        <v>0</v>
      </c>
      <c r="AQ95" s="20" t="n">
        <f aca="false">Operations!AQ91*Operations!AQ93*Operations!AQ65</f>
        <v>0</v>
      </c>
      <c r="AR95" s="20" t="n">
        <f aca="false">Operations!AR91*Operations!AR93*Operations!AR65</f>
        <v>0</v>
      </c>
      <c r="AS95" s="20" t="n">
        <f aca="false">Operations!AS91*Operations!AS93*Operations!AS65</f>
        <v>0</v>
      </c>
      <c r="AT95" s="20" t="n">
        <f aca="false">Operations!AT91*Operations!AT93*Operations!AT65</f>
        <v>0</v>
      </c>
      <c r="AU95" s="20" t="n">
        <f aca="false">Operations!AU91*Operations!AU93*Operations!AU65</f>
        <v>0</v>
      </c>
    </row>
    <row r="96" customFormat="false" ht="15" hidden="false" customHeight="false" outlineLevel="0" collapsed="false">
      <c r="D96" s="0" t="s">
        <v>492</v>
      </c>
      <c r="E96" s="0" t="s">
        <v>47</v>
      </c>
      <c r="J96" s="20" t="n">
        <f aca="false">Operations!J94-Inputs!$F$248/100*Operations!J95</f>
        <v>14.5237264604915</v>
      </c>
      <c r="K96" s="20" t="n">
        <f aca="false">Operations!K94-Inputs!$F$248/100*Operations!K95</f>
        <v>10.4930273513956</v>
      </c>
      <c r="L96" s="20" t="n">
        <f aca="false">Operations!L94-Inputs!$F$248/100*Operations!L95</f>
        <v>7.73184228475999</v>
      </c>
      <c r="M96" s="20" t="n">
        <f aca="false">Operations!M94-Inputs!$F$248/100*Operations!M95</f>
        <v>8.03788347173353</v>
      </c>
      <c r="N96" s="20" t="n">
        <f aca="false">Operations!N94-Inputs!$F$248/100*Operations!N95</f>
        <v>8.02272684749052</v>
      </c>
      <c r="O96" s="20" t="n">
        <f aca="false">Operations!O94-Inputs!$F$248/100*Operations!O95</f>
        <v>7.84210893319194</v>
      </c>
      <c r="P96" s="20" t="n">
        <f aca="false">Operations!P94-Inputs!$F$248/100*Operations!P95</f>
        <v>7.39627127448857</v>
      </c>
      <c r="Q96" s="20" t="n">
        <f aca="false">Operations!Q94-Inputs!$F$248/100*Operations!Q95</f>
        <v>7.42991504711257</v>
      </c>
      <c r="R96" s="20" t="n">
        <f aca="false">Operations!R94-Inputs!$F$248/100*Operations!R95</f>
        <v>7.48088179588563</v>
      </c>
      <c r="S96" s="20" t="n">
        <f aca="false">Operations!S94-Inputs!$F$248/100*Operations!S95</f>
        <v>7.40869560641012</v>
      </c>
      <c r="T96" s="20" t="n">
        <f aca="false">Operations!T94-Inputs!$F$248/100*Operations!T95</f>
        <v>7.33080104359058</v>
      </c>
      <c r="U96" s="20" t="n">
        <f aca="false">Operations!U94-Inputs!$F$248/100*Operations!U95</f>
        <v>7.24689983788302</v>
      </c>
      <c r="V96" s="20" t="n">
        <f aca="false">Operations!V94-Inputs!$F$248/100*Operations!V95</f>
        <v>7.15669178581506</v>
      </c>
      <c r="W96" s="20" t="n">
        <f aca="false">Operations!W94-Inputs!$F$248/100*Operations!W95</f>
        <v>7.05987466131774</v>
      </c>
      <c r="X96" s="20" t="n">
        <f aca="false">Operations!X94-Inputs!$F$248/100*Operations!X95</f>
        <v>6.95614412503571</v>
      </c>
      <c r="Y96" s="20" t="n">
        <f aca="false">Operations!Y94-Inputs!$F$248/100*Operations!Y95</f>
        <v>6.84802041376471</v>
      </c>
      <c r="Z96" s="20" t="n">
        <f aca="false">Operations!Z94-Inputs!$F$248/100*Operations!Z95</f>
        <v>6.73230109422107</v>
      </c>
      <c r="AA96" s="20" t="n">
        <f aca="false">Operations!AA94-Inputs!$F$248/100*Operations!AA95</f>
        <v>6.60867528896447</v>
      </c>
      <c r="AB96" s="20" t="n">
        <f aca="false">Operations!AB94-Inputs!$F$248/100*Operations!AB95</f>
        <v>6.47955656346415</v>
      </c>
      <c r="AC96" s="20" t="n">
        <f aca="false">Operations!AC94-Inputs!$F$248/100*Operations!AC95</f>
        <v>6.34183592653155</v>
      </c>
      <c r="AD96" s="20" t="n">
        <f aca="false">Operations!AD94-Inputs!$F$248/100*Operations!AD95</f>
        <v>6.1978560509532</v>
      </c>
      <c r="AE96" s="20" t="n">
        <f aca="false">Operations!AE94-Inputs!$F$248/100*Operations!AE95</f>
        <v>6.2286619551823</v>
      </c>
      <c r="AF96" s="20" t="n">
        <f aca="false">Operations!AF94-Inputs!$F$248/100*Operations!AF95</f>
        <v>-10.7403852576058</v>
      </c>
      <c r="AG96" s="20" t="n">
        <f aca="false">Operations!AG94-Inputs!$F$248/100*Operations!AG95</f>
        <v>0</v>
      </c>
      <c r="AH96" s="20" t="n">
        <f aca="false">Operations!AH94-Inputs!$F$248/100*Operations!AH95</f>
        <v>0</v>
      </c>
      <c r="AI96" s="20" t="n">
        <f aca="false">Operations!AI94-Inputs!$F$248/100*Operations!AI95</f>
        <v>0</v>
      </c>
      <c r="AJ96" s="20" t="n">
        <f aca="false">Operations!AJ94-Inputs!$F$248/100*Operations!AJ95</f>
        <v>0</v>
      </c>
      <c r="AK96" s="20" t="n">
        <f aca="false">Operations!AK94-Inputs!$F$248/100*Operations!AK95</f>
        <v>0</v>
      </c>
      <c r="AL96" s="20" t="n">
        <f aca="false">Operations!AL94-Inputs!$F$248/100*Operations!AL95</f>
        <v>0</v>
      </c>
      <c r="AM96" s="20" t="n">
        <f aca="false">Operations!AM94-Inputs!$F$248/100*Operations!AM95</f>
        <v>0</v>
      </c>
      <c r="AN96" s="20" t="n">
        <f aca="false">Operations!AN94-Inputs!$F$248/100*Operations!AN95</f>
        <v>0</v>
      </c>
      <c r="AO96" s="20" t="n">
        <f aca="false">Operations!AO94-Inputs!$F$248/100*Operations!AO95</f>
        <v>0</v>
      </c>
      <c r="AP96" s="20" t="n">
        <f aca="false">Operations!AP94-Inputs!$F$248/100*Operations!AP95</f>
        <v>0</v>
      </c>
      <c r="AQ96" s="20" t="n">
        <f aca="false">Operations!AQ94-Inputs!$F$248/100*Operations!AQ95</f>
        <v>0</v>
      </c>
      <c r="AR96" s="20" t="n">
        <f aca="false">Operations!AR94-Inputs!$F$248/100*Operations!AR95</f>
        <v>0</v>
      </c>
      <c r="AS96" s="20" t="n">
        <f aca="false">Operations!AS94-Inputs!$F$248/100*Operations!AS95</f>
        <v>0</v>
      </c>
      <c r="AT96" s="20" t="n">
        <f aca="false">Operations!AT94-Inputs!$F$248/100*Operations!AT95</f>
        <v>0</v>
      </c>
      <c r="AU96" s="20" t="n">
        <f aca="false">Operations!AU94-Inputs!$F$248/100*Operations!AU95</f>
        <v>0</v>
      </c>
    </row>
    <row r="97" customFormat="false" ht="15" hidden="false" customHeight="false" outlineLevel="0" collapsed="false">
      <c r="D97" s="0" t="s">
        <v>493</v>
      </c>
      <c r="E97" s="0" t="s">
        <v>458</v>
      </c>
      <c r="J97" s="14" t="n">
        <f aca="false">IF(Operations!J82=0,0,Operations!J79/Operations!J82)</f>
        <v>0</v>
      </c>
      <c r="K97" s="14" t="n">
        <f aca="false">IF(Operations!K82=0,0,Operations!K79/Operations!K82)</f>
        <v>0</v>
      </c>
      <c r="L97" s="14" t="n">
        <f aca="false">IF(Operations!L82=0,0,Operations!L79/Operations!L82)</f>
        <v>0</v>
      </c>
      <c r="M97" s="14" t="n">
        <f aca="false">IF(Operations!M82=0,0,Operations!M79/Operations!M82)</f>
        <v>0</v>
      </c>
      <c r="N97" s="14" t="n">
        <f aca="false">IF(Operations!N82=0,0,Operations!N79/Operations!N82)</f>
        <v>0</v>
      </c>
      <c r="O97" s="14" t="n">
        <f aca="false">IF(Operations!O82=0,0,Operations!O79/Operations!O82)</f>
        <v>0</v>
      </c>
      <c r="P97" s="14" t="n">
        <f aca="false">IF(Operations!P82=0,0,Operations!P79/Operations!P82)</f>
        <v>0</v>
      </c>
      <c r="Q97" s="14" t="n">
        <f aca="false">IF(Operations!Q82=0,0,Operations!Q79/Operations!Q82)</f>
        <v>0</v>
      </c>
      <c r="R97" s="14" t="n">
        <f aca="false">IF(Operations!R82=0,0,Operations!R79/Operations!R82)</f>
        <v>0</v>
      </c>
      <c r="S97" s="14" t="n">
        <f aca="false">IF(Operations!S82=0,0,Operations!S79/Operations!S82)</f>
        <v>0</v>
      </c>
      <c r="T97" s="14" t="n">
        <f aca="false">IF(Operations!T82=0,0,Operations!T79/Operations!T82)</f>
        <v>0</v>
      </c>
      <c r="U97" s="14" t="n">
        <f aca="false">IF(Operations!U82=0,0,Operations!U79/Operations!U82)</f>
        <v>0</v>
      </c>
      <c r="V97" s="14" t="n">
        <f aca="false">IF(Operations!V82=0,0,Operations!V79/Operations!V82)</f>
        <v>0</v>
      </c>
      <c r="W97" s="14" t="n">
        <f aca="false">IF(Operations!W82=0,0,Operations!W79/Operations!W82)</f>
        <v>0</v>
      </c>
      <c r="X97" s="14" t="n">
        <f aca="false">IF(Operations!X82=0,0,Operations!X79/Operations!X82)</f>
        <v>0</v>
      </c>
      <c r="Y97" s="14" t="n">
        <f aca="false">IF(Operations!Y82=0,0,Operations!Y79/Operations!Y82)</f>
        <v>0</v>
      </c>
      <c r="Z97" s="14" t="n">
        <f aca="false">IF(Operations!Z82=0,0,Operations!Z79/Operations!Z82)</f>
        <v>0</v>
      </c>
      <c r="AA97" s="14" t="n">
        <f aca="false">IF(Operations!AA82=0,0,Operations!AA79/Operations!AA82)</f>
        <v>0</v>
      </c>
      <c r="AB97" s="14" t="n">
        <f aca="false">IF(Operations!AB82=0,0,Operations!AB79/Operations!AB82)</f>
        <v>0</v>
      </c>
      <c r="AC97" s="14" t="n">
        <f aca="false">IF(Operations!AC82=0,0,Operations!AC79/Operations!AC82)</f>
        <v>0</v>
      </c>
      <c r="AD97" s="14" t="n">
        <f aca="false">IF(Operations!AD82=0,0,Operations!AD79/Operations!AD82)</f>
        <v>0</v>
      </c>
      <c r="AE97" s="14" t="n">
        <f aca="false">IF(Operations!AE82=0,0,Operations!AE79/Operations!AE82)</f>
        <v>0</v>
      </c>
      <c r="AF97" s="14" t="n">
        <f aca="false">IF(Operations!AF82=0,0,Operations!AF79/Operations!AF82)</f>
        <v>0</v>
      </c>
      <c r="AG97" s="14" t="n">
        <f aca="false">IF(Operations!AG82=0,0,Operations!AG79/Operations!AG82)</f>
        <v>0</v>
      </c>
      <c r="AH97" s="14" t="n">
        <f aca="false">IF(Operations!AH82=0,0,Operations!AH79/Operations!AH82)</f>
        <v>0</v>
      </c>
      <c r="AI97" s="14" t="n">
        <f aca="false">IF(Operations!AI82=0,0,Operations!AI79/Operations!AI82)</f>
        <v>0</v>
      </c>
      <c r="AJ97" s="14" t="n">
        <f aca="false">IF(Operations!AJ82=0,0,Operations!AJ79/Operations!AJ82)</f>
        <v>0</v>
      </c>
      <c r="AK97" s="14" t="n">
        <f aca="false">IF(Operations!AK82=0,0,Operations!AK79/Operations!AK82)</f>
        <v>0</v>
      </c>
      <c r="AL97" s="14" t="n">
        <f aca="false">IF(Operations!AL82=0,0,Operations!AL79/Operations!AL82)</f>
        <v>0</v>
      </c>
      <c r="AM97" s="14" t="n">
        <f aca="false">IF(Operations!AM82=0,0,Operations!AM79/Operations!AM82)</f>
        <v>0</v>
      </c>
      <c r="AN97" s="14" t="n">
        <f aca="false">IF(Operations!AN82=0,0,Operations!AN79/Operations!AN82)</f>
        <v>0</v>
      </c>
      <c r="AO97" s="14" t="n">
        <f aca="false">IF(Operations!AO82=0,0,Operations!AO79/Operations!AO82)</f>
        <v>0</v>
      </c>
      <c r="AP97" s="14" t="n">
        <f aca="false">IF(Operations!AP82=0,0,Operations!AP79/Operations!AP82)</f>
        <v>0</v>
      </c>
      <c r="AQ97" s="14" t="n">
        <f aca="false">IF(Operations!AQ82=0,0,Operations!AQ79/Operations!AQ82)</f>
        <v>0</v>
      </c>
      <c r="AR97" s="14" t="n">
        <f aca="false">IF(Operations!AR82=0,0,Operations!AR79/Operations!AR82)</f>
        <v>0</v>
      </c>
      <c r="AS97" s="14" t="n">
        <f aca="false">IF(Operations!AS82=0,0,Operations!AS79/Operations!AS82)</f>
        <v>0</v>
      </c>
      <c r="AT97" s="14" t="n">
        <f aca="false">IF(Operations!AT82=0,0,Operations!AT79/Operations!AT82)</f>
        <v>0</v>
      </c>
      <c r="AU97" s="14" t="n">
        <f aca="false">IF(Operations!AU82=0,0,Operations!AU79/Operations!AU82)</f>
        <v>0</v>
      </c>
    </row>
    <row r="98" customFormat="false" ht="15" hidden="false" customHeight="false" outlineLevel="0" collapsed="false">
      <c r="D98" s="0" t="s">
        <v>494</v>
      </c>
      <c r="E98" s="0" t="s">
        <v>458</v>
      </c>
      <c r="J98" s="14" t="n">
        <f aca="false">IF(Operations!J82=0,0,Operations!J80/Operations!J82)</f>
        <v>0</v>
      </c>
      <c r="K98" s="14" t="n">
        <f aca="false">IF(Operations!K82=0,0,Operations!K80/Operations!K82)</f>
        <v>0.726526177927833</v>
      </c>
      <c r="L98" s="14" t="n">
        <f aca="false">IF(Operations!L82=0,0,Operations!L80/Operations!L82)</f>
        <v>0.854324550898275</v>
      </c>
      <c r="M98" s="14" t="n">
        <f aca="false">IF(Operations!M82=0,0,Operations!M80/Operations!M82)</f>
        <v>0.825146050208086</v>
      </c>
      <c r="N98" s="14" t="n">
        <f aca="false">IF(Operations!N82=0,0,Operations!N80/Operations!N82)</f>
        <v>0.816154853713792</v>
      </c>
      <c r="O98" s="14" t="n">
        <f aca="false">IF(Operations!O82=0,0,Operations!O80/Operations!O82)</f>
        <v>0.815662780282169</v>
      </c>
      <c r="P98" s="14" t="n">
        <f aca="false">IF(Operations!P82=0,0,Operations!P80/Operations!P82)</f>
        <v>0</v>
      </c>
      <c r="Q98" s="14" t="n">
        <f aca="false">IF(Operations!Q82=0,0,Operations!Q80/Operations!Q82)</f>
        <v>0</v>
      </c>
      <c r="R98" s="14" t="n">
        <f aca="false">IF(Operations!R82=0,0,Operations!R80/Operations!R82)</f>
        <v>0</v>
      </c>
      <c r="S98" s="14" t="n">
        <f aca="false">IF(Operations!S82=0,0,Operations!S80/Operations!S82)</f>
        <v>0</v>
      </c>
      <c r="T98" s="14" t="n">
        <f aca="false">IF(Operations!T82=0,0,Operations!T80/Operations!T82)</f>
        <v>0</v>
      </c>
      <c r="U98" s="14" t="n">
        <f aca="false">IF(Operations!U82=0,0,Operations!U80/Operations!U82)</f>
        <v>0</v>
      </c>
      <c r="V98" s="14" t="n">
        <f aca="false">IF(Operations!V82=0,0,Operations!V80/Operations!V82)</f>
        <v>0</v>
      </c>
      <c r="W98" s="14" t="n">
        <f aca="false">IF(Operations!W82=0,0,Operations!W80/Operations!W82)</f>
        <v>0</v>
      </c>
      <c r="X98" s="14" t="n">
        <f aca="false">IF(Operations!X82=0,0,Operations!X80/Operations!X82)</f>
        <v>0</v>
      </c>
      <c r="Y98" s="14" t="n">
        <f aca="false">IF(Operations!Y82=0,0,Operations!Y80/Operations!Y82)</f>
        <v>0</v>
      </c>
      <c r="Z98" s="14" t="n">
        <f aca="false">IF(Operations!Z82=0,0,Operations!Z80/Operations!Z82)</f>
        <v>0</v>
      </c>
      <c r="AA98" s="14" t="n">
        <f aca="false">IF(Operations!AA82=0,0,Operations!AA80/Operations!AA82)</f>
        <v>0</v>
      </c>
      <c r="AB98" s="14" t="n">
        <f aca="false">IF(Operations!AB82=0,0,Operations!AB80/Operations!AB82)</f>
        <v>0</v>
      </c>
      <c r="AC98" s="14" t="n">
        <f aca="false">IF(Operations!AC82=0,0,Operations!AC80/Operations!AC82)</f>
        <v>0</v>
      </c>
      <c r="AD98" s="14" t="n">
        <f aca="false">IF(Operations!AD82=0,0,Operations!AD80/Operations!AD82)</f>
        <v>0</v>
      </c>
      <c r="AE98" s="14" t="n">
        <f aca="false">IF(Operations!AE82=0,0,Operations!AE80/Operations!AE82)</f>
        <v>0</v>
      </c>
      <c r="AF98" s="14" t="n">
        <f aca="false">IF(Operations!AF82=0,0,Operations!AF80/Operations!AF82)</f>
        <v>0</v>
      </c>
      <c r="AG98" s="14" t="n">
        <f aca="false">IF(Operations!AG82=0,0,Operations!AG80/Operations!AG82)</f>
        <v>0</v>
      </c>
      <c r="AH98" s="14" t="n">
        <f aca="false">IF(Operations!AH82=0,0,Operations!AH80/Operations!AH82)</f>
        <v>0</v>
      </c>
      <c r="AI98" s="14" t="n">
        <f aca="false">IF(Operations!AI82=0,0,Operations!AI80/Operations!AI82)</f>
        <v>0</v>
      </c>
      <c r="AJ98" s="14" t="n">
        <f aca="false">IF(Operations!AJ82=0,0,Operations!AJ80/Operations!AJ82)</f>
        <v>0</v>
      </c>
      <c r="AK98" s="14" t="n">
        <f aca="false">IF(Operations!AK82=0,0,Operations!AK80/Operations!AK82)</f>
        <v>0</v>
      </c>
      <c r="AL98" s="14" t="n">
        <f aca="false">IF(Operations!AL82=0,0,Operations!AL80/Operations!AL82)</f>
        <v>0</v>
      </c>
      <c r="AM98" s="14" t="n">
        <f aca="false">IF(Operations!AM82=0,0,Operations!AM80/Operations!AM82)</f>
        <v>0</v>
      </c>
      <c r="AN98" s="14" t="n">
        <f aca="false">IF(Operations!AN82=0,0,Operations!AN80/Operations!AN82)</f>
        <v>0</v>
      </c>
      <c r="AO98" s="14" t="n">
        <f aca="false">IF(Operations!AO82=0,0,Operations!AO80/Operations!AO82)</f>
        <v>0</v>
      </c>
      <c r="AP98" s="14" t="n">
        <f aca="false">IF(Operations!AP82=0,0,Operations!AP80/Operations!AP82)</f>
        <v>0</v>
      </c>
      <c r="AQ98" s="14" t="n">
        <f aca="false">IF(Operations!AQ82=0,0,Operations!AQ80/Operations!AQ82)</f>
        <v>0</v>
      </c>
      <c r="AR98" s="14" t="n">
        <f aca="false">IF(Operations!AR82=0,0,Operations!AR80/Operations!AR82)</f>
        <v>0</v>
      </c>
      <c r="AS98" s="14" t="n">
        <f aca="false">IF(Operations!AS82=0,0,Operations!AS80/Operations!AS82)</f>
        <v>0</v>
      </c>
      <c r="AT98" s="14" t="n">
        <f aca="false">IF(Operations!AT82=0,0,Operations!AT80/Operations!AT82)</f>
        <v>0</v>
      </c>
      <c r="AU98" s="14" t="n">
        <f aca="false">IF(Operations!AU82=0,0,Operations!AU80/Operations!AU82)</f>
        <v>0</v>
      </c>
    </row>
    <row r="99" customFormat="false" ht="15" hidden="false" customHeight="false" outlineLevel="0" collapsed="false">
      <c r="D99" s="0" t="s">
        <v>495</v>
      </c>
      <c r="E99" s="0" t="s">
        <v>458</v>
      </c>
      <c r="J99" s="14" t="n">
        <f aca="false">1-Operations!J97-Operations!J98</f>
        <v>1</v>
      </c>
      <c r="K99" s="14" t="n">
        <f aca="false">1-Operations!K97-Operations!K98</f>
        <v>0.273473822072167</v>
      </c>
      <c r="L99" s="14" t="n">
        <f aca="false">1-Operations!L97-Operations!L98</f>
        <v>0.145675449101725</v>
      </c>
      <c r="M99" s="14" t="n">
        <f aca="false">1-Operations!M97-Operations!M98</f>
        <v>0.174853949791914</v>
      </c>
      <c r="N99" s="14" t="n">
        <f aca="false">1-Operations!N97-Operations!N98</f>
        <v>0.183845146286208</v>
      </c>
      <c r="O99" s="14" t="n">
        <f aca="false">1-Operations!O97-Operations!O98</f>
        <v>0.184337219717831</v>
      </c>
      <c r="P99" s="14" t="n">
        <f aca="false">1-Operations!P97-Operations!P98</f>
        <v>1</v>
      </c>
      <c r="Q99" s="14" t="n">
        <f aca="false">1-Operations!Q97-Operations!Q98</f>
        <v>1</v>
      </c>
      <c r="R99" s="14" t="n">
        <f aca="false">1-Operations!R97-Operations!R98</f>
        <v>1</v>
      </c>
      <c r="S99" s="14" t="n">
        <f aca="false">1-Operations!S97-Operations!S98</f>
        <v>1</v>
      </c>
      <c r="T99" s="14" t="n">
        <f aca="false">1-Operations!T97-Operations!T98</f>
        <v>1</v>
      </c>
      <c r="U99" s="14" t="n">
        <f aca="false">1-Operations!U97-Operations!U98</f>
        <v>1</v>
      </c>
      <c r="V99" s="14" t="n">
        <f aca="false">1-Operations!V97-Operations!V98</f>
        <v>1</v>
      </c>
      <c r="W99" s="14" t="n">
        <f aca="false">1-Operations!W97-Operations!W98</f>
        <v>1</v>
      </c>
      <c r="X99" s="14" t="n">
        <f aca="false">1-Operations!X97-Operations!X98</f>
        <v>1</v>
      </c>
      <c r="Y99" s="14" t="n">
        <f aca="false">1-Operations!Y97-Operations!Y98</f>
        <v>1</v>
      </c>
      <c r="Z99" s="14" t="n">
        <f aca="false">1-Operations!Z97-Operations!Z98</f>
        <v>1</v>
      </c>
      <c r="AA99" s="14" t="n">
        <f aca="false">1-Operations!AA97-Operations!AA98</f>
        <v>1</v>
      </c>
      <c r="AB99" s="14" t="n">
        <f aca="false">1-Operations!AB97-Operations!AB98</f>
        <v>1</v>
      </c>
      <c r="AC99" s="14" t="n">
        <f aca="false">1-Operations!AC97-Operations!AC98</f>
        <v>1</v>
      </c>
      <c r="AD99" s="14" t="n">
        <f aca="false">1-Operations!AD97-Operations!AD98</f>
        <v>1</v>
      </c>
      <c r="AE99" s="14" t="n">
        <f aca="false">1-Operations!AE97-Operations!AE98</f>
        <v>1</v>
      </c>
      <c r="AF99" s="14" t="n">
        <f aca="false">1-Operations!AF97-Operations!AF98</f>
        <v>1</v>
      </c>
      <c r="AG99" s="14" t="n">
        <f aca="false">1-Operations!AG97-Operations!AG98</f>
        <v>1</v>
      </c>
      <c r="AH99" s="14" t="n">
        <f aca="false">1-Operations!AH97-Operations!AH98</f>
        <v>1</v>
      </c>
      <c r="AI99" s="14" t="n">
        <f aca="false">1-Operations!AI97-Operations!AI98</f>
        <v>1</v>
      </c>
      <c r="AJ99" s="14" t="n">
        <f aca="false">1-Operations!AJ97-Operations!AJ98</f>
        <v>1</v>
      </c>
      <c r="AK99" s="14" t="n">
        <f aca="false">1-Operations!AK97-Operations!AK98</f>
        <v>1</v>
      </c>
      <c r="AL99" s="14" t="n">
        <f aca="false">1-Operations!AL97-Operations!AL98</f>
        <v>1</v>
      </c>
      <c r="AM99" s="14" t="n">
        <f aca="false">1-Operations!AM97-Operations!AM98</f>
        <v>1</v>
      </c>
      <c r="AN99" s="14" t="n">
        <f aca="false">1-Operations!AN97-Operations!AN98</f>
        <v>1</v>
      </c>
      <c r="AO99" s="14" t="n">
        <f aca="false">1-Operations!AO97-Operations!AO98</f>
        <v>1</v>
      </c>
      <c r="AP99" s="14" t="n">
        <f aca="false">1-Operations!AP97-Operations!AP98</f>
        <v>1</v>
      </c>
      <c r="AQ99" s="14" t="n">
        <f aca="false">1-Operations!AQ97-Operations!AQ98</f>
        <v>1</v>
      </c>
      <c r="AR99" s="14" t="n">
        <f aca="false">1-Operations!AR97-Operations!AR98</f>
        <v>1</v>
      </c>
      <c r="AS99" s="14" t="n">
        <f aca="false">1-Operations!AS97-Operations!AS98</f>
        <v>1</v>
      </c>
      <c r="AT99" s="14" t="n">
        <f aca="false">1-Operations!AT97-Operations!AT98</f>
        <v>1</v>
      </c>
      <c r="AU99" s="14" t="n">
        <f aca="false">1-Operations!AU97-Operations!AU98</f>
        <v>1</v>
      </c>
    </row>
    <row r="100" customFormat="false" ht="15" hidden="false" customHeight="false" outlineLevel="0" collapsed="false">
      <c r="D100" s="0" t="s">
        <v>496</v>
      </c>
      <c r="E100" s="0" t="s">
        <v>47</v>
      </c>
      <c r="J100" s="20" t="n">
        <f aca="false">Operations!J79*Operations!J65*(1-Operations!J92)</f>
        <v>0</v>
      </c>
      <c r="K100" s="20" t="n">
        <f aca="false">Operations!K79*Operations!K65*(1-Operations!K92)</f>
        <v>0</v>
      </c>
      <c r="L100" s="20" t="n">
        <f aca="false">Operations!L79*Operations!L65*(1-Operations!L92)</f>
        <v>0</v>
      </c>
      <c r="M100" s="20" t="n">
        <f aca="false">Operations!M79*Operations!M65*(1-Operations!M92)</f>
        <v>0</v>
      </c>
      <c r="N100" s="20" t="n">
        <f aca="false">Operations!N79*Operations!N65*(1-Operations!N92)</f>
        <v>0</v>
      </c>
      <c r="O100" s="20" t="n">
        <f aca="false">Operations!O79*Operations!O65*(1-Operations!O92)</f>
        <v>0</v>
      </c>
      <c r="P100" s="20" t="n">
        <f aca="false">Operations!P79*Operations!P65*(1-Operations!P92)</f>
        <v>0</v>
      </c>
      <c r="Q100" s="20" t="n">
        <f aca="false">Operations!Q79*Operations!Q65*(1-Operations!Q92)</f>
        <v>0</v>
      </c>
      <c r="R100" s="20" t="n">
        <f aca="false">Operations!R79*Operations!R65*(1-Operations!R92)</f>
        <v>0</v>
      </c>
      <c r="S100" s="20" t="n">
        <f aca="false">Operations!S79*Operations!S65*(1-Operations!S92)</f>
        <v>0</v>
      </c>
      <c r="T100" s="20" t="n">
        <f aca="false">Operations!T79*Operations!T65*(1-Operations!T92)</f>
        <v>0</v>
      </c>
      <c r="U100" s="20" t="n">
        <f aca="false">Operations!U79*Operations!U65*(1-Operations!U92)</f>
        <v>0</v>
      </c>
      <c r="V100" s="20" t="n">
        <f aca="false">Operations!V79*Operations!V65*(1-Operations!V92)</f>
        <v>0</v>
      </c>
      <c r="W100" s="20" t="n">
        <f aca="false">Operations!W79*Operations!W65*(1-Operations!W92)</f>
        <v>0</v>
      </c>
      <c r="X100" s="20" t="n">
        <f aca="false">Operations!X79*Operations!X65*(1-Operations!X92)</f>
        <v>0</v>
      </c>
      <c r="Y100" s="20" t="n">
        <f aca="false">Operations!Y79*Operations!Y65*(1-Operations!Y92)</f>
        <v>0</v>
      </c>
      <c r="Z100" s="20" t="n">
        <f aca="false">Operations!Z79*Operations!Z65*(1-Operations!Z92)</f>
        <v>0</v>
      </c>
      <c r="AA100" s="20" t="n">
        <f aca="false">Operations!AA79*Operations!AA65*(1-Operations!AA92)</f>
        <v>0</v>
      </c>
      <c r="AB100" s="20" t="n">
        <f aca="false">Operations!AB79*Operations!AB65*(1-Operations!AB92)</f>
        <v>0</v>
      </c>
      <c r="AC100" s="20" t="n">
        <f aca="false">Operations!AC79*Operations!AC65*(1-Operations!AC92)</f>
        <v>0</v>
      </c>
      <c r="AD100" s="20" t="n">
        <f aca="false">Operations!AD79*Operations!AD65*(1-Operations!AD92)</f>
        <v>0</v>
      </c>
      <c r="AE100" s="20" t="n">
        <f aca="false">Operations!AE79*Operations!AE65*(1-Operations!AE92)</f>
        <v>0</v>
      </c>
      <c r="AF100" s="20" t="n">
        <f aca="false">Operations!AF79*Operations!AF65*(1-Operations!AF92)</f>
        <v>0</v>
      </c>
      <c r="AG100" s="20" t="n">
        <f aca="false">Operations!AG79*Operations!AG65*(1-Operations!AG92)</f>
        <v>0</v>
      </c>
      <c r="AH100" s="20" t="n">
        <f aca="false">Operations!AH79*Operations!AH65*(1-Operations!AH92)</f>
        <v>0</v>
      </c>
      <c r="AI100" s="20" t="n">
        <f aca="false">Operations!AI79*Operations!AI65*(1-Operations!AI92)</f>
        <v>0</v>
      </c>
      <c r="AJ100" s="20" t="n">
        <f aca="false">Operations!AJ79*Operations!AJ65*(1-Operations!AJ92)</f>
        <v>0</v>
      </c>
      <c r="AK100" s="20" t="n">
        <f aca="false">Operations!AK79*Operations!AK65*(1-Operations!AK92)</f>
        <v>0</v>
      </c>
      <c r="AL100" s="20" t="n">
        <f aca="false">Operations!AL79*Operations!AL65*(1-Operations!AL92)</f>
        <v>0</v>
      </c>
      <c r="AM100" s="20" t="n">
        <f aca="false">Operations!AM79*Operations!AM65*(1-Operations!AM92)</f>
        <v>0</v>
      </c>
      <c r="AN100" s="20" t="n">
        <f aca="false">Operations!AN79*Operations!AN65*(1-Operations!AN92)</f>
        <v>0</v>
      </c>
      <c r="AO100" s="20" t="n">
        <f aca="false">Operations!AO79*Operations!AO65*(1-Operations!AO92)</f>
        <v>0</v>
      </c>
      <c r="AP100" s="20" t="n">
        <f aca="false">Operations!AP79*Operations!AP65*(1-Operations!AP92)</f>
        <v>0</v>
      </c>
      <c r="AQ100" s="20" t="n">
        <f aca="false">Operations!AQ79*Operations!AQ65*(1-Operations!AQ92)</f>
        <v>0</v>
      </c>
      <c r="AR100" s="20" t="n">
        <f aca="false">Operations!AR79*Operations!AR65*(1-Operations!AR92)</f>
        <v>0</v>
      </c>
      <c r="AS100" s="20" t="n">
        <f aca="false">Operations!AS79*Operations!AS65*(1-Operations!AS92)</f>
        <v>0</v>
      </c>
      <c r="AT100" s="20" t="n">
        <f aca="false">Operations!AT79*Operations!AT65*(1-Operations!AT92)</f>
        <v>0</v>
      </c>
      <c r="AU100" s="20" t="n">
        <f aca="false">Operations!AU79*Operations!AU65*(1-Operations!AU92)</f>
        <v>0</v>
      </c>
    </row>
    <row r="101" customFormat="false" ht="15" hidden="false" customHeight="false" outlineLevel="0" collapsed="false">
      <c r="D101" s="0" t="s">
        <v>497</v>
      </c>
      <c r="E101" s="0" t="s">
        <v>47</v>
      </c>
      <c r="J101" s="20" t="n">
        <f aca="false">Operations!J80*Operations!J65*(1-Operations!J92)</f>
        <v>0</v>
      </c>
      <c r="K101" s="20" t="n">
        <f aca="false">Operations!K80*Operations!K65*(1-Operations!K92)</f>
        <v>16.9068</v>
      </c>
      <c r="L101" s="20" t="n">
        <f aca="false">Operations!L80*Operations!L65*(1-Operations!L92)</f>
        <v>16.95312</v>
      </c>
      <c r="M101" s="20" t="n">
        <f aca="false">Operations!M80*Operations!M65*(1-Operations!M92)</f>
        <v>16.9068</v>
      </c>
      <c r="N101" s="20" t="n">
        <f aca="false">Operations!N80*Operations!N65*(1-Operations!N92)</f>
        <v>16.9068</v>
      </c>
      <c r="O101" s="20" t="n">
        <f aca="false">Operations!O80*Operations!O65*(1-Operations!O92)</f>
        <v>16.9068</v>
      </c>
      <c r="P101" s="20" t="n">
        <f aca="false">Operations!P80*Operations!P65*(1-Operations!P92)</f>
        <v>0</v>
      </c>
      <c r="Q101" s="20" t="n">
        <f aca="false">Operations!Q80*Operations!Q65*(1-Operations!Q92)</f>
        <v>0</v>
      </c>
      <c r="R101" s="20" t="n">
        <f aca="false">Operations!R80*Operations!R65*(1-Operations!R92)</f>
        <v>0</v>
      </c>
      <c r="S101" s="20" t="n">
        <f aca="false">Operations!S80*Operations!S65*(1-Operations!S92)</f>
        <v>0</v>
      </c>
      <c r="T101" s="20" t="n">
        <f aca="false">Operations!T80*Operations!T65*(1-Operations!T92)</f>
        <v>0</v>
      </c>
      <c r="U101" s="20" t="n">
        <f aca="false">Operations!U80*Operations!U65*(1-Operations!U92)</f>
        <v>0</v>
      </c>
      <c r="V101" s="20" t="n">
        <f aca="false">Operations!V80*Operations!V65*(1-Operations!V92)</f>
        <v>0</v>
      </c>
      <c r="W101" s="20" t="n">
        <f aca="false">Operations!W80*Operations!W65*(1-Operations!W92)</f>
        <v>0</v>
      </c>
      <c r="X101" s="20" t="n">
        <f aca="false">Operations!X80*Operations!X65*(1-Operations!X92)</f>
        <v>0</v>
      </c>
      <c r="Y101" s="20" t="n">
        <f aca="false">Operations!Y80*Operations!Y65*(1-Operations!Y92)</f>
        <v>0</v>
      </c>
      <c r="Z101" s="20" t="n">
        <f aca="false">Operations!Z80*Operations!Z65*(1-Operations!Z92)</f>
        <v>0</v>
      </c>
      <c r="AA101" s="20" t="n">
        <f aca="false">Operations!AA80*Operations!AA65*(1-Operations!AA92)</f>
        <v>0</v>
      </c>
      <c r="AB101" s="20" t="n">
        <f aca="false">Operations!AB80*Operations!AB65*(1-Operations!AB92)</f>
        <v>0</v>
      </c>
      <c r="AC101" s="20" t="n">
        <f aca="false">Operations!AC80*Operations!AC65*(1-Operations!AC92)</f>
        <v>0</v>
      </c>
      <c r="AD101" s="20" t="n">
        <f aca="false">Operations!AD80*Operations!AD65*(1-Operations!AD92)</f>
        <v>0</v>
      </c>
      <c r="AE101" s="20" t="n">
        <f aca="false">Operations!AE80*Operations!AE65*(1-Operations!AE92)</f>
        <v>0</v>
      </c>
      <c r="AF101" s="20" t="n">
        <f aca="false">Operations!AF80*Operations!AF65*(1-Operations!AF92)</f>
        <v>0</v>
      </c>
      <c r="AG101" s="20" t="n">
        <f aca="false">Operations!AG80*Operations!AG65*(1-Operations!AG92)</f>
        <v>0</v>
      </c>
      <c r="AH101" s="20" t="n">
        <f aca="false">Operations!AH80*Operations!AH65*(1-Operations!AH92)</f>
        <v>0</v>
      </c>
      <c r="AI101" s="20" t="n">
        <f aca="false">Operations!AI80*Operations!AI65*(1-Operations!AI92)</f>
        <v>0</v>
      </c>
      <c r="AJ101" s="20" t="n">
        <f aca="false">Operations!AJ80*Operations!AJ65*(1-Operations!AJ92)</f>
        <v>0</v>
      </c>
      <c r="AK101" s="20" t="n">
        <f aca="false">Operations!AK80*Operations!AK65*(1-Operations!AK92)</f>
        <v>0</v>
      </c>
      <c r="AL101" s="20" t="n">
        <f aca="false">Operations!AL80*Operations!AL65*(1-Operations!AL92)</f>
        <v>0</v>
      </c>
      <c r="AM101" s="20" t="n">
        <f aca="false">Operations!AM80*Operations!AM65*(1-Operations!AM92)</f>
        <v>0</v>
      </c>
      <c r="AN101" s="20" t="n">
        <f aca="false">Operations!AN80*Operations!AN65*(1-Operations!AN92)</f>
        <v>0</v>
      </c>
      <c r="AO101" s="20" t="n">
        <f aca="false">Operations!AO80*Operations!AO65*(1-Operations!AO92)</f>
        <v>0</v>
      </c>
      <c r="AP101" s="20" t="n">
        <f aca="false">Operations!AP80*Operations!AP65*(1-Operations!AP92)</f>
        <v>0</v>
      </c>
      <c r="AQ101" s="20" t="n">
        <f aca="false">Operations!AQ80*Operations!AQ65*(1-Operations!AQ92)</f>
        <v>0</v>
      </c>
      <c r="AR101" s="20" t="n">
        <f aca="false">Operations!AR80*Operations!AR65*(1-Operations!AR92)</f>
        <v>0</v>
      </c>
      <c r="AS101" s="20" t="n">
        <f aca="false">Operations!AS80*Operations!AS65*(1-Operations!AS92)</f>
        <v>0</v>
      </c>
      <c r="AT101" s="20" t="n">
        <f aca="false">Operations!AT80*Operations!AT65*(1-Operations!AT92)</f>
        <v>0</v>
      </c>
      <c r="AU101" s="20" t="n">
        <f aca="false">Operations!AU80*Operations!AU65*(1-Operations!AU92)</f>
        <v>0</v>
      </c>
    </row>
    <row r="102" customFormat="false" ht="15" hidden="false" customHeight="false" outlineLevel="0" collapsed="false">
      <c r="D102" s="0" t="s">
        <v>498</v>
      </c>
      <c r="E102" s="0" t="s">
        <v>47</v>
      </c>
      <c r="J102" s="20" t="n">
        <f aca="false">Operations!J83*Operations!J65*(1-Operations!J92)</f>
        <v>26.1351800502163</v>
      </c>
      <c r="K102" s="20" t="n">
        <f aca="false">Operations!K83*Operations!K65*(1-Operations!K92)</f>
        <v>6.36393753656179</v>
      </c>
      <c r="L102" s="20" t="n">
        <f aca="false">Operations!L83*Operations!L65*(1-Operations!L92)</f>
        <v>2.89076717633683</v>
      </c>
      <c r="M102" s="20" t="n">
        <f aca="false">Operations!M83*Operations!M65*(1-Operations!M92)</f>
        <v>3.58266364796441</v>
      </c>
      <c r="N102" s="20" t="n">
        <f aca="false">Operations!N83*Operations!N65*(1-Operations!N92)</f>
        <v>3.80838649073531</v>
      </c>
      <c r="O102" s="20" t="n">
        <f aca="false">Operations!O83*Operations!O65*(1-Operations!O92)</f>
        <v>3.82088355833434</v>
      </c>
      <c r="P102" s="20" t="n">
        <f aca="false">Operations!P83*Operations!P65*(1-Operations!P92)</f>
        <v>20.3948471362395</v>
      </c>
      <c r="Q102" s="20" t="n">
        <f aca="false">Operations!Q83*Operations!Q65*(1-Operations!Q92)</f>
        <v>20.7041714033151</v>
      </c>
      <c r="R102" s="20" t="n">
        <f aca="false">Operations!R83*Operations!R65*(1-Operations!R92)</f>
        <v>21.0430807190014</v>
      </c>
      <c r="S102" s="20" t="n">
        <f aca="false">Operations!S83*Operations!S65*(1-Operations!S92)</f>
        <v>21.2254953236962</v>
      </c>
      <c r="T102" s="20" t="n">
        <f aca="false">Operations!T83*Operations!T65*(1-Operations!T92)</f>
        <v>21.407294681088</v>
      </c>
      <c r="U102" s="20" t="n">
        <f aca="false">Operations!U83*Operations!U65*(1-Operations!U92)</f>
        <v>21.5882571657849</v>
      </c>
      <c r="V102" s="20" t="n">
        <f aca="false">Operations!V83*Operations!V65*(1-Operations!V92)</f>
        <v>21.7681629339903</v>
      </c>
      <c r="W102" s="20" t="n">
        <f aca="false">Operations!W83*Operations!W65*(1-Operations!W92)</f>
        <v>21.9467939145857</v>
      </c>
      <c r="X102" s="20" t="n">
        <f aca="false">Operations!X83*Operations!X65*(1-Operations!X92)</f>
        <v>22.1239338002494</v>
      </c>
      <c r="Y102" s="20" t="n">
        <f aca="false">Operations!Y83*Operations!Y65*(1-Operations!Y92)</f>
        <v>22.3031158315585</v>
      </c>
      <c r="Z102" s="20" t="n">
        <f aca="false">Operations!Z83*Operations!Z65*(1-Operations!Z92)</f>
        <v>22.4802908385433</v>
      </c>
      <c r="AA102" s="20" t="n">
        <f aca="false">Operations!AA83*Operations!AA65*(1-Operations!AA92)</f>
        <v>22.655248238791</v>
      </c>
      <c r="AB102" s="20" t="n">
        <f aca="false">Operations!AB83*Operations!AB65*(1-Operations!AB92)</f>
        <v>22.8313945993682</v>
      </c>
      <c r="AC102" s="20" t="n">
        <f aca="false">Operations!AC83*Operations!AC65*(1-Operations!AC92)</f>
        <v>23.0048197591884</v>
      </c>
      <c r="AD102" s="20" t="n">
        <f aca="false">Operations!AD83*Operations!AD65*(1-Operations!AD92)</f>
        <v>23.1788467549807</v>
      </c>
      <c r="AE102" s="20" t="n">
        <f aca="false">Operations!AE83*Operations!AE65*(1-Operations!AE92)</f>
        <v>23.593730471981</v>
      </c>
      <c r="AF102" s="20" t="n">
        <f aca="false">Operations!AF83*Operations!AF65*(1-Operations!AF92)</f>
        <v>24.0174035935589</v>
      </c>
      <c r="AG102" s="20" t="n">
        <f aca="false">Operations!AG83*Operations!AG65*(1-Operations!AG92)</f>
        <v>0</v>
      </c>
      <c r="AH102" s="20" t="n">
        <f aca="false">Operations!AH83*Operations!AH65*(1-Operations!AH92)</f>
        <v>0</v>
      </c>
      <c r="AI102" s="20" t="n">
        <f aca="false">Operations!AI83*Operations!AI65*(1-Operations!AI92)</f>
        <v>0</v>
      </c>
      <c r="AJ102" s="20" t="n">
        <f aca="false">Operations!AJ83*Operations!AJ65*(1-Operations!AJ92)</f>
        <v>0</v>
      </c>
      <c r="AK102" s="20" t="n">
        <f aca="false">Operations!AK83*Operations!AK65*(1-Operations!AK92)</f>
        <v>0</v>
      </c>
      <c r="AL102" s="20" t="n">
        <f aca="false">Operations!AL83*Operations!AL65*(1-Operations!AL92)</f>
        <v>0</v>
      </c>
      <c r="AM102" s="20" t="n">
        <f aca="false">Operations!AM83*Operations!AM65*(1-Operations!AM92)</f>
        <v>0</v>
      </c>
      <c r="AN102" s="20" t="n">
        <f aca="false">Operations!AN83*Operations!AN65*(1-Operations!AN92)</f>
        <v>0</v>
      </c>
      <c r="AO102" s="20" t="n">
        <f aca="false">Operations!AO83*Operations!AO65*(1-Operations!AO92)</f>
        <v>0</v>
      </c>
      <c r="AP102" s="20" t="n">
        <f aca="false">Operations!AP83*Operations!AP65*(1-Operations!AP92)</f>
        <v>0</v>
      </c>
      <c r="AQ102" s="20" t="n">
        <f aca="false">Operations!AQ83*Operations!AQ65*(1-Operations!AQ92)</f>
        <v>0</v>
      </c>
      <c r="AR102" s="20" t="n">
        <f aca="false">Operations!AR83*Operations!AR65*(1-Operations!AR92)</f>
        <v>0</v>
      </c>
      <c r="AS102" s="20" t="n">
        <f aca="false">Operations!AS83*Operations!AS65*(1-Operations!AS92)</f>
        <v>0</v>
      </c>
      <c r="AT102" s="20" t="n">
        <f aca="false">Operations!AT83*Operations!AT65*(1-Operations!AT92)</f>
        <v>0</v>
      </c>
      <c r="AU102" s="20" t="n">
        <f aca="false">Operations!AU83*Operations!AU65*(1-Operations!AU92)</f>
        <v>0</v>
      </c>
    </row>
    <row r="103" customFormat="false" ht="15" hidden="false" customHeight="false" outlineLevel="0" collapsed="false">
      <c r="D103" s="0" t="s">
        <v>499</v>
      </c>
      <c r="E103" s="0" t="s">
        <v>47</v>
      </c>
      <c r="J103" s="20" t="n">
        <f aca="false">Operations!J82*Operations!J65*(1-Operations!J92)</f>
        <v>26.1351800502163</v>
      </c>
      <c r="K103" s="20" t="n">
        <f aca="false">Operations!K82*Operations!K65*(1-Operations!K92)</f>
        <v>23.2707375365618</v>
      </c>
      <c r="L103" s="20" t="n">
        <f aca="false">Operations!L82*Operations!L65*(1-Operations!L92)</f>
        <v>19.8438871763368</v>
      </c>
      <c r="M103" s="20" t="n">
        <f aca="false">Operations!M82*Operations!M65*(1-Operations!M92)</f>
        <v>20.4894636479644</v>
      </c>
      <c r="N103" s="20" t="n">
        <f aca="false">Operations!N82*Operations!N65*(1-Operations!N92)</f>
        <v>20.7151864907353</v>
      </c>
      <c r="O103" s="20" t="n">
        <f aca="false">Operations!O82*Operations!O65*(1-Operations!O92)</f>
        <v>20.7276835583343</v>
      </c>
      <c r="P103" s="20" t="n">
        <f aca="false">Operations!P82*Operations!P65*(1-Operations!P92)</f>
        <v>20.3948471362395</v>
      </c>
      <c r="Q103" s="20" t="n">
        <f aca="false">Operations!Q82*Operations!Q65*(1-Operations!Q92)</f>
        <v>20.7041714033151</v>
      </c>
      <c r="R103" s="20" t="n">
        <f aca="false">Operations!R82*Operations!R65*(1-Operations!R92)</f>
        <v>21.0430807190014</v>
      </c>
      <c r="S103" s="20" t="n">
        <f aca="false">Operations!S82*Operations!S65*(1-Operations!S92)</f>
        <v>21.2254953236962</v>
      </c>
      <c r="T103" s="20" t="n">
        <f aca="false">Operations!T82*Operations!T65*(1-Operations!T92)</f>
        <v>21.407294681088</v>
      </c>
      <c r="U103" s="20" t="n">
        <f aca="false">Operations!U82*Operations!U65*(1-Operations!U92)</f>
        <v>21.5882571657849</v>
      </c>
      <c r="V103" s="20" t="n">
        <f aca="false">Operations!V82*Operations!V65*(1-Operations!V92)</f>
        <v>21.7681629339903</v>
      </c>
      <c r="W103" s="20" t="n">
        <f aca="false">Operations!W82*Operations!W65*(1-Operations!W92)</f>
        <v>21.9467939145857</v>
      </c>
      <c r="X103" s="20" t="n">
        <f aca="false">Operations!X82*Operations!X65*(1-Operations!X92)</f>
        <v>22.1239338002494</v>
      </c>
      <c r="Y103" s="20" t="n">
        <f aca="false">Operations!Y82*Operations!Y65*(1-Operations!Y92)</f>
        <v>22.3031158315585</v>
      </c>
      <c r="Z103" s="20" t="n">
        <f aca="false">Operations!Z82*Operations!Z65*(1-Operations!Z92)</f>
        <v>22.4802908385433</v>
      </c>
      <c r="AA103" s="20" t="n">
        <f aca="false">Operations!AA82*Operations!AA65*(1-Operations!AA92)</f>
        <v>22.655248238791</v>
      </c>
      <c r="AB103" s="20" t="n">
        <f aca="false">Operations!AB82*Operations!AB65*(1-Operations!AB92)</f>
        <v>22.8313945993682</v>
      </c>
      <c r="AC103" s="20" t="n">
        <f aca="false">Operations!AC82*Operations!AC65*(1-Operations!AC92)</f>
        <v>23.0048197591884</v>
      </c>
      <c r="AD103" s="20" t="n">
        <f aca="false">Operations!AD82*Operations!AD65*(1-Operations!AD92)</f>
        <v>23.1788467549807</v>
      </c>
      <c r="AE103" s="20" t="n">
        <f aca="false">Operations!AE82*Operations!AE65*(1-Operations!AE92)</f>
        <v>23.593730471981</v>
      </c>
      <c r="AF103" s="20" t="n">
        <f aca="false">Operations!AF82*Operations!AF65*(1-Operations!AF92)</f>
        <v>24.0174035935589</v>
      </c>
      <c r="AG103" s="20" t="n">
        <f aca="false">Operations!AG82*Operations!AG65*(1-Operations!AG92)</f>
        <v>0</v>
      </c>
      <c r="AH103" s="20" t="n">
        <f aca="false">Operations!AH82*Operations!AH65*(1-Operations!AH92)</f>
        <v>0</v>
      </c>
      <c r="AI103" s="20" t="n">
        <f aca="false">Operations!AI82*Operations!AI65*(1-Operations!AI92)</f>
        <v>0</v>
      </c>
      <c r="AJ103" s="20" t="n">
        <f aca="false">Operations!AJ82*Operations!AJ65*(1-Operations!AJ92)</f>
        <v>0</v>
      </c>
      <c r="AK103" s="20" t="n">
        <f aca="false">Operations!AK82*Operations!AK65*(1-Operations!AK92)</f>
        <v>0</v>
      </c>
      <c r="AL103" s="20" t="n">
        <f aca="false">Operations!AL82*Operations!AL65*(1-Operations!AL92)</f>
        <v>0</v>
      </c>
      <c r="AM103" s="20" t="n">
        <f aca="false">Operations!AM82*Operations!AM65*(1-Operations!AM92)</f>
        <v>0</v>
      </c>
      <c r="AN103" s="20" t="n">
        <f aca="false">Operations!AN82*Operations!AN65*(1-Operations!AN92)</f>
        <v>0</v>
      </c>
      <c r="AO103" s="20" t="n">
        <f aca="false">Operations!AO82*Operations!AO65*(1-Operations!AO92)</f>
        <v>0</v>
      </c>
      <c r="AP103" s="20" t="n">
        <f aca="false">Operations!AP82*Operations!AP65*(1-Operations!AP92)</f>
        <v>0</v>
      </c>
      <c r="AQ103" s="20" t="n">
        <f aca="false">Operations!AQ82*Operations!AQ65*(1-Operations!AQ92)</f>
        <v>0</v>
      </c>
      <c r="AR103" s="20" t="n">
        <f aca="false">Operations!AR82*Operations!AR65*(1-Operations!AR92)</f>
        <v>0</v>
      </c>
      <c r="AS103" s="20" t="n">
        <f aca="false">Operations!AS82*Operations!AS65*(1-Operations!AS92)</f>
        <v>0</v>
      </c>
      <c r="AT103" s="20" t="n">
        <f aca="false">Operations!AT82*Operations!AT65*(1-Operations!AT92)</f>
        <v>0</v>
      </c>
      <c r="AU103" s="20" t="n">
        <f aca="false">Operations!AU82*Operations!AU65*(1-Operations!AU92)</f>
        <v>0</v>
      </c>
    </row>
    <row r="104" customFormat="false" ht="15" hidden="false" customHeight="false" outlineLevel="0" collapsed="false">
      <c r="D104" s="19" t="s">
        <v>500</v>
      </c>
    </row>
    <row r="105" customFormat="false" ht="15" hidden="false" customHeight="false" outlineLevel="0" collapsed="false">
      <c r="D105" s="0" t="s">
        <v>501</v>
      </c>
      <c r="E105" s="0" t="s">
        <v>458</v>
      </c>
      <c r="J105" s="14" t="n">
        <f aca="false">MAX(0,MIN(Inputs!$F$101,Time!J$6)-MAX(Inputs!$F$100,Time!J$5))/Time!J$7</f>
        <v>1</v>
      </c>
      <c r="K105" s="14" t="n">
        <f aca="false">MAX(0,MIN(Inputs!$F$101,Time!K$6)-MAX(Inputs!$F$100,Time!K$5))/Time!K$7</f>
        <v>1</v>
      </c>
      <c r="L105" s="14" t="n">
        <f aca="false">MAX(0,MIN(Inputs!$F$101,Time!L$6)-MAX(Inputs!$F$100,Time!L$5))/Time!L$7</f>
        <v>1</v>
      </c>
      <c r="M105" s="14" t="n">
        <f aca="false">MAX(0,MIN(Inputs!$F$101,Time!M$6)-MAX(Inputs!$F$100,Time!M$5))/Time!M$7</f>
        <v>1</v>
      </c>
      <c r="N105" s="14" t="n">
        <f aca="false">MAX(0,MIN(Inputs!$F$101,Time!N$6)-MAX(Inputs!$F$100,Time!N$5))/Time!N$7</f>
        <v>1</v>
      </c>
      <c r="O105" s="14" t="n">
        <f aca="false">MAX(0,MIN(Inputs!$F$101,Time!O$6)-MAX(Inputs!$F$100,Time!O$5))/Time!O$7</f>
        <v>1</v>
      </c>
      <c r="P105" s="14" t="n">
        <f aca="false">MAX(0,MIN(Inputs!$F$101,Time!P$6)-MAX(Inputs!$F$100,Time!P$5))/Time!P$7</f>
        <v>1</v>
      </c>
      <c r="Q105" s="14" t="n">
        <f aca="false">MAX(0,MIN(Inputs!$F$101,Time!Q$6)-MAX(Inputs!$F$100,Time!Q$5))/Time!Q$7</f>
        <v>1</v>
      </c>
      <c r="R105" s="14" t="n">
        <f aca="false">MAX(0,MIN(Inputs!$F$101,Time!R$6)-MAX(Inputs!$F$100,Time!R$5))/Time!R$7</f>
        <v>1</v>
      </c>
      <c r="S105" s="14" t="n">
        <f aca="false">MAX(0,MIN(Inputs!$F$101,Time!S$6)-MAX(Inputs!$F$100,Time!S$5))/Time!S$7</f>
        <v>1</v>
      </c>
      <c r="T105" s="14" t="n">
        <f aca="false">MAX(0,MIN(Inputs!$F$101,Time!T$6)-MAX(Inputs!$F$100,Time!T$5))/Time!T$7</f>
        <v>1</v>
      </c>
      <c r="U105" s="14" t="n">
        <f aca="false">MAX(0,MIN(Inputs!$F$101,Time!U$6)-MAX(Inputs!$F$100,Time!U$5))/Time!U$7</f>
        <v>1</v>
      </c>
      <c r="V105" s="14" t="n">
        <f aca="false">MAX(0,MIN(Inputs!$F$101,Time!V$6)-MAX(Inputs!$F$100,Time!V$5))/Time!V$7</f>
        <v>1</v>
      </c>
      <c r="W105" s="14" t="n">
        <f aca="false">MAX(0,MIN(Inputs!$F$101,Time!W$6)-MAX(Inputs!$F$100,Time!W$5))/Time!W$7</f>
        <v>1</v>
      </c>
      <c r="X105" s="14" t="n">
        <f aca="false">MAX(0,MIN(Inputs!$F$101,Time!X$6)-MAX(Inputs!$F$100,Time!X$5))/Time!X$7</f>
        <v>1</v>
      </c>
      <c r="Y105" s="14" t="n">
        <f aca="false">MAX(0,MIN(Inputs!$F$101,Time!Y$6)-MAX(Inputs!$F$100,Time!Y$5))/Time!Y$7</f>
        <v>1</v>
      </c>
      <c r="Z105" s="14" t="n">
        <f aca="false">MAX(0,MIN(Inputs!$F$101,Time!Z$6)-MAX(Inputs!$F$100,Time!Z$5))/Time!Z$7</f>
        <v>1</v>
      </c>
      <c r="AA105" s="14" t="n">
        <f aca="false">MAX(0,MIN(Inputs!$F$101,Time!AA$6)-MAX(Inputs!$F$100,Time!AA$5))/Time!AA$7</f>
        <v>1</v>
      </c>
      <c r="AB105" s="14" t="n">
        <f aca="false">MAX(0,MIN(Inputs!$F$101,Time!AB$6)-MAX(Inputs!$F$100,Time!AB$5))/Time!AB$7</f>
        <v>1</v>
      </c>
      <c r="AC105" s="14" t="n">
        <f aca="false">MAX(0,MIN(Inputs!$F$101,Time!AC$6)-MAX(Inputs!$F$100,Time!AC$5))/Time!AC$7</f>
        <v>1</v>
      </c>
      <c r="AD105" s="14" t="n">
        <f aca="false">MAX(0,MIN(Inputs!$F$101,Time!AD$6)-MAX(Inputs!$F$100,Time!AD$5))/Time!AD$7</f>
        <v>1</v>
      </c>
      <c r="AE105" s="14" t="n">
        <f aca="false">MAX(0,MIN(Inputs!$F$101,Time!AE$6)-MAX(Inputs!$F$100,Time!AE$5))/Time!AE$7</f>
        <v>1</v>
      </c>
      <c r="AF105" s="14" t="n">
        <f aca="false">MAX(0,MIN(Inputs!$F$101,Time!AF$6)-MAX(Inputs!$F$100,Time!AF$5))/Time!AF$7</f>
        <v>1</v>
      </c>
      <c r="AG105" s="14" t="n">
        <f aca="false">MAX(0,MIN(Inputs!$F$101,Time!AG$6)-MAX(Inputs!$F$100,Time!AG$5))/Time!AG$7</f>
        <v>1</v>
      </c>
      <c r="AH105" s="14" t="n">
        <f aca="false">MAX(0,MIN(Inputs!$F$101,Time!AH$6)-MAX(Inputs!$F$100,Time!AH$5))/Time!AH$7</f>
        <v>1</v>
      </c>
      <c r="AI105" s="14" t="n">
        <f aca="false">MAX(0,MIN(Inputs!$F$101,Time!AI$6)-MAX(Inputs!$F$100,Time!AI$5))/Time!AI$7</f>
        <v>0.495890410958904</v>
      </c>
      <c r="AJ105" s="14" t="n">
        <f aca="false">MAX(0,MIN(Inputs!$F$101,Time!AJ$6)-MAX(Inputs!$F$100,Time!AJ$5))/Time!AJ$7</f>
        <v>0</v>
      </c>
      <c r="AK105" s="14" t="n">
        <f aca="false">MAX(0,MIN(Inputs!$F$101,Time!AK$6)-MAX(Inputs!$F$100,Time!AK$5))/Time!AK$7</f>
        <v>0</v>
      </c>
      <c r="AL105" s="14" t="n">
        <f aca="false">MAX(0,MIN(Inputs!$F$101,Time!AL$6)-MAX(Inputs!$F$100,Time!AL$5))/Time!AL$7</f>
        <v>0</v>
      </c>
      <c r="AM105" s="14" t="n">
        <f aca="false">MAX(0,MIN(Inputs!$F$101,Time!AM$6)-MAX(Inputs!$F$100,Time!AM$5))/Time!AM$7</f>
        <v>0</v>
      </c>
      <c r="AN105" s="14" t="n">
        <f aca="false">MAX(0,MIN(Inputs!$F$101,Time!AN$6)-MAX(Inputs!$F$100,Time!AN$5))/Time!AN$7</f>
        <v>0</v>
      </c>
      <c r="AO105" s="14" t="n">
        <f aca="false">MAX(0,MIN(Inputs!$F$101,Time!AO$6)-MAX(Inputs!$F$100,Time!AO$5))/Time!AO$7</f>
        <v>0</v>
      </c>
      <c r="AP105" s="14" t="n">
        <f aca="false">MAX(0,MIN(Inputs!$F$101,Time!AP$6)-MAX(Inputs!$F$100,Time!AP$5))/Time!AP$7</f>
        <v>0</v>
      </c>
      <c r="AQ105" s="14" t="n">
        <f aca="false">MAX(0,MIN(Inputs!$F$101,Time!AQ$6)-MAX(Inputs!$F$100,Time!AQ$5))/Time!AQ$7</f>
        <v>0</v>
      </c>
      <c r="AR105" s="14" t="n">
        <f aca="false">MAX(0,MIN(Inputs!$F$101,Time!AR$6)-MAX(Inputs!$F$100,Time!AR$5))/Time!AR$7</f>
        <v>0</v>
      </c>
      <c r="AS105" s="14" t="n">
        <f aca="false">MAX(0,MIN(Inputs!$F$101,Time!AS$6)-MAX(Inputs!$F$100,Time!AS$5))/Time!AS$7</f>
        <v>0</v>
      </c>
      <c r="AT105" s="14" t="n">
        <f aca="false">MAX(0,MIN(Inputs!$F$101,Time!AT$6)-MAX(Inputs!$F$100,Time!AT$5))/Time!AT$7</f>
        <v>0</v>
      </c>
      <c r="AU105" s="14" t="n">
        <f aca="false">MAX(0,MIN(Inputs!$F$101,Time!AU$6)-MAX(Inputs!$F$100,Time!AU$5))/Time!AU$7</f>
        <v>0</v>
      </c>
    </row>
    <row r="106" customFormat="false" ht="15" hidden="false" customHeight="false" outlineLevel="0" collapsed="false">
      <c r="D106" s="0" t="s">
        <v>502</v>
      </c>
      <c r="E106" s="0" t="s">
        <v>458</v>
      </c>
      <c r="J106" s="14" t="n">
        <f aca="false">MAX(0,MIN(Inputs!$F$101,Time!J$6)-MAX(MAX(Inputs!$F$102,Inputs!$F$100),Time!J$5))/Time!J$7</f>
        <v>0.778082191780822</v>
      </c>
      <c r="K106" s="14" t="n">
        <f aca="false">MAX(0,MIN(Inputs!$F$101,Time!K$6)-MAX(MAX(Inputs!$F$102,Inputs!$F$100),Time!K$5))/Time!K$7</f>
        <v>1</v>
      </c>
      <c r="L106" s="14" t="n">
        <f aca="false">MAX(0,MIN(Inputs!$F$101,Time!L$6)-MAX(MAX(Inputs!$F$102,Inputs!$F$100),Time!L$5))/Time!L$7</f>
        <v>1</v>
      </c>
      <c r="M106" s="14" t="n">
        <f aca="false">MAX(0,MIN(Inputs!$F$101,Time!M$6)-MAX(MAX(Inputs!$F$102,Inputs!$F$100),Time!M$5))/Time!M$7</f>
        <v>1</v>
      </c>
      <c r="N106" s="14" t="n">
        <f aca="false">MAX(0,MIN(Inputs!$F$101,Time!N$6)-MAX(MAX(Inputs!$F$102,Inputs!$F$100),Time!N$5))/Time!N$7</f>
        <v>1</v>
      </c>
      <c r="O106" s="14" t="n">
        <f aca="false">MAX(0,MIN(Inputs!$F$101,Time!O$6)-MAX(MAX(Inputs!$F$102,Inputs!$F$100),Time!O$5))/Time!O$7</f>
        <v>1</v>
      </c>
      <c r="P106" s="14" t="n">
        <f aca="false">MAX(0,MIN(Inputs!$F$101,Time!P$6)-MAX(MAX(Inputs!$F$102,Inputs!$F$100),Time!P$5))/Time!P$7</f>
        <v>1</v>
      </c>
      <c r="Q106" s="14" t="n">
        <f aca="false">MAX(0,MIN(Inputs!$F$101,Time!Q$6)-MAX(MAX(Inputs!$F$102,Inputs!$F$100),Time!Q$5))/Time!Q$7</f>
        <v>1</v>
      </c>
      <c r="R106" s="14" t="n">
        <f aca="false">MAX(0,MIN(Inputs!$F$101,Time!R$6)-MAX(MAX(Inputs!$F$102,Inputs!$F$100),Time!R$5))/Time!R$7</f>
        <v>1</v>
      </c>
      <c r="S106" s="14" t="n">
        <f aca="false">MAX(0,MIN(Inputs!$F$101,Time!S$6)-MAX(MAX(Inputs!$F$102,Inputs!$F$100),Time!S$5))/Time!S$7</f>
        <v>1</v>
      </c>
      <c r="T106" s="14" t="n">
        <f aca="false">MAX(0,MIN(Inputs!$F$101,Time!T$6)-MAX(MAX(Inputs!$F$102,Inputs!$F$100),Time!T$5))/Time!T$7</f>
        <v>1</v>
      </c>
      <c r="U106" s="14" t="n">
        <f aca="false">MAX(0,MIN(Inputs!$F$101,Time!U$6)-MAX(MAX(Inputs!$F$102,Inputs!$F$100),Time!U$5))/Time!U$7</f>
        <v>1</v>
      </c>
      <c r="V106" s="14" t="n">
        <f aca="false">MAX(0,MIN(Inputs!$F$101,Time!V$6)-MAX(MAX(Inputs!$F$102,Inputs!$F$100),Time!V$5))/Time!V$7</f>
        <v>1</v>
      </c>
      <c r="W106" s="14" t="n">
        <f aca="false">MAX(0,MIN(Inputs!$F$101,Time!W$6)-MAX(MAX(Inputs!$F$102,Inputs!$F$100),Time!W$5))/Time!W$7</f>
        <v>1</v>
      </c>
      <c r="X106" s="14" t="n">
        <f aca="false">MAX(0,MIN(Inputs!$F$101,Time!X$6)-MAX(MAX(Inputs!$F$102,Inputs!$F$100),Time!X$5))/Time!X$7</f>
        <v>1</v>
      </c>
      <c r="Y106" s="14" t="n">
        <f aca="false">MAX(0,MIN(Inputs!$F$101,Time!Y$6)-MAX(MAX(Inputs!$F$102,Inputs!$F$100),Time!Y$5))/Time!Y$7</f>
        <v>1</v>
      </c>
      <c r="Z106" s="14" t="n">
        <f aca="false">MAX(0,MIN(Inputs!$F$101,Time!Z$6)-MAX(MAX(Inputs!$F$102,Inputs!$F$100),Time!Z$5))/Time!Z$7</f>
        <v>1</v>
      </c>
      <c r="AA106" s="14" t="n">
        <f aca="false">MAX(0,MIN(Inputs!$F$101,Time!AA$6)-MAX(MAX(Inputs!$F$102,Inputs!$F$100),Time!AA$5))/Time!AA$7</f>
        <v>1</v>
      </c>
      <c r="AB106" s="14" t="n">
        <f aca="false">MAX(0,MIN(Inputs!$F$101,Time!AB$6)-MAX(MAX(Inputs!$F$102,Inputs!$F$100),Time!AB$5))/Time!AB$7</f>
        <v>1</v>
      </c>
      <c r="AC106" s="14" t="n">
        <f aca="false">MAX(0,MIN(Inputs!$F$101,Time!AC$6)-MAX(MAX(Inputs!$F$102,Inputs!$F$100),Time!AC$5))/Time!AC$7</f>
        <v>1</v>
      </c>
      <c r="AD106" s="14" t="n">
        <f aca="false">MAX(0,MIN(Inputs!$F$101,Time!AD$6)-MAX(MAX(Inputs!$F$102,Inputs!$F$100),Time!AD$5))/Time!AD$7</f>
        <v>1</v>
      </c>
      <c r="AE106" s="14" t="n">
        <f aca="false">MAX(0,MIN(Inputs!$F$101,Time!AE$6)-MAX(MAX(Inputs!$F$102,Inputs!$F$100),Time!AE$5))/Time!AE$7</f>
        <v>1</v>
      </c>
      <c r="AF106" s="14" t="n">
        <f aca="false">MAX(0,MIN(Inputs!$F$101,Time!AF$6)-MAX(MAX(Inputs!$F$102,Inputs!$F$100),Time!AF$5))/Time!AF$7</f>
        <v>1</v>
      </c>
      <c r="AG106" s="14" t="n">
        <f aca="false">MAX(0,MIN(Inputs!$F$101,Time!AG$6)-MAX(MAX(Inputs!$F$102,Inputs!$F$100),Time!AG$5))/Time!AG$7</f>
        <v>1</v>
      </c>
      <c r="AH106" s="14" t="n">
        <f aca="false">MAX(0,MIN(Inputs!$F$101,Time!AH$6)-MAX(MAX(Inputs!$F$102,Inputs!$F$100),Time!AH$5))/Time!AH$7</f>
        <v>1</v>
      </c>
      <c r="AI106" s="14" t="n">
        <f aca="false">MAX(0,MIN(Inputs!$F$101,Time!AI$6)-MAX(MAX(Inputs!$F$102,Inputs!$F$100),Time!AI$5))/Time!AI$7</f>
        <v>0.495890410958904</v>
      </c>
      <c r="AJ106" s="14" t="n">
        <f aca="false">MAX(0,MIN(Inputs!$F$101,Time!AJ$6)-MAX(MAX(Inputs!$F$102,Inputs!$F$100),Time!AJ$5))/Time!AJ$7</f>
        <v>0</v>
      </c>
      <c r="AK106" s="14" t="n">
        <f aca="false">MAX(0,MIN(Inputs!$F$101,Time!AK$6)-MAX(MAX(Inputs!$F$102,Inputs!$F$100),Time!AK$5))/Time!AK$7</f>
        <v>0</v>
      </c>
      <c r="AL106" s="14" t="n">
        <f aca="false">MAX(0,MIN(Inputs!$F$101,Time!AL$6)-MAX(MAX(Inputs!$F$102,Inputs!$F$100),Time!AL$5))/Time!AL$7</f>
        <v>0</v>
      </c>
      <c r="AM106" s="14" t="n">
        <f aca="false">MAX(0,MIN(Inputs!$F$101,Time!AM$6)-MAX(MAX(Inputs!$F$102,Inputs!$F$100),Time!AM$5))/Time!AM$7</f>
        <v>0</v>
      </c>
      <c r="AN106" s="14" t="n">
        <f aca="false">MAX(0,MIN(Inputs!$F$101,Time!AN$6)-MAX(MAX(Inputs!$F$102,Inputs!$F$100),Time!AN$5))/Time!AN$7</f>
        <v>0</v>
      </c>
      <c r="AO106" s="14" t="n">
        <f aca="false">MAX(0,MIN(Inputs!$F$101,Time!AO$6)-MAX(MAX(Inputs!$F$102,Inputs!$F$100),Time!AO$5))/Time!AO$7</f>
        <v>0</v>
      </c>
      <c r="AP106" s="14" t="n">
        <f aca="false">MAX(0,MIN(Inputs!$F$101,Time!AP$6)-MAX(MAX(Inputs!$F$102,Inputs!$F$100),Time!AP$5))/Time!AP$7</f>
        <v>0</v>
      </c>
      <c r="AQ106" s="14" t="n">
        <f aca="false">MAX(0,MIN(Inputs!$F$101,Time!AQ$6)-MAX(MAX(Inputs!$F$102,Inputs!$F$100),Time!AQ$5))/Time!AQ$7</f>
        <v>0</v>
      </c>
      <c r="AR106" s="14" t="n">
        <f aca="false">MAX(0,MIN(Inputs!$F$101,Time!AR$6)-MAX(MAX(Inputs!$F$102,Inputs!$F$100),Time!AR$5))/Time!AR$7</f>
        <v>0</v>
      </c>
      <c r="AS106" s="14" t="n">
        <f aca="false">MAX(0,MIN(Inputs!$F$101,Time!AS$6)-MAX(MAX(Inputs!$F$102,Inputs!$F$100),Time!AS$5))/Time!AS$7</f>
        <v>0</v>
      </c>
      <c r="AT106" s="14" t="n">
        <f aca="false">MAX(0,MIN(Inputs!$F$101,Time!AT$6)-MAX(MAX(Inputs!$F$102,Inputs!$F$100),Time!AT$5))/Time!AT$7</f>
        <v>0</v>
      </c>
      <c r="AU106" s="14" t="n">
        <f aca="false">MAX(0,MIN(Inputs!$F$101,Time!AU$6)-MAX(MAX(Inputs!$F$102,Inputs!$F$100),Time!AU$5))/Time!AU$7</f>
        <v>0</v>
      </c>
    </row>
    <row r="107" customFormat="false" ht="15" hidden="false" customHeight="false" outlineLevel="0" collapsed="false">
      <c r="D107" s="0" t="s">
        <v>503</v>
      </c>
      <c r="E107" s="0" t="s">
        <v>458</v>
      </c>
      <c r="J107" s="14" t="n">
        <f aca="false">IF(Operations!J105&gt;0,Operations!J106/Operations!J105,0)</f>
        <v>0.778082191780822</v>
      </c>
      <c r="K107" s="14" t="n">
        <f aca="false">IF(Operations!K105&gt;0,Operations!K106/Operations!K105,0)</f>
        <v>1</v>
      </c>
      <c r="L107" s="14" t="n">
        <f aca="false">IF(Operations!L105&gt;0,Operations!L106/Operations!L105,0)</f>
        <v>1</v>
      </c>
      <c r="M107" s="14" t="n">
        <f aca="false">IF(Operations!M105&gt;0,Operations!M106/Operations!M105,0)</f>
        <v>1</v>
      </c>
      <c r="N107" s="14" t="n">
        <f aca="false">IF(Operations!N105&gt;0,Operations!N106/Operations!N105,0)</f>
        <v>1</v>
      </c>
      <c r="O107" s="14" t="n">
        <f aca="false">IF(Operations!O105&gt;0,Operations!O106/Operations!O105,0)</f>
        <v>1</v>
      </c>
      <c r="P107" s="14" t="n">
        <f aca="false">IF(Operations!P105&gt;0,Operations!P106/Operations!P105,0)</f>
        <v>1</v>
      </c>
      <c r="Q107" s="14" t="n">
        <f aca="false">IF(Operations!Q105&gt;0,Operations!Q106/Operations!Q105,0)</f>
        <v>1</v>
      </c>
      <c r="R107" s="14" t="n">
        <f aca="false">IF(Operations!R105&gt;0,Operations!R106/Operations!R105,0)</f>
        <v>1</v>
      </c>
      <c r="S107" s="14" t="n">
        <f aca="false">IF(Operations!S105&gt;0,Operations!S106/Operations!S105,0)</f>
        <v>1</v>
      </c>
      <c r="T107" s="14" t="n">
        <f aca="false">IF(Operations!T105&gt;0,Operations!T106/Operations!T105,0)</f>
        <v>1</v>
      </c>
      <c r="U107" s="14" t="n">
        <f aca="false">IF(Operations!U105&gt;0,Operations!U106/Operations!U105,0)</f>
        <v>1</v>
      </c>
      <c r="V107" s="14" t="n">
        <f aca="false">IF(Operations!V105&gt;0,Operations!V106/Operations!V105,0)</f>
        <v>1</v>
      </c>
      <c r="W107" s="14" t="n">
        <f aca="false">IF(Operations!W105&gt;0,Operations!W106/Operations!W105,0)</f>
        <v>1</v>
      </c>
      <c r="X107" s="14" t="n">
        <f aca="false">IF(Operations!X105&gt;0,Operations!X106/Operations!X105,0)</f>
        <v>1</v>
      </c>
      <c r="Y107" s="14" t="n">
        <f aca="false">IF(Operations!Y105&gt;0,Operations!Y106/Operations!Y105,0)</f>
        <v>1</v>
      </c>
      <c r="Z107" s="14" t="n">
        <f aca="false">IF(Operations!Z105&gt;0,Operations!Z106/Operations!Z105,0)</f>
        <v>1</v>
      </c>
      <c r="AA107" s="14" t="n">
        <f aca="false">IF(Operations!AA105&gt;0,Operations!AA106/Operations!AA105,0)</f>
        <v>1</v>
      </c>
      <c r="AB107" s="14" t="n">
        <f aca="false">IF(Operations!AB105&gt;0,Operations!AB106/Operations!AB105,0)</f>
        <v>1</v>
      </c>
      <c r="AC107" s="14" t="n">
        <f aca="false">IF(Operations!AC105&gt;0,Operations!AC106/Operations!AC105,0)</f>
        <v>1</v>
      </c>
      <c r="AD107" s="14" t="n">
        <f aca="false">IF(Operations!AD105&gt;0,Operations!AD106/Operations!AD105,0)</f>
        <v>1</v>
      </c>
      <c r="AE107" s="14" t="n">
        <f aca="false">IF(Operations!AE105&gt;0,Operations!AE106/Operations!AE105,0)</f>
        <v>1</v>
      </c>
      <c r="AF107" s="14" t="n">
        <f aca="false">IF(Operations!AF105&gt;0,Operations!AF106/Operations!AF105,0)</f>
        <v>1</v>
      </c>
      <c r="AG107" s="14" t="n">
        <f aca="false">IF(Operations!AG105&gt;0,Operations!AG106/Operations!AG105,0)</f>
        <v>1</v>
      </c>
      <c r="AH107" s="14" t="n">
        <f aca="false">IF(Operations!AH105&gt;0,Operations!AH106/Operations!AH105,0)</f>
        <v>1</v>
      </c>
      <c r="AI107" s="14" t="n">
        <f aca="false">IF(Operations!AI105&gt;0,Operations!AI106/Operations!AI105,0)</f>
        <v>1</v>
      </c>
      <c r="AJ107" s="14" t="n">
        <f aca="false">IF(Operations!AJ105&gt;0,Operations!AJ106/Operations!AJ105,0)</f>
        <v>0</v>
      </c>
      <c r="AK107" s="14" t="n">
        <f aca="false">IF(Operations!AK105&gt;0,Operations!AK106/Operations!AK105,0)</f>
        <v>0</v>
      </c>
      <c r="AL107" s="14" t="n">
        <f aca="false">IF(Operations!AL105&gt;0,Operations!AL106/Operations!AL105,0)</f>
        <v>0</v>
      </c>
      <c r="AM107" s="14" t="n">
        <f aca="false">IF(Operations!AM105&gt;0,Operations!AM106/Operations!AM105,0)</f>
        <v>0</v>
      </c>
      <c r="AN107" s="14" t="n">
        <f aca="false">IF(Operations!AN105&gt;0,Operations!AN106/Operations!AN105,0)</f>
        <v>0</v>
      </c>
      <c r="AO107" s="14" t="n">
        <f aca="false">IF(Operations!AO105&gt;0,Operations!AO106/Operations!AO105,0)</f>
        <v>0</v>
      </c>
      <c r="AP107" s="14" t="n">
        <f aca="false">IF(Operations!AP105&gt;0,Operations!AP106/Operations!AP105,0)</f>
        <v>0</v>
      </c>
      <c r="AQ107" s="14" t="n">
        <f aca="false">IF(Operations!AQ105&gt;0,Operations!AQ106/Operations!AQ105,0)</f>
        <v>0</v>
      </c>
      <c r="AR107" s="14" t="n">
        <f aca="false">IF(Operations!AR105&gt;0,Operations!AR106/Operations!AR105,0)</f>
        <v>0</v>
      </c>
      <c r="AS107" s="14" t="n">
        <f aca="false">IF(Operations!AS105&gt;0,Operations!AS106/Operations!AS105,0)</f>
        <v>0</v>
      </c>
      <c r="AT107" s="14" t="n">
        <f aca="false">IF(Operations!AT105&gt;0,Operations!AT106/Operations!AT105,0)</f>
        <v>0</v>
      </c>
      <c r="AU107" s="14" t="n">
        <f aca="false">IF(Operations!AU105&gt;0,Operations!AU106/Operations!AU105,0)</f>
        <v>0</v>
      </c>
    </row>
    <row r="108" customFormat="false" ht="15" hidden="false" customHeight="false" outlineLevel="0" collapsed="false">
      <c r="D108" s="0" t="s">
        <v>504</v>
      </c>
      <c r="E108" s="0" t="s">
        <v>96</v>
      </c>
      <c r="J108" s="18" t="n">
        <f aca="false">Operations!J54</f>
        <v>73.9286</v>
      </c>
      <c r="K108" s="18" t="n">
        <f aca="false">Operations!K54</f>
        <v>60.6492</v>
      </c>
      <c r="L108" s="18" t="n">
        <f aca="false">Operations!L54</f>
        <v>29.8291</v>
      </c>
      <c r="M108" s="18" t="n">
        <f aca="false">Operations!M54</f>
        <v>39.4418</v>
      </c>
      <c r="N108" s="18" t="n">
        <f aca="false">Operations!N54</f>
        <v>44.1986</v>
      </c>
      <c r="O108" s="18" t="n">
        <f aca="false">Operations!O54</f>
        <v>46.8743</v>
      </c>
      <c r="P108" s="18" t="n">
        <f aca="false">Operations!P54</f>
        <v>48.6581</v>
      </c>
      <c r="Q108" s="18" t="n">
        <f aca="false">Operations!Q54</f>
        <v>49.9464</v>
      </c>
      <c r="R108" s="18" t="n">
        <f aca="false">Operations!R54</f>
        <v>51.3338</v>
      </c>
      <c r="S108" s="18" t="n">
        <f aca="false">Operations!S54</f>
        <v>52.36444</v>
      </c>
      <c r="T108" s="18" t="n">
        <f aca="false">Operations!T54</f>
        <v>53.4149</v>
      </c>
      <c r="U108" s="18" t="n">
        <f aca="false">Operations!U54</f>
        <v>54.48518</v>
      </c>
      <c r="V108" s="18" t="n">
        <f aca="false">Operations!V54</f>
        <v>55.57528</v>
      </c>
      <c r="W108" s="18" t="n">
        <f aca="false">Operations!W54</f>
        <v>56.6852</v>
      </c>
      <c r="X108" s="18" t="n">
        <f aca="false">Operations!X54</f>
        <v>57.81494</v>
      </c>
      <c r="Y108" s="18" t="n">
        <f aca="false">Operations!Y54</f>
        <v>58.97441</v>
      </c>
      <c r="Z108" s="18" t="n">
        <f aca="false">Operations!Z54</f>
        <v>60.1537</v>
      </c>
      <c r="AA108" s="18" t="n">
        <f aca="false">Operations!AA54</f>
        <v>61.35281</v>
      </c>
      <c r="AB108" s="18" t="n">
        <f aca="false">Operations!AB54</f>
        <v>62.58165</v>
      </c>
      <c r="AC108" s="18" t="n">
        <f aca="false">Operations!AC54</f>
        <v>63.83031</v>
      </c>
      <c r="AD108" s="18" t="n">
        <f aca="false">Operations!AD54</f>
        <v>65.1087</v>
      </c>
      <c r="AE108" s="18" t="n">
        <f aca="false">Operations!AE54</f>
        <v>66.40691</v>
      </c>
      <c r="AF108" s="18" t="n">
        <f aca="false">Operations!AF54</f>
        <v>67.73485</v>
      </c>
      <c r="AG108" s="18" t="n">
        <f aca="false">Operations!AG54</f>
        <v>69.09252</v>
      </c>
      <c r="AH108" s="18" t="n">
        <f aca="false">Operations!AH54</f>
        <v>70.47001</v>
      </c>
      <c r="AI108" s="18" t="n">
        <f aca="false">Operations!AI54</f>
        <v>71.87723</v>
      </c>
      <c r="AJ108" s="18" t="n">
        <f aca="false">Operations!AJ54</f>
        <v>73.31418</v>
      </c>
      <c r="AK108" s="18" t="n">
        <f aca="false">Operations!AK54</f>
        <v>74.78086</v>
      </c>
      <c r="AL108" s="18" t="n">
        <f aca="false">Operations!AL54</f>
        <v>76.27727</v>
      </c>
      <c r="AM108" s="18" t="n">
        <f aca="false">Operations!AM54</f>
        <v>77.80341</v>
      </c>
      <c r="AN108" s="18" t="n">
        <f aca="false">Operations!AN54</f>
        <v>79.35928</v>
      </c>
      <c r="AO108" s="18" t="n">
        <f aca="false">Operations!AO54</f>
        <v>80.94488</v>
      </c>
      <c r="AP108" s="18" t="n">
        <f aca="false">Operations!AP54</f>
        <v>82.56021</v>
      </c>
      <c r="AQ108" s="18" t="n">
        <f aca="false">Operations!AQ54</f>
        <v>84.21518</v>
      </c>
      <c r="AR108" s="18" t="n">
        <f aca="false">Operations!AR54</f>
        <v>85.89988</v>
      </c>
      <c r="AS108" s="18" t="n">
        <f aca="false">Operations!AS54</f>
        <v>87.61431</v>
      </c>
      <c r="AT108" s="18" t="n">
        <f aca="false">Operations!AT54</f>
        <v>89.36838</v>
      </c>
      <c r="AU108" s="18" t="n">
        <f aca="false">Operations!AU54</f>
        <v>91.15218</v>
      </c>
    </row>
    <row r="109" customFormat="false" ht="15" hidden="false" customHeight="false" outlineLevel="0" collapsed="false">
      <c r="D109" s="0" t="s">
        <v>505</v>
      </c>
      <c r="E109" s="0" t="s">
        <v>27</v>
      </c>
      <c r="J109" s="14" t="n">
        <f aca="false">CHOOSE(Operations!$F$47,1,Inputs!$F$106/100,Inputs!$F$107/100,Operations!$F$18/100)</f>
        <v>1</v>
      </c>
      <c r="K109" s="14" t="n">
        <f aca="false">CHOOSE(Operations!$F$47,1,Inputs!$F$106/100,Inputs!$F$107/100,Operations!$F$18/100)</f>
        <v>1</v>
      </c>
      <c r="L109" s="14" t="n">
        <f aca="false">CHOOSE(Operations!$F$47,1,Inputs!$F$106/100,Inputs!$F$107/100,Operations!$F$18/100)</f>
        <v>1</v>
      </c>
      <c r="M109" s="14" t="n">
        <f aca="false">CHOOSE(Operations!$F$47,1,Inputs!$F$106/100,Inputs!$F$107/100,Operations!$F$18/100)</f>
        <v>1</v>
      </c>
      <c r="N109" s="14" t="n">
        <f aca="false">CHOOSE(Operations!$F$47,1,Inputs!$F$106/100,Inputs!$F$107/100,Operations!$F$18/100)</f>
        <v>1</v>
      </c>
      <c r="O109" s="14" t="n">
        <f aca="false">CHOOSE(Operations!$F$47,1,Inputs!$F$106/100,Inputs!$F$107/100,Operations!$F$18/100)</f>
        <v>1</v>
      </c>
      <c r="P109" s="14" t="n">
        <f aca="false">CHOOSE(Operations!$F$47,1,Inputs!$F$106/100,Inputs!$F$107/100,Operations!$F$18/100)</f>
        <v>1</v>
      </c>
      <c r="Q109" s="14" t="n">
        <f aca="false">CHOOSE(Operations!$F$47,1,Inputs!$F$106/100,Inputs!$F$107/100,Operations!$F$18/100)</f>
        <v>1</v>
      </c>
      <c r="R109" s="14" t="n">
        <f aca="false">CHOOSE(Operations!$F$47,1,Inputs!$F$106/100,Inputs!$F$107/100,Operations!$F$18/100)</f>
        <v>1</v>
      </c>
      <c r="S109" s="14" t="n">
        <f aca="false">CHOOSE(Operations!$F$47,1,Inputs!$F$106/100,Inputs!$F$107/100,Operations!$F$18/100)</f>
        <v>1</v>
      </c>
      <c r="T109" s="14" t="n">
        <f aca="false">CHOOSE(Operations!$F$47,1,Inputs!$F$106/100,Inputs!$F$107/100,Operations!$F$18/100)</f>
        <v>1</v>
      </c>
      <c r="U109" s="14" t="n">
        <f aca="false">CHOOSE(Operations!$F$47,1,Inputs!$F$106/100,Inputs!$F$107/100,Operations!$F$18/100)</f>
        <v>1</v>
      </c>
      <c r="V109" s="14" t="n">
        <f aca="false">CHOOSE(Operations!$F$47,1,Inputs!$F$106/100,Inputs!$F$107/100,Operations!$F$18/100)</f>
        <v>1</v>
      </c>
      <c r="W109" s="14" t="n">
        <f aca="false">CHOOSE(Operations!$F$47,1,Inputs!$F$106/100,Inputs!$F$107/100,Operations!$F$18/100)</f>
        <v>1</v>
      </c>
      <c r="X109" s="14" t="n">
        <f aca="false">CHOOSE(Operations!$F$47,1,Inputs!$F$106/100,Inputs!$F$107/100,Operations!$F$18/100)</f>
        <v>1</v>
      </c>
      <c r="Y109" s="14" t="n">
        <f aca="false">CHOOSE(Operations!$F$47,1,Inputs!$F$106/100,Inputs!$F$107/100,Operations!$F$18/100)</f>
        <v>1</v>
      </c>
      <c r="Z109" s="14" t="n">
        <f aca="false">CHOOSE(Operations!$F$47,1,Inputs!$F$106/100,Inputs!$F$107/100,Operations!$F$18/100)</f>
        <v>1</v>
      </c>
      <c r="AA109" s="14" t="n">
        <f aca="false">CHOOSE(Operations!$F$47,1,Inputs!$F$106/100,Inputs!$F$107/100,Operations!$F$18/100)</f>
        <v>1</v>
      </c>
      <c r="AB109" s="14" t="n">
        <f aca="false">CHOOSE(Operations!$F$47,1,Inputs!$F$106/100,Inputs!$F$107/100,Operations!$F$18/100)</f>
        <v>1</v>
      </c>
      <c r="AC109" s="14" t="n">
        <f aca="false">CHOOSE(Operations!$F$47,1,Inputs!$F$106/100,Inputs!$F$107/100,Operations!$F$18/100)</f>
        <v>1</v>
      </c>
      <c r="AD109" s="14" t="n">
        <f aca="false">CHOOSE(Operations!$F$47,1,Inputs!$F$106/100,Inputs!$F$107/100,Operations!$F$18/100)</f>
        <v>1</v>
      </c>
      <c r="AE109" s="14" t="n">
        <f aca="false">CHOOSE(Operations!$F$47,1,Inputs!$F$106/100,Inputs!$F$107/100,Operations!$F$18/100)</f>
        <v>1</v>
      </c>
      <c r="AF109" s="14" t="n">
        <f aca="false">CHOOSE(Operations!$F$47,1,Inputs!$F$106/100,Inputs!$F$107/100,Operations!$F$18/100)</f>
        <v>1</v>
      </c>
      <c r="AG109" s="14" t="n">
        <f aca="false">CHOOSE(Operations!$F$47,1,Inputs!$F$106/100,Inputs!$F$107/100,Operations!$F$18/100)</f>
        <v>1</v>
      </c>
      <c r="AH109" s="14" t="n">
        <f aca="false">CHOOSE(Operations!$F$47,1,Inputs!$F$106/100,Inputs!$F$107/100,Operations!$F$18/100)</f>
        <v>1</v>
      </c>
      <c r="AI109" s="14" t="n">
        <f aca="false">CHOOSE(Operations!$F$47,1,Inputs!$F$106/100,Inputs!$F$107/100,Operations!$F$18/100)</f>
        <v>1</v>
      </c>
      <c r="AJ109" s="14" t="n">
        <f aca="false">CHOOSE(Operations!$F$47,1,Inputs!$F$106/100,Inputs!$F$107/100,Operations!$F$18/100)</f>
        <v>1</v>
      </c>
      <c r="AK109" s="14" t="n">
        <f aca="false">CHOOSE(Operations!$F$47,1,Inputs!$F$106/100,Inputs!$F$107/100,Operations!$F$18/100)</f>
        <v>1</v>
      </c>
      <c r="AL109" s="14" t="n">
        <f aca="false">CHOOSE(Operations!$F$47,1,Inputs!$F$106/100,Inputs!$F$107/100,Operations!$F$18/100)</f>
        <v>1</v>
      </c>
      <c r="AM109" s="14" t="n">
        <f aca="false">CHOOSE(Operations!$F$47,1,Inputs!$F$106/100,Inputs!$F$107/100,Operations!$F$18/100)</f>
        <v>1</v>
      </c>
      <c r="AN109" s="14" t="n">
        <f aca="false">CHOOSE(Operations!$F$47,1,Inputs!$F$106/100,Inputs!$F$107/100,Operations!$F$18/100)</f>
        <v>1</v>
      </c>
      <c r="AO109" s="14" t="n">
        <f aca="false">CHOOSE(Operations!$F$47,1,Inputs!$F$106/100,Inputs!$F$107/100,Operations!$F$18/100)</f>
        <v>1</v>
      </c>
      <c r="AP109" s="14" t="n">
        <f aca="false">CHOOSE(Operations!$F$47,1,Inputs!$F$106/100,Inputs!$F$107/100,Operations!$F$18/100)</f>
        <v>1</v>
      </c>
      <c r="AQ109" s="14" t="n">
        <f aca="false">CHOOSE(Operations!$F$47,1,Inputs!$F$106/100,Inputs!$F$107/100,Operations!$F$18/100)</f>
        <v>1</v>
      </c>
      <c r="AR109" s="14" t="n">
        <f aca="false">CHOOSE(Operations!$F$47,1,Inputs!$F$106/100,Inputs!$F$107/100,Operations!$F$18/100)</f>
        <v>1</v>
      </c>
      <c r="AS109" s="14" t="n">
        <f aca="false">CHOOSE(Operations!$F$47,1,Inputs!$F$106/100,Inputs!$F$107/100,Operations!$F$18/100)</f>
        <v>1</v>
      </c>
      <c r="AT109" s="14" t="n">
        <f aca="false">CHOOSE(Operations!$F$47,1,Inputs!$F$106/100,Inputs!$F$107/100,Operations!$F$18/100)</f>
        <v>1</v>
      </c>
      <c r="AU109" s="14" t="n">
        <f aca="false">CHOOSE(Operations!$F$47,1,Inputs!$F$106/100,Inputs!$F$107/100,Operations!$F$18/100)</f>
        <v>1</v>
      </c>
    </row>
    <row r="110" customFormat="false" ht="15" hidden="false" customHeight="false" outlineLevel="0" collapsed="false">
      <c r="D110" s="0" t="s">
        <v>506</v>
      </c>
      <c r="E110" s="0" t="s">
        <v>27</v>
      </c>
      <c r="J110" s="14" t="n">
        <f aca="false">(1-Inputs!$F$108/100)^MAX(0,Time!J$4-Inputs!$F$109)</f>
        <v>1</v>
      </c>
      <c r="K110" s="14" t="n">
        <f aca="false">(1-Inputs!$F$108/100)^MAX(0,Time!K$4-Inputs!$F$109)</f>
        <v>0.998</v>
      </c>
      <c r="L110" s="14" t="n">
        <f aca="false">(1-Inputs!$F$108/100)^MAX(0,Time!L$4-Inputs!$F$109)</f>
        <v>0.996004</v>
      </c>
      <c r="M110" s="14" t="n">
        <f aca="false">(1-Inputs!$F$108/100)^MAX(0,Time!M$4-Inputs!$F$109)</f>
        <v>0.994011992</v>
      </c>
      <c r="N110" s="14" t="n">
        <f aca="false">(1-Inputs!$F$108/100)^MAX(0,Time!N$4-Inputs!$F$109)</f>
        <v>0.992023968016</v>
      </c>
      <c r="O110" s="14" t="n">
        <f aca="false">(1-Inputs!$F$108/100)^MAX(0,Time!O$4-Inputs!$F$109)</f>
        <v>0.990039920079968</v>
      </c>
      <c r="P110" s="14" t="n">
        <f aca="false">(1-Inputs!$F$108/100)^MAX(0,Time!P$4-Inputs!$F$109)</f>
        <v>0.988059840239808</v>
      </c>
      <c r="Q110" s="14" t="n">
        <f aca="false">(1-Inputs!$F$108/100)^MAX(0,Time!Q$4-Inputs!$F$109)</f>
        <v>0.986083720559329</v>
      </c>
      <c r="R110" s="14" t="n">
        <f aca="false">(1-Inputs!$F$108/100)^MAX(0,Time!R$4-Inputs!$F$109)</f>
        <v>0.98411155311821</v>
      </c>
      <c r="S110" s="14" t="n">
        <f aca="false">(1-Inputs!$F$108/100)^MAX(0,Time!S$4-Inputs!$F$109)</f>
        <v>0.982143330011973</v>
      </c>
      <c r="T110" s="14" t="n">
        <f aca="false">(1-Inputs!$F$108/100)^MAX(0,Time!T$4-Inputs!$F$109)</f>
        <v>0.980179043351949</v>
      </c>
      <c r="U110" s="14" t="n">
        <f aca="false">(1-Inputs!$F$108/100)^MAX(0,Time!U$4-Inputs!$F$109)</f>
        <v>0.978218685265246</v>
      </c>
      <c r="V110" s="14" t="n">
        <f aca="false">(1-Inputs!$F$108/100)^MAX(0,Time!V$4-Inputs!$F$109)</f>
        <v>0.976262247894715</v>
      </c>
      <c r="W110" s="14" t="n">
        <f aca="false">(1-Inputs!$F$108/100)^MAX(0,Time!W$4-Inputs!$F$109)</f>
        <v>0.974309723398926</v>
      </c>
      <c r="X110" s="14" t="n">
        <f aca="false">(1-Inputs!$F$108/100)^MAX(0,Time!X$4-Inputs!$F$109)</f>
        <v>0.972361103952128</v>
      </c>
      <c r="Y110" s="14" t="n">
        <f aca="false">(1-Inputs!$F$108/100)^MAX(0,Time!Y$4-Inputs!$F$109)</f>
        <v>0.970416381744224</v>
      </c>
      <c r="Z110" s="14" t="n">
        <f aca="false">(1-Inputs!$F$108/100)^MAX(0,Time!Z$4-Inputs!$F$109)</f>
        <v>0.968475548980735</v>
      </c>
      <c r="AA110" s="14" t="n">
        <f aca="false">(1-Inputs!$F$108/100)^MAX(0,Time!AA$4-Inputs!$F$109)</f>
        <v>0.966538597882774</v>
      </c>
      <c r="AB110" s="14" t="n">
        <f aca="false">(1-Inputs!$F$108/100)^MAX(0,Time!AB$4-Inputs!$F$109)</f>
        <v>0.964605520687008</v>
      </c>
      <c r="AC110" s="14" t="n">
        <f aca="false">(1-Inputs!$F$108/100)^MAX(0,Time!AC$4-Inputs!$F$109)</f>
        <v>0.962676309645634</v>
      </c>
      <c r="AD110" s="14" t="n">
        <f aca="false">(1-Inputs!$F$108/100)^MAX(0,Time!AD$4-Inputs!$F$109)</f>
        <v>0.960750957026343</v>
      </c>
      <c r="AE110" s="14" t="n">
        <f aca="false">(1-Inputs!$F$108/100)^MAX(0,Time!AE$4-Inputs!$F$109)</f>
        <v>0.95882945511229</v>
      </c>
      <c r="AF110" s="14" t="n">
        <f aca="false">(1-Inputs!$F$108/100)^MAX(0,Time!AF$4-Inputs!$F$109)</f>
        <v>0.956911796202066</v>
      </c>
      <c r="AG110" s="14" t="n">
        <f aca="false">(1-Inputs!$F$108/100)^MAX(0,Time!AG$4-Inputs!$F$109)</f>
        <v>0.954997972609661</v>
      </c>
      <c r="AH110" s="14" t="n">
        <f aca="false">(1-Inputs!$F$108/100)^MAX(0,Time!AH$4-Inputs!$F$109)</f>
        <v>0.953087976664442</v>
      </c>
      <c r="AI110" s="14" t="n">
        <f aca="false">(1-Inputs!$F$108/100)^MAX(0,Time!AI$4-Inputs!$F$109)</f>
        <v>0.951181800711113</v>
      </c>
      <c r="AJ110" s="14" t="n">
        <f aca="false">(1-Inputs!$F$108/100)^MAX(0,Time!AJ$4-Inputs!$F$109)</f>
        <v>0.949279437109691</v>
      </c>
      <c r="AK110" s="14" t="n">
        <f aca="false">(1-Inputs!$F$108/100)^MAX(0,Time!AK$4-Inputs!$F$109)</f>
        <v>0.947380878235472</v>
      </c>
      <c r="AL110" s="14" t="n">
        <f aca="false">(1-Inputs!$F$108/100)^MAX(0,Time!AL$4-Inputs!$F$109)</f>
        <v>0.945486116479001</v>
      </c>
      <c r="AM110" s="14" t="n">
        <f aca="false">(1-Inputs!$F$108/100)^MAX(0,Time!AM$4-Inputs!$F$109)</f>
        <v>0.943595144246043</v>
      </c>
      <c r="AN110" s="14" t="n">
        <f aca="false">(1-Inputs!$F$108/100)^MAX(0,Time!AN$4-Inputs!$F$109)</f>
        <v>0.941707953957551</v>
      </c>
      <c r="AO110" s="14" t="n">
        <f aca="false">(1-Inputs!$F$108/100)^MAX(0,Time!AO$4-Inputs!$F$109)</f>
        <v>0.939824538049635</v>
      </c>
      <c r="AP110" s="14" t="n">
        <f aca="false">(1-Inputs!$F$108/100)^MAX(0,Time!AP$4-Inputs!$F$109)</f>
        <v>0.937944888973536</v>
      </c>
      <c r="AQ110" s="14" t="n">
        <f aca="false">(1-Inputs!$F$108/100)^MAX(0,Time!AQ$4-Inputs!$F$109)</f>
        <v>0.936068999195589</v>
      </c>
      <c r="AR110" s="14" t="n">
        <f aca="false">(1-Inputs!$F$108/100)^MAX(0,Time!AR$4-Inputs!$F$109)</f>
        <v>0.934196861197198</v>
      </c>
      <c r="AS110" s="14" t="n">
        <f aca="false">(1-Inputs!$F$108/100)^MAX(0,Time!AS$4-Inputs!$F$109)</f>
        <v>0.932328467474804</v>
      </c>
      <c r="AT110" s="14" t="n">
        <f aca="false">(1-Inputs!$F$108/100)^MAX(0,Time!AT$4-Inputs!$F$109)</f>
        <v>0.930463810539854</v>
      </c>
      <c r="AU110" s="14" t="n">
        <f aca="false">(1-Inputs!$F$108/100)^MAX(0,Time!AU$4-Inputs!$F$109)</f>
        <v>0.928602882918774</v>
      </c>
    </row>
    <row r="111" customFormat="false" ht="15" hidden="false" customHeight="false" outlineLevel="0" collapsed="false">
      <c r="D111" s="0" t="s">
        <v>507</v>
      </c>
      <c r="E111" s="0" t="s">
        <v>458</v>
      </c>
      <c r="J111" s="14" t="n">
        <f aca="false">(IF(Time!J$4&gt;=Inputs!$F$61,Inputs!$F$71,Inputs!$F$70+(Inputs!$F$71-Inputs!$F$70)*(Time!J$4-Inputs!$F$23)/(Inputs!$F$61-Inputs!$F$23))+Operations!$F$49)/100</f>
        <v>0.015</v>
      </c>
      <c r="K111" s="14" t="n">
        <f aca="false">(IF(Time!K$4&gt;=Inputs!$F$61,Inputs!$F$71,Inputs!$F$70+(Inputs!$F$71-Inputs!$F$70)*(Time!K$4-Inputs!$F$23)/(Inputs!$F$61-Inputs!$F$23))+Operations!$F$49)/100</f>
        <v>0.015</v>
      </c>
      <c r="L111" s="14" t="n">
        <f aca="false">(IF(Time!L$4&gt;=Inputs!$F$61,Inputs!$F$71,Inputs!$F$70+(Inputs!$F$71-Inputs!$F$70)*(Time!L$4-Inputs!$F$23)/(Inputs!$F$61-Inputs!$F$23))+Operations!$F$49)/100</f>
        <v>0.015</v>
      </c>
      <c r="M111" s="14" t="n">
        <f aca="false">(IF(Time!M$4&gt;=Inputs!$F$61,Inputs!$F$71,Inputs!$F$70+(Inputs!$F$71-Inputs!$F$70)*(Time!M$4-Inputs!$F$23)/(Inputs!$F$61-Inputs!$F$23))+Operations!$F$49)/100</f>
        <v>0.015</v>
      </c>
      <c r="N111" s="14" t="n">
        <f aca="false">(IF(Time!N$4&gt;=Inputs!$F$61,Inputs!$F$71,Inputs!$F$70+(Inputs!$F$71-Inputs!$F$70)*(Time!N$4-Inputs!$F$23)/(Inputs!$F$61-Inputs!$F$23))+Operations!$F$49)/100</f>
        <v>0.015</v>
      </c>
      <c r="O111" s="14" t="n">
        <f aca="false">(IF(Time!O$4&gt;=Inputs!$F$61,Inputs!$F$71,Inputs!$F$70+(Inputs!$F$71-Inputs!$F$70)*(Time!O$4-Inputs!$F$23)/(Inputs!$F$61-Inputs!$F$23))+Operations!$F$49)/100</f>
        <v>0.015</v>
      </c>
      <c r="P111" s="14" t="n">
        <f aca="false">(IF(Time!P$4&gt;=Inputs!$F$61,Inputs!$F$71,Inputs!$F$70+(Inputs!$F$71-Inputs!$F$70)*(Time!P$4-Inputs!$F$23)/(Inputs!$F$61-Inputs!$F$23))+Operations!$F$49)/100</f>
        <v>0.015</v>
      </c>
      <c r="Q111" s="14" t="n">
        <f aca="false">(IF(Time!Q$4&gt;=Inputs!$F$61,Inputs!$F$71,Inputs!$F$70+(Inputs!$F$71-Inputs!$F$70)*(Time!Q$4-Inputs!$F$23)/(Inputs!$F$61-Inputs!$F$23))+Operations!$F$49)/100</f>
        <v>0.015</v>
      </c>
      <c r="R111" s="14" t="n">
        <f aca="false">(IF(Time!R$4&gt;=Inputs!$F$61,Inputs!$F$71,Inputs!$F$70+(Inputs!$F$71-Inputs!$F$70)*(Time!R$4-Inputs!$F$23)/(Inputs!$F$61-Inputs!$F$23))+Operations!$F$49)/100</f>
        <v>0.015</v>
      </c>
      <c r="S111" s="14" t="n">
        <f aca="false">(IF(Time!S$4&gt;=Inputs!$F$61,Inputs!$F$71,Inputs!$F$70+(Inputs!$F$71-Inputs!$F$70)*(Time!S$4-Inputs!$F$23)/(Inputs!$F$61-Inputs!$F$23))+Operations!$F$49)/100</f>
        <v>0.015</v>
      </c>
      <c r="T111" s="14" t="n">
        <f aca="false">(IF(Time!T$4&gt;=Inputs!$F$61,Inputs!$F$71,Inputs!$F$70+(Inputs!$F$71-Inputs!$F$70)*(Time!T$4-Inputs!$F$23)/(Inputs!$F$61-Inputs!$F$23))+Operations!$F$49)/100</f>
        <v>0.015</v>
      </c>
      <c r="U111" s="14" t="n">
        <f aca="false">(IF(Time!U$4&gt;=Inputs!$F$61,Inputs!$F$71,Inputs!$F$70+(Inputs!$F$71-Inputs!$F$70)*(Time!U$4-Inputs!$F$23)/(Inputs!$F$61-Inputs!$F$23))+Operations!$F$49)/100</f>
        <v>0.015</v>
      </c>
      <c r="V111" s="14" t="n">
        <f aca="false">(IF(Time!V$4&gt;=Inputs!$F$61,Inputs!$F$71,Inputs!$F$70+(Inputs!$F$71-Inputs!$F$70)*(Time!V$4-Inputs!$F$23)/(Inputs!$F$61-Inputs!$F$23))+Operations!$F$49)/100</f>
        <v>0.015</v>
      </c>
      <c r="W111" s="14" t="n">
        <f aca="false">(IF(Time!W$4&gt;=Inputs!$F$61,Inputs!$F$71,Inputs!$F$70+(Inputs!$F$71-Inputs!$F$70)*(Time!W$4-Inputs!$F$23)/(Inputs!$F$61-Inputs!$F$23))+Operations!$F$49)/100</f>
        <v>0.015</v>
      </c>
      <c r="X111" s="14" t="n">
        <f aca="false">(IF(Time!X$4&gt;=Inputs!$F$61,Inputs!$F$71,Inputs!$F$70+(Inputs!$F$71-Inputs!$F$70)*(Time!X$4-Inputs!$F$23)/(Inputs!$F$61-Inputs!$F$23))+Operations!$F$49)/100</f>
        <v>0.015</v>
      </c>
      <c r="Y111" s="14" t="n">
        <f aca="false">(IF(Time!Y$4&gt;=Inputs!$F$61,Inputs!$F$71,Inputs!$F$70+(Inputs!$F$71-Inputs!$F$70)*(Time!Y$4-Inputs!$F$23)/(Inputs!$F$61-Inputs!$F$23))+Operations!$F$49)/100</f>
        <v>0.015</v>
      </c>
      <c r="Z111" s="14" t="n">
        <f aca="false">(IF(Time!Z$4&gt;=Inputs!$F$61,Inputs!$F$71,Inputs!$F$70+(Inputs!$F$71-Inputs!$F$70)*(Time!Z$4-Inputs!$F$23)/(Inputs!$F$61-Inputs!$F$23))+Operations!$F$49)/100</f>
        <v>0.015</v>
      </c>
      <c r="AA111" s="14" t="n">
        <f aca="false">(IF(Time!AA$4&gt;=Inputs!$F$61,Inputs!$F$71,Inputs!$F$70+(Inputs!$F$71-Inputs!$F$70)*(Time!AA$4-Inputs!$F$23)/(Inputs!$F$61-Inputs!$F$23))+Operations!$F$49)/100</f>
        <v>0.015</v>
      </c>
      <c r="AB111" s="14" t="n">
        <f aca="false">(IF(Time!AB$4&gt;=Inputs!$F$61,Inputs!$F$71,Inputs!$F$70+(Inputs!$F$71-Inputs!$F$70)*(Time!AB$4-Inputs!$F$23)/(Inputs!$F$61-Inputs!$F$23))+Operations!$F$49)/100</f>
        <v>0.015</v>
      </c>
      <c r="AC111" s="14" t="n">
        <f aca="false">(IF(Time!AC$4&gt;=Inputs!$F$61,Inputs!$F$71,Inputs!$F$70+(Inputs!$F$71-Inputs!$F$70)*(Time!AC$4-Inputs!$F$23)/(Inputs!$F$61-Inputs!$F$23))+Operations!$F$49)/100</f>
        <v>0.015</v>
      </c>
      <c r="AD111" s="14" t="n">
        <f aca="false">(IF(Time!AD$4&gt;=Inputs!$F$61,Inputs!$F$71,Inputs!$F$70+(Inputs!$F$71-Inputs!$F$70)*(Time!AD$4-Inputs!$F$23)/(Inputs!$F$61-Inputs!$F$23))+Operations!$F$49)/100</f>
        <v>0.015</v>
      </c>
      <c r="AE111" s="14" t="n">
        <f aca="false">(IF(Time!AE$4&gt;=Inputs!$F$61,Inputs!$F$71,Inputs!$F$70+(Inputs!$F$71-Inputs!$F$70)*(Time!AE$4-Inputs!$F$23)/(Inputs!$F$61-Inputs!$F$23))+Operations!$F$49)/100</f>
        <v>0.015</v>
      </c>
      <c r="AF111" s="14" t="n">
        <f aca="false">(IF(Time!AF$4&gt;=Inputs!$F$61,Inputs!$F$71,Inputs!$F$70+(Inputs!$F$71-Inputs!$F$70)*(Time!AF$4-Inputs!$F$23)/(Inputs!$F$61-Inputs!$F$23))+Operations!$F$49)/100</f>
        <v>0.015</v>
      </c>
      <c r="AG111" s="14" t="n">
        <f aca="false">(IF(Time!AG$4&gt;=Inputs!$F$61,Inputs!$F$71,Inputs!$F$70+(Inputs!$F$71-Inputs!$F$70)*(Time!AG$4-Inputs!$F$23)/(Inputs!$F$61-Inputs!$F$23))+Operations!$F$49)/100</f>
        <v>0.015</v>
      </c>
      <c r="AH111" s="14" t="n">
        <f aca="false">(IF(Time!AH$4&gt;=Inputs!$F$61,Inputs!$F$71,Inputs!$F$70+(Inputs!$F$71-Inputs!$F$70)*(Time!AH$4-Inputs!$F$23)/(Inputs!$F$61-Inputs!$F$23))+Operations!$F$49)/100</f>
        <v>0.015</v>
      </c>
      <c r="AI111" s="14" t="n">
        <f aca="false">(IF(Time!AI$4&gt;=Inputs!$F$61,Inputs!$F$71,Inputs!$F$70+(Inputs!$F$71-Inputs!$F$70)*(Time!AI$4-Inputs!$F$23)/(Inputs!$F$61-Inputs!$F$23))+Operations!$F$49)/100</f>
        <v>0.015</v>
      </c>
      <c r="AJ111" s="14" t="n">
        <f aca="false">(IF(Time!AJ$4&gt;=Inputs!$F$61,Inputs!$F$71,Inputs!$F$70+(Inputs!$F$71-Inputs!$F$70)*(Time!AJ$4-Inputs!$F$23)/(Inputs!$F$61-Inputs!$F$23))+Operations!$F$49)/100</f>
        <v>0.015</v>
      </c>
      <c r="AK111" s="14" t="n">
        <f aca="false">(IF(Time!AK$4&gt;=Inputs!$F$61,Inputs!$F$71,Inputs!$F$70+(Inputs!$F$71-Inputs!$F$70)*(Time!AK$4-Inputs!$F$23)/(Inputs!$F$61-Inputs!$F$23))+Operations!$F$49)/100</f>
        <v>0.015</v>
      </c>
      <c r="AL111" s="14" t="n">
        <f aca="false">(IF(Time!AL$4&gt;=Inputs!$F$61,Inputs!$F$71,Inputs!$F$70+(Inputs!$F$71-Inputs!$F$70)*(Time!AL$4-Inputs!$F$23)/(Inputs!$F$61-Inputs!$F$23))+Operations!$F$49)/100</f>
        <v>0.015</v>
      </c>
      <c r="AM111" s="14" t="n">
        <f aca="false">(IF(Time!AM$4&gt;=Inputs!$F$61,Inputs!$F$71,Inputs!$F$70+(Inputs!$F$71-Inputs!$F$70)*(Time!AM$4-Inputs!$F$23)/(Inputs!$F$61-Inputs!$F$23))+Operations!$F$49)/100</f>
        <v>0.015</v>
      </c>
      <c r="AN111" s="14" t="n">
        <f aca="false">(IF(Time!AN$4&gt;=Inputs!$F$61,Inputs!$F$71,Inputs!$F$70+(Inputs!$F$71-Inputs!$F$70)*(Time!AN$4-Inputs!$F$23)/(Inputs!$F$61-Inputs!$F$23))+Operations!$F$49)/100</f>
        <v>0.015</v>
      </c>
      <c r="AO111" s="14" t="n">
        <f aca="false">(IF(Time!AO$4&gt;=Inputs!$F$61,Inputs!$F$71,Inputs!$F$70+(Inputs!$F$71-Inputs!$F$70)*(Time!AO$4-Inputs!$F$23)/(Inputs!$F$61-Inputs!$F$23))+Operations!$F$49)/100</f>
        <v>0.015</v>
      </c>
      <c r="AP111" s="14" t="n">
        <f aca="false">(IF(Time!AP$4&gt;=Inputs!$F$61,Inputs!$F$71,Inputs!$F$70+(Inputs!$F$71-Inputs!$F$70)*(Time!AP$4-Inputs!$F$23)/(Inputs!$F$61-Inputs!$F$23))+Operations!$F$49)/100</f>
        <v>0.015</v>
      </c>
      <c r="AQ111" s="14" t="n">
        <f aca="false">(IF(Time!AQ$4&gt;=Inputs!$F$61,Inputs!$F$71,Inputs!$F$70+(Inputs!$F$71-Inputs!$F$70)*(Time!AQ$4-Inputs!$F$23)/(Inputs!$F$61-Inputs!$F$23))+Operations!$F$49)/100</f>
        <v>0.015</v>
      </c>
      <c r="AR111" s="14" t="n">
        <f aca="false">(IF(Time!AR$4&gt;=Inputs!$F$61,Inputs!$F$71,Inputs!$F$70+(Inputs!$F$71-Inputs!$F$70)*(Time!AR$4-Inputs!$F$23)/(Inputs!$F$61-Inputs!$F$23))+Operations!$F$49)/100</f>
        <v>0.015</v>
      </c>
      <c r="AS111" s="14" t="n">
        <f aca="false">(IF(Time!AS$4&gt;=Inputs!$F$61,Inputs!$F$71,Inputs!$F$70+(Inputs!$F$71-Inputs!$F$70)*(Time!AS$4-Inputs!$F$23)/(Inputs!$F$61-Inputs!$F$23))+Operations!$F$49)/100</f>
        <v>0.015</v>
      </c>
      <c r="AT111" s="14" t="n">
        <f aca="false">(IF(Time!AT$4&gt;=Inputs!$F$61,Inputs!$F$71,Inputs!$F$70+(Inputs!$F$71-Inputs!$F$70)*(Time!AT$4-Inputs!$F$23)/(Inputs!$F$61-Inputs!$F$23))+Operations!$F$49)/100</f>
        <v>0.015</v>
      </c>
      <c r="AU111" s="14" t="n">
        <f aca="false">(IF(Time!AU$4&gt;=Inputs!$F$61,Inputs!$F$71,Inputs!$F$70+(Inputs!$F$71-Inputs!$F$70)*(Time!AU$4-Inputs!$F$23)/(Inputs!$F$61-Inputs!$F$23))+Operations!$F$49)/100</f>
        <v>0.015</v>
      </c>
    </row>
    <row r="112" customFormat="false" ht="15" hidden="false" customHeight="false" outlineLevel="0" collapsed="false">
      <c r="D112" s="0" t="s">
        <v>508</v>
      </c>
      <c r="E112" s="0" t="s">
        <v>466</v>
      </c>
      <c r="J112" s="20" t="n">
        <f aca="false">Inputs!$F$105*Operations!J109*Inputs!$F$192/100*Operations!J110*(1-Operations!J111)</f>
        <v>773.7175</v>
      </c>
      <c r="K112" s="20" t="n">
        <f aca="false">Inputs!$F$105*Operations!K109*Inputs!$F$192/100*Operations!K110*(1-Operations!K111)</f>
        <v>772.170065</v>
      </c>
      <c r="L112" s="20" t="n">
        <f aca="false">Inputs!$F$105*Operations!L109*Inputs!$F$192/100*Operations!L110*(1-Operations!L111)</f>
        <v>770.62572487</v>
      </c>
      <c r="M112" s="20" t="n">
        <f aca="false">Inputs!$F$105*Operations!M109*Inputs!$F$192/100*Operations!M110*(1-Operations!M111)</f>
        <v>769.08447342026</v>
      </c>
      <c r="N112" s="20" t="n">
        <f aca="false">Inputs!$F$105*Operations!N109*Inputs!$F$192/100*Operations!N110*(1-Operations!N111)</f>
        <v>767.54630447342</v>
      </c>
      <c r="O112" s="20" t="n">
        <f aca="false">Inputs!$F$105*Operations!O109*Inputs!$F$192/100*Operations!O110*(1-Operations!O111)</f>
        <v>766.011211864473</v>
      </c>
      <c r="P112" s="20" t="n">
        <f aca="false">Inputs!$F$105*Operations!P109*Inputs!$F$192/100*Operations!P110*(1-Operations!P111)</f>
        <v>764.479189440744</v>
      </c>
      <c r="Q112" s="20" t="n">
        <f aca="false">Inputs!$F$105*Operations!Q109*Inputs!$F$192/100*Operations!Q110*(1-Operations!Q111)</f>
        <v>762.950231061862</v>
      </c>
      <c r="R112" s="20" t="n">
        <f aca="false">Inputs!$F$105*Operations!R109*Inputs!$F$192/100*Operations!R110*(1-Operations!R111)</f>
        <v>761.424330599739</v>
      </c>
      <c r="S112" s="20" t="n">
        <f aca="false">Inputs!$F$105*Operations!S109*Inputs!$F$192/100*Operations!S110*(1-Operations!S111)</f>
        <v>759.901481938539</v>
      </c>
      <c r="T112" s="20" t="n">
        <f aca="false">Inputs!$F$105*Operations!T109*Inputs!$F$192/100*Operations!T110*(1-Operations!T111)</f>
        <v>758.381678974662</v>
      </c>
      <c r="U112" s="20" t="n">
        <f aca="false">Inputs!$F$105*Operations!U109*Inputs!$F$192/100*Operations!U110*(1-Operations!U111)</f>
        <v>756.864915616713</v>
      </c>
      <c r="V112" s="20" t="n">
        <f aca="false">Inputs!$F$105*Operations!V109*Inputs!$F$192/100*Operations!V110*(1-Operations!V111)</f>
        <v>755.351185785479</v>
      </c>
      <c r="W112" s="20" t="n">
        <f aca="false">Inputs!$F$105*Operations!W109*Inputs!$F$192/100*Operations!W110*(1-Operations!W111)</f>
        <v>753.840483413908</v>
      </c>
      <c r="X112" s="20" t="n">
        <f aca="false">Inputs!$F$105*Operations!X109*Inputs!$F$192/100*Operations!X110*(1-Operations!X111)</f>
        <v>752.33280244708</v>
      </c>
      <c r="Y112" s="20" t="n">
        <f aca="false">Inputs!$F$105*Operations!Y109*Inputs!$F$192/100*Operations!Y110*(1-Operations!Y111)</f>
        <v>750.828136842186</v>
      </c>
      <c r="Z112" s="20" t="n">
        <f aca="false">Inputs!$F$105*Operations!Z109*Inputs!$F$192/100*Operations!Z110*(1-Operations!Z111)</f>
        <v>749.326480568502</v>
      </c>
      <c r="AA112" s="20" t="n">
        <f aca="false">Inputs!$F$105*Operations!AA109*Inputs!$F$192/100*Operations!AA110*(1-Operations!AA111)</f>
        <v>747.827827607365</v>
      </c>
      <c r="AB112" s="20" t="n">
        <f aca="false">Inputs!$F$105*Operations!AB109*Inputs!$F$192/100*Operations!AB110*(1-Operations!AB111)</f>
        <v>746.33217195215</v>
      </c>
      <c r="AC112" s="20" t="n">
        <f aca="false">Inputs!$F$105*Operations!AC109*Inputs!$F$192/100*Operations!AC110*(1-Operations!AC111)</f>
        <v>744.839507608246</v>
      </c>
      <c r="AD112" s="20" t="n">
        <f aca="false">Inputs!$F$105*Operations!AD109*Inputs!$F$192/100*Operations!AD110*(1-Operations!AD111)</f>
        <v>743.349828593029</v>
      </c>
      <c r="AE112" s="20" t="n">
        <f aca="false">Inputs!$F$105*Operations!AE109*Inputs!$F$192/100*Operations!AE110*(1-Operations!AE111)</f>
        <v>741.863128935843</v>
      </c>
      <c r="AF112" s="20" t="n">
        <f aca="false">Inputs!$F$105*Operations!AF109*Inputs!$F$192/100*Operations!AF110*(1-Operations!AF111)</f>
        <v>740.379402677972</v>
      </c>
      <c r="AG112" s="20" t="n">
        <f aca="false">Inputs!$F$105*Operations!AG109*Inputs!$F$192/100*Operations!AG110*(1-Operations!AG111)</f>
        <v>738.898643872616</v>
      </c>
      <c r="AH112" s="20" t="n">
        <f aca="false">Inputs!$F$105*Operations!AH109*Inputs!$F$192/100*Operations!AH110*(1-Operations!AH111)</f>
        <v>737.42084658487</v>
      </c>
      <c r="AI112" s="20" t="n">
        <f aca="false">Inputs!$F$105*Operations!AI109*Inputs!$F$192/100*Operations!AI110*(1-Operations!AI111)</f>
        <v>735.946004891701</v>
      </c>
      <c r="AJ112" s="20" t="n">
        <f aca="false">Inputs!$F$105*Operations!AJ109*Inputs!$F$192/100*Operations!AJ110*(1-Operations!AJ111)</f>
        <v>734.474112881917</v>
      </c>
      <c r="AK112" s="20" t="n">
        <f aca="false">Inputs!$F$105*Operations!AK109*Inputs!$F$192/100*Operations!AK110*(1-Operations!AK111)</f>
        <v>733.005164656153</v>
      </c>
      <c r="AL112" s="20" t="n">
        <f aca="false">Inputs!$F$105*Operations!AL109*Inputs!$F$192/100*Operations!AL110*(1-Operations!AL111)</f>
        <v>731.539154326841</v>
      </c>
      <c r="AM112" s="20" t="n">
        <f aca="false">Inputs!$F$105*Operations!AM109*Inputs!$F$192/100*Operations!AM110*(1-Operations!AM111)</f>
        <v>730.076076018187</v>
      </c>
      <c r="AN112" s="20" t="n">
        <f aca="false">Inputs!$F$105*Operations!AN109*Inputs!$F$192/100*Operations!AN110*(1-Operations!AN111)</f>
        <v>728.615923866151</v>
      </c>
      <c r="AO112" s="20" t="n">
        <f aca="false">Inputs!$F$105*Operations!AO109*Inputs!$F$192/100*Operations!AO110*(1-Operations!AO111)</f>
        <v>727.158692018419</v>
      </c>
      <c r="AP112" s="20" t="n">
        <f aca="false">Inputs!$F$105*Operations!AP109*Inputs!$F$192/100*Operations!AP110*(1-Operations!AP111)</f>
        <v>725.704374634382</v>
      </c>
      <c r="AQ112" s="20" t="n">
        <f aca="false">Inputs!$F$105*Operations!AQ109*Inputs!$F$192/100*Operations!AQ110*(1-Operations!AQ111)</f>
        <v>724.252965885113</v>
      </c>
      <c r="AR112" s="20" t="n">
        <f aca="false">Inputs!$F$105*Operations!AR109*Inputs!$F$192/100*Operations!AR110*(1-Operations!AR111)</f>
        <v>722.804459953343</v>
      </c>
      <c r="AS112" s="20" t="n">
        <f aca="false">Inputs!$F$105*Operations!AS109*Inputs!$F$192/100*Operations!AS110*(1-Operations!AS111)</f>
        <v>721.358851033436</v>
      </c>
      <c r="AT112" s="20" t="n">
        <f aca="false">Inputs!$F$105*Operations!AT109*Inputs!$F$192/100*Operations!AT110*(1-Operations!AT111)</f>
        <v>719.916133331369</v>
      </c>
      <c r="AU112" s="20" t="n">
        <f aca="false">Inputs!$F$105*Operations!AU109*Inputs!$F$192/100*Operations!AU110*(1-Operations!AU111)</f>
        <v>718.476301064707</v>
      </c>
    </row>
    <row r="113" customFormat="false" ht="15" hidden="false" customHeight="false" outlineLevel="0" collapsed="false">
      <c r="D113" s="0" t="s">
        <v>509</v>
      </c>
      <c r="E113" s="0" t="s">
        <v>466</v>
      </c>
      <c r="G113" s="20" t="n">
        <f aca="false">SUM(J113:AU113)</f>
        <v>19250.696120959</v>
      </c>
      <c r="J113" s="20" t="n">
        <f aca="false">Operations!J112*Operations!J105</f>
        <v>773.7175</v>
      </c>
      <c r="K113" s="20" t="n">
        <f aca="false">Operations!K112*Operations!K105</f>
        <v>772.170065</v>
      </c>
      <c r="L113" s="20" t="n">
        <f aca="false">Operations!L112*Operations!L105</f>
        <v>770.62572487</v>
      </c>
      <c r="M113" s="20" t="n">
        <f aca="false">Operations!M112*Operations!M105</f>
        <v>769.08447342026</v>
      </c>
      <c r="N113" s="20" t="n">
        <f aca="false">Operations!N112*Operations!N105</f>
        <v>767.54630447342</v>
      </c>
      <c r="O113" s="20" t="n">
        <f aca="false">Operations!O112*Operations!O105</f>
        <v>766.011211864473</v>
      </c>
      <c r="P113" s="20" t="n">
        <f aca="false">Operations!P112*Operations!P105</f>
        <v>764.479189440744</v>
      </c>
      <c r="Q113" s="20" t="n">
        <f aca="false">Operations!Q112*Operations!Q105</f>
        <v>762.950231061862</v>
      </c>
      <c r="R113" s="20" t="n">
        <f aca="false">Operations!R112*Operations!R105</f>
        <v>761.424330599739</v>
      </c>
      <c r="S113" s="20" t="n">
        <f aca="false">Operations!S112*Operations!S105</f>
        <v>759.901481938539</v>
      </c>
      <c r="T113" s="20" t="n">
        <f aca="false">Operations!T112*Operations!T105</f>
        <v>758.381678974662</v>
      </c>
      <c r="U113" s="20" t="n">
        <f aca="false">Operations!U112*Operations!U105</f>
        <v>756.864915616713</v>
      </c>
      <c r="V113" s="20" t="n">
        <f aca="false">Operations!V112*Operations!V105</f>
        <v>755.351185785479</v>
      </c>
      <c r="W113" s="20" t="n">
        <f aca="false">Operations!W112*Operations!W105</f>
        <v>753.840483413908</v>
      </c>
      <c r="X113" s="20" t="n">
        <f aca="false">Operations!X112*Operations!X105</f>
        <v>752.33280244708</v>
      </c>
      <c r="Y113" s="20" t="n">
        <f aca="false">Operations!Y112*Operations!Y105</f>
        <v>750.828136842186</v>
      </c>
      <c r="Z113" s="20" t="n">
        <f aca="false">Operations!Z112*Operations!Z105</f>
        <v>749.326480568502</v>
      </c>
      <c r="AA113" s="20" t="n">
        <f aca="false">Operations!AA112*Operations!AA105</f>
        <v>747.827827607365</v>
      </c>
      <c r="AB113" s="20" t="n">
        <f aca="false">Operations!AB112*Operations!AB105</f>
        <v>746.33217195215</v>
      </c>
      <c r="AC113" s="20" t="n">
        <f aca="false">Operations!AC112*Operations!AC105</f>
        <v>744.839507608246</v>
      </c>
      <c r="AD113" s="20" t="n">
        <f aca="false">Operations!AD112*Operations!AD105</f>
        <v>743.349828593029</v>
      </c>
      <c r="AE113" s="20" t="n">
        <f aca="false">Operations!AE112*Operations!AE105</f>
        <v>741.863128935843</v>
      </c>
      <c r="AF113" s="20" t="n">
        <f aca="false">Operations!AF112*Operations!AF105</f>
        <v>740.379402677972</v>
      </c>
      <c r="AG113" s="20" t="n">
        <f aca="false">Operations!AG112*Operations!AG105</f>
        <v>738.898643872616</v>
      </c>
      <c r="AH113" s="20" t="n">
        <f aca="false">Operations!AH112*Operations!AH105</f>
        <v>737.42084658487</v>
      </c>
      <c r="AI113" s="20" t="n">
        <f aca="false">Operations!AI112*Operations!AI105</f>
        <v>364.948566809309</v>
      </c>
      <c r="AJ113" s="20" t="n">
        <f aca="false">Operations!AJ112*Operations!AJ105</f>
        <v>0</v>
      </c>
      <c r="AK113" s="20" t="n">
        <f aca="false">Operations!AK112*Operations!AK105</f>
        <v>0</v>
      </c>
      <c r="AL113" s="20" t="n">
        <f aca="false">Operations!AL112*Operations!AL105</f>
        <v>0</v>
      </c>
      <c r="AM113" s="20" t="n">
        <f aca="false">Operations!AM112*Operations!AM105</f>
        <v>0</v>
      </c>
      <c r="AN113" s="20" t="n">
        <f aca="false">Operations!AN112*Operations!AN105</f>
        <v>0</v>
      </c>
      <c r="AO113" s="20" t="n">
        <f aca="false">Operations!AO112*Operations!AO105</f>
        <v>0</v>
      </c>
      <c r="AP113" s="20" t="n">
        <f aca="false">Operations!AP112*Operations!AP105</f>
        <v>0</v>
      </c>
      <c r="AQ113" s="20" t="n">
        <f aca="false">Operations!AQ112*Operations!AQ105</f>
        <v>0</v>
      </c>
      <c r="AR113" s="20" t="n">
        <f aca="false">Operations!AR112*Operations!AR105</f>
        <v>0</v>
      </c>
      <c r="AS113" s="20" t="n">
        <f aca="false">Operations!AS112*Operations!AS105</f>
        <v>0</v>
      </c>
      <c r="AT113" s="20" t="n">
        <f aca="false">Operations!AT112*Operations!AT105</f>
        <v>0</v>
      </c>
      <c r="AU113" s="20" t="n">
        <f aca="false">Operations!AU112*Operations!AU105</f>
        <v>0</v>
      </c>
    </row>
    <row r="114" customFormat="false" ht="15" hidden="false" customHeight="false" outlineLevel="0" collapsed="false">
      <c r="D114" s="0" t="s">
        <v>510</v>
      </c>
      <c r="E114" s="0" t="s">
        <v>54</v>
      </c>
      <c r="J114" s="14" t="n">
        <f aca="false">Operations!J61</f>
        <v>0.92</v>
      </c>
      <c r="K114" s="14" t="n">
        <f aca="false">Operations!K61</f>
        <v>0.917</v>
      </c>
      <c r="L114" s="14" t="n">
        <f aca="false">Operations!L61</f>
        <v>0.914</v>
      </c>
      <c r="M114" s="14" t="n">
        <f aca="false">Operations!M61</f>
        <v>0.911</v>
      </c>
      <c r="N114" s="14" t="n">
        <f aca="false">Operations!N61</f>
        <v>0.908</v>
      </c>
      <c r="O114" s="14" t="n">
        <f aca="false">Operations!O61</f>
        <v>0.905</v>
      </c>
      <c r="P114" s="14" t="n">
        <f aca="false">Operations!P61</f>
        <v>0.902</v>
      </c>
      <c r="Q114" s="14" t="n">
        <f aca="false">Operations!Q61</f>
        <v>0.899</v>
      </c>
      <c r="R114" s="14" t="n">
        <f aca="false">Operations!R61</f>
        <v>0.896</v>
      </c>
      <c r="S114" s="14" t="n">
        <f aca="false">Operations!S61</f>
        <v>0.893</v>
      </c>
      <c r="T114" s="14" t="n">
        <f aca="false">Operations!T61</f>
        <v>0.89</v>
      </c>
      <c r="U114" s="14" t="n">
        <f aca="false">Operations!U61</f>
        <v>0.887</v>
      </c>
      <c r="V114" s="14" t="n">
        <f aca="false">Operations!V61</f>
        <v>0.884</v>
      </c>
      <c r="W114" s="14" t="n">
        <f aca="false">Operations!W61</f>
        <v>0.881</v>
      </c>
      <c r="X114" s="14" t="n">
        <f aca="false">Operations!X61</f>
        <v>0.878</v>
      </c>
      <c r="Y114" s="14" t="n">
        <f aca="false">Operations!Y61</f>
        <v>0.875</v>
      </c>
      <c r="Z114" s="14" t="n">
        <f aca="false">Operations!Z61</f>
        <v>0.872</v>
      </c>
      <c r="AA114" s="14" t="n">
        <f aca="false">Operations!AA61</f>
        <v>0.869</v>
      </c>
      <c r="AB114" s="14" t="n">
        <f aca="false">Operations!AB61</f>
        <v>0.866</v>
      </c>
      <c r="AC114" s="14" t="n">
        <f aca="false">Operations!AC61</f>
        <v>0.863</v>
      </c>
      <c r="AD114" s="14" t="n">
        <f aca="false">Operations!AD61</f>
        <v>0.86</v>
      </c>
      <c r="AE114" s="14" t="n">
        <f aca="false">Operations!AE61</f>
        <v>0.857</v>
      </c>
      <c r="AF114" s="14" t="n">
        <f aca="false">Operations!AF61</f>
        <v>0.854</v>
      </c>
      <c r="AG114" s="14" t="n">
        <f aca="false">Operations!AG61</f>
        <v>0.851</v>
      </c>
      <c r="AH114" s="14" t="n">
        <f aca="false">Operations!AH61</f>
        <v>0.85</v>
      </c>
      <c r="AI114" s="14" t="n">
        <f aca="false">Operations!AI61</f>
        <v>0.85</v>
      </c>
      <c r="AJ114" s="14" t="n">
        <f aca="false">Operations!AJ61</f>
        <v>0.85</v>
      </c>
      <c r="AK114" s="14" t="n">
        <f aca="false">Operations!AK61</f>
        <v>0.85</v>
      </c>
      <c r="AL114" s="14" t="n">
        <f aca="false">Operations!AL61</f>
        <v>0.85</v>
      </c>
      <c r="AM114" s="14" t="n">
        <f aca="false">Operations!AM61</f>
        <v>0.85</v>
      </c>
      <c r="AN114" s="14" t="n">
        <f aca="false">Operations!AN61</f>
        <v>0.85</v>
      </c>
      <c r="AO114" s="14" t="n">
        <f aca="false">Operations!AO61</f>
        <v>0.85</v>
      </c>
      <c r="AP114" s="14" t="n">
        <f aca="false">Operations!AP61</f>
        <v>0.85</v>
      </c>
      <c r="AQ114" s="14" t="n">
        <f aca="false">Operations!AQ61</f>
        <v>0.85</v>
      </c>
      <c r="AR114" s="14" t="n">
        <f aca="false">Operations!AR61</f>
        <v>0.85</v>
      </c>
      <c r="AS114" s="14" t="n">
        <f aca="false">Operations!AS61</f>
        <v>0.85</v>
      </c>
      <c r="AT114" s="14" t="n">
        <f aca="false">Operations!AT61</f>
        <v>0.85</v>
      </c>
      <c r="AU114" s="14" t="n">
        <f aca="false">Operations!AU61</f>
        <v>0.85</v>
      </c>
    </row>
    <row r="115" customFormat="false" ht="15" hidden="false" customHeight="false" outlineLevel="0" collapsed="false">
      <c r="D115" s="0" t="s">
        <v>511</v>
      </c>
      <c r="E115" s="0" t="s">
        <v>54</v>
      </c>
      <c r="J115" s="14" t="n">
        <f aca="false">Operations!J114-Inputs!$F$60</f>
        <v>0.91</v>
      </c>
      <c r="K115" s="14" t="n">
        <f aca="false">Operations!K114-Inputs!$F$60</f>
        <v>0.907</v>
      </c>
      <c r="L115" s="14" t="n">
        <f aca="false">Operations!L114-Inputs!$F$60</f>
        <v>0.904</v>
      </c>
      <c r="M115" s="14" t="n">
        <f aca="false">Operations!M114-Inputs!$F$60</f>
        <v>0.901</v>
      </c>
      <c r="N115" s="14" t="n">
        <f aca="false">Operations!N114-Inputs!$F$60</f>
        <v>0.898</v>
      </c>
      <c r="O115" s="14" t="n">
        <f aca="false">Operations!O114-Inputs!$F$60</f>
        <v>0.895</v>
      </c>
      <c r="P115" s="14" t="n">
        <f aca="false">Operations!P114-Inputs!$F$60</f>
        <v>0.892</v>
      </c>
      <c r="Q115" s="14" t="n">
        <f aca="false">Operations!Q114-Inputs!$F$60</f>
        <v>0.889</v>
      </c>
      <c r="R115" s="14" t="n">
        <f aca="false">Operations!R114-Inputs!$F$60</f>
        <v>0.886</v>
      </c>
      <c r="S115" s="14" t="n">
        <f aca="false">Operations!S114-Inputs!$F$60</f>
        <v>0.883</v>
      </c>
      <c r="T115" s="14" t="n">
        <f aca="false">Operations!T114-Inputs!$F$60</f>
        <v>0.88</v>
      </c>
      <c r="U115" s="14" t="n">
        <f aca="false">Operations!U114-Inputs!$F$60</f>
        <v>0.877</v>
      </c>
      <c r="V115" s="14" t="n">
        <f aca="false">Operations!V114-Inputs!$F$60</f>
        <v>0.874</v>
      </c>
      <c r="W115" s="14" t="n">
        <f aca="false">Operations!W114-Inputs!$F$60</f>
        <v>0.871</v>
      </c>
      <c r="X115" s="14" t="n">
        <f aca="false">Operations!X114-Inputs!$F$60</f>
        <v>0.868</v>
      </c>
      <c r="Y115" s="14" t="n">
        <f aca="false">Operations!Y114-Inputs!$F$60</f>
        <v>0.865</v>
      </c>
      <c r="Z115" s="14" t="n">
        <f aca="false">Operations!Z114-Inputs!$F$60</f>
        <v>0.862</v>
      </c>
      <c r="AA115" s="14" t="n">
        <f aca="false">Operations!AA114-Inputs!$F$60</f>
        <v>0.859</v>
      </c>
      <c r="AB115" s="14" t="n">
        <f aca="false">Operations!AB114-Inputs!$F$60</f>
        <v>0.856</v>
      </c>
      <c r="AC115" s="14" t="n">
        <f aca="false">Operations!AC114-Inputs!$F$60</f>
        <v>0.853</v>
      </c>
      <c r="AD115" s="14" t="n">
        <f aca="false">Operations!AD114-Inputs!$F$60</f>
        <v>0.85</v>
      </c>
      <c r="AE115" s="14" t="n">
        <f aca="false">Operations!AE114-Inputs!$F$60</f>
        <v>0.847</v>
      </c>
      <c r="AF115" s="14" t="n">
        <f aca="false">Operations!AF114-Inputs!$F$60</f>
        <v>0.844</v>
      </c>
      <c r="AG115" s="14" t="n">
        <f aca="false">Operations!AG114-Inputs!$F$60</f>
        <v>0.841</v>
      </c>
      <c r="AH115" s="14" t="n">
        <f aca="false">Operations!AH114-Inputs!$F$60</f>
        <v>0.84</v>
      </c>
      <c r="AI115" s="14" t="n">
        <f aca="false">Operations!AI114-Inputs!$F$60</f>
        <v>0.84</v>
      </c>
      <c r="AJ115" s="14" t="n">
        <f aca="false">Operations!AJ114-Inputs!$F$60</f>
        <v>0.84</v>
      </c>
      <c r="AK115" s="14" t="n">
        <f aca="false">Operations!AK114-Inputs!$F$60</f>
        <v>0.84</v>
      </c>
      <c r="AL115" s="14" t="n">
        <f aca="false">Operations!AL114-Inputs!$F$60</f>
        <v>0.84</v>
      </c>
      <c r="AM115" s="14" t="n">
        <f aca="false">Operations!AM114-Inputs!$F$60</f>
        <v>0.84</v>
      </c>
      <c r="AN115" s="14" t="n">
        <f aca="false">Operations!AN114-Inputs!$F$60</f>
        <v>0.84</v>
      </c>
      <c r="AO115" s="14" t="n">
        <f aca="false">Operations!AO114-Inputs!$F$60</f>
        <v>0.84</v>
      </c>
      <c r="AP115" s="14" t="n">
        <f aca="false">Operations!AP114-Inputs!$F$60</f>
        <v>0.84</v>
      </c>
      <c r="AQ115" s="14" t="n">
        <f aca="false">Operations!AQ114-Inputs!$F$60</f>
        <v>0.84</v>
      </c>
      <c r="AR115" s="14" t="n">
        <f aca="false">Operations!AR114-Inputs!$F$60</f>
        <v>0.84</v>
      </c>
      <c r="AS115" s="14" t="n">
        <f aca="false">Operations!AS114-Inputs!$F$60</f>
        <v>0.84</v>
      </c>
      <c r="AT115" s="14" t="n">
        <f aca="false">Operations!AT114-Inputs!$F$60</f>
        <v>0.84</v>
      </c>
      <c r="AU115" s="14" t="n">
        <f aca="false">Operations!AU114-Inputs!$F$60</f>
        <v>0.84</v>
      </c>
    </row>
    <row r="116" customFormat="false" ht="15" hidden="false" customHeight="false" outlineLevel="0" collapsed="false">
      <c r="D116" s="0" t="s">
        <v>512</v>
      </c>
      <c r="E116" s="0" t="s">
        <v>96</v>
      </c>
      <c r="J116" s="18" t="n">
        <f aca="false">Operations!J108*Operations!J115</f>
        <v>67.275026</v>
      </c>
      <c r="K116" s="18" t="n">
        <f aca="false">Operations!K108*Operations!K115</f>
        <v>55.0088244</v>
      </c>
      <c r="L116" s="18" t="n">
        <f aca="false">Operations!L108*Operations!L115</f>
        <v>26.9655064</v>
      </c>
      <c r="M116" s="18" t="n">
        <f aca="false">Operations!M108*Operations!M115</f>
        <v>35.5370618</v>
      </c>
      <c r="N116" s="18" t="n">
        <f aca="false">Operations!N108*Operations!N115</f>
        <v>39.6903428</v>
      </c>
      <c r="O116" s="18" t="n">
        <f aca="false">Operations!O108*Operations!O115</f>
        <v>41.9524985</v>
      </c>
      <c r="P116" s="18" t="n">
        <f aca="false">Operations!P108*Operations!P115</f>
        <v>43.4030252</v>
      </c>
      <c r="Q116" s="18" t="n">
        <f aca="false">Operations!Q108*Operations!Q115</f>
        <v>44.4023496</v>
      </c>
      <c r="R116" s="18" t="n">
        <f aca="false">Operations!R108*Operations!R115</f>
        <v>45.4817468</v>
      </c>
      <c r="S116" s="18" t="n">
        <f aca="false">Operations!S108*Operations!S115</f>
        <v>46.23780052</v>
      </c>
      <c r="T116" s="18" t="n">
        <f aca="false">Operations!T108*Operations!T115</f>
        <v>47.005112</v>
      </c>
      <c r="U116" s="18" t="n">
        <f aca="false">Operations!U108*Operations!U115</f>
        <v>47.78350286</v>
      </c>
      <c r="V116" s="18" t="n">
        <f aca="false">Operations!V108*Operations!V115</f>
        <v>48.57279472</v>
      </c>
      <c r="W116" s="18" t="n">
        <f aca="false">Operations!W108*Operations!W115</f>
        <v>49.3728092</v>
      </c>
      <c r="X116" s="18" t="n">
        <f aca="false">Operations!X108*Operations!X115</f>
        <v>50.18336792</v>
      </c>
      <c r="Y116" s="18" t="n">
        <f aca="false">Operations!Y108*Operations!Y115</f>
        <v>51.01286465</v>
      </c>
      <c r="Z116" s="18" t="n">
        <f aca="false">Operations!Z108*Operations!Z115</f>
        <v>51.8524894</v>
      </c>
      <c r="AA116" s="18" t="n">
        <f aca="false">Operations!AA108*Operations!AA115</f>
        <v>52.70206379</v>
      </c>
      <c r="AB116" s="18" t="n">
        <f aca="false">Operations!AB108*Operations!AB115</f>
        <v>53.5698924</v>
      </c>
      <c r="AC116" s="18" t="n">
        <f aca="false">Operations!AC108*Operations!AC115</f>
        <v>54.44725443</v>
      </c>
      <c r="AD116" s="18" t="n">
        <f aca="false">Operations!AD108*Operations!AD115</f>
        <v>55.342395</v>
      </c>
      <c r="AE116" s="18" t="n">
        <f aca="false">Operations!AE108*Operations!AE115</f>
        <v>56.24665277</v>
      </c>
      <c r="AF116" s="18" t="n">
        <f aca="false">Operations!AF108*Operations!AF115</f>
        <v>57.1682134</v>
      </c>
      <c r="AG116" s="18" t="n">
        <f aca="false">Operations!AG108*Operations!AG115</f>
        <v>58.10680932</v>
      </c>
      <c r="AH116" s="18" t="n">
        <f aca="false">Operations!AH108*Operations!AH115</f>
        <v>59.1948084</v>
      </c>
      <c r="AI116" s="18" t="n">
        <f aca="false">Operations!AI108*Operations!AI115</f>
        <v>60.3768732</v>
      </c>
      <c r="AJ116" s="18" t="n">
        <f aca="false">Operations!AJ108*Operations!AJ115</f>
        <v>61.5839112</v>
      </c>
      <c r="AK116" s="18" t="n">
        <f aca="false">Operations!AK108*Operations!AK115</f>
        <v>62.8159224</v>
      </c>
      <c r="AL116" s="18" t="n">
        <f aca="false">Operations!AL108*Operations!AL115</f>
        <v>64.0729068</v>
      </c>
      <c r="AM116" s="18" t="n">
        <f aca="false">Operations!AM108*Operations!AM115</f>
        <v>65.3548644</v>
      </c>
      <c r="AN116" s="18" t="n">
        <f aca="false">Operations!AN108*Operations!AN115</f>
        <v>66.6617952</v>
      </c>
      <c r="AO116" s="18" t="n">
        <f aca="false">Operations!AO108*Operations!AO115</f>
        <v>67.9936992</v>
      </c>
      <c r="AP116" s="18" t="n">
        <f aca="false">Operations!AP108*Operations!AP115</f>
        <v>69.3505764</v>
      </c>
      <c r="AQ116" s="18" t="n">
        <f aca="false">Operations!AQ108*Operations!AQ115</f>
        <v>70.7407512</v>
      </c>
      <c r="AR116" s="18" t="n">
        <f aca="false">Operations!AR108*Operations!AR115</f>
        <v>72.1558992</v>
      </c>
      <c r="AS116" s="18" t="n">
        <f aca="false">Operations!AS108*Operations!AS115</f>
        <v>73.5960204</v>
      </c>
      <c r="AT116" s="18" t="n">
        <f aca="false">Operations!AT108*Operations!AT115</f>
        <v>75.0694392</v>
      </c>
      <c r="AU116" s="18" t="n">
        <f aca="false">Operations!AU108*Operations!AU115</f>
        <v>76.5678312</v>
      </c>
    </row>
    <row r="117" customFormat="false" ht="15" hidden="false" customHeight="false" outlineLevel="0" collapsed="false">
      <c r="D117" s="0" t="s">
        <v>513</v>
      </c>
      <c r="E117" s="0" t="s">
        <v>458</v>
      </c>
      <c r="J117" s="14" t="n">
        <f aca="false">MAX(0,MIN(Inputs!$F$203,Time!J$6)-MAX(Inputs!$F$100,Time!J$5))/Time!J$7</f>
        <v>1</v>
      </c>
      <c r="K117" s="14" t="n">
        <f aca="false">MAX(0,MIN(Inputs!$F$203,Time!K$6)-MAX(Inputs!$F$100,Time!K$5))/Time!K$7</f>
        <v>1</v>
      </c>
      <c r="L117" s="14" t="n">
        <f aca="false">MAX(0,MIN(Inputs!$F$203,Time!L$6)-MAX(Inputs!$F$100,Time!L$5))/Time!L$7</f>
        <v>1</v>
      </c>
      <c r="M117" s="14" t="n">
        <f aca="false">MAX(0,MIN(Inputs!$F$203,Time!M$6)-MAX(Inputs!$F$100,Time!M$5))/Time!M$7</f>
        <v>1</v>
      </c>
      <c r="N117" s="14" t="n">
        <f aca="false">MAX(0,MIN(Inputs!$F$203,Time!N$6)-MAX(Inputs!$F$100,Time!N$5))/Time!N$7</f>
        <v>1</v>
      </c>
      <c r="O117" s="14" t="n">
        <f aca="false">MAX(0,MIN(Inputs!$F$203,Time!O$6)-MAX(Inputs!$F$100,Time!O$5))/Time!O$7</f>
        <v>1</v>
      </c>
      <c r="P117" s="14" t="n">
        <f aca="false">MAX(0,MIN(Inputs!$F$203,Time!P$6)-MAX(Inputs!$F$100,Time!P$5))/Time!P$7</f>
        <v>1</v>
      </c>
      <c r="Q117" s="14" t="n">
        <f aca="false">MAX(0,MIN(Inputs!$F$203,Time!Q$6)-MAX(Inputs!$F$100,Time!Q$5))/Time!Q$7</f>
        <v>0.495890410958904</v>
      </c>
      <c r="R117" s="14" t="n">
        <f aca="false">MAX(0,MIN(Inputs!$F$203,Time!R$6)-MAX(Inputs!$F$100,Time!R$5))/Time!R$7</f>
        <v>0</v>
      </c>
      <c r="S117" s="14" t="n">
        <f aca="false">MAX(0,MIN(Inputs!$F$203,Time!S$6)-MAX(Inputs!$F$100,Time!S$5))/Time!S$7</f>
        <v>0</v>
      </c>
      <c r="T117" s="14" t="n">
        <f aca="false">MAX(0,MIN(Inputs!$F$203,Time!T$6)-MAX(Inputs!$F$100,Time!T$5))/Time!T$7</f>
        <v>0</v>
      </c>
      <c r="U117" s="14" t="n">
        <f aca="false">MAX(0,MIN(Inputs!$F$203,Time!U$6)-MAX(Inputs!$F$100,Time!U$5))/Time!U$7</f>
        <v>0</v>
      </c>
      <c r="V117" s="14" t="n">
        <f aca="false">MAX(0,MIN(Inputs!$F$203,Time!V$6)-MAX(Inputs!$F$100,Time!V$5))/Time!V$7</f>
        <v>0</v>
      </c>
      <c r="W117" s="14" t="n">
        <f aca="false">MAX(0,MIN(Inputs!$F$203,Time!W$6)-MAX(Inputs!$F$100,Time!W$5))/Time!W$7</f>
        <v>0</v>
      </c>
      <c r="X117" s="14" t="n">
        <f aca="false">MAX(0,MIN(Inputs!$F$203,Time!X$6)-MAX(Inputs!$F$100,Time!X$5))/Time!X$7</f>
        <v>0</v>
      </c>
      <c r="Y117" s="14" t="n">
        <f aca="false">MAX(0,MIN(Inputs!$F$203,Time!Y$6)-MAX(Inputs!$F$100,Time!Y$5))/Time!Y$7</f>
        <v>0</v>
      </c>
      <c r="Z117" s="14" t="n">
        <f aca="false">MAX(0,MIN(Inputs!$F$203,Time!Z$6)-MAX(Inputs!$F$100,Time!Z$5))/Time!Z$7</f>
        <v>0</v>
      </c>
      <c r="AA117" s="14" t="n">
        <f aca="false">MAX(0,MIN(Inputs!$F$203,Time!AA$6)-MAX(Inputs!$F$100,Time!AA$5))/Time!AA$7</f>
        <v>0</v>
      </c>
      <c r="AB117" s="14" t="n">
        <f aca="false">MAX(0,MIN(Inputs!$F$203,Time!AB$6)-MAX(Inputs!$F$100,Time!AB$5))/Time!AB$7</f>
        <v>0</v>
      </c>
      <c r="AC117" s="14" t="n">
        <f aca="false">MAX(0,MIN(Inputs!$F$203,Time!AC$6)-MAX(Inputs!$F$100,Time!AC$5))/Time!AC$7</f>
        <v>0</v>
      </c>
      <c r="AD117" s="14" t="n">
        <f aca="false">MAX(0,MIN(Inputs!$F$203,Time!AD$6)-MAX(Inputs!$F$100,Time!AD$5))/Time!AD$7</f>
        <v>0</v>
      </c>
      <c r="AE117" s="14" t="n">
        <f aca="false">MAX(0,MIN(Inputs!$F$203,Time!AE$6)-MAX(Inputs!$F$100,Time!AE$5))/Time!AE$7</f>
        <v>0</v>
      </c>
      <c r="AF117" s="14" t="n">
        <f aca="false">MAX(0,MIN(Inputs!$F$203,Time!AF$6)-MAX(Inputs!$F$100,Time!AF$5))/Time!AF$7</f>
        <v>0</v>
      </c>
      <c r="AG117" s="14" t="n">
        <f aca="false">MAX(0,MIN(Inputs!$F$203,Time!AG$6)-MAX(Inputs!$F$100,Time!AG$5))/Time!AG$7</f>
        <v>0</v>
      </c>
      <c r="AH117" s="14" t="n">
        <f aca="false">MAX(0,MIN(Inputs!$F$203,Time!AH$6)-MAX(Inputs!$F$100,Time!AH$5))/Time!AH$7</f>
        <v>0</v>
      </c>
      <c r="AI117" s="14" t="n">
        <f aca="false">MAX(0,MIN(Inputs!$F$203,Time!AI$6)-MAX(Inputs!$F$100,Time!AI$5))/Time!AI$7</f>
        <v>0</v>
      </c>
      <c r="AJ117" s="14" t="n">
        <f aca="false">MAX(0,MIN(Inputs!$F$203,Time!AJ$6)-MAX(Inputs!$F$100,Time!AJ$5))/Time!AJ$7</f>
        <v>0</v>
      </c>
      <c r="AK117" s="14" t="n">
        <f aca="false">MAX(0,MIN(Inputs!$F$203,Time!AK$6)-MAX(Inputs!$F$100,Time!AK$5))/Time!AK$7</f>
        <v>0</v>
      </c>
      <c r="AL117" s="14" t="n">
        <f aca="false">MAX(0,MIN(Inputs!$F$203,Time!AL$6)-MAX(Inputs!$F$100,Time!AL$5))/Time!AL$7</f>
        <v>0</v>
      </c>
      <c r="AM117" s="14" t="n">
        <f aca="false">MAX(0,MIN(Inputs!$F$203,Time!AM$6)-MAX(Inputs!$F$100,Time!AM$5))/Time!AM$7</f>
        <v>0</v>
      </c>
      <c r="AN117" s="14" t="n">
        <f aca="false">MAX(0,MIN(Inputs!$F$203,Time!AN$6)-MAX(Inputs!$F$100,Time!AN$5))/Time!AN$7</f>
        <v>0</v>
      </c>
      <c r="AO117" s="14" t="n">
        <f aca="false">MAX(0,MIN(Inputs!$F$203,Time!AO$6)-MAX(Inputs!$F$100,Time!AO$5))/Time!AO$7</f>
        <v>0</v>
      </c>
      <c r="AP117" s="14" t="n">
        <f aca="false">MAX(0,MIN(Inputs!$F$203,Time!AP$6)-MAX(Inputs!$F$100,Time!AP$5))/Time!AP$7</f>
        <v>0</v>
      </c>
      <c r="AQ117" s="14" t="n">
        <f aca="false">MAX(0,MIN(Inputs!$F$203,Time!AQ$6)-MAX(Inputs!$F$100,Time!AQ$5))/Time!AQ$7</f>
        <v>0</v>
      </c>
      <c r="AR117" s="14" t="n">
        <f aca="false">MAX(0,MIN(Inputs!$F$203,Time!AR$6)-MAX(Inputs!$F$100,Time!AR$5))/Time!AR$7</f>
        <v>0</v>
      </c>
      <c r="AS117" s="14" t="n">
        <f aca="false">MAX(0,MIN(Inputs!$F$203,Time!AS$6)-MAX(Inputs!$F$100,Time!AS$5))/Time!AS$7</f>
        <v>0</v>
      </c>
      <c r="AT117" s="14" t="n">
        <f aca="false">MAX(0,MIN(Inputs!$F$203,Time!AT$6)-MAX(Inputs!$F$100,Time!AT$5))/Time!AT$7</f>
        <v>0</v>
      </c>
      <c r="AU117" s="14" t="n">
        <f aca="false">MAX(0,MIN(Inputs!$F$203,Time!AU$6)-MAX(Inputs!$F$100,Time!AU$5))/Time!AU$7</f>
        <v>0</v>
      </c>
    </row>
    <row r="118" customFormat="false" ht="15" hidden="false" customHeight="false" outlineLevel="0" collapsed="false">
      <c r="D118" s="0" t="s">
        <v>514</v>
      </c>
      <c r="E118" s="0" t="s">
        <v>466</v>
      </c>
      <c r="J118" s="20" t="n">
        <f aca="false">Operations!J112*Operations!J117</f>
        <v>773.7175</v>
      </c>
      <c r="K118" s="20" t="n">
        <f aca="false">Operations!K112*Operations!K117</f>
        <v>772.170065</v>
      </c>
      <c r="L118" s="20" t="n">
        <f aca="false">Operations!L112*Operations!L117</f>
        <v>770.62572487</v>
      </c>
      <c r="M118" s="20" t="n">
        <f aca="false">Operations!M112*Operations!M117</f>
        <v>769.08447342026</v>
      </c>
      <c r="N118" s="20" t="n">
        <f aca="false">Operations!N112*Operations!N117</f>
        <v>767.54630447342</v>
      </c>
      <c r="O118" s="20" t="n">
        <f aca="false">Operations!O112*Operations!O117</f>
        <v>766.011211864473</v>
      </c>
      <c r="P118" s="20" t="n">
        <f aca="false">Operations!P112*Operations!P117</f>
        <v>764.479189440744</v>
      </c>
      <c r="Q118" s="20" t="n">
        <f aca="false">Operations!Q112*Operations!Q117</f>
        <v>378.339703622458</v>
      </c>
      <c r="R118" s="20" t="n">
        <f aca="false">Operations!R112*Operations!R117</f>
        <v>0</v>
      </c>
      <c r="S118" s="20" t="n">
        <f aca="false">Operations!S112*Operations!S117</f>
        <v>0</v>
      </c>
      <c r="T118" s="20" t="n">
        <f aca="false">Operations!T112*Operations!T117</f>
        <v>0</v>
      </c>
      <c r="U118" s="20" t="n">
        <f aca="false">Operations!U112*Operations!U117</f>
        <v>0</v>
      </c>
      <c r="V118" s="20" t="n">
        <f aca="false">Operations!V112*Operations!V117</f>
        <v>0</v>
      </c>
      <c r="W118" s="20" t="n">
        <f aca="false">Operations!W112*Operations!W117</f>
        <v>0</v>
      </c>
      <c r="X118" s="20" t="n">
        <f aca="false">Operations!X112*Operations!X117</f>
        <v>0</v>
      </c>
      <c r="Y118" s="20" t="n">
        <f aca="false">Operations!Y112*Operations!Y117</f>
        <v>0</v>
      </c>
      <c r="Z118" s="20" t="n">
        <f aca="false">Operations!Z112*Operations!Z117</f>
        <v>0</v>
      </c>
      <c r="AA118" s="20" t="n">
        <f aca="false">Operations!AA112*Operations!AA117</f>
        <v>0</v>
      </c>
      <c r="AB118" s="20" t="n">
        <f aca="false">Operations!AB112*Operations!AB117</f>
        <v>0</v>
      </c>
      <c r="AC118" s="20" t="n">
        <f aca="false">Operations!AC112*Operations!AC117</f>
        <v>0</v>
      </c>
      <c r="AD118" s="20" t="n">
        <f aca="false">Operations!AD112*Operations!AD117</f>
        <v>0</v>
      </c>
      <c r="AE118" s="20" t="n">
        <f aca="false">Operations!AE112*Operations!AE117</f>
        <v>0</v>
      </c>
      <c r="AF118" s="20" t="n">
        <f aca="false">Operations!AF112*Operations!AF117</f>
        <v>0</v>
      </c>
      <c r="AG118" s="20" t="n">
        <f aca="false">Operations!AG112*Operations!AG117</f>
        <v>0</v>
      </c>
      <c r="AH118" s="20" t="n">
        <f aca="false">Operations!AH112*Operations!AH117</f>
        <v>0</v>
      </c>
      <c r="AI118" s="20" t="n">
        <f aca="false">Operations!AI112*Operations!AI117</f>
        <v>0</v>
      </c>
      <c r="AJ118" s="20" t="n">
        <f aca="false">Operations!AJ112*Operations!AJ117</f>
        <v>0</v>
      </c>
      <c r="AK118" s="20" t="n">
        <f aca="false">Operations!AK112*Operations!AK117</f>
        <v>0</v>
      </c>
      <c r="AL118" s="20" t="n">
        <f aca="false">Operations!AL112*Operations!AL117</f>
        <v>0</v>
      </c>
      <c r="AM118" s="20" t="n">
        <f aca="false">Operations!AM112*Operations!AM117</f>
        <v>0</v>
      </c>
      <c r="AN118" s="20" t="n">
        <f aca="false">Operations!AN112*Operations!AN117</f>
        <v>0</v>
      </c>
      <c r="AO118" s="20" t="n">
        <f aca="false">Operations!AO112*Operations!AO117</f>
        <v>0</v>
      </c>
      <c r="AP118" s="20" t="n">
        <f aca="false">Operations!AP112*Operations!AP117</f>
        <v>0</v>
      </c>
      <c r="AQ118" s="20" t="n">
        <f aca="false">Operations!AQ112*Operations!AQ117</f>
        <v>0</v>
      </c>
      <c r="AR118" s="20" t="n">
        <f aca="false">Operations!AR112*Operations!AR117</f>
        <v>0</v>
      </c>
      <c r="AS118" s="20" t="n">
        <f aca="false">Operations!AS112*Operations!AS117</f>
        <v>0</v>
      </c>
      <c r="AT118" s="20" t="n">
        <f aca="false">Operations!AT112*Operations!AT117</f>
        <v>0</v>
      </c>
      <c r="AU118" s="20" t="n">
        <f aca="false">Operations!AU112*Operations!AU117</f>
        <v>0</v>
      </c>
    </row>
    <row r="119" customFormat="false" ht="15" hidden="false" customHeight="false" outlineLevel="0" collapsed="false">
      <c r="D119" s="0" t="s">
        <v>515</v>
      </c>
      <c r="E119" s="0" t="s">
        <v>47</v>
      </c>
      <c r="G119" s="20" t="n">
        <f aca="false">SUM(J119:AU119)</f>
        <v>180.925989022508</v>
      </c>
      <c r="J119" s="20" t="n">
        <f aca="false">Operations!J118*Inputs!$F$202/1000</f>
        <v>24.2947295</v>
      </c>
      <c r="K119" s="20" t="n">
        <f aca="false">Operations!K118*Inputs!$F$202/1000</f>
        <v>24.246140041</v>
      </c>
      <c r="L119" s="20" t="n">
        <f aca="false">Operations!L118*Inputs!$F$202/1000</f>
        <v>24.197647760918</v>
      </c>
      <c r="M119" s="20" t="n">
        <f aca="false">Operations!M118*Inputs!$F$202/1000</f>
        <v>24.1492524653962</v>
      </c>
      <c r="N119" s="20" t="n">
        <f aca="false">Operations!N118*Inputs!$F$202/1000</f>
        <v>24.1009539604654</v>
      </c>
      <c r="O119" s="20" t="n">
        <f aca="false">Operations!O118*Inputs!$F$202/1000</f>
        <v>24.0527520525444</v>
      </c>
      <c r="P119" s="20" t="n">
        <f aca="false">Operations!P118*Inputs!$F$202/1000</f>
        <v>24.0046465484394</v>
      </c>
      <c r="Q119" s="20" t="n">
        <f aca="false">Operations!Q118*Inputs!$F$202/1000</f>
        <v>11.8798666937452</v>
      </c>
      <c r="R119" s="20" t="n">
        <f aca="false">Operations!R118*Inputs!$F$202/1000</f>
        <v>0</v>
      </c>
      <c r="S119" s="20" t="n">
        <f aca="false">Operations!S118*Inputs!$F$202/1000</f>
        <v>0</v>
      </c>
      <c r="T119" s="20" t="n">
        <f aca="false">Operations!T118*Inputs!$F$202/1000</f>
        <v>0</v>
      </c>
      <c r="U119" s="20" t="n">
        <f aca="false">Operations!U118*Inputs!$F$202/1000</f>
        <v>0</v>
      </c>
      <c r="V119" s="20" t="n">
        <f aca="false">Operations!V118*Inputs!$F$202/1000</f>
        <v>0</v>
      </c>
      <c r="W119" s="20" t="n">
        <f aca="false">Operations!W118*Inputs!$F$202/1000</f>
        <v>0</v>
      </c>
      <c r="X119" s="20" t="n">
        <f aca="false">Operations!X118*Inputs!$F$202/1000</f>
        <v>0</v>
      </c>
      <c r="Y119" s="20" t="n">
        <f aca="false">Operations!Y118*Inputs!$F$202/1000</f>
        <v>0</v>
      </c>
      <c r="Z119" s="20" t="n">
        <f aca="false">Operations!Z118*Inputs!$F$202/1000</f>
        <v>0</v>
      </c>
      <c r="AA119" s="20" t="n">
        <f aca="false">Operations!AA118*Inputs!$F$202/1000</f>
        <v>0</v>
      </c>
      <c r="AB119" s="20" t="n">
        <f aca="false">Operations!AB118*Inputs!$F$202/1000</f>
        <v>0</v>
      </c>
      <c r="AC119" s="20" t="n">
        <f aca="false">Operations!AC118*Inputs!$F$202/1000</f>
        <v>0</v>
      </c>
      <c r="AD119" s="20" t="n">
        <f aca="false">Operations!AD118*Inputs!$F$202/1000</f>
        <v>0</v>
      </c>
      <c r="AE119" s="20" t="n">
        <f aca="false">Operations!AE118*Inputs!$F$202/1000</f>
        <v>0</v>
      </c>
      <c r="AF119" s="20" t="n">
        <f aca="false">Operations!AF118*Inputs!$F$202/1000</f>
        <v>0</v>
      </c>
      <c r="AG119" s="20" t="n">
        <f aca="false">Operations!AG118*Inputs!$F$202/1000</f>
        <v>0</v>
      </c>
      <c r="AH119" s="20" t="n">
        <f aca="false">Operations!AH118*Inputs!$F$202/1000</f>
        <v>0</v>
      </c>
      <c r="AI119" s="20" t="n">
        <f aca="false">Operations!AI118*Inputs!$F$202/1000</f>
        <v>0</v>
      </c>
      <c r="AJ119" s="20" t="n">
        <f aca="false">Operations!AJ118*Inputs!$F$202/1000</f>
        <v>0</v>
      </c>
      <c r="AK119" s="20" t="n">
        <f aca="false">Operations!AK118*Inputs!$F$202/1000</f>
        <v>0</v>
      </c>
      <c r="AL119" s="20" t="n">
        <f aca="false">Operations!AL118*Inputs!$F$202/1000</f>
        <v>0</v>
      </c>
      <c r="AM119" s="20" t="n">
        <f aca="false">Operations!AM118*Inputs!$F$202/1000</f>
        <v>0</v>
      </c>
      <c r="AN119" s="20" t="n">
        <f aca="false">Operations!AN118*Inputs!$F$202/1000</f>
        <v>0</v>
      </c>
      <c r="AO119" s="20" t="n">
        <f aca="false">Operations!AO118*Inputs!$F$202/1000</f>
        <v>0</v>
      </c>
      <c r="AP119" s="20" t="n">
        <f aca="false">Operations!AP118*Inputs!$F$202/1000</f>
        <v>0</v>
      </c>
      <c r="AQ119" s="20" t="n">
        <f aca="false">Operations!AQ118*Inputs!$F$202/1000</f>
        <v>0</v>
      </c>
      <c r="AR119" s="20" t="n">
        <f aca="false">Operations!AR118*Inputs!$F$202/1000</f>
        <v>0</v>
      </c>
      <c r="AS119" s="20" t="n">
        <f aca="false">Operations!AS118*Inputs!$F$202/1000</f>
        <v>0</v>
      </c>
      <c r="AT119" s="20" t="n">
        <f aca="false">Operations!AT118*Inputs!$F$202/1000</f>
        <v>0</v>
      </c>
      <c r="AU119" s="20" t="n">
        <f aca="false">Operations!AU118*Inputs!$F$202/1000</f>
        <v>0</v>
      </c>
    </row>
    <row r="120" customFormat="false" ht="15" hidden="false" customHeight="false" outlineLevel="0" collapsed="false">
      <c r="D120" s="0" t="s">
        <v>516</v>
      </c>
      <c r="E120" s="0" t="s">
        <v>466</v>
      </c>
      <c r="J120" s="20" t="n">
        <f aca="false">Operations!J113-Operations!J118</f>
        <v>0</v>
      </c>
      <c r="K120" s="20" t="n">
        <f aca="false">Operations!K113-Operations!K118</f>
        <v>0</v>
      </c>
      <c r="L120" s="20" t="n">
        <f aca="false">Operations!L113-Operations!L118</f>
        <v>0</v>
      </c>
      <c r="M120" s="20" t="n">
        <f aca="false">Operations!M113-Operations!M118</f>
        <v>0</v>
      </c>
      <c r="N120" s="20" t="n">
        <f aca="false">Operations!N113-Operations!N118</f>
        <v>0</v>
      </c>
      <c r="O120" s="20" t="n">
        <f aca="false">Operations!O113-Operations!O118</f>
        <v>0</v>
      </c>
      <c r="P120" s="20" t="n">
        <f aca="false">Operations!P113-Operations!P118</f>
        <v>0</v>
      </c>
      <c r="Q120" s="20" t="n">
        <f aca="false">Operations!Q113-Operations!Q118</f>
        <v>384.610527439404</v>
      </c>
      <c r="R120" s="20" t="n">
        <f aca="false">Operations!R113-Operations!R118</f>
        <v>761.424330599739</v>
      </c>
      <c r="S120" s="20" t="n">
        <f aca="false">Operations!S113-Operations!S118</f>
        <v>759.901481938539</v>
      </c>
      <c r="T120" s="20" t="n">
        <f aca="false">Operations!T113-Operations!T118</f>
        <v>758.381678974662</v>
      </c>
      <c r="U120" s="20" t="n">
        <f aca="false">Operations!U113-Operations!U118</f>
        <v>756.864915616713</v>
      </c>
      <c r="V120" s="20" t="n">
        <f aca="false">Operations!V113-Operations!V118</f>
        <v>755.351185785479</v>
      </c>
      <c r="W120" s="20" t="n">
        <f aca="false">Operations!W113-Operations!W118</f>
        <v>753.840483413908</v>
      </c>
      <c r="X120" s="20" t="n">
        <f aca="false">Operations!X113-Operations!X118</f>
        <v>752.33280244708</v>
      </c>
      <c r="Y120" s="20" t="n">
        <f aca="false">Operations!Y113-Operations!Y118</f>
        <v>750.828136842186</v>
      </c>
      <c r="Z120" s="20" t="n">
        <f aca="false">Operations!Z113-Operations!Z118</f>
        <v>749.326480568502</v>
      </c>
      <c r="AA120" s="20" t="n">
        <f aca="false">Operations!AA113-Operations!AA118</f>
        <v>747.827827607365</v>
      </c>
      <c r="AB120" s="20" t="n">
        <f aca="false">Operations!AB113-Operations!AB118</f>
        <v>746.33217195215</v>
      </c>
      <c r="AC120" s="20" t="n">
        <f aca="false">Operations!AC113-Operations!AC118</f>
        <v>744.839507608246</v>
      </c>
      <c r="AD120" s="20" t="n">
        <f aca="false">Operations!AD113-Operations!AD118</f>
        <v>743.349828593029</v>
      </c>
      <c r="AE120" s="20" t="n">
        <f aca="false">Operations!AE113-Operations!AE118</f>
        <v>741.863128935843</v>
      </c>
      <c r="AF120" s="20" t="n">
        <f aca="false">Operations!AF113-Operations!AF118</f>
        <v>740.379402677972</v>
      </c>
      <c r="AG120" s="20" t="n">
        <f aca="false">Operations!AG113-Operations!AG118</f>
        <v>738.898643872616</v>
      </c>
      <c r="AH120" s="20" t="n">
        <f aca="false">Operations!AH113-Operations!AH118</f>
        <v>737.42084658487</v>
      </c>
      <c r="AI120" s="20" t="n">
        <f aca="false">Operations!AI113-Operations!AI118</f>
        <v>364.948566809309</v>
      </c>
      <c r="AJ120" s="20" t="n">
        <f aca="false">Operations!AJ113-Operations!AJ118</f>
        <v>0</v>
      </c>
      <c r="AK120" s="20" t="n">
        <f aca="false">Operations!AK113-Operations!AK118</f>
        <v>0</v>
      </c>
      <c r="AL120" s="20" t="n">
        <f aca="false">Operations!AL113-Operations!AL118</f>
        <v>0</v>
      </c>
      <c r="AM120" s="20" t="n">
        <f aca="false">Operations!AM113-Operations!AM118</f>
        <v>0</v>
      </c>
      <c r="AN120" s="20" t="n">
        <f aca="false">Operations!AN113-Operations!AN118</f>
        <v>0</v>
      </c>
      <c r="AO120" s="20" t="n">
        <f aca="false">Operations!AO113-Operations!AO118</f>
        <v>0</v>
      </c>
      <c r="AP120" s="20" t="n">
        <f aca="false">Operations!AP113-Operations!AP118</f>
        <v>0</v>
      </c>
      <c r="AQ120" s="20" t="n">
        <f aca="false">Operations!AQ113-Operations!AQ118</f>
        <v>0</v>
      </c>
      <c r="AR120" s="20" t="n">
        <f aca="false">Operations!AR113-Operations!AR118</f>
        <v>0</v>
      </c>
      <c r="AS120" s="20" t="n">
        <f aca="false">Operations!AS113-Operations!AS118</f>
        <v>0</v>
      </c>
      <c r="AT120" s="20" t="n">
        <f aca="false">Operations!AT113-Operations!AT118</f>
        <v>0</v>
      </c>
      <c r="AU120" s="20" t="n">
        <f aca="false">Operations!AU113-Operations!AU118</f>
        <v>0</v>
      </c>
    </row>
    <row r="121" customFormat="false" ht="15" hidden="false" customHeight="false" outlineLevel="0" collapsed="false">
      <c r="D121" s="0" t="s">
        <v>517</v>
      </c>
      <c r="E121" s="0" t="s">
        <v>47</v>
      </c>
      <c r="J121" s="20" t="n">
        <f aca="false">Operations!J119</f>
        <v>24.2947295</v>
      </c>
      <c r="K121" s="20" t="n">
        <f aca="false">Operations!K119</f>
        <v>24.246140041</v>
      </c>
      <c r="L121" s="20" t="n">
        <f aca="false">Operations!L119</f>
        <v>24.197647760918</v>
      </c>
      <c r="M121" s="20" t="n">
        <f aca="false">Operations!M119</f>
        <v>24.1492524653962</v>
      </c>
      <c r="N121" s="20" t="n">
        <f aca="false">Operations!N119</f>
        <v>24.1009539604654</v>
      </c>
      <c r="O121" s="20" t="n">
        <f aca="false">Operations!O119</f>
        <v>24.0527520525444</v>
      </c>
      <c r="P121" s="20" t="n">
        <f aca="false">Operations!P119</f>
        <v>24.0046465484394</v>
      </c>
      <c r="Q121" s="20" t="n">
        <f aca="false">Operations!Q119</f>
        <v>11.8798666937452</v>
      </c>
      <c r="R121" s="20" t="n">
        <f aca="false">Operations!R119</f>
        <v>0</v>
      </c>
      <c r="S121" s="20" t="n">
        <f aca="false">Operations!S119</f>
        <v>0</v>
      </c>
      <c r="T121" s="20" t="n">
        <f aca="false">Operations!T119</f>
        <v>0</v>
      </c>
      <c r="U121" s="20" t="n">
        <f aca="false">Operations!U119</f>
        <v>0</v>
      </c>
      <c r="V121" s="20" t="n">
        <f aca="false">Operations!V119</f>
        <v>0</v>
      </c>
      <c r="W121" s="20" t="n">
        <f aca="false">Operations!W119</f>
        <v>0</v>
      </c>
      <c r="X121" s="20" t="n">
        <f aca="false">Operations!X119</f>
        <v>0</v>
      </c>
      <c r="Y121" s="20" t="n">
        <f aca="false">Operations!Y119</f>
        <v>0</v>
      </c>
      <c r="Z121" s="20" t="n">
        <f aca="false">Operations!Z119</f>
        <v>0</v>
      </c>
      <c r="AA121" s="20" t="n">
        <f aca="false">Operations!AA119</f>
        <v>0</v>
      </c>
      <c r="AB121" s="20" t="n">
        <f aca="false">Operations!AB119</f>
        <v>0</v>
      </c>
      <c r="AC121" s="20" t="n">
        <f aca="false">Operations!AC119</f>
        <v>0</v>
      </c>
      <c r="AD121" s="20" t="n">
        <f aca="false">Operations!AD119</f>
        <v>0</v>
      </c>
      <c r="AE121" s="20" t="n">
        <f aca="false">Operations!AE119</f>
        <v>0</v>
      </c>
      <c r="AF121" s="20" t="n">
        <f aca="false">Operations!AF119</f>
        <v>0</v>
      </c>
      <c r="AG121" s="20" t="n">
        <f aca="false">Operations!AG119</f>
        <v>0</v>
      </c>
      <c r="AH121" s="20" t="n">
        <f aca="false">Operations!AH119</f>
        <v>0</v>
      </c>
      <c r="AI121" s="20" t="n">
        <f aca="false">Operations!AI119</f>
        <v>0</v>
      </c>
      <c r="AJ121" s="20" t="n">
        <f aca="false">Operations!AJ119</f>
        <v>0</v>
      </c>
      <c r="AK121" s="20" t="n">
        <f aca="false">Operations!AK119</f>
        <v>0</v>
      </c>
      <c r="AL121" s="20" t="n">
        <f aca="false">Operations!AL119</f>
        <v>0</v>
      </c>
      <c r="AM121" s="20" t="n">
        <f aca="false">Operations!AM119</f>
        <v>0</v>
      </c>
      <c r="AN121" s="20" t="n">
        <f aca="false">Operations!AN119</f>
        <v>0</v>
      </c>
      <c r="AO121" s="20" t="n">
        <f aca="false">Operations!AO119</f>
        <v>0</v>
      </c>
      <c r="AP121" s="20" t="n">
        <f aca="false">Operations!AP119</f>
        <v>0</v>
      </c>
      <c r="AQ121" s="20" t="n">
        <f aca="false">Operations!AQ119</f>
        <v>0</v>
      </c>
      <c r="AR121" s="20" t="n">
        <f aca="false">Operations!AR119</f>
        <v>0</v>
      </c>
      <c r="AS121" s="20" t="n">
        <f aca="false">Operations!AS119</f>
        <v>0</v>
      </c>
      <c r="AT121" s="20" t="n">
        <f aca="false">Operations!AT119</f>
        <v>0</v>
      </c>
      <c r="AU121" s="20" t="n">
        <f aca="false">Operations!AU119</f>
        <v>0</v>
      </c>
    </row>
    <row r="122" customFormat="false" ht="15" hidden="false" customHeight="false" outlineLevel="0" collapsed="false">
      <c r="D122" s="0" t="s">
        <v>518</v>
      </c>
      <c r="E122" s="0" t="s">
        <v>47</v>
      </c>
      <c r="J122" s="20" t="n">
        <f aca="false">0</f>
        <v>0</v>
      </c>
      <c r="K122" s="20" t="n">
        <f aca="false">0</f>
        <v>0</v>
      </c>
      <c r="L122" s="20" t="n">
        <f aca="false">0</f>
        <v>0</v>
      </c>
      <c r="M122" s="20" t="n">
        <f aca="false">0</f>
        <v>0</v>
      </c>
      <c r="N122" s="20" t="n">
        <f aca="false">0</f>
        <v>0</v>
      </c>
      <c r="O122" s="20" t="n">
        <f aca="false">0</f>
        <v>0</v>
      </c>
      <c r="P122" s="20" t="n">
        <f aca="false">0</f>
        <v>0</v>
      </c>
      <c r="Q122" s="20" t="n">
        <f aca="false">0</f>
        <v>0</v>
      </c>
      <c r="R122" s="20" t="n">
        <f aca="false">0</f>
        <v>0</v>
      </c>
      <c r="S122" s="20" t="n">
        <f aca="false">0</f>
        <v>0</v>
      </c>
      <c r="T122" s="20" t="n">
        <f aca="false">0</f>
        <v>0</v>
      </c>
      <c r="U122" s="20" t="n">
        <f aca="false">0</f>
        <v>0</v>
      </c>
      <c r="V122" s="20" t="n">
        <f aca="false">0</f>
        <v>0</v>
      </c>
      <c r="W122" s="20" t="n">
        <f aca="false">0</f>
        <v>0</v>
      </c>
      <c r="X122" s="20" t="n">
        <f aca="false">0</f>
        <v>0</v>
      </c>
      <c r="Y122" s="20" t="n">
        <f aca="false">0</f>
        <v>0</v>
      </c>
      <c r="Z122" s="20" t="n">
        <f aca="false">0</f>
        <v>0</v>
      </c>
      <c r="AA122" s="20" t="n">
        <f aca="false">0</f>
        <v>0</v>
      </c>
      <c r="AB122" s="20" t="n">
        <f aca="false">0</f>
        <v>0</v>
      </c>
      <c r="AC122" s="20" t="n">
        <f aca="false">0</f>
        <v>0</v>
      </c>
      <c r="AD122" s="20" t="n">
        <f aca="false">0</f>
        <v>0</v>
      </c>
      <c r="AE122" s="20" t="n">
        <f aca="false">0</f>
        <v>0</v>
      </c>
      <c r="AF122" s="20" t="n">
        <f aca="false">0</f>
        <v>0</v>
      </c>
      <c r="AG122" s="20" t="n">
        <f aca="false">0</f>
        <v>0</v>
      </c>
      <c r="AH122" s="20" t="n">
        <f aca="false">0</f>
        <v>0</v>
      </c>
      <c r="AI122" s="20" t="n">
        <f aca="false">0</f>
        <v>0</v>
      </c>
      <c r="AJ122" s="20" t="n">
        <f aca="false">0</f>
        <v>0</v>
      </c>
      <c r="AK122" s="20" t="n">
        <f aca="false">0</f>
        <v>0</v>
      </c>
      <c r="AL122" s="20" t="n">
        <f aca="false">0</f>
        <v>0</v>
      </c>
      <c r="AM122" s="20" t="n">
        <f aca="false">0</f>
        <v>0</v>
      </c>
      <c r="AN122" s="20" t="n">
        <f aca="false">0</f>
        <v>0</v>
      </c>
      <c r="AO122" s="20" t="n">
        <f aca="false">0</f>
        <v>0</v>
      </c>
      <c r="AP122" s="20" t="n">
        <f aca="false">0</f>
        <v>0</v>
      </c>
      <c r="AQ122" s="20" t="n">
        <f aca="false">0</f>
        <v>0</v>
      </c>
      <c r="AR122" s="20" t="n">
        <f aca="false">0</f>
        <v>0</v>
      </c>
      <c r="AS122" s="20" t="n">
        <f aca="false">0</f>
        <v>0</v>
      </c>
      <c r="AT122" s="20" t="n">
        <f aca="false">0</f>
        <v>0</v>
      </c>
      <c r="AU122" s="20" t="n">
        <f aca="false">0</f>
        <v>0</v>
      </c>
    </row>
    <row r="123" customFormat="false" ht="15" hidden="false" customHeight="false" outlineLevel="0" collapsed="false">
      <c r="D123" s="0" t="s">
        <v>519</v>
      </c>
      <c r="E123" s="0" t="s">
        <v>47</v>
      </c>
      <c r="G123" s="20" t="n">
        <f aca="false">SUM(J123:AU123)</f>
        <v>701.23853446082</v>
      </c>
      <c r="J123" s="20" t="n">
        <f aca="false">Operations!J120*Operations!J116/1000</f>
        <v>0</v>
      </c>
      <c r="K123" s="20" t="n">
        <f aca="false">Operations!K120*Operations!K116/1000</f>
        <v>0</v>
      </c>
      <c r="L123" s="20" t="n">
        <f aca="false">Operations!L120*Operations!L116/1000</f>
        <v>0</v>
      </c>
      <c r="M123" s="20" t="n">
        <f aca="false">Operations!M120*Operations!M116/1000</f>
        <v>0</v>
      </c>
      <c r="N123" s="20" t="n">
        <f aca="false">Operations!N120*Operations!N116/1000</f>
        <v>0</v>
      </c>
      <c r="O123" s="20" t="n">
        <f aca="false">Operations!O120*Operations!O116/1000</f>
        <v>0</v>
      </c>
      <c r="P123" s="20" t="n">
        <f aca="false">Operations!P120*Operations!P116/1000</f>
        <v>0</v>
      </c>
      <c r="Q123" s="20" t="n">
        <f aca="false">Operations!Q120*Operations!Q116/1000</f>
        <v>17.0776110992048</v>
      </c>
      <c r="R123" s="20" t="n">
        <f aca="false">Operations!R120*Operations!R116/1000</f>
        <v>34.6309086116968</v>
      </c>
      <c r="S123" s="20" t="n">
        <f aca="false">Operations!S120*Operations!S116/1000</f>
        <v>35.1361731367266</v>
      </c>
      <c r="T123" s="20" t="n">
        <f aca="false">Operations!T120*Operations!T116/1000</f>
        <v>35.647815758952</v>
      </c>
      <c r="U123" s="20" t="n">
        <f aca="false">Operations!U120*Operations!U116/1000</f>
        <v>36.1656568600048</v>
      </c>
      <c r="V123" s="20" t="n">
        <f aca="false">Operations!V120*Operations!V116/1000</f>
        <v>36.6895180886667</v>
      </c>
      <c r="W123" s="20" t="n">
        <f aca="false">Operations!W120*Operations!W116/1000</f>
        <v>37.2192223548307</v>
      </c>
      <c r="X123" s="20" t="n">
        <f aca="false">Operations!X120*Operations!X116/1000</f>
        <v>37.7545938234865</v>
      </c>
      <c r="Y123" s="20" t="n">
        <f aca="false">Operations!Y120*Operations!Y116/1000</f>
        <v>38.3018941201421</v>
      </c>
      <c r="Z123" s="20" t="n">
        <f aca="false">Operations!Z120*Operations!Z116/1000</f>
        <v>38.8544433908176</v>
      </c>
      <c r="AA123" s="20" t="n">
        <f aca="false">Operations!AA120*Operations!AA116/1000</f>
        <v>39.4120698745005</v>
      </c>
      <c r="AB123" s="20" t="n">
        <f aca="false">Operations!AB120*Operations!AB116/1000</f>
        <v>39.980934146135</v>
      </c>
      <c r="AC123" s="20" t="n">
        <f aca="false">Operations!AC120*Operations!AC116/1000</f>
        <v>40.5544661802621</v>
      </c>
      <c r="AD123" s="20" t="n">
        <f aca="false">Operations!AD120*Operations!AD116/1000</f>
        <v>41.1387598371777</v>
      </c>
      <c r="AE123" s="20" t="n">
        <f aca="false">Operations!AE120*Operations!AE116/1000</f>
        <v>41.7273178161201</v>
      </c>
      <c r="AF123" s="20" t="n">
        <f aca="false">Operations!AF120*Operations!AF116/1000</f>
        <v>42.3261676892588</v>
      </c>
      <c r="AG123" s="20" t="n">
        <f aca="false">Operations!AG120*Operations!AG116/1000</f>
        <v>42.9350426063127</v>
      </c>
      <c r="AH123" s="20" t="n">
        <f aca="false">Operations!AH120*Operations!AH116/1000</f>
        <v>43.6514857237572</v>
      </c>
      <c r="AI123" s="20" t="n">
        <f aca="false">Operations!AI120*Operations!AI116/1000</f>
        <v>22.0344533427674</v>
      </c>
      <c r="AJ123" s="20" t="n">
        <f aca="false">Operations!AJ120*Operations!AJ116/1000</f>
        <v>0</v>
      </c>
      <c r="AK123" s="20" t="n">
        <f aca="false">Operations!AK120*Operations!AK116/1000</f>
        <v>0</v>
      </c>
      <c r="AL123" s="20" t="n">
        <f aca="false">Operations!AL120*Operations!AL116/1000</f>
        <v>0</v>
      </c>
      <c r="AM123" s="20" t="n">
        <f aca="false">Operations!AM120*Operations!AM116/1000</f>
        <v>0</v>
      </c>
      <c r="AN123" s="20" t="n">
        <f aca="false">Operations!AN120*Operations!AN116/1000</f>
        <v>0</v>
      </c>
      <c r="AO123" s="20" t="n">
        <f aca="false">Operations!AO120*Operations!AO116/1000</f>
        <v>0</v>
      </c>
      <c r="AP123" s="20" t="n">
        <f aca="false">Operations!AP120*Operations!AP116/1000</f>
        <v>0</v>
      </c>
      <c r="AQ123" s="20" t="n">
        <f aca="false">Operations!AQ120*Operations!AQ116/1000</f>
        <v>0</v>
      </c>
      <c r="AR123" s="20" t="n">
        <f aca="false">Operations!AR120*Operations!AR116/1000</f>
        <v>0</v>
      </c>
      <c r="AS123" s="20" t="n">
        <f aca="false">Operations!AS120*Operations!AS116/1000</f>
        <v>0</v>
      </c>
      <c r="AT123" s="20" t="n">
        <f aca="false">Operations!AT120*Operations!AT116/1000</f>
        <v>0</v>
      </c>
      <c r="AU123" s="20" t="n">
        <f aca="false">Operations!AU120*Operations!AU116/1000</f>
        <v>0</v>
      </c>
    </row>
    <row r="124" customFormat="false" ht="15" hidden="false" customHeight="false" outlineLevel="0" collapsed="false">
      <c r="D124" s="0" t="s">
        <v>520</v>
      </c>
      <c r="E124" s="0" t="s">
        <v>47</v>
      </c>
      <c r="G124" s="20" t="n">
        <f aca="false">SUM(J124:AU124)</f>
        <v>882.164523483329</v>
      </c>
      <c r="J124" s="20" t="n">
        <f aca="false">Operations!J123+Operations!J119</f>
        <v>24.2947295</v>
      </c>
      <c r="K124" s="20" t="n">
        <f aca="false">Operations!K123+Operations!K119</f>
        <v>24.246140041</v>
      </c>
      <c r="L124" s="20" t="n">
        <f aca="false">Operations!L123+Operations!L119</f>
        <v>24.197647760918</v>
      </c>
      <c r="M124" s="20" t="n">
        <f aca="false">Operations!M123+Operations!M119</f>
        <v>24.1492524653962</v>
      </c>
      <c r="N124" s="20" t="n">
        <f aca="false">Operations!N123+Operations!N119</f>
        <v>24.1009539604654</v>
      </c>
      <c r="O124" s="20" t="n">
        <f aca="false">Operations!O123+Operations!O119</f>
        <v>24.0527520525444</v>
      </c>
      <c r="P124" s="20" t="n">
        <f aca="false">Operations!P123+Operations!P119</f>
        <v>24.0046465484394</v>
      </c>
      <c r="Q124" s="20" t="n">
        <f aca="false">Operations!Q123+Operations!Q119</f>
        <v>28.95747779295</v>
      </c>
      <c r="R124" s="20" t="n">
        <f aca="false">Operations!R123+Operations!R119</f>
        <v>34.6309086116968</v>
      </c>
      <c r="S124" s="20" t="n">
        <f aca="false">Operations!S123+Operations!S119</f>
        <v>35.1361731367266</v>
      </c>
      <c r="T124" s="20" t="n">
        <f aca="false">Operations!T123+Operations!T119</f>
        <v>35.647815758952</v>
      </c>
      <c r="U124" s="20" t="n">
        <f aca="false">Operations!U123+Operations!U119</f>
        <v>36.1656568600048</v>
      </c>
      <c r="V124" s="20" t="n">
        <f aca="false">Operations!V123+Operations!V119</f>
        <v>36.6895180886667</v>
      </c>
      <c r="W124" s="20" t="n">
        <f aca="false">Operations!W123+Operations!W119</f>
        <v>37.2192223548307</v>
      </c>
      <c r="X124" s="20" t="n">
        <f aca="false">Operations!X123+Operations!X119</f>
        <v>37.7545938234865</v>
      </c>
      <c r="Y124" s="20" t="n">
        <f aca="false">Operations!Y123+Operations!Y119</f>
        <v>38.3018941201421</v>
      </c>
      <c r="Z124" s="20" t="n">
        <f aca="false">Operations!Z123+Operations!Z119</f>
        <v>38.8544433908176</v>
      </c>
      <c r="AA124" s="20" t="n">
        <f aca="false">Operations!AA123+Operations!AA119</f>
        <v>39.4120698745005</v>
      </c>
      <c r="AB124" s="20" t="n">
        <f aca="false">Operations!AB123+Operations!AB119</f>
        <v>39.980934146135</v>
      </c>
      <c r="AC124" s="20" t="n">
        <f aca="false">Operations!AC123+Operations!AC119</f>
        <v>40.5544661802621</v>
      </c>
      <c r="AD124" s="20" t="n">
        <f aca="false">Operations!AD123+Operations!AD119</f>
        <v>41.1387598371777</v>
      </c>
      <c r="AE124" s="20" t="n">
        <f aca="false">Operations!AE123+Operations!AE119</f>
        <v>41.7273178161201</v>
      </c>
      <c r="AF124" s="20" t="n">
        <f aca="false">Operations!AF123+Operations!AF119</f>
        <v>42.3261676892588</v>
      </c>
      <c r="AG124" s="20" t="n">
        <f aca="false">Operations!AG123+Operations!AG119</f>
        <v>42.9350426063127</v>
      </c>
      <c r="AH124" s="20" t="n">
        <f aca="false">Operations!AH123+Operations!AH119</f>
        <v>43.6514857237572</v>
      </c>
      <c r="AI124" s="20" t="n">
        <f aca="false">Operations!AI123+Operations!AI119</f>
        <v>22.0344533427674</v>
      </c>
      <c r="AJ124" s="20" t="n">
        <f aca="false">Operations!AJ123+Operations!AJ119</f>
        <v>0</v>
      </c>
      <c r="AK124" s="20" t="n">
        <f aca="false">Operations!AK123+Operations!AK119</f>
        <v>0</v>
      </c>
      <c r="AL124" s="20" t="n">
        <f aca="false">Operations!AL123+Operations!AL119</f>
        <v>0</v>
      </c>
      <c r="AM124" s="20" t="n">
        <f aca="false">Operations!AM123+Operations!AM119</f>
        <v>0</v>
      </c>
      <c r="AN124" s="20" t="n">
        <f aca="false">Operations!AN123+Operations!AN119</f>
        <v>0</v>
      </c>
      <c r="AO124" s="20" t="n">
        <f aca="false">Operations!AO123+Operations!AO119</f>
        <v>0</v>
      </c>
      <c r="AP124" s="20" t="n">
        <f aca="false">Operations!AP123+Operations!AP119</f>
        <v>0</v>
      </c>
      <c r="AQ124" s="20" t="n">
        <f aca="false">Operations!AQ123+Operations!AQ119</f>
        <v>0</v>
      </c>
      <c r="AR124" s="20" t="n">
        <f aca="false">Operations!AR123+Operations!AR119</f>
        <v>0</v>
      </c>
      <c r="AS124" s="20" t="n">
        <f aca="false">Operations!AS123+Operations!AS119</f>
        <v>0</v>
      </c>
      <c r="AT124" s="20" t="n">
        <f aca="false">Operations!AT123+Operations!AT119</f>
        <v>0</v>
      </c>
      <c r="AU124" s="20" t="n">
        <f aca="false">Operations!AU123+Operations!AU119</f>
        <v>0</v>
      </c>
    </row>
    <row r="125" customFormat="false" ht="15" hidden="false" customHeight="false" outlineLevel="0" collapsed="false">
      <c r="D125" s="0" t="s">
        <v>521</v>
      </c>
      <c r="E125" s="0" t="s">
        <v>47</v>
      </c>
      <c r="J125" s="20" t="n">
        <f aca="false">Operations!J124-Operations!J121-Operations!J122</f>
        <v>0</v>
      </c>
      <c r="K125" s="20" t="n">
        <f aca="false">Operations!K124-Operations!K121-Operations!K122</f>
        <v>0</v>
      </c>
      <c r="L125" s="20" t="n">
        <f aca="false">Operations!L124-Operations!L121-Operations!L122</f>
        <v>0</v>
      </c>
      <c r="M125" s="20" t="n">
        <f aca="false">Operations!M124-Operations!M121-Operations!M122</f>
        <v>0</v>
      </c>
      <c r="N125" s="20" t="n">
        <f aca="false">Operations!N124-Operations!N121-Operations!N122</f>
        <v>0</v>
      </c>
      <c r="O125" s="20" t="n">
        <f aca="false">Operations!O124-Operations!O121-Operations!O122</f>
        <v>0</v>
      </c>
      <c r="P125" s="20" t="n">
        <f aca="false">Operations!P124-Operations!P121-Operations!P122</f>
        <v>0</v>
      </c>
      <c r="Q125" s="20" t="n">
        <f aca="false">Operations!Q124-Operations!Q121-Operations!Q122</f>
        <v>17.0776110992048</v>
      </c>
      <c r="R125" s="20" t="n">
        <f aca="false">Operations!R124-Operations!R121-Operations!R122</f>
        <v>34.6309086116968</v>
      </c>
      <c r="S125" s="20" t="n">
        <f aca="false">Operations!S124-Operations!S121-Operations!S122</f>
        <v>35.1361731367266</v>
      </c>
      <c r="T125" s="20" t="n">
        <f aca="false">Operations!T124-Operations!T121-Operations!T122</f>
        <v>35.647815758952</v>
      </c>
      <c r="U125" s="20" t="n">
        <f aca="false">Operations!U124-Operations!U121-Operations!U122</f>
        <v>36.1656568600048</v>
      </c>
      <c r="V125" s="20" t="n">
        <f aca="false">Operations!V124-Operations!V121-Operations!V122</f>
        <v>36.6895180886667</v>
      </c>
      <c r="W125" s="20" t="n">
        <f aca="false">Operations!W124-Operations!W121-Operations!W122</f>
        <v>37.2192223548307</v>
      </c>
      <c r="X125" s="20" t="n">
        <f aca="false">Operations!X124-Operations!X121-Operations!X122</f>
        <v>37.7545938234865</v>
      </c>
      <c r="Y125" s="20" t="n">
        <f aca="false">Operations!Y124-Operations!Y121-Operations!Y122</f>
        <v>38.3018941201421</v>
      </c>
      <c r="Z125" s="20" t="n">
        <f aca="false">Operations!Z124-Operations!Z121-Operations!Z122</f>
        <v>38.8544433908176</v>
      </c>
      <c r="AA125" s="20" t="n">
        <f aca="false">Operations!AA124-Operations!AA121-Operations!AA122</f>
        <v>39.4120698745005</v>
      </c>
      <c r="AB125" s="20" t="n">
        <f aca="false">Operations!AB124-Operations!AB121-Operations!AB122</f>
        <v>39.980934146135</v>
      </c>
      <c r="AC125" s="20" t="n">
        <f aca="false">Operations!AC124-Operations!AC121-Operations!AC122</f>
        <v>40.5544661802621</v>
      </c>
      <c r="AD125" s="20" t="n">
        <f aca="false">Operations!AD124-Operations!AD121-Operations!AD122</f>
        <v>41.1387598371777</v>
      </c>
      <c r="AE125" s="20" t="n">
        <f aca="false">Operations!AE124-Operations!AE121-Operations!AE122</f>
        <v>41.7273178161201</v>
      </c>
      <c r="AF125" s="20" t="n">
        <f aca="false">Operations!AF124-Operations!AF121-Operations!AF122</f>
        <v>42.3261676892588</v>
      </c>
      <c r="AG125" s="20" t="n">
        <f aca="false">Operations!AG124-Operations!AG121-Operations!AG122</f>
        <v>42.9350426063127</v>
      </c>
      <c r="AH125" s="20" t="n">
        <f aca="false">Operations!AH124-Operations!AH121-Operations!AH122</f>
        <v>43.6514857237572</v>
      </c>
      <c r="AI125" s="20" t="n">
        <f aca="false">Operations!AI124-Operations!AI121-Operations!AI122</f>
        <v>22.0344533427674</v>
      </c>
      <c r="AJ125" s="20" t="n">
        <f aca="false">Operations!AJ124-Operations!AJ121-Operations!AJ122</f>
        <v>0</v>
      </c>
      <c r="AK125" s="20" t="n">
        <f aca="false">Operations!AK124-Operations!AK121-Operations!AK122</f>
        <v>0</v>
      </c>
      <c r="AL125" s="20" t="n">
        <f aca="false">Operations!AL124-Operations!AL121-Operations!AL122</f>
        <v>0</v>
      </c>
      <c r="AM125" s="20" t="n">
        <f aca="false">Operations!AM124-Operations!AM121-Operations!AM122</f>
        <v>0</v>
      </c>
      <c r="AN125" s="20" t="n">
        <f aca="false">Operations!AN124-Operations!AN121-Operations!AN122</f>
        <v>0</v>
      </c>
      <c r="AO125" s="20" t="n">
        <f aca="false">Operations!AO124-Operations!AO121-Operations!AO122</f>
        <v>0</v>
      </c>
      <c r="AP125" s="20" t="n">
        <f aca="false">Operations!AP124-Operations!AP121-Operations!AP122</f>
        <v>0</v>
      </c>
      <c r="AQ125" s="20" t="n">
        <f aca="false">Operations!AQ124-Operations!AQ121-Operations!AQ122</f>
        <v>0</v>
      </c>
      <c r="AR125" s="20" t="n">
        <f aca="false">Operations!AR124-Operations!AR121-Operations!AR122</f>
        <v>0</v>
      </c>
      <c r="AS125" s="20" t="n">
        <f aca="false">Operations!AS124-Operations!AS121-Operations!AS122</f>
        <v>0</v>
      </c>
      <c r="AT125" s="20" t="n">
        <f aca="false">Operations!AT124-Operations!AT121-Operations!AT122</f>
        <v>0</v>
      </c>
      <c r="AU125" s="20" t="n">
        <f aca="false">Operations!AU124-Operations!AU121-Operations!AU122</f>
        <v>0</v>
      </c>
    </row>
    <row r="126" customFormat="false" ht="15" hidden="false" customHeight="false" outlineLevel="0" collapsed="false">
      <c r="D126" s="0" t="s">
        <v>522</v>
      </c>
      <c r="E126" s="0" t="s">
        <v>47</v>
      </c>
      <c r="J126" s="20" t="n">
        <f aca="false">Inputs!$F$103*Inputs!$F$99/1000*Time!J$9*Time!J$10*Operations!J105*Operations!$F$50</f>
        <v>10.3086</v>
      </c>
      <c r="K126" s="20" t="n">
        <f aca="false">Inputs!$F$103*Inputs!$F$99/1000*Time!K$9*Time!K$10*Operations!K105*Operations!$F$50</f>
        <v>10.915003395</v>
      </c>
      <c r="L126" s="20" t="n">
        <f aca="false">Inputs!$F$103*Inputs!$F$99/1000*Time!L$9*Time!L$10*Operations!L105*Operations!$F$50</f>
        <v>11.187878479875</v>
      </c>
      <c r="M126" s="20" t="n">
        <f aca="false">Inputs!$F$103*Inputs!$F$99/1000*Time!M$9*Time!M$10*Operations!M105*Operations!$F$50</f>
        <v>11.4675754418719</v>
      </c>
      <c r="N126" s="20" t="n">
        <f aca="false">Inputs!$F$103*Inputs!$F$99/1000*Time!N$9*Time!N$10*Operations!N105*Operations!$F$50</f>
        <v>11.7542648279187</v>
      </c>
      <c r="O126" s="20" t="n">
        <f aca="false">Inputs!$F$103*Inputs!$F$99/1000*Time!O$9*Time!O$10*Operations!O105*Operations!$F$50</f>
        <v>12.0481214486166</v>
      </c>
      <c r="P126" s="20" t="n">
        <f aca="false">Inputs!$F$103*Inputs!$F$99/1000*Time!P$9*Time!P$10*Operations!P105*Operations!$F$50</f>
        <v>12.349324484832</v>
      </c>
      <c r="Q126" s="20" t="n">
        <f aca="false">Inputs!$F$103*Inputs!$F$99/1000*Time!Q$9*Time!Q$10*Operations!Q105*Operations!$F$50</f>
        <v>12.6580575969529</v>
      </c>
      <c r="R126" s="20" t="n">
        <f aca="false">Inputs!$F$103*Inputs!$F$99/1000*Time!R$9*Time!R$10*Operations!R105*Operations!$F$50</f>
        <v>12.9745090368767</v>
      </c>
      <c r="S126" s="20" t="n">
        <f aca="false">Inputs!$F$103*Inputs!$F$99/1000*Time!S$9*Time!S$10*Operations!S105*Operations!$F$50</f>
        <v>13.2988717627986</v>
      </c>
      <c r="T126" s="20" t="n">
        <f aca="false">Inputs!$F$103*Inputs!$F$99/1000*Time!T$9*Time!T$10*Operations!T105*Operations!$F$50</f>
        <v>13.6313435568685</v>
      </c>
      <c r="U126" s="20" t="n">
        <f aca="false">Inputs!$F$103*Inputs!$F$99/1000*Time!U$9*Time!U$10*Operations!U105*Operations!$F$50</f>
        <v>13.9721271457903</v>
      </c>
      <c r="V126" s="20" t="n">
        <f aca="false">Inputs!$F$103*Inputs!$F$99/1000*Time!V$9*Time!V$10*Operations!V105*Operations!$F$50</f>
        <v>14.321430324435</v>
      </c>
      <c r="W126" s="20" t="n">
        <f aca="false">Inputs!$F$103*Inputs!$F$99/1000*Time!W$9*Time!W$10*Operations!W105*Operations!$F$50</f>
        <v>14.6794660825459</v>
      </c>
      <c r="X126" s="20" t="n">
        <f aca="false">Inputs!$F$103*Inputs!$F$99/1000*Time!X$9*Time!X$10*Operations!X105*Operations!$F$50</f>
        <v>15.0464527346095</v>
      </c>
      <c r="Y126" s="20" t="n">
        <f aca="false">Inputs!$F$103*Inputs!$F$99/1000*Time!Y$9*Time!Y$10*Operations!Y105*Operations!$F$50</f>
        <v>15.4226140529748</v>
      </c>
      <c r="Z126" s="20" t="n">
        <f aca="false">Inputs!$F$103*Inputs!$F$99/1000*Time!Z$9*Time!Z$10*Operations!Z105*Operations!$F$50</f>
        <v>15.8081794042991</v>
      </c>
      <c r="AA126" s="20" t="n">
        <f aca="false">Inputs!$F$103*Inputs!$F$99/1000*Time!AA$9*Time!AA$10*Operations!AA105*Operations!$F$50</f>
        <v>16.2033838894066</v>
      </c>
      <c r="AB126" s="20" t="n">
        <f aca="false">Inputs!$F$103*Inputs!$F$99/1000*Time!AB$9*Time!AB$10*Operations!AB105*Operations!$F$50</f>
        <v>16.6084684866418</v>
      </c>
      <c r="AC126" s="20" t="n">
        <f aca="false">Inputs!$F$103*Inputs!$F$99/1000*Time!AC$9*Time!AC$10*Operations!AC105*Operations!$F$50</f>
        <v>17.0236801988078</v>
      </c>
      <c r="AD126" s="20" t="n">
        <f aca="false">Inputs!$F$103*Inputs!$F$99/1000*Time!AD$9*Time!AD$10*Operations!AD105*Operations!$F$50</f>
        <v>17.449272203778</v>
      </c>
      <c r="AE126" s="20" t="n">
        <f aca="false">Inputs!$F$103*Inputs!$F$99/1000*Time!AE$9*Time!AE$10*Operations!AE105*Operations!$F$50</f>
        <v>17.8855040088725</v>
      </c>
      <c r="AF126" s="20" t="n">
        <f aca="false">Inputs!$F$103*Inputs!$F$99/1000*Time!AF$9*Time!AF$10*Operations!AF105*Operations!$F$50</f>
        <v>18.3326416090943</v>
      </c>
      <c r="AG126" s="20" t="n">
        <f aca="false">Inputs!$F$103*Inputs!$F$99/1000*Time!AG$9*Time!AG$10*Operations!AG105*Operations!$F$50</f>
        <v>18.7909576493216</v>
      </c>
      <c r="AH126" s="20" t="n">
        <f aca="false">Inputs!$F$103*Inputs!$F$99/1000*Time!AH$9*Time!AH$10*Operations!AH105*Operations!$F$50</f>
        <v>19.2607315905547</v>
      </c>
      <c r="AI126" s="20" t="n">
        <f aca="false">Inputs!$F$103*Inputs!$F$99/1000*Time!AI$9*Time!AI$10*Operations!AI105*Operations!$F$50</f>
        <v>9.78999240640454</v>
      </c>
      <c r="AJ126" s="20" t="n">
        <f aca="false">Inputs!$F$103*Inputs!$F$99/1000*Time!AJ$9*Time!AJ$10*Operations!AJ105*Operations!$F$50</f>
        <v>0</v>
      </c>
      <c r="AK126" s="20" t="n">
        <f aca="false">Inputs!$F$103*Inputs!$F$99/1000*Time!AK$9*Time!AK$10*Operations!AK105*Operations!$F$50</f>
        <v>0</v>
      </c>
      <c r="AL126" s="20" t="n">
        <f aca="false">Inputs!$F$103*Inputs!$F$99/1000*Time!AL$9*Time!AL$10*Operations!AL105*Operations!$F$50</f>
        <v>0</v>
      </c>
      <c r="AM126" s="20" t="n">
        <f aca="false">Inputs!$F$103*Inputs!$F$99/1000*Time!AM$9*Time!AM$10*Operations!AM105*Operations!$F$50</f>
        <v>0</v>
      </c>
      <c r="AN126" s="20" t="n">
        <f aca="false">Inputs!$F$103*Inputs!$F$99/1000*Time!AN$9*Time!AN$10*Operations!AN105*Operations!$F$50</f>
        <v>0</v>
      </c>
      <c r="AO126" s="20" t="n">
        <f aca="false">Inputs!$F$103*Inputs!$F$99/1000*Time!AO$9*Time!AO$10*Operations!AO105*Operations!$F$50</f>
        <v>0</v>
      </c>
      <c r="AP126" s="20" t="n">
        <f aca="false">Inputs!$F$103*Inputs!$F$99/1000*Time!AP$9*Time!AP$10*Operations!AP105*Operations!$F$50</f>
        <v>0</v>
      </c>
      <c r="AQ126" s="20" t="n">
        <f aca="false">Inputs!$F$103*Inputs!$F$99/1000*Time!AQ$9*Time!AQ$10*Operations!AQ105*Operations!$F$50</f>
        <v>0</v>
      </c>
      <c r="AR126" s="20" t="n">
        <f aca="false">Inputs!$F$103*Inputs!$F$99/1000*Time!AR$9*Time!AR$10*Operations!AR105*Operations!$F$50</f>
        <v>0</v>
      </c>
      <c r="AS126" s="20" t="n">
        <f aca="false">Inputs!$F$103*Inputs!$F$99/1000*Time!AS$9*Time!AS$10*Operations!AS105*Operations!$F$50</f>
        <v>0</v>
      </c>
      <c r="AT126" s="20" t="n">
        <f aca="false">Inputs!$F$103*Inputs!$F$99/1000*Time!AT$9*Time!AT$10*Operations!AT105*Operations!$F$50</f>
        <v>0</v>
      </c>
      <c r="AU126" s="20" t="n">
        <f aca="false">Inputs!$F$103*Inputs!$F$99/1000*Time!AU$9*Time!AU$10*Operations!AU105*Operations!$F$50</f>
        <v>0</v>
      </c>
    </row>
    <row r="127" customFormat="false" ht="15" hidden="false" customHeight="false" outlineLevel="0" collapsed="false">
      <c r="D127" s="0" t="s">
        <v>523</v>
      </c>
      <c r="E127" s="0" t="s">
        <v>47</v>
      </c>
      <c r="J127" s="20" t="n">
        <f aca="false">Inputs!$F$239/100*Operations!J124</f>
        <v>0.97178918</v>
      </c>
      <c r="K127" s="20" t="n">
        <f aca="false">Inputs!$F$239/100*Operations!K124</f>
        <v>0.96984560164</v>
      </c>
      <c r="L127" s="20" t="n">
        <f aca="false">Inputs!$F$239/100*Operations!L124</f>
        <v>0.96790591043672</v>
      </c>
      <c r="M127" s="20" t="n">
        <f aca="false">Inputs!$F$239/100*Operations!M124</f>
        <v>0.965970098615847</v>
      </c>
      <c r="N127" s="20" t="n">
        <f aca="false">Inputs!$F$239/100*Operations!N124</f>
        <v>0.964038158418615</v>
      </c>
      <c r="O127" s="20" t="n">
        <f aca="false">Inputs!$F$239/100*Operations!O124</f>
        <v>0.962110082101778</v>
      </c>
      <c r="P127" s="20" t="n">
        <f aca="false">Inputs!$F$239/100*Operations!P124</f>
        <v>0.960185861937574</v>
      </c>
      <c r="Q127" s="20" t="n">
        <f aca="false">Inputs!$F$239/100*Operations!Q124</f>
        <v>1.158299111718</v>
      </c>
      <c r="R127" s="20" t="n">
        <f aca="false">Inputs!$F$239/100*Operations!R124</f>
        <v>1.38523634446787</v>
      </c>
      <c r="S127" s="20" t="n">
        <f aca="false">Inputs!$F$239/100*Operations!S124</f>
        <v>1.40544692546906</v>
      </c>
      <c r="T127" s="20" t="n">
        <f aca="false">Inputs!$F$239/100*Operations!T124</f>
        <v>1.42591263035808</v>
      </c>
      <c r="U127" s="20" t="n">
        <f aca="false">Inputs!$F$239/100*Operations!U124</f>
        <v>1.44662627440019</v>
      </c>
      <c r="V127" s="20" t="n">
        <f aca="false">Inputs!$F$239/100*Operations!V124</f>
        <v>1.46758072354667</v>
      </c>
      <c r="W127" s="20" t="n">
        <f aca="false">Inputs!$F$239/100*Operations!W124</f>
        <v>1.48876889419323</v>
      </c>
      <c r="X127" s="20" t="n">
        <f aca="false">Inputs!$F$239/100*Operations!X124</f>
        <v>1.51018375293946</v>
      </c>
      <c r="Y127" s="20" t="n">
        <f aca="false">Inputs!$F$239/100*Operations!Y124</f>
        <v>1.53207576480568</v>
      </c>
      <c r="Z127" s="20" t="n">
        <f aca="false">Inputs!$F$239/100*Operations!Z124</f>
        <v>1.5541777356327</v>
      </c>
      <c r="AA127" s="20" t="n">
        <f aca="false">Inputs!$F$239/100*Operations!AA124</f>
        <v>1.57648279498002</v>
      </c>
      <c r="AB127" s="20" t="n">
        <f aca="false">Inputs!$F$239/100*Operations!AB124</f>
        <v>1.5992373658454</v>
      </c>
      <c r="AC127" s="20" t="n">
        <f aca="false">Inputs!$F$239/100*Operations!AC124</f>
        <v>1.62217864721048</v>
      </c>
      <c r="AD127" s="20" t="n">
        <f aca="false">Inputs!$F$239/100*Operations!AD124</f>
        <v>1.64555039348711</v>
      </c>
      <c r="AE127" s="20" t="n">
        <f aca="false">Inputs!$F$239/100*Operations!AE124</f>
        <v>1.6690927126448</v>
      </c>
      <c r="AF127" s="20" t="n">
        <f aca="false">Inputs!$F$239/100*Operations!AF124</f>
        <v>1.69304670757035</v>
      </c>
      <c r="AG127" s="20" t="n">
        <f aca="false">Inputs!$F$239/100*Operations!AG124</f>
        <v>1.71740170425251</v>
      </c>
      <c r="AH127" s="20" t="n">
        <f aca="false">Inputs!$F$239/100*Operations!AH124</f>
        <v>1.74605942895029</v>
      </c>
      <c r="AI127" s="20" t="n">
        <f aca="false">Inputs!$F$239/100*Operations!AI124</f>
        <v>0.881378133710695</v>
      </c>
      <c r="AJ127" s="20" t="n">
        <f aca="false">Inputs!$F$239/100*Operations!AJ124</f>
        <v>0</v>
      </c>
      <c r="AK127" s="20" t="n">
        <f aca="false">Inputs!$F$239/100*Operations!AK124</f>
        <v>0</v>
      </c>
      <c r="AL127" s="20" t="n">
        <f aca="false">Inputs!$F$239/100*Operations!AL124</f>
        <v>0</v>
      </c>
      <c r="AM127" s="20" t="n">
        <f aca="false">Inputs!$F$239/100*Operations!AM124</f>
        <v>0</v>
      </c>
      <c r="AN127" s="20" t="n">
        <f aca="false">Inputs!$F$239/100*Operations!AN124</f>
        <v>0</v>
      </c>
      <c r="AO127" s="20" t="n">
        <f aca="false">Inputs!$F$239/100*Operations!AO124</f>
        <v>0</v>
      </c>
      <c r="AP127" s="20" t="n">
        <f aca="false">Inputs!$F$239/100*Operations!AP124</f>
        <v>0</v>
      </c>
      <c r="AQ127" s="20" t="n">
        <f aca="false">Inputs!$F$239/100*Operations!AQ124</f>
        <v>0</v>
      </c>
      <c r="AR127" s="20" t="n">
        <f aca="false">Inputs!$F$239/100*Operations!AR124</f>
        <v>0</v>
      </c>
      <c r="AS127" s="20" t="n">
        <f aca="false">Inputs!$F$239/100*Operations!AS124</f>
        <v>0</v>
      </c>
      <c r="AT127" s="20" t="n">
        <f aca="false">Inputs!$F$239/100*Operations!AT124</f>
        <v>0</v>
      </c>
      <c r="AU127" s="20" t="n">
        <f aca="false">Inputs!$F$239/100*Operations!AU124</f>
        <v>0</v>
      </c>
    </row>
    <row r="128" customFormat="false" ht="15" hidden="false" customHeight="false" outlineLevel="0" collapsed="false">
      <c r="D128" s="0" t="s">
        <v>524</v>
      </c>
      <c r="E128" s="0" t="s">
        <v>47</v>
      </c>
      <c r="J128" s="20" t="n">
        <f aca="false">Inputs!$F$243/100*Inputs!$F$104*Inputs!$F$99/1000*Time!J$9*Operations!J105</f>
        <v>0.0924048</v>
      </c>
      <c r="K128" s="20" t="n">
        <f aca="false">Inputs!$F$243/100*Inputs!$F$104*Inputs!$F$99/1000*Time!K$9*Operations!K105</f>
        <v>0.09471492</v>
      </c>
      <c r="L128" s="20" t="n">
        <f aca="false">Inputs!$F$243/100*Inputs!$F$104*Inputs!$F$99/1000*Time!L$9*Operations!L105</f>
        <v>0.097082793</v>
      </c>
      <c r="M128" s="20" t="n">
        <f aca="false">Inputs!$F$243/100*Inputs!$F$104*Inputs!$F$99/1000*Time!M$9*Operations!M105</f>
        <v>0.099509862825</v>
      </c>
      <c r="N128" s="20" t="n">
        <f aca="false">Inputs!$F$243/100*Inputs!$F$104*Inputs!$F$99/1000*Time!N$9*Operations!N105</f>
        <v>0.101997609395625</v>
      </c>
      <c r="O128" s="20" t="n">
        <f aca="false">Inputs!$F$243/100*Inputs!$F$104*Inputs!$F$99/1000*Time!O$9*Operations!O105</f>
        <v>0.104547549630516</v>
      </c>
      <c r="P128" s="20" t="n">
        <f aca="false">Inputs!$F$243/100*Inputs!$F$104*Inputs!$F$99/1000*Time!P$9*Operations!P105</f>
        <v>0.107161238371278</v>
      </c>
      <c r="Q128" s="20" t="n">
        <f aca="false">Inputs!$F$243/100*Inputs!$F$104*Inputs!$F$99/1000*Time!Q$9*Operations!Q105</f>
        <v>0.10984026933056</v>
      </c>
      <c r="R128" s="20" t="n">
        <f aca="false">Inputs!$F$243/100*Inputs!$F$104*Inputs!$F$99/1000*Time!R$9*Operations!R105</f>
        <v>0.112586276063824</v>
      </c>
      <c r="S128" s="20" t="n">
        <f aca="false">Inputs!$F$243/100*Inputs!$F$104*Inputs!$F$99/1000*Time!S$9*Operations!S105</f>
        <v>0.11540093296542</v>
      </c>
      <c r="T128" s="20" t="n">
        <f aca="false">Inputs!$F$243/100*Inputs!$F$104*Inputs!$F$99/1000*Time!T$9*Operations!T105</f>
        <v>0.118285956289555</v>
      </c>
      <c r="U128" s="20" t="n">
        <f aca="false">Inputs!$F$243/100*Inputs!$F$104*Inputs!$F$99/1000*Time!U$9*Operations!U105</f>
        <v>0.121243105196794</v>
      </c>
      <c r="V128" s="20" t="n">
        <f aca="false">Inputs!$F$243/100*Inputs!$F$104*Inputs!$F$99/1000*Time!V$9*Operations!V105</f>
        <v>0.124274182826714</v>
      </c>
      <c r="W128" s="20" t="n">
        <f aca="false">Inputs!$F$243/100*Inputs!$F$104*Inputs!$F$99/1000*Time!W$9*Operations!W105</f>
        <v>0.127381037397382</v>
      </c>
      <c r="X128" s="20" t="n">
        <f aca="false">Inputs!$F$243/100*Inputs!$F$104*Inputs!$F$99/1000*Time!X$9*Operations!X105</f>
        <v>0.130565563332317</v>
      </c>
      <c r="Y128" s="20" t="n">
        <f aca="false">Inputs!$F$243/100*Inputs!$F$104*Inputs!$F$99/1000*Time!Y$9*Operations!Y105</f>
        <v>0.133829702415625</v>
      </c>
      <c r="Z128" s="20" t="n">
        <f aca="false">Inputs!$F$243/100*Inputs!$F$104*Inputs!$F$99/1000*Time!Z$9*Operations!Z105</f>
        <v>0.137175444976015</v>
      </c>
      <c r="AA128" s="20" t="n">
        <f aca="false">Inputs!$F$243/100*Inputs!$F$104*Inputs!$F$99/1000*Time!AA$9*Operations!AA105</f>
        <v>0.140604831100415</v>
      </c>
      <c r="AB128" s="20" t="n">
        <f aca="false">Inputs!$F$243/100*Inputs!$F$104*Inputs!$F$99/1000*Time!AB$9*Operations!AB105</f>
        <v>0.144119951877926</v>
      </c>
      <c r="AC128" s="20" t="n">
        <f aca="false">Inputs!$F$243/100*Inputs!$F$104*Inputs!$F$99/1000*Time!AC$9*Operations!AC105</f>
        <v>0.147722950674874</v>
      </c>
      <c r="AD128" s="20" t="n">
        <f aca="false">Inputs!$F$243/100*Inputs!$F$104*Inputs!$F$99/1000*Time!AD$9*Operations!AD105</f>
        <v>0.151416024441746</v>
      </c>
      <c r="AE128" s="20" t="n">
        <f aca="false">Inputs!$F$243/100*Inputs!$F$104*Inputs!$F$99/1000*Time!AE$9*Operations!AE105</f>
        <v>0.155201425052789</v>
      </c>
      <c r="AF128" s="20" t="n">
        <f aca="false">Inputs!$F$243/100*Inputs!$F$104*Inputs!$F$99/1000*Time!AF$9*Operations!AF105</f>
        <v>0.159081460679109</v>
      </c>
      <c r="AG128" s="20" t="n">
        <f aca="false">Inputs!$F$243/100*Inputs!$F$104*Inputs!$F$99/1000*Time!AG$9*Operations!AG105</f>
        <v>0.163058497196087</v>
      </c>
      <c r="AH128" s="20" t="n">
        <f aca="false">Inputs!$F$243/100*Inputs!$F$104*Inputs!$F$99/1000*Time!AH$9*Operations!AH105</f>
        <v>0.167134959625989</v>
      </c>
      <c r="AI128" s="20" t="n">
        <f aca="false">Inputs!$F$243/100*Inputs!$F$104*Inputs!$F$99/1000*Time!AI$9*Operations!AI105</f>
        <v>0.0849526394098948</v>
      </c>
      <c r="AJ128" s="20" t="n">
        <f aca="false">Inputs!$F$243/100*Inputs!$F$104*Inputs!$F$99/1000*Time!AJ$9*Operations!AJ105</f>
        <v>0</v>
      </c>
      <c r="AK128" s="20" t="n">
        <f aca="false">Inputs!$F$243/100*Inputs!$F$104*Inputs!$F$99/1000*Time!AK$9*Operations!AK105</f>
        <v>0</v>
      </c>
      <c r="AL128" s="20" t="n">
        <f aca="false">Inputs!$F$243/100*Inputs!$F$104*Inputs!$F$99/1000*Time!AL$9*Operations!AL105</f>
        <v>0</v>
      </c>
      <c r="AM128" s="20" t="n">
        <f aca="false">Inputs!$F$243/100*Inputs!$F$104*Inputs!$F$99/1000*Time!AM$9*Operations!AM105</f>
        <v>0</v>
      </c>
      <c r="AN128" s="20" t="n">
        <f aca="false">Inputs!$F$243/100*Inputs!$F$104*Inputs!$F$99/1000*Time!AN$9*Operations!AN105</f>
        <v>0</v>
      </c>
      <c r="AO128" s="20" t="n">
        <f aca="false">Inputs!$F$243/100*Inputs!$F$104*Inputs!$F$99/1000*Time!AO$9*Operations!AO105</f>
        <v>0</v>
      </c>
      <c r="AP128" s="20" t="n">
        <f aca="false">Inputs!$F$243/100*Inputs!$F$104*Inputs!$F$99/1000*Time!AP$9*Operations!AP105</f>
        <v>0</v>
      </c>
      <c r="AQ128" s="20" t="n">
        <f aca="false">Inputs!$F$243/100*Inputs!$F$104*Inputs!$F$99/1000*Time!AQ$9*Operations!AQ105</f>
        <v>0</v>
      </c>
      <c r="AR128" s="20" t="n">
        <f aca="false">Inputs!$F$243/100*Inputs!$F$104*Inputs!$F$99/1000*Time!AR$9*Operations!AR105</f>
        <v>0</v>
      </c>
      <c r="AS128" s="20" t="n">
        <f aca="false">Inputs!$F$243/100*Inputs!$F$104*Inputs!$F$99/1000*Time!AS$9*Operations!AS105</f>
        <v>0</v>
      </c>
      <c r="AT128" s="20" t="n">
        <f aca="false">Inputs!$F$243/100*Inputs!$F$104*Inputs!$F$99/1000*Time!AT$9*Operations!AT105</f>
        <v>0</v>
      </c>
      <c r="AU128" s="20" t="n">
        <f aca="false">Inputs!$F$243/100*Inputs!$F$104*Inputs!$F$99/1000*Time!AU$9*Operations!AU105</f>
        <v>0</v>
      </c>
    </row>
    <row r="129" customFormat="false" ht="15" hidden="false" customHeight="false" outlineLevel="0" collapsed="false">
      <c r="D129" s="0" t="s">
        <v>525</v>
      </c>
      <c r="E129" s="0" t="s">
        <v>47</v>
      </c>
      <c r="J129" s="20" t="n">
        <f aca="false">Inputs!$F$244/100*Inputs!$F$245/100*Operations!J124</f>
        <v>0.127547329875</v>
      </c>
      <c r="K129" s="20" t="n">
        <f aca="false">Inputs!$F$244/100*Inputs!$F$245/100*Operations!K124</f>
        <v>0.12729223521525</v>
      </c>
      <c r="L129" s="20" t="n">
        <f aca="false">Inputs!$F$244/100*Inputs!$F$245/100*Operations!L124</f>
        <v>0.12703765074482</v>
      </c>
      <c r="M129" s="20" t="n">
        <f aca="false">Inputs!$F$244/100*Inputs!$F$245/100*Operations!M124</f>
        <v>0.12678357544333</v>
      </c>
      <c r="N129" s="20" t="n">
        <f aca="false">Inputs!$F$244/100*Inputs!$F$245/100*Operations!N124</f>
        <v>0.126530008292443</v>
      </c>
      <c r="O129" s="20" t="n">
        <f aca="false">Inputs!$F$244/100*Inputs!$F$245/100*Operations!O124</f>
        <v>0.126276948275858</v>
      </c>
      <c r="P129" s="20" t="n">
        <f aca="false">Inputs!$F$244/100*Inputs!$F$245/100*Operations!P124</f>
        <v>0.126024394379307</v>
      </c>
      <c r="Q129" s="20" t="n">
        <f aca="false">Inputs!$F$244/100*Inputs!$F$245/100*Operations!Q124</f>
        <v>0.152026758412988</v>
      </c>
      <c r="R129" s="20" t="n">
        <f aca="false">Inputs!$F$244/100*Inputs!$F$245/100*Operations!R124</f>
        <v>0.181812270211408</v>
      </c>
      <c r="S129" s="20" t="n">
        <f aca="false">Inputs!$F$244/100*Inputs!$F$245/100*Operations!S124</f>
        <v>0.184464908967814</v>
      </c>
      <c r="T129" s="20" t="n">
        <f aca="false">Inputs!$F$244/100*Inputs!$F$245/100*Operations!T124</f>
        <v>0.187151032734498</v>
      </c>
      <c r="U129" s="20" t="n">
        <f aca="false">Inputs!$F$244/100*Inputs!$F$245/100*Operations!U124</f>
        <v>0.189869698515025</v>
      </c>
      <c r="V129" s="20" t="n">
        <f aca="false">Inputs!$F$244/100*Inputs!$F$245/100*Operations!V124</f>
        <v>0.1926199699655</v>
      </c>
      <c r="W129" s="20" t="n">
        <f aca="false">Inputs!$F$244/100*Inputs!$F$245/100*Operations!W124</f>
        <v>0.195400917362861</v>
      </c>
      <c r="X129" s="20" t="n">
        <f aca="false">Inputs!$F$244/100*Inputs!$F$245/100*Operations!X124</f>
        <v>0.198211617573304</v>
      </c>
      <c r="Y129" s="20" t="n">
        <f aca="false">Inputs!$F$244/100*Inputs!$F$245/100*Operations!Y124</f>
        <v>0.201084944130746</v>
      </c>
      <c r="Z129" s="20" t="n">
        <f aca="false">Inputs!$F$244/100*Inputs!$F$245/100*Operations!Z124</f>
        <v>0.203985827801792</v>
      </c>
      <c r="AA129" s="20" t="n">
        <f aca="false">Inputs!$F$244/100*Inputs!$F$245/100*Operations!AA124</f>
        <v>0.206913366841127</v>
      </c>
      <c r="AB129" s="20" t="n">
        <f aca="false">Inputs!$F$244/100*Inputs!$F$245/100*Operations!AB124</f>
        <v>0.209899904267209</v>
      </c>
      <c r="AC129" s="20" t="n">
        <f aca="false">Inputs!$F$244/100*Inputs!$F$245/100*Operations!AC124</f>
        <v>0.212910947446376</v>
      </c>
      <c r="AD129" s="20" t="n">
        <f aca="false">Inputs!$F$244/100*Inputs!$F$245/100*Operations!AD124</f>
        <v>0.215978489145183</v>
      </c>
      <c r="AE129" s="20" t="n">
        <f aca="false">Inputs!$F$244/100*Inputs!$F$245/100*Operations!AE124</f>
        <v>0.219068418534631</v>
      </c>
      <c r="AF129" s="20" t="n">
        <f aca="false">Inputs!$F$244/100*Inputs!$F$245/100*Operations!AF124</f>
        <v>0.222212380368609</v>
      </c>
      <c r="AG129" s="20" t="n">
        <f aca="false">Inputs!$F$244/100*Inputs!$F$245/100*Operations!AG124</f>
        <v>0.225408973683141</v>
      </c>
      <c r="AH129" s="20" t="n">
        <f aca="false">Inputs!$F$244/100*Inputs!$F$245/100*Operations!AH124</f>
        <v>0.229170300049725</v>
      </c>
      <c r="AI129" s="20" t="n">
        <f aca="false">Inputs!$F$244/100*Inputs!$F$245/100*Operations!AI124</f>
        <v>0.115680880049529</v>
      </c>
      <c r="AJ129" s="20" t="n">
        <f aca="false">Inputs!$F$244/100*Inputs!$F$245/100*Operations!AJ124</f>
        <v>0</v>
      </c>
      <c r="AK129" s="20" t="n">
        <f aca="false">Inputs!$F$244/100*Inputs!$F$245/100*Operations!AK124</f>
        <v>0</v>
      </c>
      <c r="AL129" s="20" t="n">
        <f aca="false">Inputs!$F$244/100*Inputs!$F$245/100*Operations!AL124</f>
        <v>0</v>
      </c>
      <c r="AM129" s="20" t="n">
        <f aca="false">Inputs!$F$244/100*Inputs!$F$245/100*Operations!AM124</f>
        <v>0</v>
      </c>
      <c r="AN129" s="20" t="n">
        <f aca="false">Inputs!$F$244/100*Inputs!$F$245/100*Operations!AN124</f>
        <v>0</v>
      </c>
      <c r="AO129" s="20" t="n">
        <f aca="false">Inputs!$F$244/100*Inputs!$F$245/100*Operations!AO124</f>
        <v>0</v>
      </c>
      <c r="AP129" s="20" t="n">
        <f aca="false">Inputs!$F$244/100*Inputs!$F$245/100*Operations!AP124</f>
        <v>0</v>
      </c>
      <c r="AQ129" s="20" t="n">
        <f aca="false">Inputs!$F$244/100*Inputs!$F$245/100*Operations!AQ124</f>
        <v>0</v>
      </c>
      <c r="AR129" s="20" t="n">
        <f aca="false">Inputs!$F$244/100*Inputs!$F$245/100*Operations!AR124</f>
        <v>0</v>
      </c>
      <c r="AS129" s="20" t="n">
        <f aca="false">Inputs!$F$244/100*Inputs!$F$245/100*Operations!AS124</f>
        <v>0</v>
      </c>
      <c r="AT129" s="20" t="n">
        <f aca="false">Inputs!$F$244/100*Inputs!$F$245/100*Operations!AT124</f>
        <v>0</v>
      </c>
      <c r="AU129" s="20" t="n">
        <f aca="false">Inputs!$F$244/100*Inputs!$F$245/100*Operations!AU124</f>
        <v>0</v>
      </c>
    </row>
    <row r="130" customFormat="false" ht="15" hidden="false" customHeight="false" outlineLevel="0" collapsed="false">
      <c r="D130" s="0" t="s">
        <v>526</v>
      </c>
      <c r="E130" s="0" t="s">
        <v>47</v>
      </c>
      <c r="G130" s="20" t="n">
        <f aca="false">SUM(J130:AU130)</f>
        <v>465.816832992485</v>
      </c>
      <c r="J130" s="20" t="n">
        <f aca="false">Operations!J124-Operations!J126-Operations!J127-Operations!J128-Operations!J129</f>
        <v>12.794388190125</v>
      </c>
      <c r="K130" s="20" t="n">
        <f aca="false">Operations!K124-Operations!K126-Operations!K127-Operations!K128-Operations!K129</f>
        <v>12.1392838891447</v>
      </c>
      <c r="L130" s="20" t="n">
        <f aca="false">Operations!L124-Operations!L126-Operations!L127-Operations!L128-Operations!L129</f>
        <v>11.8177429268615</v>
      </c>
      <c r="M130" s="20" t="n">
        <f aca="false">Operations!M124-Operations!M126-Operations!M127-Operations!M128-Operations!M129</f>
        <v>11.4894134866401</v>
      </c>
      <c r="N130" s="20" t="n">
        <f aca="false">Operations!N124-Operations!N126-Operations!N127-Operations!N128-Operations!N129</f>
        <v>11.15412335644</v>
      </c>
      <c r="O130" s="20" t="n">
        <f aca="false">Operations!O124-Operations!O126-Operations!O127-Operations!O128-Operations!O129</f>
        <v>10.8116960239197</v>
      </c>
      <c r="P130" s="20" t="n">
        <f aca="false">Operations!P124-Operations!P126-Operations!P127-Operations!P128-Operations!P129</f>
        <v>10.4619505689191</v>
      </c>
      <c r="Q130" s="20" t="n">
        <f aca="false">Operations!Q124-Operations!Q126-Operations!Q127-Operations!Q128-Operations!Q129</f>
        <v>14.8792540565356</v>
      </c>
      <c r="R130" s="20" t="n">
        <f aca="false">Operations!R124-Operations!R126-Operations!R127-Operations!R128-Operations!R129</f>
        <v>19.976764684077</v>
      </c>
      <c r="S130" s="20" t="n">
        <f aca="false">Operations!S124-Operations!S126-Operations!S127-Operations!S128-Operations!S129</f>
        <v>20.1319886065257</v>
      </c>
      <c r="T130" s="20" t="n">
        <f aca="false">Operations!T124-Operations!T126-Operations!T127-Operations!T128-Operations!T129</f>
        <v>20.2851225827014</v>
      </c>
      <c r="U130" s="20" t="n">
        <f aca="false">Operations!U124-Operations!U126-Operations!U127-Operations!U128-Operations!U129</f>
        <v>20.4357906361026</v>
      </c>
      <c r="V130" s="20" t="n">
        <f aca="false">Operations!V124-Operations!V126-Operations!V127-Operations!V128-Operations!V129</f>
        <v>20.5836128878928</v>
      </c>
      <c r="W130" s="20" t="n">
        <f aca="false">Operations!W124-Operations!W126-Operations!W127-Operations!W128-Operations!W129</f>
        <v>20.7282054233313</v>
      </c>
      <c r="X130" s="20" t="n">
        <f aca="false">Operations!X124-Operations!X126-Operations!X127-Operations!X128-Operations!X129</f>
        <v>20.8691801550319</v>
      </c>
      <c r="Y130" s="20" t="n">
        <f aca="false">Operations!Y124-Operations!Y126-Operations!Y127-Operations!Y128-Operations!Y129</f>
        <v>21.0122896558153</v>
      </c>
      <c r="Z130" s="20" t="n">
        <f aca="false">Operations!Z124-Operations!Z126-Operations!Z127-Operations!Z128-Operations!Z129</f>
        <v>21.1509249781079</v>
      </c>
      <c r="AA130" s="20" t="n">
        <f aca="false">Operations!AA124-Operations!AA126-Operations!AA127-Operations!AA128-Operations!AA129</f>
        <v>21.2846849921723</v>
      </c>
      <c r="AB130" s="20" t="n">
        <f aca="false">Operations!AB124-Operations!AB126-Operations!AB127-Operations!AB128-Operations!AB129</f>
        <v>21.4192084375027</v>
      </c>
      <c r="AC130" s="20" t="n">
        <f aca="false">Operations!AC124-Operations!AC126-Operations!AC127-Operations!AC128-Operations!AC129</f>
        <v>21.5479734361225</v>
      </c>
      <c r="AD130" s="20" t="n">
        <f aca="false">Operations!AD124-Operations!AD126-Operations!AD127-Operations!AD128-Operations!AD129</f>
        <v>21.6765427263257</v>
      </c>
      <c r="AE130" s="20" t="n">
        <f aca="false">Operations!AE124-Operations!AE126-Operations!AE127-Operations!AE128-Operations!AE129</f>
        <v>21.7984512510154</v>
      </c>
      <c r="AF130" s="20" t="n">
        <f aca="false">Operations!AF124-Operations!AF126-Operations!AF127-Operations!AF128-Operations!AF129</f>
        <v>21.9191855315465</v>
      </c>
      <c r="AG130" s="20" t="n">
        <f aca="false">Operations!AG124-Operations!AG126-Operations!AG127-Operations!AG128-Operations!AG129</f>
        <v>22.0382157818593</v>
      </c>
      <c r="AH130" s="20" t="n">
        <f aca="false">Operations!AH124-Operations!AH126-Operations!AH127-Operations!AH128-Operations!AH129</f>
        <v>22.2483894445765</v>
      </c>
      <c r="AI130" s="20" t="n">
        <f aca="false">Operations!AI124-Operations!AI126-Operations!AI127-Operations!AI128-Operations!AI129</f>
        <v>11.1624492831927</v>
      </c>
      <c r="AJ130" s="20" t="n">
        <f aca="false">Operations!AJ124-Operations!AJ126-Operations!AJ127-Operations!AJ128-Operations!AJ129</f>
        <v>0</v>
      </c>
      <c r="AK130" s="20" t="n">
        <f aca="false">Operations!AK124-Operations!AK126-Operations!AK127-Operations!AK128-Operations!AK129</f>
        <v>0</v>
      </c>
      <c r="AL130" s="20" t="n">
        <f aca="false">Operations!AL124-Operations!AL126-Operations!AL127-Operations!AL128-Operations!AL129</f>
        <v>0</v>
      </c>
      <c r="AM130" s="20" t="n">
        <f aca="false">Operations!AM124-Operations!AM126-Operations!AM127-Operations!AM128-Operations!AM129</f>
        <v>0</v>
      </c>
      <c r="AN130" s="20" t="n">
        <f aca="false">Operations!AN124-Operations!AN126-Operations!AN127-Operations!AN128-Operations!AN129</f>
        <v>0</v>
      </c>
      <c r="AO130" s="20" t="n">
        <f aca="false">Operations!AO124-Operations!AO126-Operations!AO127-Operations!AO128-Operations!AO129</f>
        <v>0</v>
      </c>
      <c r="AP130" s="20" t="n">
        <f aca="false">Operations!AP124-Operations!AP126-Operations!AP127-Operations!AP128-Operations!AP129</f>
        <v>0</v>
      </c>
      <c r="AQ130" s="20" t="n">
        <f aca="false">Operations!AQ124-Operations!AQ126-Operations!AQ127-Operations!AQ128-Operations!AQ129</f>
        <v>0</v>
      </c>
      <c r="AR130" s="20" t="n">
        <f aca="false">Operations!AR124-Operations!AR126-Operations!AR127-Operations!AR128-Operations!AR129</f>
        <v>0</v>
      </c>
      <c r="AS130" s="20" t="n">
        <f aca="false">Operations!AS124-Operations!AS126-Operations!AS127-Operations!AS128-Operations!AS129</f>
        <v>0</v>
      </c>
      <c r="AT130" s="20" t="n">
        <f aca="false">Operations!AT124-Operations!AT126-Operations!AT127-Operations!AT128-Operations!AT129</f>
        <v>0</v>
      </c>
      <c r="AU130" s="20" t="n">
        <f aca="false">Operations!AU124-Operations!AU126-Operations!AU127-Operations!AU128-Operations!AU129</f>
        <v>0</v>
      </c>
    </row>
    <row r="131" customFormat="false" ht="15" hidden="false" customHeight="false" outlineLevel="0" collapsed="false">
      <c r="D131" s="0" t="s">
        <v>527</v>
      </c>
      <c r="E131" s="0" t="s">
        <v>47</v>
      </c>
      <c r="J131" s="20" t="n">
        <f aca="false">0</f>
        <v>0</v>
      </c>
      <c r="K131" s="20" t="n">
        <f aca="false">0</f>
        <v>0</v>
      </c>
      <c r="L131" s="20" t="n">
        <f aca="false">0</f>
        <v>0</v>
      </c>
      <c r="M131" s="20" t="n">
        <f aca="false">0</f>
        <v>0</v>
      </c>
      <c r="N131" s="20" t="n">
        <f aca="false">0</f>
        <v>0</v>
      </c>
      <c r="O131" s="20" t="n">
        <f aca="false">0</f>
        <v>0</v>
      </c>
      <c r="P131" s="20" t="n">
        <f aca="false">0</f>
        <v>0</v>
      </c>
      <c r="Q131" s="20" t="n">
        <f aca="false">0</f>
        <v>0</v>
      </c>
      <c r="R131" s="20" t="n">
        <f aca="false">0</f>
        <v>0</v>
      </c>
      <c r="S131" s="20" t="n">
        <f aca="false">0</f>
        <v>0</v>
      </c>
      <c r="T131" s="20" t="n">
        <f aca="false">0</f>
        <v>0</v>
      </c>
      <c r="U131" s="20" t="n">
        <f aca="false">0</f>
        <v>0</v>
      </c>
      <c r="V131" s="20" t="n">
        <f aca="false">0</f>
        <v>0</v>
      </c>
      <c r="W131" s="20" t="n">
        <f aca="false">0</f>
        <v>0</v>
      </c>
      <c r="X131" s="20" t="n">
        <f aca="false">0</f>
        <v>0</v>
      </c>
      <c r="Y131" s="20" t="n">
        <f aca="false">0</f>
        <v>0</v>
      </c>
      <c r="Z131" s="20" t="n">
        <f aca="false">0</f>
        <v>0</v>
      </c>
      <c r="AA131" s="20" t="n">
        <f aca="false">0</f>
        <v>0</v>
      </c>
      <c r="AB131" s="20" t="n">
        <f aca="false">0</f>
        <v>0</v>
      </c>
      <c r="AC131" s="20" t="n">
        <f aca="false">0</f>
        <v>0</v>
      </c>
      <c r="AD131" s="20" t="n">
        <f aca="false">0</f>
        <v>0</v>
      </c>
      <c r="AE131" s="20" t="n">
        <f aca="false">0</f>
        <v>0</v>
      </c>
      <c r="AF131" s="20" t="n">
        <f aca="false">0</f>
        <v>0</v>
      </c>
      <c r="AG131" s="20" t="n">
        <f aca="false">0</f>
        <v>0</v>
      </c>
      <c r="AH131" s="20" t="n">
        <f aca="false">0</f>
        <v>0</v>
      </c>
      <c r="AI131" s="20" t="n">
        <f aca="false">0</f>
        <v>0</v>
      </c>
      <c r="AJ131" s="20" t="n">
        <f aca="false">0</f>
        <v>0</v>
      </c>
      <c r="AK131" s="20" t="n">
        <f aca="false">0</f>
        <v>0</v>
      </c>
      <c r="AL131" s="20" t="n">
        <f aca="false">0</f>
        <v>0</v>
      </c>
      <c r="AM131" s="20" t="n">
        <f aca="false">0</f>
        <v>0</v>
      </c>
      <c r="AN131" s="20" t="n">
        <f aca="false">0</f>
        <v>0</v>
      </c>
      <c r="AO131" s="20" t="n">
        <f aca="false">0</f>
        <v>0</v>
      </c>
      <c r="AP131" s="20" t="n">
        <f aca="false">0</f>
        <v>0</v>
      </c>
      <c r="AQ131" s="20" t="n">
        <f aca="false">0</f>
        <v>0</v>
      </c>
      <c r="AR131" s="20" t="n">
        <f aca="false">0</f>
        <v>0</v>
      </c>
      <c r="AS131" s="20" t="n">
        <f aca="false">0</f>
        <v>0</v>
      </c>
      <c r="AT131" s="20" t="n">
        <f aca="false">0</f>
        <v>0</v>
      </c>
      <c r="AU131" s="20" t="n">
        <f aca="false">0</f>
        <v>0</v>
      </c>
    </row>
    <row r="132" customFormat="false" ht="15" hidden="false" customHeight="false" outlineLevel="0" collapsed="false">
      <c r="D132" s="0" t="s">
        <v>528</v>
      </c>
      <c r="E132" s="0" t="s">
        <v>47</v>
      </c>
      <c r="J132" s="20" t="n">
        <f aca="false">IF(Time!J$4=YEAR(Inputs!$F$101),Inputs!$F$104*Inputs!$F$99/1000*Time!J$9,0)</f>
        <v>0</v>
      </c>
      <c r="K132" s="20" t="n">
        <f aca="false">IF(Time!K$4=YEAR(Inputs!$F$101),Inputs!$F$104*Inputs!$F$99/1000*Time!K$9,0)</f>
        <v>0</v>
      </c>
      <c r="L132" s="20" t="n">
        <f aca="false">IF(Time!L$4=YEAR(Inputs!$F$101),Inputs!$F$104*Inputs!$F$99/1000*Time!L$9,0)</f>
        <v>0</v>
      </c>
      <c r="M132" s="20" t="n">
        <f aca="false">IF(Time!M$4=YEAR(Inputs!$F$101),Inputs!$F$104*Inputs!$F$99/1000*Time!M$9,0)</f>
        <v>0</v>
      </c>
      <c r="N132" s="20" t="n">
        <f aca="false">IF(Time!N$4=YEAR(Inputs!$F$101),Inputs!$F$104*Inputs!$F$99/1000*Time!N$9,0)</f>
        <v>0</v>
      </c>
      <c r="O132" s="20" t="n">
        <f aca="false">IF(Time!O$4=YEAR(Inputs!$F$101),Inputs!$F$104*Inputs!$F$99/1000*Time!O$9,0)</f>
        <v>0</v>
      </c>
      <c r="P132" s="20" t="n">
        <f aca="false">IF(Time!P$4=YEAR(Inputs!$F$101),Inputs!$F$104*Inputs!$F$99/1000*Time!P$9,0)</f>
        <v>0</v>
      </c>
      <c r="Q132" s="20" t="n">
        <f aca="false">IF(Time!Q$4=YEAR(Inputs!$F$101),Inputs!$F$104*Inputs!$F$99/1000*Time!Q$9,0)</f>
        <v>0</v>
      </c>
      <c r="R132" s="20" t="n">
        <f aca="false">IF(Time!R$4=YEAR(Inputs!$F$101),Inputs!$F$104*Inputs!$F$99/1000*Time!R$9,0)</f>
        <v>0</v>
      </c>
      <c r="S132" s="20" t="n">
        <f aca="false">IF(Time!S$4=YEAR(Inputs!$F$101),Inputs!$F$104*Inputs!$F$99/1000*Time!S$9,0)</f>
        <v>0</v>
      </c>
      <c r="T132" s="20" t="n">
        <f aca="false">IF(Time!T$4=YEAR(Inputs!$F$101),Inputs!$F$104*Inputs!$F$99/1000*Time!T$9,0)</f>
        <v>0</v>
      </c>
      <c r="U132" s="20" t="n">
        <f aca="false">IF(Time!U$4=YEAR(Inputs!$F$101),Inputs!$F$104*Inputs!$F$99/1000*Time!U$9,0)</f>
        <v>0</v>
      </c>
      <c r="V132" s="20" t="n">
        <f aca="false">IF(Time!V$4=YEAR(Inputs!$F$101),Inputs!$F$104*Inputs!$F$99/1000*Time!V$9,0)</f>
        <v>0</v>
      </c>
      <c r="W132" s="20" t="n">
        <f aca="false">IF(Time!W$4=YEAR(Inputs!$F$101),Inputs!$F$104*Inputs!$F$99/1000*Time!W$9,0)</f>
        <v>0</v>
      </c>
      <c r="X132" s="20" t="n">
        <f aca="false">IF(Time!X$4=YEAR(Inputs!$F$101),Inputs!$F$104*Inputs!$F$99/1000*Time!X$9,0)</f>
        <v>0</v>
      </c>
      <c r="Y132" s="20" t="n">
        <f aca="false">IF(Time!Y$4=YEAR(Inputs!$F$101),Inputs!$F$104*Inputs!$F$99/1000*Time!Y$9,0)</f>
        <v>0</v>
      </c>
      <c r="Z132" s="20" t="n">
        <f aca="false">IF(Time!Z$4=YEAR(Inputs!$F$101),Inputs!$F$104*Inputs!$F$99/1000*Time!Z$9,0)</f>
        <v>0</v>
      </c>
      <c r="AA132" s="20" t="n">
        <f aca="false">IF(Time!AA$4=YEAR(Inputs!$F$101),Inputs!$F$104*Inputs!$F$99/1000*Time!AA$9,0)</f>
        <v>0</v>
      </c>
      <c r="AB132" s="20" t="n">
        <f aca="false">IF(Time!AB$4=YEAR(Inputs!$F$101),Inputs!$F$104*Inputs!$F$99/1000*Time!AB$9,0)</f>
        <v>0</v>
      </c>
      <c r="AC132" s="20" t="n">
        <f aca="false">IF(Time!AC$4=YEAR(Inputs!$F$101),Inputs!$F$104*Inputs!$F$99/1000*Time!AC$9,0)</f>
        <v>0</v>
      </c>
      <c r="AD132" s="20" t="n">
        <f aca="false">IF(Time!AD$4=YEAR(Inputs!$F$101),Inputs!$F$104*Inputs!$F$99/1000*Time!AD$9,0)</f>
        <v>0</v>
      </c>
      <c r="AE132" s="20" t="n">
        <f aca="false">IF(Time!AE$4=YEAR(Inputs!$F$101),Inputs!$F$104*Inputs!$F$99/1000*Time!AE$9,0)</f>
        <v>0</v>
      </c>
      <c r="AF132" s="20" t="n">
        <f aca="false">IF(Time!AF$4=YEAR(Inputs!$F$101),Inputs!$F$104*Inputs!$F$99/1000*Time!AF$9,0)</f>
        <v>0</v>
      </c>
      <c r="AG132" s="20" t="n">
        <f aca="false">IF(Time!AG$4=YEAR(Inputs!$F$101),Inputs!$F$104*Inputs!$F$99/1000*Time!AG$9,0)</f>
        <v>0</v>
      </c>
      <c r="AH132" s="20" t="n">
        <f aca="false">IF(Time!AH$4=YEAR(Inputs!$F$101),Inputs!$F$104*Inputs!$F$99/1000*Time!AH$9,0)</f>
        <v>0</v>
      </c>
      <c r="AI132" s="20" t="n">
        <f aca="false">IF(Time!AI$4=YEAR(Inputs!$F$101),Inputs!$F$104*Inputs!$F$99/1000*Time!AI$9,0)</f>
        <v>28.5522222694398</v>
      </c>
      <c r="AJ132" s="20" t="n">
        <f aca="false">IF(Time!AJ$4=YEAR(Inputs!$F$101),Inputs!$F$104*Inputs!$F$99/1000*Time!AJ$9,0)</f>
        <v>0</v>
      </c>
      <c r="AK132" s="20" t="n">
        <f aca="false">IF(Time!AK$4=YEAR(Inputs!$F$101),Inputs!$F$104*Inputs!$F$99/1000*Time!AK$9,0)</f>
        <v>0</v>
      </c>
      <c r="AL132" s="20" t="n">
        <f aca="false">IF(Time!AL$4=YEAR(Inputs!$F$101),Inputs!$F$104*Inputs!$F$99/1000*Time!AL$9,0)</f>
        <v>0</v>
      </c>
      <c r="AM132" s="20" t="n">
        <f aca="false">IF(Time!AM$4=YEAR(Inputs!$F$101),Inputs!$F$104*Inputs!$F$99/1000*Time!AM$9,0)</f>
        <v>0</v>
      </c>
      <c r="AN132" s="20" t="n">
        <f aca="false">IF(Time!AN$4=YEAR(Inputs!$F$101),Inputs!$F$104*Inputs!$F$99/1000*Time!AN$9,0)</f>
        <v>0</v>
      </c>
      <c r="AO132" s="20" t="n">
        <f aca="false">IF(Time!AO$4=YEAR(Inputs!$F$101),Inputs!$F$104*Inputs!$F$99/1000*Time!AO$9,0)</f>
        <v>0</v>
      </c>
      <c r="AP132" s="20" t="n">
        <f aca="false">IF(Time!AP$4=YEAR(Inputs!$F$101),Inputs!$F$104*Inputs!$F$99/1000*Time!AP$9,0)</f>
        <v>0</v>
      </c>
      <c r="AQ132" s="20" t="n">
        <f aca="false">IF(Time!AQ$4=YEAR(Inputs!$F$101),Inputs!$F$104*Inputs!$F$99/1000*Time!AQ$9,0)</f>
        <v>0</v>
      </c>
      <c r="AR132" s="20" t="n">
        <f aca="false">IF(Time!AR$4=YEAR(Inputs!$F$101),Inputs!$F$104*Inputs!$F$99/1000*Time!AR$9,0)</f>
        <v>0</v>
      </c>
      <c r="AS132" s="20" t="n">
        <f aca="false">IF(Time!AS$4=YEAR(Inputs!$F$101),Inputs!$F$104*Inputs!$F$99/1000*Time!AS$9,0)</f>
        <v>0</v>
      </c>
      <c r="AT132" s="20" t="n">
        <f aca="false">IF(Time!AT$4=YEAR(Inputs!$F$101),Inputs!$F$104*Inputs!$F$99/1000*Time!AT$9,0)</f>
        <v>0</v>
      </c>
      <c r="AU132" s="20" t="n">
        <f aca="false">IF(Time!AU$4=YEAR(Inputs!$F$101),Inputs!$F$104*Inputs!$F$99/1000*Time!AU$9,0)</f>
        <v>0</v>
      </c>
    </row>
    <row r="133" customFormat="false" ht="15" hidden="false" customHeight="false" outlineLevel="0" collapsed="false">
      <c r="D133" s="0" t="s">
        <v>529</v>
      </c>
      <c r="E133" s="0" t="s">
        <v>47</v>
      </c>
      <c r="G133" s="20" t="n">
        <f aca="false">SUM(J133:AU133)</f>
        <v>437.264610723045</v>
      </c>
      <c r="J133" s="20" t="n">
        <f aca="false">Operations!J130-Operations!J131-Operations!J132</f>
        <v>12.794388190125</v>
      </c>
      <c r="K133" s="20" t="n">
        <f aca="false">Operations!K130-Operations!K131-Operations!K132</f>
        <v>12.1392838891447</v>
      </c>
      <c r="L133" s="20" t="n">
        <f aca="false">Operations!L130-Operations!L131-Operations!L132</f>
        <v>11.8177429268615</v>
      </c>
      <c r="M133" s="20" t="n">
        <f aca="false">Operations!M130-Operations!M131-Operations!M132</f>
        <v>11.4894134866401</v>
      </c>
      <c r="N133" s="20" t="n">
        <f aca="false">Operations!N130-Operations!N131-Operations!N132</f>
        <v>11.15412335644</v>
      </c>
      <c r="O133" s="20" t="n">
        <f aca="false">Operations!O130-Operations!O131-Operations!O132</f>
        <v>10.8116960239197</v>
      </c>
      <c r="P133" s="20" t="n">
        <f aca="false">Operations!P130-Operations!P131-Operations!P132</f>
        <v>10.4619505689191</v>
      </c>
      <c r="Q133" s="20" t="n">
        <f aca="false">Operations!Q130-Operations!Q131-Operations!Q132</f>
        <v>14.8792540565356</v>
      </c>
      <c r="R133" s="20" t="n">
        <f aca="false">Operations!R130-Operations!R131-Operations!R132</f>
        <v>19.976764684077</v>
      </c>
      <c r="S133" s="20" t="n">
        <f aca="false">Operations!S130-Operations!S131-Operations!S132</f>
        <v>20.1319886065257</v>
      </c>
      <c r="T133" s="20" t="n">
        <f aca="false">Operations!T130-Operations!T131-Operations!T132</f>
        <v>20.2851225827014</v>
      </c>
      <c r="U133" s="20" t="n">
        <f aca="false">Operations!U130-Operations!U131-Operations!U132</f>
        <v>20.4357906361026</v>
      </c>
      <c r="V133" s="20" t="n">
        <f aca="false">Operations!V130-Operations!V131-Operations!V132</f>
        <v>20.5836128878928</v>
      </c>
      <c r="W133" s="20" t="n">
        <f aca="false">Operations!W130-Operations!W131-Operations!W132</f>
        <v>20.7282054233313</v>
      </c>
      <c r="X133" s="20" t="n">
        <f aca="false">Operations!X130-Operations!X131-Operations!X132</f>
        <v>20.8691801550319</v>
      </c>
      <c r="Y133" s="20" t="n">
        <f aca="false">Operations!Y130-Operations!Y131-Operations!Y132</f>
        <v>21.0122896558153</v>
      </c>
      <c r="Z133" s="20" t="n">
        <f aca="false">Operations!Z130-Operations!Z131-Operations!Z132</f>
        <v>21.1509249781079</v>
      </c>
      <c r="AA133" s="20" t="n">
        <f aca="false">Operations!AA130-Operations!AA131-Operations!AA132</f>
        <v>21.2846849921723</v>
      </c>
      <c r="AB133" s="20" t="n">
        <f aca="false">Operations!AB130-Operations!AB131-Operations!AB132</f>
        <v>21.4192084375027</v>
      </c>
      <c r="AC133" s="20" t="n">
        <f aca="false">Operations!AC130-Operations!AC131-Operations!AC132</f>
        <v>21.5479734361225</v>
      </c>
      <c r="AD133" s="20" t="n">
        <f aca="false">Operations!AD130-Operations!AD131-Operations!AD132</f>
        <v>21.6765427263257</v>
      </c>
      <c r="AE133" s="20" t="n">
        <f aca="false">Operations!AE130-Operations!AE131-Operations!AE132</f>
        <v>21.7984512510154</v>
      </c>
      <c r="AF133" s="20" t="n">
        <f aca="false">Operations!AF130-Operations!AF131-Operations!AF132</f>
        <v>21.9191855315465</v>
      </c>
      <c r="AG133" s="20" t="n">
        <f aca="false">Operations!AG130-Operations!AG131-Operations!AG132</f>
        <v>22.0382157818593</v>
      </c>
      <c r="AH133" s="20" t="n">
        <f aca="false">Operations!AH130-Operations!AH131-Operations!AH132</f>
        <v>22.2483894445765</v>
      </c>
      <c r="AI133" s="20" t="n">
        <f aca="false">Operations!AI130-Operations!AI131-Operations!AI132</f>
        <v>-17.3897729862471</v>
      </c>
      <c r="AJ133" s="20" t="n">
        <f aca="false">Operations!AJ130-Operations!AJ131-Operations!AJ132</f>
        <v>0</v>
      </c>
      <c r="AK133" s="20" t="n">
        <f aca="false">Operations!AK130-Operations!AK131-Operations!AK132</f>
        <v>0</v>
      </c>
      <c r="AL133" s="20" t="n">
        <f aca="false">Operations!AL130-Operations!AL131-Operations!AL132</f>
        <v>0</v>
      </c>
      <c r="AM133" s="20" t="n">
        <f aca="false">Operations!AM130-Operations!AM131-Operations!AM132</f>
        <v>0</v>
      </c>
      <c r="AN133" s="20" t="n">
        <f aca="false">Operations!AN130-Operations!AN131-Operations!AN132</f>
        <v>0</v>
      </c>
      <c r="AO133" s="20" t="n">
        <f aca="false">Operations!AO130-Operations!AO131-Operations!AO132</f>
        <v>0</v>
      </c>
      <c r="AP133" s="20" t="n">
        <f aca="false">Operations!AP130-Operations!AP131-Operations!AP132</f>
        <v>0</v>
      </c>
      <c r="AQ133" s="20" t="n">
        <f aca="false">Operations!AQ130-Operations!AQ131-Operations!AQ132</f>
        <v>0</v>
      </c>
      <c r="AR133" s="20" t="n">
        <f aca="false">Operations!AR130-Operations!AR131-Operations!AR132</f>
        <v>0</v>
      </c>
      <c r="AS133" s="20" t="n">
        <f aca="false">Operations!AS130-Operations!AS131-Operations!AS132</f>
        <v>0</v>
      </c>
      <c r="AT133" s="20" t="n">
        <f aca="false">Operations!AT130-Operations!AT131-Operations!AT132</f>
        <v>0</v>
      </c>
      <c r="AU133" s="20" t="n">
        <f aca="false">Operations!AU130-Operations!AU131-Operations!AU132</f>
        <v>0</v>
      </c>
    </row>
    <row r="134" customFormat="false" ht="15" hidden="false" customHeight="false" outlineLevel="0" collapsed="false">
      <c r="D134" s="0" t="s">
        <v>530</v>
      </c>
      <c r="E134" s="0" t="s">
        <v>458</v>
      </c>
      <c r="J134" s="14" t="n">
        <f aca="false">0</f>
        <v>0</v>
      </c>
      <c r="K134" s="14" t="n">
        <f aca="false">0</f>
        <v>0</v>
      </c>
      <c r="L134" s="14" t="n">
        <f aca="false">0</f>
        <v>0</v>
      </c>
      <c r="M134" s="14" t="n">
        <f aca="false">0</f>
        <v>0</v>
      </c>
      <c r="N134" s="14" t="n">
        <f aca="false">0</f>
        <v>0</v>
      </c>
      <c r="O134" s="14" t="n">
        <f aca="false">0</f>
        <v>0</v>
      </c>
      <c r="P134" s="14" t="n">
        <f aca="false">0</f>
        <v>0</v>
      </c>
      <c r="Q134" s="14" t="n">
        <f aca="false">0</f>
        <v>0</v>
      </c>
      <c r="R134" s="14" t="n">
        <f aca="false">0</f>
        <v>0</v>
      </c>
      <c r="S134" s="14" t="n">
        <f aca="false">0</f>
        <v>0</v>
      </c>
      <c r="T134" s="14" t="n">
        <f aca="false">0</f>
        <v>0</v>
      </c>
      <c r="U134" s="14" t="n">
        <f aca="false">0</f>
        <v>0</v>
      </c>
      <c r="V134" s="14" t="n">
        <f aca="false">0</f>
        <v>0</v>
      </c>
      <c r="W134" s="14" t="n">
        <f aca="false">0</f>
        <v>0</v>
      </c>
      <c r="X134" s="14" t="n">
        <f aca="false">0</f>
        <v>0</v>
      </c>
      <c r="Y134" s="14" t="n">
        <f aca="false">0</f>
        <v>0</v>
      </c>
      <c r="Z134" s="14" t="n">
        <f aca="false">0</f>
        <v>0</v>
      </c>
      <c r="AA134" s="14" t="n">
        <f aca="false">0</f>
        <v>0</v>
      </c>
      <c r="AB134" s="14" t="n">
        <f aca="false">0</f>
        <v>0</v>
      </c>
      <c r="AC134" s="14" t="n">
        <f aca="false">0</f>
        <v>0</v>
      </c>
      <c r="AD134" s="14" t="n">
        <f aca="false">0</f>
        <v>0</v>
      </c>
      <c r="AE134" s="14" t="n">
        <f aca="false">0</f>
        <v>0</v>
      </c>
      <c r="AF134" s="14" t="n">
        <f aca="false">0</f>
        <v>0</v>
      </c>
      <c r="AG134" s="14" t="n">
        <f aca="false">0</f>
        <v>0</v>
      </c>
      <c r="AH134" s="14" t="n">
        <f aca="false">0</f>
        <v>0</v>
      </c>
      <c r="AI134" s="14" t="n">
        <f aca="false">0</f>
        <v>0</v>
      </c>
      <c r="AJ134" s="14" t="n">
        <f aca="false">0</f>
        <v>0</v>
      </c>
      <c r="AK134" s="14" t="n">
        <f aca="false">0</f>
        <v>0</v>
      </c>
      <c r="AL134" s="14" t="n">
        <f aca="false">0</f>
        <v>0</v>
      </c>
      <c r="AM134" s="14" t="n">
        <f aca="false">0</f>
        <v>0</v>
      </c>
      <c r="AN134" s="14" t="n">
        <f aca="false">0</f>
        <v>0</v>
      </c>
      <c r="AO134" s="14" t="n">
        <f aca="false">0</f>
        <v>0</v>
      </c>
      <c r="AP134" s="14" t="n">
        <f aca="false">0</f>
        <v>0</v>
      </c>
      <c r="AQ134" s="14" t="n">
        <f aca="false">0</f>
        <v>0</v>
      </c>
      <c r="AR134" s="14" t="n">
        <f aca="false">0</f>
        <v>0</v>
      </c>
      <c r="AS134" s="14" t="n">
        <f aca="false">0</f>
        <v>0</v>
      </c>
      <c r="AT134" s="14" t="n">
        <f aca="false">0</f>
        <v>0</v>
      </c>
      <c r="AU134" s="14" t="n">
        <f aca="false">0</f>
        <v>0</v>
      </c>
    </row>
    <row r="135" customFormat="false" ht="15" hidden="false" customHeight="false" outlineLevel="0" collapsed="false">
      <c r="D135" s="0" t="s">
        <v>531</v>
      </c>
      <c r="E135" s="0" t="s">
        <v>458</v>
      </c>
      <c r="J135" s="14" t="n">
        <f aca="false">1</f>
        <v>1</v>
      </c>
      <c r="K135" s="14" t="n">
        <f aca="false">1</f>
        <v>1</v>
      </c>
      <c r="L135" s="14" t="n">
        <f aca="false">1</f>
        <v>1</v>
      </c>
      <c r="M135" s="14" t="n">
        <f aca="false">1</f>
        <v>1</v>
      </c>
      <c r="N135" s="14" t="n">
        <f aca="false">1</f>
        <v>1</v>
      </c>
      <c r="O135" s="14" t="n">
        <f aca="false">1</f>
        <v>1</v>
      </c>
      <c r="P135" s="14" t="n">
        <f aca="false">1</f>
        <v>1</v>
      </c>
      <c r="Q135" s="14" t="n">
        <f aca="false">1</f>
        <v>1</v>
      </c>
      <c r="R135" s="14" t="n">
        <f aca="false">1</f>
        <v>1</v>
      </c>
      <c r="S135" s="14" t="n">
        <f aca="false">1</f>
        <v>1</v>
      </c>
      <c r="T135" s="14" t="n">
        <f aca="false">1</f>
        <v>1</v>
      </c>
      <c r="U135" s="14" t="n">
        <f aca="false">1</f>
        <v>1</v>
      </c>
      <c r="V135" s="14" t="n">
        <f aca="false">1</f>
        <v>1</v>
      </c>
      <c r="W135" s="14" t="n">
        <f aca="false">1</f>
        <v>1</v>
      </c>
      <c r="X135" s="14" t="n">
        <f aca="false">1</f>
        <v>1</v>
      </c>
      <c r="Y135" s="14" t="n">
        <f aca="false">1</f>
        <v>1</v>
      </c>
      <c r="Z135" s="14" t="n">
        <f aca="false">1</f>
        <v>1</v>
      </c>
      <c r="AA135" s="14" t="n">
        <f aca="false">1</f>
        <v>1</v>
      </c>
      <c r="AB135" s="14" t="n">
        <f aca="false">1</f>
        <v>1</v>
      </c>
      <c r="AC135" s="14" t="n">
        <f aca="false">1</f>
        <v>1</v>
      </c>
      <c r="AD135" s="14" t="n">
        <f aca="false">1</f>
        <v>1</v>
      </c>
      <c r="AE135" s="14" t="n">
        <f aca="false">1</f>
        <v>1</v>
      </c>
      <c r="AF135" s="14" t="n">
        <f aca="false">1</f>
        <v>1</v>
      </c>
      <c r="AG135" s="14" t="n">
        <f aca="false">1</f>
        <v>1</v>
      </c>
      <c r="AH135" s="14" t="n">
        <f aca="false">1</f>
        <v>1</v>
      </c>
      <c r="AI135" s="14" t="n">
        <f aca="false">1</f>
        <v>1</v>
      </c>
      <c r="AJ135" s="14" t="n">
        <f aca="false">1</f>
        <v>1</v>
      </c>
      <c r="AK135" s="14" t="n">
        <f aca="false">1</f>
        <v>1</v>
      </c>
      <c r="AL135" s="14" t="n">
        <f aca="false">1</f>
        <v>1</v>
      </c>
      <c r="AM135" s="14" t="n">
        <f aca="false">1</f>
        <v>1</v>
      </c>
      <c r="AN135" s="14" t="n">
        <f aca="false">1</f>
        <v>1</v>
      </c>
      <c r="AO135" s="14" t="n">
        <f aca="false">1</f>
        <v>1</v>
      </c>
      <c r="AP135" s="14" t="n">
        <f aca="false">1</f>
        <v>1</v>
      </c>
      <c r="AQ135" s="14" t="n">
        <f aca="false">1</f>
        <v>1</v>
      </c>
      <c r="AR135" s="14" t="n">
        <f aca="false">1</f>
        <v>1</v>
      </c>
      <c r="AS135" s="14" t="n">
        <f aca="false">1</f>
        <v>1</v>
      </c>
      <c r="AT135" s="14" t="n">
        <f aca="false">1</f>
        <v>1</v>
      </c>
      <c r="AU135" s="14" t="n">
        <f aca="false">1</f>
        <v>1</v>
      </c>
    </row>
    <row r="136" customFormat="false" ht="15" hidden="false" customHeight="false" outlineLevel="0" collapsed="false">
      <c r="D136" s="0" t="s">
        <v>532</v>
      </c>
      <c r="E136" s="0" t="s">
        <v>47</v>
      </c>
      <c r="G136" s="20" t="n">
        <f aca="false">SUM(J136:AU136)</f>
        <v>434.425308138387</v>
      </c>
      <c r="J136" s="20" t="n">
        <f aca="false">Operations!J133*(1-Operations!J134)*Operations!J107</f>
        <v>9.95508560546712</v>
      </c>
      <c r="K136" s="20" t="n">
        <f aca="false">Operations!K133*(1-Operations!K134)*Operations!K107</f>
        <v>12.1392838891447</v>
      </c>
      <c r="L136" s="20" t="n">
        <f aca="false">Operations!L133*(1-Operations!L134)*Operations!L107</f>
        <v>11.8177429268615</v>
      </c>
      <c r="M136" s="20" t="n">
        <f aca="false">Operations!M133*(1-Operations!M134)*Operations!M107</f>
        <v>11.4894134866401</v>
      </c>
      <c r="N136" s="20" t="n">
        <f aca="false">Operations!N133*(1-Operations!N134)*Operations!N107</f>
        <v>11.15412335644</v>
      </c>
      <c r="O136" s="20" t="n">
        <f aca="false">Operations!O133*(1-Operations!O134)*Operations!O107</f>
        <v>10.8116960239197</v>
      </c>
      <c r="P136" s="20" t="n">
        <f aca="false">Operations!P133*(1-Operations!P134)*Operations!P107</f>
        <v>10.4619505689191</v>
      </c>
      <c r="Q136" s="20" t="n">
        <f aca="false">Operations!Q133*(1-Operations!Q134)*Operations!Q107</f>
        <v>14.8792540565356</v>
      </c>
      <c r="R136" s="20" t="n">
        <f aca="false">Operations!R133*(1-Operations!R134)*Operations!R107</f>
        <v>19.976764684077</v>
      </c>
      <c r="S136" s="20" t="n">
        <f aca="false">Operations!S133*(1-Operations!S134)*Operations!S107</f>
        <v>20.1319886065257</v>
      </c>
      <c r="T136" s="20" t="n">
        <f aca="false">Operations!T133*(1-Operations!T134)*Operations!T107</f>
        <v>20.2851225827014</v>
      </c>
      <c r="U136" s="20" t="n">
        <f aca="false">Operations!U133*(1-Operations!U134)*Operations!U107</f>
        <v>20.4357906361026</v>
      </c>
      <c r="V136" s="20" t="n">
        <f aca="false">Operations!V133*(1-Operations!V134)*Operations!V107</f>
        <v>20.5836128878928</v>
      </c>
      <c r="W136" s="20" t="n">
        <f aca="false">Operations!W133*(1-Operations!W134)*Operations!W107</f>
        <v>20.7282054233313</v>
      </c>
      <c r="X136" s="20" t="n">
        <f aca="false">Operations!X133*(1-Operations!X134)*Operations!X107</f>
        <v>20.8691801550319</v>
      </c>
      <c r="Y136" s="20" t="n">
        <f aca="false">Operations!Y133*(1-Operations!Y134)*Operations!Y107</f>
        <v>21.0122896558153</v>
      </c>
      <c r="Z136" s="20" t="n">
        <f aca="false">Operations!Z133*(1-Operations!Z134)*Operations!Z107</f>
        <v>21.1509249781079</v>
      </c>
      <c r="AA136" s="20" t="n">
        <f aca="false">Operations!AA133*(1-Operations!AA134)*Operations!AA107</f>
        <v>21.2846849921723</v>
      </c>
      <c r="AB136" s="20" t="n">
        <f aca="false">Operations!AB133*(1-Operations!AB134)*Operations!AB107</f>
        <v>21.4192084375027</v>
      </c>
      <c r="AC136" s="20" t="n">
        <f aca="false">Operations!AC133*(1-Operations!AC134)*Operations!AC107</f>
        <v>21.5479734361225</v>
      </c>
      <c r="AD136" s="20" t="n">
        <f aca="false">Operations!AD133*(1-Operations!AD134)*Operations!AD107</f>
        <v>21.6765427263257</v>
      </c>
      <c r="AE136" s="20" t="n">
        <f aca="false">Operations!AE133*(1-Operations!AE134)*Operations!AE107</f>
        <v>21.7984512510154</v>
      </c>
      <c r="AF136" s="20" t="n">
        <f aca="false">Operations!AF133*(1-Operations!AF134)*Operations!AF107</f>
        <v>21.9191855315465</v>
      </c>
      <c r="AG136" s="20" t="n">
        <f aca="false">Operations!AG133*(1-Operations!AG134)*Operations!AG107</f>
        <v>22.0382157818593</v>
      </c>
      <c r="AH136" s="20" t="n">
        <f aca="false">Operations!AH133*(1-Operations!AH134)*Operations!AH107</f>
        <v>22.2483894445765</v>
      </c>
      <c r="AI136" s="20" t="n">
        <f aca="false">Operations!AI133*(1-Operations!AI134)*Operations!AI107</f>
        <v>-17.3897729862471</v>
      </c>
      <c r="AJ136" s="20" t="n">
        <f aca="false">Operations!AJ133*(1-Operations!AJ134)*Operations!AJ107</f>
        <v>0</v>
      </c>
      <c r="AK136" s="20" t="n">
        <f aca="false">Operations!AK133*(1-Operations!AK134)*Operations!AK107</f>
        <v>0</v>
      </c>
      <c r="AL136" s="20" t="n">
        <f aca="false">Operations!AL133*(1-Operations!AL134)*Operations!AL107</f>
        <v>0</v>
      </c>
      <c r="AM136" s="20" t="n">
        <f aca="false">Operations!AM133*(1-Operations!AM134)*Operations!AM107</f>
        <v>0</v>
      </c>
      <c r="AN136" s="20" t="n">
        <f aca="false">Operations!AN133*(1-Operations!AN134)*Operations!AN107</f>
        <v>0</v>
      </c>
      <c r="AO136" s="20" t="n">
        <f aca="false">Operations!AO133*(1-Operations!AO134)*Operations!AO107</f>
        <v>0</v>
      </c>
      <c r="AP136" s="20" t="n">
        <f aca="false">Operations!AP133*(1-Operations!AP134)*Operations!AP107</f>
        <v>0</v>
      </c>
      <c r="AQ136" s="20" t="n">
        <f aca="false">Operations!AQ133*(1-Operations!AQ134)*Operations!AQ107</f>
        <v>0</v>
      </c>
      <c r="AR136" s="20" t="n">
        <f aca="false">Operations!AR133*(1-Operations!AR134)*Operations!AR107</f>
        <v>0</v>
      </c>
      <c r="AS136" s="20" t="n">
        <f aca="false">Operations!AS133*(1-Operations!AS134)*Operations!AS107</f>
        <v>0</v>
      </c>
      <c r="AT136" s="20" t="n">
        <f aca="false">Operations!AT133*(1-Operations!AT134)*Operations!AT107</f>
        <v>0</v>
      </c>
      <c r="AU136" s="20" t="n">
        <f aca="false">Operations!AU133*(1-Operations!AU134)*Operations!AU107</f>
        <v>0</v>
      </c>
    </row>
    <row r="137" customFormat="false" ht="15" hidden="false" customHeight="false" outlineLevel="0" collapsed="false">
      <c r="D137" s="0" t="s">
        <v>533</v>
      </c>
      <c r="E137" s="0" t="s">
        <v>47</v>
      </c>
      <c r="J137" s="20" t="n">
        <f aca="false">Operations!J133*Operations!J135*Operations!J107</f>
        <v>9.95508560546712</v>
      </c>
      <c r="K137" s="20" t="n">
        <f aca="false">Operations!K133*Operations!K135*Operations!K107</f>
        <v>12.1392838891447</v>
      </c>
      <c r="L137" s="20" t="n">
        <f aca="false">Operations!L133*Operations!L135*Operations!L107</f>
        <v>11.8177429268615</v>
      </c>
      <c r="M137" s="20" t="n">
        <f aca="false">Operations!M133*Operations!M135*Operations!M107</f>
        <v>11.4894134866401</v>
      </c>
      <c r="N137" s="20" t="n">
        <f aca="false">Operations!N133*Operations!N135*Operations!N107</f>
        <v>11.15412335644</v>
      </c>
      <c r="O137" s="20" t="n">
        <f aca="false">Operations!O133*Operations!O135*Operations!O107</f>
        <v>10.8116960239197</v>
      </c>
      <c r="P137" s="20" t="n">
        <f aca="false">Operations!P133*Operations!P135*Operations!P107</f>
        <v>10.4619505689191</v>
      </c>
      <c r="Q137" s="20" t="n">
        <f aca="false">Operations!Q133*Operations!Q135*Operations!Q107</f>
        <v>14.8792540565356</v>
      </c>
      <c r="R137" s="20" t="n">
        <f aca="false">Operations!R133*Operations!R135*Operations!R107</f>
        <v>19.976764684077</v>
      </c>
      <c r="S137" s="20" t="n">
        <f aca="false">Operations!S133*Operations!S135*Operations!S107</f>
        <v>20.1319886065257</v>
      </c>
      <c r="T137" s="20" t="n">
        <f aca="false">Operations!T133*Operations!T135*Operations!T107</f>
        <v>20.2851225827014</v>
      </c>
      <c r="U137" s="20" t="n">
        <f aca="false">Operations!U133*Operations!U135*Operations!U107</f>
        <v>20.4357906361026</v>
      </c>
      <c r="V137" s="20" t="n">
        <f aca="false">Operations!V133*Operations!V135*Operations!V107</f>
        <v>20.5836128878928</v>
      </c>
      <c r="W137" s="20" t="n">
        <f aca="false">Operations!W133*Operations!W135*Operations!W107</f>
        <v>20.7282054233313</v>
      </c>
      <c r="X137" s="20" t="n">
        <f aca="false">Operations!X133*Operations!X135*Operations!X107</f>
        <v>20.8691801550319</v>
      </c>
      <c r="Y137" s="20" t="n">
        <f aca="false">Operations!Y133*Operations!Y135*Operations!Y107</f>
        <v>21.0122896558153</v>
      </c>
      <c r="Z137" s="20" t="n">
        <f aca="false">Operations!Z133*Operations!Z135*Operations!Z107</f>
        <v>21.1509249781079</v>
      </c>
      <c r="AA137" s="20" t="n">
        <f aca="false">Operations!AA133*Operations!AA135*Operations!AA107</f>
        <v>21.2846849921723</v>
      </c>
      <c r="AB137" s="20" t="n">
        <f aca="false">Operations!AB133*Operations!AB135*Operations!AB107</f>
        <v>21.4192084375027</v>
      </c>
      <c r="AC137" s="20" t="n">
        <f aca="false">Operations!AC133*Operations!AC135*Operations!AC107</f>
        <v>21.5479734361225</v>
      </c>
      <c r="AD137" s="20" t="n">
        <f aca="false">Operations!AD133*Operations!AD135*Operations!AD107</f>
        <v>21.6765427263257</v>
      </c>
      <c r="AE137" s="20" t="n">
        <f aca="false">Operations!AE133*Operations!AE135*Operations!AE107</f>
        <v>21.7984512510154</v>
      </c>
      <c r="AF137" s="20" t="n">
        <f aca="false">Operations!AF133*Operations!AF135*Operations!AF107</f>
        <v>21.9191855315465</v>
      </c>
      <c r="AG137" s="20" t="n">
        <f aca="false">Operations!AG133*Operations!AG135*Operations!AG107</f>
        <v>22.0382157818593</v>
      </c>
      <c r="AH137" s="20" t="n">
        <f aca="false">Operations!AH133*Operations!AH135*Operations!AH107</f>
        <v>22.2483894445765</v>
      </c>
      <c r="AI137" s="20" t="n">
        <f aca="false">Operations!AI133*Operations!AI135*Operations!AI107</f>
        <v>-17.3897729862471</v>
      </c>
      <c r="AJ137" s="20" t="n">
        <f aca="false">Operations!AJ133*Operations!AJ135*Operations!AJ107</f>
        <v>0</v>
      </c>
      <c r="AK137" s="20" t="n">
        <f aca="false">Operations!AK133*Operations!AK135*Operations!AK107</f>
        <v>0</v>
      </c>
      <c r="AL137" s="20" t="n">
        <f aca="false">Operations!AL133*Operations!AL135*Operations!AL107</f>
        <v>0</v>
      </c>
      <c r="AM137" s="20" t="n">
        <f aca="false">Operations!AM133*Operations!AM135*Operations!AM107</f>
        <v>0</v>
      </c>
      <c r="AN137" s="20" t="n">
        <f aca="false">Operations!AN133*Operations!AN135*Operations!AN107</f>
        <v>0</v>
      </c>
      <c r="AO137" s="20" t="n">
        <f aca="false">Operations!AO133*Operations!AO135*Operations!AO107</f>
        <v>0</v>
      </c>
      <c r="AP137" s="20" t="n">
        <f aca="false">Operations!AP133*Operations!AP135*Operations!AP107</f>
        <v>0</v>
      </c>
      <c r="AQ137" s="20" t="n">
        <f aca="false">Operations!AQ133*Operations!AQ135*Operations!AQ107</f>
        <v>0</v>
      </c>
      <c r="AR137" s="20" t="n">
        <f aca="false">Operations!AR133*Operations!AR135*Operations!AR107</f>
        <v>0</v>
      </c>
      <c r="AS137" s="20" t="n">
        <f aca="false">Operations!AS133*Operations!AS135*Operations!AS107</f>
        <v>0</v>
      </c>
      <c r="AT137" s="20" t="n">
        <f aca="false">Operations!AT133*Operations!AT135*Operations!AT107</f>
        <v>0</v>
      </c>
      <c r="AU137" s="20" t="n">
        <f aca="false">Operations!AU133*Operations!AU135*Operations!AU107</f>
        <v>0</v>
      </c>
    </row>
    <row r="138" customFormat="false" ht="15" hidden="false" customHeight="false" outlineLevel="0" collapsed="false">
      <c r="D138" s="0" t="s">
        <v>534</v>
      </c>
      <c r="E138" s="0" t="s">
        <v>47</v>
      </c>
      <c r="J138" s="20" t="n">
        <f aca="false">Operations!J136-Inputs!$F$248/100*Operations!J137</f>
        <v>7.86451762831903</v>
      </c>
      <c r="K138" s="20" t="n">
        <f aca="false">Operations!K136-Inputs!$F$248/100*Operations!K137</f>
        <v>9.59003427242435</v>
      </c>
      <c r="L138" s="20" t="n">
        <f aca="false">Operations!L136-Inputs!$F$248/100*Operations!L137</f>
        <v>9.33601691222055</v>
      </c>
      <c r="M138" s="20" t="n">
        <f aca="false">Operations!M136-Inputs!$F$248/100*Operations!M137</f>
        <v>9.07663665444569</v>
      </c>
      <c r="N138" s="20" t="n">
        <f aca="false">Operations!N136-Inputs!$F$248/100*Operations!N137</f>
        <v>8.81175745158762</v>
      </c>
      <c r="O138" s="20" t="n">
        <f aca="false">Operations!O136-Inputs!$F$248/100*Operations!O137</f>
        <v>8.54123985889653</v>
      </c>
      <c r="P138" s="20" t="n">
        <f aca="false">Operations!P136-Inputs!$F$248/100*Operations!P137</f>
        <v>8.26494094944612</v>
      </c>
      <c r="Q138" s="20" t="n">
        <f aca="false">Operations!Q136-Inputs!$F$248/100*Operations!Q137</f>
        <v>11.7546107046631</v>
      </c>
      <c r="R138" s="20" t="n">
        <f aca="false">Operations!R136-Inputs!$F$248/100*Operations!R137</f>
        <v>15.7816441004209</v>
      </c>
      <c r="S138" s="20" t="n">
        <f aca="false">Operations!S136-Inputs!$F$248/100*Operations!S137</f>
        <v>15.9042709991553</v>
      </c>
      <c r="T138" s="20" t="n">
        <f aca="false">Operations!T136-Inputs!$F$248/100*Operations!T137</f>
        <v>16.0252468403341</v>
      </c>
      <c r="U138" s="20" t="n">
        <f aca="false">Operations!U136-Inputs!$F$248/100*Operations!U137</f>
        <v>16.144274602521</v>
      </c>
      <c r="V138" s="20" t="n">
        <f aca="false">Operations!V136-Inputs!$F$248/100*Operations!V137</f>
        <v>16.2610541814353</v>
      </c>
      <c r="W138" s="20" t="n">
        <f aca="false">Operations!W136-Inputs!$F$248/100*Operations!W137</f>
        <v>16.3752822844317</v>
      </c>
      <c r="X138" s="20" t="n">
        <f aca="false">Operations!X136-Inputs!$F$248/100*Operations!X137</f>
        <v>16.4866523224752</v>
      </c>
      <c r="Y138" s="20" t="n">
        <f aca="false">Operations!Y136-Inputs!$F$248/100*Operations!Y137</f>
        <v>16.5997088280941</v>
      </c>
      <c r="Z138" s="20" t="n">
        <f aca="false">Operations!Z136-Inputs!$F$248/100*Operations!Z137</f>
        <v>16.7092307327052</v>
      </c>
      <c r="AA138" s="20" t="n">
        <f aca="false">Operations!AA136-Inputs!$F$248/100*Operations!AA137</f>
        <v>16.8149011438161</v>
      </c>
      <c r="AB138" s="20" t="n">
        <f aca="false">Operations!AB136-Inputs!$F$248/100*Operations!AB137</f>
        <v>16.9211746656271</v>
      </c>
      <c r="AC138" s="20" t="n">
        <f aca="false">Operations!AC136-Inputs!$F$248/100*Operations!AC137</f>
        <v>17.0228990145368</v>
      </c>
      <c r="AD138" s="20" t="n">
        <f aca="false">Operations!AD136-Inputs!$F$248/100*Operations!AD137</f>
        <v>17.1244687537973</v>
      </c>
      <c r="AE138" s="20" t="n">
        <f aca="false">Operations!AE136-Inputs!$F$248/100*Operations!AE137</f>
        <v>17.2207764883022</v>
      </c>
      <c r="AF138" s="20" t="n">
        <f aca="false">Operations!AF136-Inputs!$F$248/100*Operations!AF137</f>
        <v>17.3161565699217</v>
      </c>
      <c r="AG138" s="20" t="n">
        <f aca="false">Operations!AG136-Inputs!$F$248/100*Operations!AG137</f>
        <v>17.4101904676688</v>
      </c>
      <c r="AH138" s="20" t="n">
        <f aca="false">Operations!AH136-Inputs!$F$248/100*Operations!AH137</f>
        <v>17.5762276612154</v>
      </c>
      <c r="AI138" s="20" t="n">
        <f aca="false">Operations!AI136-Inputs!$F$248/100*Operations!AI137</f>
        <v>-13.7379206591352</v>
      </c>
      <c r="AJ138" s="20" t="n">
        <f aca="false">Operations!AJ136-Inputs!$F$248/100*Operations!AJ137</f>
        <v>0</v>
      </c>
      <c r="AK138" s="20" t="n">
        <f aca="false">Operations!AK136-Inputs!$F$248/100*Operations!AK137</f>
        <v>0</v>
      </c>
      <c r="AL138" s="20" t="n">
        <f aca="false">Operations!AL136-Inputs!$F$248/100*Operations!AL137</f>
        <v>0</v>
      </c>
      <c r="AM138" s="20" t="n">
        <f aca="false">Operations!AM136-Inputs!$F$248/100*Operations!AM137</f>
        <v>0</v>
      </c>
      <c r="AN138" s="20" t="n">
        <f aca="false">Operations!AN136-Inputs!$F$248/100*Operations!AN137</f>
        <v>0</v>
      </c>
      <c r="AO138" s="20" t="n">
        <f aca="false">Operations!AO136-Inputs!$F$248/100*Operations!AO137</f>
        <v>0</v>
      </c>
      <c r="AP138" s="20" t="n">
        <f aca="false">Operations!AP136-Inputs!$F$248/100*Operations!AP137</f>
        <v>0</v>
      </c>
      <c r="AQ138" s="20" t="n">
        <f aca="false">Operations!AQ136-Inputs!$F$248/100*Operations!AQ137</f>
        <v>0</v>
      </c>
      <c r="AR138" s="20" t="n">
        <f aca="false">Operations!AR136-Inputs!$F$248/100*Operations!AR137</f>
        <v>0</v>
      </c>
      <c r="AS138" s="20" t="n">
        <f aca="false">Operations!AS136-Inputs!$F$248/100*Operations!AS137</f>
        <v>0</v>
      </c>
      <c r="AT138" s="20" t="n">
        <f aca="false">Operations!AT136-Inputs!$F$248/100*Operations!AT137</f>
        <v>0</v>
      </c>
      <c r="AU138" s="20" t="n">
        <f aca="false">Operations!AU136-Inputs!$F$248/100*Operations!AU137</f>
        <v>0</v>
      </c>
    </row>
    <row r="139" customFormat="false" ht="15" hidden="false" customHeight="false" outlineLevel="0" collapsed="false">
      <c r="D139" s="0" t="s">
        <v>535</v>
      </c>
      <c r="E139" s="0" t="s">
        <v>458</v>
      </c>
      <c r="J139" s="14" t="n">
        <f aca="false">IF(Operations!J124=0,0,Operations!J121/Operations!J124)</f>
        <v>1</v>
      </c>
      <c r="K139" s="14" t="n">
        <f aca="false">IF(Operations!K124=0,0,Operations!K121/Operations!K124)</f>
        <v>1</v>
      </c>
      <c r="L139" s="14" t="n">
        <f aca="false">IF(Operations!L124=0,0,Operations!L121/Operations!L124)</f>
        <v>1</v>
      </c>
      <c r="M139" s="14" t="n">
        <f aca="false">IF(Operations!M124=0,0,Operations!M121/Operations!M124)</f>
        <v>1</v>
      </c>
      <c r="N139" s="14" t="n">
        <f aca="false">IF(Operations!N124=0,0,Operations!N121/Operations!N124)</f>
        <v>1</v>
      </c>
      <c r="O139" s="14" t="n">
        <f aca="false">IF(Operations!O124=0,0,Operations!O121/Operations!O124)</f>
        <v>1</v>
      </c>
      <c r="P139" s="14" t="n">
        <f aca="false">IF(Operations!P124=0,0,Operations!P121/Operations!P124)</f>
        <v>1</v>
      </c>
      <c r="Q139" s="14" t="n">
        <f aca="false">IF(Operations!Q124=0,0,Operations!Q121/Operations!Q124)</f>
        <v>0.410252121358354</v>
      </c>
      <c r="R139" s="14" t="n">
        <f aca="false">IF(Operations!R124=0,0,Operations!R121/Operations!R124)</f>
        <v>0</v>
      </c>
      <c r="S139" s="14" t="n">
        <f aca="false">IF(Operations!S124=0,0,Operations!S121/Operations!S124)</f>
        <v>0</v>
      </c>
      <c r="T139" s="14" t="n">
        <f aca="false">IF(Operations!T124=0,0,Operations!T121/Operations!T124)</f>
        <v>0</v>
      </c>
      <c r="U139" s="14" t="n">
        <f aca="false">IF(Operations!U124=0,0,Operations!U121/Operations!U124)</f>
        <v>0</v>
      </c>
      <c r="V139" s="14" t="n">
        <f aca="false">IF(Operations!V124=0,0,Operations!V121/Operations!V124)</f>
        <v>0</v>
      </c>
      <c r="W139" s="14" t="n">
        <f aca="false">IF(Operations!W124=0,0,Operations!W121/Operations!W124)</f>
        <v>0</v>
      </c>
      <c r="X139" s="14" t="n">
        <f aca="false">IF(Operations!X124=0,0,Operations!X121/Operations!X124)</f>
        <v>0</v>
      </c>
      <c r="Y139" s="14" t="n">
        <f aca="false">IF(Operations!Y124=0,0,Operations!Y121/Operations!Y124)</f>
        <v>0</v>
      </c>
      <c r="Z139" s="14" t="n">
        <f aca="false">IF(Operations!Z124=0,0,Operations!Z121/Operations!Z124)</f>
        <v>0</v>
      </c>
      <c r="AA139" s="14" t="n">
        <f aca="false">IF(Operations!AA124=0,0,Operations!AA121/Operations!AA124)</f>
        <v>0</v>
      </c>
      <c r="AB139" s="14" t="n">
        <f aca="false">IF(Operations!AB124=0,0,Operations!AB121/Operations!AB124)</f>
        <v>0</v>
      </c>
      <c r="AC139" s="14" t="n">
        <f aca="false">IF(Operations!AC124=0,0,Operations!AC121/Operations!AC124)</f>
        <v>0</v>
      </c>
      <c r="AD139" s="14" t="n">
        <f aca="false">IF(Operations!AD124=0,0,Operations!AD121/Operations!AD124)</f>
        <v>0</v>
      </c>
      <c r="AE139" s="14" t="n">
        <f aca="false">IF(Operations!AE124=0,0,Operations!AE121/Operations!AE124)</f>
        <v>0</v>
      </c>
      <c r="AF139" s="14" t="n">
        <f aca="false">IF(Operations!AF124=0,0,Operations!AF121/Operations!AF124)</f>
        <v>0</v>
      </c>
      <c r="AG139" s="14" t="n">
        <f aca="false">IF(Operations!AG124=0,0,Operations!AG121/Operations!AG124)</f>
        <v>0</v>
      </c>
      <c r="AH139" s="14" t="n">
        <f aca="false">IF(Operations!AH124=0,0,Operations!AH121/Operations!AH124)</f>
        <v>0</v>
      </c>
      <c r="AI139" s="14" t="n">
        <f aca="false">IF(Operations!AI124=0,0,Operations!AI121/Operations!AI124)</f>
        <v>0</v>
      </c>
      <c r="AJ139" s="14" t="n">
        <f aca="false">IF(Operations!AJ124=0,0,Operations!AJ121/Operations!AJ124)</f>
        <v>0</v>
      </c>
      <c r="AK139" s="14" t="n">
        <f aca="false">IF(Operations!AK124=0,0,Operations!AK121/Operations!AK124)</f>
        <v>0</v>
      </c>
      <c r="AL139" s="14" t="n">
        <f aca="false">IF(Operations!AL124=0,0,Operations!AL121/Operations!AL124)</f>
        <v>0</v>
      </c>
      <c r="AM139" s="14" t="n">
        <f aca="false">IF(Operations!AM124=0,0,Operations!AM121/Operations!AM124)</f>
        <v>0</v>
      </c>
      <c r="AN139" s="14" t="n">
        <f aca="false">IF(Operations!AN124=0,0,Operations!AN121/Operations!AN124)</f>
        <v>0</v>
      </c>
      <c r="AO139" s="14" t="n">
        <f aca="false">IF(Operations!AO124=0,0,Operations!AO121/Operations!AO124)</f>
        <v>0</v>
      </c>
      <c r="AP139" s="14" t="n">
        <f aca="false">IF(Operations!AP124=0,0,Operations!AP121/Operations!AP124)</f>
        <v>0</v>
      </c>
      <c r="AQ139" s="14" t="n">
        <f aca="false">IF(Operations!AQ124=0,0,Operations!AQ121/Operations!AQ124)</f>
        <v>0</v>
      </c>
      <c r="AR139" s="14" t="n">
        <f aca="false">IF(Operations!AR124=0,0,Operations!AR121/Operations!AR124)</f>
        <v>0</v>
      </c>
      <c r="AS139" s="14" t="n">
        <f aca="false">IF(Operations!AS124=0,0,Operations!AS121/Operations!AS124)</f>
        <v>0</v>
      </c>
      <c r="AT139" s="14" t="n">
        <f aca="false">IF(Operations!AT124=0,0,Operations!AT121/Operations!AT124)</f>
        <v>0</v>
      </c>
      <c r="AU139" s="14" t="n">
        <f aca="false">IF(Operations!AU124=0,0,Operations!AU121/Operations!AU124)</f>
        <v>0</v>
      </c>
    </row>
    <row r="140" customFormat="false" ht="15" hidden="false" customHeight="false" outlineLevel="0" collapsed="false">
      <c r="D140" s="0" t="s">
        <v>536</v>
      </c>
      <c r="E140" s="0" t="s">
        <v>458</v>
      </c>
      <c r="J140" s="14" t="n">
        <f aca="false">IF(Operations!J124=0,0,Operations!J122/Operations!J124)</f>
        <v>0</v>
      </c>
      <c r="K140" s="14" t="n">
        <f aca="false">IF(Operations!K124=0,0,Operations!K122/Operations!K124)</f>
        <v>0</v>
      </c>
      <c r="L140" s="14" t="n">
        <f aca="false">IF(Operations!L124=0,0,Operations!L122/Operations!L124)</f>
        <v>0</v>
      </c>
      <c r="M140" s="14" t="n">
        <f aca="false">IF(Operations!M124=0,0,Operations!M122/Operations!M124)</f>
        <v>0</v>
      </c>
      <c r="N140" s="14" t="n">
        <f aca="false">IF(Operations!N124=0,0,Operations!N122/Operations!N124)</f>
        <v>0</v>
      </c>
      <c r="O140" s="14" t="n">
        <f aca="false">IF(Operations!O124=0,0,Operations!O122/Operations!O124)</f>
        <v>0</v>
      </c>
      <c r="P140" s="14" t="n">
        <f aca="false">IF(Operations!P124=0,0,Operations!P122/Operations!P124)</f>
        <v>0</v>
      </c>
      <c r="Q140" s="14" t="n">
        <f aca="false">IF(Operations!Q124=0,0,Operations!Q122/Operations!Q124)</f>
        <v>0</v>
      </c>
      <c r="R140" s="14" t="n">
        <f aca="false">IF(Operations!R124=0,0,Operations!R122/Operations!R124)</f>
        <v>0</v>
      </c>
      <c r="S140" s="14" t="n">
        <f aca="false">IF(Operations!S124=0,0,Operations!S122/Operations!S124)</f>
        <v>0</v>
      </c>
      <c r="T140" s="14" t="n">
        <f aca="false">IF(Operations!T124=0,0,Operations!T122/Operations!T124)</f>
        <v>0</v>
      </c>
      <c r="U140" s="14" t="n">
        <f aca="false">IF(Operations!U124=0,0,Operations!U122/Operations!U124)</f>
        <v>0</v>
      </c>
      <c r="V140" s="14" t="n">
        <f aca="false">IF(Operations!V124=0,0,Operations!V122/Operations!V124)</f>
        <v>0</v>
      </c>
      <c r="W140" s="14" t="n">
        <f aca="false">IF(Operations!W124=0,0,Operations!W122/Operations!W124)</f>
        <v>0</v>
      </c>
      <c r="X140" s="14" t="n">
        <f aca="false">IF(Operations!X124=0,0,Operations!X122/Operations!X124)</f>
        <v>0</v>
      </c>
      <c r="Y140" s="14" t="n">
        <f aca="false">IF(Operations!Y124=0,0,Operations!Y122/Operations!Y124)</f>
        <v>0</v>
      </c>
      <c r="Z140" s="14" t="n">
        <f aca="false">IF(Operations!Z124=0,0,Operations!Z122/Operations!Z124)</f>
        <v>0</v>
      </c>
      <c r="AA140" s="14" t="n">
        <f aca="false">IF(Operations!AA124=0,0,Operations!AA122/Operations!AA124)</f>
        <v>0</v>
      </c>
      <c r="AB140" s="14" t="n">
        <f aca="false">IF(Operations!AB124=0,0,Operations!AB122/Operations!AB124)</f>
        <v>0</v>
      </c>
      <c r="AC140" s="14" t="n">
        <f aca="false">IF(Operations!AC124=0,0,Operations!AC122/Operations!AC124)</f>
        <v>0</v>
      </c>
      <c r="AD140" s="14" t="n">
        <f aca="false">IF(Operations!AD124=0,0,Operations!AD122/Operations!AD124)</f>
        <v>0</v>
      </c>
      <c r="AE140" s="14" t="n">
        <f aca="false">IF(Operations!AE124=0,0,Operations!AE122/Operations!AE124)</f>
        <v>0</v>
      </c>
      <c r="AF140" s="14" t="n">
        <f aca="false">IF(Operations!AF124=0,0,Operations!AF122/Operations!AF124)</f>
        <v>0</v>
      </c>
      <c r="AG140" s="14" t="n">
        <f aca="false">IF(Operations!AG124=0,0,Operations!AG122/Operations!AG124)</f>
        <v>0</v>
      </c>
      <c r="AH140" s="14" t="n">
        <f aca="false">IF(Operations!AH124=0,0,Operations!AH122/Operations!AH124)</f>
        <v>0</v>
      </c>
      <c r="AI140" s="14" t="n">
        <f aca="false">IF(Operations!AI124=0,0,Operations!AI122/Operations!AI124)</f>
        <v>0</v>
      </c>
      <c r="AJ140" s="14" t="n">
        <f aca="false">IF(Operations!AJ124=0,0,Operations!AJ122/Operations!AJ124)</f>
        <v>0</v>
      </c>
      <c r="AK140" s="14" t="n">
        <f aca="false">IF(Operations!AK124=0,0,Operations!AK122/Operations!AK124)</f>
        <v>0</v>
      </c>
      <c r="AL140" s="14" t="n">
        <f aca="false">IF(Operations!AL124=0,0,Operations!AL122/Operations!AL124)</f>
        <v>0</v>
      </c>
      <c r="AM140" s="14" t="n">
        <f aca="false">IF(Operations!AM124=0,0,Operations!AM122/Operations!AM124)</f>
        <v>0</v>
      </c>
      <c r="AN140" s="14" t="n">
        <f aca="false">IF(Operations!AN124=0,0,Operations!AN122/Operations!AN124)</f>
        <v>0</v>
      </c>
      <c r="AO140" s="14" t="n">
        <f aca="false">IF(Operations!AO124=0,0,Operations!AO122/Operations!AO124)</f>
        <v>0</v>
      </c>
      <c r="AP140" s="14" t="n">
        <f aca="false">IF(Operations!AP124=0,0,Operations!AP122/Operations!AP124)</f>
        <v>0</v>
      </c>
      <c r="AQ140" s="14" t="n">
        <f aca="false">IF(Operations!AQ124=0,0,Operations!AQ122/Operations!AQ124)</f>
        <v>0</v>
      </c>
      <c r="AR140" s="14" t="n">
        <f aca="false">IF(Operations!AR124=0,0,Operations!AR122/Operations!AR124)</f>
        <v>0</v>
      </c>
      <c r="AS140" s="14" t="n">
        <f aca="false">IF(Operations!AS124=0,0,Operations!AS122/Operations!AS124)</f>
        <v>0</v>
      </c>
      <c r="AT140" s="14" t="n">
        <f aca="false">IF(Operations!AT124=0,0,Operations!AT122/Operations!AT124)</f>
        <v>0</v>
      </c>
      <c r="AU140" s="14" t="n">
        <f aca="false">IF(Operations!AU124=0,0,Operations!AU122/Operations!AU124)</f>
        <v>0</v>
      </c>
    </row>
    <row r="141" customFormat="false" ht="15" hidden="false" customHeight="false" outlineLevel="0" collapsed="false">
      <c r="D141" s="0" t="s">
        <v>537</v>
      </c>
      <c r="E141" s="0" t="s">
        <v>458</v>
      </c>
      <c r="J141" s="14" t="n">
        <f aca="false">1-Operations!J139-Operations!J140</f>
        <v>0</v>
      </c>
      <c r="K141" s="14" t="n">
        <f aca="false">1-Operations!K139-Operations!K140</f>
        <v>0</v>
      </c>
      <c r="L141" s="14" t="n">
        <f aca="false">1-Operations!L139-Operations!L140</f>
        <v>0</v>
      </c>
      <c r="M141" s="14" t="n">
        <f aca="false">1-Operations!M139-Operations!M140</f>
        <v>0</v>
      </c>
      <c r="N141" s="14" t="n">
        <f aca="false">1-Operations!N139-Operations!N140</f>
        <v>0</v>
      </c>
      <c r="O141" s="14" t="n">
        <f aca="false">1-Operations!O139-Operations!O140</f>
        <v>0</v>
      </c>
      <c r="P141" s="14" t="n">
        <f aca="false">1-Operations!P139-Operations!P140</f>
        <v>0</v>
      </c>
      <c r="Q141" s="14" t="n">
        <f aca="false">1-Operations!Q139-Operations!Q140</f>
        <v>0.589747878641646</v>
      </c>
      <c r="R141" s="14" t="n">
        <f aca="false">1-Operations!R139-Operations!R140</f>
        <v>1</v>
      </c>
      <c r="S141" s="14" t="n">
        <f aca="false">1-Operations!S139-Operations!S140</f>
        <v>1</v>
      </c>
      <c r="T141" s="14" t="n">
        <f aca="false">1-Operations!T139-Operations!T140</f>
        <v>1</v>
      </c>
      <c r="U141" s="14" t="n">
        <f aca="false">1-Operations!U139-Operations!U140</f>
        <v>1</v>
      </c>
      <c r="V141" s="14" t="n">
        <f aca="false">1-Operations!V139-Operations!V140</f>
        <v>1</v>
      </c>
      <c r="W141" s="14" t="n">
        <f aca="false">1-Operations!W139-Operations!W140</f>
        <v>1</v>
      </c>
      <c r="X141" s="14" t="n">
        <f aca="false">1-Operations!X139-Operations!X140</f>
        <v>1</v>
      </c>
      <c r="Y141" s="14" t="n">
        <f aca="false">1-Operations!Y139-Operations!Y140</f>
        <v>1</v>
      </c>
      <c r="Z141" s="14" t="n">
        <f aca="false">1-Operations!Z139-Operations!Z140</f>
        <v>1</v>
      </c>
      <c r="AA141" s="14" t="n">
        <f aca="false">1-Operations!AA139-Operations!AA140</f>
        <v>1</v>
      </c>
      <c r="AB141" s="14" t="n">
        <f aca="false">1-Operations!AB139-Operations!AB140</f>
        <v>1</v>
      </c>
      <c r="AC141" s="14" t="n">
        <f aca="false">1-Operations!AC139-Operations!AC140</f>
        <v>1</v>
      </c>
      <c r="AD141" s="14" t="n">
        <f aca="false">1-Operations!AD139-Operations!AD140</f>
        <v>1</v>
      </c>
      <c r="AE141" s="14" t="n">
        <f aca="false">1-Operations!AE139-Operations!AE140</f>
        <v>1</v>
      </c>
      <c r="AF141" s="14" t="n">
        <f aca="false">1-Operations!AF139-Operations!AF140</f>
        <v>1</v>
      </c>
      <c r="AG141" s="14" t="n">
        <f aca="false">1-Operations!AG139-Operations!AG140</f>
        <v>1</v>
      </c>
      <c r="AH141" s="14" t="n">
        <f aca="false">1-Operations!AH139-Operations!AH140</f>
        <v>1</v>
      </c>
      <c r="AI141" s="14" t="n">
        <f aca="false">1-Operations!AI139-Operations!AI140</f>
        <v>1</v>
      </c>
      <c r="AJ141" s="14" t="n">
        <f aca="false">1-Operations!AJ139-Operations!AJ140</f>
        <v>1</v>
      </c>
      <c r="AK141" s="14" t="n">
        <f aca="false">1-Operations!AK139-Operations!AK140</f>
        <v>1</v>
      </c>
      <c r="AL141" s="14" t="n">
        <f aca="false">1-Operations!AL139-Operations!AL140</f>
        <v>1</v>
      </c>
      <c r="AM141" s="14" t="n">
        <f aca="false">1-Operations!AM139-Operations!AM140</f>
        <v>1</v>
      </c>
      <c r="AN141" s="14" t="n">
        <f aca="false">1-Operations!AN139-Operations!AN140</f>
        <v>1</v>
      </c>
      <c r="AO141" s="14" t="n">
        <f aca="false">1-Operations!AO139-Operations!AO140</f>
        <v>1</v>
      </c>
      <c r="AP141" s="14" t="n">
        <f aca="false">1-Operations!AP139-Operations!AP140</f>
        <v>1</v>
      </c>
      <c r="AQ141" s="14" t="n">
        <f aca="false">1-Operations!AQ139-Operations!AQ140</f>
        <v>1</v>
      </c>
      <c r="AR141" s="14" t="n">
        <f aca="false">1-Operations!AR139-Operations!AR140</f>
        <v>1</v>
      </c>
      <c r="AS141" s="14" t="n">
        <f aca="false">1-Operations!AS139-Operations!AS140</f>
        <v>1</v>
      </c>
      <c r="AT141" s="14" t="n">
        <f aca="false">1-Operations!AT139-Operations!AT140</f>
        <v>1</v>
      </c>
      <c r="AU141" s="14" t="n">
        <f aca="false">1-Operations!AU139-Operations!AU140</f>
        <v>1</v>
      </c>
    </row>
    <row r="142" customFormat="false" ht="15" hidden="false" customHeight="false" outlineLevel="0" collapsed="false">
      <c r="D142" s="0" t="s">
        <v>538</v>
      </c>
      <c r="E142" s="0" t="s">
        <v>47</v>
      </c>
      <c r="J142" s="20" t="n">
        <f aca="false">Operations!J121*Operations!J107*(1-Operations!J134)</f>
        <v>18.9032963780822</v>
      </c>
      <c r="K142" s="20" t="n">
        <f aca="false">Operations!K121*Operations!K107*(1-Operations!K134)</f>
        <v>24.246140041</v>
      </c>
      <c r="L142" s="20" t="n">
        <f aca="false">Operations!L121*Operations!L107*(1-Operations!L134)</f>
        <v>24.197647760918</v>
      </c>
      <c r="M142" s="20" t="n">
        <f aca="false">Operations!M121*Operations!M107*(1-Operations!M134)</f>
        <v>24.1492524653962</v>
      </c>
      <c r="N142" s="20" t="n">
        <f aca="false">Operations!N121*Operations!N107*(1-Operations!N134)</f>
        <v>24.1009539604654</v>
      </c>
      <c r="O142" s="20" t="n">
        <f aca="false">Operations!O121*Operations!O107*(1-Operations!O134)</f>
        <v>24.0527520525444</v>
      </c>
      <c r="P142" s="20" t="n">
        <f aca="false">Operations!P121*Operations!P107*(1-Operations!P134)</f>
        <v>24.0046465484394</v>
      </c>
      <c r="Q142" s="20" t="n">
        <f aca="false">Operations!Q121*Operations!Q107*(1-Operations!Q134)</f>
        <v>11.8798666937452</v>
      </c>
      <c r="R142" s="20" t="n">
        <f aca="false">Operations!R121*Operations!R107*(1-Operations!R134)</f>
        <v>0</v>
      </c>
      <c r="S142" s="20" t="n">
        <f aca="false">Operations!S121*Operations!S107*(1-Operations!S134)</f>
        <v>0</v>
      </c>
      <c r="T142" s="20" t="n">
        <f aca="false">Operations!T121*Operations!T107*(1-Operations!T134)</f>
        <v>0</v>
      </c>
      <c r="U142" s="20" t="n">
        <f aca="false">Operations!U121*Operations!U107*(1-Operations!U134)</f>
        <v>0</v>
      </c>
      <c r="V142" s="20" t="n">
        <f aca="false">Operations!V121*Operations!V107*(1-Operations!V134)</f>
        <v>0</v>
      </c>
      <c r="W142" s="20" t="n">
        <f aca="false">Operations!W121*Operations!W107*(1-Operations!W134)</f>
        <v>0</v>
      </c>
      <c r="X142" s="20" t="n">
        <f aca="false">Operations!X121*Operations!X107*(1-Operations!X134)</f>
        <v>0</v>
      </c>
      <c r="Y142" s="20" t="n">
        <f aca="false">Operations!Y121*Operations!Y107*(1-Operations!Y134)</f>
        <v>0</v>
      </c>
      <c r="Z142" s="20" t="n">
        <f aca="false">Operations!Z121*Operations!Z107*(1-Operations!Z134)</f>
        <v>0</v>
      </c>
      <c r="AA142" s="20" t="n">
        <f aca="false">Operations!AA121*Operations!AA107*(1-Operations!AA134)</f>
        <v>0</v>
      </c>
      <c r="AB142" s="20" t="n">
        <f aca="false">Operations!AB121*Operations!AB107*(1-Operations!AB134)</f>
        <v>0</v>
      </c>
      <c r="AC142" s="20" t="n">
        <f aca="false">Operations!AC121*Operations!AC107*(1-Operations!AC134)</f>
        <v>0</v>
      </c>
      <c r="AD142" s="20" t="n">
        <f aca="false">Operations!AD121*Operations!AD107*(1-Operations!AD134)</f>
        <v>0</v>
      </c>
      <c r="AE142" s="20" t="n">
        <f aca="false">Operations!AE121*Operations!AE107*(1-Operations!AE134)</f>
        <v>0</v>
      </c>
      <c r="AF142" s="20" t="n">
        <f aca="false">Operations!AF121*Operations!AF107*(1-Operations!AF134)</f>
        <v>0</v>
      </c>
      <c r="AG142" s="20" t="n">
        <f aca="false">Operations!AG121*Operations!AG107*(1-Operations!AG134)</f>
        <v>0</v>
      </c>
      <c r="AH142" s="20" t="n">
        <f aca="false">Operations!AH121*Operations!AH107*(1-Operations!AH134)</f>
        <v>0</v>
      </c>
      <c r="AI142" s="20" t="n">
        <f aca="false">Operations!AI121*Operations!AI107*(1-Operations!AI134)</f>
        <v>0</v>
      </c>
      <c r="AJ142" s="20" t="n">
        <f aca="false">Operations!AJ121*Operations!AJ107*(1-Operations!AJ134)</f>
        <v>0</v>
      </c>
      <c r="AK142" s="20" t="n">
        <f aca="false">Operations!AK121*Operations!AK107*(1-Operations!AK134)</f>
        <v>0</v>
      </c>
      <c r="AL142" s="20" t="n">
        <f aca="false">Operations!AL121*Operations!AL107*(1-Operations!AL134)</f>
        <v>0</v>
      </c>
      <c r="AM142" s="20" t="n">
        <f aca="false">Operations!AM121*Operations!AM107*(1-Operations!AM134)</f>
        <v>0</v>
      </c>
      <c r="AN142" s="20" t="n">
        <f aca="false">Operations!AN121*Operations!AN107*(1-Operations!AN134)</f>
        <v>0</v>
      </c>
      <c r="AO142" s="20" t="n">
        <f aca="false">Operations!AO121*Operations!AO107*(1-Operations!AO134)</f>
        <v>0</v>
      </c>
      <c r="AP142" s="20" t="n">
        <f aca="false">Operations!AP121*Operations!AP107*(1-Operations!AP134)</f>
        <v>0</v>
      </c>
      <c r="AQ142" s="20" t="n">
        <f aca="false">Operations!AQ121*Operations!AQ107*(1-Operations!AQ134)</f>
        <v>0</v>
      </c>
      <c r="AR142" s="20" t="n">
        <f aca="false">Operations!AR121*Operations!AR107*(1-Operations!AR134)</f>
        <v>0</v>
      </c>
      <c r="AS142" s="20" t="n">
        <f aca="false">Operations!AS121*Operations!AS107*(1-Operations!AS134)</f>
        <v>0</v>
      </c>
      <c r="AT142" s="20" t="n">
        <f aca="false">Operations!AT121*Operations!AT107*(1-Operations!AT134)</f>
        <v>0</v>
      </c>
      <c r="AU142" s="20" t="n">
        <f aca="false">Operations!AU121*Operations!AU107*(1-Operations!AU134)</f>
        <v>0</v>
      </c>
    </row>
    <row r="143" customFormat="false" ht="15" hidden="false" customHeight="false" outlineLevel="0" collapsed="false">
      <c r="D143" s="0" t="s">
        <v>539</v>
      </c>
      <c r="E143" s="0" t="s">
        <v>47</v>
      </c>
      <c r="J143" s="20" t="n">
        <f aca="false">Operations!J122*Operations!J107*(1-Operations!J134)</f>
        <v>0</v>
      </c>
      <c r="K143" s="20" t="n">
        <f aca="false">Operations!K122*Operations!K107*(1-Operations!K134)</f>
        <v>0</v>
      </c>
      <c r="L143" s="20" t="n">
        <f aca="false">Operations!L122*Operations!L107*(1-Operations!L134)</f>
        <v>0</v>
      </c>
      <c r="M143" s="20" t="n">
        <f aca="false">Operations!M122*Operations!M107*(1-Operations!M134)</f>
        <v>0</v>
      </c>
      <c r="N143" s="20" t="n">
        <f aca="false">Operations!N122*Operations!N107*(1-Operations!N134)</f>
        <v>0</v>
      </c>
      <c r="O143" s="20" t="n">
        <f aca="false">Operations!O122*Operations!O107*(1-Operations!O134)</f>
        <v>0</v>
      </c>
      <c r="P143" s="20" t="n">
        <f aca="false">Operations!P122*Operations!P107*(1-Operations!P134)</f>
        <v>0</v>
      </c>
      <c r="Q143" s="20" t="n">
        <f aca="false">Operations!Q122*Operations!Q107*(1-Operations!Q134)</f>
        <v>0</v>
      </c>
      <c r="R143" s="20" t="n">
        <f aca="false">Operations!R122*Operations!R107*(1-Operations!R134)</f>
        <v>0</v>
      </c>
      <c r="S143" s="20" t="n">
        <f aca="false">Operations!S122*Operations!S107*(1-Operations!S134)</f>
        <v>0</v>
      </c>
      <c r="T143" s="20" t="n">
        <f aca="false">Operations!T122*Operations!T107*(1-Operations!T134)</f>
        <v>0</v>
      </c>
      <c r="U143" s="20" t="n">
        <f aca="false">Operations!U122*Operations!U107*(1-Operations!U134)</f>
        <v>0</v>
      </c>
      <c r="V143" s="20" t="n">
        <f aca="false">Operations!V122*Operations!V107*(1-Operations!V134)</f>
        <v>0</v>
      </c>
      <c r="W143" s="20" t="n">
        <f aca="false">Operations!W122*Operations!W107*(1-Operations!W134)</f>
        <v>0</v>
      </c>
      <c r="X143" s="20" t="n">
        <f aca="false">Operations!X122*Operations!X107*(1-Operations!X134)</f>
        <v>0</v>
      </c>
      <c r="Y143" s="20" t="n">
        <f aca="false">Operations!Y122*Operations!Y107*(1-Operations!Y134)</f>
        <v>0</v>
      </c>
      <c r="Z143" s="20" t="n">
        <f aca="false">Operations!Z122*Operations!Z107*(1-Operations!Z134)</f>
        <v>0</v>
      </c>
      <c r="AA143" s="20" t="n">
        <f aca="false">Operations!AA122*Operations!AA107*(1-Operations!AA134)</f>
        <v>0</v>
      </c>
      <c r="AB143" s="20" t="n">
        <f aca="false">Operations!AB122*Operations!AB107*(1-Operations!AB134)</f>
        <v>0</v>
      </c>
      <c r="AC143" s="20" t="n">
        <f aca="false">Operations!AC122*Operations!AC107*(1-Operations!AC134)</f>
        <v>0</v>
      </c>
      <c r="AD143" s="20" t="n">
        <f aca="false">Operations!AD122*Operations!AD107*(1-Operations!AD134)</f>
        <v>0</v>
      </c>
      <c r="AE143" s="20" t="n">
        <f aca="false">Operations!AE122*Operations!AE107*(1-Operations!AE134)</f>
        <v>0</v>
      </c>
      <c r="AF143" s="20" t="n">
        <f aca="false">Operations!AF122*Operations!AF107*(1-Operations!AF134)</f>
        <v>0</v>
      </c>
      <c r="AG143" s="20" t="n">
        <f aca="false">Operations!AG122*Operations!AG107*(1-Operations!AG134)</f>
        <v>0</v>
      </c>
      <c r="AH143" s="20" t="n">
        <f aca="false">Operations!AH122*Operations!AH107*(1-Operations!AH134)</f>
        <v>0</v>
      </c>
      <c r="AI143" s="20" t="n">
        <f aca="false">Operations!AI122*Operations!AI107*(1-Operations!AI134)</f>
        <v>0</v>
      </c>
      <c r="AJ143" s="20" t="n">
        <f aca="false">Operations!AJ122*Operations!AJ107*(1-Operations!AJ134)</f>
        <v>0</v>
      </c>
      <c r="AK143" s="20" t="n">
        <f aca="false">Operations!AK122*Operations!AK107*(1-Operations!AK134)</f>
        <v>0</v>
      </c>
      <c r="AL143" s="20" t="n">
        <f aca="false">Operations!AL122*Operations!AL107*(1-Operations!AL134)</f>
        <v>0</v>
      </c>
      <c r="AM143" s="20" t="n">
        <f aca="false">Operations!AM122*Operations!AM107*(1-Operations!AM134)</f>
        <v>0</v>
      </c>
      <c r="AN143" s="20" t="n">
        <f aca="false">Operations!AN122*Operations!AN107*(1-Operations!AN134)</f>
        <v>0</v>
      </c>
      <c r="AO143" s="20" t="n">
        <f aca="false">Operations!AO122*Operations!AO107*(1-Operations!AO134)</f>
        <v>0</v>
      </c>
      <c r="AP143" s="20" t="n">
        <f aca="false">Operations!AP122*Operations!AP107*(1-Operations!AP134)</f>
        <v>0</v>
      </c>
      <c r="AQ143" s="20" t="n">
        <f aca="false">Operations!AQ122*Operations!AQ107*(1-Operations!AQ134)</f>
        <v>0</v>
      </c>
      <c r="AR143" s="20" t="n">
        <f aca="false">Operations!AR122*Operations!AR107*(1-Operations!AR134)</f>
        <v>0</v>
      </c>
      <c r="AS143" s="20" t="n">
        <f aca="false">Operations!AS122*Operations!AS107*(1-Operations!AS134)</f>
        <v>0</v>
      </c>
      <c r="AT143" s="20" t="n">
        <f aca="false">Operations!AT122*Operations!AT107*(1-Operations!AT134)</f>
        <v>0</v>
      </c>
      <c r="AU143" s="20" t="n">
        <f aca="false">Operations!AU122*Operations!AU107*(1-Operations!AU134)</f>
        <v>0</v>
      </c>
    </row>
    <row r="144" customFormat="false" ht="15" hidden="false" customHeight="false" outlineLevel="0" collapsed="false">
      <c r="D144" s="0" t="s">
        <v>540</v>
      </c>
      <c r="E144" s="0" t="s">
        <v>47</v>
      </c>
      <c r="J144" s="20" t="n">
        <f aca="false">Operations!J125*Operations!J107*(1-Operations!J134)</f>
        <v>0</v>
      </c>
      <c r="K144" s="20" t="n">
        <f aca="false">Operations!K125*Operations!K107*(1-Operations!K134)</f>
        <v>0</v>
      </c>
      <c r="L144" s="20" t="n">
        <f aca="false">Operations!L125*Operations!L107*(1-Operations!L134)</f>
        <v>0</v>
      </c>
      <c r="M144" s="20" t="n">
        <f aca="false">Operations!M125*Operations!M107*(1-Operations!M134)</f>
        <v>0</v>
      </c>
      <c r="N144" s="20" t="n">
        <f aca="false">Operations!N125*Operations!N107*(1-Operations!N134)</f>
        <v>0</v>
      </c>
      <c r="O144" s="20" t="n">
        <f aca="false">Operations!O125*Operations!O107*(1-Operations!O134)</f>
        <v>0</v>
      </c>
      <c r="P144" s="20" t="n">
        <f aca="false">Operations!P125*Operations!P107*(1-Operations!P134)</f>
        <v>0</v>
      </c>
      <c r="Q144" s="20" t="n">
        <f aca="false">Operations!Q125*Operations!Q107*(1-Operations!Q134)</f>
        <v>17.0776110992048</v>
      </c>
      <c r="R144" s="20" t="n">
        <f aca="false">Operations!R125*Operations!R107*(1-Operations!R134)</f>
        <v>34.6309086116968</v>
      </c>
      <c r="S144" s="20" t="n">
        <f aca="false">Operations!S125*Operations!S107*(1-Operations!S134)</f>
        <v>35.1361731367266</v>
      </c>
      <c r="T144" s="20" t="n">
        <f aca="false">Operations!T125*Operations!T107*(1-Operations!T134)</f>
        <v>35.647815758952</v>
      </c>
      <c r="U144" s="20" t="n">
        <f aca="false">Operations!U125*Operations!U107*(1-Operations!U134)</f>
        <v>36.1656568600048</v>
      </c>
      <c r="V144" s="20" t="n">
        <f aca="false">Operations!V125*Operations!V107*(1-Operations!V134)</f>
        <v>36.6895180886667</v>
      </c>
      <c r="W144" s="20" t="n">
        <f aca="false">Operations!W125*Operations!W107*(1-Operations!W134)</f>
        <v>37.2192223548307</v>
      </c>
      <c r="X144" s="20" t="n">
        <f aca="false">Operations!X125*Operations!X107*(1-Operations!X134)</f>
        <v>37.7545938234865</v>
      </c>
      <c r="Y144" s="20" t="n">
        <f aca="false">Operations!Y125*Operations!Y107*(1-Operations!Y134)</f>
        <v>38.3018941201421</v>
      </c>
      <c r="Z144" s="20" t="n">
        <f aca="false">Operations!Z125*Operations!Z107*(1-Operations!Z134)</f>
        <v>38.8544433908176</v>
      </c>
      <c r="AA144" s="20" t="n">
        <f aca="false">Operations!AA125*Operations!AA107*(1-Operations!AA134)</f>
        <v>39.4120698745005</v>
      </c>
      <c r="AB144" s="20" t="n">
        <f aca="false">Operations!AB125*Operations!AB107*(1-Operations!AB134)</f>
        <v>39.980934146135</v>
      </c>
      <c r="AC144" s="20" t="n">
        <f aca="false">Operations!AC125*Operations!AC107*(1-Operations!AC134)</f>
        <v>40.5544661802621</v>
      </c>
      <c r="AD144" s="20" t="n">
        <f aca="false">Operations!AD125*Operations!AD107*(1-Operations!AD134)</f>
        <v>41.1387598371777</v>
      </c>
      <c r="AE144" s="20" t="n">
        <f aca="false">Operations!AE125*Operations!AE107*(1-Operations!AE134)</f>
        <v>41.7273178161201</v>
      </c>
      <c r="AF144" s="20" t="n">
        <f aca="false">Operations!AF125*Operations!AF107*(1-Operations!AF134)</f>
        <v>42.3261676892588</v>
      </c>
      <c r="AG144" s="20" t="n">
        <f aca="false">Operations!AG125*Operations!AG107*(1-Operations!AG134)</f>
        <v>42.9350426063127</v>
      </c>
      <c r="AH144" s="20" t="n">
        <f aca="false">Operations!AH125*Operations!AH107*(1-Operations!AH134)</f>
        <v>43.6514857237572</v>
      </c>
      <c r="AI144" s="20" t="n">
        <f aca="false">Operations!AI125*Operations!AI107*(1-Operations!AI134)</f>
        <v>22.0344533427674</v>
      </c>
      <c r="AJ144" s="20" t="n">
        <f aca="false">Operations!AJ125*Operations!AJ107*(1-Operations!AJ134)</f>
        <v>0</v>
      </c>
      <c r="AK144" s="20" t="n">
        <f aca="false">Operations!AK125*Operations!AK107*(1-Operations!AK134)</f>
        <v>0</v>
      </c>
      <c r="AL144" s="20" t="n">
        <f aca="false">Operations!AL125*Operations!AL107*(1-Operations!AL134)</f>
        <v>0</v>
      </c>
      <c r="AM144" s="20" t="n">
        <f aca="false">Operations!AM125*Operations!AM107*(1-Operations!AM134)</f>
        <v>0</v>
      </c>
      <c r="AN144" s="20" t="n">
        <f aca="false">Operations!AN125*Operations!AN107*(1-Operations!AN134)</f>
        <v>0</v>
      </c>
      <c r="AO144" s="20" t="n">
        <f aca="false">Operations!AO125*Operations!AO107*(1-Operations!AO134)</f>
        <v>0</v>
      </c>
      <c r="AP144" s="20" t="n">
        <f aca="false">Operations!AP125*Operations!AP107*(1-Operations!AP134)</f>
        <v>0</v>
      </c>
      <c r="AQ144" s="20" t="n">
        <f aca="false">Operations!AQ125*Operations!AQ107*(1-Operations!AQ134)</f>
        <v>0</v>
      </c>
      <c r="AR144" s="20" t="n">
        <f aca="false">Operations!AR125*Operations!AR107*(1-Operations!AR134)</f>
        <v>0</v>
      </c>
      <c r="AS144" s="20" t="n">
        <f aca="false">Operations!AS125*Operations!AS107*(1-Operations!AS134)</f>
        <v>0</v>
      </c>
      <c r="AT144" s="20" t="n">
        <f aca="false">Operations!AT125*Operations!AT107*(1-Operations!AT134)</f>
        <v>0</v>
      </c>
      <c r="AU144" s="20" t="n">
        <f aca="false">Operations!AU125*Operations!AU107*(1-Operations!AU134)</f>
        <v>0</v>
      </c>
    </row>
    <row r="145" customFormat="false" ht="15" hidden="false" customHeight="false" outlineLevel="0" collapsed="false">
      <c r="D145" s="0" t="s">
        <v>541</v>
      </c>
      <c r="E145" s="0" t="s">
        <v>47</v>
      </c>
      <c r="J145" s="20" t="n">
        <f aca="false">Operations!J124*Operations!J107*(1-Operations!J134)</f>
        <v>18.9032963780822</v>
      </c>
      <c r="K145" s="20" t="n">
        <f aca="false">Operations!K124*Operations!K107*(1-Operations!K134)</f>
        <v>24.246140041</v>
      </c>
      <c r="L145" s="20" t="n">
        <f aca="false">Operations!L124*Operations!L107*(1-Operations!L134)</f>
        <v>24.197647760918</v>
      </c>
      <c r="M145" s="20" t="n">
        <f aca="false">Operations!M124*Operations!M107*(1-Operations!M134)</f>
        <v>24.1492524653962</v>
      </c>
      <c r="N145" s="20" t="n">
        <f aca="false">Operations!N124*Operations!N107*(1-Operations!N134)</f>
        <v>24.1009539604654</v>
      </c>
      <c r="O145" s="20" t="n">
        <f aca="false">Operations!O124*Operations!O107*(1-Operations!O134)</f>
        <v>24.0527520525444</v>
      </c>
      <c r="P145" s="20" t="n">
        <f aca="false">Operations!P124*Operations!P107*(1-Operations!P134)</f>
        <v>24.0046465484394</v>
      </c>
      <c r="Q145" s="20" t="n">
        <f aca="false">Operations!Q124*Operations!Q107*(1-Operations!Q134)</f>
        <v>28.95747779295</v>
      </c>
      <c r="R145" s="20" t="n">
        <f aca="false">Operations!R124*Operations!R107*(1-Operations!R134)</f>
        <v>34.6309086116968</v>
      </c>
      <c r="S145" s="20" t="n">
        <f aca="false">Operations!S124*Operations!S107*(1-Operations!S134)</f>
        <v>35.1361731367266</v>
      </c>
      <c r="T145" s="20" t="n">
        <f aca="false">Operations!T124*Operations!T107*(1-Operations!T134)</f>
        <v>35.647815758952</v>
      </c>
      <c r="U145" s="20" t="n">
        <f aca="false">Operations!U124*Operations!U107*(1-Operations!U134)</f>
        <v>36.1656568600048</v>
      </c>
      <c r="V145" s="20" t="n">
        <f aca="false">Operations!V124*Operations!V107*(1-Operations!V134)</f>
        <v>36.6895180886667</v>
      </c>
      <c r="W145" s="20" t="n">
        <f aca="false">Operations!W124*Operations!W107*(1-Operations!W134)</f>
        <v>37.2192223548307</v>
      </c>
      <c r="X145" s="20" t="n">
        <f aca="false">Operations!X124*Operations!X107*(1-Operations!X134)</f>
        <v>37.7545938234865</v>
      </c>
      <c r="Y145" s="20" t="n">
        <f aca="false">Operations!Y124*Operations!Y107*(1-Operations!Y134)</f>
        <v>38.3018941201421</v>
      </c>
      <c r="Z145" s="20" t="n">
        <f aca="false">Operations!Z124*Operations!Z107*(1-Operations!Z134)</f>
        <v>38.8544433908176</v>
      </c>
      <c r="AA145" s="20" t="n">
        <f aca="false">Operations!AA124*Operations!AA107*(1-Operations!AA134)</f>
        <v>39.4120698745005</v>
      </c>
      <c r="AB145" s="20" t="n">
        <f aca="false">Operations!AB124*Operations!AB107*(1-Operations!AB134)</f>
        <v>39.980934146135</v>
      </c>
      <c r="AC145" s="20" t="n">
        <f aca="false">Operations!AC124*Operations!AC107*(1-Operations!AC134)</f>
        <v>40.5544661802621</v>
      </c>
      <c r="AD145" s="20" t="n">
        <f aca="false">Operations!AD124*Operations!AD107*(1-Operations!AD134)</f>
        <v>41.1387598371777</v>
      </c>
      <c r="AE145" s="20" t="n">
        <f aca="false">Operations!AE124*Operations!AE107*(1-Operations!AE134)</f>
        <v>41.7273178161201</v>
      </c>
      <c r="AF145" s="20" t="n">
        <f aca="false">Operations!AF124*Operations!AF107*(1-Operations!AF134)</f>
        <v>42.3261676892588</v>
      </c>
      <c r="AG145" s="20" t="n">
        <f aca="false">Operations!AG124*Operations!AG107*(1-Operations!AG134)</f>
        <v>42.9350426063127</v>
      </c>
      <c r="AH145" s="20" t="n">
        <f aca="false">Operations!AH124*Operations!AH107*(1-Operations!AH134)</f>
        <v>43.6514857237572</v>
      </c>
      <c r="AI145" s="20" t="n">
        <f aca="false">Operations!AI124*Operations!AI107*(1-Operations!AI134)</f>
        <v>22.0344533427674</v>
      </c>
      <c r="AJ145" s="20" t="n">
        <f aca="false">Operations!AJ124*Operations!AJ107*(1-Operations!AJ134)</f>
        <v>0</v>
      </c>
      <c r="AK145" s="20" t="n">
        <f aca="false">Operations!AK124*Operations!AK107*(1-Operations!AK134)</f>
        <v>0</v>
      </c>
      <c r="AL145" s="20" t="n">
        <f aca="false">Operations!AL124*Operations!AL107*(1-Operations!AL134)</f>
        <v>0</v>
      </c>
      <c r="AM145" s="20" t="n">
        <f aca="false">Operations!AM124*Operations!AM107*(1-Operations!AM134)</f>
        <v>0</v>
      </c>
      <c r="AN145" s="20" t="n">
        <f aca="false">Operations!AN124*Operations!AN107*(1-Operations!AN134)</f>
        <v>0</v>
      </c>
      <c r="AO145" s="20" t="n">
        <f aca="false">Operations!AO124*Operations!AO107*(1-Operations!AO134)</f>
        <v>0</v>
      </c>
      <c r="AP145" s="20" t="n">
        <f aca="false">Operations!AP124*Operations!AP107*(1-Operations!AP134)</f>
        <v>0</v>
      </c>
      <c r="AQ145" s="20" t="n">
        <f aca="false">Operations!AQ124*Operations!AQ107*(1-Operations!AQ134)</f>
        <v>0</v>
      </c>
      <c r="AR145" s="20" t="n">
        <f aca="false">Operations!AR124*Operations!AR107*(1-Operations!AR134)</f>
        <v>0</v>
      </c>
      <c r="AS145" s="20" t="n">
        <f aca="false">Operations!AS124*Operations!AS107*(1-Operations!AS134)</f>
        <v>0</v>
      </c>
      <c r="AT145" s="20" t="n">
        <f aca="false">Operations!AT124*Operations!AT107*(1-Operations!AT134)</f>
        <v>0</v>
      </c>
      <c r="AU145" s="20" t="n">
        <f aca="false">Operations!AU124*Operations!AU107*(1-Operations!AU134)</f>
        <v>0</v>
      </c>
    </row>
    <row r="146" customFormat="false" ht="15" hidden="false" customHeight="false" outlineLevel="0" collapsed="false">
      <c r="D146" s="19" t="s">
        <v>542</v>
      </c>
    </row>
    <row r="147" customFormat="false" ht="15" hidden="false" customHeight="false" outlineLevel="0" collapsed="false">
      <c r="D147" s="0" t="s">
        <v>543</v>
      </c>
      <c r="E147" s="0" t="s">
        <v>458</v>
      </c>
      <c r="J147" s="14" t="n">
        <f aca="false">MAX(0,MIN(Inputs!$F$112,Time!J$6)-MAX(Inputs!$F$111,Time!J$5))/Time!J$7</f>
        <v>1</v>
      </c>
      <c r="K147" s="14" t="n">
        <f aca="false">MAX(0,MIN(Inputs!$F$112,Time!K$6)-MAX(Inputs!$F$111,Time!K$5))/Time!K$7</f>
        <v>1</v>
      </c>
      <c r="L147" s="14" t="n">
        <f aca="false">MAX(0,MIN(Inputs!$F$112,Time!L$6)-MAX(Inputs!$F$111,Time!L$5))/Time!L$7</f>
        <v>1</v>
      </c>
      <c r="M147" s="14" t="n">
        <f aca="false">MAX(0,MIN(Inputs!$F$112,Time!M$6)-MAX(Inputs!$F$111,Time!M$5))/Time!M$7</f>
        <v>1</v>
      </c>
      <c r="N147" s="14" t="n">
        <f aca="false">MAX(0,MIN(Inputs!$F$112,Time!N$6)-MAX(Inputs!$F$111,Time!N$5))/Time!N$7</f>
        <v>1</v>
      </c>
      <c r="O147" s="14" t="n">
        <f aca="false">MAX(0,MIN(Inputs!$F$112,Time!O$6)-MAX(Inputs!$F$111,Time!O$5))/Time!O$7</f>
        <v>1</v>
      </c>
      <c r="P147" s="14" t="n">
        <f aca="false">MAX(0,MIN(Inputs!$F$112,Time!P$6)-MAX(Inputs!$F$111,Time!P$5))/Time!P$7</f>
        <v>1</v>
      </c>
      <c r="Q147" s="14" t="n">
        <f aca="false">MAX(0,MIN(Inputs!$F$112,Time!Q$6)-MAX(Inputs!$F$111,Time!Q$5))/Time!Q$7</f>
        <v>1</v>
      </c>
      <c r="R147" s="14" t="n">
        <f aca="false">MAX(0,MIN(Inputs!$F$112,Time!R$6)-MAX(Inputs!$F$111,Time!R$5))/Time!R$7</f>
        <v>1</v>
      </c>
      <c r="S147" s="14" t="n">
        <f aca="false">MAX(0,MIN(Inputs!$F$112,Time!S$6)-MAX(Inputs!$F$111,Time!S$5))/Time!S$7</f>
        <v>1</v>
      </c>
      <c r="T147" s="14" t="n">
        <f aca="false">MAX(0,MIN(Inputs!$F$112,Time!T$6)-MAX(Inputs!$F$111,Time!T$5))/Time!T$7</f>
        <v>1</v>
      </c>
      <c r="U147" s="14" t="n">
        <f aca="false">MAX(0,MIN(Inputs!$F$112,Time!U$6)-MAX(Inputs!$F$111,Time!U$5))/Time!U$7</f>
        <v>1</v>
      </c>
      <c r="V147" s="14" t="n">
        <f aca="false">MAX(0,MIN(Inputs!$F$112,Time!V$6)-MAX(Inputs!$F$111,Time!V$5))/Time!V$7</f>
        <v>1</v>
      </c>
      <c r="W147" s="14" t="n">
        <f aca="false">MAX(0,MIN(Inputs!$F$112,Time!W$6)-MAX(Inputs!$F$111,Time!W$5))/Time!W$7</f>
        <v>1</v>
      </c>
      <c r="X147" s="14" t="n">
        <f aca="false">MAX(0,MIN(Inputs!$F$112,Time!X$6)-MAX(Inputs!$F$111,Time!X$5))/Time!X$7</f>
        <v>1</v>
      </c>
      <c r="Y147" s="14" t="n">
        <f aca="false">MAX(0,MIN(Inputs!$F$112,Time!Y$6)-MAX(Inputs!$F$111,Time!Y$5))/Time!Y$7</f>
        <v>1</v>
      </c>
      <c r="Z147" s="14" t="n">
        <f aca="false">MAX(0,MIN(Inputs!$F$112,Time!Z$6)-MAX(Inputs!$F$111,Time!Z$5))/Time!Z$7</f>
        <v>1</v>
      </c>
      <c r="AA147" s="14" t="n">
        <f aca="false">MAX(0,MIN(Inputs!$F$112,Time!AA$6)-MAX(Inputs!$F$111,Time!AA$5))/Time!AA$7</f>
        <v>1</v>
      </c>
      <c r="AB147" s="14" t="n">
        <f aca="false">MAX(0,MIN(Inputs!$F$112,Time!AB$6)-MAX(Inputs!$F$111,Time!AB$5))/Time!AB$7</f>
        <v>1</v>
      </c>
      <c r="AC147" s="14" t="n">
        <f aca="false">MAX(0,MIN(Inputs!$F$112,Time!AC$6)-MAX(Inputs!$F$111,Time!AC$5))/Time!AC$7</f>
        <v>1</v>
      </c>
      <c r="AD147" s="14" t="n">
        <f aca="false">MAX(0,MIN(Inputs!$F$112,Time!AD$6)-MAX(Inputs!$F$111,Time!AD$5))/Time!AD$7</f>
        <v>1</v>
      </c>
      <c r="AE147" s="14" t="n">
        <f aca="false">MAX(0,MIN(Inputs!$F$112,Time!AE$6)-MAX(Inputs!$F$111,Time!AE$5))/Time!AE$7</f>
        <v>1</v>
      </c>
      <c r="AF147" s="14" t="n">
        <f aca="false">MAX(0,MIN(Inputs!$F$112,Time!AF$6)-MAX(Inputs!$F$111,Time!AF$5))/Time!AF$7</f>
        <v>1</v>
      </c>
      <c r="AG147" s="14" t="n">
        <f aca="false">MAX(0,MIN(Inputs!$F$112,Time!AG$6)-MAX(Inputs!$F$111,Time!AG$5))/Time!AG$7</f>
        <v>1</v>
      </c>
      <c r="AH147" s="14" t="n">
        <f aca="false">MAX(0,MIN(Inputs!$F$112,Time!AH$6)-MAX(Inputs!$F$111,Time!AH$5))/Time!AH$7</f>
        <v>1</v>
      </c>
      <c r="AI147" s="14" t="n">
        <f aca="false">MAX(0,MIN(Inputs!$F$112,Time!AI$6)-MAX(Inputs!$F$111,Time!AI$5))/Time!AI$7</f>
        <v>1</v>
      </c>
      <c r="AJ147" s="14" t="n">
        <f aca="false">MAX(0,MIN(Inputs!$F$112,Time!AJ$6)-MAX(Inputs!$F$111,Time!AJ$5))/Time!AJ$7</f>
        <v>1</v>
      </c>
      <c r="AK147" s="14" t="n">
        <f aca="false">MAX(0,MIN(Inputs!$F$112,Time!AK$6)-MAX(Inputs!$F$111,Time!AK$5))/Time!AK$7</f>
        <v>0.915068493150685</v>
      </c>
      <c r="AL147" s="14" t="n">
        <f aca="false">MAX(0,MIN(Inputs!$F$112,Time!AL$6)-MAX(Inputs!$F$111,Time!AL$5))/Time!AL$7</f>
        <v>0</v>
      </c>
      <c r="AM147" s="14" t="n">
        <f aca="false">MAX(0,MIN(Inputs!$F$112,Time!AM$6)-MAX(Inputs!$F$111,Time!AM$5))/Time!AM$7</f>
        <v>0</v>
      </c>
      <c r="AN147" s="14" t="n">
        <f aca="false">MAX(0,MIN(Inputs!$F$112,Time!AN$6)-MAX(Inputs!$F$111,Time!AN$5))/Time!AN$7</f>
        <v>0</v>
      </c>
      <c r="AO147" s="14" t="n">
        <f aca="false">MAX(0,MIN(Inputs!$F$112,Time!AO$6)-MAX(Inputs!$F$111,Time!AO$5))/Time!AO$7</f>
        <v>0</v>
      </c>
      <c r="AP147" s="14" t="n">
        <f aca="false">MAX(0,MIN(Inputs!$F$112,Time!AP$6)-MAX(Inputs!$F$111,Time!AP$5))/Time!AP$7</f>
        <v>0</v>
      </c>
      <c r="AQ147" s="14" t="n">
        <f aca="false">MAX(0,MIN(Inputs!$F$112,Time!AQ$6)-MAX(Inputs!$F$111,Time!AQ$5))/Time!AQ$7</f>
        <v>0</v>
      </c>
      <c r="AR147" s="14" t="n">
        <f aca="false">MAX(0,MIN(Inputs!$F$112,Time!AR$6)-MAX(Inputs!$F$111,Time!AR$5))/Time!AR$7</f>
        <v>0</v>
      </c>
      <c r="AS147" s="14" t="n">
        <f aca="false">MAX(0,MIN(Inputs!$F$112,Time!AS$6)-MAX(Inputs!$F$111,Time!AS$5))/Time!AS$7</f>
        <v>0</v>
      </c>
      <c r="AT147" s="14" t="n">
        <f aca="false">MAX(0,MIN(Inputs!$F$112,Time!AT$6)-MAX(Inputs!$F$111,Time!AT$5))/Time!AT$7</f>
        <v>0</v>
      </c>
      <c r="AU147" s="14" t="n">
        <f aca="false">MAX(0,MIN(Inputs!$F$112,Time!AU$6)-MAX(Inputs!$F$111,Time!AU$5))/Time!AU$7</f>
        <v>0</v>
      </c>
    </row>
    <row r="148" customFormat="false" ht="15" hidden="false" customHeight="false" outlineLevel="0" collapsed="false">
      <c r="D148" s="0" t="s">
        <v>544</v>
      </c>
      <c r="E148" s="0" t="s">
        <v>458</v>
      </c>
      <c r="J148" s="14" t="n">
        <f aca="false">MAX(0,MIN(Inputs!$F$112,Time!J$6)-MAX(MAX(Inputs!$F$113,Inputs!$F$111),Time!J$5))/Time!J$7</f>
        <v>0.778082191780822</v>
      </c>
      <c r="K148" s="14" t="n">
        <f aca="false">MAX(0,MIN(Inputs!$F$112,Time!K$6)-MAX(MAX(Inputs!$F$113,Inputs!$F$111),Time!K$5))/Time!K$7</f>
        <v>1</v>
      </c>
      <c r="L148" s="14" t="n">
        <f aca="false">MAX(0,MIN(Inputs!$F$112,Time!L$6)-MAX(MAX(Inputs!$F$113,Inputs!$F$111),Time!L$5))/Time!L$7</f>
        <v>1</v>
      </c>
      <c r="M148" s="14" t="n">
        <f aca="false">MAX(0,MIN(Inputs!$F$112,Time!M$6)-MAX(MAX(Inputs!$F$113,Inputs!$F$111),Time!M$5))/Time!M$7</f>
        <v>1</v>
      </c>
      <c r="N148" s="14" t="n">
        <f aca="false">MAX(0,MIN(Inputs!$F$112,Time!N$6)-MAX(MAX(Inputs!$F$113,Inputs!$F$111),Time!N$5))/Time!N$7</f>
        <v>1</v>
      </c>
      <c r="O148" s="14" t="n">
        <f aca="false">MAX(0,MIN(Inputs!$F$112,Time!O$6)-MAX(MAX(Inputs!$F$113,Inputs!$F$111),Time!O$5))/Time!O$7</f>
        <v>1</v>
      </c>
      <c r="P148" s="14" t="n">
        <f aca="false">MAX(0,MIN(Inputs!$F$112,Time!P$6)-MAX(MAX(Inputs!$F$113,Inputs!$F$111),Time!P$5))/Time!P$7</f>
        <v>1</v>
      </c>
      <c r="Q148" s="14" t="n">
        <f aca="false">MAX(0,MIN(Inputs!$F$112,Time!Q$6)-MAX(MAX(Inputs!$F$113,Inputs!$F$111),Time!Q$5))/Time!Q$7</f>
        <v>1</v>
      </c>
      <c r="R148" s="14" t="n">
        <f aca="false">MAX(0,MIN(Inputs!$F$112,Time!R$6)-MAX(MAX(Inputs!$F$113,Inputs!$F$111),Time!R$5))/Time!R$7</f>
        <v>1</v>
      </c>
      <c r="S148" s="14" t="n">
        <f aca="false">MAX(0,MIN(Inputs!$F$112,Time!S$6)-MAX(MAX(Inputs!$F$113,Inputs!$F$111),Time!S$5))/Time!S$7</f>
        <v>1</v>
      </c>
      <c r="T148" s="14" t="n">
        <f aca="false">MAX(0,MIN(Inputs!$F$112,Time!T$6)-MAX(MAX(Inputs!$F$113,Inputs!$F$111),Time!T$5))/Time!T$7</f>
        <v>1</v>
      </c>
      <c r="U148" s="14" t="n">
        <f aca="false">MAX(0,MIN(Inputs!$F$112,Time!U$6)-MAX(MAX(Inputs!$F$113,Inputs!$F$111),Time!U$5))/Time!U$7</f>
        <v>1</v>
      </c>
      <c r="V148" s="14" t="n">
        <f aca="false">MAX(0,MIN(Inputs!$F$112,Time!V$6)-MAX(MAX(Inputs!$F$113,Inputs!$F$111),Time!V$5))/Time!V$7</f>
        <v>1</v>
      </c>
      <c r="W148" s="14" t="n">
        <f aca="false">MAX(0,MIN(Inputs!$F$112,Time!W$6)-MAX(MAX(Inputs!$F$113,Inputs!$F$111),Time!W$5))/Time!W$7</f>
        <v>1</v>
      </c>
      <c r="X148" s="14" t="n">
        <f aca="false">MAX(0,MIN(Inputs!$F$112,Time!X$6)-MAX(MAX(Inputs!$F$113,Inputs!$F$111),Time!X$5))/Time!X$7</f>
        <v>1</v>
      </c>
      <c r="Y148" s="14" t="n">
        <f aca="false">MAX(0,MIN(Inputs!$F$112,Time!Y$6)-MAX(MAX(Inputs!$F$113,Inputs!$F$111),Time!Y$5))/Time!Y$7</f>
        <v>1</v>
      </c>
      <c r="Z148" s="14" t="n">
        <f aca="false">MAX(0,MIN(Inputs!$F$112,Time!Z$6)-MAX(MAX(Inputs!$F$113,Inputs!$F$111),Time!Z$5))/Time!Z$7</f>
        <v>1</v>
      </c>
      <c r="AA148" s="14" t="n">
        <f aca="false">MAX(0,MIN(Inputs!$F$112,Time!AA$6)-MAX(MAX(Inputs!$F$113,Inputs!$F$111),Time!AA$5))/Time!AA$7</f>
        <v>1</v>
      </c>
      <c r="AB148" s="14" t="n">
        <f aca="false">MAX(0,MIN(Inputs!$F$112,Time!AB$6)-MAX(MAX(Inputs!$F$113,Inputs!$F$111),Time!AB$5))/Time!AB$7</f>
        <v>1</v>
      </c>
      <c r="AC148" s="14" t="n">
        <f aca="false">MAX(0,MIN(Inputs!$F$112,Time!AC$6)-MAX(MAX(Inputs!$F$113,Inputs!$F$111),Time!AC$5))/Time!AC$7</f>
        <v>1</v>
      </c>
      <c r="AD148" s="14" t="n">
        <f aca="false">MAX(0,MIN(Inputs!$F$112,Time!AD$6)-MAX(MAX(Inputs!$F$113,Inputs!$F$111),Time!AD$5))/Time!AD$7</f>
        <v>1</v>
      </c>
      <c r="AE148" s="14" t="n">
        <f aca="false">MAX(0,MIN(Inputs!$F$112,Time!AE$6)-MAX(MAX(Inputs!$F$113,Inputs!$F$111),Time!AE$5))/Time!AE$7</f>
        <v>1</v>
      </c>
      <c r="AF148" s="14" t="n">
        <f aca="false">MAX(0,MIN(Inputs!$F$112,Time!AF$6)-MAX(MAX(Inputs!$F$113,Inputs!$F$111),Time!AF$5))/Time!AF$7</f>
        <v>1</v>
      </c>
      <c r="AG148" s="14" t="n">
        <f aca="false">MAX(0,MIN(Inputs!$F$112,Time!AG$6)-MAX(MAX(Inputs!$F$113,Inputs!$F$111),Time!AG$5))/Time!AG$7</f>
        <v>1</v>
      </c>
      <c r="AH148" s="14" t="n">
        <f aca="false">MAX(0,MIN(Inputs!$F$112,Time!AH$6)-MAX(MAX(Inputs!$F$113,Inputs!$F$111),Time!AH$5))/Time!AH$7</f>
        <v>1</v>
      </c>
      <c r="AI148" s="14" t="n">
        <f aca="false">MAX(0,MIN(Inputs!$F$112,Time!AI$6)-MAX(MAX(Inputs!$F$113,Inputs!$F$111),Time!AI$5))/Time!AI$7</f>
        <v>1</v>
      </c>
      <c r="AJ148" s="14" t="n">
        <f aca="false">MAX(0,MIN(Inputs!$F$112,Time!AJ$6)-MAX(MAX(Inputs!$F$113,Inputs!$F$111),Time!AJ$5))/Time!AJ$7</f>
        <v>1</v>
      </c>
      <c r="AK148" s="14" t="n">
        <f aca="false">MAX(0,MIN(Inputs!$F$112,Time!AK$6)-MAX(MAX(Inputs!$F$113,Inputs!$F$111),Time!AK$5))/Time!AK$7</f>
        <v>0.915068493150685</v>
      </c>
      <c r="AL148" s="14" t="n">
        <f aca="false">MAX(0,MIN(Inputs!$F$112,Time!AL$6)-MAX(MAX(Inputs!$F$113,Inputs!$F$111),Time!AL$5))/Time!AL$7</f>
        <v>0</v>
      </c>
      <c r="AM148" s="14" t="n">
        <f aca="false">MAX(0,MIN(Inputs!$F$112,Time!AM$6)-MAX(MAX(Inputs!$F$113,Inputs!$F$111),Time!AM$5))/Time!AM$7</f>
        <v>0</v>
      </c>
      <c r="AN148" s="14" t="n">
        <f aca="false">MAX(0,MIN(Inputs!$F$112,Time!AN$6)-MAX(MAX(Inputs!$F$113,Inputs!$F$111),Time!AN$5))/Time!AN$7</f>
        <v>0</v>
      </c>
      <c r="AO148" s="14" t="n">
        <f aca="false">MAX(0,MIN(Inputs!$F$112,Time!AO$6)-MAX(MAX(Inputs!$F$113,Inputs!$F$111),Time!AO$5))/Time!AO$7</f>
        <v>0</v>
      </c>
      <c r="AP148" s="14" t="n">
        <f aca="false">MAX(0,MIN(Inputs!$F$112,Time!AP$6)-MAX(MAX(Inputs!$F$113,Inputs!$F$111),Time!AP$5))/Time!AP$7</f>
        <v>0</v>
      </c>
      <c r="AQ148" s="14" t="n">
        <f aca="false">MAX(0,MIN(Inputs!$F$112,Time!AQ$6)-MAX(MAX(Inputs!$F$113,Inputs!$F$111),Time!AQ$5))/Time!AQ$7</f>
        <v>0</v>
      </c>
      <c r="AR148" s="14" t="n">
        <f aca="false">MAX(0,MIN(Inputs!$F$112,Time!AR$6)-MAX(MAX(Inputs!$F$113,Inputs!$F$111),Time!AR$5))/Time!AR$7</f>
        <v>0</v>
      </c>
      <c r="AS148" s="14" t="n">
        <f aca="false">MAX(0,MIN(Inputs!$F$112,Time!AS$6)-MAX(MAX(Inputs!$F$113,Inputs!$F$111),Time!AS$5))/Time!AS$7</f>
        <v>0</v>
      </c>
      <c r="AT148" s="14" t="n">
        <f aca="false">MAX(0,MIN(Inputs!$F$112,Time!AT$6)-MAX(MAX(Inputs!$F$113,Inputs!$F$111),Time!AT$5))/Time!AT$7</f>
        <v>0</v>
      </c>
      <c r="AU148" s="14" t="n">
        <f aca="false">MAX(0,MIN(Inputs!$F$112,Time!AU$6)-MAX(MAX(Inputs!$F$113,Inputs!$F$111),Time!AU$5))/Time!AU$7</f>
        <v>0</v>
      </c>
    </row>
    <row r="149" customFormat="false" ht="15" hidden="false" customHeight="false" outlineLevel="0" collapsed="false">
      <c r="D149" s="0" t="s">
        <v>545</v>
      </c>
      <c r="E149" s="0" t="s">
        <v>458</v>
      </c>
      <c r="J149" s="14" t="n">
        <f aca="false">IF(Operations!J147&gt;0,Operations!J148/Operations!J147,0)</f>
        <v>0.778082191780822</v>
      </c>
      <c r="K149" s="14" t="n">
        <f aca="false">IF(Operations!K147&gt;0,Operations!K148/Operations!K147,0)</f>
        <v>1</v>
      </c>
      <c r="L149" s="14" t="n">
        <f aca="false">IF(Operations!L147&gt;0,Operations!L148/Operations!L147,0)</f>
        <v>1</v>
      </c>
      <c r="M149" s="14" t="n">
        <f aca="false">IF(Operations!M147&gt;0,Operations!M148/Operations!M147,0)</f>
        <v>1</v>
      </c>
      <c r="N149" s="14" t="n">
        <f aca="false">IF(Operations!N147&gt;0,Operations!N148/Operations!N147,0)</f>
        <v>1</v>
      </c>
      <c r="O149" s="14" t="n">
        <f aca="false">IF(Operations!O147&gt;0,Operations!O148/Operations!O147,0)</f>
        <v>1</v>
      </c>
      <c r="P149" s="14" t="n">
        <f aca="false">IF(Operations!P147&gt;0,Operations!P148/Operations!P147,0)</f>
        <v>1</v>
      </c>
      <c r="Q149" s="14" t="n">
        <f aca="false">IF(Operations!Q147&gt;0,Operations!Q148/Operations!Q147,0)</f>
        <v>1</v>
      </c>
      <c r="R149" s="14" t="n">
        <f aca="false">IF(Operations!R147&gt;0,Operations!R148/Operations!R147,0)</f>
        <v>1</v>
      </c>
      <c r="S149" s="14" t="n">
        <f aca="false">IF(Operations!S147&gt;0,Operations!S148/Operations!S147,0)</f>
        <v>1</v>
      </c>
      <c r="T149" s="14" t="n">
        <f aca="false">IF(Operations!T147&gt;0,Operations!T148/Operations!T147,0)</f>
        <v>1</v>
      </c>
      <c r="U149" s="14" t="n">
        <f aca="false">IF(Operations!U147&gt;0,Operations!U148/Operations!U147,0)</f>
        <v>1</v>
      </c>
      <c r="V149" s="14" t="n">
        <f aca="false">IF(Operations!V147&gt;0,Operations!V148/Operations!V147,0)</f>
        <v>1</v>
      </c>
      <c r="W149" s="14" t="n">
        <f aca="false">IF(Operations!W147&gt;0,Operations!W148/Operations!W147,0)</f>
        <v>1</v>
      </c>
      <c r="X149" s="14" t="n">
        <f aca="false">IF(Operations!X147&gt;0,Operations!X148/Operations!X147,0)</f>
        <v>1</v>
      </c>
      <c r="Y149" s="14" t="n">
        <f aca="false">IF(Operations!Y147&gt;0,Operations!Y148/Operations!Y147,0)</f>
        <v>1</v>
      </c>
      <c r="Z149" s="14" t="n">
        <f aca="false">IF(Operations!Z147&gt;0,Operations!Z148/Operations!Z147,0)</f>
        <v>1</v>
      </c>
      <c r="AA149" s="14" t="n">
        <f aca="false">IF(Operations!AA147&gt;0,Operations!AA148/Operations!AA147,0)</f>
        <v>1</v>
      </c>
      <c r="AB149" s="14" t="n">
        <f aca="false">IF(Operations!AB147&gt;0,Operations!AB148/Operations!AB147,0)</f>
        <v>1</v>
      </c>
      <c r="AC149" s="14" t="n">
        <f aca="false">IF(Operations!AC147&gt;0,Operations!AC148/Operations!AC147,0)</f>
        <v>1</v>
      </c>
      <c r="AD149" s="14" t="n">
        <f aca="false">IF(Operations!AD147&gt;0,Operations!AD148/Operations!AD147,0)</f>
        <v>1</v>
      </c>
      <c r="AE149" s="14" t="n">
        <f aca="false">IF(Operations!AE147&gt;0,Operations!AE148/Operations!AE147,0)</f>
        <v>1</v>
      </c>
      <c r="AF149" s="14" t="n">
        <f aca="false">IF(Operations!AF147&gt;0,Operations!AF148/Operations!AF147,0)</f>
        <v>1</v>
      </c>
      <c r="AG149" s="14" t="n">
        <f aca="false">IF(Operations!AG147&gt;0,Operations!AG148/Operations!AG147,0)</f>
        <v>1</v>
      </c>
      <c r="AH149" s="14" t="n">
        <f aca="false">IF(Operations!AH147&gt;0,Operations!AH148/Operations!AH147,0)</f>
        <v>1</v>
      </c>
      <c r="AI149" s="14" t="n">
        <f aca="false">IF(Operations!AI147&gt;0,Operations!AI148/Operations!AI147,0)</f>
        <v>1</v>
      </c>
      <c r="AJ149" s="14" t="n">
        <f aca="false">IF(Operations!AJ147&gt;0,Operations!AJ148/Operations!AJ147,0)</f>
        <v>1</v>
      </c>
      <c r="AK149" s="14" t="n">
        <f aca="false">IF(Operations!AK147&gt;0,Operations!AK148/Operations!AK147,0)</f>
        <v>1</v>
      </c>
      <c r="AL149" s="14" t="n">
        <f aca="false">IF(Operations!AL147&gt;0,Operations!AL148/Operations!AL147,0)</f>
        <v>0</v>
      </c>
      <c r="AM149" s="14" t="n">
        <f aca="false">IF(Operations!AM147&gt;0,Operations!AM148/Operations!AM147,0)</f>
        <v>0</v>
      </c>
      <c r="AN149" s="14" t="n">
        <f aca="false">IF(Operations!AN147&gt;0,Operations!AN148/Operations!AN147,0)</f>
        <v>0</v>
      </c>
      <c r="AO149" s="14" t="n">
        <f aca="false">IF(Operations!AO147&gt;0,Operations!AO148/Operations!AO147,0)</f>
        <v>0</v>
      </c>
      <c r="AP149" s="14" t="n">
        <f aca="false">IF(Operations!AP147&gt;0,Operations!AP148/Operations!AP147,0)</f>
        <v>0</v>
      </c>
      <c r="AQ149" s="14" t="n">
        <f aca="false">IF(Operations!AQ147&gt;0,Operations!AQ148/Operations!AQ147,0)</f>
        <v>0</v>
      </c>
      <c r="AR149" s="14" t="n">
        <f aca="false">IF(Operations!AR147&gt;0,Operations!AR148/Operations!AR147,0)</f>
        <v>0</v>
      </c>
      <c r="AS149" s="14" t="n">
        <f aca="false">IF(Operations!AS147&gt;0,Operations!AS148/Operations!AS147,0)</f>
        <v>0</v>
      </c>
      <c r="AT149" s="14" t="n">
        <f aca="false">IF(Operations!AT147&gt;0,Operations!AT148/Operations!AT147,0)</f>
        <v>0</v>
      </c>
      <c r="AU149" s="14" t="n">
        <f aca="false">IF(Operations!AU147&gt;0,Operations!AU148/Operations!AU147,0)</f>
        <v>0</v>
      </c>
    </row>
    <row r="150" customFormat="false" ht="15" hidden="false" customHeight="false" outlineLevel="0" collapsed="false">
      <c r="D150" s="0" t="s">
        <v>546</v>
      </c>
      <c r="E150" s="0" t="s">
        <v>96</v>
      </c>
      <c r="J150" s="18" t="n">
        <f aca="false">Operations!J53</f>
        <v>72.2128</v>
      </c>
      <c r="K150" s="18" t="n">
        <f aca="false">Operations!K53</f>
        <v>59.2416</v>
      </c>
      <c r="L150" s="18" t="n">
        <f aca="false">Operations!L53</f>
        <v>29.1368</v>
      </c>
      <c r="M150" s="18" t="n">
        <f aca="false">Operations!M53</f>
        <v>38.5264</v>
      </c>
      <c r="N150" s="18" t="n">
        <f aca="false">Operations!N53</f>
        <v>43.1728</v>
      </c>
      <c r="O150" s="18" t="n">
        <f aca="false">Operations!O53</f>
        <v>45.7864</v>
      </c>
      <c r="P150" s="18" t="n">
        <f aca="false">Operations!P53</f>
        <v>47.5288</v>
      </c>
      <c r="Q150" s="18" t="n">
        <f aca="false">Operations!Q53</f>
        <v>48.7872</v>
      </c>
      <c r="R150" s="18" t="n">
        <f aca="false">Operations!R53</f>
        <v>50.1424</v>
      </c>
      <c r="S150" s="18" t="n">
        <f aca="false">Operations!S53</f>
        <v>51.14912</v>
      </c>
      <c r="T150" s="18" t="n">
        <f aca="false">Operations!T53</f>
        <v>52.1752</v>
      </c>
      <c r="U150" s="18" t="n">
        <f aca="false">Operations!U53</f>
        <v>53.22064</v>
      </c>
      <c r="V150" s="18" t="n">
        <f aca="false">Operations!V53</f>
        <v>54.28544</v>
      </c>
      <c r="W150" s="18" t="n">
        <f aca="false">Operations!W53</f>
        <v>55.3696</v>
      </c>
      <c r="X150" s="18" t="n">
        <f aca="false">Operations!X53</f>
        <v>56.47312</v>
      </c>
      <c r="Y150" s="18" t="n">
        <f aca="false">Operations!Y53</f>
        <v>57.60568</v>
      </c>
      <c r="Z150" s="18" t="n">
        <f aca="false">Operations!Z53</f>
        <v>58.7576</v>
      </c>
      <c r="AA150" s="18" t="n">
        <f aca="false">Operations!AA53</f>
        <v>59.92888</v>
      </c>
      <c r="AB150" s="18" t="n">
        <f aca="false">Operations!AB53</f>
        <v>61.1292</v>
      </c>
      <c r="AC150" s="18" t="n">
        <f aca="false">Operations!AC53</f>
        <v>62.34888</v>
      </c>
      <c r="AD150" s="18" t="n">
        <f aca="false">Operations!AD53</f>
        <v>63.5976</v>
      </c>
      <c r="AE150" s="18" t="n">
        <f aca="false">Operations!AE53</f>
        <v>64.86568</v>
      </c>
      <c r="AF150" s="18" t="n">
        <f aca="false">Operations!AF53</f>
        <v>66.1628</v>
      </c>
      <c r="AG150" s="18" t="n">
        <f aca="false">Operations!AG53</f>
        <v>67.48896</v>
      </c>
      <c r="AH150" s="18" t="n">
        <f aca="false">Operations!AH53</f>
        <v>68.83448</v>
      </c>
      <c r="AI150" s="18" t="n">
        <f aca="false">Operations!AI53</f>
        <v>70.20904</v>
      </c>
      <c r="AJ150" s="18" t="n">
        <f aca="false">Operations!AJ53</f>
        <v>71.61264</v>
      </c>
      <c r="AK150" s="18" t="n">
        <f aca="false">Operations!AK53</f>
        <v>73.04528</v>
      </c>
      <c r="AL150" s="18" t="n">
        <f aca="false">Operations!AL53</f>
        <v>74.50696</v>
      </c>
      <c r="AM150" s="18" t="n">
        <f aca="false">Operations!AM53</f>
        <v>75.99768</v>
      </c>
      <c r="AN150" s="18" t="n">
        <f aca="false">Operations!AN53</f>
        <v>77.51744</v>
      </c>
      <c r="AO150" s="18" t="n">
        <f aca="false">Operations!AO53</f>
        <v>79.06624</v>
      </c>
      <c r="AP150" s="18" t="n">
        <f aca="false">Operations!AP53</f>
        <v>80.64408</v>
      </c>
      <c r="AQ150" s="18" t="n">
        <f aca="false">Operations!AQ53</f>
        <v>82.26064</v>
      </c>
      <c r="AR150" s="18" t="n">
        <f aca="false">Operations!AR53</f>
        <v>83.90624</v>
      </c>
      <c r="AS150" s="18" t="n">
        <f aca="false">Operations!AS53</f>
        <v>85.58088</v>
      </c>
      <c r="AT150" s="18" t="n">
        <f aca="false">Operations!AT53</f>
        <v>87.29424</v>
      </c>
      <c r="AU150" s="18" t="n">
        <f aca="false">Operations!AU53</f>
        <v>89.03664</v>
      </c>
    </row>
    <row r="151" customFormat="false" ht="15" hidden="false" customHeight="false" outlineLevel="0" collapsed="false">
      <c r="D151" s="0" t="s">
        <v>547</v>
      </c>
      <c r="E151" s="0" t="s">
        <v>27</v>
      </c>
      <c r="J151" s="14" t="n">
        <f aca="false">CHOOSE(Operations!$F$47,1,Inputs!$F$117/100,Inputs!$F$118/100,Operations!$F$24/100)</f>
        <v>1</v>
      </c>
      <c r="K151" s="14" t="n">
        <f aca="false">CHOOSE(Operations!$F$47,1,Inputs!$F$117/100,Inputs!$F$118/100,Operations!$F$24/100)</f>
        <v>1</v>
      </c>
      <c r="L151" s="14" t="n">
        <f aca="false">CHOOSE(Operations!$F$47,1,Inputs!$F$117/100,Inputs!$F$118/100,Operations!$F$24/100)</f>
        <v>1</v>
      </c>
      <c r="M151" s="14" t="n">
        <f aca="false">CHOOSE(Operations!$F$47,1,Inputs!$F$117/100,Inputs!$F$118/100,Operations!$F$24/100)</f>
        <v>1</v>
      </c>
      <c r="N151" s="14" t="n">
        <f aca="false">CHOOSE(Operations!$F$47,1,Inputs!$F$117/100,Inputs!$F$118/100,Operations!$F$24/100)</f>
        <v>1</v>
      </c>
      <c r="O151" s="14" t="n">
        <f aca="false">CHOOSE(Operations!$F$47,1,Inputs!$F$117/100,Inputs!$F$118/100,Operations!$F$24/100)</f>
        <v>1</v>
      </c>
      <c r="P151" s="14" t="n">
        <f aca="false">CHOOSE(Operations!$F$47,1,Inputs!$F$117/100,Inputs!$F$118/100,Operations!$F$24/100)</f>
        <v>1</v>
      </c>
      <c r="Q151" s="14" t="n">
        <f aca="false">CHOOSE(Operations!$F$47,1,Inputs!$F$117/100,Inputs!$F$118/100,Operations!$F$24/100)</f>
        <v>1</v>
      </c>
      <c r="R151" s="14" t="n">
        <f aca="false">CHOOSE(Operations!$F$47,1,Inputs!$F$117/100,Inputs!$F$118/100,Operations!$F$24/100)</f>
        <v>1</v>
      </c>
      <c r="S151" s="14" t="n">
        <f aca="false">CHOOSE(Operations!$F$47,1,Inputs!$F$117/100,Inputs!$F$118/100,Operations!$F$24/100)</f>
        <v>1</v>
      </c>
      <c r="T151" s="14" t="n">
        <f aca="false">CHOOSE(Operations!$F$47,1,Inputs!$F$117/100,Inputs!$F$118/100,Operations!$F$24/100)</f>
        <v>1</v>
      </c>
      <c r="U151" s="14" t="n">
        <f aca="false">CHOOSE(Operations!$F$47,1,Inputs!$F$117/100,Inputs!$F$118/100,Operations!$F$24/100)</f>
        <v>1</v>
      </c>
      <c r="V151" s="14" t="n">
        <f aca="false">CHOOSE(Operations!$F$47,1,Inputs!$F$117/100,Inputs!$F$118/100,Operations!$F$24/100)</f>
        <v>1</v>
      </c>
      <c r="W151" s="14" t="n">
        <f aca="false">CHOOSE(Operations!$F$47,1,Inputs!$F$117/100,Inputs!$F$118/100,Operations!$F$24/100)</f>
        <v>1</v>
      </c>
      <c r="X151" s="14" t="n">
        <f aca="false">CHOOSE(Operations!$F$47,1,Inputs!$F$117/100,Inputs!$F$118/100,Operations!$F$24/100)</f>
        <v>1</v>
      </c>
      <c r="Y151" s="14" t="n">
        <f aca="false">CHOOSE(Operations!$F$47,1,Inputs!$F$117/100,Inputs!$F$118/100,Operations!$F$24/100)</f>
        <v>1</v>
      </c>
      <c r="Z151" s="14" t="n">
        <f aca="false">CHOOSE(Operations!$F$47,1,Inputs!$F$117/100,Inputs!$F$118/100,Operations!$F$24/100)</f>
        <v>1</v>
      </c>
      <c r="AA151" s="14" t="n">
        <f aca="false">CHOOSE(Operations!$F$47,1,Inputs!$F$117/100,Inputs!$F$118/100,Operations!$F$24/100)</f>
        <v>1</v>
      </c>
      <c r="AB151" s="14" t="n">
        <f aca="false">CHOOSE(Operations!$F$47,1,Inputs!$F$117/100,Inputs!$F$118/100,Operations!$F$24/100)</f>
        <v>1</v>
      </c>
      <c r="AC151" s="14" t="n">
        <f aca="false">CHOOSE(Operations!$F$47,1,Inputs!$F$117/100,Inputs!$F$118/100,Operations!$F$24/100)</f>
        <v>1</v>
      </c>
      <c r="AD151" s="14" t="n">
        <f aca="false">CHOOSE(Operations!$F$47,1,Inputs!$F$117/100,Inputs!$F$118/100,Operations!$F$24/100)</f>
        <v>1</v>
      </c>
      <c r="AE151" s="14" t="n">
        <f aca="false">CHOOSE(Operations!$F$47,1,Inputs!$F$117/100,Inputs!$F$118/100,Operations!$F$24/100)</f>
        <v>1</v>
      </c>
      <c r="AF151" s="14" t="n">
        <f aca="false">CHOOSE(Operations!$F$47,1,Inputs!$F$117/100,Inputs!$F$118/100,Operations!$F$24/100)</f>
        <v>1</v>
      </c>
      <c r="AG151" s="14" t="n">
        <f aca="false">CHOOSE(Operations!$F$47,1,Inputs!$F$117/100,Inputs!$F$118/100,Operations!$F$24/100)</f>
        <v>1</v>
      </c>
      <c r="AH151" s="14" t="n">
        <f aca="false">CHOOSE(Operations!$F$47,1,Inputs!$F$117/100,Inputs!$F$118/100,Operations!$F$24/100)</f>
        <v>1</v>
      </c>
      <c r="AI151" s="14" t="n">
        <f aca="false">CHOOSE(Operations!$F$47,1,Inputs!$F$117/100,Inputs!$F$118/100,Operations!$F$24/100)</f>
        <v>1</v>
      </c>
      <c r="AJ151" s="14" t="n">
        <f aca="false">CHOOSE(Operations!$F$47,1,Inputs!$F$117/100,Inputs!$F$118/100,Operations!$F$24/100)</f>
        <v>1</v>
      </c>
      <c r="AK151" s="14" t="n">
        <f aca="false">CHOOSE(Operations!$F$47,1,Inputs!$F$117/100,Inputs!$F$118/100,Operations!$F$24/100)</f>
        <v>1</v>
      </c>
      <c r="AL151" s="14" t="n">
        <f aca="false">CHOOSE(Operations!$F$47,1,Inputs!$F$117/100,Inputs!$F$118/100,Operations!$F$24/100)</f>
        <v>1</v>
      </c>
      <c r="AM151" s="14" t="n">
        <f aca="false">CHOOSE(Operations!$F$47,1,Inputs!$F$117/100,Inputs!$F$118/100,Operations!$F$24/100)</f>
        <v>1</v>
      </c>
      <c r="AN151" s="14" t="n">
        <f aca="false">CHOOSE(Operations!$F$47,1,Inputs!$F$117/100,Inputs!$F$118/100,Operations!$F$24/100)</f>
        <v>1</v>
      </c>
      <c r="AO151" s="14" t="n">
        <f aca="false">CHOOSE(Operations!$F$47,1,Inputs!$F$117/100,Inputs!$F$118/100,Operations!$F$24/100)</f>
        <v>1</v>
      </c>
      <c r="AP151" s="14" t="n">
        <f aca="false">CHOOSE(Operations!$F$47,1,Inputs!$F$117/100,Inputs!$F$118/100,Operations!$F$24/100)</f>
        <v>1</v>
      </c>
      <c r="AQ151" s="14" t="n">
        <f aca="false">CHOOSE(Operations!$F$47,1,Inputs!$F$117/100,Inputs!$F$118/100,Operations!$F$24/100)</f>
        <v>1</v>
      </c>
      <c r="AR151" s="14" t="n">
        <f aca="false">CHOOSE(Operations!$F$47,1,Inputs!$F$117/100,Inputs!$F$118/100,Operations!$F$24/100)</f>
        <v>1</v>
      </c>
      <c r="AS151" s="14" t="n">
        <f aca="false">CHOOSE(Operations!$F$47,1,Inputs!$F$117/100,Inputs!$F$118/100,Operations!$F$24/100)</f>
        <v>1</v>
      </c>
      <c r="AT151" s="14" t="n">
        <f aca="false">CHOOSE(Operations!$F$47,1,Inputs!$F$117/100,Inputs!$F$118/100,Operations!$F$24/100)</f>
        <v>1</v>
      </c>
      <c r="AU151" s="14" t="n">
        <f aca="false">CHOOSE(Operations!$F$47,1,Inputs!$F$117/100,Inputs!$F$118/100,Operations!$F$24/100)</f>
        <v>1</v>
      </c>
    </row>
    <row r="152" customFormat="false" ht="15" hidden="false" customHeight="false" outlineLevel="0" collapsed="false">
      <c r="D152" s="0" t="s">
        <v>548</v>
      </c>
      <c r="E152" s="0" t="s">
        <v>27</v>
      </c>
      <c r="J152" s="14" t="n">
        <f aca="false">(1-Inputs!$F$119/100)^MAX(0,Time!J$4-Inputs!$F$120)</f>
        <v>1</v>
      </c>
      <c r="K152" s="14" t="n">
        <f aca="false">(1-Inputs!$F$119/100)^MAX(0,Time!K$4-Inputs!$F$120)</f>
        <v>0.998</v>
      </c>
      <c r="L152" s="14" t="n">
        <f aca="false">(1-Inputs!$F$119/100)^MAX(0,Time!L$4-Inputs!$F$120)</f>
        <v>0.996004</v>
      </c>
      <c r="M152" s="14" t="n">
        <f aca="false">(1-Inputs!$F$119/100)^MAX(0,Time!M$4-Inputs!$F$120)</f>
        <v>0.994011992</v>
      </c>
      <c r="N152" s="14" t="n">
        <f aca="false">(1-Inputs!$F$119/100)^MAX(0,Time!N$4-Inputs!$F$120)</f>
        <v>0.992023968016</v>
      </c>
      <c r="O152" s="14" t="n">
        <f aca="false">(1-Inputs!$F$119/100)^MAX(0,Time!O$4-Inputs!$F$120)</f>
        <v>0.990039920079968</v>
      </c>
      <c r="P152" s="14" t="n">
        <f aca="false">(1-Inputs!$F$119/100)^MAX(0,Time!P$4-Inputs!$F$120)</f>
        <v>0.988059840239808</v>
      </c>
      <c r="Q152" s="14" t="n">
        <f aca="false">(1-Inputs!$F$119/100)^MAX(0,Time!Q$4-Inputs!$F$120)</f>
        <v>0.986083720559329</v>
      </c>
      <c r="R152" s="14" t="n">
        <f aca="false">(1-Inputs!$F$119/100)^MAX(0,Time!R$4-Inputs!$F$120)</f>
        <v>0.98411155311821</v>
      </c>
      <c r="S152" s="14" t="n">
        <f aca="false">(1-Inputs!$F$119/100)^MAX(0,Time!S$4-Inputs!$F$120)</f>
        <v>0.982143330011973</v>
      </c>
      <c r="T152" s="14" t="n">
        <f aca="false">(1-Inputs!$F$119/100)^MAX(0,Time!T$4-Inputs!$F$120)</f>
        <v>0.980179043351949</v>
      </c>
      <c r="U152" s="14" t="n">
        <f aca="false">(1-Inputs!$F$119/100)^MAX(0,Time!U$4-Inputs!$F$120)</f>
        <v>0.978218685265246</v>
      </c>
      <c r="V152" s="14" t="n">
        <f aca="false">(1-Inputs!$F$119/100)^MAX(0,Time!V$4-Inputs!$F$120)</f>
        <v>0.976262247894715</v>
      </c>
      <c r="W152" s="14" t="n">
        <f aca="false">(1-Inputs!$F$119/100)^MAX(0,Time!W$4-Inputs!$F$120)</f>
        <v>0.974309723398926</v>
      </c>
      <c r="X152" s="14" t="n">
        <f aca="false">(1-Inputs!$F$119/100)^MAX(0,Time!X$4-Inputs!$F$120)</f>
        <v>0.972361103952128</v>
      </c>
      <c r="Y152" s="14" t="n">
        <f aca="false">(1-Inputs!$F$119/100)^MAX(0,Time!Y$4-Inputs!$F$120)</f>
        <v>0.970416381744224</v>
      </c>
      <c r="Z152" s="14" t="n">
        <f aca="false">(1-Inputs!$F$119/100)^MAX(0,Time!Z$4-Inputs!$F$120)</f>
        <v>0.968475548980735</v>
      </c>
      <c r="AA152" s="14" t="n">
        <f aca="false">(1-Inputs!$F$119/100)^MAX(0,Time!AA$4-Inputs!$F$120)</f>
        <v>0.966538597882774</v>
      </c>
      <c r="AB152" s="14" t="n">
        <f aca="false">(1-Inputs!$F$119/100)^MAX(0,Time!AB$4-Inputs!$F$120)</f>
        <v>0.964605520687008</v>
      </c>
      <c r="AC152" s="14" t="n">
        <f aca="false">(1-Inputs!$F$119/100)^MAX(0,Time!AC$4-Inputs!$F$120)</f>
        <v>0.962676309645634</v>
      </c>
      <c r="AD152" s="14" t="n">
        <f aca="false">(1-Inputs!$F$119/100)^MAX(0,Time!AD$4-Inputs!$F$120)</f>
        <v>0.960750957026343</v>
      </c>
      <c r="AE152" s="14" t="n">
        <f aca="false">(1-Inputs!$F$119/100)^MAX(0,Time!AE$4-Inputs!$F$120)</f>
        <v>0.95882945511229</v>
      </c>
      <c r="AF152" s="14" t="n">
        <f aca="false">(1-Inputs!$F$119/100)^MAX(0,Time!AF$4-Inputs!$F$120)</f>
        <v>0.956911796202066</v>
      </c>
      <c r="AG152" s="14" t="n">
        <f aca="false">(1-Inputs!$F$119/100)^MAX(0,Time!AG$4-Inputs!$F$120)</f>
        <v>0.954997972609661</v>
      </c>
      <c r="AH152" s="14" t="n">
        <f aca="false">(1-Inputs!$F$119/100)^MAX(0,Time!AH$4-Inputs!$F$120)</f>
        <v>0.953087976664442</v>
      </c>
      <c r="AI152" s="14" t="n">
        <f aca="false">(1-Inputs!$F$119/100)^MAX(0,Time!AI$4-Inputs!$F$120)</f>
        <v>0.951181800711113</v>
      </c>
      <c r="AJ152" s="14" t="n">
        <f aca="false">(1-Inputs!$F$119/100)^MAX(0,Time!AJ$4-Inputs!$F$120)</f>
        <v>0.949279437109691</v>
      </c>
      <c r="AK152" s="14" t="n">
        <f aca="false">(1-Inputs!$F$119/100)^MAX(0,Time!AK$4-Inputs!$F$120)</f>
        <v>0.947380878235472</v>
      </c>
      <c r="AL152" s="14" t="n">
        <f aca="false">(1-Inputs!$F$119/100)^MAX(0,Time!AL$4-Inputs!$F$120)</f>
        <v>0.945486116479001</v>
      </c>
      <c r="AM152" s="14" t="n">
        <f aca="false">(1-Inputs!$F$119/100)^MAX(0,Time!AM$4-Inputs!$F$120)</f>
        <v>0.943595144246043</v>
      </c>
      <c r="AN152" s="14" t="n">
        <f aca="false">(1-Inputs!$F$119/100)^MAX(0,Time!AN$4-Inputs!$F$120)</f>
        <v>0.941707953957551</v>
      </c>
      <c r="AO152" s="14" t="n">
        <f aca="false">(1-Inputs!$F$119/100)^MAX(0,Time!AO$4-Inputs!$F$120)</f>
        <v>0.939824538049635</v>
      </c>
      <c r="AP152" s="14" t="n">
        <f aca="false">(1-Inputs!$F$119/100)^MAX(0,Time!AP$4-Inputs!$F$120)</f>
        <v>0.937944888973536</v>
      </c>
      <c r="AQ152" s="14" t="n">
        <f aca="false">(1-Inputs!$F$119/100)^MAX(0,Time!AQ$4-Inputs!$F$120)</f>
        <v>0.936068999195589</v>
      </c>
      <c r="AR152" s="14" t="n">
        <f aca="false">(1-Inputs!$F$119/100)^MAX(0,Time!AR$4-Inputs!$F$120)</f>
        <v>0.934196861197198</v>
      </c>
      <c r="AS152" s="14" t="n">
        <f aca="false">(1-Inputs!$F$119/100)^MAX(0,Time!AS$4-Inputs!$F$120)</f>
        <v>0.932328467474804</v>
      </c>
      <c r="AT152" s="14" t="n">
        <f aca="false">(1-Inputs!$F$119/100)^MAX(0,Time!AT$4-Inputs!$F$120)</f>
        <v>0.930463810539854</v>
      </c>
      <c r="AU152" s="14" t="n">
        <f aca="false">(1-Inputs!$F$119/100)^MAX(0,Time!AU$4-Inputs!$F$120)</f>
        <v>0.928602882918774</v>
      </c>
    </row>
    <row r="153" customFormat="false" ht="15" hidden="false" customHeight="false" outlineLevel="0" collapsed="false">
      <c r="D153" s="0" t="s">
        <v>549</v>
      </c>
      <c r="E153" s="0" t="s">
        <v>458</v>
      </c>
      <c r="J153" s="14" t="n">
        <f aca="false">(IF(Time!J$4&gt;=Inputs!$F$61,Inputs!$F$65,Inputs!$F$64+(Inputs!$F$65-Inputs!$F$64)*(Time!J$4-Inputs!$F$23)/(Inputs!$F$61-Inputs!$F$23))+Operations!$F$49)/100</f>
        <v>0.052</v>
      </c>
      <c r="K153" s="14" t="n">
        <f aca="false">(IF(Time!K$4&gt;=Inputs!$F$61,Inputs!$F$65,Inputs!$F$64+(Inputs!$F$65-Inputs!$F$64)*(Time!K$4-Inputs!$F$23)/(Inputs!$F$61-Inputs!$F$23))+Operations!$F$49)/100</f>
        <v>0.058</v>
      </c>
      <c r="L153" s="14" t="n">
        <f aca="false">(IF(Time!L$4&gt;=Inputs!$F$61,Inputs!$F$65,Inputs!$F$64+(Inputs!$F$65-Inputs!$F$64)*(Time!L$4-Inputs!$F$23)/(Inputs!$F$61-Inputs!$F$23))+Operations!$F$49)/100</f>
        <v>0.064</v>
      </c>
      <c r="M153" s="14" t="n">
        <f aca="false">(IF(Time!M$4&gt;=Inputs!$F$61,Inputs!$F$65,Inputs!$F$64+(Inputs!$F$65-Inputs!$F$64)*(Time!M$4-Inputs!$F$23)/(Inputs!$F$61-Inputs!$F$23))+Operations!$F$49)/100</f>
        <v>0.07</v>
      </c>
      <c r="N153" s="14" t="n">
        <f aca="false">(IF(Time!N$4&gt;=Inputs!$F$61,Inputs!$F$65,Inputs!$F$64+(Inputs!$F$65-Inputs!$F$64)*(Time!N$4-Inputs!$F$23)/(Inputs!$F$61-Inputs!$F$23))+Operations!$F$49)/100</f>
        <v>0.07</v>
      </c>
      <c r="O153" s="14" t="n">
        <f aca="false">(IF(Time!O$4&gt;=Inputs!$F$61,Inputs!$F$65,Inputs!$F$64+(Inputs!$F$65-Inputs!$F$64)*(Time!O$4-Inputs!$F$23)/(Inputs!$F$61-Inputs!$F$23))+Operations!$F$49)/100</f>
        <v>0.07</v>
      </c>
      <c r="P153" s="14" t="n">
        <f aca="false">(IF(Time!P$4&gt;=Inputs!$F$61,Inputs!$F$65,Inputs!$F$64+(Inputs!$F$65-Inputs!$F$64)*(Time!P$4-Inputs!$F$23)/(Inputs!$F$61-Inputs!$F$23))+Operations!$F$49)/100</f>
        <v>0.07</v>
      </c>
      <c r="Q153" s="14" t="n">
        <f aca="false">(IF(Time!Q$4&gt;=Inputs!$F$61,Inputs!$F$65,Inputs!$F$64+(Inputs!$F$65-Inputs!$F$64)*(Time!Q$4-Inputs!$F$23)/(Inputs!$F$61-Inputs!$F$23))+Operations!$F$49)/100</f>
        <v>0.07</v>
      </c>
      <c r="R153" s="14" t="n">
        <f aca="false">(IF(Time!R$4&gt;=Inputs!$F$61,Inputs!$F$65,Inputs!$F$64+(Inputs!$F$65-Inputs!$F$64)*(Time!R$4-Inputs!$F$23)/(Inputs!$F$61-Inputs!$F$23))+Operations!$F$49)/100</f>
        <v>0.07</v>
      </c>
      <c r="S153" s="14" t="n">
        <f aca="false">(IF(Time!S$4&gt;=Inputs!$F$61,Inputs!$F$65,Inputs!$F$64+(Inputs!$F$65-Inputs!$F$64)*(Time!S$4-Inputs!$F$23)/(Inputs!$F$61-Inputs!$F$23))+Operations!$F$49)/100</f>
        <v>0.07</v>
      </c>
      <c r="T153" s="14" t="n">
        <f aca="false">(IF(Time!T$4&gt;=Inputs!$F$61,Inputs!$F$65,Inputs!$F$64+(Inputs!$F$65-Inputs!$F$64)*(Time!T$4-Inputs!$F$23)/(Inputs!$F$61-Inputs!$F$23))+Operations!$F$49)/100</f>
        <v>0.07</v>
      </c>
      <c r="U153" s="14" t="n">
        <f aca="false">(IF(Time!U$4&gt;=Inputs!$F$61,Inputs!$F$65,Inputs!$F$64+(Inputs!$F$65-Inputs!$F$64)*(Time!U$4-Inputs!$F$23)/(Inputs!$F$61-Inputs!$F$23))+Operations!$F$49)/100</f>
        <v>0.07</v>
      </c>
      <c r="V153" s="14" t="n">
        <f aca="false">(IF(Time!V$4&gt;=Inputs!$F$61,Inputs!$F$65,Inputs!$F$64+(Inputs!$F$65-Inputs!$F$64)*(Time!V$4-Inputs!$F$23)/(Inputs!$F$61-Inputs!$F$23))+Operations!$F$49)/100</f>
        <v>0.07</v>
      </c>
      <c r="W153" s="14" t="n">
        <f aca="false">(IF(Time!W$4&gt;=Inputs!$F$61,Inputs!$F$65,Inputs!$F$64+(Inputs!$F$65-Inputs!$F$64)*(Time!W$4-Inputs!$F$23)/(Inputs!$F$61-Inputs!$F$23))+Operations!$F$49)/100</f>
        <v>0.07</v>
      </c>
      <c r="X153" s="14" t="n">
        <f aca="false">(IF(Time!X$4&gt;=Inputs!$F$61,Inputs!$F$65,Inputs!$F$64+(Inputs!$F$65-Inputs!$F$64)*(Time!X$4-Inputs!$F$23)/(Inputs!$F$61-Inputs!$F$23))+Operations!$F$49)/100</f>
        <v>0.07</v>
      </c>
      <c r="Y153" s="14" t="n">
        <f aca="false">(IF(Time!Y$4&gt;=Inputs!$F$61,Inputs!$F$65,Inputs!$F$64+(Inputs!$F$65-Inputs!$F$64)*(Time!Y$4-Inputs!$F$23)/(Inputs!$F$61-Inputs!$F$23))+Operations!$F$49)/100</f>
        <v>0.07</v>
      </c>
      <c r="Z153" s="14" t="n">
        <f aca="false">(IF(Time!Z$4&gt;=Inputs!$F$61,Inputs!$F$65,Inputs!$F$64+(Inputs!$F$65-Inputs!$F$64)*(Time!Z$4-Inputs!$F$23)/(Inputs!$F$61-Inputs!$F$23))+Operations!$F$49)/100</f>
        <v>0.07</v>
      </c>
      <c r="AA153" s="14" t="n">
        <f aca="false">(IF(Time!AA$4&gt;=Inputs!$F$61,Inputs!$F$65,Inputs!$F$64+(Inputs!$F$65-Inputs!$F$64)*(Time!AA$4-Inputs!$F$23)/(Inputs!$F$61-Inputs!$F$23))+Operations!$F$49)/100</f>
        <v>0.07</v>
      </c>
      <c r="AB153" s="14" t="n">
        <f aca="false">(IF(Time!AB$4&gt;=Inputs!$F$61,Inputs!$F$65,Inputs!$F$64+(Inputs!$F$65-Inputs!$F$64)*(Time!AB$4-Inputs!$F$23)/(Inputs!$F$61-Inputs!$F$23))+Operations!$F$49)/100</f>
        <v>0.07</v>
      </c>
      <c r="AC153" s="14" t="n">
        <f aca="false">(IF(Time!AC$4&gt;=Inputs!$F$61,Inputs!$F$65,Inputs!$F$64+(Inputs!$F$65-Inputs!$F$64)*(Time!AC$4-Inputs!$F$23)/(Inputs!$F$61-Inputs!$F$23))+Operations!$F$49)/100</f>
        <v>0.07</v>
      </c>
      <c r="AD153" s="14" t="n">
        <f aca="false">(IF(Time!AD$4&gt;=Inputs!$F$61,Inputs!$F$65,Inputs!$F$64+(Inputs!$F$65-Inputs!$F$64)*(Time!AD$4-Inputs!$F$23)/(Inputs!$F$61-Inputs!$F$23))+Operations!$F$49)/100</f>
        <v>0.07</v>
      </c>
      <c r="AE153" s="14" t="n">
        <f aca="false">(IF(Time!AE$4&gt;=Inputs!$F$61,Inputs!$F$65,Inputs!$F$64+(Inputs!$F$65-Inputs!$F$64)*(Time!AE$4-Inputs!$F$23)/(Inputs!$F$61-Inputs!$F$23))+Operations!$F$49)/100</f>
        <v>0.07</v>
      </c>
      <c r="AF153" s="14" t="n">
        <f aca="false">(IF(Time!AF$4&gt;=Inputs!$F$61,Inputs!$F$65,Inputs!$F$64+(Inputs!$F$65-Inputs!$F$64)*(Time!AF$4-Inputs!$F$23)/(Inputs!$F$61-Inputs!$F$23))+Operations!$F$49)/100</f>
        <v>0.07</v>
      </c>
      <c r="AG153" s="14" t="n">
        <f aca="false">(IF(Time!AG$4&gt;=Inputs!$F$61,Inputs!$F$65,Inputs!$F$64+(Inputs!$F$65-Inputs!$F$64)*(Time!AG$4-Inputs!$F$23)/(Inputs!$F$61-Inputs!$F$23))+Operations!$F$49)/100</f>
        <v>0.07</v>
      </c>
      <c r="AH153" s="14" t="n">
        <f aca="false">(IF(Time!AH$4&gt;=Inputs!$F$61,Inputs!$F$65,Inputs!$F$64+(Inputs!$F$65-Inputs!$F$64)*(Time!AH$4-Inputs!$F$23)/(Inputs!$F$61-Inputs!$F$23))+Operations!$F$49)/100</f>
        <v>0.07</v>
      </c>
      <c r="AI153" s="14" t="n">
        <f aca="false">(IF(Time!AI$4&gt;=Inputs!$F$61,Inputs!$F$65,Inputs!$F$64+(Inputs!$F$65-Inputs!$F$64)*(Time!AI$4-Inputs!$F$23)/(Inputs!$F$61-Inputs!$F$23))+Operations!$F$49)/100</f>
        <v>0.07</v>
      </c>
      <c r="AJ153" s="14" t="n">
        <f aca="false">(IF(Time!AJ$4&gt;=Inputs!$F$61,Inputs!$F$65,Inputs!$F$64+(Inputs!$F$65-Inputs!$F$64)*(Time!AJ$4-Inputs!$F$23)/(Inputs!$F$61-Inputs!$F$23))+Operations!$F$49)/100</f>
        <v>0.07</v>
      </c>
      <c r="AK153" s="14" t="n">
        <f aca="false">(IF(Time!AK$4&gt;=Inputs!$F$61,Inputs!$F$65,Inputs!$F$64+(Inputs!$F$65-Inputs!$F$64)*(Time!AK$4-Inputs!$F$23)/(Inputs!$F$61-Inputs!$F$23))+Operations!$F$49)/100</f>
        <v>0.07</v>
      </c>
      <c r="AL153" s="14" t="n">
        <f aca="false">(IF(Time!AL$4&gt;=Inputs!$F$61,Inputs!$F$65,Inputs!$F$64+(Inputs!$F$65-Inputs!$F$64)*(Time!AL$4-Inputs!$F$23)/(Inputs!$F$61-Inputs!$F$23))+Operations!$F$49)/100</f>
        <v>0.07</v>
      </c>
      <c r="AM153" s="14" t="n">
        <f aca="false">(IF(Time!AM$4&gt;=Inputs!$F$61,Inputs!$F$65,Inputs!$F$64+(Inputs!$F$65-Inputs!$F$64)*(Time!AM$4-Inputs!$F$23)/(Inputs!$F$61-Inputs!$F$23))+Operations!$F$49)/100</f>
        <v>0.07</v>
      </c>
      <c r="AN153" s="14" t="n">
        <f aca="false">(IF(Time!AN$4&gt;=Inputs!$F$61,Inputs!$F$65,Inputs!$F$64+(Inputs!$F$65-Inputs!$F$64)*(Time!AN$4-Inputs!$F$23)/(Inputs!$F$61-Inputs!$F$23))+Operations!$F$49)/100</f>
        <v>0.07</v>
      </c>
      <c r="AO153" s="14" t="n">
        <f aca="false">(IF(Time!AO$4&gt;=Inputs!$F$61,Inputs!$F$65,Inputs!$F$64+(Inputs!$F$65-Inputs!$F$64)*(Time!AO$4-Inputs!$F$23)/(Inputs!$F$61-Inputs!$F$23))+Operations!$F$49)/100</f>
        <v>0.07</v>
      </c>
      <c r="AP153" s="14" t="n">
        <f aca="false">(IF(Time!AP$4&gt;=Inputs!$F$61,Inputs!$F$65,Inputs!$F$64+(Inputs!$F$65-Inputs!$F$64)*(Time!AP$4-Inputs!$F$23)/(Inputs!$F$61-Inputs!$F$23))+Operations!$F$49)/100</f>
        <v>0.07</v>
      </c>
      <c r="AQ153" s="14" t="n">
        <f aca="false">(IF(Time!AQ$4&gt;=Inputs!$F$61,Inputs!$F$65,Inputs!$F$64+(Inputs!$F$65-Inputs!$F$64)*(Time!AQ$4-Inputs!$F$23)/(Inputs!$F$61-Inputs!$F$23))+Operations!$F$49)/100</f>
        <v>0.07</v>
      </c>
      <c r="AR153" s="14" t="n">
        <f aca="false">(IF(Time!AR$4&gt;=Inputs!$F$61,Inputs!$F$65,Inputs!$F$64+(Inputs!$F$65-Inputs!$F$64)*(Time!AR$4-Inputs!$F$23)/(Inputs!$F$61-Inputs!$F$23))+Operations!$F$49)/100</f>
        <v>0.07</v>
      </c>
      <c r="AS153" s="14" t="n">
        <f aca="false">(IF(Time!AS$4&gt;=Inputs!$F$61,Inputs!$F$65,Inputs!$F$64+(Inputs!$F$65-Inputs!$F$64)*(Time!AS$4-Inputs!$F$23)/(Inputs!$F$61-Inputs!$F$23))+Operations!$F$49)/100</f>
        <v>0.07</v>
      </c>
      <c r="AT153" s="14" t="n">
        <f aca="false">(IF(Time!AT$4&gt;=Inputs!$F$61,Inputs!$F$65,Inputs!$F$64+(Inputs!$F$65-Inputs!$F$64)*(Time!AT$4-Inputs!$F$23)/(Inputs!$F$61-Inputs!$F$23))+Operations!$F$49)/100</f>
        <v>0.07</v>
      </c>
      <c r="AU153" s="14" t="n">
        <f aca="false">(IF(Time!AU$4&gt;=Inputs!$F$61,Inputs!$F$65,Inputs!$F$64+(Inputs!$F$65-Inputs!$F$64)*(Time!AU$4-Inputs!$F$23)/(Inputs!$F$61-Inputs!$F$23))+Operations!$F$49)/100</f>
        <v>0.07</v>
      </c>
    </row>
    <row r="154" customFormat="false" ht="15" hidden="false" customHeight="false" outlineLevel="0" collapsed="false">
      <c r="D154" s="0" t="s">
        <v>550</v>
      </c>
      <c r="E154" s="0" t="s">
        <v>466</v>
      </c>
      <c r="J154" s="20" t="n">
        <f aca="false">Inputs!$F$116*Operations!J151*Inputs!$F$192/100*Operations!J152*(1-Operations!J153)</f>
        <v>587.0016</v>
      </c>
      <c r="K154" s="20" t="n">
        <f aca="false">Inputs!$F$116*Operations!K151*Inputs!$F$192/100*Operations!K152*(1-Operations!K153)</f>
        <v>582.1198272</v>
      </c>
      <c r="L154" s="20" t="n">
        <f aca="false">Inputs!$F$116*Operations!L151*Inputs!$F$192/100*Operations!L152*(1-Operations!L153)</f>
        <v>577.2552334848</v>
      </c>
      <c r="M154" s="20" t="n">
        <f aca="false">Inputs!$F$116*Operations!M151*Inputs!$F$192/100*Operations!M152*(1-Operations!M153)</f>
        <v>572.407769665152</v>
      </c>
      <c r="N154" s="20" t="n">
        <f aca="false">Inputs!$F$116*Operations!N151*Inputs!$F$192/100*Operations!N152*(1-Operations!N153)</f>
        <v>571.262954125822</v>
      </c>
      <c r="O154" s="20" t="n">
        <f aca="false">Inputs!$F$116*Operations!O151*Inputs!$F$192/100*Operations!O152*(1-Operations!O153)</f>
        <v>570.12042821757</v>
      </c>
      <c r="P154" s="20" t="n">
        <f aca="false">Inputs!$F$116*Operations!P151*Inputs!$F$192/100*Operations!P152*(1-Operations!P153)</f>
        <v>568.980187361135</v>
      </c>
      <c r="Q154" s="20" t="n">
        <f aca="false">Inputs!$F$116*Operations!Q151*Inputs!$F$192/100*Operations!Q152*(1-Operations!Q153)</f>
        <v>567.842226986413</v>
      </c>
      <c r="R154" s="20" t="n">
        <f aca="false">Inputs!$F$116*Operations!R151*Inputs!$F$192/100*Operations!R152*(1-Operations!R153)</f>
        <v>566.70654253244</v>
      </c>
      <c r="S154" s="20" t="n">
        <f aca="false">Inputs!$F$116*Operations!S151*Inputs!$F$192/100*Operations!S152*(1-Operations!S153)</f>
        <v>565.573129447375</v>
      </c>
      <c r="T154" s="20" t="n">
        <f aca="false">Inputs!$F$116*Operations!T151*Inputs!$F$192/100*Operations!T152*(1-Operations!T153)</f>
        <v>564.44198318848</v>
      </c>
      <c r="U154" s="20" t="n">
        <f aca="false">Inputs!$F$116*Operations!U151*Inputs!$F$192/100*Operations!U152*(1-Operations!U153)</f>
        <v>563.313099222103</v>
      </c>
      <c r="V154" s="20" t="n">
        <f aca="false">Inputs!$F$116*Operations!V151*Inputs!$F$192/100*Operations!V152*(1-Operations!V153)</f>
        <v>562.186473023659</v>
      </c>
      <c r="W154" s="20" t="n">
        <f aca="false">Inputs!$F$116*Operations!W151*Inputs!$F$192/100*Operations!W152*(1-Operations!W153)</f>
        <v>561.062100077612</v>
      </c>
      <c r="X154" s="20" t="n">
        <f aca="false">Inputs!$F$116*Operations!X151*Inputs!$F$192/100*Operations!X152*(1-Operations!X153)</f>
        <v>559.939975877457</v>
      </c>
      <c r="Y154" s="20" t="n">
        <f aca="false">Inputs!$F$116*Operations!Y151*Inputs!$F$192/100*Operations!Y152*(1-Operations!Y153)</f>
        <v>558.820095925702</v>
      </c>
      <c r="Z154" s="20" t="n">
        <f aca="false">Inputs!$F$116*Operations!Z151*Inputs!$F$192/100*Operations!Z152*(1-Operations!Z153)</f>
        <v>557.70245573385</v>
      </c>
      <c r="AA154" s="20" t="n">
        <f aca="false">Inputs!$F$116*Operations!AA151*Inputs!$F$192/100*Operations!AA152*(1-Operations!AA153)</f>
        <v>556.587050822383</v>
      </c>
      <c r="AB154" s="20" t="n">
        <f aca="false">Inputs!$F$116*Operations!AB151*Inputs!$F$192/100*Operations!AB152*(1-Operations!AB153)</f>
        <v>555.473876720738</v>
      </c>
      <c r="AC154" s="20" t="n">
        <f aca="false">Inputs!$F$116*Operations!AC151*Inputs!$F$192/100*Operations!AC152*(1-Operations!AC153)</f>
        <v>554.362928967296</v>
      </c>
      <c r="AD154" s="20" t="n">
        <f aca="false">Inputs!$F$116*Operations!AD151*Inputs!$F$192/100*Operations!AD152*(1-Operations!AD153)</f>
        <v>553.254203109362</v>
      </c>
      <c r="AE154" s="20" t="n">
        <f aca="false">Inputs!$F$116*Operations!AE151*Inputs!$F$192/100*Operations!AE152*(1-Operations!AE153)</f>
        <v>552.147694703143</v>
      </c>
      <c r="AF154" s="20" t="n">
        <f aca="false">Inputs!$F$116*Operations!AF151*Inputs!$F$192/100*Operations!AF152*(1-Operations!AF153)</f>
        <v>551.043399313737</v>
      </c>
      <c r="AG154" s="20" t="n">
        <f aca="false">Inputs!$F$116*Operations!AG151*Inputs!$F$192/100*Operations!AG152*(1-Operations!AG153)</f>
        <v>549.941312515109</v>
      </c>
      <c r="AH154" s="20" t="n">
        <f aca="false">Inputs!$F$116*Operations!AH151*Inputs!$F$192/100*Operations!AH152*(1-Operations!AH153)</f>
        <v>548.841429890079</v>
      </c>
      <c r="AI154" s="20" t="n">
        <f aca="false">Inputs!$F$116*Operations!AI151*Inputs!$F$192/100*Operations!AI152*(1-Operations!AI153)</f>
        <v>547.743747030299</v>
      </c>
      <c r="AJ154" s="20" t="n">
        <f aca="false">Inputs!$F$116*Operations!AJ151*Inputs!$F$192/100*Operations!AJ152*(1-Operations!AJ153)</f>
        <v>546.648259536238</v>
      </c>
      <c r="AK154" s="20" t="n">
        <f aca="false">Inputs!$F$116*Operations!AK151*Inputs!$F$192/100*Operations!AK152*(1-Operations!AK153)</f>
        <v>545.554963017166</v>
      </c>
      <c r="AL154" s="20" t="n">
        <f aca="false">Inputs!$F$116*Operations!AL151*Inputs!$F$192/100*Operations!AL152*(1-Operations!AL153)</f>
        <v>544.463853091131</v>
      </c>
      <c r="AM154" s="20" t="n">
        <f aca="false">Inputs!$F$116*Operations!AM151*Inputs!$F$192/100*Operations!AM152*(1-Operations!AM153)</f>
        <v>543.374925384949</v>
      </c>
      <c r="AN154" s="20" t="n">
        <f aca="false">Inputs!$F$116*Operations!AN151*Inputs!$F$192/100*Operations!AN152*(1-Operations!AN153)</f>
        <v>542.288175534179</v>
      </c>
      <c r="AO154" s="20" t="n">
        <f aca="false">Inputs!$F$116*Operations!AO151*Inputs!$F$192/100*Operations!AO152*(1-Operations!AO153)</f>
        <v>541.203599183111</v>
      </c>
      <c r="AP154" s="20" t="n">
        <f aca="false">Inputs!$F$116*Operations!AP151*Inputs!$F$192/100*Operations!AP152*(1-Operations!AP153)</f>
        <v>540.121191984745</v>
      </c>
      <c r="AQ154" s="20" t="n">
        <f aca="false">Inputs!$F$116*Operations!AQ151*Inputs!$F$192/100*Operations!AQ152*(1-Operations!AQ153)</f>
        <v>539.040949600775</v>
      </c>
      <c r="AR154" s="20" t="n">
        <f aca="false">Inputs!$F$116*Operations!AR151*Inputs!$F$192/100*Operations!AR152*(1-Operations!AR153)</f>
        <v>537.962867701574</v>
      </c>
      <c r="AS154" s="20" t="n">
        <f aca="false">Inputs!$F$116*Operations!AS151*Inputs!$F$192/100*Operations!AS152*(1-Operations!AS153)</f>
        <v>536.88694196617</v>
      </c>
      <c r="AT154" s="20" t="n">
        <f aca="false">Inputs!$F$116*Operations!AT151*Inputs!$F$192/100*Operations!AT152*(1-Operations!AT153)</f>
        <v>535.813168082238</v>
      </c>
      <c r="AU154" s="20" t="n">
        <f aca="false">Inputs!$F$116*Operations!AU151*Inputs!$F$192/100*Operations!AU152*(1-Operations!AU153)</f>
        <v>534.741541746074</v>
      </c>
    </row>
    <row r="155" customFormat="false" ht="15" hidden="false" customHeight="false" outlineLevel="0" collapsed="false">
      <c r="D155" s="0" t="s">
        <v>551</v>
      </c>
      <c r="E155" s="0" t="s">
        <v>466</v>
      </c>
      <c r="G155" s="20" t="n">
        <f aca="false">SUM(J155:AU155)</f>
        <v>15672.0001426169</v>
      </c>
      <c r="J155" s="20" t="n">
        <f aca="false">Operations!J154*Operations!J147</f>
        <v>587.0016</v>
      </c>
      <c r="K155" s="20" t="n">
        <f aca="false">Operations!K154*Operations!K147</f>
        <v>582.1198272</v>
      </c>
      <c r="L155" s="20" t="n">
        <f aca="false">Operations!L154*Operations!L147</f>
        <v>577.2552334848</v>
      </c>
      <c r="M155" s="20" t="n">
        <f aca="false">Operations!M154*Operations!M147</f>
        <v>572.407769665152</v>
      </c>
      <c r="N155" s="20" t="n">
        <f aca="false">Operations!N154*Operations!N147</f>
        <v>571.262954125822</v>
      </c>
      <c r="O155" s="20" t="n">
        <f aca="false">Operations!O154*Operations!O147</f>
        <v>570.12042821757</v>
      </c>
      <c r="P155" s="20" t="n">
        <f aca="false">Operations!P154*Operations!P147</f>
        <v>568.980187361135</v>
      </c>
      <c r="Q155" s="20" t="n">
        <f aca="false">Operations!Q154*Operations!Q147</f>
        <v>567.842226986413</v>
      </c>
      <c r="R155" s="20" t="n">
        <f aca="false">Operations!R154*Operations!R147</f>
        <v>566.70654253244</v>
      </c>
      <c r="S155" s="20" t="n">
        <f aca="false">Operations!S154*Operations!S147</f>
        <v>565.573129447375</v>
      </c>
      <c r="T155" s="20" t="n">
        <f aca="false">Operations!T154*Operations!T147</f>
        <v>564.44198318848</v>
      </c>
      <c r="U155" s="20" t="n">
        <f aca="false">Operations!U154*Operations!U147</f>
        <v>563.313099222103</v>
      </c>
      <c r="V155" s="20" t="n">
        <f aca="false">Operations!V154*Operations!V147</f>
        <v>562.186473023659</v>
      </c>
      <c r="W155" s="20" t="n">
        <f aca="false">Operations!W154*Operations!W147</f>
        <v>561.062100077612</v>
      </c>
      <c r="X155" s="20" t="n">
        <f aca="false">Operations!X154*Operations!X147</f>
        <v>559.939975877457</v>
      </c>
      <c r="Y155" s="20" t="n">
        <f aca="false">Operations!Y154*Operations!Y147</f>
        <v>558.820095925702</v>
      </c>
      <c r="Z155" s="20" t="n">
        <f aca="false">Operations!Z154*Operations!Z147</f>
        <v>557.70245573385</v>
      </c>
      <c r="AA155" s="20" t="n">
        <f aca="false">Operations!AA154*Operations!AA147</f>
        <v>556.587050822383</v>
      </c>
      <c r="AB155" s="20" t="n">
        <f aca="false">Operations!AB154*Operations!AB147</f>
        <v>555.473876720738</v>
      </c>
      <c r="AC155" s="20" t="n">
        <f aca="false">Operations!AC154*Operations!AC147</f>
        <v>554.362928967296</v>
      </c>
      <c r="AD155" s="20" t="n">
        <f aca="false">Operations!AD154*Operations!AD147</f>
        <v>553.254203109362</v>
      </c>
      <c r="AE155" s="20" t="n">
        <f aca="false">Operations!AE154*Operations!AE147</f>
        <v>552.147694703143</v>
      </c>
      <c r="AF155" s="20" t="n">
        <f aca="false">Operations!AF154*Operations!AF147</f>
        <v>551.043399313737</v>
      </c>
      <c r="AG155" s="20" t="n">
        <f aca="false">Operations!AG154*Operations!AG147</f>
        <v>549.941312515109</v>
      </c>
      <c r="AH155" s="20" t="n">
        <f aca="false">Operations!AH154*Operations!AH147</f>
        <v>548.841429890079</v>
      </c>
      <c r="AI155" s="20" t="n">
        <f aca="false">Operations!AI154*Operations!AI147</f>
        <v>547.743747030299</v>
      </c>
      <c r="AJ155" s="20" t="n">
        <f aca="false">Operations!AJ154*Operations!AJ147</f>
        <v>546.648259536238</v>
      </c>
      <c r="AK155" s="20" t="n">
        <f aca="false">Operations!AK154*Operations!AK147</f>
        <v>499.220157938995</v>
      </c>
      <c r="AL155" s="20" t="n">
        <f aca="false">Operations!AL154*Operations!AL147</f>
        <v>0</v>
      </c>
      <c r="AM155" s="20" t="n">
        <f aca="false">Operations!AM154*Operations!AM147</f>
        <v>0</v>
      </c>
      <c r="AN155" s="20" t="n">
        <f aca="false">Operations!AN154*Operations!AN147</f>
        <v>0</v>
      </c>
      <c r="AO155" s="20" t="n">
        <f aca="false">Operations!AO154*Operations!AO147</f>
        <v>0</v>
      </c>
      <c r="AP155" s="20" t="n">
        <f aca="false">Operations!AP154*Operations!AP147</f>
        <v>0</v>
      </c>
      <c r="AQ155" s="20" t="n">
        <f aca="false">Operations!AQ154*Operations!AQ147</f>
        <v>0</v>
      </c>
      <c r="AR155" s="20" t="n">
        <f aca="false">Operations!AR154*Operations!AR147</f>
        <v>0</v>
      </c>
      <c r="AS155" s="20" t="n">
        <f aca="false">Operations!AS154*Operations!AS147</f>
        <v>0</v>
      </c>
      <c r="AT155" s="20" t="n">
        <f aca="false">Operations!AT154*Operations!AT147</f>
        <v>0</v>
      </c>
      <c r="AU155" s="20" t="n">
        <f aca="false">Operations!AU154*Operations!AU147</f>
        <v>0</v>
      </c>
    </row>
    <row r="156" customFormat="false" ht="15" hidden="false" customHeight="false" outlineLevel="0" collapsed="false">
      <c r="D156" s="0" t="s">
        <v>552</v>
      </c>
      <c r="E156" s="0" t="s">
        <v>54</v>
      </c>
      <c r="J156" s="14" t="n">
        <f aca="false">Operations!J58</f>
        <v>0.66</v>
      </c>
      <c r="K156" s="14" t="n">
        <f aca="false">Operations!K58</f>
        <v>0.655</v>
      </c>
      <c r="L156" s="14" t="n">
        <f aca="false">Operations!L58</f>
        <v>0.65</v>
      </c>
      <c r="M156" s="14" t="n">
        <f aca="false">Operations!M58</f>
        <v>0.645</v>
      </c>
      <c r="N156" s="14" t="n">
        <f aca="false">Operations!N58</f>
        <v>0.64</v>
      </c>
      <c r="O156" s="14" t="n">
        <f aca="false">Operations!O58</f>
        <v>0.635</v>
      </c>
      <c r="P156" s="14" t="n">
        <f aca="false">Operations!P58</f>
        <v>0.63</v>
      </c>
      <c r="Q156" s="14" t="n">
        <f aca="false">Operations!Q58</f>
        <v>0.625</v>
      </c>
      <c r="R156" s="14" t="n">
        <f aca="false">Operations!R58</f>
        <v>0.62</v>
      </c>
      <c r="S156" s="14" t="n">
        <f aca="false">Operations!S58</f>
        <v>0.615</v>
      </c>
      <c r="T156" s="14" t="n">
        <f aca="false">Operations!T58</f>
        <v>0.61</v>
      </c>
      <c r="U156" s="14" t="n">
        <f aca="false">Operations!U58</f>
        <v>0.605</v>
      </c>
      <c r="V156" s="14" t="n">
        <f aca="false">Operations!V58</f>
        <v>0.6</v>
      </c>
      <c r="W156" s="14" t="n">
        <f aca="false">Operations!W58</f>
        <v>0.595</v>
      </c>
      <c r="X156" s="14" t="n">
        <f aca="false">Operations!X58</f>
        <v>0.59</v>
      </c>
      <c r="Y156" s="14" t="n">
        <f aca="false">Operations!Y58</f>
        <v>0.585</v>
      </c>
      <c r="Z156" s="14" t="n">
        <f aca="false">Operations!Z58</f>
        <v>0.58</v>
      </c>
      <c r="AA156" s="14" t="n">
        <f aca="false">Operations!AA58</f>
        <v>0.58</v>
      </c>
      <c r="AB156" s="14" t="n">
        <f aca="false">Operations!AB58</f>
        <v>0.58</v>
      </c>
      <c r="AC156" s="14" t="n">
        <f aca="false">Operations!AC58</f>
        <v>0.58</v>
      </c>
      <c r="AD156" s="14" t="n">
        <f aca="false">Operations!AD58</f>
        <v>0.58</v>
      </c>
      <c r="AE156" s="14" t="n">
        <f aca="false">Operations!AE58</f>
        <v>0.58</v>
      </c>
      <c r="AF156" s="14" t="n">
        <f aca="false">Operations!AF58</f>
        <v>0.58</v>
      </c>
      <c r="AG156" s="14" t="n">
        <f aca="false">Operations!AG58</f>
        <v>0.58</v>
      </c>
      <c r="AH156" s="14" t="n">
        <f aca="false">Operations!AH58</f>
        <v>0.58</v>
      </c>
      <c r="AI156" s="14" t="n">
        <f aca="false">Operations!AI58</f>
        <v>0.58</v>
      </c>
      <c r="AJ156" s="14" t="n">
        <f aca="false">Operations!AJ58</f>
        <v>0.58</v>
      </c>
      <c r="AK156" s="14" t="n">
        <f aca="false">Operations!AK58</f>
        <v>0.58</v>
      </c>
      <c r="AL156" s="14" t="n">
        <f aca="false">Operations!AL58</f>
        <v>0.58</v>
      </c>
      <c r="AM156" s="14" t="n">
        <f aca="false">Operations!AM58</f>
        <v>0.58</v>
      </c>
      <c r="AN156" s="14" t="n">
        <f aca="false">Operations!AN58</f>
        <v>0.58</v>
      </c>
      <c r="AO156" s="14" t="n">
        <f aca="false">Operations!AO58</f>
        <v>0.58</v>
      </c>
      <c r="AP156" s="14" t="n">
        <f aca="false">Operations!AP58</f>
        <v>0.58</v>
      </c>
      <c r="AQ156" s="14" t="n">
        <f aca="false">Operations!AQ58</f>
        <v>0.58</v>
      </c>
      <c r="AR156" s="14" t="n">
        <f aca="false">Operations!AR58</f>
        <v>0.58</v>
      </c>
      <c r="AS156" s="14" t="n">
        <f aca="false">Operations!AS58</f>
        <v>0.58</v>
      </c>
      <c r="AT156" s="14" t="n">
        <f aca="false">Operations!AT58</f>
        <v>0.58</v>
      </c>
      <c r="AU156" s="14" t="n">
        <f aca="false">Operations!AU58</f>
        <v>0.58</v>
      </c>
    </row>
    <row r="157" customFormat="false" ht="15" hidden="false" customHeight="false" outlineLevel="0" collapsed="false">
      <c r="D157" s="0" t="s">
        <v>553</v>
      </c>
      <c r="E157" s="0" t="s">
        <v>54</v>
      </c>
      <c r="J157" s="14" t="n">
        <f aca="false">Operations!J156-Inputs!$F$48</f>
        <v>0.59</v>
      </c>
      <c r="K157" s="14" t="n">
        <f aca="false">Operations!K156-Inputs!$F$48</f>
        <v>0.585</v>
      </c>
      <c r="L157" s="14" t="n">
        <f aca="false">Operations!L156-Inputs!$F$48</f>
        <v>0.58</v>
      </c>
      <c r="M157" s="14" t="n">
        <f aca="false">Operations!M156-Inputs!$F$48</f>
        <v>0.575</v>
      </c>
      <c r="N157" s="14" t="n">
        <f aca="false">Operations!N156-Inputs!$F$48</f>
        <v>0.57</v>
      </c>
      <c r="O157" s="14" t="n">
        <f aca="false">Operations!O156-Inputs!$F$48</f>
        <v>0.565</v>
      </c>
      <c r="P157" s="14" t="n">
        <f aca="false">Operations!P156-Inputs!$F$48</f>
        <v>0.56</v>
      </c>
      <c r="Q157" s="14" t="n">
        <f aca="false">Operations!Q156-Inputs!$F$48</f>
        <v>0.555</v>
      </c>
      <c r="R157" s="14" t="n">
        <f aca="false">Operations!R156-Inputs!$F$48</f>
        <v>0.55</v>
      </c>
      <c r="S157" s="14" t="n">
        <f aca="false">Operations!S156-Inputs!$F$48</f>
        <v>0.545</v>
      </c>
      <c r="T157" s="14" t="n">
        <f aca="false">Operations!T156-Inputs!$F$48</f>
        <v>0.54</v>
      </c>
      <c r="U157" s="14" t="n">
        <f aca="false">Operations!U156-Inputs!$F$48</f>
        <v>0.535</v>
      </c>
      <c r="V157" s="14" t="n">
        <f aca="false">Operations!V156-Inputs!$F$48</f>
        <v>0.53</v>
      </c>
      <c r="W157" s="14" t="n">
        <f aca="false">Operations!W156-Inputs!$F$48</f>
        <v>0.525</v>
      </c>
      <c r="X157" s="14" t="n">
        <f aca="false">Operations!X156-Inputs!$F$48</f>
        <v>0.52</v>
      </c>
      <c r="Y157" s="14" t="n">
        <f aca="false">Operations!Y156-Inputs!$F$48</f>
        <v>0.515</v>
      </c>
      <c r="Z157" s="14" t="n">
        <f aca="false">Operations!Z156-Inputs!$F$48</f>
        <v>0.51</v>
      </c>
      <c r="AA157" s="14" t="n">
        <f aca="false">Operations!AA156-Inputs!$F$48</f>
        <v>0.51</v>
      </c>
      <c r="AB157" s="14" t="n">
        <f aca="false">Operations!AB156-Inputs!$F$48</f>
        <v>0.51</v>
      </c>
      <c r="AC157" s="14" t="n">
        <f aca="false">Operations!AC156-Inputs!$F$48</f>
        <v>0.51</v>
      </c>
      <c r="AD157" s="14" t="n">
        <f aca="false">Operations!AD156-Inputs!$F$48</f>
        <v>0.51</v>
      </c>
      <c r="AE157" s="14" t="n">
        <f aca="false">Operations!AE156-Inputs!$F$48</f>
        <v>0.51</v>
      </c>
      <c r="AF157" s="14" t="n">
        <f aca="false">Operations!AF156-Inputs!$F$48</f>
        <v>0.51</v>
      </c>
      <c r="AG157" s="14" t="n">
        <f aca="false">Operations!AG156-Inputs!$F$48</f>
        <v>0.51</v>
      </c>
      <c r="AH157" s="14" t="n">
        <f aca="false">Operations!AH156-Inputs!$F$48</f>
        <v>0.51</v>
      </c>
      <c r="AI157" s="14" t="n">
        <f aca="false">Operations!AI156-Inputs!$F$48</f>
        <v>0.51</v>
      </c>
      <c r="AJ157" s="14" t="n">
        <f aca="false">Operations!AJ156-Inputs!$F$48</f>
        <v>0.51</v>
      </c>
      <c r="AK157" s="14" t="n">
        <f aca="false">Operations!AK156-Inputs!$F$48</f>
        <v>0.51</v>
      </c>
      <c r="AL157" s="14" t="n">
        <f aca="false">Operations!AL156-Inputs!$F$48</f>
        <v>0.51</v>
      </c>
      <c r="AM157" s="14" t="n">
        <f aca="false">Operations!AM156-Inputs!$F$48</f>
        <v>0.51</v>
      </c>
      <c r="AN157" s="14" t="n">
        <f aca="false">Operations!AN156-Inputs!$F$48</f>
        <v>0.51</v>
      </c>
      <c r="AO157" s="14" t="n">
        <f aca="false">Operations!AO156-Inputs!$F$48</f>
        <v>0.51</v>
      </c>
      <c r="AP157" s="14" t="n">
        <f aca="false">Operations!AP156-Inputs!$F$48</f>
        <v>0.51</v>
      </c>
      <c r="AQ157" s="14" t="n">
        <f aca="false">Operations!AQ156-Inputs!$F$48</f>
        <v>0.51</v>
      </c>
      <c r="AR157" s="14" t="n">
        <f aca="false">Operations!AR156-Inputs!$F$48</f>
        <v>0.51</v>
      </c>
      <c r="AS157" s="14" t="n">
        <f aca="false">Operations!AS156-Inputs!$F$48</f>
        <v>0.51</v>
      </c>
      <c r="AT157" s="14" t="n">
        <f aca="false">Operations!AT156-Inputs!$F$48</f>
        <v>0.51</v>
      </c>
      <c r="AU157" s="14" t="n">
        <f aca="false">Operations!AU156-Inputs!$F$48</f>
        <v>0.51</v>
      </c>
    </row>
    <row r="158" customFormat="false" ht="15" hidden="false" customHeight="false" outlineLevel="0" collapsed="false">
      <c r="D158" s="0" t="s">
        <v>554</v>
      </c>
      <c r="E158" s="0" t="s">
        <v>96</v>
      </c>
      <c r="J158" s="18" t="n">
        <f aca="false">Operations!J150*Operations!J157</f>
        <v>42.605552</v>
      </c>
      <c r="K158" s="18" t="n">
        <f aca="false">Operations!K150*Operations!K157</f>
        <v>34.656336</v>
      </c>
      <c r="L158" s="18" t="n">
        <f aca="false">Operations!L150*Operations!L157</f>
        <v>16.899344</v>
      </c>
      <c r="M158" s="18" t="n">
        <f aca="false">Operations!M150*Operations!M157</f>
        <v>22.15268</v>
      </c>
      <c r="N158" s="18" t="n">
        <f aca="false">Operations!N150*Operations!N157</f>
        <v>24.608496</v>
      </c>
      <c r="O158" s="18" t="n">
        <f aca="false">Operations!O150*Operations!O157</f>
        <v>25.869316</v>
      </c>
      <c r="P158" s="18" t="n">
        <f aca="false">Operations!P150*Operations!P157</f>
        <v>26.616128</v>
      </c>
      <c r="Q158" s="18" t="n">
        <f aca="false">Operations!Q150*Operations!Q157</f>
        <v>27.076896</v>
      </c>
      <c r="R158" s="18" t="n">
        <f aca="false">Operations!R150*Operations!R157</f>
        <v>27.57832</v>
      </c>
      <c r="S158" s="18" t="n">
        <f aca="false">Operations!S150*Operations!S157</f>
        <v>27.8762704</v>
      </c>
      <c r="T158" s="18" t="n">
        <f aca="false">Operations!T150*Operations!T157</f>
        <v>28.174608</v>
      </c>
      <c r="U158" s="18" t="n">
        <f aca="false">Operations!U150*Operations!U157</f>
        <v>28.4730424</v>
      </c>
      <c r="V158" s="18" t="n">
        <f aca="false">Operations!V150*Operations!V157</f>
        <v>28.7712832</v>
      </c>
      <c r="W158" s="18" t="n">
        <f aca="false">Operations!W150*Operations!W157</f>
        <v>29.06904</v>
      </c>
      <c r="X158" s="18" t="n">
        <f aca="false">Operations!X150*Operations!X157</f>
        <v>29.3660224</v>
      </c>
      <c r="Y158" s="18" t="n">
        <f aca="false">Operations!Y150*Operations!Y157</f>
        <v>29.6669252</v>
      </c>
      <c r="Z158" s="18" t="n">
        <f aca="false">Operations!Z150*Operations!Z157</f>
        <v>29.966376</v>
      </c>
      <c r="AA158" s="18" t="n">
        <f aca="false">Operations!AA150*Operations!AA157</f>
        <v>30.5637288</v>
      </c>
      <c r="AB158" s="18" t="n">
        <f aca="false">Operations!AB150*Operations!AB157</f>
        <v>31.175892</v>
      </c>
      <c r="AC158" s="18" t="n">
        <f aca="false">Operations!AC150*Operations!AC157</f>
        <v>31.7979288</v>
      </c>
      <c r="AD158" s="18" t="n">
        <f aca="false">Operations!AD150*Operations!AD157</f>
        <v>32.434776</v>
      </c>
      <c r="AE158" s="18" t="n">
        <f aca="false">Operations!AE150*Operations!AE157</f>
        <v>33.0814968</v>
      </c>
      <c r="AF158" s="18" t="n">
        <f aca="false">Operations!AF150*Operations!AF157</f>
        <v>33.743028</v>
      </c>
      <c r="AG158" s="18" t="n">
        <f aca="false">Operations!AG150*Operations!AG157</f>
        <v>34.4193696</v>
      </c>
      <c r="AH158" s="18" t="n">
        <f aca="false">Operations!AH150*Operations!AH157</f>
        <v>35.1055848</v>
      </c>
      <c r="AI158" s="18" t="n">
        <f aca="false">Operations!AI150*Operations!AI157</f>
        <v>35.8066104</v>
      </c>
      <c r="AJ158" s="18" t="n">
        <f aca="false">Operations!AJ150*Operations!AJ157</f>
        <v>36.5224464</v>
      </c>
      <c r="AK158" s="18" t="n">
        <f aca="false">Operations!AK150*Operations!AK157</f>
        <v>37.2530928</v>
      </c>
      <c r="AL158" s="18" t="n">
        <f aca="false">Operations!AL150*Operations!AL157</f>
        <v>37.9985496</v>
      </c>
      <c r="AM158" s="18" t="n">
        <f aca="false">Operations!AM150*Operations!AM157</f>
        <v>38.7588168</v>
      </c>
      <c r="AN158" s="18" t="n">
        <f aca="false">Operations!AN150*Operations!AN157</f>
        <v>39.5338944</v>
      </c>
      <c r="AO158" s="18" t="n">
        <f aca="false">Operations!AO150*Operations!AO157</f>
        <v>40.3237824</v>
      </c>
      <c r="AP158" s="18" t="n">
        <f aca="false">Operations!AP150*Operations!AP157</f>
        <v>41.1284808</v>
      </c>
      <c r="AQ158" s="18" t="n">
        <f aca="false">Operations!AQ150*Operations!AQ157</f>
        <v>41.9529264</v>
      </c>
      <c r="AR158" s="18" t="n">
        <f aca="false">Operations!AR150*Operations!AR157</f>
        <v>42.7921824</v>
      </c>
      <c r="AS158" s="18" t="n">
        <f aca="false">Operations!AS150*Operations!AS157</f>
        <v>43.6462488</v>
      </c>
      <c r="AT158" s="18" t="n">
        <f aca="false">Operations!AT150*Operations!AT157</f>
        <v>44.5200624</v>
      </c>
      <c r="AU158" s="18" t="n">
        <f aca="false">Operations!AU150*Operations!AU157</f>
        <v>45.4086864</v>
      </c>
    </row>
    <row r="159" customFormat="false" ht="15" hidden="false" customHeight="false" outlineLevel="0" collapsed="false">
      <c r="D159" s="0" t="s">
        <v>555</v>
      </c>
      <c r="E159" s="0" t="s">
        <v>458</v>
      </c>
      <c r="J159" s="14" t="n">
        <f aca="false">MAX(0,MIN(Inputs!$F$206,Time!J$6)-MAX(Inputs!$F$205-1,Time!J$5))/Time!J$7</f>
        <v>1</v>
      </c>
      <c r="K159" s="14" t="n">
        <f aca="false">MAX(0,MIN(Inputs!$F$206,Time!K$6)-MAX(Inputs!$F$205-1,Time!K$5))/Time!K$7</f>
        <v>1</v>
      </c>
      <c r="L159" s="14" t="n">
        <f aca="false">MAX(0,MIN(Inputs!$F$206,Time!L$6)-MAX(Inputs!$F$205-1,Time!L$5))/Time!L$7</f>
        <v>1</v>
      </c>
      <c r="M159" s="14" t="n">
        <f aca="false">MAX(0,MIN(Inputs!$F$206,Time!M$6)-MAX(Inputs!$F$205-1,Time!M$5))/Time!M$7</f>
        <v>1</v>
      </c>
      <c r="N159" s="14" t="n">
        <f aca="false">MAX(0,MIN(Inputs!$F$206,Time!N$6)-MAX(Inputs!$F$205-1,Time!N$5))/Time!N$7</f>
        <v>1</v>
      </c>
      <c r="O159" s="14" t="n">
        <f aca="false">MAX(0,MIN(Inputs!$F$206,Time!O$6)-MAX(Inputs!$F$205-1,Time!O$5))/Time!O$7</f>
        <v>1</v>
      </c>
      <c r="P159" s="14" t="n">
        <f aca="false">MAX(0,MIN(Inputs!$F$206,Time!P$6)-MAX(Inputs!$F$205-1,Time!P$5))/Time!P$7</f>
        <v>1</v>
      </c>
      <c r="Q159" s="14" t="n">
        <f aca="false">MAX(0,MIN(Inputs!$F$206,Time!Q$6)-MAX(Inputs!$F$205-1,Time!Q$5))/Time!Q$7</f>
        <v>1</v>
      </c>
      <c r="R159" s="14" t="n">
        <f aca="false">MAX(0,MIN(Inputs!$F$206,Time!R$6)-MAX(Inputs!$F$205-1,Time!R$5))/Time!R$7</f>
        <v>0</v>
      </c>
      <c r="S159" s="14" t="n">
        <f aca="false">MAX(0,MIN(Inputs!$F$206,Time!S$6)-MAX(Inputs!$F$205-1,Time!S$5))/Time!S$7</f>
        <v>0</v>
      </c>
      <c r="T159" s="14" t="n">
        <f aca="false">MAX(0,MIN(Inputs!$F$206,Time!T$6)-MAX(Inputs!$F$205-1,Time!T$5))/Time!T$7</f>
        <v>0</v>
      </c>
      <c r="U159" s="14" t="n">
        <f aca="false">MAX(0,MIN(Inputs!$F$206,Time!U$6)-MAX(Inputs!$F$205-1,Time!U$5))/Time!U$7</f>
        <v>0</v>
      </c>
      <c r="V159" s="14" t="n">
        <f aca="false">MAX(0,MIN(Inputs!$F$206,Time!V$6)-MAX(Inputs!$F$205-1,Time!V$5))/Time!V$7</f>
        <v>0</v>
      </c>
      <c r="W159" s="14" t="n">
        <f aca="false">MAX(0,MIN(Inputs!$F$206,Time!W$6)-MAX(Inputs!$F$205-1,Time!W$5))/Time!W$7</f>
        <v>0</v>
      </c>
      <c r="X159" s="14" t="n">
        <f aca="false">MAX(0,MIN(Inputs!$F$206,Time!X$6)-MAX(Inputs!$F$205-1,Time!X$5))/Time!X$7</f>
        <v>0</v>
      </c>
      <c r="Y159" s="14" t="n">
        <f aca="false">MAX(0,MIN(Inputs!$F$206,Time!Y$6)-MAX(Inputs!$F$205-1,Time!Y$5))/Time!Y$7</f>
        <v>0</v>
      </c>
      <c r="Z159" s="14" t="n">
        <f aca="false">MAX(0,MIN(Inputs!$F$206,Time!Z$6)-MAX(Inputs!$F$205-1,Time!Z$5))/Time!Z$7</f>
        <v>0</v>
      </c>
      <c r="AA159" s="14" t="n">
        <f aca="false">MAX(0,MIN(Inputs!$F$206,Time!AA$6)-MAX(Inputs!$F$205-1,Time!AA$5))/Time!AA$7</f>
        <v>0</v>
      </c>
      <c r="AB159" s="14" t="n">
        <f aca="false">MAX(0,MIN(Inputs!$F$206,Time!AB$6)-MAX(Inputs!$F$205-1,Time!AB$5))/Time!AB$7</f>
        <v>0</v>
      </c>
      <c r="AC159" s="14" t="n">
        <f aca="false">MAX(0,MIN(Inputs!$F$206,Time!AC$6)-MAX(Inputs!$F$205-1,Time!AC$5))/Time!AC$7</f>
        <v>0</v>
      </c>
      <c r="AD159" s="14" t="n">
        <f aca="false">MAX(0,MIN(Inputs!$F$206,Time!AD$6)-MAX(Inputs!$F$205-1,Time!AD$5))/Time!AD$7</f>
        <v>0</v>
      </c>
      <c r="AE159" s="14" t="n">
        <f aca="false">MAX(0,MIN(Inputs!$F$206,Time!AE$6)-MAX(Inputs!$F$205-1,Time!AE$5))/Time!AE$7</f>
        <v>0</v>
      </c>
      <c r="AF159" s="14" t="n">
        <f aca="false">MAX(0,MIN(Inputs!$F$206,Time!AF$6)-MAX(Inputs!$F$205-1,Time!AF$5))/Time!AF$7</f>
        <v>0</v>
      </c>
      <c r="AG159" s="14" t="n">
        <f aca="false">MAX(0,MIN(Inputs!$F$206,Time!AG$6)-MAX(Inputs!$F$205-1,Time!AG$5))/Time!AG$7</f>
        <v>0</v>
      </c>
      <c r="AH159" s="14" t="n">
        <f aca="false">MAX(0,MIN(Inputs!$F$206,Time!AH$6)-MAX(Inputs!$F$205-1,Time!AH$5))/Time!AH$7</f>
        <v>0</v>
      </c>
      <c r="AI159" s="14" t="n">
        <f aca="false">MAX(0,MIN(Inputs!$F$206,Time!AI$6)-MAX(Inputs!$F$205-1,Time!AI$5))/Time!AI$7</f>
        <v>0</v>
      </c>
      <c r="AJ159" s="14" t="n">
        <f aca="false">MAX(0,MIN(Inputs!$F$206,Time!AJ$6)-MAX(Inputs!$F$205-1,Time!AJ$5))/Time!AJ$7</f>
        <v>0</v>
      </c>
      <c r="AK159" s="14" t="n">
        <f aca="false">MAX(0,MIN(Inputs!$F$206,Time!AK$6)-MAX(Inputs!$F$205-1,Time!AK$5))/Time!AK$7</f>
        <v>0</v>
      </c>
      <c r="AL159" s="14" t="n">
        <f aca="false">MAX(0,MIN(Inputs!$F$206,Time!AL$6)-MAX(Inputs!$F$205-1,Time!AL$5))/Time!AL$7</f>
        <v>0</v>
      </c>
      <c r="AM159" s="14" t="n">
        <f aca="false">MAX(0,MIN(Inputs!$F$206,Time!AM$6)-MAX(Inputs!$F$205-1,Time!AM$5))/Time!AM$7</f>
        <v>0</v>
      </c>
      <c r="AN159" s="14" t="n">
        <f aca="false">MAX(0,MIN(Inputs!$F$206,Time!AN$6)-MAX(Inputs!$F$205-1,Time!AN$5))/Time!AN$7</f>
        <v>0</v>
      </c>
      <c r="AO159" s="14" t="n">
        <f aca="false">MAX(0,MIN(Inputs!$F$206,Time!AO$6)-MAX(Inputs!$F$205-1,Time!AO$5))/Time!AO$7</f>
        <v>0</v>
      </c>
      <c r="AP159" s="14" t="n">
        <f aca="false">MAX(0,MIN(Inputs!$F$206,Time!AP$6)-MAX(Inputs!$F$205-1,Time!AP$5))/Time!AP$7</f>
        <v>0</v>
      </c>
      <c r="AQ159" s="14" t="n">
        <f aca="false">MAX(0,MIN(Inputs!$F$206,Time!AQ$6)-MAX(Inputs!$F$205-1,Time!AQ$5))/Time!AQ$7</f>
        <v>0</v>
      </c>
      <c r="AR159" s="14" t="n">
        <f aca="false">MAX(0,MIN(Inputs!$F$206,Time!AR$6)-MAX(Inputs!$F$205-1,Time!AR$5))/Time!AR$7</f>
        <v>0</v>
      </c>
      <c r="AS159" s="14" t="n">
        <f aca="false">MAX(0,MIN(Inputs!$F$206,Time!AS$6)-MAX(Inputs!$F$205-1,Time!AS$5))/Time!AS$7</f>
        <v>0</v>
      </c>
      <c r="AT159" s="14" t="n">
        <f aca="false">MAX(0,MIN(Inputs!$F$206,Time!AT$6)-MAX(Inputs!$F$205-1,Time!AT$5))/Time!AT$7</f>
        <v>0</v>
      </c>
      <c r="AU159" s="14" t="n">
        <f aca="false">MAX(0,MIN(Inputs!$F$206,Time!AU$6)-MAX(Inputs!$F$205-1,Time!AU$5))/Time!AU$7</f>
        <v>0</v>
      </c>
    </row>
    <row r="160" customFormat="false" ht="15" hidden="false" customHeight="false" outlineLevel="0" collapsed="false">
      <c r="D160" s="0" t="s">
        <v>556</v>
      </c>
      <c r="E160" s="0" t="s">
        <v>466</v>
      </c>
      <c r="J160" s="20" t="n">
        <f aca="false">Operations!J154*Operations!J159</f>
        <v>587.0016</v>
      </c>
      <c r="K160" s="20" t="n">
        <f aca="false">Operations!K154*Operations!K159</f>
        <v>582.1198272</v>
      </c>
      <c r="L160" s="20" t="n">
        <f aca="false">Operations!L154*Operations!L159</f>
        <v>577.2552334848</v>
      </c>
      <c r="M160" s="20" t="n">
        <f aca="false">Operations!M154*Operations!M159</f>
        <v>572.407769665152</v>
      </c>
      <c r="N160" s="20" t="n">
        <f aca="false">Operations!N154*Operations!N159</f>
        <v>571.262954125822</v>
      </c>
      <c r="O160" s="20" t="n">
        <f aca="false">Operations!O154*Operations!O159</f>
        <v>570.12042821757</v>
      </c>
      <c r="P160" s="20" t="n">
        <f aca="false">Operations!P154*Operations!P159</f>
        <v>568.980187361135</v>
      </c>
      <c r="Q160" s="20" t="n">
        <f aca="false">Operations!Q154*Operations!Q159</f>
        <v>567.842226986413</v>
      </c>
      <c r="R160" s="20" t="n">
        <f aca="false">Operations!R154*Operations!R159</f>
        <v>0</v>
      </c>
      <c r="S160" s="20" t="n">
        <f aca="false">Operations!S154*Operations!S159</f>
        <v>0</v>
      </c>
      <c r="T160" s="20" t="n">
        <f aca="false">Operations!T154*Operations!T159</f>
        <v>0</v>
      </c>
      <c r="U160" s="20" t="n">
        <f aca="false">Operations!U154*Operations!U159</f>
        <v>0</v>
      </c>
      <c r="V160" s="20" t="n">
        <f aca="false">Operations!V154*Operations!V159</f>
        <v>0</v>
      </c>
      <c r="W160" s="20" t="n">
        <f aca="false">Operations!W154*Operations!W159</f>
        <v>0</v>
      </c>
      <c r="X160" s="20" t="n">
        <f aca="false">Operations!X154*Operations!X159</f>
        <v>0</v>
      </c>
      <c r="Y160" s="20" t="n">
        <f aca="false">Operations!Y154*Operations!Y159</f>
        <v>0</v>
      </c>
      <c r="Z160" s="20" t="n">
        <f aca="false">Operations!Z154*Operations!Z159</f>
        <v>0</v>
      </c>
      <c r="AA160" s="20" t="n">
        <f aca="false">Operations!AA154*Operations!AA159</f>
        <v>0</v>
      </c>
      <c r="AB160" s="20" t="n">
        <f aca="false">Operations!AB154*Operations!AB159</f>
        <v>0</v>
      </c>
      <c r="AC160" s="20" t="n">
        <f aca="false">Operations!AC154*Operations!AC159</f>
        <v>0</v>
      </c>
      <c r="AD160" s="20" t="n">
        <f aca="false">Operations!AD154*Operations!AD159</f>
        <v>0</v>
      </c>
      <c r="AE160" s="20" t="n">
        <f aca="false">Operations!AE154*Operations!AE159</f>
        <v>0</v>
      </c>
      <c r="AF160" s="20" t="n">
        <f aca="false">Operations!AF154*Operations!AF159</f>
        <v>0</v>
      </c>
      <c r="AG160" s="20" t="n">
        <f aca="false">Operations!AG154*Operations!AG159</f>
        <v>0</v>
      </c>
      <c r="AH160" s="20" t="n">
        <f aca="false">Operations!AH154*Operations!AH159</f>
        <v>0</v>
      </c>
      <c r="AI160" s="20" t="n">
        <f aca="false">Operations!AI154*Operations!AI159</f>
        <v>0</v>
      </c>
      <c r="AJ160" s="20" t="n">
        <f aca="false">Operations!AJ154*Operations!AJ159</f>
        <v>0</v>
      </c>
      <c r="AK160" s="20" t="n">
        <f aca="false">Operations!AK154*Operations!AK159</f>
        <v>0</v>
      </c>
      <c r="AL160" s="20" t="n">
        <f aca="false">Operations!AL154*Operations!AL159</f>
        <v>0</v>
      </c>
      <c r="AM160" s="20" t="n">
        <f aca="false">Operations!AM154*Operations!AM159</f>
        <v>0</v>
      </c>
      <c r="AN160" s="20" t="n">
        <f aca="false">Operations!AN154*Operations!AN159</f>
        <v>0</v>
      </c>
      <c r="AO160" s="20" t="n">
        <f aca="false">Operations!AO154*Operations!AO159</f>
        <v>0</v>
      </c>
      <c r="AP160" s="20" t="n">
        <f aca="false">Operations!AP154*Operations!AP159</f>
        <v>0</v>
      </c>
      <c r="AQ160" s="20" t="n">
        <f aca="false">Operations!AQ154*Operations!AQ159</f>
        <v>0</v>
      </c>
      <c r="AR160" s="20" t="n">
        <f aca="false">Operations!AR154*Operations!AR159</f>
        <v>0</v>
      </c>
      <c r="AS160" s="20" t="n">
        <f aca="false">Operations!AS154*Operations!AS159</f>
        <v>0</v>
      </c>
      <c r="AT160" s="20" t="n">
        <f aca="false">Operations!AT154*Operations!AT159</f>
        <v>0</v>
      </c>
      <c r="AU160" s="20" t="n">
        <f aca="false">Operations!AU154*Operations!AU159</f>
        <v>0</v>
      </c>
    </row>
    <row r="161" customFormat="false" ht="15" hidden="false" customHeight="false" outlineLevel="0" collapsed="false">
      <c r="D161" s="0" t="s">
        <v>557</v>
      </c>
      <c r="E161" s="0" t="s">
        <v>47</v>
      </c>
      <c r="G161" s="20" t="n">
        <f aca="false">SUM(J161:AU161)</f>
        <v>64.2865238278928</v>
      </c>
      <c r="J161" s="20" t="n">
        <f aca="false">Inputs!$F$204*Operations!J159-Operations!J160*Operations!J156*Operations!J150/1000</f>
        <v>-2.1367592327168</v>
      </c>
      <c r="K161" s="20" t="n">
        <f aca="false">Inputs!$F$204*Operations!K159-Operations!K160*Operations!K156*Operations!K150/1000</f>
        <v>3.25185997944125</v>
      </c>
      <c r="L161" s="20" t="n">
        <f aca="false">Inputs!$F$204*Operations!L159-Operations!L160*Operations!L156*Operations!L150/1000</f>
        <v>14.9074093134501</v>
      </c>
      <c r="M161" s="20" t="n">
        <f aca="false">Inputs!$F$204*Operations!M159-Operations!M160*Operations!M156*Operations!M150/1000</f>
        <v>11.6159371002883</v>
      </c>
      <c r="N161" s="20" t="n">
        <f aca="false">Inputs!$F$204*Operations!N159-Operations!N160*Operations!N156*Operations!N150/1000</f>
        <v>10.0556663898347</v>
      </c>
      <c r="O161" s="20" t="n">
        <f aca="false">Inputs!$F$204*Operations!O159-Operations!O160*Operations!O156*Operations!O150/1000</f>
        <v>9.2641111461665</v>
      </c>
      <c r="P161" s="20" t="n">
        <f aca="false">Inputs!$F$204*Operations!P159-Operations!P160*Operations!P156*Operations!P150/1000</f>
        <v>8.80294431669856</v>
      </c>
      <c r="Q161" s="20" t="n">
        <f aca="false">Inputs!$F$204*Operations!Q159-Operations!Q160*Operations!Q156*Operations!Q150/1000</f>
        <v>8.52535481473031</v>
      </c>
      <c r="R161" s="20" t="n">
        <f aca="false">Inputs!$F$204*Operations!R159-Operations!R160*Operations!R156*Operations!R150/1000</f>
        <v>0</v>
      </c>
      <c r="S161" s="20" t="n">
        <f aca="false">Inputs!$F$204*Operations!S159-Operations!S160*Operations!S156*Operations!S150/1000</f>
        <v>0</v>
      </c>
      <c r="T161" s="20" t="n">
        <f aca="false">Inputs!$F$204*Operations!T159-Operations!T160*Operations!T156*Operations!T150/1000</f>
        <v>0</v>
      </c>
      <c r="U161" s="20" t="n">
        <f aca="false">Inputs!$F$204*Operations!U159-Operations!U160*Operations!U156*Operations!U150/1000</f>
        <v>0</v>
      </c>
      <c r="V161" s="20" t="n">
        <f aca="false">Inputs!$F$204*Operations!V159-Operations!V160*Operations!V156*Operations!V150/1000</f>
        <v>0</v>
      </c>
      <c r="W161" s="20" t="n">
        <f aca="false">Inputs!$F$204*Operations!W159-Operations!W160*Operations!W156*Operations!W150/1000</f>
        <v>0</v>
      </c>
      <c r="X161" s="20" t="n">
        <f aca="false">Inputs!$F$204*Operations!X159-Operations!X160*Operations!X156*Operations!X150/1000</f>
        <v>0</v>
      </c>
      <c r="Y161" s="20" t="n">
        <f aca="false">Inputs!$F$204*Operations!Y159-Operations!Y160*Operations!Y156*Operations!Y150/1000</f>
        <v>0</v>
      </c>
      <c r="Z161" s="20" t="n">
        <f aca="false">Inputs!$F$204*Operations!Z159-Operations!Z160*Operations!Z156*Operations!Z150/1000</f>
        <v>0</v>
      </c>
      <c r="AA161" s="20" t="n">
        <f aca="false">Inputs!$F$204*Operations!AA159-Operations!AA160*Operations!AA156*Operations!AA150/1000</f>
        <v>0</v>
      </c>
      <c r="AB161" s="20" t="n">
        <f aca="false">Inputs!$F$204*Operations!AB159-Operations!AB160*Operations!AB156*Operations!AB150/1000</f>
        <v>0</v>
      </c>
      <c r="AC161" s="20" t="n">
        <f aca="false">Inputs!$F$204*Operations!AC159-Operations!AC160*Operations!AC156*Operations!AC150/1000</f>
        <v>0</v>
      </c>
      <c r="AD161" s="20" t="n">
        <f aca="false">Inputs!$F$204*Operations!AD159-Operations!AD160*Operations!AD156*Operations!AD150/1000</f>
        <v>0</v>
      </c>
      <c r="AE161" s="20" t="n">
        <f aca="false">Inputs!$F$204*Operations!AE159-Operations!AE160*Operations!AE156*Operations!AE150/1000</f>
        <v>0</v>
      </c>
      <c r="AF161" s="20" t="n">
        <f aca="false">Inputs!$F$204*Operations!AF159-Operations!AF160*Operations!AF156*Operations!AF150/1000</f>
        <v>0</v>
      </c>
      <c r="AG161" s="20" t="n">
        <f aca="false">Inputs!$F$204*Operations!AG159-Operations!AG160*Operations!AG156*Operations!AG150/1000</f>
        <v>0</v>
      </c>
      <c r="AH161" s="20" t="n">
        <f aca="false">Inputs!$F$204*Operations!AH159-Operations!AH160*Operations!AH156*Operations!AH150/1000</f>
        <v>0</v>
      </c>
      <c r="AI161" s="20" t="n">
        <f aca="false">Inputs!$F$204*Operations!AI159-Operations!AI160*Operations!AI156*Operations!AI150/1000</f>
        <v>0</v>
      </c>
      <c r="AJ161" s="20" t="n">
        <f aca="false">Inputs!$F$204*Operations!AJ159-Operations!AJ160*Operations!AJ156*Operations!AJ150/1000</f>
        <v>0</v>
      </c>
      <c r="AK161" s="20" t="n">
        <f aca="false">Inputs!$F$204*Operations!AK159-Operations!AK160*Operations!AK156*Operations!AK150/1000</f>
        <v>0</v>
      </c>
      <c r="AL161" s="20" t="n">
        <f aca="false">Inputs!$F$204*Operations!AL159-Operations!AL160*Operations!AL156*Operations!AL150/1000</f>
        <v>0</v>
      </c>
      <c r="AM161" s="20" t="n">
        <f aca="false">Inputs!$F$204*Operations!AM159-Operations!AM160*Operations!AM156*Operations!AM150/1000</f>
        <v>0</v>
      </c>
      <c r="AN161" s="20" t="n">
        <f aca="false">Inputs!$F$204*Operations!AN159-Operations!AN160*Operations!AN156*Operations!AN150/1000</f>
        <v>0</v>
      </c>
      <c r="AO161" s="20" t="n">
        <f aca="false">Inputs!$F$204*Operations!AO159-Operations!AO160*Operations!AO156*Operations!AO150/1000</f>
        <v>0</v>
      </c>
      <c r="AP161" s="20" t="n">
        <f aca="false">Inputs!$F$204*Operations!AP159-Operations!AP160*Operations!AP156*Operations!AP150/1000</f>
        <v>0</v>
      </c>
      <c r="AQ161" s="20" t="n">
        <f aca="false">Inputs!$F$204*Operations!AQ159-Operations!AQ160*Operations!AQ156*Operations!AQ150/1000</f>
        <v>0</v>
      </c>
      <c r="AR161" s="20" t="n">
        <f aca="false">Inputs!$F$204*Operations!AR159-Operations!AR160*Operations!AR156*Operations!AR150/1000</f>
        <v>0</v>
      </c>
      <c r="AS161" s="20" t="n">
        <f aca="false">Inputs!$F$204*Operations!AS159-Operations!AS160*Operations!AS156*Operations!AS150/1000</f>
        <v>0</v>
      </c>
      <c r="AT161" s="20" t="n">
        <f aca="false">Inputs!$F$204*Operations!AT159-Operations!AT160*Operations!AT156*Operations!AT150/1000</f>
        <v>0</v>
      </c>
      <c r="AU161" s="20" t="n">
        <f aca="false">Inputs!$F$204*Operations!AU159-Operations!AU160*Operations!AU156*Operations!AU150/1000</f>
        <v>0</v>
      </c>
    </row>
    <row r="162" customFormat="false" ht="15" hidden="false" customHeight="false" outlineLevel="0" collapsed="false">
      <c r="D162" s="0" t="s">
        <v>558</v>
      </c>
      <c r="E162" s="0" t="s">
        <v>466</v>
      </c>
      <c r="J162" s="20" t="n">
        <f aca="false">Operations!J155</f>
        <v>587.0016</v>
      </c>
      <c r="K162" s="20" t="n">
        <f aca="false">Operations!K155</f>
        <v>582.1198272</v>
      </c>
      <c r="L162" s="20" t="n">
        <f aca="false">Operations!L155</f>
        <v>577.2552334848</v>
      </c>
      <c r="M162" s="20" t="n">
        <f aca="false">Operations!M155</f>
        <v>572.407769665152</v>
      </c>
      <c r="N162" s="20" t="n">
        <f aca="false">Operations!N155</f>
        <v>571.262954125822</v>
      </c>
      <c r="O162" s="20" t="n">
        <f aca="false">Operations!O155</f>
        <v>570.12042821757</v>
      </c>
      <c r="P162" s="20" t="n">
        <f aca="false">Operations!P155</f>
        <v>568.980187361135</v>
      </c>
      <c r="Q162" s="20" t="n">
        <f aca="false">Operations!Q155</f>
        <v>567.842226986413</v>
      </c>
      <c r="R162" s="20" t="n">
        <f aca="false">Operations!R155</f>
        <v>566.70654253244</v>
      </c>
      <c r="S162" s="20" t="n">
        <f aca="false">Operations!S155</f>
        <v>565.573129447375</v>
      </c>
      <c r="T162" s="20" t="n">
        <f aca="false">Operations!T155</f>
        <v>564.44198318848</v>
      </c>
      <c r="U162" s="20" t="n">
        <f aca="false">Operations!U155</f>
        <v>563.313099222103</v>
      </c>
      <c r="V162" s="20" t="n">
        <f aca="false">Operations!V155</f>
        <v>562.186473023659</v>
      </c>
      <c r="W162" s="20" t="n">
        <f aca="false">Operations!W155</f>
        <v>561.062100077612</v>
      </c>
      <c r="X162" s="20" t="n">
        <f aca="false">Operations!X155</f>
        <v>559.939975877457</v>
      </c>
      <c r="Y162" s="20" t="n">
        <f aca="false">Operations!Y155</f>
        <v>558.820095925702</v>
      </c>
      <c r="Z162" s="20" t="n">
        <f aca="false">Operations!Z155</f>
        <v>557.70245573385</v>
      </c>
      <c r="AA162" s="20" t="n">
        <f aca="false">Operations!AA155</f>
        <v>556.587050822383</v>
      </c>
      <c r="AB162" s="20" t="n">
        <f aca="false">Operations!AB155</f>
        <v>555.473876720738</v>
      </c>
      <c r="AC162" s="20" t="n">
        <f aca="false">Operations!AC155</f>
        <v>554.362928967296</v>
      </c>
      <c r="AD162" s="20" t="n">
        <f aca="false">Operations!AD155</f>
        <v>553.254203109362</v>
      </c>
      <c r="AE162" s="20" t="n">
        <f aca="false">Operations!AE155</f>
        <v>552.147694703143</v>
      </c>
      <c r="AF162" s="20" t="n">
        <f aca="false">Operations!AF155</f>
        <v>551.043399313737</v>
      </c>
      <c r="AG162" s="20" t="n">
        <f aca="false">Operations!AG155</f>
        <v>549.941312515109</v>
      </c>
      <c r="AH162" s="20" t="n">
        <f aca="false">Operations!AH155</f>
        <v>548.841429890079</v>
      </c>
      <c r="AI162" s="20" t="n">
        <f aca="false">Operations!AI155</f>
        <v>547.743747030299</v>
      </c>
      <c r="AJ162" s="20" t="n">
        <f aca="false">Operations!AJ155</f>
        <v>546.648259536238</v>
      </c>
      <c r="AK162" s="20" t="n">
        <f aca="false">Operations!AK155</f>
        <v>499.220157938995</v>
      </c>
      <c r="AL162" s="20" t="n">
        <f aca="false">Operations!AL155</f>
        <v>0</v>
      </c>
      <c r="AM162" s="20" t="n">
        <f aca="false">Operations!AM155</f>
        <v>0</v>
      </c>
      <c r="AN162" s="20" t="n">
        <f aca="false">Operations!AN155</f>
        <v>0</v>
      </c>
      <c r="AO162" s="20" t="n">
        <f aca="false">Operations!AO155</f>
        <v>0</v>
      </c>
      <c r="AP162" s="20" t="n">
        <f aca="false">Operations!AP155</f>
        <v>0</v>
      </c>
      <c r="AQ162" s="20" t="n">
        <f aca="false">Operations!AQ155</f>
        <v>0</v>
      </c>
      <c r="AR162" s="20" t="n">
        <f aca="false">Operations!AR155</f>
        <v>0</v>
      </c>
      <c r="AS162" s="20" t="n">
        <f aca="false">Operations!AS155</f>
        <v>0</v>
      </c>
      <c r="AT162" s="20" t="n">
        <f aca="false">Operations!AT155</f>
        <v>0</v>
      </c>
      <c r="AU162" s="20" t="n">
        <f aca="false">Operations!AU155</f>
        <v>0</v>
      </c>
    </row>
    <row r="163" customFormat="false" ht="15" hidden="false" customHeight="false" outlineLevel="0" collapsed="false">
      <c r="D163" s="0" t="s">
        <v>559</v>
      </c>
      <c r="E163" s="0" t="s">
        <v>47</v>
      </c>
      <c r="J163" s="20" t="n">
        <f aca="false">Inputs!$F$204*Operations!J159</f>
        <v>25.84</v>
      </c>
      <c r="K163" s="20" t="n">
        <f aca="false">Inputs!$F$204*Operations!K159</f>
        <v>25.84</v>
      </c>
      <c r="L163" s="20" t="n">
        <f aca="false">Inputs!$F$204*Operations!L159</f>
        <v>25.84</v>
      </c>
      <c r="M163" s="20" t="n">
        <f aca="false">Inputs!$F$204*Operations!M159</f>
        <v>25.84</v>
      </c>
      <c r="N163" s="20" t="n">
        <f aca="false">Inputs!$F$204*Operations!N159</f>
        <v>25.84</v>
      </c>
      <c r="O163" s="20" t="n">
        <f aca="false">Inputs!$F$204*Operations!O159</f>
        <v>25.84</v>
      </c>
      <c r="P163" s="20" t="n">
        <f aca="false">Inputs!$F$204*Operations!P159</f>
        <v>25.84</v>
      </c>
      <c r="Q163" s="20" t="n">
        <f aca="false">Inputs!$F$204*Operations!Q159</f>
        <v>25.84</v>
      </c>
      <c r="R163" s="20" t="n">
        <f aca="false">Inputs!$F$204*Operations!R159</f>
        <v>0</v>
      </c>
      <c r="S163" s="20" t="n">
        <f aca="false">Inputs!$F$204*Operations!S159</f>
        <v>0</v>
      </c>
      <c r="T163" s="20" t="n">
        <f aca="false">Inputs!$F$204*Operations!T159</f>
        <v>0</v>
      </c>
      <c r="U163" s="20" t="n">
        <f aca="false">Inputs!$F$204*Operations!U159</f>
        <v>0</v>
      </c>
      <c r="V163" s="20" t="n">
        <f aca="false">Inputs!$F$204*Operations!V159</f>
        <v>0</v>
      </c>
      <c r="W163" s="20" t="n">
        <f aca="false">Inputs!$F$204*Operations!W159</f>
        <v>0</v>
      </c>
      <c r="X163" s="20" t="n">
        <f aca="false">Inputs!$F$204*Operations!X159</f>
        <v>0</v>
      </c>
      <c r="Y163" s="20" t="n">
        <f aca="false">Inputs!$F$204*Operations!Y159</f>
        <v>0</v>
      </c>
      <c r="Z163" s="20" t="n">
        <f aca="false">Inputs!$F$204*Operations!Z159</f>
        <v>0</v>
      </c>
      <c r="AA163" s="20" t="n">
        <f aca="false">Inputs!$F$204*Operations!AA159</f>
        <v>0</v>
      </c>
      <c r="AB163" s="20" t="n">
        <f aca="false">Inputs!$F$204*Operations!AB159</f>
        <v>0</v>
      </c>
      <c r="AC163" s="20" t="n">
        <f aca="false">Inputs!$F$204*Operations!AC159</f>
        <v>0</v>
      </c>
      <c r="AD163" s="20" t="n">
        <f aca="false">Inputs!$F$204*Operations!AD159</f>
        <v>0</v>
      </c>
      <c r="AE163" s="20" t="n">
        <f aca="false">Inputs!$F$204*Operations!AE159</f>
        <v>0</v>
      </c>
      <c r="AF163" s="20" t="n">
        <f aca="false">Inputs!$F$204*Operations!AF159</f>
        <v>0</v>
      </c>
      <c r="AG163" s="20" t="n">
        <f aca="false">Inputs!$F$204*Operations!AG159</f>
        <v>0</v>
      </c>
      <c r="AH163" s="20" t="n">
        <f aca="false">Inputs!$F$204*Operations!AH159</f>
        <v>0</v>
      </c>
      <c r="AI163" s="20" t="n">
        <f aca="false">Inputs!$F$204*Operations!AI159</f>
        <v>0</v>
      </c>
      <c r="AJ163" s="20" t="n">
        <f aca="false">Inputs!$F$204*Operations!AJ159</f>
        <v>0</v>
      </c>
      <c r="AK163" s="20" t="n">
        <f aca="false">Inputs!$F$204*Operations!AK159</f>
        <v>0</v>
      </c>
      <c r="AL163" s="20" t="n">
        <f aca="false">Inputs!$F$204*Operations!AL159</f>
        <v>0</v>
      </c>
      <c r="AM163" s="20" t="n">
        <f aca="false">Inputs!$F$204*Operations!AM159</f>
        <v>0</v>
      </c>
      <c r="AN163" s="20" t="n">
        <f aca="false">Inputs!$F$204*Operations!AN159</f>
        <v>0</v>
      </c>
      <c r="AO163" s="20" t="n">
        <f aca="false">Inputs!$F$204*Operations!AO159</f>
        <v>0</v>
      </c>
      <c r="AP163" s="20" t="n">
        <f aca="false">Inputs!$F$204*Operations!AP159</f>
        <v>0</v>
      </c>
      <c r="AQ163" s="20" t="n">
        <f aca="false">Inputs!$F$204*Operations!AQ159</f>
        <v>0</v>
      </c>
      <c r="AR163" s="20" t="n">
        <f aca="false">Inputs!$F$204*Operations!AR159</f>
        <v>0</v>
      </c>
      <c r="AS163" s="20" t="n">
        <f aca="false">Inputs!$F$204*Operations!AS159</f>
        <v>0</v>
      </c>
      <c r="AT163" s="20" t="n">
        <f aca="false">Inputs!$F$204*Operations!AT159</f>
        <v>0</v>
      </c>
      <c r="AU163" s="20" t="n">
        <f aca="false">Inputs!$F$204*Operations!AU159</f>
        <v>0</v>
      </c>
    </row>
    <row r="164" customFormat="false" ht="15" hidden="false" customHeight="false" outlineLevel="0" collapsed="false">
      <c r="D164" s="0" t="s">
        <v>560</v>
      </c>
      <c r="E164" s="0" t="s">
        <v>47</v>
      </c>
      <c r="J164" s="20" t="n">
        <f aca="false">0</f>
        <v>0</v>
      </c>
      <c r="K164" s="20" t="n">
        <f aca="false">0</f>
        <v>0</v>
      </c>
      <c r="L164" s="20" t="n">
        <f aca="false">0</f>
        <v>0</v>
      </c>
      <c r="M164" s="20" t="n">
        <f aca="false">0</f>
        <v>0</v>
      </c>
      <c r="N164" s="20" t="n">
        <f aca="false">0</f>
        <v>0</v>
      </c>
      <c r="O164" s="20" t="n">
        <f aca="false">0</f>
        <v>0</v>
      </c>
      <c r="P164" s="20" t="n">
        <f aca="false">0</f>
        <v>0</v>
      </c>
      <c r="Q164" s="20" t="n">
        <f aca="false">0</f>
        <v>0</v>
      </c>
      <c r="R164" s="20" t="n">
        <f aca="false">0</f>
        <v>0</v>
      </c>
      <c r="S164" s="20" t="n">
        <f aca="false">0</f>
        <v>0</v>
      </c>
      <c r="T164" s="20" t="n">
        <f aca="false">0</f>
        <v>0</v>
      </c>
      <c r="U164" s="20" t="n">
        <f aca="false">0</f>
        <v>0</v>
      </c>
      <c r="V164" s="20" t="n">
        <f aca="false">0</f>
        <v>0</v>
      </c>
      <c r="W164" s="20" t="n">
        <f aca="false">0</f>
        <v>0</v>
      </c>
      <c r="X164" s="20" t="n">
        <f aca="false">0</f>
        <v>0</v>
      </c>
      <c r="Y164" s="20" t="n">
        <f aca="false">0</f>
        <v>0</v>
      </c>
      <c r="Z164" s="20" t="n">
        <f aca="false">0</f>
        <v>0</v>
      </c>
      <c r="AA164" s="20" t="n">
        <f aca="false">0</f>
        <v>0</v>
      </c>
      <c r="AB164" s="20" t="n">
        <f aca="false">0</f>
        <v>0</v>
      </c>
      <c r="AC164" s="20" t="n">
        <f aca="false">0</f>
        <v>0</v>
      </c>
      <c r="AD164" s="20" t="n">
        <f aca="false">0</f>
        <v>0</v>
      </c>
      <c r="AE164" s="20" t="n">
        <f aca="false">0</f>
        <v>0</v>
      </c>
      <c r="AF164" s="20" t="n">
        <f aca="false">0</f>
        <v>0</v>
      </c>
      <c r="AG164" s="20" t="n">
        <f aca="false">0</f>
        <v>0</v>
      </c>
      <c r="AH164" s="20" t="n">
        <f aca="false">0</f>
        <v>0</v>
      </c>
      <c r="AI164" s="20" t="n">
        <f aca="false">0</f>
        <v>0</v>
      </c>
      <c r="AJ164" s="20" t="n">
        <f aca="false">0</f>
        <v>0</v>
      </c>
      <c r="AK164" s="20" t="n">
        <f aca="false">0</f>
        <v>0</v>
      </c>
      <c r="AL164" s="20" t="n">
        <f aca="false">0</f>
        <v>0</v>
      </c>
      <c r="AM164" s="20" t="n">
        <f aca="false">0</f>
        <v>0</v>
      </c>
      <c r="AN164" s="20" t="n">
        <f aca="false">0</f>
        <v>0</v>
      </c>
      <c r="AO164" s="20" t="n">
        <f aca="false">0</f>
        <v>0</v>
      </c>
      <c r="AP164" s="20" t="n">
        <f aca="false">0</f>
        <v>0</v>
      </c>
      <c r="AQ164" s="20" t="n">
        <f aca="false">0</f>
        <v>0</v>
      </c>
      <c r="AR164" s="20" t="n">
        <f aca="false">0</f>
        <v>0</v>
      </c>
      <c r="AS164" s="20" t="n">
        <f aca="false">0</f>
        <v>0</v>
      </c>
      <c r="AT164" s="20" t="n">
        <f aca="false">0</f>
        <v>0</v>
      </c>
      <c r="AU164" s="20" t="n">
        <f aca="false">0</f>
        <v>0</v>
      </c>
    </row>
    <row r="165" customFormat="false" ht="15" hidden="false" customHeight="false" outlineLevel="0" collapsed="false">
      <c r="D165" s="0" t="s">
        <v>561</v>
      </c>
      <c r="E165" s="0" t="s">
        <v>47</v>
      </c>
      <c r="G165" s="20" t="n">
        <f aca="false">SUM(J165:AU165)</f>
        <v>475.63278156738</v>
      </c>
      <c r="J165" s="20" t="n">
        <f aca="false">Operations!J162*Operations!J158/1000</f>
        <v>25.0095271928832</v>
      </c>
      <c r="K165" s="20" t="n">
        <f aca="false">Operations!K162*Operations!K158/1000</f>
        <v>20.1741403237051</v>
      </c>
      <c r="L165" s="20" t="n">
        <f aca="false">Operations!L162*Operations!L158/1000</f>
        <v>9.75523476645996</v>
      </c>
      <c r="M165" s="20" t="n">
        <f aca="false">Operations!M162*Operations!M158/1000</f>
        <v>12.6803661509058</v>
      </c>
      <c r="N165" s="20" t="n">
        <f aca="false">Operations!N162*Operations!N158/1000</f>
        <v>14.0579221215535</v>
      </c>
      <c r="O165" s="20" t="n">
        <f aca="false">Operations!O162*Operations!O158/1000</f>
        <v>14.7486255156156</v>
      </c>
      <c r="P165" s="20" t="n">
        <f aca="false">Operations!P162*Operations!P158/1000</f>
        <v>15.1440494962679</v>
      </c>
      <c r="Q165" s="20" t="n">
        <f aca="false">Operations!Q162*Operations!Q158/1000</f>
        <v>15.3754049245195</v>
      </c>
      <c r="R165" s="20" t="n">
        <f aca="false">Operations!R162*Operations!R158/1000</f>
        <v>15.6288143760532</v>
      </c>
      <c r="S165" s="20" t="n">
        <f aca="false">Operations!S162*Operations!S158/1000</f>
        <v>15.7660694874492</v>
      </c>
      <c r="T165" s="20" t="n">
        <f aca="false">Operations!T162*Operations!T158/1000</f>
        <v>15.902931615078</v>
      </c>
      <c r="U165" s="20" t="n">
        <f aca="false">Operations!U162*Operations!U158/1000</f>
        <v>16.0392377586264</v>
      </c>
      <c r="V165" s="20" t="n">
        <f aca="false">Operations!V162*Operations!V158/1000</f>
        <v>16.1748262265729</v>
      </c>
      <c r="W165" s="20" t="n">
        <f aca="false">Operations!W162*Operations!W158/1000</f>
        <v>16.3095366296401</v>
      </c>
      <c r="X165" s="20" t="n">
        <f aca="false">Operations!X162*Operations!X158/1000</f>
        <v>16.4432098742729</v>
      </c>
      <c r="Y165" s="20" t="n">
        <f aca="false">Operations!Y162*Operations!Y158/1000</f>
        <v>16.5784739860846</v>
      </c>
      <c r="Z165" s="20" t="n">
        <f aca="false">Operations!Z162*Operations!Z158/1000</f>
        <v>16.7123214846439</v>
      </c>
      <c r="AA165" s="20" t="n">
        <f aca="false">Operations!AA162*Operations!AA158/1000</f>
        <v>17.0113756749271</v>
      </c>
      <c r="AB165" s="20" t="n">
        <f aca="false">Operations!AB162*Operations!AB158/1000</f>
        <v>17.317393589467</v>
      </c>
      <c r="AC165" s="20" t="n">
        <f aca="false">Operations!AC162*Operations!AC158/1000</f>
        <v>17.6275929446615</v>
      </c>
      <c r="AD165" s="20" t="n">
        <f aca="false">Operations!AD162*Operations!AD158/1000</f>
        <v>17.9446761489106</v>
      </c>
      <c r="AE165" s="20" t="n">
        <f aca="false">Operations!AE162*Operations!AE158/1000</f>
        <v>18.2658721954494</v>
      </c>
      <c r="AF165" s="20" t="n">
        <f aca="false">Operations!AF162*Operations!AF158/1000</f>
        <v>18.5938728522586</v>
      </c>
      <c r="AG165" s="20" t="n">
        <f aca="false">Operations!AG162*Operations!AG158/1000</f>
        <v>18.9286332937666</v>
      </c>
      <c r="AH165" s="20" t="n">
        <f aca="false">Operations!AH162*Operations!AH158/1000</f>
        <v>19.2673993587594</v>
      </c>
      <c r="AI165" s="20" t="n">
        <f aca="false">Operations!AI162*Operations!AI158/1000</f>
        <v>19.6128469489501</v>
      </c>
      <c r="AJ165" s="20" t="n">
        <f aca="false">Operations!AJ162*Operations!AJ158/1000</f>
        <v>19.9649317585655</v>
      </c>
      <c r="AK165" s="20" t="n">
        <f aca="false">Operations!AK162*Operations!AK158/1000</f>
        <v>18.5974948713321</v>
      </c>
      <c r="AL165" s="20" t="n">
        <f aca="false">Operations!AL162*Operations!AL158/1000</f>
        <v>0</v>
      </c>
      <c r="AM165" s="20" t="n">
        <f aca="false">Operations!AM162*Operations!AM158/1000</f>
        <v>0</v>
      </c>
      <c r="AN165" s="20" t="n">
        <f aca="false">Operations!AN162*Operations!AN158/1000</f>
        <v>0</v>
      </c>
      <c r="AO165" s="20" t="n">
        <f aca="false">Operations!AO162*Operations!AO158/1000</f>
        <v>0</v>
      </c>
      <c r="AP165" s="20" t="n">
        <f aca="false">Operations!AP162*Operations!AP158/1000</f>
        <v>0</v>
      </c>
      <c r="AQ165" s="20" t="n">
        <f aca="false">Operations!AQ162*Operations!AQ158/1000</f>
        <v>0</v>
      </c>
      <c r="AR165" s="20" t="n">
        <f aca="false">Operations!AR162*Operations!AR158/1000</f>
        <v>0</v>
      </c>
      <c r="AS165" s="20" t="n">
        <f aca="false">Operations!AS162*Operations!AS158/1000</f>
        <v>0</v>
      </c>
      <c r="AT165" s="20" t="n">
        <f aca="false">Operations!AT162*Operations!AT158/1000</f>
        <v>0</v>
      </c>
      <c r="AU165" s="20" t="n">
        <f aca="false">Operations!AU162*Operations!AU158/1000</f>
        <v>0</v>
      </c>
    </row>
    <row r="166" customFormat="false" ht="15" hidden="false" customHeight="false" outlineLevel="0" collapsed="false">
      <c r="D166" s="0" t="s">
        <v>562</v>
      </c>
      <c r="E166" s="0" t="s">
        <v>47</v>
      </c>
      <c r="G166" s="20" t="n">
        <f aca="false">SUM(J166:AU166)</f>
        <v>539.919305395273</v>
      </c>
      <c r="J166" s="20" t="n">
        <f aca="false">Operations!J165+Operations!J161</f>
        <v>22.8727679601664</v>
      </c>
      <c r="K166" s="20" t="n">
        <f aca="false">Operations!K165+Operations!K161</f>
        <v>23.4260003031464</v>
      </c>
      <c r="L166" s="20" t="n">
        <f aca="false">Operations!L165+Operations!L161</f>
        <v>24.66264407991</v>
      </c>
      <c r="M166" s="20" t="n">
        <f aca="false">Operations!M165+Operations!M161</f>
        <v>24.2963032511941</v>
      </c>
      <c r="N166" s="20" t="n">
        <f aca="false">Operations!N165+Operations!N161</f>
        <v>24.1135885113882</v>
      </c>
      <c r="O166" s="20" t="n">
        <f aca="false">Operations!O165+Operations!O161</f>
        <v>24.0127366617821</v>
      </c>
      <c r="P166" s="20" t="n">
        <f aca="false">Operations!P165+Operations!P161</f>
        <v>23.9469938129665</v>
      </c>
      <c r="Q166" s="20" t="n">
        <f aca="false">Operations!Q165+Operations!Q161</f>
        <v>23.9007597392498</v>
      </c>
      <c r="R166" s="20" t="n">
        <f aca="false">Operations!R165+Operations!R161</f>
        <v>15.6288143760532</v>
      </c>
      <c r="S166" s="20" t="n">
        <f aca="false">Operations!S165+Operations!S161</f>
        <v>15.7660694874492</v>
      </c>
      <c r="T166" s="20" t="n">
        <f aca="false">Operations!T165+Operations!T161</f>
        <v>15.902931615078</v>
      </c>
      <c r="U166" s="20" t="n">
        <f aca="false">Operations!U165+Operations!U161</f>
        <v>16.0392377586264</v>
      </c>
      <c r="V166" s="20" t="n">
        <f aca="false">Operations!V165+Operations!V161</f>
        <v>16.1748262265729</v>
      </c>
      <c r="W166" s="20" t="n">
        <f aca="false">Operations!W165+Operations!W161</f>
        <v>16.3095366296401</v>
      </c>
      <c r="X166" s="20" t="n">
        <f aca="false">Operations!X165+Operations!X161</f>
        <v>16.4432098742729</v>
      </c>
      <c r="Y166" s="20" t="n">
        <f aca="false">Operations!Y165+Operations!Y161</f>
        <v>16.5784739860846</v>
      </c>
      <c r="Z166" s="20" t="n">
        <f aca="false">Operations!Z165+Operations!Z161</f>
        <v>16.7123214846439</v>
      </c>
      <c r="AA166" s="20" t="n">
        <f aca="false">Operations!AA165+Operations!AA161</f>
        <v>17.0113756749271</v>
      </c>
      <c r="AB166" s="20" t="n">
        <f aca="false">Operations!AB165+Operations!AB161</f>
        <v>17.317393589467</v>
      </c>
      <c r="AC166" s="20" t="n">
        <f aca="false">Operations!AC165+Operations!AC161</f>
        <v>17.6275929446615</v>
      </c>
      <c r="AD166" s="20" t="n">
        <f aca="false">Operations!AD165+Operations!AD161</f>
        <v>17.9446761489106</v>
      </c>
      <c r="AE166" s="20" t="n">
        <f aca="false">Operations!AE165+Operations!AE161</f>
        <v>18.2658721954494</v>
      </c>
      <c r="AF166" s="20" t="n">
        <f aca="false">Operations!AF165+Operations!AF161</f>
        <v>18.5938728522586</v>
      </c>
      <c r="AG166" s="20" t="n">
        <f aca="false">Operations!AG165+Operations!AG161</f>
        <v>18.9286332937666</v>
      </c>
      <c r="AH166" s="20" t="n">
        <f aca="false">Operations!AH165+Operations!AH161</f>
        <v>19.2673993587594</v>
      </c>
      <c r="AI166" s="20" t="n">
        <f aca="false">Operations!AI165+Operations!AI161</f>
        <v>19.6128469489501</v>
      </c>
      <c r="AJ166" s="20" t="n">
        <f aca="false">Operations!AJ165+Operations!AJ161</f>
        <v>19.9649317585655</v>
      </c>
      <c r="AK166" s="20" t="n">
        <f aca="false">Operations!AK165+Operations!AK161</f>
        <v>18.5974948713321</v>
      </c>
      <c r="AL166" s="20" t="n">
        <f aca="false">Operations!AL165+Operations!AL161</f>
        <v>0</v>
      </c>
      <c r="AM166" s="20" t="n">
        <f aca="false">Operations!AM165+Operations!AM161</f>
        <v>0</v>
      </c>
      <c r="AN166" s="20" t="n">
        <f aca="false">Operations!AN165+Operations!AN161</f>
        <v>0</v>
      </c>
      <c r="AO166" s="20" t="n">
        <f aca="false">Operations!AO165+Operations!AO161</f>
        <v>0</v>
      </c>
      <c r="AP166" s="20" t="n">
        <f aca="false">Operations!AP165+Operations!AP161</f>
        <v>0</v>
      </c>
      <c r="AQ166" s="20" t="n">
        <f aca="false">Operations!AQ165+Operations!AQ161</f>
        <v>0</v>
      </c>
      <c r="AR166" s="20" t="n">
        <f aca="false">Operations!AR165+Operations!AR161</f>
        <v>0</v>
      </c>
      <c r="AS166" s="20" t="n">
        <f aca="false">Operations!AS165+Operations!AS161</f>
        <v>0</v>
      </c>
      <c r="AT166" s="20" t="n">
        <f aca="false">Operations!AT165+Operations!AT161</f>
        <v>0</v>
      </c>
      <c r="AU166" s="20" t="n">
        <f aca="false">Operations!AU165+Operations!AU161</f>
        <v>0</v>
      </c>
    </row>
    <row r="167" customFormat="false" ht="15" hidden="false" customHeight="false" outlineLevel="0" collapsed="false">
      <c r="D167" s="0" t="s">
        <v>563</v>
      </c>
      <c r="E167" s="0" t="s">
        <v>47</v>
      </c>
      <c r="J167" s="20" t="n">
        <f aca="false">Operations!J166-Operations!J163-Operations!J164</f>
        <v>-2.9672320398336</v>
      </c>
      <c r="K167" s="20" t="n">
        <f aca="false">Operations!K166-Operations!K163-Operations!K164</f>
        <v>-2.41399969685361</v>
      </c>
      <c r="L167" s="20" t="n">
        <f aca="false">Operations!L166-Operations!L163-Operations!L164</f>
        <v>-1.17735592008999</v>
      </c>
      <c r="M167" s="20" t="n">
        <f aca="false">Operations!M166-Operations!M163-Operations!M164</f>
        <v>-1.54369674880592</v>
      </c>
      <c r="N167" s="20" t="n">
        <f aca="false">Operations!N166-Operations!N163-Operations!N164</f>
        <v>-1.72641148861183</v>
      </c>
      <c r="O167" s="20" t="n">
        <f aca="false">Operations!O166-Operations!O163-Operations!O164</f>
        <v>-1.82726333821787</v>
      </c>
      <c r="P167" s="20" t="n">
        <f aca="false">Operations!P166-Operations!P163-Operations!P164</f>
        <v>-1.8930061870335</v>
      </c>
      <c r="Q167" s="20" t="n">
        <f aca="false">Operations!Q166-Operations!Q163-Operations!Q164</f>
        <v>-1.93924026075021</v>
      </c>
      <c r="R167" s="20" t="n">
        <f aca="false">Operations!R166-Operations!R163-Operations!R164</f>
        <v>15.6288143760532</v>
      </c>
      <c r="S167" s="20" t="n">
        <f aca="false">Operations!S166-Operations!S163-Operations!S164</f>
        <v>15.7660694874492</v>
      </c>
      <c r="T167" s="20" t="n">
        <f aca="false">Operations!T166-Operations!T163-Operations!T164</f>
        <v>15.902931615078</v>
      </c>
      <c r="U167" s="20" t="n">
        <f aca="false">Operations!U166-Operations!U163-Operations!U164</f>
        <v>16.0392377586264</v>
      </c>
      <c r="V167" s="20" t="n">
        <f aca="false">Operations!V166-Operations!V163-Operations!V164</f>
        <v>16.1748262265729</v>
      </c>
      <c r="W167" s="20" t="n">
        <f aca="false">Operations!W166-Operations!W163-Operations!W164</f>
        <v>16.3095366296401</v>
      </c>
      <c r="X167" s="20" t="n">
        <f aca="false">Operations!X166-Operations!X163-Operations!X164</f>
        <v>16.4432098742729</v>
      </c>
      <c r="Y167" s="20" t="n">
        <f aca="false">Operations!Y166-Operations!Y163-Operations!Y164</f>
        <v>16.5784739860846</v>
      </c>
      <c r="Z167" s="20" t="n">
        <f aca="false">Operations!Z166-Operations!Z163-Operations!Z164</f>
        <v>16.7123214846439</v>
      </c>
      <c r="AA167" s="20" t="n">
        <f aca="false">Operations!AA166-Operations!AA163-Operations!AA164</f>
        <v>17.0113756749271</v>
      </c>
      <c r="AB167" s="20" t="n">
        <f aca="false">Operations!AB166-Operations!AB163-Operations!AB164</f>
        <v>17.317393589467</v>
      </c>
      <c r="AC167" s="20" t="n">
        <f aca="false">Operations!AC166-Operations!AC163-Operations!AC164</f>
        <v>17.6275929446615</v>
      </c>
      <c r="AD167" s="20" t="n">
        <f aca="false">Operations!AD166-Operations!AD163-Operations!AD164</f>
        <v>17.9446761489106</v>
      </c>
      <c r="AE167" s="20" t="n">
        <f aca="false">Operations!AE166-Operations!AE163-Operations!AE164</f>
        <v>18.2658721954494</v>
      </c>
      <c r="AF167" s="20" t="n">
        <f aca="false">Operations!AF166-Operations!AF163-Operations!AF164</f>
        <v>18.5938728522586</v>
      </c>
      <c r="AG167" s="20" t="n">
        <f aca="false">Operations!AG166-Operations!AG163-Operations!AG164</f>
        <v>18.9286332937666</v>
      </c>
      <c r="AH167" s="20" t="n">
        <f aca="false">Operations!AH166-Operations!AH163-Operations!AH164</f>
        <v>19.2673993587594</v>
      </c>
      <c r="AI167" s="20" t="n">
        <f aca="false">Operations!AI166-Operations!AI163-Operations!AI164</f>
        <v>19.6128469489501</v>
      </c>
      <c r="AJ167" s="20" t="n">
        <f aca="false">Operations!AJ166-Operations!AJ163-Operations!AJ164</f>
        <v>19.9649317585655</v>
      </c>
      <c r="AK167" s="20" t="n">
        <f aca="false">Operations!AK166-Operations!AK163-Operations!AK164</f>
        <v>18.5974948713321</v>
      </c>
      <c r="AL167" s="20" t="n">
        <f aca="false">Operations!AL166-Operations!AL163-Operations!AL164</f>
        <v>0</v>
      </c>
      <c r="AM167" s="20" t="n">
        <f aca="false">Operations!AM166-Operations!AM163-Operations!AM164</f>
        <v>0</v>
      </c>
      <c r="AN167" s="20" t="n">
        <f aca="false">Operations!AN166-Operations!AN163-Operations!AN164</f>
        <v>0</v>
      </c>
      <c r="AO167" s="20" t="n">
        <f aca="false">Operations!AO166-Operations!AO163-Operations!AO164</f>
        <v>0</v>
      </c>
      <c r="AP167" s="20" t="n">
        <f aca="false">Operations!AP166-Operations!AP163-Operations!AP164</f>
        <v>0</v>
      </c>
      <c r="AQ167" s="20" t="n">
        <f aca="false">Operations!AQ166-Operations!AQ163-Operations!AQ164</f>
        <v>0</v>
      </c>
      <c r="AR167" s="20" t="n">
        <f aca="false">Operations!AR166-Operations!AR163-Operations!AR164</f>
        <v>0</v>
      </c>
      <c r="AS167" s="20" t="n">
        <f aca="false">Operations!AS166-Operations!AS163-Operations!AS164</f>
        <v>0</v>
      </c>
      <c r="AT167" s="20" t="n">
        <f aca="false">Operations!AT166-Operations!AT163-Operations!AT164</f>
        <v>0</v>
      </c>
      <c r="AU167" s="20" t="n">
        <f aca="false">Operations!AU166-Operations!AU163-Operations!AU164</f>
        <v>0</v>
      </c>
    </row>
    <row r="168" customFormat="false" ht="15" hidden="false" customHeight="false" outlineLevel="0" collapsed="false">
      <c r="D168" s="0" t="s">
        <v>564</v>
      </c>
      <c r="E168" s="0" t="s">
        <v>47</v>
      </c>
      <c r="J168" s="20" t="n">
        <f aca="false">Inputs!$F$114*Inputs!$F$110/1000*Time!J$9*Time!J$10*Operations!J147*Operations!$F$50</f>
        <v>5.6916</v>
      </c>
      <c r="K168" s="20" t="n">
        <f aca="false">Inputs!$F$114*Inputs!$F$110/1000*Time!K$9*Time!K$10*Operations!K147*Operations!$F$50</f>
        <v>6.02640837</v>
      </c>
      <c r="L168" s="20" t="n">
        <f aca="false">Inputs!$F$114*Inputs!$F$110/1000*Time!L$9*Time!L$10*Operations!L147*Operations!$F$50</f>
        <v>6.17706857925</v>
      </c>
      <c r="M168" s="20" t="n">
        <f aca="false">Inputs!$F$114*Inputs!$F$110/1000*Time!M$9*Time!M$10*Operations!M147*Operations!$F$50</f>
        <v>6.33149529373125</v>
      </c>
      <c r="N168" s="20" t="n">
        <f aca="false">Inputs!$F$114*Inputs!$F$110/1000*Time!N$9*Time!N$10*Operations!N147*Operations!$F$50</f>
        <v>6.48978267607453</v>
      </c>
      <c r="O168" s="20" t="n">
        <f aca="false">Inputs!$F$114*Inputs!$F$110/1000*Time!O$9*Time!O$10*Operations!O147*Operations!$F$50</f>
        <v>6.65202724297639</v>
      </c>
      <c r="P168" s="20" t="n">
        <f aca="false">Inputs!$F$114*Inputs!$F$110/1000*Time!P$9*Time!P$10*Operations!P147*Operations!$F$50</f>
        <v>6.8183279240508</v>
      </c>
      <c r="Q168" s="20" t="n">
        <f aca="false">Inputs!$F$114*Inputs!$F$110/1000*Time!Q$9*Time!Q$10*Operations!Q147*Operations!$F$50</f>
        <v>6.98878612215207</v>
      </c>
      <c r="R168" s="20" t="n">
        <f aca="false">Inputs!$F$114*Inputs!$F$110/1000*Time!R$9*Time!R$10*Operations!R147*Operations!$F$50</f>
        <v>7.16350577520587</v>
      </c>
      <c r="S168" s="20" t="n">
        <f aca="false">Inputs!$F$114*Inputs!$F$110/1000*Time!S$9*Time!S$10*Operations!S147*Operations!$F$50</f>
        <v>7.34259341958602</v>
      </c>
      <c r="T168" s="20" t="n">
        <f aca="false">Inputs!$F$114*Inputs!$F$110/1000*Time!T$9*Time!T$10*Operations!T147*Operations!$F$50</f>
        <v>7.52615825507567</v>
      </c>
      <c r="U168" s="20" t="n">
        <f aca="false">Inputs!$F$114*Inputs!$F$110/1000*Time!U$9*Time!U$10*Operations!U147*Operations!$F$50</f>
        <v>7.71431221145256</v>
      </c>
      <c r="V168" s="20" t="n">
        <f aca="false">Inputs!$F$114*Inputs!$F$110/1000*Time!V$9*Time!V$10*Operations!V147*Operations!$F$50</f>
        <v>7.90717001673887</v>
      </c>
      <c r="W168" s="20" t="n">
        <f aca="false">Inputs!$F$114*Inputs!$F$110/1000*Time!W$9*Time!W$10*Operations!W147*Operations!$F$50</f>
        <v>8.10484926715734</v>
      </c>
      <c r="X168" s="20" t="n">
        <f aca="false">Inputs!$F$114*Inputs!$F$110/1000*Time!X$9*Time!X$10*Operations!X147*Operations!$F$50</f>
        <v>8.30747049883628</v>
      </c>
      <c r="Y168" s="20" t="n">
        <f aca="false">Inputs!$F$114*Inputs!$F$110/1000*Time!Y$9*Time!Y$10*Operations!Y147*Operations!$F$50</f>
        <v>8.51515726130718</v>
      </c>
      <c r="Z168" s="20" t="n">
        <f aca="false">Inputs!$F$114*Inputs!$F$110/1000*Time!Z$9*Time!Z$10*Operations!Z147*Operations!$F$50</f>
        <v>8.72803619283986</v>
      </c>
      <c r="AA168" s="20" t="n">
        <f aca="false">Inputs!$F$114*Inputs!$F$110/1000*Time!AA$9*Time!AA$10*Operations!AA147*Operations!$F$50</f>
        <v>8.94623709766086</v>
      </c>
      <c r="AB168" s="20" t="n">
        <f aca="false">Inputs!$F$114*Inputs!$F$110/1000*Time!AB$9*Time!AB$10*Operations!AB147*Operations!$F$50</f>
        <v>9.16989302510238</v>
      </c>
      <c r="AC168" s="20" t="n">
        <f aca="false">Inputs!$F$114*Inputs!$F$110/1000*Time!AC$9*Time!AC$10*Operations!AC147*Operations!$F$50</f>
        <v>9.39914035072994</v>
      </c>
      <c r="AD168" s="20" t="n">
        <f aca="false">Inputs!$F$114*Inputs!$F$110/1000*Time!AD$9*Time!AD$10*Operations!AD147*Operations!$F$50</f>
        <v>9.63411885949818</v>
      </c>
      <c r="AE168" s="20" t="n">
        <f aca="false">Inputs!$F$114*Inputs!$F$110/1000*Time!AE$9*Time!AE$10*Operations!AE147*Operations!$F$50</f>
        <v>9.87497183098564</v>
      </c>
      <c r="AF168" s="20" t="n">
        <f aca="false">Inputs!$F$114*Inputs!$F$110/1000*Time!AF$9*Time!AF$10*Operations!AF147*Operations!$F$50</f>
        <v>10.1218461267603</v>
      </c>
      <c r="AG168" s="20" t="n">
        <f aca="false">Inputs!$F$114*Inputs!$F$110/1000*Time!AG$9*Time!AG$10*Operations!AG147*Operations!$F$50</f>
        <v>10.3748922799293</v>
      </c>
      <c r="AH168" s="20" t="n">
        <f aca="false">Inputs!$F$114*Inputs!$F$110/1000*Time!AH$9*Time!AH$10*Operations!AH147*Operations!$F$50</f>
        <v>10.6342645869275</v>
      </c>
      <c r="AI168" s="20" t="n">
        <f aca="false">Inputs!$F$114*Inputs!$F$110/1000*Time!AI$9*Time!AI$10*Operations!AI147*Operations!$F$50</f>
        <v>10.9001212016007</v>
      </c>
      <c r="AJ168" s="20" t="n">
        <f aca="false">Inputs!$F$114*Inputs!$F$110/1000*Time!AJ$9*Time!AJ$10*Operations!AJ147*Operations!$F$50</f>
        <v>11.1726242316407</v>
      </c>
      <c r="AK168" s="20" t="n">
        <f aca="false">Inputs!$F$114*Inputs!$F$110/1000*Time!AK$9*Time!AK$10*Operations!AK147*Operations!$F$50</f>
        <v>10.479309330691</v>
      </c>
      <c r="AL168" s="20" t="n">
        <f aca="false">Inputs!$F$114*Inputs!$F$110/1000*Time!AL$9*Time!AL$10*Operations!AL147*Operations!$F$50</f>
        <v>0</v>
      </c>
      <c r="AM168" s="20" t="n">
        <f aca="false">Inputs!$F$114*Inputs!$F$110/1000*Time!AM$9*Time!AM$10*Operations!AM147*Operations!$F$50</f>
        <v>0</v>
      </c>
      <c r="AN168" s="20" t="n">
        <f aca="false">Inputs!$F$114*Inputs!$F$110/1000*Time!AN$9*Time!AN$10*Operations!AN147*Operations!$F$50</f>
        <v>0</v>
      </c>
      <c r="AO168" s="20" t="n">
        <f aca="false">Inputs!$F$114*Inputs!$F$110/1000*Time!AO$9*Time!AO$10*Operations!AO147*Operations!$F$50</f>
        <v>0</v>
      </c>
      <c r="AP168" s="20" t="n">
        <f aca="false">Inputs!$F$114*Inputs!$F$110/1000*Time!AP$9*Time!AP$10*Operations!AP147*Operations!$F$50</f>
        <v>0</v>
      </c>
      <c r="AQ168" s="20" t="n">
        <f aca="false">Inputs!$F$114*Inputs!$F$110/1000*Time!AQ$9*Time!AQ$10*Operations!AQ147*Operations!$F$50</f>
        <v>0</v>
      </c>
      <c r="AR168" s="20" t="n">
        <f aca="false">Inputs!$F$114*Inputs!$F$110/1000*Time!AR$9*Time!AR$10*Operations!AR147*Operations!$F$50</f>
        <v>0</v>
      </c>
      <c r="AS168" s="20" t="n">
        <f aca="false">Inputs!$F$114*Inputs!$F$110/1000*Time!AS$9*Time!AS$10*Operations!AS147*Operations!$F$50</f>
        <v>0</v>
      </c>
      <c r="AT168" s="20" t="n">
        <f aca="false">Inputs!$F$114*Inputs!$F$110/1000*Time!AT$9*Time!AT$10*Operations!AT147*Operations!$F$50</f>
        <v>0</v>
      </c>
      <c r="AU168" s="20" t="n">
        <f aca="false">Inputs!$F$114*Inputs!$F$110/1000*Time!AU$9*Time!AU$10*Operations!AU147*Operations!$F$50</f>
        <v>0</v>
      </c>
    </row>
    <row r="169" customFormat="false" ht="15" hidden="false" customHeight="false" outlineLevel="0" collapsed="false">
      <c r="D169" s="0" t="s">
        <v>565</v>
      </c>
      <c r="E169" s="0" t="s">
        <v>47</v>
      </c>
      <c r="J169" s="20" t="n">
        <f aca="false">Inputs!$F$239/100*Operations!J166</f>
        <v>0.914910718406656</v>
      </c>
      <c r="K169" s="20" t="n">
        <f aca="false">Inputs!$F$239/100*Operations!K166</f>
        <v>0.937040012125856</v>
      </c>
      <c r="L169" s="20" t="n">
        <f aca="false">Inputs!$F$239/100*Operations!L166</f>
        <v>0.9865057631964</v>
      </c>
      <c r="M169" s="20" t="n">
        <f aca="false">Inputs!$F$239/100*Operations!M166</f>
        <v>0.971852130047763</v>
      </c>
      <c r="N169" s="20" t="n">
        <f aca="false">Inputs!$F$239/100*Operations!N166</f>
        <v>0.964543540455527</v>
      </c>
      <c r="O169" s="20" t="n">
        <f aca="false">Inputs!$F$239/100*Operations!O166</f>
        <v>0.960509466471285</v>
      </c>
      <c r="P169" s="20" t="n">
        <f aca="false">Inputs!$F$239/100*Operations!P166</f>
        <v>0.95787975251866</v>
      </c>
      <c r="Q169" s="20" t="n">
        <f aca="false">Inputs!$F$239/100*Operations!Q166</f>
        <v>0.956030389569992</v>
      </c>
      <c r="R169" s="20" t="n">
        <f aca="false">Inputs!$F$239/100*Operations!R166</f>
        <v>0.625152575042129</v>
      </c>
      <c r="S169" s="20" t="n">
        <f aca="false">Inputs!$F$239/100*Operations!S166</f>
        <v>0.630642779497969</v>
      </c>
      <c r="T169" s="20" t="n">
        <f aca="false">Inputs!$F$239/100*Operations!T166</f>
        <v>0.636117264603121</v>
      </c>
      <c r="U169" s="20" t="n">
        <f aca="false">Inputs!$F$239/100*Operations!U166</f>
        <v>0.641569510345054</v>
      </c>
      <c r="V169" s="20" t="n">
        <f aca="false">Inputs!$F$239/100*Operations!V166</f>
        <v>0.646993049062914</v>
      </c>
      <c r="W169" s="20" t="n">
        <f aca="false">Inputs!$F$239/100*Operations!W166</f>
        <v>0.652381465185604</v>
      </c>
      <c r="X169" s="20" t="n">
        <f aca="false">Inputs!$F$239/100*Operations!X166</f>
        <v>0.657728394970914</v>
      </c>
      <c r="Y169" s="20" t="n">
        <f aca="false">Inputs!$F$239/100*Operations!Y166</f>
        <v>0.663138959443385</v>
      </c>
      <c r="Z169" s="20" t="n">
        <f aca="false">Inputs!$F$239/100*Operations!Z166</f>
        <v>0.668492859385757</v>
      </c>
      <c r="AA169" s="20" t="n">
        <f aca="false">Inputs!$F$239/100*Operations!AA166</f>
        <v>0.680455026997085</v>
      </c>
      <c r="AB169" s="20" t="n">
        <f aca="false">Inputs!$F$239/100*Operations!AB166</f>
        <v>0.692695743578681</v>
      </c>
      <c r="AC169" s="20" t="n">
        <f aca="false">Inputs!$F$239/100*Operations!AC166</f>
        <v>0.705103717786462</v>
      </c>
      <c r="AD169" s="20" t="n">
        <f aca="false">Inputs!$F$239/100*Operations!AD166</f>
        <v>0.717787045956426</v>
      </c>
      <c r="AE169" s="20" t="n">
        <f aca="false">Inputs!$F$239/100*Operations!AE166</f>
        <v>0.730634887817976</v>
      </c>
      <c r="AF169" s="20" t="n">
        <f aca="false">Inputs!$F$239/100*Operations!AF166</f>
        <v>0.743754914090344</v>
      </c>
      <c r="AG169" s="20" t="n">
        <f aca="false">Inputs!$F$239/100*Operations!AG166</f>
        <v>0.757145331750666</v>
      </c>
      <c r="AH169" s="20" t="n">
        <f aca="false">Inputs!$F$239/100*Operations!AH166</f>
        <v>0.770695974350377</v>
      </c>
      <c r="AI169" s="20" t="n">
        <f aca="false">Inputs!$F$239/100*Operations!AI166</f>
        <v>0.784513877958003</v>
      </c>
      <c r="AJ169" s="20" t="n">
        <f aca="false">Inputs!$F$239/100*Operations!AJ166</f>
        <v>0.798597270342622</v>
      </c>
      <c r="AK169" s="20" t="n">
        <f aca="false">Inputs!$F$239/100*Operations!AK166</f>
        <v>0.743899794853282</v>
      </c>
      <c r="AL169" s="20" t="n">
        <f aca="false">Inputs!$F$239/100*Operations!AL166</f>
        <v>0</v>
      </c>
      <c r="AM169" s="20" t="n">
        <f aca="false">Inputs!$F$239/100*Operations!AM166</f>
        <v>0</v>
      </c>
      <c r="AN169" s="20" t="n">
        <f aca="false">Inputs!$F$239/100*Operations!AN166</f>
        <v>0</v>
      </c>
      <c r="AO169" s="20" t="n">
        <f aca="false">Inputs!$F$239/100*Operations!AO166</f>
        <v>0</v>
      </c>
      <c r="AP169" s="20" t="n">
        <f aca="false">Inputs!$F$239/100*Operations!AP166</f>
        <v>0</v>
      </c>
      <c r="AQ169" s="20" t="n">
        <f aca="false">Inputs!$F$239/100*Operations!AQ166</f>
        <v>0</v>
      </c>
      <c r="AR169" s="20" t="n">
        <f aca="false">Inputs!$F$239/100*Operations!AR166</f>
        <v>0</v>
      </c>
      <c r="AS169" s="20" t="n">
        <f aca="false">Inputs!$F$239/100*Operations!AS166</f>
        <v>0</v>
      </c>
      <c r="AT169" s="20" t="n">
        <f aca="false">Inputs!$F$239/100*Operations!AT166</f>
        <v>0</v>
      </c>
      <c r="AU169" s="20" t="n">
        <f aca="false">Inputs!$F$239/100*Operations!AU166</f>
        <v>0</v>
      </c>
    </row>
    <row r="170" customFormat="false" ht="15" hidden="false" customHeight="false" outlineLevel="0" collapsed="false">
      <c r="D170" s="0" t="s">
        <v>566</v>
      </c>
      <c r="E170" s="0" t="s">
        <v>47</v>
      </c>
      <c r="J170" s="20" t="n">
        <f aca="false">Inputs!$F$243/100*Inputs!$F$115*Inputs!$F$110/1000*Time!J$9*Operations!J147</f>
        <v>0.056916</v>
      </c>
      <c r="K170" s="20" t="n">
        <f aca="false">Inputs!$F$243/100*Inputs!$F$115*Inputs!$F$110/1000*Time!K$9*Operations!K147</f>
        <v>0.0583389</v>
      </c>
      <c r="L170" s="20" t="n">
        <f aca="false">Inputs!$F$243/100*Inputs!$F$115*Inputs!$F$110/1000*Time!L$9*Operations!L147</f>
        <v>0.0597973725</v>
      </c>
      <c r="M170" s="20" t="n">
        <f aca="false">Inputs!$F$243/100*Inputs!$F$115*Inputs!$F$110/1000*Time!M$9*Operations!M147</f>
        <v>0.0612923068125</v>
      </c>
      <c r="N170" s="20" t="n">
        <f aca="false">Inputs!$F$243/100*Inputs!$F$115*Inputs!$F$110/1000*Time!N$9*Operations!N147</f>
        <v>0.0628246144828125</v>
      </c>
      <c r="O170" s="20" t="n">
        <f aca="false">Inputs!$F$243/100*Inputs!$F$115*Inputs!$F$110/1000*Time!O$9*Operations!O147</f>
        <v>0.0643952298448828</v>
      </c>
      <c r="P170" s="20" t="n">
        <f aca="false">Inputs!$F$243/100*Inputs!$F$115*Inputs!$F$110/1000*Time!P$9*Operations!P147</f>
        <v>0.0660051105910048</v>
      </c>
      <c r="Q170" s="20" t="n">
        <f aca="false">Inputs!$F$243/100*Inputs!$F$115*Inputs!$F$110/1000*Time!Q$9*Operations!Q147</f>
        <v>0.06765523835578</v>
      </c>
      <c r="R170" s="20" t="n">
        <f aca="false">Inputs!$F$243/100*Inputs!$F$115*Inputs!$F$110/1000*Time!R$9*Operations!R147</f>
        <v>0.0693466193146744</v>
      </c>
      <c r="S170" s="20" t="n">
        <f aca="false">Inputs!$F$243/100*Inputs!$F$115*Inputs!$F$110/1000*Time!S$9*Operations!S147</f>
        <v>0.0710802847975413</v>
      </c>
      <c r="T170" s="20" t="n">
        <f aca="false">Inputs!$F$243/100*Inputs!$F$115*Inputs!$F$110/1000*Time!T$9*Operations!T147</f>
        <v>0.0728572919174798</v>
      </c>
      <c r="U170" s="20" t="n">
        <f aca="false">Inputs!$F$243/100*Inputs!$F$115*Inputs!$F$110/1000*Time!U$9*Operations!U147</f>
        <v>0.0746787242154168</v>
      </c>
      <c r="V170" s="20" t="n">
        <f aca="false">Inputs!$F$243/100*Inputs!$F$115*Inputs!$F$110/1000*Time!V$9*Operations!V147</f>
        <v>0.0765456923208022</v>
      </c>
      <c r="W170" s="20" t="n">
        <f aca="false">Inputs!$F$243/100*Inputs!$F$115*Inputs!$F$110/1000*Time!W$9*Operations!W147</f>
        <v>0.0784593346288223</v>
      </c>
      <c r="X170" s="20" t="n">
        <f aca="false">Inputs!$F$243/100*Inputs!$F$115*Inputs!$F$110/1000*Time!X$9*Operations!X147</f>
        <v>0.0804208179945428</v>
      </c>
      <c r="Y170" s="20" t="n">
        <f aca="false">Inputs!$F$243/100*Inputs!$F$115*Inputs!$F$110/1000*Time!Y$9*Operations!Y147</f>
        <v>0.0824313384444064</v>
      </c>
      <c r="Z170" s="20" t="n">
        <f aca="false">Inputs!$F$243/100*Inputs!$F$115*Inputs!$F$110/1000*Time!Z$9*Operations!Z147</f>
        <v>0.0844921219055166</v>
      </c>
      <c r="AA170" s="20" t="n">
        <f aca="false">Inputs!$F$243/100*Inputs!$F$115*Inputs!$F$110/1000*Time!AA$9*Operations!AA147</f>
        <v>0.0866044249531545</v>
      </c>
      <c r="AB170" s="20" t="n">
        <f aca="false">Inputs!$F$243/100*Inputs!$F$115*Inputs!$F$110/1000*Time!AB$9*Operations!AB147</f>
        <v>0.0887695355769833</v>
      </c>
      <c r="AC170" s="20" t="n">
        <f aca="false">Inputs!$F$243/100*Inputs!$F$115*Inputs!$F$110/1000*Time!AC$9*Operations!AC147</f>
        <v>0.0909887739664079</v>
      </c>
      <c r="AD170" s="20" t="n">
        <f aca="false">Inputs!$F$243/100*Inputs!$F$115*Inputs!$F$110/1000*Time!AD$9*Operations!AD147</f>
        <v>0.0932634933155681</v>
      </c>
      <c r="AE170" s="20" t="n">
        <f aca="false">Inputs!$F$243/100*Inputs!$F$115*Inputs!$F$110/1000*Time!AE$9*Operations!AE147</f>
        <v>0.0955950806484573</v>
      </c>
      <c r="AF170" s="20" t="n">
        <f aca="false">Inputs!$F$243/100*Inputs!$F$115*Inputs!$F$110/1000*Time!AF$9*Operations!AF147</f>
        <v>0.0979849576646687</v>
      </c>
      <c r="AG170" s="20" t="n">
        <f aca="false">Inputs!$F$243/100*Inputs!$F$115*Inputs!$F$110/1000*Time!AG$9*Operations!AG147</f>
        <v>0.100434581606285</v>
      </c>
      <c r="AH170" s="20" t="n">
        <f aca="false">Inputs!$F$243/100*Inputs!$F$115*Inputs!$F$110/1000*Time!AH$9*Operations!AH147</f>
        <v>0.102945446146443</v>
      </c>
      <c r="AI170" s="20" t="n">
        <f aca="false">Inputs!$F$243/100*Inputs!$F$115*Inputs!$F$110/1000*Time!AI$9*Operations!AI147</f>
        <v>0.105519082300104</v>
      </c>
      <c r="AJ170" s="20" t="n">
        <f aca="false">Inputs!$F$243/100*Inputs!$F$115*Inputs!$F$110/1000*Time!AJ$9*Operations!AJ147</f>
        <v>0.108157059357606</v>
      </c>
      <c r="AK170" s="20" t="n">
        <f aca="false">Inputs!$F$243/100*Inputs!$F$115*Inputs!$F$110/1000*Time!AK$9*Operations!AK147</f>
        <v>0.101445395263223</v>
      </c>
      <c r="AL170" s="20" t="n">
        <f aca="false">Inputs!$F$243/100*Inputs!$F$115*Inputs!$F$110/1000*Time!AL$9*Operations!AL147</f>
        <v>0</v>
      </c>
      <c r="AM170" s="20" t="n">
        <f aca="false">Inputs!$F$243/100*Inputs!$F$115*Inputs!$F$110/1000*Time!AM$9*Operations!AM147</f>
        <v>0</v>
      </c>
      <c r="AN170" s="20" t="n">
        <f aca="false">Inputs!$F$243/100*Inputs!$F$115*Inputs!$F$110/1000*Time!AN$9*Operations!AN147</f>
        <v>0</v>
      </c>
      <c r="AO170" s="20" t="n">
        <f aca="false">Inputs!$F$243/100*Inputs!$F$115*Inputs!$F$110/1000*Time!AO$9*Operations!AO147</f>
        <v>0</v>
      </c>
      <c r="AP170" s="20" t="n">
        <f aca="false">Inputs!$F$243/100*Inputs!$F$115*Inputs!$F$110/1000*Time!AP$9*Operations!AP147</f>
        <v>0</v>
      </c>
      <c r="AQ170" s="20" t="n">
        <f aca="false">Inputs!$F$243/100*Inputs!$F$115*Inputs!$F$110/1000*Time!AQ$9*Operations!AQ147</f>
        <v>0</v>
      </c>
      <c r="AR170" s="20" t="n">
        <f aca="false">Inputs!$F$243/100*Inputs!$F$115*Inputs!$F$110/1000*Time!AR$9*Operations!AR147</f>
        <v>0</v>
      </c>
      <c r="AS170" s="20" t="n">
        <f aca="false">Inputs!$F$243/100*Inputs!$F$115*Inputs!$F$110/1000*Time!AS$9*Operations!AS147</f>
        <v>0</v>
      </c>
      <c r="AT170" s="20" t="n">
        <f aca="false">Inputs!$F$243/100*Inputs!$F$115*Inputs!$F$110/1000*Time!AT$9*Operations!AT147</f>
        <v>0</v>
      </c>
      <c r="AU170" s="20" t="n">
        <f aca="false">Inputs!$F$243/100*Inputs!$F$115*Inputs!$F$110/1000*Time!AU$9*Operations!AU147</f>
        <v>0</v>
      </c>
    </row>
    <row r="171" customFormat="false" ht="15" hidden="false" customHeight="false" outlineLevel="0" collapsed="false">
      <c r="D171" s="0" t="s">
        <v>567</v>
      </c>
      <c r="E171" s="0" t="s">
        <v>47</v>
      </c>
      <c r="J171" s="20" t="n">
        <f aca="false">Inputs!$F$244/100*Inputs!$F$245/100*Operations!J166</f>
        <v>0.120082031790874</v>
      </c>
      <c r="K171" s="20" t="n">
        <f aca="false">Inputs!$F$244/100*Inputs!$F$245/100*Operations!K166</f>
        <v>0.122986501591519</v>
      </c>
      <c r="L171" s="20" t="n">
        <f aca="false">Inputs!$F$244/100*Inputs!$F$245/100*Operations!L166</f>
        <v>0.129478881419528</v>
      </c>
      <c r="M171" s="20" t="n">
        <f aca="false">Inputs!$F$244/100*Inputs!$F$245/100*Operations!M166</f>
        <v>0.127555592068769</v>
      </c>
      <c r="N171" s="20" t="n">
        <f aca="false">Inputs!$F$244/100*Inputs!$F$245/100*Operations!N166</f>
        <v>0.126596339684788</v>
      </c>
      <c r="O171" s="20" t="n">
        <f aca="false">Inputs!$F$244/100*Inputs!$F$245/100*Operations!O166</f>
        <v>0.126066867474356</v>
      </c>
      <c r="P171" s="20" t="n">
        <f aca="false">Inputs!$F$244/100*Inputs!$F$245/100*Operations!P166</f>
        <v>0.125721717518074</v>
      </c>
      <c r="Q171" s="20" t="n">
        <f aca="false">Inputs!$F$244/100*Inputs!$F$245/100*Operations!Q166</f>
        <v>0.125478988631061</v>
      </c>
      <c r="R171" s="20" t="n">
        <f aca="false">Inputs!$F$244/100*Inputs!$F$245/100*Operations!R166</f>
        <v>0.0820512754742795</v>
      </c>
      <c r="S171" s="20" t="n">
        <f aca="false">Inputs!$F$244/100*Inputs!$F$245/100*Operations!S166</f>
        <v>0.0827718648091085</v>
      </c>
      <c r="T171" s="20" t="n">
        <f aca="false">Inputs!$F$244/100*Inputs!$F$245/100*Operations!T166</f>
        <v>0.0834903909791596</v>
      </c>
      <c r="U171" s="20" t="n">
        <f aca="false">Inputs!$F$244/100*Inputs!$F$245/100*Operations!U166</f>
        <v>0.0842059982327883</v>
      </c>
      <c r="V171" s="20" t="n">
        <f aca="false">Inputs!$F$244/100*Inputs!$F$245/100*Operations!V166</f>
        <v>0.0849178376895075</v>
      </c>
      <c r="W171" s="20" t="n">
        <f aca="false">Inputs!$F$244/100*Inputs!$F$245/100*Operations!W166</f>
        <v>0.0856250673056105</v>
      </c>
      <c r="X171" s="20" t="n">
        <f aca="false">Inputs!$F$244/100*Inputs!$F$245/100*Operations!X166</f>
        <v>0.0863268518399325</v>
      </c>
      <c r="Y171" s="20" t="n">
        <f aca="false">Inputs!$F$244/100*Inputs!$F$245/100*Operations!Y166</f>
        <v>0.0870369884269443</v>
      </c>
      <c r="Z171" s="20" t="n">
        <f aca="false">Inputs!$F$244/100*Inputs!$F$245/100*Operations!Z166</f>
        <v>0.0877396877943805</v>
      </c>
      <c r="AA171" s="20" t="n">
        <f aca="false">Inputs!$F$244/100*Inputs!$F$245/100*Operations!AA166</f>
        <v>0.0893097222933674</v>
      </c>
      <c r="AB171" s="20" t="n">
        <f aca="false">Inputs!$F$244/100*Inputs!$F$245/100*Operations!AB166</f>
        <v>0.0909163163447019</v>
      </c>
      <c r="AC171" s="20" t="n">
        <f aca="false">Inputs!$F$244/100*Inputs!$F$245/100*Operations!AC166</f>
        <v>0.0925448629594731</v>
      </c>
      <c r="AD171" s="20" t="n">
        <f aca="false">Inputs!$F$244/100*Inputs!$F$245/100*Operations!AD166</f>
        <v>0.0942095497817809</v>
      </c>
      <c r="AE171" s="20" t="n">
        <f aca="false">Inputs!$F$244/100*Inputs!$F$245/100*Operations!AE166</f>
        <v>0.0958958290261093</v>
      </c>
      <c r="AF171" s="20" t="n">
        <f aca="false">Inputs!$F$244/100*Inputs!$F$245/100*Operations!AF166</f>
        <v>0.0976178324743576</v>
      </c>
      <c r="AG171" s="20" t="n">
        <f aca="false">Inputs!$F$244/100*Inputs!$F$245/100*Operations!AG166</f>
        <v>0.0993753247922749</v>
      </c>
      <c r="AH171" s="20" t="n">
        <f aca="false">Inputs!$F$244/100*Inputs!$F$245/100*Operations!AH166</f>
        <v>0.101153846633487</v>
      </c>
      <c r="AI171" s="20" t="n">
        <f aca="false">Inputs!$F$244/100*Inputs!$F$245/100*Operations!AI166</f>
        <v>0.102967446481988</v>
      </c>
      <c r="AJ171" s="20" t="n">
        <f aca="false">Inputs!$F$244/100*Inputs!$F$245/100*Operations!AJ166</f>
        <v>0.104815891732469</v>
      </c>
      <c r="AK171" s="20" t="n">
        <f aca="false">Inputs!$F$244/100*Inputs!$F$245/100*Operations!AK166</f>
        <v>0.0976368480744933</v>
      </c>
      <c r="AL171" s="20" t="n">
        <f aca="false">Inputs!$F$244/100*Inputs!$F$245/100*Operations!AL166</f>
        <v>0</v>
      </c>
      <c r="AM171" s="20" t="n">
        <f aca="false">Inputs!$F$244/100*Inputs!$F$245/100*Operations!AM166</f>
        <v>0</v>
      </c>
      <c r="AN171" s="20" t="n">
        <f aca="false">Inputs!$F$244/100*Inputs!$F$245/100*Operations!AN166</f>
        <v>0</v>
      </c>
      <c r="AO171" s="20" t="n">
        <f aca="false">Inputs!$F$244/100*Inputs!$F$245/100*Operations!AO166</f>
        <v>0</v>
      </c>
      <c r="AP171" s="20" t="n">
        <f aca="false">Inputs!$F$244/100*Inputs!$F$245/100*Operations!AP166</f>
        <v>0</v>
      </c>
      <c r="AQ171" s="20" t="n">
        <f aca="false">Inputs!$F$244/100*Inputs!$F$245/100*Operations!AQ166</f>
        <v>0</v>
      </c>
      <c r="AR171" s="20" t="n">
        <f aca="false">Inputs!$F$244/100*Inputs!$F$245/100*Operations!AR166</f>
        <v>0</v>
      </c>
      <c r="AS171" s="20" t="n">
        <f aca="false">Inputs!$F$244/100*Inputs!$F$245/100*Operations!AS166</f>
        <v>0</v>
      </c>
      <c r="AT171" s="20" t="n">
        <f aca="false">Inputs!$F$244/100*Inputs!$F$245/100*Operations!AT166</f>
        <v>0</v>
      </c>
      <c r="AU171" s="20" t="n">
        <f aca="false">Inputs!$F$244/100*Inputs!$F$245/100*Operations!AU166</f>
        <v>0</v>
      </c>
    </row>
    <row r="172" customFormat="false" ht="15" hidden="false" customHeight="false" outlineLevel="0" collapsed="false">
      <c r="D172" s="0" t="s">
        <v>568</v>
      </c>
      <c r="E172" s="0" t="s">
        <v>47</v>
      </c>
      <c r="G172" s="20" t="n">
        <f aca="false">SUM(J172:AU172)</f>
        <v>280.03654396925</v>
      </c>
      <c r="J172" s="20" t="n">
        <f aca="false">Operations!J166-Operations!J168-Operations!J169-Operations!J170-Operations!J171</f>
        <v>16.0892592099689</v>
      </c>
      <c r="K172" s="20" t="n">
        <f aca="false">Operations!K166-Operations!K168-Operations!K169-Operations!K170-Operations!K171</f>
        <v>16.281226519429</v>
      </c>
      <c r="L172" s="20" t="n">
        <f aca="false">Operations!L166-Operations!L168-Operations!L169-Operations!L170-Operations!L171</f>
        <v>17.3097934835441</v>
      </c>
      <c r="M172" s="20" t="n">
        <f aca="false">Operations!M166-Operations!M168-Operations!M169-Operations!M170-Operations!M171</f>
        <v>16.8041079285338</v>
      </c>
      <c r="N172" s="20" t="n">
        <f aca="false">Operations!N166-Operations!N168-Operations!N169-Operations!N170-Operations!N171</f>
        <v>16.4698413406905</v>
      </c>
      <c r="O172" s="20" t="n">
        <f aca="false">Operations!O166-Operations!O168-Operations!O169-Operations!O170-Operations!O171</f>
        <v>16.2097378550152</v>
      </c>
      <c r="P172" s="20" t="n">
        <f aca="false">Operations!P166-Operations!P168-Operations!P169-Operations!P170-Operations!P171</f>
        <v>15.979059308288</v>
      </c>
      <c r="Q172" s="20" t="n">
        <f aca="false">Operations!Q166-Operations!Q168-Operations!Q169-Operations!Q170-Operations!Q171</f>
        <v>15.7628090005409</v>
      </c>
      <c r="R172" s="20" t="n">
        <f aca="false">Operations!R166-Operations!R168-Operations!R169-Operations!R170-Operations!R171</f>
        <v>7.68875813101628</v>
      </c>
      <c r="S172" s="20" t="n">
        <f aca="false">Operations!S166-Operations!S168-Operations!S169-Operations!S170-Operations!S171</f>
        <v>7.63898113875859</v>
      </c>
      <c r="T172" s="20" t="n">
        <f aca="false">Operations!T166-Operations!T168-Operations!T169-Operations!T170-Operations!T171</f>
        <v>7.58430841250259</v>
      </c>
      <c r="U172" s="20" t="n">
        <f aca="false">Operations!U166-Operations!U168-Operations!U169-Operations!U170-Operations!U171</f>
        <v>7.52447131438053</v>
      </c>
      <c r="V172" s="20" t="n">
        <f aca="false">Operations!V166-Operations!V168-Operations!V169-Operations!V170-Operations!V171</f>
        <v>7.45919963076076</v>
      </c>
      <c r="W172" s="20" t="n">
        <f aca="false">Operations!W166-Operations!W168-Operations!W169-Operations!W170-Operations!W171</f>
        <v>7.38822149536272</v>
      </c>
      <c r="X172" s="20" t="n">
        <f aca="false">Operations!X166-Operations!X168-Operations!X169-Operations!X170-Operations!X171</f>
        <v>7.31126331063118</v>
      </c>
      <c r="Y172" s="20" t="n">
        <f aca="false">Operations!Y166-Operations!Y168-Operations!Y169-Operations!Y170-Operations!Y171</f>
        <v>7.2307094384627</v>
      </c>
      <c r="Z172" s="20" t="n">
        <f aca="false">Operations!Z166-Operations!Z168-Operations!Z169-Operations!Z170-Operations!Z171</f>
        <v>7.1435606227184</v>
      </c>
      <c r="AA172" s="20" t="n">
        <f aca="false">Operations!AA166-Operations!AA168-Operations!AA169-Operations!AA170-Operations!AA171</f>
        <v>7.20876940302265</v>
      </c>
      <c r="AB172" s="20" t="n">
        <f aca="false">Operations!AB166-Operations!AB168-Operations!AB169-Operations!AB170-Operations!AB171</f>
        <v>7.27511896886428</v>
      </c>
      <c r="AC172" s="20" t="n">
        <f aca="false">Operations!AC166-Operations!AC168-Operations!AC169-Operations!AC170-Operations!AC171</f>
        <v>7.33981523921926</v>
      </c>
      <c r="AD172" s="20" t="n">
        <f aca="false">Operations!AD166-Operations!AD168-Operations!AD169-Operations!AD170-Operations!AD171</f>
        <v>7.40529720035869</v>
      </c>
      <c r="AE172" s="20" t="n">
        <f aca="false">Operations!AE166-Operations!AE168-Operations!AE169-Operations!AE170-Operations!AE171</f>
        <v>7.46877456697122</v>
      </c>
      <c r="AF172" s="20" t="n">
        <f aca="false">Operations!AF166-Operations!AF168-Operations!AF169-Operations!AF170-Operations!AF171</f>
        <v>7.53266902126895</v>
      </c>
      <c r="AG172" s="20" t="n">
        <f aca="false">Operations!AG166-Operations!AG168-Operations!AG169-Operations!AG170-Operations!AG171</f>
        <v>7.59678577568814</v>
      </c>
      <c r="AH172" s="20" t="n">
        <f aca="false">Operations!AH166-Operations!AH168-Operations!AH169-Operations!AH170-Operations!AH171</f>
        <v>7.6583395047016</v>
      </c>
      <c r="AI172" s="20" t="n">
        <f aca="false">Operations!AI166-Operations!AI168-Operations!AI169-Operations!AI170-Operations!AI171</f>
        <v>7.71972534060927</v>
      </c>
      <c r="AJ172" s="20" t="n">
        <f aca="false">Operations!AJ166-Operations!AJ168-Operations!AJ169-Operations!AJ170-Operations!AJ171</f>
        <v>7.78073730549213</v>
      </c>
      <c r="AK172" s="20" t="n">
        <f aca="false">Operations!AK166-Operations!AK168-Operations!AK169-Operations!AK170-Operations!AK171</f>
        <v>7.1752035024501</v>
      </c>
      <c r="AL172" s="20" t="n">
        <f aca="false">Operations!AL166-Operations!AL168-Operations!AL169-Operations!AL170-Operations!AL171</f>
        <v>0</v>
      </c>
      <c r="AM172" s="20" t="n">
        <f aca="false">Operations!AM166-Operations!AM168-Operations!AM169-Operations!AM170-Operations!AM171</f>
        <v>0</v>
      </c>
      <c r="AN172" s="20" t="n">
        <f aca="false">Operations!AN166-Operations!AN168-Operations!AN169-Operations!AN170-Operations!AN171</f>
        <v>0</v>
      </c>
      <c r="AO172" s="20" t="n">
        <f aca="false">Operations!AO166-Operations!AO168-Operations!AO169-Operations!AO170-Operations!AO171</f>
        <v>0</v>
      </c>
      <c r="AP172" s="20" t="n">
        <f aca="false">Operations!AP166-Operations!AP168-Operations!AP169-Operations!AP170-Operations!AP171</f>
        <v>0</v>
      </c>
      <c r="AQ172" s="20" t="n">
        <f aca="false">Operations!AQ166-Operations!AQ168-Operations!AQ169-Operations!AQ170-Operations!AQ171</f>
        <v>0</v>
      </c>
      <c r="AR172" s="20" t="n">
        <f aca="false">Operations!AR166-Operations!AR168-Operations!AR169-Operations!AR170-Operations!AR171</f>
        <v>0</v>
      </c>
      <c r="AS172" s="20" t="n">
        <f aca="false">Operations!AS166-Operations!AS168-Operations!AS169-Operations!AS170-Operations!AS171</f>
        <v>0</v>
      </c>
      <c r="AT172" s="20" t="n">
        <f aca="false">Operations!AT166-Operations!AT168-Operations!AT169-Operations!AT170-Operations!AT171</f>
        <v>0</v>
      </c>
      <c r="AU172" s="20" t="n">
        <f aca="false">Operations!AU166-Operations!AU168-Operations!AU169-Operations!AU170-Operations!AU171</f>
        <v>0</v>
      </c>
    </row>
    <row r="173" customFormat="false" ht="15" hidden="false" customHeight="false" outlineLevel="0" collapsed="false">
      <c r="D173" s="0" t="s">
        <v>569</v>
      </c>
      <c r="E173" s="0" t="s">
        <v>47</v>
      </c>
      <c r="J173" s="20" t="n">
        <f aca="false">0</f>
        <v>0</v>
      </c>
      <c r="K173" s="20" t="n">
        <f aca="false">0</f>
        <v>0</v>
      </c>
      <c r="L173" s="20" t="n">
        <f aca="false">0</f>
        <v>0</v>
      </c>
      <c r="M173" s="20" t="n">
        <f aca="false">0</f>
        <v>0</v>
      </c>
      <c r="N173" s="20" t="n">
        <f aca="false">0</f>
        <v>0</v>
      </c>
      <c r="O173" s="20" t="n">
        <f aca="false">0</f>
        <v>0</v>
      </c>
      <c r="P173" s="20" t="n">
        <f aca="false">0</f>
        <v>0</v>
      </c>
      <c r="Q173" s="20" t="n">
        <f aca="false">0</f>
        <v>0</v>
      </c>
      <c r="R173" s="20" t="n">
        <f aca="false">0</f>
        <v>0</v>
      </c>
      <c r="S173" s="20" t="n">
        <f aca="false">0</f>
        <v>0</v>
      </c>
      <c r="T173" s="20" t="n">
        <f aca="false">0</f>
        <v>0</v>
      </c>
      <c r="U173" s="20" t="n">
        <f aca="false">0</f>
        <v>0</v>
      </c>
      <c r="V173" s="20" t="n">
        <f aca="false">0</f>
        <v>0</v>
      </c>
      <c r="W173" s="20" t="n">
        <f aca="false">0</f>
        <v>0</v>
      </c>
      <c r="X173" s="20" t="n">
        <f aca="false">0</f>
        <v>0</v>
      </c>
      <c r="Y173" s="20" t="n">
        <f aca="false">0</f>
        <v>0</v>
      </c>
      <c r="Z173" s="20" t="n">
        <f aca="false">0</f>
        <v>0</v>
      </c>
      <c r="AA173" s="20" t="n">
        <f aca="false">0</f>
        <v>0</v>
      </c>
      <c r="AB173" s="20" t="n">
        <f aca="false">0</f>
        <v>0</v>
      </c>
      <c r="AC173" s="20" t="n">
        <f aca="false">0</f>
        <v>0</v>
      </c>
      <c r="AD173" s="20" t="n">
        <f aca="false">0</f>
        <v>0</v>
      </c>
      <c r="AE173" s="20" t="n">
        <f aca="false">0</f>
        <v>0</v>
      </c>
      <c r="AF173" s="20" t="n">
        <f aca="false">0</f>
        <v>0</v>
      </c>
      <c r="AG173" s="20" t="n">
        <f aca="false">0</f>
        <v>0</v>
      </c>
      <c r="AH173" s="20" t="n">
        <f aca="false">0</f>
        <v>0</v>
      </c>
      <c r="AI173" s="20" t="n">
        <f aca="false">0</f>
        <v>0</v>
      </c>
      <c r="AJ173" s="20" t="n">
        <f aca="false">0</f>
        <v>0</v>
      </c>
      <c r="AK173" s="20" t="n">
        <f aca="false">0</f>
        <v>0</v>
      </c>
      <c r="AL173" s="20" t="n">
        <f aca="false">0</f>
        <v>0</v>
      </c>
      <c r="AM173" s="20" t="n">
        <f aca="false">0</f>
        <v>0</v>
      </c>
      <c r="AN173" s="20" t="n">
        <f aca="false">0</f>
        <v>0</v>
      </c>
      <c r="AO173" s="20" t="n">
        <f aca="false">0</f>
        <v>0</v>
      </c>
      <c r="AP173" s="20" t="n">
        <f aca="false">0</f>
        <v>0</v>
      </c>
      <c r="AQ173" s="20" t="n">
        <f aca="false">0</f>
        <v>0</v>
      </c>
      <c r="AR173" s="20" t="n">
        <f aca="false">0</f>
        <v>0</v>
      </c>
      <c r="AS173" s="20" t="n">
        <f aca="false">0</f>
        <v>0</v>
      </c>
      <c r="AT173" s="20" t="n">
        <f aca="false">0</f>
        <v>0</v>
      </c>
      <c r="AU173" s="20" t="n">
        <f aca="false">0</f>
        <v>0</v>
      </c>
    </row>
    <row r="174" customFormat="false" ht="15" hidden="false" customHeight="false" outlineLevel="0" collapsed="false">
      <c r="D174" s="0" t="s">
        <v>570</v>
      </c>
      <c r="E174" s="0" t="s">
        <v>47</v>
      </c>
      <c r="J174" s="20" t="n">
        <f aca="false">IF(Time!J$4=YEAR(Inputs!$F$112),Inputs!$F$115*Inputs!$F$110/1000*Time!J$9,0)</f>
        <v>0</v>
      </c>
      <c r="K174" s="20" t="n">
        <f aca="false">IF(Time!K$4=YEAR(Inputs!$F$112),Inputs!$F$115*Inputs!$F$110/1000*Time!K$9,0)</f>
        <v>0</v>
      </c>
      <c r="L174" s="20" t="n">
        <f aca="false">IF(Time!L$4=YEAR(Inputs!$F$112),Inputs!$F$115*Inputs!$F$110/1000*Time!L$9,0)</f>
        <v>0</v>
      </c>
      <c r="M174" s="20" t="n">
        <f aca="false">IF(Time!M$4=YEAR(Inputs!$F$112),Inputs!$F$115*Inputs!$F$110/1000*Time!M$9,0)</f>
        <v>0</v>
      </c>
      <c r="N174" s="20" t="n">
        <f aca="false">IF(Time!N$4=YEAR(Inputs!$F$112),Inputs!$F$115*Inputs!$F$110/1000*Time!N$9,0)</f>
        <v>0</v>
      </c>
      <c r="O174" s="20" t="n">
        <f aca="false">IF(Time!O$4=YEAR(Inputs!$F$112),Inputs!$F$115*Inputs!$F$110/1000*Time!O$9,0)</f>
        <v>0</v>
      </c>
      <c r="P174" s="20" t="n">
        <f aca="false">IF(Time!P$4=YEAR(Inputs!$F$112),Inputs!$F$115*Inputs!$F$110/1000*Time!P$9,0)</f>
        <v>0</v>
      </c>
      <c r="Q174" s="20" t="n">
        <f aca="false">IF(Time!Q$4=YEAR(Inputs!$F$112),Inputs!$F$115*Inputs!$F$110/1000*Time!Q$9,0)</f>
        <v>0</v>
      </c>
      <c r="R174" s="20" t="n">
        <f aca="false">IF(Time!R$4=YEAR(Inputs!$F$112),Inputs!$F$115*Inputs!$F$110/1000*Time!R$9,0)</f>
        <v>0</v>
      </c>
      <c r="S174" s="20" t="n">
        <f aca="false">IF(Time!S$4=YEAR(Inputs!$F$112),Inputs!$F$115*Inputs!$F$110/1000*Time!S$9,0)</f>
        <v>0</v>
      </c>
      <c r="T174" s="20" t="n">
        <f aca="false">IF(Time!T$4=YEAR(Inputs!$F$112),Inputs!$F$115*Inputs!$F$110/1000*Time!T$9,0)</f>
        <v>0</v>
      </c>
      <c r="U174" s="20" t="n">
        <f aca="false">IF(Time!U$4=YEAR(Inputs!$F$112),Inputs!$F$115*Inputs!$F$110/1000*Time!U$9,0)</f>
        <v>0</v>
      </c>
      <c r="V174" s="20" t="n">
        <f aca="false">IF(Time!V$4=YEAR(Inputs!$F$112),Inputs!$F$115*Inputs!$F$110/1000*Time!V$9,0)</f>
        <v>0</v>
      </c>
      <c r="W174" s="20" t="n">
        <f aca="false">IF(Time!W$4=YEAR(Inputs!$F$112),Inputs!$F$115*Inputs!$F$110/1000*Time!W$9,0)</f>
        <v>0</v>
      </c>
      <c r="X174" s="20" t="n">
        <f aca="false">IF(Time!X$4=YEAR(Inputs!$F$112),Inputs!$F$115*Inputs!$F$110/1000*Time!X$9,0)</f>
        <v>0</v>
      </c>
      <c r="Y174" s="20" t="n">
        <f aca="false">IF(Time!Y$4=YEAR(Inputs!$F$112),Inputs!$F$115*Inputs!$F$110/1000*Time!Y$9,0)</f>
        <v>0</v>
      </c>
      <c r="Z174" s="20" t="n">
        <f aca="false">IF(Time!Z$4=YEAR(Inputs!$F$112),Inputs!$F$115*Inputs!$F$110/1000*Time!Z$9,0)</f>
        <v>0</v>
      </c>
      <c r="AA174" s="20" t="n">
        <f aca="false">IF(Time!AA$4=YEAR(Inputs!$F$112),Inputs!$F$115*Inputs!$F$110/1000*Time!AA$9,0)</f>
        <v>0</v>
      </c>
      <c r="AB174" s="20" t="n">
        <f aca="false">IF(Time!AB$4=YEAR(Inputs!$F$112),Inputs!$F$115*Inputs!$F$110/1000*Time!AB$9,0)</f>
        <v>0</v>
      </c>
      <c r="AC174" s="20" t="n">
        <f aca="false">IF(Time!AC$4=YEAR(Inputs!$F$112),Inputs!$F$115*Inputs!$F$110/1000*Time!AC$9,0)</f>
        <v>0</v>
      </c>
      <c r="AD174" s="20" t="n">
        <f aca="false">IF(Time!AD$4=YEAR(Inputs!$F$112),Inputs!$F$115*Inputs!$F$110/1000*Time!AD$9,0)</f>
        <v>0</v>
      </c>
      <c r="AE174" s="20" t="n">
        <f aca="false">IF(Time!AE$4=YEAR(Inputs!$F$112),Inputs!$F$115*Inputs!$F$110/1000*Time!AE$9,0)</f>
        <v>0</v>
      </c>
      <c r="AF174" s="20" t="n">
        <f aca="false">IF(Time!AF$4=YEAR(Inputs!$F$112),Inputs!$F$115*Inputs!$F$110/1000*Time!AF$9,0)</f>
        <v>0</v>
      </c>
      <c r="AG174" s="20" t="n">
        <f aca="false">IF(Time!AG$4=YEAR(Inputs!$F$112),Inputs!$F$115*Inputs!$F$110/1000*Time!AG$9,0)</f>
        <v>0</v>
      </c>
      <c r="AH174" s="20" t="n">
        <f aca="false">IF(Time!AH$4=YEAR(Inputs!$F$112),Inputs!$F$115*Inputs!$F$110/1000*Time!AH$9,0)</f>
        <v>0</v>
      </c>
      <c r="AI174" s="20" t="n">
        <f aca="false">IF(Time!AI$4=YEAR(Inputs!$F$112),Inputs!$F$115*Inputs!$F$110/1000*Time!AI$9,0)</f>
        <v>0</v>
      </c>
      <c r="AJ174" s="20" t="n">
        <f aca="false">IF(Time!AJ$4=YEAR(Inputs!$F$112),Inputs!$F$115*Inputs!$F$110/1000*Time!AJ$9,0)</f>
        <v>0</v>
      </c>
      <c r="AK174" s="20" t="n">
        <f aca="false">IF(Time!AK$4=YEAR(Inputs!$F$112),Inputs!$F$115*Inputs!$F$110/1000*Time!AK$9,0)</f>
        <v>18.4768309735911</v>
      </c>
      <c r="AL174" s="20" t="n">
        <f aca="false">IF(Time!AL$4=YEAR(Inputs!$F$112),Inputs!$F$115*Inputs!$F$110/1000*Time!AL$9,0)</f>
        <v>0</v>
      </c>
      <c r="AM174" s="20" t="n">
        <f aca="false">IF(Time!AM$4=YEAR(Inputs!$F$112),Inputs!$F$115*Inputs!$F$110/1000*Time!AM$9,0)</f>
        <v>0</v>
      </c>
      <c r="AN174" s="20" t="n">
        <f aca="false">IF(Time!AN$4=YEAR(Inputs!$F$112),Inputs!$F$115*Inputs!$F$110/1000*Time!AN$9,0)</f>
        <v>0</v>
      </c>
      <c r="AO174" s="20" t="n">
        <f aca="false">IF(Time!AO$4=YEAR(Inputs!$F$112),Inputs!$F$115*Inputs!$F$110/1000*Time!AO$9,0)</f>
        <v>0</v>
      </c>
      <c r="AP174" s="20" t="n">
        <f aca="false">IF(Time!AP$4=YEAR(Inputs!$F$112),Inputs!$F$115*Inputs!$F$110/1000*Time!AP$9,0)</f>
        <v>0</v>
      </c>
      <c r="AQ174" s="20" t="n">
        <f aca="false">IF(Time!AQ$4=YEAR(Inputs!$F$112),Inputs!$F$115*Inputs!$F$110/1000*Time!AQ$9,0)</f>
        <v>0</v>
      </c>
      <c r="AR174" s="20" t="n">
        <f aca="false">IF(Time!AR$4=YEAR(Inputs!$F$112),Inputs!$F$115*Inputs!$F$110/1000*Time!AR$9,0)</f>
        <v>0</v>
      </c>
      <c r="AS174" s="20" t="n">
        <f aca="false">IF(Time!AS$4=YEAR(Inputs!$F$112),Inputs!$F$115*Inputs!$F$110/1000*Time!AS$9,0)</f>
        <v>0</v>
      </c>
      <c r="AT174" s="20" t="n">
        <f aca="false">IF(Time!AT$4=YEAR(Inputs!$F$112),Inputs!$F$115*Inputs!$F$110/1000*Time!AT$9,0)</f>
        <v>0</v>
      </c>
      <c r="AU174" s="20" t="n">
        <f aca="false">IF(Time!AU$4=YEAR(Inputs!$F$112),Inputs!$F$115*Inputs!$F$110/1000*Time!AU$9,0)</f>
        <v>0</v>
      </c>
    </row>
    <row r="175" customFormat="false" ht="15" hidden="false" customHeight="false" outlineLevel="0" collapsed="false">
      <c r="D175" s="0" t="s">
        <v>571</v>
      </c>
      <c r="E175" s="0" t="s">
        <v>47</v>
      </c>
      <c r="G175" s="20" t="n">
        <f aca="false">SUM(J175:AU175)</f>
        <v>261.559712995659</v>
      </c>
      <c r="J175" s="20" t="n">
        <f aca="false">Operations!J172-Operations!J173-Operations!J174</f>
        <v>16.0892592099689</v>
      </c>
      <c r="K175" s="20" t="n">
        <f aca="false">Operations!K172-Operations!K173-Operations!K174</f>
        <v>16.281226519429</v>
      </c>
      <c r="L175" s="20" t="n">
        <f aca="false">Operations!L172-Operations!L173-Operations!L174</f>
        <v>17.3097934835441</v>
      </c>
      <c r="M175" s="20" t="n">
        <f aca="false">Operations!M172-Operations!M173-Operations!M174</f>
        <v>16.8041079285338</v>
      </c>
      <c r="N175" s="20" t="n">
        <f aca="false">Operations!N172-Operations!N173-Operations!N174</f>
        <v>16.4698413406905</v>
      </c>
      <c r="O175" s="20" t="n">
        <f aca="false">Operations!O172-Operations!O173-Operations!O174</f>
        <v>16.2097378550152</v>
      </c>
      <c r="P175" s="20" t="n">
        <f aca="false">Operations!P172-Operations!P173-Operations!P174</f>
        <v>15.979059308288</v>
      </c>
      <c r="Q175" s="20" t="n">
        <f aca="false">Operations!Q172-Operations!Q173-Operations!Q174</f>
        <v>15.7628090005409</v>
      </c>
      <c r="R175" s="20" t="n">
        <f aca="false">Operations!R172-Operations!R173-Operations!R174</f>
        <v>7.68875813101628</v>
      </c>
      <c r="S175" s="20" t="n">
        <f aca="false">Operations!S172-Operations!S173-Operations!S174</f>
        <v>7.63898113875859</v>
      </c>
      <c r="T175" s="20" t="n">
        <f aca="false">Operations!T172-Operations!T173-Operations!T174</f>
        <v>7.58430841250259</v>
      </c>
      <c r="U175" s="20" t="n">
        <f aca="false">Operations!U172-Operations!U173-Operations!U174</f>
        <v>7.52447131438053</v>
      </c>
      <c r="V175" s="20" t="n">
        <f aca="false">Operations!V172-Operations!V173-Operations!V174</f>
        <v>7.45919963076076</v>
      </c>
      <c r="W175" s="20" t="n">
        <f aca="false">Operations!W172-Operations!W173-Operations!W174</f>
        <v>7.38822149536272</v>
      </c>
      <c r="X175" s="20" t="n">
        <f aca="false">Operations!X172-Operations!X173-Operations!X174</f>
        <v>7.31126331063118</v>
      </c>
      <c r="Y175" s="20" t="n">
        <f aca="false">Operations!Y172-Operations!Y173-Operations!Y174</f>
        <v>7.2307094384627</v>
      </c>
      <c r="Z175" s="20" t="n">
        <f aca="false">Operations!Z172-Operations!Z173-Operations!Z174</f>
        <v>7.1435606227184</v>
      </c>
      <c r="AA175" s="20" t="n">
        <f aca="false">Operations!AA172-Operations!AA173-Operations!AA174</f>
        <v>7.20876940302265</v>
      </c>
      <c r="AB175" s="20" t="n">
        <f aca="false">Operations!AB172-Operations!AB173-Operations!AB174</f>
        <v>7.27511896886428</v>
      </c>
      <c r="AC175" s="20" t="n">
        <f aca="false">Operations!AC172-Operations!AC173-Operations!AC174</f>
        <v>7.33981523921926</v>
      </c>
      <c r="AD175" s="20" t="n">
        <f aca="false">Operations!AD172-Operations!AD173-Operations!AD174</f>
        <v>7.40529720035869</v>
      </c>
      <c r="AE175" s="20" t="n">
        <f aca="false">Operations!AE172-Operations!AE173-Operations!AE174</f>
        <v>7.46877456697122</v>
      </c>
      <c r="AF175" s="20" t="n">
        <f aca="false">Operations!AF172-Operations!AF173-Operations!AF174</f>
        <v>7.53266902126895</v>
      </c>
      <c r="AG175" s="20" t="n">
        <f aca="false">Operations!AG172-Operations!AG173-Operations!AG174</f>
        <v>7.59678577568814</v>
      </c>
      <c r="AH175" s="20" t="n">
        <f aca="false">Operations!AH172-Operations!AH173-Operations!AH174</f>
        <v>7.6583395047016</v>
      </c>
      <c r="AI175" s="20" t="n">
        <f aca="false">Operations!AI172-Operations!AI173-Operations!AI174</f>
        <v>7.71972534060927</v>
      </c>
      <c r="AJ175" s="20" t="n">
        <f aca="false">Operations!AJ172-Operations!AJ173-Operations!AJ174</f>
        <v>7.78073730549213</v>
      </c>
      <c r="AK175" s="20" t="n">
        <f aca="false">Operations!AK172-Operations!AK173-Operations!AK174</f>
        <v>-11.301627471141</v>
      </c>
      <c r="AL175" s="20" t="n">
        <f aca="false">Operations!AL172-Operations!AL173-Operations!AL174</f>
        <v>0</v>
      </c>
      <c r="AM175" s="20" t="n">
        <f aca="false">Operations!AM172-Operations!AM173-Operations!AM174</f>
        <v>0</v>
      </c>
      <c r="AN175" s="20" t="n">
        <f aca="false">Operations!AN172-Operations!AN173-Operations!AN174</f>
        <v>0</v>
      </c>
      <c r="AO175" s="20" t="n">
        <f aca="false">Operations!AO172-Operations!AO173-Operations!AO174</f>
        <v>0</v>
      </c>
      <c r="AP175" s="20" t="n">
        <f aca="false">Operations!AP172-Operations!AP173-Operations!AP174</f>
        <v>0</v>
      </c>
      <c r="AQ175" s="20" t="n">
        <f aca="false">Operations!AQ172-Operations!AQ173-Operations!AQ174</f>
        <v>0</v>
      </c>
      <c r="AR175" s="20" t="n">
        <f aca="false">Operations!AR172-Operations!AR173-Operations!AR174</f>
        <v>0</v>
      </c>
      <c r="AS175" s="20" t="n">
        <f aca="false">Operations!AS172-Operations!AS173-Operations!AS174</f>
        <v>0</v>
      </c>
      <c r="AT175" s="20" t="n">
        <f aca="false">Operations!AT172-Operations!AT173-Operations!AT174</f>
        <v>0</v>
      </c>
      <c r="AU175" s="20" t="n">
        <f aca="false">Operations!AU172-Operations!AU173-Operations!AU174</f>
        <v>0</v>
      </c>
    </row>
    <row r="176" customFormat="false" ht="15" hidden="false" customHeight="false" outlineLevel="0" collapsed="false">
      <c r="D176" s="0" t="s">
        <v>572</v>
      </c>
      <c r="E176" s="0" t="s">
        <v>458</v>
      </c>
      <c r="J176" s="14" t="n">
        <f aca="false">MAX(0,MIN(Inputs!$F$231,Time!J$6)-Time!J$5)/Time!J$7</f>
        <v>1</v>
      </c>
      <c r="K176" s="14" t="n">
        <f aca="false">MAX(0,MIN(Inputs!$F$231,Time!K$6)-Time!K$5)/Time!K$7</f>
        <v>1</v>
      </c>
      <c r="L176" s="14" t="n">
        <f aca="false">MAX(0,MIN(Inputs!$F$231,Time!L$6)-Time!L$5)/Time!L$7</f>
        <v>1</v>
      </c>
      <c r="M176" s="14" t="n">
        <f aca="false">MAX(0,MIN(Inputs!$F$231,Time!M$6)-Time!M$5)/Time!M$7</f>
        <v>1</v>
      </c>
      <c r="N176" s="14" t="n">
        <f aca="false">MAX(0,MIN(Inputs!$F$231,Time!N$6)-Time!N$5)/Time!N$7</f>
        <v>1</v>
      </c>
      <c r="O176" s="14" t="n">
        <f aca="false">MAX(0,MIN(Inputs!$F$231,Time!O$6)-Time!O$5)/Time!O$7</f>
        <v>1</v>
      </c>
      <c r="P176" s="14" t="n">
        <f aca="false">MAX(0,MIN(Inputs!$F$231,Time!P$6)-Time!P$5)/Time!P$7</f>
        <v>1</v>
      </c>
      <c r="Q176" s="14" t="n">
        <f aca="false">MAX(0,MIN(Inputs!$F$231,Time!Q$6)-Time!Q$5)/Time!Q$7</f>
        <v>1</v>
      </c>
      <c r="R176" s="14" t="n">
        <f aca="false">MAX(0,MIN(Inputs!$F$231,Time!R$6)-Time!R$5)/Time!R$7</f>
        <v>0</v>
      </c>
      <c r="S176" s="14" t="n">
        <f aca="false">MAX(0,MIN(Inputs!$F$231,Time!S$6)-Time!S$5)/Time!S$7</f>
        <v>0</v>
      </c>
      <c r="T176" s="14" t="n">
        <f aca="false">MAX(0,MIN(Inputs!$F$231,Time!T$6)-Time!T$5)/Time!T$7</f>
        <v>0</v>
      </c>
      <c r="U176" s="14" t="n">
        <f aca="false">MAX(0,MIN(Inputs!$F$231,Time!U$6)-Time!U$5)/Time!U$7</f>
        <v>0</v>
      </c>
      <c r="V176" s="14" t="n">
        <f aca="false">MAX(0,MIN(Inputs!$F$231,Time!V$6)-Time!V$5)/Time!V$7</f>
        <v>0</v>
      </c>
      <c r="W176" s="14" t="n">
        <f aca="false">MAX(0,MIN(Inputs!$F$231,Time!W$6)-Time!W$5)/Time!W$7</f>
        <v>0</v>
      </c>
      <c r="X176" s="14" t="n">
        <f aca="false">MAX(0,MIN(Inputs!$F$231,Time!X$6)-Time!X$5)/Time!X$7</f>
        <v>0</v>
      </c>
      <c r="Y176" s="14" t="n">
        <f aca="false">MAX(0,MIN(Inputs!$F$231,Time!Y$6)-Time!Y$5)/Time!Y$7</f>
        <v>0</v>
      </c>
      <c r="Z176" s="14" t="n">
        <f aca="false">MAX(0,MIN(Inputs!$F$231,Time!Z$6)-Time!Z$5)/Time!Z$7</f>
        <v>0</v>
      </c>
      <c r="AA176" s="14" t="n">
        <f aca="false">MAX(0,MIN(Inputs!$F$231,Time!AA$6)-Time!AA$5)/Time!AA$7</f>
        <v>0</v>
      </c>
      <c r="AB176" s="14" t="n">
        <f aca="false">MAX(0,MIN(Inputs!$F$231,Time!AB$6)-Time!AB$5)/Time!AB$7</f>
        <v>0</v>
      </c>
      <c r="AC176" s="14" t="n">
        <f aca="false">MAX(0,MIN(Inputs!$F$231,Time!AC$6)-Time!AC$5)/Time!AC$7</f>
        <v>0</v>
      </c>
      <c r="AD176" s="14" t="n">
        <f aca="false">MAX(0,MIN(Inputs!$F$231,Time!AD$6)-Time!AD$5)/Time!AD$7</f>
        <v>0</v>
      </c>
      <c r="AE176" s="14" t="n">
        <f aca="false">MAX(0,MIN(Inputs!$F$231,Time!AE$6)-Time!AE$5)/Time!AE$7</f>
        <v>0</v>
      </c>
      <c r="AF176" s="14" t="n">
        <f aca="false">MAX(0,MIN(Inputs!$F$231,Time!AF$6)-Time!AF$5)/Time!AF$7</f>
        <v>0</v>
      </c>
      <c r="AG176" s="14" t="n">
        <f aca="false">MAX(0,MIN(Inputs!$F$231,Time!AG$6)-Time!AG$5)/Time!AG$7</f>
        <v>0</v>
      </c>
      <c r="AH176" s="14" t="n">
        <f aca="false">MAX(0,MIN(Inputs!$F$231,Time!AH$6)-Time!AH$5)/Time!AH$7</f>
        <v>0</v>
      </c>
      <c r="AI176" s="14" t="n">
        <f aca="false">MAX(0,MIN(Inputs!$F$231,Time!AI$6)-Time!AI$5)/Time!AI$7</f>
        <v>0</v>
      </c>
      <c r="AJ176" s="14" t="n">
        <f aca="false">MAX(0,MIN(Inputs!$F$231,Time!AJ$6)-Time!AJ$5)/Time!AJ$7</f>
        <v>0</v>
      </c>
      <c r="AK176" s="14" t="n">
        <f aca="false">MAX(0,MIN(Inputs!$F$231,Time!AK$6)-Time!AK$5)/Time!AK$7</f>
        <v>0</v>
      </c>
      <c r="AL176" s="14" t="n">
        <f aca="false">MAX(0,MIN(Inputs!$F$231,Time!AL$6)-Time!AL$5)/Time!AL$7</f>
        <v>0</v>
      </c>
      <c r="AM176" s="14" t="n">
        <f aca="false">MAX(0,MIN(Inputs!$F$231,Time!AM$6)-Time!AM$5)/Time!AM$7</f>
        <v>0</v>
      </c>
      <c r="AN176" s="14" t="n">
        <f aca="false">MAX(0,MIN(Inputs!$F$231,Time!AN$6)-Time!AN$5)/Time!AN$7</f>
        <v>0</v>
      </c>
      <c r="AO176" s="14" t="n">
        <f aca="false">MAX(0,MIN(Inputs!$F$231,Time!AO$6)-Time!AO$5)/Time!AO$7</f>
        <v>0</v>
      </c>
      <c r="AP176" s="14" t="n">
        <f aca="false">MAX(0,MIN(Inputs!$F$231,Time!AP$6)-Time!AP$5)/Time!AP$7</f>
        <v>0</v>
      </c>
      <c r="AQ176" s="14" t="n">
        <f aca="false">MAX(0,MIN(Inputs!$F$231,Time!AQ$6)-Time!AQ$5)/Time!AQ$7</f>
        <v>0</v>
      </c>
      <c r="AR176" s="14" t="n">
        <f aca="false">MAX(0,MIN(Inputs!$F$231,Time!AR$6)-Time!AR$5)/Time!AR$7</f>
        <v>0</v>
      </c>
      <c r="AS176" s="14" t="n">
        <f aca="false">MAX(0,MIN(Inputs!$F$231,Time!AS$6)-Time!AS$5)/Time!AS$7</f>
        <v>0</v>
      </c>
      <c r="AT176" s="14" t="n">
        <f aca="false">MAX(0,MIN(Inputs!$F$231,Time!AT$6)-Time!AT$5)/Time!AT$7</f>
        <v>0</v>
      </c>
      <c r="AU176" s="14" t="n">
        <f aca="false">MAX(0,MIN(Inputs!$F$231,Time!AU$6)-Time!AU$5)/Time!AU$7</f>
        <v>0</v>
      </c>
    </row>
    <row r="177" customFormat="false" ht="15" hidden="false" customHeight="false" outlineLevel="0" collapsed="false">
      <c r="D177" s="0" t="s">
        <v>573</v>
      </c>
      <c r="E177" s="0" t="s">
        <v>458</v>
      </c>
      <c r="J177" s="14" t="n">
        <f aca="false">Inputs!$F$228/100*Operations!J176+Inputs!$F$230/100*(1-Operations!J176)</f>
        <v>0.4</v>
      </c>
      <c r="K177" s="14" t="n">
        <f aca="false">Inputs!$F$228/100*Operations!K176+Inputs!$F$230/100*(1-Operations!K176)</f>
        <v>0.4</v>
      </c>
      <c r="L177" s="14" t="n">
        <f aca="false">Inputs!$F$228/100*Operations!L176+Inputs!$F$230/100*(1-Operations!L176)</f>
        <v>0.4</v>
      </c>
      <c r="M177" s="14" t="n">
        <f aca="false">Inputs!$F$228/100*Operations!M176+Inputs!$F$230/100*(1-Operations!M176)</f>
        <v>0.4</v>
      </c>
      <c r="N177" s="14" t="n">
        <f aca="false">Inputs!$F$228/100*Operations!N176+Inputs!$F$230/100*(1-Operations!N176)</f>
        <v>0.4</v>
      </c>
      <c r="O177" s="14" t="n">
        <f aca="false">Inputs!$F$228/100*Operations!O176+Inputs!$F$230/100*(1-Operations!O176)</f>
        <v>0.4</v>
      </c>
      <c r="P177" s="14" t="n">
        <f aca="false">Inputs!$F$228/100*Operations!P176+Inputs!$F$230/100*(1-Operations!P176)</f>
        <v>0.4</v>
      </c>
      <c r="Q177" s="14" t="n">
        <f aca="false">Inputs!$F$228/100*Operations!Q176+Inputs!$F$230/100*(1-Operations!Q176)</f>
        <v>0.4</v>
      </c>
      <c r="R177" s="14" t="n">
        <f aca="false">Inputs!$F$228/100*Operations!R176+Inputs!$F$230/100*(1-Operations!R176)</f>
        <v>0.05</v>
      </c>
      <c r="S177" s="14" t="n">
        <f aca="false">Inputs!$F$228/100*Operations!S176+Inputs!$F$230/100*(1-Operations!S176)</f>
        <v>0.05</v>
      </c>
      <c r="T177" s="14" t="n">
        <f aca="false">Inputs!$F$228/100*Operations!T176+Inputs!$F$230/100*(1-Operations!T176)</f>
        <v>0.05</v>
      </c>
      <c r="U177" s="14" t="n">
        <f aca="false">Inputs!$F$228/100*Operations!U176+Inputs!$F$230/100*(1-Operations!U176)</f>
        <v>0.05</v>
      </c>
      <c r="V177" s="14" t="n">
        <f aca="false">Inputs!$F$228/100*Operations!V176+Inputs!$F$230/100*(1-Operations!V176)</f>
        <v>0.05</v>
      </c>
      <c r="W177" s="14" t="n">
        <f aca="false">Inputs!$F$228/100*Operations!W176+Inputs!$F$230/100*(1-Operations!W176)</f>
        <v>0.05</v>
      </c>
      <c r="X177" s="14" t="n">
        <f aca="false">Inputs!$F$228/100*Operations!X176+Inputs!$F$230/100*(1-Operations!X176)</f>
        <v>0.05</v>
      </c>
      <c r="Y177" s="14" t="n">
        <f aca="false">Inputs!$F$228/100*Operations!Y176+Inputs!$F$230/100*(1-Operations!Y176)</f>
        <v>0.05</v>
      </c>
      <c r="Z177" s="14" t="n">
        <f aca="false">Inputs!$F$228/100*Operations!Z176+Inputs!$F$230/100*(1-Operations!Z176)</f>
        <v>0.05</v>
      </c>
      <c r="AA177" s="14" t="n">
        <f aca="false">Inputs!$F$228/100*Operations!AA176+Inputs!$F$230/100*(1-Operations!AA176)</f>
        <v>0.05</v>
      </c>
      <c r="AB177" s="14" t="n">
        <f aca="false">Inputs!$F$228/100*Operations!AB176+Inputs!$F$230/100*(1-Operations!AB176)</f>
        <v>0.05</v>
      </c>
      <c r="AC177" s="14" t="n">
        <f aca="false">Inputs!$F$228/100*Operations!AC176+Inputs!$F$230/100*(1-Operations!AC176)</f>
        <v>0.05</v>
      </c>
      <c r="AD177" s="14" t="n">
        <f aca="false">Inputs!$F$228/100*Operations!AD176+Inputs!$F$230/100*(1-Operations!AD176)</f>
        <v>0.05</v>
      </c>
      <c r="AE177" s="14" t="n">
        <f aca="false">Inputs!$F$228/100*Operations!AE176+Inputs!$F$230/100*(1-Operations!AE176)</f>
        <v>0.05</v>
      </c>
      <c r="AF177" s="14" t="n">
        <f aca="false">Inputs!$F$228/100*Operations!AF176+Inputs!$F$230/100*(1-Operations!AF176)</f>
        <v>0.05</v>
      </c>
      <c r="AG177" s="14" t="n">
        <f aca="false">Inputs!$F$228/100*Operations!AG176+Inputs!$F$230/100*(1-Operations!AG176)</f>
        <v>0.05</v>
      </c>
      <c r="AH177" s="14" t="n">
        <f aca="false">Inputs!$F$228/100*Operations!AH176+Inputs!$F$230/100*(1-Operations!AH176)</f>
        <v>0.05</v>
      </c>
      <c r="AI177" s="14" t="n">
        <f aca="false">Inputs!$F$228/100*Operations!AI176+Inputs!$F$230/100*(1-Operations!AI176)</f>
        <v>0.05</v>
      </c>
      <c r="AJ177" s="14" t="n">
        <f aca="false">Inputs!$F$228/100*Operations!AJ176+Inputs!$F$230/100*(1-Operations!AJ176)</f>
        <v>0.05</v>
      </c>
      <c r="AK177" s="14" t="n">
        <f aca="false">Inputs!$F$228/100*Operations!AK176+Inputs!$F$230/100*(1-Operations!AK176)</f>
        <v>0.05</v>
      </c>
      <c r="AL177" s="14" t="n">
        <f aca="false">Inputs!$F$228/100*Operations!AL176+Inputs!$F$230/100*(1-Operations!AL176)</f>
        <v>0.05</v>
      </c>
      <c r="AM177" s="14" t="n">
        <f aca="false">Inputs!$F$228/100*Operations!AM176+Inputs!$F$230/100*(1-Operations!AM176)</f>
        <v>0.05</v>
      </c>
      <c r="AN177" s="14" t="n">
        <f aca="false">Inputs!$F$228/100*Operations!AN176+Inputs!$F$230/100*(1-Operations!AN176)</f>
        <v>0.05</v>
      </c>
      <c r="AO177" s="14" t="n">
        <f aca="false">Inputs!$F$228/100*Operations!AO176+Inputs!$F$230/100*(1-Operations!AO176)</f>
        <v>0.05</v>
      </c>
      <c r="AP177" s="14" t="n">
        <f aca="false">Inputs!$F$228/100*Operations!AP176+Inputs!$F$230/100*(1-Operations!AP176)</f>
        <v>0.05</v>
      </c>
      <c r="AQ177" s="14" t="n">
        <f aca="false">Inputs!$F$228/100*Operations!AQ176+Inputs!$F$230/100*(1-Operations!AQ176)</f>
        <v>0.05</v>
      </c>
      <c r="AR177" s="14" t="n">
        <f aca="false">Inputs!$F$228/100*Operations!AR176+Inputs!$F$230/100*(1-Operations!AR176)</f>
        <v>0.05</v>
      </c>
      <c r="AS177" s="14" t="n">
        <f aca="false">Inputs!$F$228/100*Operations!AS176+Inputs!$F$230/100*(1-Operations!AS176)</f>
        <v>0.05</v>
      </c>
      <c r="AT177" s="14" t="n">
        <f aca="false">Inputs!$F$228/100*Operations!AT176+Inputs!$F$230/100*(1-Operations!AT176)</f>
        <v>0.05</v>
      </c>
      <c r="AU177" s="14" t="n">
        <f aca="false">Inputs!$F$228/100*Operations!AU176+Inputs!$F$230/100*(1-Operations!AU176)</f>
        <v>0.05</v>
      </c>
    </row>
    <row r="178" customFormat="false" ht="15" hidden="false" customHeight="false" outlineLevel="0" collapsed="false">
      <c r="D178" s="0" t="s">
        <v>574</v>
      </c>
      <c r="E178" s="0" t="s">
        <v>458</v>
      </c>
      <c r="J178" s="14" t="n">
        <f aca="false">(1-Inputs!$F$229/100)*Operations!J176+(1-Inputs!$F$230/100)*(1-Operations!J176)</f>
        <v>0.01</v>
      </c>
      <c r="K178" s="14" t="n">
        <f aca="false">(1-Inputs!$F$229/100)*Operations!K176+(1-Inputs!$F$230/100)*(1-Operations!K176)</f>
        <v>0.01</v>
      </c>
      <c r="L178" s="14" t="n">
        <f aca="false">(1-Inputs!$F$229/100)*Operations!L176+(1-Inputs!$F$230/100)*(1-Operations!L176)</f>
        <v>0.01</v>
      </c>
      <c r="M178" s="14" t="n">
        <f aca="false">(1-Inputs!$F$229/100)*Operations!M176+(1-Inputs!$F$230/100)*(1-Operations!M176)</f>
        <v>0.01</v>
      </c>
      <c r="N178" s="14" t="n">
        <f aca="false">(1-Inputs!$F$229/100)*Operations!N176+(1-Inputs!$F$230/100)*(1-Operations!N176)</f>
        <v>0.01</v>
      </c>
      <c r="O178" s="14" t="n">
        <f aca="false">(1-Inputs!$F$229/100)*Operations!O176+(1-Inputs!$F$230/100)*(1-Operations!O176)</f>
        <v>0.01</v>
      </c>
      <c r="P178" s="14" t="n">
        <f aca="false">(1-Inputs!$F$229/100)*Operations!P176+(1-Inputs!$F$230/100)*(1-Operations!P176)</f>
        <v>0.01</v>
      </c>
      <c r="Q178" s="14" t="n">
        <f aca="false">(1-Inputs!$F$229/100)*Operations!Q176+(1-Inputs!$F$230/100)*(1-Operations!Q176)</f>
        <v>0.01</v>
      </c>
      <c r="R178" s="14" t="n">
        <f aca="false">(1-Inputs!$F$229/100)*Operations!R176+(1-Inputs!$F$230/100)*(1-Operations!R176)</f>
        <v>0.95</v>
      </c>
      <c r="S178" s="14" t="n">
        <f aca="false">(1-Inputs!$F$229/100)*Operations!S176+(1-Inputs!$F$230/100)*(1-Operations!S176)</f>
        <v>0.95</v>
      </c>
      <c r="T178" s="14" t="n">
        <f aca="false">(1-Inputs!$F$229/100)*Operations!T176+(1-Inputs!$F$230/100)*(1-Operations!T176)</f>
        <v>0.95</v>
      </c>
      <c r="U178" s="14" t="n">
        <f aca="false">(1-Inputs!$F$229/100)*Operations!U176+(1-Inputs!$F$230/100)*(1-Operations!U176)</f>
        <v>0.95</v>
      </c>
      <c r="V178" s="14" t="n">
        <f aca="false">(1-Inputs!$F$229/100)*Operations!V176+(1-Inputs!$F$230/100)*(1-Operations!V176)</f>
        <v>0.95</v>
      </c>
      <c r="W178" s="14" t="n">
        <f aca="false">(1-Inputs!$F$229/100)*Operations!W176+(1-Inputs!$F$230/100)*(1-Operations!W176)</f>
        <v>0.95</v>
      </c>
      <c r="X178" s="14" t="n">
        <f aca="false">(1-Inputs!$F$229/100)*Operations!X176+(1-Inputs!$F$230/100)*(1-Operations!X176)</f>
        <v>0.95</v>
      </c>
      <c r="Y178" s="14" t="n">
        <f aca="false">(1-Inputs!$F$229/100)*Operations!Y176+(1-Inputs!$F$230/100)*(1-Operations!Y176)</f>
        <v>0.95</v>
      </c>
      <c r="Z178" s="14" t="n">
        <f aca="false">(1-Inputs!$F$229/100)*Operations!Z176+(1-Inputs!$F$230/100)*(1-Operations!Z176)</f>
        <v>0.95</v>
      </c>
      <c r="AA178" s="14" t="n">
        <f aca="false">(1-Inputs!$F$229/100)*Operations!AA176+(1-Inputs!$F$230/100)*(1-Operations!AA176)</f>
        <v>0.95</v>
      </c>
      <c r="AB178" s="14" t="n">
        <f aca="false">(1-Inputs!$F$229/100)*Operations!AB176+(1-Inputs!$F$230/100)*(1-Operations!AB176)</f>
        <v>0.95</v>
      </c>
      <c r="AC178" s="14" t="n">
        <f aca="false">(1-Inputs!$F$229/100)*Operations!AC176+(1-Inputs!$F$230/100)*(1-Operations!AC176)</f>
        <v>0.95</v>
      </c>
      <c r="AD178" s="14" t="n">
        <f aca="false">(1-Inputs!$F$229/100)*Operations!AD176+(1-Inputs!$F$230/100)*(1-Operations!AD176)</f>
        <v>0.95</v>
      </c>
      <c r="AE178" s="14" t="n">
        <f aca="false">(1-Inputs!$F$229/100)*Operations!AE176+(1-Inputs!$F$230/100)*(1-Operations!AE176)</f>
        <v>0.95</v>
      </c>
      <c r="AF178" s="14" t="n">
        <f aca="false">(1-Inputs!$F$229/100)*Operations!AF176+(1-Inputs!$F$230/100)*(1-Operations!AF176)</f>
        <v>0.95</v>
      </c>
      <c r="AG178" s="14" t="n">
        <f aca="false">(1-Inputs!$F$229/100)*Operations!AG176+(1-Inputs!$F$230/100)*(1-Operations!AG176)</f>
        <v>0.95</v>
      </c>
      <c r="AH178" s="14" t="n">
        <f aca="false">(1-Inputs!$F$229/100)*Operations!AH176+(1-Inputs!$F$230/100)*(1-Operations!AH176)</f>
        <v>0.95</v>
      </c>
      <c r="AI178" s="14" t="n">
        <f aca="false">(1-Inputs!$F$229/100)*Operations!AI176+(1-Inputs!$F$230/100)*(1-Operations!AI176)</f>
        <v>0.95</v>
      </c>
      <c r="AJ178" s="14" t="n">
        <f aca="false">(1-Inputs!$F$229/100)*Operations!AJ176+(1-Inputs!$F$230/100)*(1-Operations!AJ176)</f>
        <v>0.95</v>
      </c>
      <c r="AK178" s="14" t="n">
        <f aca="false">(1-Inputs!$F$229/100)*Operations!AK176+(1-Inputs!$F$230/100)*(1-Operations!AK176)</f>
        <v>0.95</v>
      </c>
      <c r="AL178" s="14" t="n">
        <f aca="false">(1-Inputs!$F$229/100)*Operations!AL176+(1-Inputs!$F$230/100)*(1-Operations!AL176)</f>
        <v>0.95</v>
      </c>
      <c r="AM178" s="14" t="n">
        <f aca="false">(1-Inputs!$F$229/100)*Operations!AM176+(1-Inputs!$F$230/100)*(1-Operations!AM176)</f>
        <v>0.95</v>
      </c>
      <c r="AN178" s="14" t="n">
        <f aca="false">(1-Inputs!$F$229/100)*Operations!AN176+(1-Inputs!$F$230/100)*(1-Operations!AN176)</f>
        <v>0.95</v>
      </c>
      <c r="AO178" s="14" t="n">
        <f aca="false">(1-Inputs!$F$229/100)*Operations!AO176+(1-Inputs!$F$230/100)*(1-Operations!AO176)</f>
        <v>0.95</v>
      </c>
      <c r="AP178" s="14" t="n">
        <f aca="false">(1-Inputs!$F$229/100)*Operations!AP176+(1-Inputs!$F$230/100)*(1-Operations!AP176)</f>
        <v>0.95</v>
      </c>
      <c r="AQ178" s="14" t="n">
        <f aca="false">(1-Inputs!$F$229/100)*Operations!AQ176+(1-Inputs!$F$230/100)*(1-Operations!AQ176)</f>
        <v>0.95</v>
      </c>
      <c r="AR178" s="14" t="n">
        <f aca="false">(1-Inputs!$F$229/100)*Operations!AR176+(1-Inputs!$F$230/100)*(1-Operations!AR176)</f>
        <v>0.95</v>
      </c>
      <c r="AS178" s="14" t="n">
        <f aca="false">(1-Inputs!$F$229/100)*Operations!AS176+(1-Inputs!$F$230/100)*(1-Operations!AS176)</f>
        <v>0.95</v>
      </c>
      <c r="AT178" s="14" t="n">
        <f aca="false">(1-Inputs!$F$229/100)*Operations!AT176+(1-Inputs!$F$230/100)*(1-Operations!AT176)</f>
        <v>0.95</v>
      </c>
      <c r="AU178" s="14" t="n">
        <f aca="false">(1-Inputs!$F$229/100)*Operations!AU176+(1-Inputs!$F$230/100)*(1-Operations!AU176)</f>
        <v>0.95</v>
      </c>
    </row>
    <row r="179" customFormat="false" ht="15" hidden="false" customHeight="false" outlineLevel="0" collapsed="false">
      <c r="D179" s="0" t="s">
        <v>575</v>
      </c>
      <c r="E179" s="0" t="s">
        <v>47</v>
      </c>
      <c r="G179" s="20" t="n">
        <f aca="false">SUM(J179:AU179)</f>
        <v>200.522389335925</v>
      </c>
      <c r="J179" s="20" t="n">
        <f aca="false">Operations!J175*(1-Operations!J177)*Operations!J149</f>
        <v>7.51125964213341</v>
      </c>
      <c r="K179" s="20" t="n">
        <f aca="false">Operations!K175*(1-Operations!K177)*Operations!K149</f>
        <v>9.76873591165741</v>
      </c>
      <c r="L179" s="20" t="n">
        <f aca="false">Operations!L175*(1-Operations!L177)*Operations!L149</f>
        <v>10.3858760901264</v>
      </c>
      <c r="M179" s="20" t="n">
        <f aca="false">Operations!M175*(1-Operations!M177)*Operations!M149</f>
        <v>10.0824647571203</v>
      </c>
      <c r="N179" s="20" t="n">
        <f aca="false">Operations!N175*(1-Operations!N177)*Operations!N149</f>
        <v>9.88190480441431</v>
      </c>
      <c r="O179" s="20" t="n">
        <f aca="false">Operations!O175*(1-Operations!O177)*Operations!O149</f>
        <v>9.72584271300913</v>
      </c>
      <c r="P179" s="20" t="n">
        <f aca="false">Operations!P175*(1-Operations!P177)*Operations!P149</f>
        <v>9.58743558497278</v>
      </c>
      <c r="Q179" s="20" t="n">
        <f aca="false">Operations!Q175*(1-Operations!Q177)*Operations!Q149</f>
        <v>9.45768540032453</v>
      </c>
      <c r="R179" s="20" t="n">
        <f aca="false">Operations!R175*(1-Operations!R177)*Operations!R149</f>
        <v>7.30432022446547</v>
      </c>
      <c r="S179" s="20" t="n">
        <f aca="false">Operations!S175*(1-Operations!S177)*Operations!S149</f>
        <v>7.25703208182066</v>
      </c>
      <c r="T179" s="20" t="n">
        <f aca="false">Operations!T175*(1-Operations!T177)*Operations!T149</f>
        <v>7.20509299187746</v>
      </c>
      <c r="U179" s="20" t="n">
        <f aca="false">Operations!U175*(1-Operations!U177)*Operations!U149</f>
        <v>7.14824774866151</v>
      </c>
      <c r="V179" s="20" t="n">
        <f aca="false">Operations!V175*(1-Operations!V177)*Operations!V149</f>
        <v>7.08623964922272</v>
      </c>
      <c r="W179" s="20" t="n">
        <f aca="false">Operations!W175*(1-Operations!W177)*Operations!W149</f>
        <v>7.01881042059458</v>
      </c>
      <c r="X179" s="20" t="n">
        <f aca="false">Operations!X175*(1-Operations!X177)*Operations!X149</f>
        <v>6.94570014509962</v>
      </c>
      <c r="Y179" s="20" t="n">
        <f aca="false">Operations!Y175*(1-Operations!Y177)*Operations!Y149</f>
        <v>6.86917396653957</v>
      </c>
      <c r="Z179" s="20" t="n">
        <f aca="false">Operations!Z175*(1-Operations!Z177)*Operations!Z149</f>
        <v>6.78638259158248</v>
      </c>
      <c r="AA179" s="20" t="n">
        <f aca="false">Operations!AA175*(1-Operations!AA177)*Operations!AA149</f>
        <v>6.84833093287152</v>
      </c>
      <c r="AB179" s="20" t="n">
        <f aca="false">Operations!AB175*(1-Operations!AB177)*Operations!AB149</f>
        <v>6.91136302042107</v>
      </c>
      <c r="AC179" s="20" t="n">
        <f aca="false">Operations!AC175*(1-Operations!AC177)*Operations!AC149</f>
        <v>6.9728244772583</v>
      </c>
      <c r="AD179" s="20" t="n">
        <f aca="false">Operations!AD175*(1-Operations!AD177)*Operations!AD149</f>
        <v>7.03503234034075</v>
      </c>
      <c r="AE179" s="20" t="n">
        <f aca="false">Operations!AE175*(1-Operations!AE177)*Operations!AE149</f>
        <v>7.09533583862266</v>
      </c>
      <c r="AF179" s="20" t="n">
        <f aca="false">Operations!AF175*(1-Operations!AF177)*Operations!AF149</f>
        <v>7.1560355702055</v>
      </c>
      <c r="AG179" s="20" t="n">
        <f aca="false">Operations!AG175*(1-Operations!AG177)*Operations!AG149</f>
        <v>7.21694648690373</v>
      </c>
      <c r="AH179" s="20" t="n">
        <f aca="false">Operations!AH175*(1-Operations!AH177)*Operations!AH149</f>
        <v>7.27542252946652</v>
      </c>
      <c r="AI179" s="20" t="n">
        <f aca="false">Operations!AI175*(1-Operations!AI177)*Operations!AI149</f>
        <v>7.33373907357881</v>
      </c>
      <c r="AJ179" s="20" t="n">
        <f aca="false">Operations!AJ175*(1-Operations!AJ177)*Operations!AJ149</f>
        <v>7.39170044021752</v>
      </c>
      <c r="AK179" s="20" t="n">
        <f aca="false">Operations!AK175*(1-Operations!AK177)*Operations!AK149</f>
        <v>-10.7365460975839</v>
      </c>
      <c r="AL179" s="20" t="n">
        <f aca="false">Operations!AL175*(1-Operations!AL177)*Operations!AL149</f>
        <v>0</v>
      </c>
      <c r="AM179" s="20" t="n">
        <f aca="false">Operations!AM175*(1-Operations!AM177)*Operations!AM149</f>
        <v>0</v>
      </c>
      <c r="AN179" s="20" t="n">
        <f aca="false">Operations!AN175*(1-Operations!AN177)*Operations!AN149</f>
        <v>0</v>
      </c>
      <c r="AO179" s="20" t="n">
        <f aca="false">Operations!AO175*(1-Operations!AO177)*Operations!AO149</f>
        <v>0</v>
      </c>
      <c r="AP179" s="20" t="n">
        <f aca="false">Operations!AP175*(1-Operations!AP177)*Operations!AP149</f>
        <v>0</v>
      </c>
      <c r="AQ179" s="20" t="n">
        <f aca="false">Operations!AQ175*(1-Operations!AQ177)*Operations!AQ149</f>
        <v>0</v>
      </c>
      <c r="AR179" s="20" t="n">
        <f aca="false">Operations!AR175*(1-Operations!AR177)*Operations!AR149</f>
        <v>0</v>
      </c>
      <c r="AS179" s="20" t="n">
        <f aca="false">Operations!AS175*(1-Operations!AS177)*Operations!AS149</f>
        <v>0</v>
      </c>
      <c r="AT179" s="20" t="n">
        <f aca="false">Operations!AT175*(1-Operations!AT177)*Operations!AT149</f>
        <v>0</v>
      </c>
      <c r="AU179" s="20" t="n">
        <f aca="false">Operations!AU175*(1-Operations!AU177)*Operations!AU149</f>
        <v>0</v>
      </c>
    </row>
    <row r="180" customFormat="false" ht="15" hidden="false" customHeight="false" outlineLevel="0" collapsed="false">
      <c r="D180" s="0" t="s">
        <v>576</v>
      </c>
      <c r="E180" s="0" t="s">
        <v>47</v>
      </c>
      <c r="J180" s="20" t="n">
        <f aca="false">Operations!J175*Operations!J178*Operations!J149</f>
        <v>0.125187660702224</v>
      </c>
      <c r="K180" s="20" t="n">
        <f aca="false">Operations!K175*Operations!K178*Operations!K149</f>
        <v>0.16281226519429</v>
      </c>
      <c r="L180" s="20" t="n">
        <f aca="false">Operations!L175*Operations!L178*Operations!L149</f>
        <v>0.173097934835441</v>
      </c>
      <c r="M180" s="20" t="n">
        <f aca="false">Operations!M175*Operations!M178*Operations!M149</f>
        <v>0.168041079285338</v>
      </c>
      <c r="N180" s="20" t="n">
        <f aca="false">Operations!N175*Operations!N178*Operations!N149</f>
        <v>0.164698413406905</v>
      </c>
      <c r="O180" s="20" t="n">
        <f aca="false">Operations!O175*Operations!O178*Operations!O149</f>
        <v>0.162097378550152</v>
      </c>
      <c r="P180" s="20" t="n">
        <f aca="false">Operations!P175*Operations!P178*Operations!P149</f>
        <v>0.15979059308288</v>
      </c>
      <c r="Q180" s="20" t="n">
        <f aca="false">Operations!Q175*Operations!Q178*Operations!Q149</f>
        <v>0.157628090005409</v>
      </c>
      <c r="R180" s="20" t="n">
        <f aca="false">Operations!R175*Operations!R178*Operations!R149</f>
        <v>7.30432022446547</v>
      </c>
      <c r="S180" s="20" t="n">
        <f aca="false">Operations!S175*Operations!S178*Operations!S149</f>
        <v>7.25703208182066</v>
      </c>
      <c r="T180" s="20" t="n">
        <f aca="false">Operations!T175*Operations!T178*Operations!T149</f>
        <v>7.20509299187746</v>
      </c>
      <c r="U180" s="20" t="n">
        <f aca="false">Operations!U175*Operations!U178*Operations!U149</f>
        <v>7.14824774866151</v>
      </c>
      <c r="V180" s="20" t="n">
        <f aca="false">Operations!V175*Operations!V178*Operations!V149</f>
        <v>7.08623964922272</v>
      </c>
      <c r="W180" s="20" t="n">
        <f aca="false">Operations!W175*Operations!W178*Operations!W149</f>
        <v>7.01881042059458</v>
      </c>
      <c r="X180" s="20" t="n">
        <f aca="false">Operations!X175*Operations!X178*Operations!X149</f>
        <v>6.94570014509962</v>
      </c>
      <c r="Y180" s="20" t="n">
        <f aca="false">Operations!Y175*Operations!Y178*Operations!Y149</f>
        <v>6.86917396653957</v>
      </c>
      <c r="Z180" s="20" t="n">
        <f aca="false">Operations!Z175*Operations!Z178*Operations!Z149</f>
        <v>6.78638259158248</v>
      </c>
      <c r="AA180" s="20" t="n">
        <f aca="false">Operations!AA175*Operations!AA178*Operations!AA149</f>
        <v>6.84833093287152</v>
      </c>
      <c r="AB180" s="20" t="n">
        <f aca="false">Operations!AB175*Operations!AB178*Operations!AB149</f>
        <v>6.91136302042107</v>
      </c>
      <c r="AC180" s="20" t="n">
        <f aca="false">Operations!AC175*Operations!AC178*Operations!AC149</f>
        <v>6.9728244772583</v>
      </c>
      <c r="AD180" s="20" t="n">
        <f aca="false">Operations!AD175*Operations!AD178*Operations!AD149</f>
        <v>7.03503234034075</v>
      </c>
      <c r="AE180" s="20" t="n">
        <f aca="false">Operations!AE175*Operations!AE178*Operations!AE149</f>
        <v>7.09533583862266</v>
      </c>
      <c r="AF180" s="20" t="n">
        <f aca="false">Operations!AF175*Operations!AF178*Operations!AF149</f>
        <v>7.1560355702055</v>
      </c>
      <c r="AG180" s="20" t="n">
        <f aca="false">Operations!AG175*Operations!AG178*Operations!AG149</f>
        <v>7.21694648690373</v>
      </c>
      <c r="AH180" s="20" t="n">
        <f aca="false">Operations!AH175*Operations!AH178*Operations!AH149</f>
        <v>7.27542252946652</v>
      </c>
      <c r="AI180" s="20" t="n">
        <f aca="false">Operations!AI175*Operations!AI178*Operations!AI149</f>
        <v>7.33373907357881</v>
      </c>
      <c r="AJ180" s="20" t="n">
        <f aca="false">Operations!AJ175*Operations!AJ178*Operations!AJ149</f>
        <v>7.39170044021752</v>
      </c>
      <c r="AK180" s="20" t="n">
        <f aca="false">Operations!AK175*Operations!AK178*Operations!AK149</f>
        <v>-10.7365460975839</v>
      </c>
      <c r="AL180" s="20" t="n">
        <f aca="false">Operations!AL175*Operations!AL178*Operations!AL149</f>
        <v>0</v>
      </c>
      <c r="AM180" s="20" t="n">
        <f aca="false">Operations!AM175*Operations!AM178*Operations!AM149</f>
        <v>0</v>
      </c>
      <c r="AN180" s="20" t="n">
        <f aca="false">Operations!AN175*Operations!AN178*Operations!AN149</f>
        <v>0</v>
      </c>
      <c r="AO180" s="20" t="n">
        <f aca="false">Operations!AO175*Operations!AO178*Operations!AO149</f>
        <v>0</v>
      </c>
      <c r="AP180" s="20" t="n">
        <f aca="false">Operations!AP175*Operations!AP178*Operations!AP149</f>
        <v>0</v>
      </c>
      <c r="AQ180" s="20" t="n">
        <f aca="false">Operations!AQ175*Operations!AQ178*Operations!AQ149</f>
        <v>0</v>
      </c>
      <c r="AR180" s="20" t="n">
        <f aca="false">Operations!AR175*Operations!AR178*Operations!AR149</f>
        <v>0</v>
      </c>
      <c r="AS180" s="20" t="n">
        <f aca="false">Operations!AS175*Operations!AS178*Operations!AS149</f>
        <v>0</v>
      </c>
      <c r="AT180" s="20" t="n">
        <f aca="false">Operations!AT175*Operations!AT178*Operations!AT149</f>
        <v>0</v>
      </c>
      <c r="AU180" s="20" t="n">
        <f aca="false">Operations!AU175*Operations!AU178*Operations!AU149</f>
        <v>0</v>
      </c>
    </row>
    <row r="181" customFormat="false" ht="15" hidden="false" customHeight="false" outlineLevel="0" collapsed="false">
      <c r="D181" s="0" t="s">
        <v>577</v>
      </c>
      <c r="E181" s="0" t="s">
        <v>47</v>
      </c>
      <c r="J181" s="20" t="n">
        <f aca="false">Operations!J179-Inputs!$F$248/100*Operations!J180</f>
        <v>7.48497023338595</v>
      </c>
      <c r="K181" s="20" t="n">
        <f aca="false">Operations!K179-Inputs!$F$248/100*Operations!K180</f>
        <v>9.73454533596661</v>
      </c>
      <c r="L181" s="20" t="n">
        <f aca="false">Operations!L179-Inputs!$F$248/100*Operations!L180</f>
        <v>10.349525523811</v>
      </c>
      <c r="M181" s="20" t="n">
        <f aca="false">Operations!M179-Inputs!$F$248/100*Operations!M180</f>
        <v>10.0471761304704</v>
      </c>
      <c r="N181" s="20" t="n">
        <f aca="false">Operations!N179-Inputs!$F$248/100*Operations!N180</f>
        <v>9.84731813759886</v>
      </c>
      <c r="O181" s="20" t="n">
        <f aca="false">Operations!O179-Inputs!$F$248/100*Operations!O180</f>
        <v>9.6918022635136</v>
      </c>
      <c r="P181" s="20" t="n">
        <f aca="false">Operations!P179-Inputs!$F$248/100*Operations!P180</f>
        <v>9.55387956042538</v>
      </c>
      <c r="Q181" s="20" t="n">
        <f aca="false">Operations!Q179-Inputs!$F$248/100*Operations!Q180</f>
        <v>9.4245835014234</v>
      </c>
      <c r="R181" s="20" t="n">
        <f aca="false">Operations!R179-Inputs!$F$248/100*Operations!R180</f>
        <v>5.77041297732772</v>
      </c>
      <c r="S181" s="20" t="n">
        <f aca="false">Operations!S179-Inputs!$F$248/100*Operations!S180</f>
        <v>5.73305534463832</v>
      </c>
      <c r="T181" s="20" t="n">
        <f aca="false">Operations!T179-Inputs!$F$248/100*Operations!T180</f>
        <v>5.6920234635832</v>
      </c>
      <c r="U181" s="20" t="n">
        <f aca="false">Operations!U179-Inputs!$F$248/100*Operations!U180</f>
        <v>5.64711572144259</v>
      </c>
      <c r="V181" s="20" t="n">
        <f aca="false">Operations!V179-Inputs!$F$248/100*Operations!V180</f>
        <v>5.59812932288595</v>
      </c>
      <c r="W181" s="20" t="n">
        <f aca="false">Operations!W179-Inputs!$F$248/100*Operations!W180</f>
        <v>5.54486023226972</v>
      </c>
      <c r="X181" s="20" t="n">
        <f aca="false">Operations!X179-Inputs!$F$248/100*Operations!X180</f>
        <v>5.4871031146287</v>
      </c>
      <c r="Y181" s="20" t="n">
        <f aca="false">Operations!Y179-Inputs!$F$248/100*Operations!Y180</f>
        <v>5.42664743356626</v>
      </c>
      <c r="Z181" s="20" t="n">
        <f aca="false">Operations!Z179-Inputs!$F$248/100*Operations!Z180</f>
        <v>5.36124224735016</v>
      </c>
      <c r="AA181" s="20" t="n">
        <f aca="false">Operations!AA179-Inputs!$F$248/100*Operations!AA180</f>
        <v>5.4101814369685</v>
      </c>
      <c r="AB181" s="20" t="n">
        <f aca="false">Operations!AB179-Inputs!$F$248/100*Operations!AB180</f>
        <v>5.45997678613264</v>
      </c>
      <c r="AC181" s="20" t="n">
        <f aca="false">Operations!AC179-Inputs!$F$248/100*Operations!AC180</f>
        <v>5.50853133703406</v>
      </c>
      <c r="AD181" s="20" t="n">
        <f aca="false">Operations!AD179-Inputs!$F$248/100*Operations!AD180</f>
        <v>5.5576755488692</v>
      </c>
      <c r="AE181" s="20" t="n">
        <f aca="false">Operations!AE179-Inputs!$F$248/100*Operations!AE180</f>
        <v>5.6053153125119</v>
      </c>
      <c r="AF181" s="20" t="n">
        <f aca="false">Operations!AF179-Inputs!$F$248/100*Operations!AF180</f>
        <v>5.65326810046234</v>
      </c>
      <c r="AG181" s="20" t="n">
        <f aca="false">Operations!AG179-Inputs!$F$248/100*Operations!AG180</f>
        <v>5.70138772465395</v>
      </c>
      <c r="AH181" s="20" t="n">
        <f aca="false">Operations!AH179-Inputs!$F$248/100*Operations!AH180</f>
        <v>5.74758379827855</v>
      </c>
      <c r="AI181" s="20" t="n">
        <f aca="false">Operations!AI179-Inputs!$F$248/100*Operations!AI180</f>
        <v>5.79365386812726</v>
      </c>
      <c r="AJ181" s="20" t="n">
        <f aca="false">Operations!AJ179-Inputs!$F$248/100*Operations!AJ180</f>
        <v>5.83944334777184</v>
      </c>
      <c r="AK181" s="20" t="n">
        <f aca="false">Operations!AK179-Inputs!$F$248/100*Operations!AK180</f>
        <v>-8.48187141709129</v>
      </c>
      <c r="AL181" s="20" t="n">
        <f aca="false">Operations!AL179-Inputs!$F$248/100*Operations!AL180</f>
        <v>0</v>
      </c>
      <c r="AM181" s="20" t="n">
        <f aca="false">Operations!AM179-Inputs!$F$248/100*Operations!AM180</f>
        <v>0</v>
      </c>
      <c r="AN181" s="20" t="n">
        <f aca="false">Operations!AN179-Inputs!$F$248/100*Operations!AN180</f>
        <v>0</v>
      </c>
      <c r="AO181" s="20" t="n">
        <f aca="false">Operations!AO179-Inputs!$F$248/100*Operations!AO180</f>
        <v>0</v>
      </c>
      <c r="AP181" s="20" t="n">
        <f aca="false">Operations!AP179-Inputs!$F$248/100*Operations!AP180</f>
        <v>0</v>
      </c>
      <c r="AQ181" s="20" t="n">
        <f aca="false">Operations!AQ179-Inputs!$F$248/100*Operations!AQ180</f>
        <v>0</v>
      </c>
      <c r="AR181" s="20" t="n">
        <f aca="false">Operations!AR179-Inputs!$F$248/100*Operations!AR180</f>
        <v>0</v>
      </c>
      <c r="AS181" s="20" t="n">
        <f aca="false">Operations!AS179-Inputs!$F$248/100*Operations!AS180</f>
        <v>0</v>
      </c>
      <c r="AT181" s="20" t="n">
        <f aca="false">Operations!AT179-Inputs!$F$248/100*Operations!AT180</f>
        <v>0</v>
      </c>
      <c r="AU181" s="20" t="n">
        <f aca="false">Operations!AU179-Inputs!$F$248/100*Operations!AU180</f>
        <v>0</v>
      </c>
    </row>
    <row r="182" customFormat="false" ht="15" hidden="false" customHeight="false" outlineLevel="0" collapsed="false">
      <c r="D182" s="0" t="s">
        <v>578</v>
      </c>
      <c r="E182" s="0" t="s">
        <v>458</v>
      </c>
      <c r="J182" s="14" t="n">
        <f aca="false">IF(Operations!J166=0,0,Operations!J163/Operations!J166)</f>
        <v>1.12972772009934</v>
      </c>
      <c r="K182" s="14" t="n">
        <f aca="false">IF(Operations!K166=0,0,Operations!K163/Operations!K166)</f>
        <v>1.10304788122663</v>
      </c>
      <c r="L182" s="14" t="n">
        <f aca="false">IF(Operations!L166=0,0,Operations!L163/Operations!L166)</f>
        <v>1.04773843048925</v>
      </c>
      <c r="M182" s="14" t="n">
        <f aca="false">IF(Operations!M166=0,0,Operations!M163/Operations!M166)</f>
        <v>1.06353628092496</v>
      </c>
      <c r="N182" s="14" t="n">
        <f aca="false">IF(Operations!N166=0,0,Operations!N163/Operations!N166)</f>
        <v>1.07159496347035</v>
      </c>
      <c r="O182" s="14" t="n">
        <f aca="false">IF(Operations!O166=0,0,Operations!O163/Operations!O166)</f>
        <v>1.07609558893494</v>
      </c>
      <c r="P182" s="14" t="n">
        <f aca="false">IF(Operations!P166=0,0,Operations!P163/Operations!P166)</f>
        <v>1.07904984658277</v>
      </c>
      <c r="Q182" s="14" t="n">
        <f aca="false">IF(Operations!Q166=0,0,Operations!Q163/Operations!Q166)</f>
        <v>1.08113718065479</v>
      </c>
      <c r="R182" s="14" t="n">
        <f aca="false">IF(Operations!R166=0,0,Operations!R163/Operations!R166)</f>
        <v>0</v>
      </c>
      <c r="S182" s="14" t="n">
        <f aca="false">IF(Operations!S166=0,0,Operations!S163/Operations!S166)</f>
        <v>0</v>
      </c>
      <c r="T182" s="14" t="n">
        <f aca="false">IF(Operations!T166=0,0,Operations!T163/Operations!T166)</f>
        <v>0</v>
      </c>
      <c r="U182" s="14" t="n">
        <f aca="false">IF(Operations!U166=0,0,Operations!U163/Operations!U166)</f>
        <v>0</v>
      </c>
      <c r="V182" s="14" t="n">
        <f aca="false">IF(Operations!V166=0,0,Operations!V163/Operations!V166)</f>
        <v>0</v>
      </c>
      <c r="W182" s="14" t="n">
        <f aca="false">IF(Operations!W166=0,0,Operations!W163/Operations!W166)</f>
        <v>0</v>
      </c>
      <c r="X182" s="14" t="n">
        <f aca="false">IF(Operations!X166=0,0,Operations!X163/Operations!X166)</f>
        <v>0</v>
      </c>
      <c r="Y182" s="14" t="n">
        <f aca="false">IF(Operations!Y166=0,0,Operations!Y163/Operations!Y166)</f>
        <v>0</v>
      </c>
      <c r="Z182" s="14" t="n">
        <f aca="false">IF(Operations!Z166=0,0,Operations!Z163/Operations!Z166)</f>
        <v>0</v>
      </c>
      <c r="AA182" s="14" t="n">
        <f aca="false">IF(Operations!AA166=0,0,Operations!AA163/Operations!AA166)</f>
        <v>0</v>
      </c>
      <c r="AB182" s="14" t="n">
        <f aca="false">IF(Operations!AB166=0,0,Operations!AB163/Operations!AB166)</f>
        <v>0</v>
      </c>
      <c r="AC182" s="14" t="n">
        <f aca="false">IF(Operations!AC166=0,0,Operations!AC163/Operations!AC166)</f>
        <v>0</v>
      </c>
      <c r="AD182" s="14" t="n">
        <f aca="false">IF(Operations!AD166=0,0,Operations!AD163/Operations!AD166)</f>
        <v>0</v>
      </c>
      <c r="AE182" s="14" t="n">
        <f aca="false">IF(Operations!AE166=0,0,Operations!AE163/Operations!AE166)</f>
        <v>0</v>
      </c>
      <c r="AF182" s="14" t="n">
        <f aca="false">IF(Operations!AF166=0,0,Operations!AF163/Operations!AF166)</f>
        <v>0</v>
      </c>
      <c r="AG182" s="14" t="n">
        <f aca="false">IF(Operations!AG166=0,0,Operations!AG163/Operations!AG166)</f>
        <v>0</v>
      </c>
      <c r="AH182" s="14" t="n">
        <f aca="false">IF(Operations!AH166=0,0,Operations!AH163/Operations!AH166)</f>
        <v>0</v>
      </c>
      <c r="AI182" s="14" t="n">
        <f aca="false">IF(Operations!AI166=0,0,Operations!AI163/Operations!AI166)</f>
        <v>0</v>
      </c>
      <c r="AJ182" s="14" t="n">
        <f aca="false">IF(Operations!AJ166=0,0,Operations!AJ163/Operations!AJ166)</f>
        <v>0</v>
      </c>
      <c r="AK182" s="14" t="n">
        <f aca="false">IF(Operations!AK166=0,0,Operations!AK163/Operations!AK166)</f>
        <v>0</v>
      </c>
      <c r="AL182" s="14" t="n">
        <f aca="false">IF(Operations!AL166=0,0,Operations!AL163/Operations!AL166)</f>
        <v>0</v>
      </c>
      <c r="AM182" s="14" t="n">
        <f aca="false">IF(Operations!AM166=0,0,Operations!AM163/Operations!AM166)</f>
        <v>0</v>
      </c>
      <c r="AN182" s="14" t="n">
        <f aca="false">IF(Operations!AN166=0,0,Operations!AN163/Operations!AN166)</f>
        <v>0</v>
      </c>
      <c r="AO182" s="14" t="n">
        <f aca="false">IF(Operations!AO166=0,0,Operations!AO163/Operations!AO166)</f>
        <v>0</v>
      </c>
      <c r="AP182" s="14" t="n">
        <f aca="false">IF(Operations!AP166=0,0,Operations!AP163/Operations!AP166)</f>
        <v>0</v>
      </c>
      <c r="AQ182" s="14" t="n">
        <f aca="false">IF(Operations!AQ166=0,0,Operations!AQ163/Operations!AQ166)</f>
        <v>0</v>
      </c>
      <c r="AR182" s="14" t="n">
        <f aca="false">IF(Operations!AR166=0,0,Operations!AR163/Operations!AR166)</f>
        <v>0</v>
      </c>
      <c r="AS182" s="14" t="n">
        <f aca="false">IF(Operations!AS166=0,0,Operations!AS163/Operations!AS166)</f>
        <v>0</v>
      </c>
      <c r="AT182" s="14" t="n">
        <f aca="false">IF(Operations!AT166=0,0,Operations!AT163/Operations!AT166)</f>
        <v>0</v>
      </c>
      <c r="AU182" s="14" t="n">
        <f aca="false">IF(Operations!AU166=0,0,Operations!AU163/Operations!AU166)</f>
        <v>0</v>
      </c>
    </row>
    <row r="183" customFormat="false" ht="15" hidden="false" customHeight="false" outlineLevel="0" collapsed="false">
      <c r="D183" s="0" t="s">
        <v>579</v>
      </c>
      <c r="E183" s="0" t="s">
        <v>458</v>
      </c>
      <c r="J183" s="14" t="n">
        <f aca="false">IF(Operations!J166=0,0,Operations!J164/Operations!J166)</f>
        <v>0</v>
      </c>
      <c r="K183" s="14" t="n">
        <f aca="false">IF(Operations!K166=0,0,Operations!K164/Operations!K166)</f>
        <v>0</v>
      </c>
      <c r="L183" s="14" t="n">
        <f aca="false">IF(Operations!L166=0,0,Operations!L164/Operations!L166)</f>
        <v>0</v>
      </c>
      <c r="M183" s="14" t="n">
        <f aca="false">IF(Operations!M166=0,0,Operations!M164/Operations!M166)</f>
        <v>0</v>
      </c>
      <c r="N183" s="14" t="n">
        <f aca="false">IF(Operations!N166=0,0,Operations!N164/Operations!N166)</f>
        <v>0</v>
      </c>
      <c r="O183" s="14" t="n">
        <f aca="false">IF(Operations!O166=0,0,Operations!O164/Operations!O166)</f>
        <v>0</v>
      </c>
      <c r="P183" s="14" t="n">
        <f aca="false">IF(Operations!P166=0,0,Operations!P164/Operations!P166)</f>
        <v>0</v>
      </c>
      <c r="Q183" s="14" t="n">
        <f aca="false">IF(Operations!Q166=0,0,Operations!Q164/Operations!Q166)</f>
        <v>0</v>
      </c>
      <c r="R183" s="14" t="n">
        <f aca="false">IF(Operations!R166=0,0,Operations!R164/Operations!R166)</f>
        <v>0</v>
      </c>
      <c r="S183" s="14" t="n">
        <f aca="false">IF(Operations!S166=0,0,Operations!S164/Operations!S166)</f>
        <v>0</v>
      </c>
      <c r="T183" s="14" t="n">
        <f aca="false">IF(Operations!T166=0,0,Operations!T164/Operations!T166)</f>
        <v>0</v>
      </c>
      <c r="U183" s="14" t="n">
        <f aca="false">IF(Operations!U166=0,0,Operations!U164/Operations!U166)</f>
        <v>0</v>
      </c>
      <c r="V183" s="14" t="n">
        <f aca="false">IF(Operations!V166=0,0,Operations!V164/Operations!V166)</f>
        <v>0</v>
      </c>
      <c r="W183" s="14" t="n">
        <f aca="false">IF(Operations!W166=0,0,Operations!W164/Operations!W166)</f>
        <v>0</v>
      </c>
      <c r="X183" s="14" t="n">
        <f aca="false">IF(Operations!X166=0,0,Operations!X164/Operations!X166)</f>
        <v>0</v>
      </c>
      <c r="Y183" s="14" t="n">
        <f aca="false">IF(Operations!Y166=0,0,Operations!Y164/Operations!Y166)</f>
        <v>0</v>
      </c>
      <c r="Z183" s="14" t="n">
        <f aca="false">IF(Operations!Z166=0,0,Operations!Z164/Operations!Z166)</f>
        <v>0</v>
      </c>
      <c r="AA183" s="14" t="n">
        <f aca="false">IF(Operations!AA166=0,0,Operations!AA164/Operations!AA166)</f>
        <v>0</v>
      </c>
      <c r="AB183" s="14" t="n">
        <f aca="false">IF(Operations!AB166=0,0,Operations!AB164/Operations!AB166)</f>
        <v>0</v>
      </c>
      <c r="AC183" s="14" t="n">
        <f aca="false">IF(Operations!AC166=0,0,Operations!AC164/Operations!AC166)</f>
        <v>0</v>
      </c>
      <c r="AD183" s="14" t="n">
        <f aca="false">IF(Operations!AD166=0,0,Operations!AD164/Operations!AD166)</f>
        <v>0</v>
      </c>
      <c r="AE183" s="14" t="n">
        <f aca="false">IF(Operations!AE166=0,0,Operations!AE164/Operations!AE166)</f>
        <v>0</v>
      </c>
      <c r="AF183" s="14" t="n">
        <f aca="false">IF(Operations!AF166=0,0,Operations!AF164/Operations!AF166)</f>
        <v>0</v>
      </c>
      <c r="AG183" s="14" t="n">
        <f aca="false">IF(Operations!AG166=0,0,Operations!AG164/Operations!AG166)</f>
        <v>0</v>
      </c>
      <c r="AH183" s="14" t="n">
        <f aca="false">IF(Operations!AH166=0,0,Operations!AH164/Operations!AH166)</f>
        <v>0</v>
      </c>
      <c r="AI183" s="14" t="n">
        <f aca="false">IF(Operations!AI166=0,0,Operations!AI164/Operations!AI166)</f>
        <v>0</v>
      </c>
      <c r="AJ183" s="14" t="n">
        <f aca="false">IF(Operations!AJ166=0,0,Operations!AJ164/Operations!AJ166)</f>
        <v>0</v>
      </c>
      <c r="AK183" s="14" t="n">
        <f aca="false">IF(Operations!AK166=0,0,Operations!AK164/Operations!AK166)</f>
        <v>0</v>
      </c>
      <c r="AL183" s="14" t="n">
        <f aca="false">IF(Operations!AL166=0,0,Operations!AL164/Operations!AL166)</f>
        <v>0</v>
      </c>
      <c r="AM183" s="14" t="n">
        <f aca="false">IF(Operations!AM166=0,0,Operations!AM164/Operations!AM166)</f>
        <v>0</v>
      </c>
      <c r="AN183" s="14" t="n">
        <f aca="false">IF(Operations!AN166=0,0,Operations!AN164/Operations!AN166)</f>
        <v>0</v>
      </c>
      <c r="AO183" s="14" t="n">
        <f aca="false">IF(Operations!AO166=0,0,Operations!AO164/Operations!AO166)</f>
        <v>0</v>
      </c>
      <c r="AP183" s="14" t="n">
        <f aca="false">IF(Operations!AP166=0,0,Operations!AP164/Operations!AP166)</f>
        <v>0</v>
      </c>
      <c r="AQ183" s="14" t="n">
        <f aca="false">IF(Operations!AQ166=0,0,Operations!AQ164/Operations!AQ166)</f>
        <v>0</v>
      </c>
      <c r="AR183" s="14" t="n">
        <f aca="false">IF(Operations!AR166=0,0,Operations!AR164/Operations!AR166)</f>
        <v>0</v>
      </c>
      <c r="AS183" s="14" t="n">
        <f aca="false">IF(Operations!AS166=0,0,Operations!AS164/Operations!AS166)</f>
        <v>0</v>
      </c>
      <c r="AT183" s="14" t="n">
        <f aca="false">IF(Operations!AT166=0,0,Operations!AT164/Operations!AT166)</f>
        <v>0</v>
      </c>
      <c r="AU183" s="14" t="n">
        <f aca="false">IF(Operations!AU166=0,0,Operations!AU164/Operations!AU166)</f>
        <v>0</v>
      </c>
    </row>
    <row r="184" customFormat="false" ht="15" hidden="false" customHeight="false" outlineLevel="0" collapsed="false">
      <c r="D184" s="0" t="s">
        <v>580</v>
      </c>
      <c r="E184" s="0" t="s">
        <v>458</v>
      </c>
      <c r="J184" s="14" t="n">
        <f aca="false">1-Operations!J182-Operations!J183</f>
        <v>-0.129727720099339</v>
      </c>
      <c r="K184" s="14" t="n">
        <f aca="false">1-Operations!K182-Operations!K183</f>
        <v>-0.103047881226629</v>
      </c>
      <c r="L184" s="14" t="n">
        <f aca="false">1-Operations!L182-Operations!L183</f>
        <v>-0.0477384304892539</v>
      </c>
      <c r="M184" s="14" t="n">
        <f aca="false">1-Operations!M182-Operations!M183</f>
        <v>-0.0635362809249616</v>
      </c>
      <c r="N184" s="14" t="n">
        <f aca="false">1-Operations!N182-Operations!N183</f>
        <v>-0.0715949634703474</v>
      </c>
      <c r="O184" s="14" t="n">
        <f aca="false">1-Operations!O182-Operations!O183</f>
        <v>-0.0760955889349371</v>
      </c>
      <c r="P184" s="14" t="n">
        <f aca="false">1-Operations!P182-Operations!P183</f>
        <v>-0.079049846582768</v>
      </c>
      <c r="Q184" s="14" t="n">
        <f aca="false">1-Operations!Q182-Operations!Q183</f>
        <v>-0.0811371806547885</v>
      </c>
      <c r="R184" s="14" t="n">
        <f aca="false">1-Operations!R182-Operations!R183</f>
        <v>1</v>
      </c>
      <c r="S184" s="14" t="n">
        <f aca="false">1-Operations!S182-Operations!S183</f>
        <v>1</v>
      </c>
      <c r="T184" s="14" t="n">
        <f aca="false">1-Operations!T182-Operations!T183</f>
        <v>1</v>
      </c>
      <c r="U184" s="14" t="n">
        <f aca="false">1-Operations!U182-Operations!U183</f>
        <v>1</v>
      </c>
      <c r="V184" s="14" t="n">
        <f aca="false">1-Operations!V182-Operations!V183</f>
        <v>1</v>
      </c>
      <c r="W184" s="14" t="n">
        <f aca="false">1-Operations!W182-Operations!W183</f>
        <v>1</v>
      </c>
      <c r="X184" s="14" t="n">
        <f aca="false">1-Operations!X182-Operations!X183</f>
        <v>1</v>
      </c>
      <c r="Y184" s="14" t="n">
        <f aca="false">1-Operations!Y182-Operations!Y183</f>
        <v>1</v>
      </c>
      <c r="Z184" s="14" t="n">
        <f aca="false">1-Operations!Z182-Operations!Z183</f>
        <v>1</v>
      </c>
      <c r="AA184" s="14" t="n">
        <f aca="false">1-Operations!AA182-Operations!AA183</f>
        <v>1</v>
      </c>
      <c r="AB184" s="14" t="n">
        <f aca="false">1-Operations!AB182-Operations!AB183</f>
        <v>1</v>
      </c>
      <c r="AC184" s="14" t="n">
        <f aca="false">1-Operations!AC182-Operations!AC183</f>
        <v>1</v>
      </c>
      <c r="AD184" s="14" t="n">
        <f aca="false">1-Operations!AD182-Operations!AD183</f>
        <v>1</v>
      </c>
      <c r="AE184" s="14" t="n">
        <f aca="false">1-Operations!AE182-Operations!AE183</f>
        <v>1</v>
      </c>
      <c r="AF184" s="14" t="n">
        <f aca="false">1-Operations!AF182-Operations!AF183</f>
        <v>1</v>
      </c>
      <c r="AG184" s="14" t="n">
        <f aca="false">1-Operations!AG182-Operations!AG183</f>
        <v>1</v>
      </c>
      <c r="AH184" s="14" t="n">
        <f aca="false">1-Operations!AH182-Operations!AH183</f>
        <v>1</v>
      </c>
      <c r="AI184" s="14" t="n">
        <f aca="false">1-Operations!AI182-Operations!AI183</f>
        <v>1</v>
      </c>
      <c r="AJ184" s="14" t="n">
        <f aca="false">1-Operations!AJ182-Operations!AJ183</f>
        <v>1</v>
      </c>
      <c r="AK184" s="14" t="n">
        <f aca="false">1-Operations!AK182-Operations!AK183</f>
        <v>1</v>
      </c>
      <c r="AL184" s="14" t="n">
        <f aca="false">1-Operations!AL182-Operations!AL183</f>
        <v>1</v>
      </c>
      <c r="AM184" s="14" t="n">
        <f aca="false">1-Operations!AM182-Operations!AM183</f>
        <v>1</v>
      </c>
      <c r="AN184" s="14" t="n">
        <f aca="false">1-Operations!AN182-Operations!AN183</f>
        <v>1</v>
      </c>
      <c r="AO184" s="14" t="n">
        <f aca="false">1-Operations!AO182-Operations!AO183</f>
        <v>1</v>
      </c>
      <c r="AP184" s="14" t="n">
        <f aca="false">1-Operations!AP182-Operations!AP183</f>
        <v>1</v>
      </c>
      <c r="AQ184" s="14" t="n">
        <f aca="false">1-Operations!AQ182-Operations!AQ183</f>
        <v>1</v>
      </c>
      <c r="AR184" s="14" t="n">
        <f aca="false">1-Operations!AR182-Operations!AR183</f>
        <v>1</v>
      </c>
      <c r="AS184" s="14" t="n">
        <f aca="false">1-Operations!AS182-Operations!AS183</f>
        <v>1</v>
      </c>
      <c r="AT184" s="14" t="n">
        <f aca="false">1-Operations!AT182-Operations!AT183</f>
        <v>1</v>
      </c>
      <c r="AU184" s="14" t="n">
        <f aca="false">1-Operations!AU182-Operations!AU183</f>
        <v>1</v>
      </c>
    </row>
    <row r="185" customFormat="false" ht="15" hidden="false" customHeight="false" outlineLevel="0" collapsed="false">
      <c r="D185" s="0" t="s">
        <v>581</v>
      </c>
      <c r="E185" s="0" t="s">
        <v>47</v>
      </c>
      <c r="J185" s="20" t="n">
        <f aca="false">Operations!J163*Operations!J149*(1-Operations!J177)</f>
        <v>12.0633863013699</v>
      </c>
      <c r="K185" s="20" t="n">
        <f aca="false">Operations!K163*Operations!K149*(1-Operations!K177)</f>
        <v>15.504</v>
      </c>
      <c r="L185" s="20" t="n">
        <f aca="false">Operations!L163*Operations!L149*(1-Operations!L177)</f>
        <v>15.504</v>
      </c>
      <c r="M185" s="20" t="n">
        <f aca="false">Operations!M163*Operations!M149*(1-Operations!M177)</f>
        <v>15.504</v>
      </c>
      <c r="N185" s="20" t="n">
        <f aca="false">Operations!N163*Operations!N149*(1-Operations!N177)</f>
        <v>15.504</v>
      </c>
      <c r="O185" s="20" t="n">
        <f aca="false">Operations!O163*Operations!O149*(1-Operations!O177)</f>
        <v>15.504</v>
      </c>
      <c r="P185" s="20" t="n">
        <f aca="false">Operations!P163*Operations!P149*(1-Operations!P177)</f>
        <v>15.504</v>
      </c>
      <c r="Q185" s="20" t="n">
        <f aca="false">Operations!Q163*Operations!Q149*(1-Operations!Q177)</f>
        <v>15.504</v>
      </c>
      <c r="R185" s="20" t="n">
        <f aca="false">Operations!R163*Operations!R149*(1-Operations!R177)</f>
        <v>0</v>
      </c>
      <c r="S185" s="20" t="n">
        <f aca="false">Operations!S163*Operations!S149*(1-Operations!S177)</f>
        <v>0</v>
      </c>
      <c r="T185" s="20" t="n">
        <f aca="false">Operations!T163*Operations!T149*(1-Operations!T177)</f>
        <v>0</v>
      </c>
      <c r="U185" s="20" t="n">
        <f aca="false">Operations!U163*Operations!U149*(1-Operations!U177)</f>
        <v>0</v>
      </c>
      <c r="V185" s="20" t="n">
        <f aca="false">Operations!V163*Operations!V149*(1-Operations!V177)</f>
        <v>0</v>
      </c>
      <c r="W185" s="20" t="n">
        <f aca="false">Operations!W163*Operations!W149*(1-Operations!W177)</f>
        <v>0</v>
      </c>
      <c r="X185" s="20" t="n">
        <f aca="false">Operations!X163*Operations!X149*(1-Operations!X177)</f>
        <v>0</v>
      </c>
      <c r="Y185" s="20" t="n">
        <f aca="false">Operations!Y163*Operations!Y149*(1-Operations!Y177)</f>
        <v>0</v>
      </c>
      <c r="Z185" s="20" t="n">
        <f aca="false">Operations!Z163*Operations!Z149*(1-Operations!Z177)</f>
        <v>0</v>
      </c>
      <c r="AA185" s="20" t="n">
        <f aca="false">Operations!AA163*Operations!AA149*(1-Operations!AA177)</f>
        <v>0</v>
      </c>
      <c r="AB185" s="20" t="n">
        <f aca="false">Operations!AB163*Operations!AB149*(1-Operations!AB177)</f>
        <v>0</v>
      </c>
      <c r="AC185" s="20" t="n">
        <f aca="false">Operations!AC163*Operations!AC149*(1-Operations!AC177)</f>
        <v>0</v>
      </c>
      <c r="AD185" s="20" t="n">
        <f aca="false">Operations!AD163*Operations!AD149*(1-Operations!AD177)</f>
        <v>0</v>
      </c>
      <c r="AE185" s="20" t="n">
        <f aca="false">Operations!AE163*Operations!AE149*(1-Operations!AE177)</f>
        <v>0</v>
      </c>
      <c r="AF185" s="20" t="n">
        <f aca="false">Operations!AF163*Operations!AF149*(1-Operations!AF177)</f>
        <v>0</v>
      </c>
      <c r="AG185" s="20" t="n">
        <f aca="false">Operations!AG163*Operations!AG149*(1-Operations!AG177)</f>
        <v>0</v>
      </c>
      <c r="AH185" s="20" t="n">
        <f aca="false">Operations!AH163*Operations!AH149*(1-Operations!AH177)</f>
        <v>0</v>
      </c>
      <c r="AI185" s="20" t="n">
        <f aca="false">Operations!AI163*Operations!AI149*(1-Operations!AI177)</f>
        <v>0</v>
      </c>
      <c r="AJ185" s="20" t="n">
        <f aca="false">Operations!AJ163*Operations!AJ149*(1-Operations!AJ177)</f>
        <v>0</v>
      </c>
      <c r="AK185" s="20" t="n">
        <f aca="false">Operations!AK163*Operations!AK149*(1-Operations!AK177)</f>
        <v>0</v>
      </c>
      <c r="AL185" s="20" t="n">
        <f aca="false">Operations!AL163*Operations!AL149*(1-Operations!AL177)</f>
        <v>0</v>
      </c>
      <c r="AM185" s="20" t="n">
        <f aca="false">Operations!AM163*Operations!AM149*(1-Operations!AM177)</f>
        <v>0</v>
      </c>
      <c r="AN185" s="20" t="n">
        <f aca="false">Operations!AN163*Operations!AN149*(1-Operations!AN177)</f>
        <v>0</v>
      </c>
      <c r="AO185" s="20" t="n">
        <f aca="false">Operations!AO163*Operations!AO149*(1-Operations!AO177)</f>
        <v>0</v>
      </c>
      <c r="AP185" s="20" t="n">
        <f aca="false">Operations!AP163*Operations!AP149*(1-Operations!AP177)</f>
        <v>0</v>
      </c>
      <c r="AQ185" s="20" t="n">
        <f aca="false">Operations!AQ163*Operations!AQ149*(1-Operations!AQ177)</f>
        <v>0</v>
      </c>
      <c r="AR185" s="20" t="n">
        <f aca="false">Operations!AR163*Operations!AR149*(1-Operations!AR177)</f>
        <v>0</v>
      </c>
      <c r="AS185" s="20" t="n">
        <f aca="false">Operations!AS163*Operations!AS149*(1-Operations!AS177)</f>
        <v>0</v>
      </c>
      <c r="AT185" s="20" t="n">
        <f aca="false">Operations!AT163*Operations!AT149*(1-Operations!AT177)</f>
        <v>0</v>
      </c>
      <c r="AU185" s="20" t="n">
        <f aca="false">Operations!AU163*Operations!AU149*(1-Operations!AU177)</f>
        <v>0</v>
      </c>
    </row>
    <row r="186" customFormat="false" ht="15" hidden="false" customHeight="false" outlineLevel="0" collapsed="false">
      <c r="D186" s="0" t="s">
        <v>582</v>
      </c>
      <c r="E186" s="0" t="s">
        <v>47</v>
      </c>
      <c r="J186" s="20" t="n">
        <f aca="false">Operations!J164*Operations!J149*(1-Operations!J177)</f>
        <v>0</v>
      </c>
      <c r="K186" s="20" t="n">
        <f aca="false">Operations!K164*Operations!K149*(1-Operations!K177)</f>
        <v>0</v>
      </c>
      <c r="L186" s="20" t="n">
        <f aca="false">Operations!L164*Operations!L149*(1-Operations!L177)</f>
        <v>0</v>
      </c>
      <c r="M186" s="20" t="n">
        <f aca="false">Operations!M164*Operations!M149*(1-Operations!M177)</f>
        <v>0</v>
      </c>
      <c r="N186" s="20" t="n">
        <f aca="false">Operations!N164*Operations!N149*(1-Operations!N177)</f>
        <v>0</v>
      </c>
      <c r="O186" s="20" t="n">
        <f aca="false">Operations!O164*Operations!O149*(1-Operations!O177)</f>
        <v>0</v>
      </c>
      <c r="P186" s="20" t="n">
        <f aca="false">Operations!P164*Operations!P149*(1-Operations!P177)</f>
        <v>0</v>
      </c>
      <c r="Q186" s="20" t="n">
        <f aca="false">Operations!Q164*Operations!Q149*(1-Operations!Q177)</f>
        <v>0</v>
      </c>
      <c r="R186" s="20" t="n">
        <f aca="false">Operations!R164*Operations!R149*(1-Operations!R177)</f>
        <v>0</v>
      </c>
      <c r="S186" s="20" t="n">
        <f aca="false">Operations!S164*Operations!S149*(1-Operations!S177)</f>
        <v>0</v>
      </c>
      <c r="T186" s="20" t="n">
        <f aca="false">Operations!T164*Operations!T149*(1-Operations!T177)</f>
        <v>0</v>
      </c>
      <c r="U186" s="20" t="n">
        <f aca="false">Operations!U164*Operations!U149*(1-Operations!U177)</f>
        <v>0</v>
      </c>
      <c r="V186" s="20" t="n">
        <f aca="false">Operations!V164*Operations!V149*(1-Operations!V177)</f>
        <v>0</v>
      </c>
      <c r="W186" s="20" t="n">
        <f aca="false">Operations!W164*Operations!W149*(1-Operations!W177)</f>
        <v>0</v>
      </c>
      <c r="X186" s="20" t="n">
        <f aca="false">Operations!X164*Operations!X149*(1-Operations!X177)</f>
        <v>0</v>
      </c>
      <c r="Y186" s="20" t="n">
        <f aca="false">Operations!Y164*Operations!Y149*(1-Operations!Y177)</f>
        <v>0</v>
      </c>
      <c r="Z186" s="20" t="n">
        <f aca="false">Operations!Z164*Operations!Z149*(1-Operations!Z177)</f>
        <v>0</v>
      </c>
      <c r="AA186" s="20" t="n">
        <f aca="false">Operations!AA164*Operations!AA149*(1-Operations!AA177)</f>
        <v>0</v>
      </c>
      <c r="AB186" s="20" t="n">
        <f aca="false">Operations!AB164*Operations!AB149*(1-Operations!AB177)</f>
        <v>0</v>
      </c>
      <c r="AC186" s="20" t="n">
        <f aca="false">Operations!AC164*Operations!AC149*(1-Operations!AC177)</f>
        <v>0</v>
      </c>
      <c r="AD186" s="20" t="n">
        <f aca="false">Operations!AD164*Operations!AD149*(1-Operations!AD177)</f>
        <v>0</v>
      </c>
      <c r="AE186" s="20" t="n">
        <f aca="false">Operations!AE164*Operations!AE149*(1-Operations!AE177)</f>
        <v>0</v>
      </c>
      <c r="AF186" s="20" t="n">
        <f aca="false">Operations!AF164*Operations!AF149*(1-Operations!AF177)</f>
        <v>0</v>
      </c>
      <c r="AG186" s="20" t="n">
        <f aca="false">Operations!AG164*Operations!AG149*(1-Operations!AG177)</f>
        <v>0</v>
      </c>
      <c r="AH186" s="20" t="n">
        <f aca="false">Operations!AH164*Operations!AH149*(1-Operations!AH177)</f>
        <v>0</v>
      </c>
      <c r="AI186" s="20" t="n">
        <f aca="false">Operations!AI164*Operations!AI149*(1-Operations!AI177)</f>
        <v>0</v>
      </c>
      <c r="AJ186" s="20" t="n">
        <f aca="false">Operations!AJ164*Operations!AJ149*(1-Operations!AJ177)</f>
        <v>0</v>
      </c>
      <c r="AK186" s="20" t="n">
        <f aca="false">Operations!AK164*Operations!AK149*(1-Operations!AK177)</f>
        <v>0</v>
      </c>
      <c r="AL186" s="20" t="n">
        <f aca="false">Operations!AL164*Operations!AL149*(1-Operations!AL177)</f>
        <v>0</v>
      </c>
      <c r="AM186" s="20" t="n">
        <f aca="false">Operations!AM164*Operations!AM149*(1-Operations!AM177)</f>
        <v>0</v>
      </c>
      <c r="AN186" s="20" t="n">
        <f aca="false">Operations!AN164*Operations!AN149*(1-Operations!AN177)</f>
        <v>0</v>
      </c>
      <c r="AO186" s="20" t="n">
        <f aca="false">Operations!AO164*Operations!AO149*(1-Operations!AO177)</f>
        <v>0</v>
      </c>
      <c r="AP186" s="20" t="n">
        <f aca="false">Operations!AP164*Operations!AP149*(1-Operations!AP177)</f>
        <v>0</v>
      </c>
      <c r="AQ186" s="20" t="n">
        <f aca="false">Operations!AQ164*Operations!AQ149*(1-Operations!AQ177)</f>
        <v>0</v>
      </c>
      <c r="AR186" s="20" t="n">
        <f aca="false">Operations!AR164*Operations!AR149*(1-Operations!AR177)</f>
        <v>0</v>
      </c>
      <c r="AS186" s="20" t="n">
        <f aca="false">Operations!AS164*Operations!AS149*(1-Operations!AS177)</f>
        <v>0</v>
      </c>
      <c r="AT186" s="20" t="n">
        <f aca="false">Operations!AT164*Operations!AT149*(1-Operations!AT177)</f>
        <v>0</v>
      </c>
      <c r="AU186" s="20" t="n">
        <f aca="false">Operations!AU164*Operations!AU149*(1-Operations!AU177)</f>
        <v>0</v>
      </c>
    </row>
    <row r="187" customFormat="false" ht="15" hidden="false" customHeight="false" outlineLevel="0" collapsed="false">
      <c r="D187" s="0" t="s">
        <v>583</v>
      </c>
      <c r="E187" s="0" t="s">
        <v>47</v>
      </c>
      <c r="J187" s="20" t="n">
        <f aca="false">Operations!J167*Operations!J149*(1-Operations!J177)</f>
        <v>-1.3852502454456</v>
      </c>
      <c r="K187" s="20" t="n">
        <f aca="false">Operations!K167*Operations!K149*(1-Operations!K177)</f>
        <v>-1.44839981811217</v>
      </c>
      <c r="L187" s="20" t="n">
        <f aca="false">Operations!L167*Operations!L149*(1-Operations!L177)</f>
        <v>-0.706413552053996</v>
      </c>
      <c r="M187" s="20" t="n">
        <f aca="false">Operations!M167*Operations!M149*(1-Operations!M177)</f>
        <v>-0.926218049283555</v>
      </c>
      <c r="N187" s="20" t="n">
        <f aca="false">Operations!N167*Operations!N149*(1-Operations!N177)</f>
        <v>-1.0358468931671</v>
      </c>
      <c r="O187" s="20" t="n">
        <f aca="false">Operations!O167*Operations!O149*(1-Operations!O177)</f>
        <v>-1.09635800293072</v>
      </c>
      <c r="P187" s="20" t="n">
        <f aca="false">Operations!P167*Operations!P149*(1-Operations!P177)</f>
        <v>-1.1358037122201</v>
      </c>
      <c r="Q187" s="20" t="n">
        <f aca="false">Operations!Q167*Operations!Q149*(1-Operations!Q177)</f>
        <v>-1.16354415645012</v>
      </c>
      <c r="R187" s="20" t="n">
        <f aca="false">Operations!R167*Operations!R149*(1-Operations!R177)</f>
        <v>14.8473736572506</v>
      </c>
      <c r="S187" s="20" t="n">
        <f aca="false">Operations!S167*Operations!S149*(1-Operations!S177)</f>
        <v>14.9777660130768</v>
      </c>
      <c r="T187" s="20" t="n">
        <f aca="false">Operations!T167*Operations!T149*(1-Operations!T177)</f>
        <v>15.1077850343241</v>
      </c>
      <c r="U187" s="20" t="n">
        <f aca="false">Operations!U167*Operations!U149*(1-Operations!U177)</f>
        <v>15.237275870695</v>
      </c>
      <c r="V187" s="20" t="n">
        <f aca="false">Operations!V167*Operations!V149*(1-Operations!V177)</f>
        <v>15.3660849152442</v>
      </c>
      <c r="W187" s="20" t="n">
        <f aca="false">Operations!W167*Operations!W149*(1-Operations!W177)</f>
        <v>15.4940597981581</v>
      </c>
      <c r="X187" s="20" t="n">
        <f aca="false">Operations!X167*Operations!X149*(1-Operations!X177)</f>
        <v>15.6210493805592</v>
      </c>
      <c r="Y187" s="20" t="n">
        <f aca="false">Operations!Y167*Operations!Y149*(1-Operations!Y177)</f>
        <v>15.7495502867804</v>
      </c>
      <c r="Z187" s="20" t="n">
        <f aca="false">Operations!Z167*Operations!Z149*(1-Operations!Z177)</f>
        <v>15.8767054104117</v>
      </c>
      <c r="AA187" s="20" t="n">
        <f aca="false">Operations!AA167*Operations!AA149*(1-Operations!AA177)</f>
        <v>16.1608068911808</v>
      </c>
      <c r="AB187" s="20" t="n">
        <f aca="false">Operations!AB167*Operations!AB149*(1-Operations!AB177)</f>
        <v>16.4515239099937</v>
      </c>
      <c r="AC187" s="20" t="n">
        <f aca="false">Operations!AC167*Operations!AC149*(1-Operations!AC177)</f>
        <v>16.7462132974285</v>
      </c>
      <c r="AD187" s="20" t="n">
        <f aca="false">Operations!AD167*Operations!AD149*(1-Operations!AD177)</f>
        <v>17.0474423414651</v>
      </c>
      <c r="AE187" s="20" t="n">
        <f aca="false">Operations!AE167*Operations!AE149*(1-Operations!AE177)</f>
        <v>17.3525785856769</v>
      </c>
      <c r="AF187" s="20" t="n">
        <f aca="false">Operations!AF167*Operations!AF149*(1-Operations!AF177)</f>
        <v>17.6641792096457</v>
      </c>
      <c r="AG187" s="20" t="n">
        <f aca="false">Operations!AG167*Operations!AG149*(1-Operations!AG177)</f>
        <v>17.9822016290783</v>
      </c>
      <c r="AH187" s="20" t="n">
        <f aca="false">Operations!AH167*Operations!AH149*(1-Operations!AH177)</f>
        <v>18.3040293908214</v>
      </c>
      <c r="AI187" s="20" t="n">
        <f aca="false">Operations!AI167*Operations!AI149*(1-Operations!AI177)</f>
        <v>18.6322046015026</v>
      </c>
      <c r="AJ187" s="20" t="n">
        <f aca="false">Operations!AJ167*Operations!AJ149*(1-Operations!AJ177)</f>
        <v>18.9666851706373</v>
      </c>
      <c r="AK187" s="20" t="n">
        <f aca="false">Operations!AK167*Operations!AK149*(1-Operations!AK177)</f>
        <v>17.6676201277655</v>
      </c>
      <c r="AL187" s="20" t="n">
        <f aca="false">Operations!AL167*Operations!AL149*(1-Operations!AL177)</f>
        <v>0</v>
      </c>
      <c r="AM187" s="20" t="n">
        <f aca="false">Operations!AM167*Operations!AM149*(1-Operations!AM177)</f>
        <v>0</v>
      </c>
      <c r="AN187" s="20" t="n">
        <f aca="false">Operations!AN167*Operations!AN149*(1-Operations!AN177)</f>
        <v>0</v>
      </c>
      <c r="AO187" s="20" t="n">
        <f aca="false">Operations!AO167*Operations!AO149*(1-Operations!AO177)</f>
        <v>0</v>
      </c>
      <c r="AP187" s="20" t="n">
        <f aca="false">Operations!AP167*Operations!AP149*(1-Operations!AP177)</f>
        <v>0</v>
      </c>
      <c r="AQ187" s="20" t="n">
        <f aca="false">Operations!AQ167*Operations!AQ149*(1-Operations!AQ177)</f>
        <v>0</v>
      </c>
      <c r="AR187" s="20" t="n">
        <f aca="false">Operations!AR167*Operations!AR149*(1-Operations!AR177)</f>
        <v>0</v>
      </c>
      <c r="AS187" s="20" t="n">
        <f aca="false">Operations!AS167*Operations!AS149*(1-Operations!AS177)</f>
        <v>0</v>
      </c>
      <c r="AT187" s="20" t="n">
        <f aca="false">Operations!AT167*Operations!AT149*(1-Operations!AT177)</f>
        <v>0</v>
      </c>
      <c r="AU187" s="20" t="n">
        <f aca="false">Operations!AU167*Operations!AU149*(1-Operations!AU177)</f>
        <v>0</v>
      </c>
    </row>
    <row r="188" customFormat="false" ht="15" hidden="false" customHeight="false" outlineLevel="0" collapsed="false">
      <c r="D188" s="0" t="s">
        <v>584</v>
      </c>
      <c r="E188" s="0" t="s">
        <v>47</v>
      </c>
      <c r="J188" s="20" t="n">
        <f aca="false">Operations!J166*Operations!J149*(1-Operations!J177)</f>
        <v>10.6781360559243</v>
      </c>
      <c r="K188" s="20" t="n">
        <f aca="false">Operations!K166*Operations!K149*(1-Operations!K177)</f>
        <v>14.0556001818878</v>
      </c>
      <c r="L188" s="20" t="n">
        <f aca="false">Operations!L166*Operations!L149*(1-Operations!L177)</f>
        <v>14.797586447946</v>
      </c>
      <c r="M188" s="20" t="n">
        <f aca="false">Operations!M166*Operations!M149*(1-Operations!M177)</f>
        <v>14.5777819507164</v>
      </c>
      <c r="N188" s="20" t="n">
        <f aca="false">Operations!N166*Operations!N149*(1-Operations!N177)</f>
        <v>14.4681531068329</v>
      </c>
      <c r="O188" s="20" t="n">
        <f aca="false">Operations!O166*Operations!O149*(1-Operations!O177)</f>
        <v>14.4076419970693</v>
      </c>
      <c r="P188" s="20" t="n">
        <f aca="false">Operations!P166*Operations!P149*(1-Operations!P177)</f>
        <v>14.3681962877799</v>
      </c>
      <c r="Q188" s="20" t="n">
        <f aca="false">Operations!Q166*Operations!Q149*(1-Operations!Q177)</f>
        <v>14.3404558435499</v>
      </c>
      <c r="R188" s="20" t="n">
        <f aca="false">Operations!R166*Operations!R149*(1-Operations!R177)</f>
        <v>14.8473736572506</v>
      </c>
      <c r="S188" s="20" t="n">
        <f aca="false">Operations!S166*Operations!S149*(1-Operations!S177)</f>
        <v>14.9777660130768</v>
      </c>
      <c r="T188" s="20" t="n">
        <f aca="false">Operations!T166*Operations!T149*(1-Operations!T177)</f>
        <v>15.1077850343241</v>
      </c>
      <c r="U188" s="20" t="n">
        <f aca="false">Operations!U166*Operations!U149*(1-Operations!U177)</f>
        <v>15.237275870695</v>
      </c>
      <c r="V188" s="20" t="n">
        <f aca="false">Operations!V166*Operations!V149*(1-Operations!V177)</f>
        <v>15.3660849152442</v>
      </c>
      <c r="W188" s="20" t="n">
        <f aca="false">Operations!W166*Operations!W149*(1-Operations!W177)</f>
        <v>15.4940597981581</v>
      </c>
      <c r="X188" s="20" t="n">
        <f aca="false">Operations!X166*Operations!X149*(1-Operations!X177)</f>
        <v>15.6210493805592</v>
      </c>
      <c r="Y188" s="20" t="n">
        <f aca="false">Operations!Y166*Operations!Y149*(1-Operations!Y177)</f>
        <v>15.7495502867804</v>
      </c>
      <c r="Z188" s="20" t="n">
        <f aca="false">Operations!Z166*Operations!Z149*(1-Operations!Z177)</f>
        <v>15.8767054104117</v>
      </c>
      <c r="AA188" s="20" t="n">
        <f aca="false">Operations!AA166*Operations!AA149*(1-Operations!AA177)</f>
        <v>16.1608068911808</v>
      </c>
      <c r="AB188" s="20" t="n">
        <f aca="false">Operations!AB166*Operations!AB149*(1-Operations!AB177)</f>
        <v>16.4515239099937</v>
      </c>
      <c r="AC188" s="20" t="n">
        <f aca="false">Operations!AC166*Operations!AC149*(1-Operations!AC177)</f>
        <v>16.7462132974285</v>
      </c>
      <c r="AD188" s="20" t="n">
        <f aca="false">Operations!AD166*Operations!AD149*(1-Operations!AD177)</f>
        <v>17.0474423414651</v>
      </c>
      <c r="AE188" s="20" t="n">
        <f aca="false">Operations!AE166*Operations!AE149*(1-Operations!AE177)</f>
        <v>17.3525785856769</v>
      </c>
      <c r="AF188" s="20" t="n">
        <f aca="false">Operations!AF166*Operations!AF149*(1-Operations!AF177)</f>
        <v>17.6641792096457</v>
      </c>
      <c r="AG188" s="20" t="n">
        <f aca="false">Operations!AG166*Operations!AG149*(1-Operations!AG177)</f>
        <v>17.9822016290783</v>
      </c>
      <c r="AH188" s="20" t="n">
        <f aca="false">Operations!AH166*Operations!AH149*(1-Operations!AH177)</f>
        <v>18.3040293908214</v>
      </c>
      <c r="AI188" s="20" t="n">
        <f aca="false">Operations!AI166*Operations!AI149*(1-Operations!AI177)</f>
        <v>18.6322046015026</v>
      </c>
      <c r="AJ188" s="20" t="n">
        <f aca="false">Operations!AJ166*Operations!AJ149*(1-Operations!AJ177)</f>
        <v>18.9666851706373</v>
      </c>
      <c r="AK188" s="20" t="n">
        <f aca="false">Operations!AK166*Operations!AK149*(1-Operations!AK177)</f>
        <v>17.6676201277655</v>
      </c>
      <c r="AL188" s="20" t="n">
        <f aca="false">Operations!AL166*Operations!AL149*(1-Operations!AL177)</f>
        <v>0</v>
      </c>
      <c r="AM188" s="20" t="n">
        <f aca="false">Operations!AM166*Operations!AM149*(1-Operations!AM177)</f>
        <v>0</v>
      </c>
      <c r="AN188" s="20" t="n">
        <f aca="false">Operations!AN166*Operations!AN149*(1-Operations!AN177)</f>
        <v>0</v>
      </c>
      <c r="AO188" s="20" t="n">
        <f aca="false">Operations!AO166*Operations!AO149*(1-Operations!AO177)</f>
        <v>0</v>
      </c>
      <c r="AP188" s="20" t="n">
        <f aca="false">Operations!AP166*Operations!AP149*(1-Operations!AP177)</f>
        <v>0</v>
      </c>
      <c r="AQ188" s="20" t="n">
        <f aca="false">Operations!AQ166*Operations!AQ149*(1-Operations!AQ177)</f>
        <v>0</v>
      </c>
      <c r="AR188" s="20" t="n">
        <f aca="false">Operations!AR166*Operations!AR149*(1-Operations!AR177)</f>
        <v>0</v>
      </c>
      <c r="AS188" s="20" t="n">
        <f aca="false">Operations!AS166*Operations!AS149*(1-Operations!AS177)</f>
        <v>0</v>
      </c>
      <c r="AT188" s="20" t="n">
        <f aca="false">Operations!AT166*Operations!AT149*(1-Operations!AT177)</f>
        <v>0</v>
      </c>
      <c r="AU188" s="20" t="n">
        <f aca="false">Operations!AU166*Operations!AU149*(1-Operations!AU177)</f>
        <v>0</v>
      </c>
    </row>
    <row r="189" customFormat="false" ht="15" hidden="false" customHeight="false" outlineLevel="0" collapsed="false">
      <c r="D189" s="0" t="s">
        <v>585</v>
      </c>
      <c r="E189" s="0" t="s">
        <v>47</v>
      </c>
      <c r="J189" s="20" t="n">
        <f aca="false">Operations!J154*MAX(0,MIN(DATE(YEAR(Inputs!$F$111)+Inputs!$F$236,MONTH(Inputs!$F$111),DAY(Inputs!$F$111)),Time!J$6)-MAX(Inputs!$F$111,Time!J$5))/Time!J$7*Inputs!J81/1000</f>
        <v>15.2620416</v>
      </c>
      <c r="K189" s="20" t="n">
        <f aca="false">Operations!K154*MAX(0,MIN(DATE(YEAR(Inputs!$F$111)+Inputs!$F$236,MONTH(Inputs!$F$111),DAY(Inputs!$F$111)),Time!K$6)-MAX(Inputs!$F$111,Time!K$5))/Time!K$7*Inputs!K81/1000</f>
        <v>16.008295248</v>
      </c>
      <c r="L189" s="20" t="n">
        <f aca="false">Operations!L154*MAX(0,MIN(DATE(YEAR(Inputs!$F$111)+Inputs!$F$236,MONTH(Inputs!$F$111),DAY(Inputs!$F$111)),Time!L$6)-MAX(Inputs!$F$111,Time!L$5))/Time!L$7*Inputs!L81/1000</f>
        <v>17.317657004544</v>
      </c>
      <c r="M189" s="20" t="n">
        <f aca="false">Operations!M154*MAX(0,MIN(DATE(YEAR(Inputs!$F$111)+Inputs!$F$236,MONTH(Inputs!$F$111),DAY(Inputs!$F$111)),Time!M$6)-MAX(Inputs!$F$111,Time!M$5))/Time!M$7*Inputs!M81/1000</f>
        <v>17.1722330899546</v>
      </c>
      <c r="N189" s="20" t="n">
        <f aca="false">Operations!N154*MAX(0,MIN(DATE(YEAR(Inputs!$F$111)+Inputs!$F$236,MONTH(Inputs!$F$111),DAY(Inputs!$F$111)),Time!N$6)-MAX(Inputs!$F$111,Time!N$5))/Time!N$7*Inputs!N81/1000</f>
        <v>17.1378886237747</v>
      </c>
      <c r="O189" s="20" t="n">
        <f aca="false">Operations!O154*MAX(0,MIN(DATE(YEAR(Inputs!$F$111)+Inputs!$F$236,MONTH(Inputs!$F$111),DAY(Inputs!$F$111)),Time!O$6)-MAX(Inputs!$F$111,Time!O$5))/Time!O$7*Inputs!O81/1000</f>
        <v>17.1036128465271</v>
      </c>
      <c r="P189" s="20" t="n">
        <f aca="false">Operations!P154*MAX(0,MIN(DATE(YEAR(Inputs!$F$111)+Inputs!$F$236,MONTH(Inputs!$F$111),DAY(Inputs!$F$111)),Time!P$6)-MAX(Inputs!$F$111,Time!P$5))/Time!P$7*Inputs!P81/1000</f>
        <v>17.069405620834</v>
      </c>
      <c r="Q189" s="20" t="n">
        <f aca="false">Operations!Q154*MAX(0,MIN(DATE(YEAR(Inputs!$F$111)+Inputs!$F$236,MONTH(Inputs!$F$111),DAY(Inputs!$F$111)),Time!Q$6)-MAX(Inputs!$F$111,Time!Q$5))/Time!Q$7*Inputs!Q81/1000</f>
        <v>15.1217162912546</v>
      </c>
      <c r="R189" s="20" t="n">
        <f aca="false">Operations!R154*MAX(0,MIN(DATE(YEAR(Inputs!$F$111)+Inputs!$F$236,MONTH(Inputs!$F$111),DAY(Inputs!$F$111)),Time!R$6)-MAX(Inputs!$F$111,Time!R$5))/Time!R$7*Inputs!R81/1000</f>
        <v>0</v>
      </c>
      <c r="S189" s="20" t="n">
        <f aca="false">Operations!S154*MAX(0,MIN(DATE(YEAR(Inputs!$F$111)+Inputs!$F$236,MONTH(Inputs!$F$111),DAY(Inputs!$F$111)),Time!S$6)-MAX(Inputs!$F$111,Time!S$5))/Time!S$7*Inputs!S81/1000</f>
        <v>0</v>
      </c>
      <c r="T189" s="20" t="n">
        <f aca="false">Operations!T154*MAX(0,MIN(DATE(YEAR(Inputs!$F$111)+Inputs!$F$236,MONTH(Inputs!$F$111),DAY(Inputs!$F$111)),Time!T$6)-MAX(Inputs!$F$111,Time!T$5))/Time!T$7*Inputs!T81/1000</f>
        <v>0</v>
      </c>
      <c r="U189" s="20" t="n">
        <f aca="false">Operations!U154*MAX(0,MIN(DATE(YEAR(Inputs!$F$111)+Inputs!$F$236,MONTH(Inputs!$F$111),DAY(Inputs!$F$111)),Time!U$6)-MAX(Inputs!$F$111,Time!U$5))/Time!U$7*Inputs!U81/1000</f>
        <v>0</v>
      </c>
      <c r="V189" s="20" t="n">
        <f aca="false">Operations!V154*MAX(0,MIN(DATE(YEAR(Inputs!$F$111)+Inputs!$F$236,MONTH(Inputs!$F$111),DAY(Inputs!$F$111)),Time!V$6)-MAX(Inputs!$F$111,Time!V$5))/Time!V$7*Inputs!V81/1000</f>
        <v>0</v>
      </c>
      <c r="W189" s="20" t="n">
        <f aca="false">Operations!W154*MAX(0,MIN(DATE(YEAR(Inputs!$F$111)+Inputs!$F$236,MONTH(Inputs!$F$111),DAY(Inputs!$F$111)),Time!W$6)-MAX(Inputs!$F$111,Time!W$5))/Time!W$7*Inputs!W81/1000</f>
        <v>0</v>
      </c>
      <c r="X189" s="20" t="n">
        <f aca="false">Operations!X154*MAX(0,MIN(DATE(YEAR(Inputs!$F$111)+Inputs!$F$236,MONTH(Inputs!$F$111),DAY(Inputs!$F$111)),Time!X$6)-MAX(Inputs!$F$111,Time!X$5))/Time!X$7*Inputs!X81/1000</f>
        <v>0</v>
      </c>
      <c r="Y189" s="20" t="n">
        <f aca="false">Operations!Y154*MAX(0,MIN(DATE(YEAR(Inputs!$F$111)+Inputs!$F$236,MONTH(Inputs!$F$111),DAY(Inputs!$F$111)),Time!Y$6)-MAX(Inputs!$F$111,Time!Y$5))/Time!Y$7*Inputs!Y81/1000</f>
        <v>0</v>
      </c>
      <c r="Z189" s="20" t="n">
        <f aca="false">Operations!Z154*MAX(0,MIN(DATE(YEAR(Inputs!$F$111)+Inputs!$F$236,MONTH(Inputs!$F$111),DAY(Inputs!$F$111)),Time!Z$6)-MAX(Inputs!$F$111,Time!Z$5))/Time!Z$7*Inputs!Z81/1000</f>
        <v>0</v>
      </c>
      <c r="AA189" s="20" t="n">
        <f aca="false">Operations!AA154*MAX(0,MIN(DATE(YEAR(Inputs!$F$111)+Inputs!$F$236,MONTH(Inputs!$F$111),DAY(Inputs!$F$111)),Time!AA$6)-MAX(Inputs!$F$111,Time!AA$5))/Time!AA$7*Inputs!AA81/1000</f>
        <v>0</v>
      </c>
      <c r="AB189" s="20" t="n">
        <f aca="false">Operations!AB154*MAX(0,MIN(DATE(YEAR(Inputs!$F$111)+Inputs!$F$236,MONTH(Inputs!$F$111),DAY(Inputs!$F$111)),Time!AB$6)-MAX(Inputs!$F$111,Time!AB$5))/Time!AB$7*Inputs!AB81/1000</f>
        <v>0</v>
      </c>
      <c r="AC189" s="20" t="n">
        <f aca="false">Operations!AC154*MAX(0,MIN(DATE(YEAR(Inputs!$F$111)+Inputs!$F$236,MONTH(Inputs!$F$111),DAY(Inputs!$F$111)),Time!AC$6)-MAX(Inputs!$F$111,Time!AC$5))/Time!AC$7*Inputs!AC81/1000</f>
        <v>0</v>
      </c>
      <c r="AD189" s="20" t="n">
        <f aca="false">Operations!AD154*MAX(0,MIN(DATE(YEAR(Inputs!$F$111)+Inputs!$F$236,MONTH(Inputs!$F$111),DAY(Inputs!$F$111)),Time!AD$6)-MAX(Inputs!$F$111,Time!AD$5))/Time!AD$7*Inputs!AD81/1000</f>
        <v>0</v>
      </c>
      <c r="AE189" s="20" t="n">
        <f aca="false">Operations!AE154*MAX(0,MIN(DATE(YEAR(Inputs!$F$111)+Inputs!$F$236,MONTH(Inputs!$F$111),DAY(Inputs!$F$111)),Time!AE$6)-MAX(Inputs!$F$111,Time!AE$5))/Time!AE$7*Inputs!AE81/1000</f>
        <v>0</v>
      </c>
      <c r="AF189" s="20" t="n">
        <f aca="false">Operations!AF154*MAX(0,MIN(DATE(YEAR(Inputs!$F$111)+Inputs!$F$236,MONTH(Inputs!$F$111),DAY(Inputs!$F$111)),Time!AF$6)-MAX(Inputs!$F$111,Time!AF$5))/Time!AF$7*Inputs!AF81/1000</f>
        <v>0</v>
      </c>
      <c r="AG189" s="20" t="n">
        <f aca="false">Operations!AG154*MAX(0,MIN(DATE(YEAR(Inputs!$F$111)+Inputs!$F$236,MONTH(Inputs!$F$111),DAY(Inputs!$F$111)),Time!AG$6)-MAX(Inputs!$F$111,Time!AG$5))/Time!AG$7*Inputs!AG81/1000</f>
        <v>0</v>
      </c>
      <c r="AH189" s="20" t="n">
        <f aca="false">Operations!AH154*MAX(0,MIN(DATE(YEAR(Inputs!$F$111)+Inputs!$F$236,MONTH(Inputs!$F$111),DAY(Inputs!$F$111)),Time!AH$6)-MAX(Inputs!$F$111,Time!AH$5))/Time!AH$7*Inputs!AH81/1000</f>
        <v>0</v>
      </c>
      <c r="AI189" s="20" t="n">
        <f aca="false">Operations!AI154*MAX(0,MIN(DATE(YEAR(Inputs!$F$111)+Inputs!$F$236,MONTH(Inputs!$F$111),DAY(Inputs!$F$111)),Time!AI$6)-MAX(Inputs!$F$111,Time!AI$5))/Time!AI$7*Inputs!AI81/1000</f>
        <v>0</v>
      </c>
      <c r="AJ189" s="20" t="n">
        <f aca="false">Operations!AJ154*MAX(0,MIN(DATE(YEAR(Inputs!$F$111)+Inputs!$F$236,MONTH(Inputs!$F$111),DAY(Inputs!$F$111)),Time!AJ$6)-MAX(Inputs!$F$111,Time!AJ$5))/Time!AJ$7*Inputs!AJ81/1000</f>
        <v>0</v>
      </c>
      <c r="AK189" s="20" t="n">
        <f aca="false">Operations!AK154*MAX(0,MIN(DATE(YEAR(Inputs!$F$111)+Inputs!$F$236,MONTH(Inputs!$F$111),DAY(Inputs!$F$111)),Time!AK$6)-MAX(Inputs!$F$111,Time!AK$5))/Time!AK$7*Inputs!AK81/1000</f>
        <v>0</v>
      </c>
      <c r="AL189" s="20" t="n">
        <f aca="false">Operations!AL154*MAX(0,MIN(DATE(YEAR(Inputs!$F$111)+Inputs!$F$236,MONTH(Inputs!$F$111),DAY(Inputs!$F$111)),Time!AL$6)-MAX(Inputs!$F$111,Time!AL$5))/Time!AL$7*Inputs!AL81/1000</f>
        <v>0</v>
      </c>
      <c r="AM189" s="20" t="n">
        <f aca="false">Operations!AM154*MAX(0,MIN(DATE(YEAR(Inputs!$F$111)+Inputs!$F$236,MONTH(Inputs!$F$111),DAY(Inputs!$F$111)),Time!AM$6)-MAX(Inputs!$F$111,Time!AM$5))/Time!AM$7*Inputs!AM81/1000</f>
        <v>0</v>
      </c>
      <c r="AN189" s="20" t="n">
        <f aca="false">Operations!AN154*MAX(0,MIN(DATE(YEAR(Inputs!$F$111)+Inputs!$F$236,MONTH(Inputs!$F$111),DAY(Inputs!$F$111)),Time!AN$6)-MAX(Inputs!$F$111,Time!AN$5))/Time!AN$7*Inputs!AN81/1000</f>
        <v>0</v>
      </c>
      <c r="AO189" s="20" t="n">
        <f aca="false">Operations!AO154*MAX(0,MIN(DATE(YEAR(Inputs!$F$111)+Inputs!$F$236,MONTH(Inputs!$F$111),DAY(Inputs!$F$111)),Time!AO$6)-MAX(Inputs!$F$111,Time!AO$5))/Time!AO$7*Inputs!AO81/1000</f>
        <v>0</v>
      </c>
      <c r="AP189" s="20" t="n">
        <f aca="false">Operations!AP154*MAX(0,MIN(DATE(YEAR(Inputs!$F$111)+Inputs!$F$236,MONTH(Inputs!$F$111),DAY(Inputs!$F$111)),Time!AP$6)-MAX(Inputs!$F$111,Time!AP$5))/Time!AP$7*Inputs!AP81/1000</f>
        <v>0</v>
      </c>
      <c r="AQ189" s="20" t="n">
        <f aca="false">Operations!AQ154*MAX(0,MIN(DATE(YEAR(Inputs!$F$111)+Inputs!$F$236,MONTH(Inputs!$F$111),DAY(Inputs!$F$111)),Time!AQ$6)-MAX(Inputs!$F$111,Time!AQ$5))/Time!AQ$7*Inputs!AQ81/1000</f>
        <v>0</v>
      </c>
      <c r="AR189" s="20" t="n">
        <f aca="false">Operations!AR154*MAX(0,MIN(DATE(YEAR(Inputs!$F$111)+Inputs!$F$236,MONTH(Inputs!$F$111),DAY(Inputs!$F$111)),Time!AR$6)-MAX(Inputs!$F$111,Time!AR$5))/Time!AR$7*Inputs!AR81/1000</f>
        <v>0</v>
      </c>
      <c r="AS189" s="20" t="n">
        <f aca="false">Operations!AS154*MAX(0,MIN(DATE(YEAR(Inputs!$F$111)+Inputs!$F$236,MONTH(Inputs!$F$111),DAY(Inputs!$F$111)),Time!AS$6)-MAX(Inputs!$F$111,Time!AS$5))/Time!AS$7*Inputs!AS81/1000</f>
        <v>0</v>
      </c>
      <c r="AT189" s="20" t="n">
        <f aca="false">Operations!AT154*MAX(0,MIN(DATE(YEAR(Inputs!$F$111)+Inputs!$F$236,MONTH(Inputs!$F$111),DAY(Inputs!$F$111)),Time!AT$6)-MAX(Inputs!$F$111,Time!AT$5))/Time!AT$7*Inputs!AT81/1000</f>
        <v>0</v>
      </c>
      <c r="AU189" s="20" t="n">
        <f aca="false">Operations!AU154*MAX(0,MIN(DATE(YEAR(Inputs!$F$111)+Inputs!$F$236,MONTH(Inputs!$F$111),DAY(Inputs!$F$111)),Time!AU$6)-MAX(Inputs!$F$111,Time!AU$5))/Time!AU$7*Inputs!AU81/1000</f>
        <v>0</v>
      </c>
    </row>
    <row r="190" customFormat="false" ht="15" hidden="false" customHeight="false" outlineLevel="0" collapsed="false">
      <c r="D190" s="19" t="s">
        <v>586</v>
      </c>
    </row>
    <row r="191" customFormat="false" ht="15" hidden="false" customHeight="false" outlineLevel="0" collapsed="false">
      <c r="D191" s="0" t="s">
        <v>587</v>
      </c>
      <c r="E191" s="0" t="s">
        <v>458</v>
      </c>
      <c r="J191" s="14" t="n">
        <f aca="false">MAX(0,MIN(Inputs!$F$123,Time!J$6)-MAX(Inputs!$F$122,Time!J$5))/Time!J$7</f>
        <v>1</v>
      </c>
      <c r="K191" s="14" t="n">
        <f aca="false">MAX(0,MIN(Inputs!$F$123,Time!K$6)-MAX(Inputs!$F$122,Time!K$5))/Time!K$7</f>
        <v>1</v>
      </c>
      <c r="L191" s="14" t="n">
        <f aca="false">MAX(0,MIN(Inputs!$F$123,Time!L$6)-MAX(Inputs!$F$122,Time!L$5))/Time!L$7</f>
        <v>1</v>
      </c>
      <c r="M191" s="14" t="n">
        <f aca="false">MAX(0,MIN(Inputs!$F$123,Time!M$6)-MAX(Inputs!$F$122,Time!M$5))/Time!M$7</f>
        <v>1</v>
      </c>
      <c r="N191" s="14" t="n">
        <f aca="false">MAX(0,MIN(Inputs!$F$123,Time!N$6)-MAX(Inputs!$F$122,Time!N$5))/Time!N$7</f>
        <v>1</v>
      </c>
      <c r="O191" s="14" t="n">
        <f aca="false">MAX(0,MIN(Inputs!$F$123,Time!O$6)-MAX(Inputs!$F$122,Time!O$5))/Time!O$7</f>
        <v>1</v>
      </c>
      <c r="P191" s="14" t="n">
        <f aca="false">MAX(0,MIN(Inputs!$F$123,Time!P$6)-MAX(Inputs!$F$122,Time!P$5))/Time!P$7</f>
        <v>1</v>
      </c>
      <c r="Q191" s="14" t="n">
        <f aca="false">MAX(0,MIN(Inputs!$F$123,Time!Q$6)-MAX(Inputs!$F$122,Time!Q$5))/Time!Q$7</f>
        <v>1</v>
      </c>
      <c r="R191" s="14" t="n">
        <f aca="false">MAX(0,MIN(Inputs!$F$123,Time!R$6)-MAX(Inputs!$F$122,Time!R$5))/Time!R$7</f>
        <v>1</v>
      </c>
      <c r="S191" s="14" t="n">
        <f aca="false">MAX(0,MIN(Inputs!$F$123,Time!S$6)-MAX(Inputs!$F$122,Time!S$5))/Time!S$7</f>
        <v>1</v>
      </c>
      <c r="T191" s="14" t="n">
        <f aca="false">MAX(0,MIN(Inputs!$F$123,Time!T$6)-MAX(Inputs!$F$122,Time!T$5))/Time!T$7</f>
        <v>1</v>
      </c>
      <c r="U191" s="14" t="n">
        <f aca="false">MAX(0,MIN(Inputs!$F$123,Time!U$6)-MAX(Inputs!$F$122,Time!U$5))/Time!U$7</f>
        <v>1</v>
      </c>
      <c r="V191" s="14" t="n">
        <f aca="false">MAX(0,MIN(Inputs!$F$123,Time!V$6)-MAX(Inputs!$F$122,Time!V$5))/Time!V$7</f>
        <v>1</v>
      </c>
      <c r="W191" s="14" t="n">
        <f aca="false">MAX(0,MIN(Inputs!$F$123,Time!W$6)-MAX(Inputs!$F$122,Time!W$5))/Time!W$7</f>
        <v>1</v>
      </c>
      <c r="X191" s="14" t="n">
        <f aca="false">MAX(0,MIN(Inputs!$F$123,Time!X$6)-MAX(Inputs!$F$122,Time!X$5))/Time!X$7</f>
        <v>1</v>
      </c>
      <c r="Y191" s="14" t="n">
        <f aca="false">MAX(0,MIN(Inputs!$F$123,Time!Y$6)-MAX(Inputs!$F$122,Time!Y$5))/Time!Y$7</f>
        <v>1</v>
      </c>
      <c r="Z191" s="14" t="n">
        <f aca="false">MAX(0,MIN(Inputs!$F$123,Time!Z$6)-MAX(Inputs!$F$122,Time!Z$5))/Time!Z$7</f>
        <v>1</v>
      </c>
      <c r="AA191" s="14" t="n">
        <f aca="false">MAX(0,MIN(Inputs!$F$123,Time!AA$6)-MAX(Inputs!$F$122,Time!AA$5))/Time!AA$7</f>
        <v>1</v>
      </c>
      <c r="AB191" s="14" t="n">
        <f aca="false">MAX(0,MIN(Inputs!$F$123,Time!AB$6)-MAX(Inputs!$F$122,Time!AB$5))/Time!AB$7</f>
        <v>1</v>
      </c>
      <c r="AC191" s="14" t="n">
        <f aca="false">MAX(0,MIN(Inputs!$F$123,Time!AC$6)-MAX(Inputs!$F$122,Time!AC$5))/Time!AC$7</f>
        <v>1</v>
      </c>
      <c r="AD191" s="14" t="n">
        <f aca="false">MAX(0,MIN(Inputs!$F$123,Time!AD$6)-MAX(Inputs!$F$122,Time!AD$5))/Time!AD$7</f>
        <v>1</v>
      </c>
      <c r="AE191" s="14" t="n">
        <f aca="false">MAX(0,MIN(Inputs!$F$123,Time!AE$6)-MAX(Inputs!$F$122,Time!AE$5))/Time!AE$7</f>
        <v>1</v>
      </c>
      <c r="AF191" s="14" t="n">
        <f aca="false">MAX(0,MIN(Inputs!$F$123,Time!AF$6)-MAX(Inputs!$F$122,Time!AF$5))/Time!AF$7</f>
        <v>1</v>
      </c>
      <c r="AG191" s="14" t="n">
        <f aca="false">MAX(0,MIN(Inputs!$F$123,Time!AG$6)-MAX(Inputs!$F$122,Time!AG$5))/Time!AG$7</f>
        <v>1</v>
      </c>
      <c r="AH191" s="14" t="n">
        <f aca="false">MAX(0,MIN(Inputs!$F$123,Time!AH$6)-MAX(Inputs!$F$122,Time!AH$5))/Time!AH$7</f>
        <v>1</v>
      </c>
      <c r="AI191" s="14" t="n">
        <f aca="false">MAX(0,MIN(Inputs!$F$123,Time!AI$6)-MAX(Inputs!$F$122,Time!AI$5))/Time!AI$7</f>
        <v>1</v>
      </c>
      <c r="AJ191" s="14" t="n">
        <f aca="false">MAX(0,MIN(Inputs!$F$123,Time!AJ$6)-MAX(Inputs!$F$122,Time!AJ$5))/Time!AJ$7</f>
        <v>1</v>
      </c>
      <c r="AK191" s="14" t="n">
        <f aca="false">MAX(0,MIN(Inputs!$F$123,Time!AK$6)-MAX(Inputs!$F$122,Time!AK$5))/Time!AK$7</f>
        <v>1</v>
      </c>
      <c r="AL191" s="14" t="n">
        <f aca="false">MAX(0,MIN(Inputs!$F$123,Time!AL$6)-MAX(Inputs!$F$122,Time!AL$5))/Time!AL$7</f>
        <v>1</v>
      </c>
      <c r="AM191" s="14" t="n">
        <f aca="false">MAX(0,MIN(Inputs!$F$123,Time!AM$6)-MAX(Inputs!$F$122,Time!AM$5))/Time!AM$7</f>
        <v>1</v>
      </c>
      <c r="AN191" s="14" t="n">
        <f aca="false">MAX(0,MIN(Inputs!$F$123,Time!AN$6)-MAX(Inputs!$F$122,Time!AN$5))/Time!AN$7</f>
        <v>1</v>
      </c>
      <c r="AO191" s="14" t="n">
        <f aca="false">MAX(0,MIN(Inputs!$F$123,Time!AO$6)-MAX(Inputs!$F$122,Time!AO$5))/Time!AO$7</f>
        <v>1</v>
      </c>
      <c r="AP191" s="14" t="n">
        <f aca="false">MAX(0,MIN(Inputs!$F$123,Time!AP$6)-MAX(Inputs!$F$122,Time!AP$5))/Time!AP$7</f>
        <v>1</v>
      </c>
      <c r="AQ191" s="14" t="n">
        <f aca="false">MAX(0,MIN(Inputs!$F$123,Time!AQ$6)-MAX(Inputs!$F$122,Time!AQ$5))/Time!AQ$7</f>
        <v>0.832876712328767</v>
      </c>
      <c r="AR191" s="14" t="n">
        <f aca="false">MAX(0,MIN(Inputs!$F$123,Time!AR$6)-MAX(Inputs!$F$122,Time!AR$5))/Time!AR$7</f>
        <v>0</v>
      </c>
      <c r="AS191" s="14" t="n">
        <f aca="false">MAX(0,MIN(Inputs!$F$123,Time!AS$6)-MAX(Inputs!$F$122,Time!AS$5))/Time!AS$7</f>
        <v>0</v>
      </c>
      <c r="AT191" s="14" t="n">
        <f aca="false">MAX(0,MIN(Inputs!$F$123,Time!AT$6)-MAX(Inputs!$F$122,Time!AT$5))/Time!AT$7</f>
        <v>0</v>
      </c>
      <c r="AU191" s="14" t="n">
        <f aca="false">MAX(0,MIN(Inputs!$F$123,Time!AU$6)-MAX(Inputs!$F$122,Time!AU$5))/Time!AU$7</f>
        <v>0</v>
      </c>
    </row>
    <row r="192" customFormat="false" ht="15" hidden="false" customHeight="false" outlineLevel="0" collapsed="false">
      <c r="D192" s="0" t="s">
        <v>588</v>
      </c>
      <c r="E192" s="0" t="s">
        <v>458</v>
      </c>
      <c r="J192" s="14" t="n">
        <f aca="false">MAX(0,MIN(Inputs!$F$123,Time!J$6)-MAX(MAX(Inputs!$F$124,Inputs!$F$122),Time!J$5))/Time!J$7</f>
        <v>0.778082191780822</v>
      </c>
      <c r="K192" s="14" t="n">
        <f aca="false">MAX(0,MIN(Inputs!$F$123,Time!K$6)-MAX(MAX(Inputs!$F$124,Inputs!$F$122),Time!K$5))/Time!K$7</f>
        <v>1</v>
      </c>
      <c r="L192" s="14" t="n">
        <f aca="false">MAX(0,MIN(Inputs!$F$123,Time!L$6)-MAX(MAX(Inputs!$F$124,Inputs!$F$122),Time!L$5))/Time!L$7</f>
        <v>1</v>
      </c>
      <c r="M192" s="14" t="n">
        <f aca="false">MAX(0,MIN(Inputs!$F$123,Time!M$6)-MAX(MAX(Inputs!$F$124,Inputs!$F$122),Time!M$5))/Time!M$7</f>
        <v>1</v>
      </c>
      <c r="N192" s="14" t="n">
        <f aca="false">MAX(0,MIN(Inputs!$F$123,Time!N$6)-MAX(MAX(Inputs!$F$124,Inputs!$F$122),Time!N$5))/Time!N$7</f>
        <v>1</v>
      </c>
      <c r="O192" s="14" t="n">
        <f aca="false">MAX(0,MIN(Inputs!$F$123,Time!O$6)-MAX(MAX(Inputs!$F$124,Inputs!$F$122),Time!O$5))/Time!O$7</f>
        <v>1</v>
      </c>
      <c r="P192" s="14" t="n">
        <f aca="false">MAX(0,MIN(Inputs!$F$123,Time!P$6)-MAX(MAX(Inputs!$F$124,Inputs!$F$122),Time!P$5))/Time!P$7</f>
        <v>1</v>
      </c>
      <c r="Q192" s="14" t="n">
        <f aca="false">MAX(0,MIN(Inputs!$F$123,Time!Q$6)-MAX(MAX(Inputs!$F$124,Inputs!$F$122),Time!Q$5))/Time!Q$7</f>
        <v>1</v>
      </c>
      <c r="R192" s="14" t="n">
        <f aca="false">MAX(0,MIN(Inputs!$F$123,Time!R$6)-MAX(MAX(Inputs!$F$124,Inputs!$F$122),Time!R$5))/Time!R$7</f>
        <v>1</v>
      </c>
      <c r="S192" s="14" t="n">
        <f aca="false">MAX(0,MIN(Inputs!$F$123,Time!S$6)-MAX(MAX(Inputs!$F$124,Inputs!$F$122),Time!S$5))/Time!S$7</f>
        <v>1</v>
      </c>
      <c r="T192" s="14" t="n">
        <f aca="false">MAX(0,MIN(Inputs!$F$123,Time!T$6)-MAX(MAX(Inputs!$F$124,Inputs!$F$122),Time!T$5))/Time!T$7</f>
        <v>1</v>
      </c>
      <c r="U192" s="14" t="n">
        <f aca="false">MAX(0,MIN(Inputs!$F$123,Time!U$6)-MAX(MAX(Inputs!$F$124,Inputs!$F$122),Time!U$5))/Time!U$7</f>
        <v>1</v>
      </c>
      <c r="V192" s="14" t="n">
        <f aca="false">MAX(0,MIN(Inputs!$F$123,Time!V$6)-MAX(MAX(Inputs!$F$124,Inputs!$F$122),Time!V$5))/Time!V$7</f>
        <v>1</v>
      </c>
      <c r="W192" s="14" t="n">
        <f aca="false">MAX(0,MIN(Inputs!$F$123,Time!W$6)-MAX(MAX(Inputs!$F$124,Inputs!$F$122),Time!W$5))/Time!W$7</f>
        <v>1</v>
      </c>
      <c r="X192" s="14" t="n">
        <f aca="false">MAX(0,MIN(Inputs!$F$123,Time!X$6)-MAX(MAX(Inputs!$F$124,Inputs!$F$122),Time!X$5))/Time!X$7</f>
        <v>1</v>
      </c>
      <c r="Y192" s="14" t="n">
        <f aca="false">MAX(0,MIN(Inputs!$F$123,Time!Y$6)-MAX(MAX(Inputs!$F$124,Inputs!$F$122),Time!Y$5))/Time!Y$7</f>
        <v>1</v>
      </c>
      <c r="Z192" s="14" t="n">
        <f aca="false">MAX(0,MIN(Inputs!$F$123,Time!Z$6)-MAX(MAX(Inputs!$F$124,Inputs!$F$122),Time!Z$5))/Time!Z$7</f>
        <v>1</v>
      </c>
      <c r="AA192" s="14" t="n">
        <f aca="false">MAX(0,MIN(Inputs!$F$123,Time!AA$6)-MAX(MAX(Inputs!$F$124,Inputs!$F$122),Time!AA$5))/Time!AA$7</f>
        <v>1</v>
      </c>
      <c r="AB192" s="14" t="n">
        <f aca="false">MAX(0,MIN(Inputs!$F$123,Time!AB$6)-MAX(MAX(Inputs!$F$124,Inputs!$F$122),Time!AB$5))/Time!AB$7</f>
        <v>1</v>
      </c>
      <c r="AC192" s="14" t="n">
        <f aca="false">MAX(0,MIN(Inputs!$F$123,Time!AC$6)-MAX(MAX(Inputs!$F$124,Inputs!$F$122),Time!AC$5))/Time!AC$7</f>
        <v>1</v>
      </c>
      <c r="AD192" s="14" t="n">
        <f aca="false">MAX(0,MIN(Inputs!$F$123,Time!AD$6)-MAX(MAX(Inputs!$F$124,Inputs!$F$122),Time!AD$5))/Time!AD$7</f>
        <v>1</v>
      </c>
      <c r="AE192" s="14" t="n">
        <f aca="false">MAX(0,MIN(Inputs!$F$123,Time!AE$6)-MAX(MAX(Inputs!$F$124,Inputs!$F$122),Time!AE$5))/Time!AE$7</f>
        <v>1</v>
      </c>
      <c r="AF192" s="14" t="n">
        <f aca="false">MAX(0,MIN(Inputs!$F$123,Time!AF$6)-MAX(MAX(Inputs!$F$124,Inputs!$F$122),Time!AF$5))/Time!AF$7</f>
        <v>1</v>
      </c>
      <c r="AG192" s="14" t="n">
        <f aca="false">MAX(0,MIN(Inputs!$F$123,Time!AG$6)-MAX(MAX(Inputs!$F$124,Inputs!$F$122),Time!AG$5))/Time!AG$7</f>
        <v>1</v>
      </c>
      <c r="AH192" s="14" t="n">
        <f aca="false">MAX(0,MIN(Inputs!$F$123,Time!AH$6)-MAX(MAX(Inputs!$F$124,Inputs!$F$122),Time!AH$5))/Time!AH$7</f>
        <v>1</v>
      </c>
      <c r="AI192" s="14" t="n">
        <f aca="false">MAX(0,MIN(Inputs!$F$123,Time!AI$6)-MAX(MAX(Inputs!$F$124,Inputs!$F$122),Time!AI$5))/Time!AI$7</f>
        <v>1</v>
      </c>
      <c r="AJ192" s="14" t="n">
        <f aca="false">MAX(0,MIN(Inputs!$F$123,Time!AJ$6)-MAX(MAX(Inputs!$F$124,Inputs!$F$122),Time!AJ$5))/Time!AJ$7</f>
        <v>1</v>
      </c>
      <c r="AK192" s="14" t="n">
        <f aca="false">MAX(0,MIN(Inputs!$F$123,Time!AK$6)-MAX(MAX(Inputs!$F$124,Inputs!$F$122),Time!AK$5))/Time!AK$7</f>
        <v>1</v>
      </c>
      <c r="AL192" s="14" t="n">
        <f aca="false">MAX(0,MIN(Inputs!$F$123,Time!AL$6)-MAX(MAX(Inputs!$F$124,Inputs!$F$122),Time!AL$5))/Time!AL$7</f>
        <v>1</v>
      </c>
      <c r="AM192" s="14" t="n">
        <f aca="false">MAX(0,MIN(Inputs!$F$123,Time!AM$6)-MAX(MAX(Inputs!$F$124,Inputs!$F$122),Time!AM$5))/Time!AM$7</f>
        <v>1</v>
      </c>
      <c r="AN192" s="14" t="n">
        <f aca="false">MAX(0,MIN(Inputs!$F$123,Time!AN$6)-MAX(MAX(Inputs!$F$124,Inputs!$F$122),Time!AN$5))/Time!AN$7</f>
        <v>1</v>
      </c>
      <c r="AO192" s="14" t="n">
        <f aca="false">MAX(0,MIN(Inputs!$F$123,Time!AO$6)-MAX(MAX(Inputs!$F$124,Inputs!$F$122),Time!AO$5))/Time!AO$7</f>
        <v>1</v>
      </c>
      <c r="AP192" s="14" t="n">
        <f aca="false">MAX(0,MIN(Inputs!$F$123,Time!AP$6)-MAX(MAX(Inputs!$F$124,Inputs!$F$122),Time!AP$5))/Time!AP$7</f>
        <v>1</v>
      </c>
      <c r="AQ192" s="14" t="n">
        <f aca="false">MAX(0,MIN(Inputs!$F$123,Time!AQ$6)-MAX(MAX(Inputs!$F$124,Inputs!$F$122),Time!AQ$5))/Time!AQ$7</f>
        <v>0.832876712328767</v>
      </c>
      <c r="AR192" s="14" t="n">
        <f aca="false">MAX(0,MIN(Inputs!$F$123,Time!AR$6)-MAX(MAX(Inputs!$F$124,Inputs!$F$122),Time!AR$5))/Time!AR$7</f>
        <v>0</v>
      </c>
      <c r="AS192" s="14" t="n">
        <f aca="false">MAX(0,MIN(Inputs!$F$123,Time!AS$6)-MAX(MAX(Inputs!$F$124,Inputs!$F$122),Time!AS$5))/Time!AS$7</f>
        <v>0</v>
      </c>
      <c r="AT192" s="14" t="n">
        <f aca="false">MAX(0,MIN(Inputs!$F$123,Time!AT$6)-MAX(MAX(Inputs!$F$124,Inputs!$F$122),Time!AT$5))/Time!AT$7</f>
        <v>0</v>
      </c>
      <c r="AU192" s="14" t="n">
        <f aca="false">MAX(0,MIN(Inputs!$F$123,Time!AU$6)-MAX(MAX(Inputs!$F$124,Inputs!$F$122),Time!AU$5))/Time!AU$7</f>
        <v>0</v>
      </c>
    </row>
    <row r="193" customFormat="false" ht="15" hidden="false" customHeight="false" outlineLevel="0" collapsed="false">
      <c r="D193" s="0" t="s">
        <v>589</v>
      </c>
      <c r="E193" s="0" t="s">
        <v>458</v>
      </c>
      <c r="J193" s="14" t="n">
        <f aca="false">IF(Operations!J191&gt;0,Operations!J192/Operations!J191,0)</f>
        <v>0.778082191780822</v>
      </c>
      <c r="K193" s="14" t="n">
        <f aca="false">IF(Operations!K191&gt;0,Operations!K192/Operations!K191,0)</f>
        <v>1</v>
      </c>
      <c r="L193" s="14" t="n">
        <f aca="false">IF(Operations!L191&gt;0,Operations!L192/Operations!L191,0)</f>
        <v>1</v>
      </c>
      <c r="M193" s="14" t="n">
        <f aca="false">IF(Operations!M191&gt;0,Operations!M192/Operations!M191,0)</f>
        <v>1</v>
      </c>
      <c r="N193" s="14" t="n">
        <f aca="false">IF(Operations!N191&gt;0,Operations!N192/Operations!N191,0)</f>
        <v>1</v>
      </c>
      <c r="O193" s="14" t="n">
        <f aca="false">IF(Operations!O191&gt;0,Operations!O192/Operations!O191,0)</f>
        <v>1</v>
      </c>
      <c r="P193" s="14" t="n">
        <f aca="false">IF(Operations!P191&gt;0,Operations!P192/Operations!P191,0)</f>
        <v>1</v>
      </c>
      <c r="Q193" s="14" t="n">
        <f aca="false">IF(Operations!Q191&gt;0,Operations!Q192/Operations!Q191,0)</f>
        <v>1</v>
      </c>
      <c r="R193" s="14" t="n">
        <f aca="false">IF(Operations!R191&gt;0,Operations!R192/Operations!R191,0)</f>
        <v>1</v>
      </c>
      <c r="S193" s="14" t="n">
        <f aca="false">IF(Operations!S191&gt;0,Operations!S192/Operations!S191,0)</f>
        <v>1</v>
      </c>
      <c r="T193" s="14" t="n">
        <f aca="false">IF(Operations!T191&gt;0,Operations!T192/Operations!T191,0)</f>
        <v>1</v>
      </c>
      <c r="U193" s="14" t="n">
        <f aca="false">IF(Operations!U191&gt;0,Operations!U192/Operations!U191,0)</f>
        <v>1</v>
      </c>
      <c r="V193" s="14" t="n">
        <f aca="false">IF(Operations!V191&gt;0,Operations!V192/Operations!V191,0)</f>
        <v>1</v>
      </c>
      <c r="W193" s="14" t="n">
        <f aca="false">IF(Operations!W191&gt;0,Operations!W192/Operations!W191,0)</f>
        <v>1</v>
      </c>
      <c r="X193" s="14" t="n">
        <f aca="false">IF(Operations!X191&gt;0,Operations!X192/Operations!X191,0)</f>
        <v>1</v>
      </c>
      <c r="Y193" s="14" t="n">
        <f aca="false">IF(Operations!Y191&gt;0,Operations!Y192/Operations!Y191,0)</f>
        <v>1</v>
      </c>
      <c r="Z193" s="14" t="n">
        <f aca="false">IF(Operations!Z191&gt;0,Operations!Z192/Operations!Z191,0)</f>
        <v>1</v>
      </c>
      <c r="AA193" s="14" t="n">
        <f aca="false">IF(Operations!AA191&gt;0,Operations!AA192/Operations!AA191,0)</f>
        <v>1</v>
      </c>
      <c r="AB193" s="14" t="n">
        <f aca="false">IF(Operations!AB191&gt;0,Operations!AB192/Operations!AB191,0)</f>
        <v>1</v>
      </c>
      <c r="AC193" s="14" t="n">
        <f aca="false">IF(Operations!AC191&gt;0,Operations!AC192/Operations!AC191,0)</f>
        <v>1</v>
      </c>
      <c r="AD193" s="14" t="n">
        <f aca="false">IF(Operations!AD191&gt;0,Operations!AD192/Operations!AD191,0)</f>
        <v>1</v>
      </c>
      <c r="AE193" s="14" t="n">
        <f aca="false">IF(Operations!AE191&gt;0,Operations!AE192/Operations!AE191,0)</f>
        <v>1</v>
      </c>
      <c r="AF193" s="14" t="n">
        <f aca="false">IF(Operations!AF191&gt;0,Operations!AF192/Operations!AF191,0)</f>
        <v>1</v>
      </c>
      <c r="AG193" s="14" t="n">
        <f aca="false">IF(Operations!AG191&gt;0,Operations!AG192/Operations!AG191,0)</f>
        <v>1</v>
      </c>
      <c r="AH193" s="14" t="n">
        <f aca="false">IF(Operations!AH191&gt;0,Operations!AH192/Operations!AH191,0)</f>
        <v>1</v>
      </c>
      <c r="AI193" s="14" t="n">
        <f aca="false">IF(Operations!AI191&gt;0,Operations!AI192/Operations!AI191,0)</f>
        <v>1</v>
      </c>
      <c r="AJ193" s="14" t="n">
        <f aca="false">IF(Operations!AJ191&gt;0,Operations!AJ192/Operations!AJ191,0)</f>
        <v>1</v>
      </c>
      <c r="AK193" s="14" t="n">
        <f aca="false">IF(Operations!AK191&gt;0,Operations!AK192/Operations!AK191,0)</f>
        <v>1</v>
      </c>
      <c r="AL193" s="14" t="n">
        <f aca="false">IF(Operations!AL191&gt;0,Operations!AL192/Operations!AL191,0)</f>
        <v>1</v>
      </c>
      <c r="AM193" s="14" t="n">
        <f aca="false">IF(Operations!AM191&gt;0,Operations!AM192/Operations!AM191,0)</f>
        <v>1</v>
      </c>
      <c r="AN193" s="14" t="n">
        <f aca="false">IF(Operations!AN191&gt;0,Operations!AN192/Operations!AN191,0)</f>
        <v>1</v>
      </c>
      <c r="AO193" s="14" t="n">
        <f aca="false">IF(Operations!AO191&gt;0,Operations!AO192/Operations!AO191,0)</f>
        <v>1</v>
      </c>
      <c r="AP193" s="14" t="n">
        <f aca="false">IF(Operations!AP191&gt;0,Operations!AP192/Operations!AP191,0)</f>
        <v>1</v>
      </c>
      <c r="AQ193" s="14" t="n">
        <f aca="false">IF(Operations!AQ191&gt;0,Operations!AQ192/Operations!AQ191,0)</f>
        <v>1</v>
      </c>
      <c r="AR193" s="14" t="n">
        <f aca="false">IF(Operations!AR191&gt;0,Operations!AR192/Operations!AR191,0)</f>
        <v>0</v>
      </c>
      <c r="AS193" s="14" t="n">
        <f aca="false">IF(Operations!AS191&gt;0,Operations!AS192/Operations!AS191,0)</f>
        <v>0</v>
      </c>
      <c r="AT193" s="14" t="n">
        <f aca="false">IF(Operations!AT191&gt;0,Operations!AT192/Operations!AT191,0)</f>
        <v>0</v>
      </c>
      <c r="AU193" s="14" t="n">
        <f aca="false">IF(Operations!AU191&gt;0,Operations!AU192/Operations!AU191,0)</f>
        <v>0</v>
      </c>
    </row>
    <row r="194" customFormat="false" ht="15" hidden="false" customHeight="false" outlineLevel="0" collapsed="false">
      <c r="D194" s="0" t="s">
        <v>590</v>
      </c>
      <c r="E194" s="0" t="s">
        <v>96</v>
      </c>
      <c r="J194" s="18" t="n">
        <f aca="false">Operations!J53</f>
        <v>72.2128</v>
      </c>
      <c r="K194" s="18" t="n">
        <f aca="false">Operations!K53</f>
        <v>59.2416</v>
      </c>
      <c r="L194" s="18" t="n">
        <f aca="false">Operations!L53</f>
        <v>29.1368</v>
      </c>
      <c r="M194" s="18" t="n">
        <f aca="false">Operations!M53</f>
        <v>38.5264</v>
      </c>
      <c r="N194" s="18" t="n">
        <f aca="false">Operations!N53</f>
        <v>43.1728</v>
      </c>
      <c r="O194" s="18" t="n">
        <f aca="false">Operations!O53</f>
        <v>45.7864</v>
      </c>
      <c r="P194" s="18" t="n">
        <f aca="false">Operations!P53</f>
        <v>47.5288</v>
      </c>
      <c r="Q194" s="18" t="n">
        <f aca="false">Operations!Q53</f>
        <v>48.7872</v>
      </c>
      <c r="R194" s="18" t="n">
        <f aca="false">Operations!R53</f>
        <v>50.1424</v>
      </c>
      <c r="S194" s="18" t="n">
        <f aca="false">Operations!S53</f>
        <v>51.14912</v>
      </c>
      <c r="T194" s="18" t="n">
        <f aca="false">Operations!T53</f>
        <v>52.1752</v>
      </c>
      <c r="U194" s="18" t="n">
        <f aca="false">Operations!U53</f>
        <v>53.22064</v>
      </c>
      <c r="V194" s="18" t="n">
        <f aca="false">Operations!V53</f>
        <v>54.28544</v>
      </c>
      <c r="W194" s="18" t="n">
        <f aca="false">Operations!W53</f>
        <v>55.3696</v>
      </c>
      <c r="X194" s="18" t="n">
        <f aca="false">Operations!X53</f>
        <v>56.47312</v>
      </c>
      <c r="Y194" s="18" t="n">
        <f aca="false">Operations!Y53</f>
        <v>57.60568</v>
      </c>
      <c r="Z194" s="18" t="n">
        <f aca="false">Operations!Z53</f>
        <v>58.7576</v>
      </c>
      <c r="AA194" s="18" t="n">
        <f aca="false">Operations!AA53</f>
        <v>59.92888</v>
      </c>
      <c r="AB194" s="18" t="n">
        <f aca="false">Operations!AB53</f>
        <v>61.1292</v>
      </c>
      <c r="AC194" s="18" t="n">
        <f aca="false">Operations!AC53</f>
        <v>62.34888</v>
      </c>
      <c r="AD194" s="18" t="n">
        <f aca="false">Operations!AD53</f>
        <v>63.5976</v>
      </c>
      <c r="AE194" s="18" t="n">
        <f aca="false">Operations!AE53</f>
        <v>64.86568</v>
      </c>
      <c r="AF194" s="18" t="n">
        <f aca="false">Operations!AF53</f>
        <v>66.1628</v>
      </c>
      <c r="AG194" s="18" t="n">
        <f aca="false">Operations!AG53</f>
        <v>67.48896</v>
      </c>
      <c r="AH194" s="18" t="n">
        <f aca="false">Operations!AH53</f>
        <v>68.83448</v>
      </c>
      <c r="AI194" s="18" t="n">
        <f aca="false">Operations!AI53</f>
        <v>70.20904</v>
      </c>
      <c r="AJ194" s="18" t="n">
        <f aca="false">Operations!AJ53</f>
        <v>71.61264</v>
      </c>
      <c r="AK194" s="18" t="n">
        <f aca="false">Operations!AK53</f>
        <v>73.04528</v>
      </c>
      <c r="AL194" s="18" t="n">
        <f aca="false">Operations!AL53</f>
        <v>74.50696</v>
      </c>
      <c r="AM194" s="18" t="n">
        <f aca="false">Operations!AM53</f>
        <v>75.99768</v>
      </c>
      <c r="AN194" s="18" t="n">
        <f aca="false">Operations!AN53</f>
        <v>77.51744</v>
      </c>
      <c r="AO194" s="18" t="n">
        <f aca="false">Operations!AO53</f>
        <v>79.06624</v>
      </c>
      <c r="AP194" s="18" t="n">
        <f aca="false">Operations!AP53</f>
        <v>80.64408</v>
      </c>
      <c r="AQ194" s="18" t="n">
        <f aca="false">Operations!AQ53</f>
        <v>82.26064</v>
      </c>
      <c r="AR194" s="18" t="n">
        <f aca="false">Operations!AR53</f>
        <v>83.90624</v>
      </c>
      <c r="AS194" s="18" t="n">
        <f aca="false">Operations!AS53</f>
        <v>85.58088</v>
      </c>
      <c r="AT194" s="18" t="n">
        <f aca="false">Operations!AT53</f>
        <v>87.29424</v>
      </c>
      <c r="AU194" s="18" t="n">
        <f aca="false">Operations!AU53</f>
        <v>89.03664</v>
      </c>
    </row>
    <row r="195" customFormat="false" ht="15" hidden="false" customHeight="false" outlineLevel="0" collapsed="false">
      <c r="D195" s="0" t="s">
        <v>591</v>
      </c>
      <c r="E195" s="0" t="s">
        <v>27</v>
      </c>
      <c r="J195" s="14" t="n">
        <f aca="false">CHOOSE(Operations!$F$47,1,Inputs!$F$128/100,Inputs!$F$129/100,Operations!$F$30/100)</f>
        <v>1</v>
      </c>
      <c r="K195" s="14" t="n">
        <f aca="false">CHOOSE(Operations!$F$47,1,Inputs!$F$128/100,Inputs!$F$129/100,Operations!$F$30/100)</f>
        <v>1</v>
      </c>
      <c r="L195" s="14" t="n">
        <f aca="false">CHOOSE(Operations!$F$47,1,Inputs!$F$128/100,Inputs!$F$129/100,Operations!$F$30/100)</f>
        <v>1</v>
      </c>
      <c r="M195" s="14" t="n">
        <f aca="false">CHOOSE(Operations!$F$47,1,Inputs!$F$128/100,Inputs!$F$129/100,Operations!$F$30/100)</f>
        <v>1</v>
      </c>
      <c r="N195" s="14" t="n">
        <f aca="false">CHOOSE(Operations!$F$47,1,Inputs!$F$128/100,Inputs!$F$129/100,Operations!$F$30/100)</f>
        <v>1</v>
      </c>
      <c r="O195" s="14" t="n">
        <f aca="false">CHOOSE(Operations!$F$47,1,Inputs!$F$128/100,Inputs!$F$129/100,Operations!$F$30/100)</f>
        <v>1</v>
      </c>
      <c r="P195" s="14" t="n">
        <f aca="false">CHOOSE(Operations!$F$47,1,Inputs!$F$128/100,Inputs!$F$129/100,Operations!$F$30/100)</f>
        <v>1</v>
      </c>
      <c r="Q195" s="14" t="n">
        <f aca="false">CHOOSE(Operations!$F$47,1,Inputs!$F$128/100,Inputs!$F$129/100,Operations!$F$30/100)</f>
        <v>1</v>
      </c>
      <c r="R195" s="14" t="n">
        <f aca="false">CHOOSE(Operations!$F$47,1,Inputs!$F$128/100,Inputs!$F$129/100,Operations!$F$30/100)</f>
        <v>1</v>
      </c>
      <c r="S195" s="14" t="n">
        <f aca="false">CHOOSE(Operations!$F$47,1,Inputs!$F$128/100,Inputs!$F$129/100,Operations!$F$30/100)</f>
        <v>1</v>
      </c>
      <c r="T195" s="14" t="n">
        <f aca="false">CHOOSE(Operations!$F$47,1,Inputs!$F$128/100,Inputs!$F$129/100,Operations!$F$30/100)</f>
        <v>1</v>
      </c>
      <c r="U195" s="14" t="n">
        <f aca="false">CHOOSE(Operations!$F$47,1,Inputs!$F$128/100,Inputs!$F$129/100,Operations!$F$30/100)</f>
        <v>1</v>
      </c>
      <c r="V195" s="14" t="n">
        <f aca="false">CHOOSE(Operations!$F$47,1,Inputs!$F$128/100,Inputs!$F$129/100,Operations!$F$30/100)</f>
        <v>1</v>
      </c>
      <c r="W195" s="14" t="n">
        <f aca="false">CHOOSE(Operations!$F$47,1,Inputs!$F$128/100,Inputs!$F$129/100,Operations!$F$30/100)</f>
        <v>1</v>
      </c>
      <c r="X195" s="14" t="n">
        <f aca="false">CHOOSE(Operations!$F$47,1,Inputs!$F$128/100,Inputs!$F$129/100,Operations!$F$30/100)</f>
        <v>1</v>
      </c>
      <c r="Y195" s="14" t="n">
        <f aca="false">CHOOSE(Operations!$F$47,1,Inputs!$F$128/100,Inputs!$F$129/100,Operations!$F$30/100)</f>
        <v>1</v>
      </c>
      <c r="Z195" s="14" t="n">
        <f aca="false">CHOOSE(Operations!$F$47,1,Inputs!$F$128/100,Inputs!$F$129/100,Operations!$F$30/100)</f>
        <v>1</v>
      </c>
      <c r="AA195" s="14" t="n">
        <f aca="false">CHOOSE(Operations!$F$47,1,Inputs!$F$128/100,Inputs!$F$129/100,Operations!$F$30/100)</f>
        <v>1</v>
      </c>
      <c r="AB195" s="14" t="n">
        <f aca="false">CHOOSE(Operations!$F$47,1,Inputs!$F$128/100,Inputs!$F$129/100,Operations!$F$30/100)</f>
        <v>1</v>
      </c>
      <c r="AC195" s="14" t="n">
        <f aca="false">CHOOSE(Operations!$F$47,1,Inputs!$F$128/100,Inputs!$F$129/100,Operations!$F$30/100)</f>
        <v>1</v>
      </c>
      <c r="AD195" s="14" t="n">
        <f aca="false">CHOOSE(Operations!$F$47,1,Inputs!$F$128/100,Inputs!$F$129/100,Operations!$F$30/100)</f>
        <v>1</v>
      </c>
      <c r="AE195" s="14" t="n">
        <f aca="false">CHOOSE(Operations!$F$47,1,Inputs!$F$128/100,Inputs!$F$129/100,Operations!$F$30/100)</f>
        <v>1</v>
      </c>
      <c r="AF195" s="14" t="n">
        <f aca="false">CHOOSE(Operations!$F$47,1,Inputs!$F$128/100,Inputs!$F$129/100,Operations!$F$30/100)</f>
        <v>1</v>
      </c>
      <c r="AG195" s="14" t="n">
        <f aca="false">CHOOSE(Operations!$F$47,1,Inputs!$F$128/100,Inputs!$F$129/100,Operations!$F$30/100)</f>
        <v>1</v>
      </c>
      <c r="AH195" s="14" t="n">
        <f aca="false">CHOOSE(Operations!$F$47,1,Inputs!$F$128/100,Inputs!$F$129/100,Operations!$F$30/100)</f>
        <v>1</v>
      </c>
      <c r="AI195" s="14" t="n">
        <f aca="false">CHOOSE(Operations!$F$47,1,Inputs!$F$128/100,Inputs!$F$129/100,Operations!$F$30/100)</f>
        <v>1</v>
      </c>
      <c r="AJ195" s="14" t="n">
        <f aca="false">CHOOSE(Operations!$F$47,1,Inputs!$F$128/100,Inputs!$F$129/100,Operations!$F$30/100)</f>
        <v>1</v>
      </c>
      <c r="AK195" s="14" t="n">
        <f aca="false">CHOOSE(Operations!$F$47,1,Inputs!$F$128/100,Inputs!$F$129/100,Operations!$F$30/100)</f>
        <v>1</v>
      </c>
      <c r="AL195" s="14" t="n">
        <f aca="false">CHOOSE(Operations!$F$47,1,Inputs!$F$128/100,Inputs!$F$129/100,Operations!$F$30/100)</f>
        <v>1</v>
      </c>
      <c r="AM195" s="14" t="n">
        <f aca="false">CHOOSE(Operations!$F$47,1,Inputs!$F$128/100,Inputs!$F$129/100,Operations!$F$30/100)</f>
        <v>1</v>
      </c>
      <c r="AN195" s="14" t="n">
        <f aca="false">CHOOSE(Operations!$F$47,1,Inputs!$F$128/100,Inputs!$F$129/100,Operations!$F$30/100)</f>
        <v>1</v>
      </c>
      <c r="AO195" s="14" t="n">
        <f aca="false">CHOOSE(Operations!$F$47,1,Inputs!$F$128/100,Inputs!$F$129/100,Operations!$F$30/100)</f>
        <v>1</v>
      </c>
      <c r="AP195" s="14" t="n">
        <f aca="false">CHOOSE(Operations!$F$47,1,Inputs!$F$128/100,Inputs!$F$129/100,Operations!$F$30/100)</f>
        <v>1</v>
      </c>
      <c r="AQ195" s="14" t="n">
        <f aca="false">CHOOSE(Operations!$F$47,1,Inputs!$F$128/100,Inputs!$F$129/100,Operations!$F$30/100)</f>
        <v>1</v>
      </c>
      <c r="AR195" s="14" t="n">
        <f aca="false">CHOOSE(Operations!$F$47,1,Inputs!$F$128/100,Inputs!$F$129/100,Operations!$F$30/100)</f>
        <v>1</v>
      </c>
      <c r="AS195" s="14" t="n">
        <f aca="false">CHOOSE(Operations!$F$47,1,Inputs!$F$128/100,Inputs!$F$129/100,Operations!$F$30/100)</f>
        <v>1</v>
      </c>
      <c r="AT195" s="14" t="n">
        <f aca="false">CHOOSE(Operations!$F$47,1,Inputs!$F$128/100,Inputs!$F$129/100,Operations!$F$30/100)</f>
        <v>1</v>
      </c>
      <c r="AU195" s="14" t="n">
        <f aca="false">CHOOSE(Operations!$F$47,1,Inputs!$F$128/100,Inputs!$F$129/100,Operations!$F$30/100)</f>
        <v>1</v>
      </c>
    </row>
    <row r="196" customFormat="false" ht="15" hidden="false" customHeight="false" outlineLevel="0" collapsed="false">
      <c r="D196" s="0" t="s">
        <v>592</v>
      </c>
      <c r="E196" s="0" t="s">
        <v>27</v>
      </c>
      <c r="J196" s="14" t="n">
        <f aca="false">(1-Inputs!$F$130/100)^MAX(0,Time!J$4-Inputs!$F$131)</f>
        <v>1</v>
      </c>
      <c r="K196" s="14" t="n">
        <f aca="false">(1-Inputs!$F$130/100)^MAX(0,Time!K$4-Inputs!$F$131)</f>
        <v>0.9955</v>
      </c>
      <c r="L196" s="14" t="n">
        <f aca="false">(1-Inputs!$F$130/100)^MAX(0,Time!L$4-Inputs!$F$131)</f>
        <v>0.99102025</v>
      </c>
      <c r="M196" s="14" t="n">
        <f aca="false">(1-Inputs!$F$130/100)^MAX(0,Time!M$4-Inputs!$F$131)</f>
        <v>0.986560658875</v>
      </c>
      <c r="N196" s="14" t="n">
        <f aca="false">(1-Inputs!$F$130/100)^MAX(0,Time!N$4-Inputs!$F$131)</f>
        <v>0.982121135910063</v>
      </c>
      <c r="O196" s="14" t="n">
        <f aca="false">(1-Inputs!$F$130/100)^MAX(0,Time!O$4-Inputs!$F$131)</f>
        <v>0.977701590798468</v>
      </c>
      <c r="P196" s="14" t="n">
        <f aca="false">(1-Inputs!$F$130/100)^MAX(0,Time!P$4-Inputs!$F$131)</f>
        <v>0.973301933639874</v>
      </c>
      <c r="Q196" s="14" t="n">
        <f aca="false">(1-Inputs!$F$130/100)^MAX(0,Time!Q$4-Inputs!$F$131)</f>
        <v>0.968922074938495</v>
      </c>
      <c r="R196" s="14" t="n">
        <f aca="false">(1-Inputs!$F$130/100)^MAX(0,Time!R$4-Inputs!$F$131)</f>
        <v>0.964561925601272</v>
      </c>
      <c r="S196" s="14" t="n">
        <f aca="false">(1-Inputs!$F$130/100)^MAX(0,Time!S$4-Inputs!$F$131)</f>
        <v>0.960221396936066</v>
      </c>
      <c r="T196" s="14" t="n">
        <f aca="false">(1-Inputs!$F$130/100)^MAX(0,Time!T$4-Inputs!$F$131)</f>
        <v>0.955900400649854</v>
      </c>
      <c r="U196" s="14" t="n">
        <f aca="false">(1-Inputs!$F$130/100)^MAX(0,Time!U$4-Inputs!$F$131)</f>
        <v>0.95159884884693</v>
      </c>
      <c r="V196" s="14" t="n">
        <f aca="false">(1-Inputs!$F$130/100)^MAX(0,Time!V$4-Inputs!$F$131)</f>
        <v>0.947316654027119</v>
      </c>
      <c r="W196" s="14" t="n">
        <f aca="false">(1-Inputs!$F$130/100)^MAX(0,Time!W$4-Inputs!$F$131)</f>
        <v>0.943053729083997</v>
      </c>
      <c r="X196" s="14" t="n">
        <f aca="false">(1-Inputs!$F$130/100)^MAX(0,Time!X$4-Inputs!$F$131)</f>
        <v>0.938809987303119</v>
      </c>
      <c r="Y196" s="14" t="n">
        <f aca="false">(1-Inputs!$F$130/100)^MAX(0,Time!Y$4-Inputs!$F$131)</f>
        <v>0.934585342360255</v>
      </c>
      <c r="Z196" s="14" t="n">
        <f aca="false">(1-Inputs!$F$130/100)^MAX(0,Time!Z$4-Inputs!$F$131)</f>
        <v>0.930379708319634</v>
      </c>
      <c r="AA196" s="14" t="n">
        <f aca="false">(1-Inputs!$F$130/100)^MAX(0,Time!AA$4-Inputs!$F$131)</f>
        <v>0.926192999632195</v>
      </c>
      <c r="AB196" s="14" t="n">
        <f aca="false">(1-Inputs!$F$130/100)^MAX(0,Time!AB$4-Inputs!$F$131)</f>
        <v>0.92202513113385</v>
      </c>
      <c r="AC196" s="14" t="n">
        <f aca="false">(1-Inputs!$F$130/100)^MAX(0,Time!AC$4-Inputs!$F$131)</f>
        <v>0.917876018043748</v>
      </c>
      <c r="AD196" s="14" t="n">
        <f aca="false">(1-Inputs!$F$130/100)^MAX(0,Time!AD$4-Inputs!$F$131)</f>
        <v>0.913745575962551</v>
      </c>
      <c r="AE196" s="14" t="n">
        <f aca="false">(1-Inputs!$F$130/100)^MAX(0,Time!AE$4-Inputs!$F$131)</f>
        <v>0.90963372087072</v>
      </c>
      <c r="AF196" s="14" t="n">
        <f aca="false">(1-Inputs!$F$130/100)^MAX(0,Time!AF$4-Inputs!$F$131)</f>
        <v>0.905540369126802</v>
      </c>
      <c r="AG196" s="14" t="n">
        <f aca="false">(1-Inputs!$F$130/100)^MAX(0,Time!AG$4-Inputs!$F$131)</f>
        <v>0.901465437465731</v>
      </c>
      <c r="AH196" s="14" t="n">
        <f aca="false">(1-Inputs!$F$130/100)^MAX(0,Time!AH$4-Inputs!$F$131)</f>
        <v>0.897408842997135</v>
      </c>
      <c r="AI196" s="14" t="n">
        <f aca="false">(1-Inputs!$F$130/100)^MAX(0,Time!AI$4-Inputs!$F$131)</f>
        <v>0.893370503203648</v>
      </c>
      <c r="AJ196" s="14" t="n">
        <f aca="false">(1-Inputs!$F$130/100)^MAX(0,Time!AJ$4-Inputs!$F$131)</f>
        <v>0.889350335939232</v>
      </c>
      <c r="AK196" s="14" t="n">
        <f aca="false">(1-Inputs!$F$130/100)^MAX(0,Time!AK$4-Inputs!$F$131)</f>
        <v>0.885348259427505</v>
      </c>
      <c r="AL196" s="14" t="n">
        <f aca="false">(1-Inputs!$F$130/100)^MAX(0,Time!AL$4-Inputs!$F$131)</f>
        <v>0.881364192260082</v>
      </c>
      <c r="AM196" s="14" t="n">
        <f aca="false">(1-Inputs!$F$130/100)^MAX(0,Time!AM$4-Inputs!$F$131)</f>
        <v>0.877398053394911</v>
      </c>
      <c r="AN196" s="14" t="n">
        <f aca="false">(1-Inputs!$F$130/100)^MAX(0,Time!AN$4-Inputs!$F$131)</f>
        <v>0.873449762154634</v>
      </c>
      <c r="AO196" s="14" t="n">
        <f aca="false">(1-Inputs!$F$130/100)^MAX(0,Time!AO$4-Inputs!$F$131)</f>
        <v>0.869519238224939</v>
      </c>
      <c r="AP196" s="14" t="n">
        <f aca="false">(1-Inputs!$F$130/100)^MAX(0,Time!AP$4-Inputs!$F$131)</f>
        <v>0.865606401652926</v>
      </c>
      <c r="AQ196" s="14" t="n">
        <f aca="false">(1-Inputs!$F$130/100)^MAX(0,Time!AQ$4-Inputs!$F$131)</f>
        <v>0.861711172845488</v>
      </c>
      <c r="AR196" s="14" t="n">
        <f aca="false">(1-Inputs!$F$130/100)^MAX(0,Time!AR$4-Inputs!$F$131)</f>
        <v>0.857833472567684</v>
      </c>
      <c r="AS196" s="14" t="n">
        <f aca="false">(1-Inputs!$F$130/100)^MAX(0,Time!AS$4-Inputs!$F$131)</f>
        <v>0.853973221941129</v>
      </c>
      <c r="AT196" s="14" t="n">
        <f aca="false">(1-Inputs!$F$130/100)^MAX(0,Time!AT$4-Inputs!$F$131)</f>
        <v>0.850130342442394</v>
      </c>
      <c r="AU196" s="14" t="n">
        <f aca="false">(1-Inputs!$F$130/100)^MAX(0,Time!AU$4-Inputs!$F$131)</f>
        <v>0.846304755901403</v>
      </c>
    </row>
    <row r="197" customFormat="false" ht="15" hidden="false" customHeight="false" outlineLevel="0" collapsed="false">
      <c r="D197" s="0" t="s">
        <v>593</v>
      </c>
      <c r="E197" s="0" t="s">
        <v>458</v>
      </c>
      <c r="J197" s="14" t="n">
        <f aca="false">(IF(Time!J$4&gt;=Inputs!$F$61,Inputs!$F$67,Inputs!$F$66+(Inputs!$F$67-Inputs!$F$66)*(Time!J$4-Inputs!$F$23)/(Inputs!$F$61-Inputs!$F$23))+Operations!$F$49)/100</f>
        <v>0.02</v>
      </c>
      <c r="K197" s="14" t="n">
        <f aca="false">(IF(Time!K$4&gt;=Inputs!$F$61,Inputs!$F$67,Inputs!$F$66+(Inputs!$F$67-Inputs!$F$66)*(Time!K$4-Inputs!$F$23)/(Inputs!$F$61-Inputs!$F$23))+Operations!$F$49)/100</f>
        <v>0.025</v>
      </c>
      <c r="L197" s="14" t="n">
        <f aca="false">(IF(Time!L$4&gt;=Inputs!$F$61,Inputs!$F$67,Inputs!$F$66+(Inputs!$F$67-Inputs!$F$66)*(Time!L$4-Inputs!$F$23)/(Inputs!$F$61-Inputs!$F$23))+Operations!$F$49)/100</f>
        <v>0.03</v>
      </c>
      <c r="M197" s="14" t="n">
        <f aca="false">(IF(Time!M$4&gt;=Inputs!$F$61,Inputs!$F$67,Inputs!$F$66+(Inputs!$F$67-Inputs!$F$66)*(Time!M$4-Inputs!$F$23)/(Inputs!$F$61-Inputs!$F$23))+Operations!$F$49)/100</f>
        <v>0.035</v>
      </c>
      <c r="N197" s="14" t="n">
        <f aca="false">(IF(Time!N$4&gt;=Inputs!$F$61,Inputs!$F$67,Inputs!$F$66+(Inputs!$F$67-Inputs!$F$66)*(Time!N$4-Inputs!$F$23)/(Inputs!$F$61-Inputs!$F$23))+Operations!$F$49)/100</f>
        <v>0.035</v>
      </c>
      <c r="O197" s="14" t="n">
        <f aca="false">(IF(Time!O$4&gt;=Inputs!$F$61,Inputs!$F$67,Inputs!$F$66+(Inputs!$F$67-Inputs!$F$66)*(Time!O$4-Inputs!$F$23)/(Inputs!$F$61-Inputs!$F$23))+Operations!$F$49)/100</f>
        <v>0.035</v>
      </c>
      <c r="P197" s="14" t="n">
        <f aca="false">(IF(Time!P$4&gt;=Inputs!$F$61,Inputs!$F$67,Inputs!$F$66+(Inputs!$F$67-Inputs!$F$66)*(Time!P$4-Inputs!$F$23)/(Inputs!$F$61-Inputs!$F$23))+Operations!$F$49)/100</f>
        <v>0.035</v>
      </c>
      <c r="Q197" s="14" t="n">
        <f aca="false">(IF(Time!Q$4&gt;=Inputs!$F$61,Inputs!$F$67,Inputs!$F$66+(Inputs!$F$67-Inputs!$F$66)*(Time!Q$4-Inputs!$F$23)/(Inputs!$F$61-Inputs!$F$23))+Operations!$F$49)/100</f>
        <v>0.035</v>
      </c>
      <c r="R197" s="14" t="n">
        <f aca="false">(IF(Time!R$4&gt;=Inputs!$F$61,Inputs!$F$67,Inputs!$F$66+(Inputs!$F$67-Inputs!$F$66)*(Time!R$4-Inputs!$F$23)/(Inputs!$F$61-Inputs!$F$23))+Operations!$F$49)/100</f>
        <v>0.035</v>
      </c>
      <c r="S197" s="14" t="n">
        <f aca="false">(IF(Time!S$4&gt;=Inputs!$F$61,Inputs!$F$67,Inputs!$F$66+(Inputs!$F$67-Inputs!$F$66)*(Time!S$4-Inputs!$F$23)/(Inputs!$F$61-Inputs!$F$23))+Operations!$F$49)/100</f>
        <v>0.035</v>
      </c>
      <c r="T197" s="14" t="n">
        <f aca="false">(IF(Time!T$4&gt;=Inputs!$F$61,Inputs!$F$67,Inputs!$F$66+(Inputs!$F$67-Inputs!$F$66)*(Time!T$4-Inputs!$F$23)/(Inputs!$F$61-Inputs!$F$23))+Operations!$F$49)/100</f>
        <v>0.035</v>
      </c>
      <c r="U197" s="14" t="n">
        <f aca="false">(IF(Time!U$4&gt;=Inputs!$F$61,Inputs!$F$67,Inputs!$F$66+(Inputs!$F$67-Inputs!$F$66)*(Time!U$4-Inputs!$F$23)/(Inputs!$F$61-Inputs!$F$23))+Operations!$F$49)/100</f>
        <v>0.035</v>
      </c>
      <c r="V197" s="14" t="n">
        <f aca="false">(IF(Time!V$4&gt;=Inputs!$F$61,Inputs!$F$67,Inputs!$F$66+(Inputs!$F$67-Inputs!$F$66)*(Time!V$4-Inputs!$F$23)/(Inputs!$F$61-Inputs!$F$23))+Operations!$F$49)/100</f>
        <v>0.035</v>
      </c>
      <c r="W197" s="14" t="n">
        <f aca="false">(IF(Time!W$4&gt;=Inputs!$F$61,Inputs!$F$67,Inputs!$F$66+(Inputs!$F$67-Inputs!$F$66)*(Time!W$4-Inputs!$F$23)/(Inputs!$F$61-Inputs!$F$23))+Operations!$F$49)/100</f>
        <v>0.035</v>
      </c>
      <c r="X197" s="14" t="n">
        <f aca="false">(IF(Time!X$4&gt;=Inputs!$F$61,Inputs!$F$67,Inputs!$F$66+(Inputs!$F$67-Inputs!$F$66)*(Time!X$4-Inputs!$F$23)/(Inputs!$F$61-Inputs!$F$23))+Operations!$F$49)/100</f>
        <v>0.035</v>
      </c>
      <c r="Y197" s="14" t="n">
        <f aca="false">(IF(Time!Y$4&gt;=Inputs!$F$61,Inputs!$F$67,Inputs!$F$66+(Inputs!$F$67-Inputs!$F$66)*(Time!Y$4-Inputs!$F$23)/(Inputs!$F$61-Inputs!$F$23))+Operations!$F$49)/100</f>
        <v>0.035</v>
      </c>
      <c r="Z197" s="14" t="n">
        <f aca="false">(IF(Time!Z$4&gt;=Inputs!$F$61,Inputs!$F$67,Inputs!$F$66+(Inputs!$F$67-Inputs!$F$66)*(Time!Z$4-Inputs!$F$23)/(Inputs!$F$61-Inputs!$F$23))+Operations!$F$49)/100</f>
        <v>0.035</v>
      </c>
      <c r="AA197" s="14" t="n">
        <f aca="false">(IF(Time!AA$4&gt;=Inputs!$F$61,Inputs!$F$67,Inputs!$F$66+(Inputs!$F$67-Inputs!$F$66)*(Time!AA$4-Inputs!$F$23)/(Inputs!$F$61-Inputs!$F$23))+Operations!$F$49)/100</f>
        <v>0.035</v>
      </c>
      <c r="AB197" s="14" t="n">
        <f aca="false">(IF(Time!AB$4&gt;=Inputs!$F$61,Inputs!$F$67,Inputs!$F$66+(Inputs!$F$67-Inputs!$F$66)*(Time!AB$4-Inputs!$F$23)/(Inputs!$F$61-Inputs!$F$23))+Operations!$F$49)/100</f>
        <v>0.035</v>
      </c>
      <c r="AC197" s="14" t="n">
        <f aca="false">(IF(Time!AC$4&gt;=Inputs!$F$61,Inputs!$F$67,Inputs!$F$66+(Inputs!$F$67-Inputs!$F$66)*(Time!AC$4-Inputs!$F$23)/(Inputs!$F$61-Inputs!$F$23))+Operations!$F$49)/100</f>
        <v>0.035</v>
      </c>
      <c r="AD197" s="14" t="n">
        <f aca="false">(IF(Time!AD$4&gt;=Inputs!$F$61,Inputs!$F$67,Inputs!$F$66+(Inputs!$F$67-Inputs!$F$66)*(Time!AD$4-Inputs!$F$23)/(Inputs!$F$61-Inputs!$F$23))+Operations!$F$49)/100</f>
        <v>0.035</v>
      </c>
      <c r="AE197" s="14" t="n">
        <f aca="false">(IF(Time!AE$4&gt;=Inputs!$F$61,Inputs!$F$67,Inputs!$F$66+(Inputs!$F$67-Inputs!$F$66)*(Time!AE$4-Inputs!$F$23)/(Inputs!$F$61-Inputs!$F$23))+Operations!$F$49)/100</f>
        <v>0.035</v>
      </c>
      <c r="AF197" s="14" t="n">
        <f aca="false">(IF(Time!AF$4&gt;=Inputs!$F$61,Inputs!$F$67,Inputs!$F$66+(Inputs!$F$67-Inputs!$F$66)*(Time!AF$4-Inputs!$F$23)/(Inputs!$F$61-Inputs!$F$23))+Operations!$F$49)/100</f>
        <v>0.035</v>
      </c>
      <c r="AG197" s="14" t="n">
        <f aca="false">(IF(Time!AG$4&gt;=Inputs!$F$61,Inputs!$F$67,Inputs!$F$66+(Inputs!$F$67-Inputs!$F$66)*(Time!AG$4-Inputs!$F$23)/(Inputs!$F$61-Inputs!$F$23))+Operations!$F$49)/100</f>
        <v>0.035</v>
      </c>
      <c r="AH197" s="14" t="n">
        <f aca="false">(IF(Time!AH$4&gt;=Inputs!$F$61,Inputs!$F$67,Inputs!$F$66+(Inputs!$F$67-Inputs!$F$66)*(Time!AH$4-Inputs!$F$23)/(Inputs!$F$61-Inputs!$F$23))+Operations!$F$49)/100</f>
        <v>0.035</v>
      </c>
      <c r="AI197" s="14" t="n">
        <f aca="false">(IF(Time!AI$4&gt;=Inputs!$F$61,Inputs!$F$67,Inputs!$F$66+(Inputs!$F$67-Inputs!$F$66)*(Time!AI$4-Inputs!$F$23)/(Inputs!$F$61-Inputs!$F$23))+Operations!$F$49)/100</f>
        <v>0.035</v>
      </c>
      <c r="AJ197" s="14" t="n">
        <f aca="false">(IF(Time!AJ$4&gt;=Inputs!$F$61,Inputs!$F$67,Inputs!$F$66+(Inputs!$F$67-Inputs!$F$66)*(Time!AJ$4-Inputs!$F$23)/(Inputs!$F$61-Inputs!$F$23))+Operations!$F$49)/100</f>
        <v>0.035</v>
      </c>
      <c r="AK197" s="14" t="n">
        <f aca="false">(IF(Time!AK$4&gt;=Inputs!$F$61,Inputs!$F$67,Inputs!$F$66+(Inputs!$F$67-Inputs!$F$66)*(Time!AK$4-Inputs!$F$23)/(Inputs!$F$61-Inputs!$F$23))+Operations!$F$49)/100</f>
        <v>0.035</v>
      </c>
      <c r="AL197" s="14" t="n">
        <f aca="false">(IF(Time!AL$4&gt;=Inputs!$F$61,Inputs!$F$67,Inputs!$F$66+(Inputs!$F$67-Inputs!$F$66)*(Time!AL$4-Inputs!$F$23)/(Inputs!$F$61-Inputs!$F$23))+Operations!$F$49)/100</f>
        <v>0.035</v>
      </c>
      <c r="AM197" s="14" t="n">
        <f aca="false">(IF(Time!AM$4&gt;=Inputs!$F$61,Inputs!$F$67,Inputs!$F$66+(Inputs!$F$67-Inputs!$F$66)*(Time!AM$4-Inputs!$F$23)/(Inputs!$F$61-Inputs!$F$23))+Operations!$F$49)/100</f>
        <v>0.035</v>
      </c>
      <c r="AN197" s="14" t="n">
        <f aca="false">(IF(Time!AN$4&gt;=Inputs!$F$61,Inputs!$F$67,Inputs!$F$66+(Inputs!$F$67-Inputs!$F$66)*(Time!AN$4-Inputs!$F$23)/(Inputs!$F$61-Inputs!$F$23))+Operations!$F$49)/100</f>
        <v>0.035</v>
      </c>
      <c r="AO197" s="14" t="n">
        <f aca="false">(IF(Time!AO$4&gt;=Inputs!$F$61,Inputs!$F$67,Inputs!$F$66+(Inputs!$F$67-Inputs!$F$66)*(Time!AO$4-Inputs!$F$23)/(Inputs!$F$61-Inputs!$F$23))+Operations!$F$49)/100</f>
        <v>0.035</v>
      </c>
      <c r="AP197" s="14" t="n">
        <f aca="false">(IF(Time!AP$4&gt;=Inputs!$F$61,Inputs!$F$67,Inputs!$F$66+(Inputs!$F$67-Inputs!$F$66)*(Time!AP$4-Inputs!$F$23)/(Inputs!$F$61-Inputs!$F$23))+Operations!$F$49)/100</f>
        <v>0.035</v>
      </c>
      <c r="AQ197" s="14" t="n">
        <f aca="false">(IF(Time!AQ$4&gt;=Inputs!$F$61,Inputs!$F$67,Inputs!$F$66+(Inputs!$F$67-Inputs!$F$66)*(Time!AQ$4-Inputs!$F$23)/(Inputs!$F$61-Inputs!$F$23))+Operations!$F$49)/100</f>
        <v>0.035</v>
      </c>
      <c r="AR197" s="14" t="n">
        <f aca="false">(IF(Time!AR$4&gt;=Inputs!$F$61,Inputs!$F$67,Inputs!$F$66+(Inputs!$F$67-Inputs!$F$66)*(Time!AR$4-Inputs!$F$23)/(Inputs!$F$61-Inputs!$F$23))+Operations!$F$49)/100</f>
        <v>0.035</v>
      </c>
      <c r="AS197" s="14" t="n">
        <f aca="false">(IF(Time!AS$4&gt;=Inputs!$F$61,Inputs!$F$67,Inputs!$F$66+(Inputs!$F$67-Inputs!$F$66)*(Time!AS$4-Inputs!$F$23)/(Inputs!$F$61-Inputs!$F$23))+Operations!$F$49)/100</f>
        <v>0.035</v>
      </c>
      <c r="AT197" s="14" t="n">
        <f aca="false">(IF(Time!AT$4&gt;=Inputs!$F$61,Inputs!$F$67,Inputs!$F$66+(Inputs!$F$67-Inputs!$F$66)*(Time!AT$4-Inputs!$F$23)/(Inputs!$F$61-Inputs!$F$23))+Operations!$F$49)/100</f>
        <v>0.035</v>
      </c>
      <c r="AU197" s="14" t="n">
        <f aca="false">(IF(Time!AU$4&gt;=Inputs!$F$61,Inputs!$F$67,Inputs!$F$66+(Inputs!$F$67-Inputs!$F$66)*(Time!AU$4-Inputs!$F$23)/(Inputs!$F$61-Inputs!$F$23))+Operations!$F$49)/100</f>
        <v>0.035</v>
      </c>
    </row>
    <row r="198" customFormat="false" ht="15" hidden="false" customHeight="false" outlineLevel="0" collapsed="false">
      <c r="D198" s="0" t="s">
        <v>594</v>
      </c>
      <c r="E198" s="0" t="s">
        <v>466</v>
      </c>
      <c r="J198" s="20" t="n">
        <f aca="false">Inputs!$F$127*Operations!J195*Inputs!$F$192/100*Operations!J196*(1-Operations!J197)</f>
        <v>229.614</v>
      </c>
      <c r="K198" s="20" t="n">
        <f aca="false">Inputs!$F$127*Operations!K195*Inputs!$F$192/100*Operations!K196*(1-Operations!K197)</f>
        <v>227.41450875</v>
      </c>
      <c r="L198" s="20" t="n">
        <f aca="false">Inputs!$F$127*Operations!L195*Inputs!$F$192/100*Operations!L196*(1-Operations!L197)</f>
        <v>225.23016323775</v>
      </c>
      <c r="M198" s="20" t="n">
        <f aca="false">Inputs!$F$127*Operations!M195*Inputs!$F$192/100*Operations!M196*(1-Operations!M197)</f>
        <v>223.060871691308</v>
      </c>
      <c r="N198" s="20" t="n">
        <f aca="false">Inputs!$F$127*Operations!N195*Inputs!$F$192/100*Operations!N196*(1-Operations!N197)</f>
        <v>222.057097768697</v>
      </c>
      <c r="O198" s="20" t="n">
        <f aca="false">Inputs!$F$127*Operations!O195*Inputs!$F$192/100*Operations!O196*(1-Operations!O197)</f>
        <v>221.057840828738</v>
      </c>
      <c r="P198" s="20" t="n">
        <f aca="false">Inputs!$F$127*Operations!P195*Inputs!$F$192/100*Operations!P196*(1-Operations!P197)</f>
        <v>220.063080545009</v>
      </c>
      <c r="Q198" s="20" t="n">
        <f aca="false">Inputs!$F$127*Operations!Q195*Inputs!$F$192/100*Operations!Q196*(1-Operations!Q197)</f>
        <v>219.072796682556</v>
      </c>
      <c r="R198" s="20" t="n">
        <f aca="false">Inputs!$F$127*Operations!R195*Inputs!$F$192/100*Operations!R196*(1-Operations!R197)</f>
        <v>218.086969097485</v>
      </c>
      <c r="S198" s="20" t="n">
        <f aca="false">Inputs!$F$127*Operations!S195*Inputs!$F$192/100*Operations!S196*(1-Operations!S197)</f>
        <v>217.105577736546</v>
      </c>
      <c r="T198" s="20" t="n">
        <f aca="false">Inputs!$F$127*Operations!T195*Inputs!$F$192/100*Operations!T196*(1-Operations!T197)</f>
        <v>216.128602636732</v>
      </c>
      <c r="U198" s="20" t="n">
        <f aca="false">Inputs!$F$127*Operations!U195*Inputs!$F$192/100*Operations!U196*(1-Operations!U197)</f>
        <v>215.156023924866</v>
      </c>
      <c r="V198" s="20" t="n">
        <f aca="false">Inputs!$F$127*Operations!V195*Inputs!$F$192/100*Operations!V196*(1-Operations!V197)</f>
        <v>214.187821817204</v>
      </c>
      <c r="W198" s="20" t="n">
        <f aca="false">Inputs!$F$127*Operations!W195*Inputs!$F$192/100*Operations!W196*(1-Operations!W197)</f>
        <v>213.223976619027</v>
      </c>
      <c r="X198" s="20" t="n">
        <f aca="false">Inputs!$F$127*Operations!X195*Inputs!$F$192/100*Operations!X196*(1-Operations!X197)</f>
        <v>212.264468724241</v>
      </c>
      <c r="Y198" s="20" t="n">
        <f aca="false">Inputs!$F$127*Operations!Y195*Inputs!$F$192/100*Operations!Y196*(1-Operations!Y197)</f>
        <v>211.309278614982</v>
      </c>
      <c r="Z198" s="20" t="n">
        <f aca="false">Inputs!$F$127*Operations!Z195*Inputs!$F$192/100*Operations!Z196*(1-Operations!Z197)</f>
        <v>210.358386861215</v>
      </c>
      <c r="AA198" s="20" t="n">
        <f aca="false">Inputs!$F$127*Operations!AA195*Inputs!$F$192/100*Operations!AA196*(1-Operations!AA197)</f>
        <v>209.41177412034</v>
      </c>
      <c r="AB198" s="20" t="n">
        <f aca="false">Inputs!$F$127*Operations!AB195*Inputs!$F$192/100*Operations!AB196*(1-Operations!AB197)</f>
        <v>208.469421136798</v>
      </c>
      <c r="AC198" s="20" t="n">
        <f aca="false">Inputs!$F$127*Operations!AC195*Inputs!$F$192/100*Operations!AC196*(1-Operations!AC197)</f>
        <v>207.531308741682</v>
      </c>
      <c r="AD198" s="20" t="n">
        <f aca="false">Inputs!$F$127*Operations!AD195*Inputs!$F$192/100*Operations!AD196*(1-Operations!AD197)</f>
        <v>206.597417852345</v>
      </c>
      <c r="AE198" s="20" t="n">
        <f aca="false">Inputs!$F$127*Operations!AE195*Inputs!$F$192/100*Operations!AE196*(1-Operations!AE197)</f>
        <v>205.667729472009</v>
      </c>
      <c r="AF198" s="20" t="n">
        <f aca="false">Inputs!$F$127*Operations!AF195*Inputs!$F$192/100*Operations!AF196*(1-Operations!AF197)</f>
        <v>204.742224689385</v>
      </c>
      <c r="AG198" s="20" t="n">
        <f aca="false">Inputs!$F$127*Operations!AG195*Inputs!$F$192/100*Operations!AG196*(1-Operations!AG197)</f>
        <v>203.820884678283</v>
      </c>
      <c r="AH198" s="20" t="n">
        <f aca="false">Inputs!$F$127*Operations!AH195*Inputs!$F$192/100*Operations!AH196*(1-Operations!AH197)</f>
        <v>202.903690697231</v>
      </c>
      <c r="AI198" s="20" t="n">
        <f aca="false">Inputs!$F$127*Operations!AI195*Inputs!$F$192/100*Operations!AI196*(1-Operations!AI197)</f>
        <v>201.990624089093</v>
      </c>
      <c r="AJ198" s="20" t="n">
        <f aca="false">Inputs!$F$127*Operations!AJ195*Inputs!$F$192/100*Operations!AJ196*(1-Operations!AJ197)</f>
        <v>201.081666280692</v>
      </c>
      <c r="AK198" s="20" t="n">
        <f aca="false">Inputs!$F$127*Operations!AK195*Inputs!$F$192/100*Operations!AK196*(1-Operations!AK197)</f>
        <v>200.176798782429</v>
      </c>
      <c r="AL198" s="20" t="n">
        <f aca="false">Inputs!$F$127*Operations!AL195*Inputs!$F$192/100*Operations!AL196*(1-Operations!AL197)</f>
        <v>199.276003187908</v>
      </c>
      <c r="AM198" s="20" t="n">
        <f aca="false">Inputs!$F$127*Operations!AM195*Inputs!$F$192/100*Operations!AM196*(1-Operations!AM197)</f>
        <v>198.379261173563</v>
      </c>
      <c r="AN198" s="20" t="n">
        <f aca="false">Inputs!$F$127*Operations!AN195*Inputs!$F$192/100*Operations!AN196*(1-Operations!AN197)</f>
        <v>197.486554498282</v>
      </c>
      <c r="AO198" s="20" t="n">
        <f aca="false">Inputs!$F$127*Operations!AO195*Inputs!$F$192/100*Operations!AO196*(1-Operations!AO197)</f>
        <v>196.59786500304</v>
      </c>
      <c r="AP198" s="20" t="n">
        <f aca="false">Inputs!$F$127*Operations!AP195*Inputs!$F$192/100*Operations!AP196*(1-Operations!AP197)</f>
        <v>195.713174610526</v>
      </c>
      <c r="AQ198" s="20" t="n">
        <f aca="false">Inputs!$F$127*Operations!AQ195*Inputs!$F$192/100*Operations!AQ196*(1-Operations!AQ197)</f>
        <v>194.832465324778</v>
      </c>
      <c r="AR198" s="20" t="n">
        <f aca="false">Inputs!$F$127*Operations!AR195*Inputs!$F$192/100*Operations!AR196*(1-Operations!AR197)</f>
        <v>193.955719230817</v>
      </c>
      <c r="AS198" s="20" t="n">
        <f aca="false">Inputs!$F$127*Operations!AS195*Inputs!$F$192/100*Operations!AS196*(1-Operations!AS197)</f>
        <v>193.082918494278</v>
      </c>
      <c r="AT198" s="20" t="n">
        <f aca="false">Inputs!$F$127*Operations!AT195*Inputs!$F$192/100*Operations!AT196*(1-Operations!AT197)</f>
        <v>192.214045361054</v>
      </c>
      <c r="AU198" s="20" t="n">
        <f aca="false">Inputs!$F$127*Operations!AU195*Inputs!$F$192/100*Operations!AU196*(1-Operations!AU197)</f>
        <v>191.349082156929</v>
      </c>
    </row>
    <row r="199" customFormat="false" ht="15" hidden="false" customHeight="false" outlineLevel="0" collapsed="false">
      <c r="D199" s="0" t="s">
        <v>595</v>
      </c>
      <c r="E199" s="0" t="s">
        <v>466</v>
      </c>
      <c r="G199" s="20" t="n">
        <f aca="false">SUM(J199:AU199)</f>
        <v>7117.50928772457</v>
      </c>
      <c r="J199" s="20" t="n">
        <f aca="false">Operations!J198*Operations!J191</f>
        <v>229.614</v>
      </c>
      <c r="K199" s="20" t="n">
        <f aca="false">Operations!K198*Operations!K191</f>
        <v>227.41450875</v>
      </c>
      <c r="L199" s="20" t="n">
        <f aca="false">Operations!L198*Operations!L191</f>
        <v>225.23016323775</v>
      </c>
      <c r="M199" s="20" t="n">
        <f aca="false">Operations!M198*Operations!M191</f>
        <v>223.060871691308</v>
      </c>
      <c r="N199" s="20" t="n">
        <f aca="false">Operations!N198*Operations!N191</f>
        <v>222.057097768697</v>
      </c>
      <c r="O199" s="20" t="n">
        <f aca="false">Operations!O198*Operations!O191</f>
        <v>221.057840828738</v>
      </c>
      <c r="P199" s="20" t="n">
        <f aca="false">Operations!P198*Operations!P191</f>
        <v>220.063080545009</v>
      </c>
      <c r="Q199" s="20" t="n">
        <f aca="false">Operations!Q198*Operations!Q191</f>
        <v>219.072796682556</v>
      </c>
      <c r="R199" s="20" t="n">
        <f aca="false">Operations!R198*Operations!R191</f>
        <v>218.086969097485</v>
      </c>
      <c r="S199" s="20" t="n">
        <f aca="false">Operations!S198*Operations!S191</f>
        <v>217.105577736546</v>
      </c>
      <c r="T199" s="20" t="n">
        <f aca="false">Operations!T198*Operations!T191</f>
        <v>216.128602636732</v>
      </c>
      <c r="U199" s="20" t="n">
        <f aca="false">Operations!U198*Operations!U191</f>
        <v>215.156023924866</v>
      </c>
      <c r="V199" s="20" t="n">
        <f aca="false">Operations!V198*Operations!V191</f>
        <v>214.187821817204</v>
      </c>
      <c r="W199" s="20" t="n">
        <f aca="false">Operations!W198*Operations!W191</f>
        <v>213.223976619027</v>
      </c>
      <c r="X199" s="20" t="n">
        <f aca="false">Operations!X198*Operations!X191</f>
        <v>212.264468724241</v>
      </c>
      <c r="Y199" s="20" t="n">
        <f aca="false">Operations!Y198*Operations!Y191</f>
        <v>211.309278614982</v>
      </c>
      <c r="Z199" s="20" t="n">
        <f aca="false">Operations!Z198*Operations!Z191</f>
        <v>210.358386861215</v>
      </c>
      <c r="AA199" s="20" t="n">
        <f aca="false">Operations!AA198*Operations!AA191</f>
        <v>209.41177412034</v>
      </c>
      <c r="AB199" s="20" t="n">
        <f aca="false">Operations!AB198*Operations!AB191</f>
        <v>208.469421136798</v>
      </c>
      <c r="AC199" s="20" t="n">
        <f aca="false">Operations!AC198*Operations!AC191</f>
        <v>207.531308741682</v>
      </c>
      <c r="AD199" s="20" t="n">
        <f aca="false">Operations!AD198*Operations!AD191</f>
        <v>206.597417852345</v>
      </c>
      <c r="AE199" s="20" t="n">
        <f aca="false">Operations!AE198*Operations!AE191</f>
        <v>205.667729472009</v>
      </c>
      <c r="AF199" s="20" t="n">
        <f aca="false">Operations!AF198*Operations!AF191</f>
        <v>204.742224689385</v>
      </c>
      <c r="AG199" s="20" t="n">
        <f aca="false">Operations!AG198*Operations!AG191</f>
        <v>203.820884678283</v>
      </c>
      <c r="AH199" s="20" t="n">
        <f aca="false">Operations!AH198*Operations!AH191</f>
        <v>202.903690697231</v>
      </c>
      <c r="AI199" s="20" t="n">
        <f aca="false">Operations!AI198*Operations!AI191</f>
        <v>201.990624089093</v>
      </c>
      <c r="AJ199" s="20" t="n">
        <f aca="false">Operations!AJ198*Operations!AJ191</f>
        <v>201.081666280692</v>
      </c>
      <c r="AK199" s="20" t="n">
        <f aca="false">Operations!AK198*Operations!AK191</f>
        <v>200.176798782429</v>
      </c>
      <c r="AL199" s="20" t="n">
        <f aca="false">Operations!AL198*Operations!AL191</f>
        <v>199.276003187908</v>
      </c>
      <c r="AM199" s="20" t="n">
        <f aca="false">Operations!AM198*Operations!AM191</f>
        <v>198.379261173563</v>
      </c>
      <c r="AN199" s="20" t="n">
        <f aca="false">Operations!AN198*Operations!AN191</f>
        <v>197.486554498282</v>
      </c>
      <c r="AO199" s="20" t="n">
        <f aca="false">Operations!AO198*Operations!AO191</f>
        <v>196.59786500304</v>
      </c>
      <c r="AP199" s="20" t="n">
        <f aca="false">Operations!AP198*Operations!AP191</f>
        <v>195.713174610526</v>
      </c>
      <c r="AQ199" s="20" t="n">
        <f aca="false">Operations!AQ198*Operations!AQ191</f>
        <v>162.27142317461</v>
      </c>
      <c r="AR199" s="20" t="n">
        <f aca="false">Operations!AR198*Operations!AR191</f>
        <v>0</v>
      </c>
      <c r="AS199" s="20" t="n">
        <f aca="false">Operations!AS198*Operations!AS191</f>
        <v>0</v>
      </c>
      <c r="AT199" s="20" t="n">
        <f aca="false">Operations!AT198*Operations!AT191</f>
        <v>0</v>
      </c>
      <c r="AU199" s="20" t="n">
        <f aca="false">Operations!AU198*Operations!AU191</f>
        <v>0</v>
      </c>
    </row>
    <row r="200" customFormat="false" ht="15" hidden="false" customHeight="false" outlineLevel="0" collapsed="false">
      <c r="D200" s="0" t="s">
        <v>596</v>
      </c>
      <c r="E200" s="0" t="s">
        <v>54</v>
      </c>
      <c r="J200" s="14" t="n">
        <f aca="false">Operations!J59</f>
        <v>0.86</v>
      </c>
      <c r="K200" s="14" t="n">
        <f aca="false">Operations!K59</f>
        <v>0.84</v>
      </c>
      <c r="L200" s="14" t="n">
        <f aca="false">Operations!L59</f>
        <v>0.82</v>
      </c>
      <c r="M200" s="14" t="n">
        <f aca="false">Operations!M59</f>
        <v>0.8</v>
      </c>
      <c r="N200" s="14" t="n">
        <f aca="false">Operations!N59</f>
        <v>0.78</v>
      </c>
      <c r="O200" s="14" t="n">
        <f aca="false">Operations!O59</f>
        <v>0.76</v>
      </c>
      <c r="P200" s="14" t="n">
        <f aca="false">Operations!P59</f>
        <v>0.74</v>
      </c>
      <c r="Q200" s="14" t="n">
        <f aca="false">Operations!Q59</f>
        <v>0.72</v>
      </c>
      <c r="R200" s="14" t="n">
        <f aca="false">Operations!R59</f>
        <v>0.7</v>
      </c>
      <c r="S200" s="14" t="n">
        <f aca="false">Operations!S59</f>
        <v>0.68</v>
      </c>
      <c r="T200" s="14" t="n">
        <f aca="false">Operations!T59</f>
        <v>0.66</v>
      </c>
      <c r="U200" s="14" t="n">
        <f aca="false">Operations!U59</f>
        <v>0.64</v>
      </c>
      <c r="V200" s="14" t="n">
        <f aca="false">Operations!V59</f>
        <v>0.62</v>
      </c>
      <c r="W200" s="14" t="n">
        <f aca="false">Operations!W59</f>
        <v>0.6</v>
      </c>
      <c r="X200" s="14" t="n">
        <f aca="false">Operations!X59</f>
        <v>0.6</v>
      </c>
      <c r="Y200" s="14" t="n">
        <f aca="false">Operations!Y59</f>
        <v>0.6</v>
      </c>
      <c r="Z200" s="14" t="n">
        <f aca="false">Operations!Z59</f>
        <v>0.6</v>
      </c>
      <c r="AA200" s="14" t="n">
        <f aca="false">Operations!AA59</f>
        <v>0.6</v>
      </c>
      <c r="AB200" s="14" t="n">
        <f aca="false">Operations!AB59</f>
        <v>0.6</v>
      </c>
      <c r="AC200" s="14" t="n">
        <f aca="false">Operations!AC59</f>
        <v>0.6</v>
      </c>
      <c r="AD200" s="14" t="n">
        <f aca="false">Operations!AD59</f>
        <v>0.6</v>
      </c>
      <c r="AE200" s="14" t="n">
        <f aca="false">Operations!AE59</f>
        <v>0.6</v>
      </c>
      <c r="AF200" s="14" t="n">
        <f aca="false">Operations!AF59</f>
        <v>0.6</v>
      </c>
      <c r="AG200" s="14" t="n">
        <f aca="false">Operations!AG59</f>
        <v>0.6</v>
      </c>
      <c r="AH200" s="14" t="n">
        <f aca="false">Operations!AH59</f>
        <v>0.6</v>
      </c>
      <c r="AI200" s="14" t="n">
        <f aca="false">Operations!AI59</f>
        <v>0.6</v>
      </c>
      <c r="AJ200" s="14" t="n">
        <f aca="false">Operations!AJ59</f>
        <v>0.6</v>
      </c>
      <c r="AK200" s="14" t="n">
        <f aca="false">Operations!AK59</f>
        <v>0.6</v>
      </c>
      <c r="AL200" s="14" t="n">
        <f aca="false">Operations!AL59</f>
        <v>0.6</v>
      </c>
      <c r="AM200" s="14" t="n">
        <f aca="false">Operations!AM59</f>
        <v>0.6</v>
      </c>
      <c r="AN200" s="14" t="n">
        <f aca="false">Operations!AN59</f>
        <v>0.6</v>
      </c>
      <c r="AO200" s="14" t="n">
        <f aca="false">Operations!AO59</f>
        <v>0.6</v>
      </c>
      <c r="AP200" s="14" t="n">
        <f aca="false">Operations!AP59</f>
        <v>0.6</v>
      </c>
      <c r="AQ200" s="14" t="n">
        <f aca="false">Operations!AQ59</f>
        <v>0.6</v>
      </c>
      <c r="AR200" s="14" t="n">
        <f aca="false">Operations!AR59</f>
        <v>0.6</v>
      </c>
      <c r="AS200" s="14" t="n">
        <f aca="false">Operations!AS59</f>
        <v>0.6</v>
      </c>
      <c r="AT200" s="14" t="n">
        <f aca="false">Operations!AT59</f>
        <v>0.6</v>
      </c>
      <c r="AU200" s="14" t="n">
        <f aca="false">Operations!AU59</f>
        <v>0.6</v>
      </c>
    </row>
    <row r="201" customFormat="false" ht="15" hidden="false" customHeight="false" outlineLevel="0" collapsed="false">
      <c r="D201" s="0" t="s">
        <v>597</v>
      </c>
      <c r="E201" s="0" t="s">
        <v>54</v>
      </c>
      <c r="J201" s="14" t="n">
        <f aca="false">Operations!J200-Inputs!$F$52</f>
        <v>0.83</v>
      </c>
      <c r="K201" s="14" t="n">
        <f aca="false">Operations!K200-Inputs!$F$52</f>
        <v>0.81</v>
      </c>
      <c r="L201" s="14" t="n">
        <f aca="false">Operations!L200-Inputs!$F$52</f>
        <v>0.79</v>
      </c>
      <c r="M201" s="14" t="n">
        <f aca="false">Operations!M200-Inputs!$F$52</f>
        <v>0.77</v>
      </c>
      <c r="N201" s="14" t="n">
        <f aca="false">Operations!N200-Inputs!$F$52</f>
        <v>0.75</v>
      </c>
      <c r="O201" s="14" t="n">
        <f aca="false">Operations!O200-Inputs!$F$52</f>
        <v>0.73</v>
      </c>
      <c r="P201" s="14" t="n">
        <f aca="false">Operations!P200-Inputs!$F$52</f>
        <v>0.71</v>
      </c>
      <c r="Q201" s="14" t="n">
        <f aca="false">Operations!Q200-Inputs!$F$52</f>
        <v>0.69</v>
      </c>
      <c r="R201" s="14" t="n">
        <f aca="false">Operations!R200-Inputs!$F$52</f>
        <v>0.67</v>
      </c>
      <c r="S201" s="14" t="n">
        <f aca="false">Operations!S200-Inputs!$F$52</f>
        <v>0.65</v>
      </c>
      <c r="T201" s="14" t="n">
        <f aca="false">Operations!T200-Inputs!$F$52</f>
        <v>0.63</v>
      </c>
      <c r="U201" s="14" t="n">
        <f aca="false">Operations!U200-Inputs!$F$52</f>
        <v>0.61</v>
      </c>
      <c r="V201" s="14" t="n">
        <f aca="false">Operations!V200-Inputs!$F$52</f>
        <v>0.59</v>
      </c>
      <c r="W201" s="14" t="n">
        <f aca="false">Operations!W200-Inputs!$F$52</f>
        <v>0.57</v>
      </c>
      <c r="X201" s="14" t="n">
        <f aca="false">Operations!X200-Inputs!$F$52</f>
        <v>0.57</v>
      </c>
      <c r="Y201" s="14" t="n">
        <f aca="false">Operations!Y200-Inputs!$F$52</f>
        <v>0.57</v>
      </c>
      <c r="Z201" s="14" t="n">
        <f aca="false">Operations!Z200-Inputs!$F$52</f>
        <v>0.57</v>
      </c>
      <c r="AA201" s="14" t="n">
        <f aca="false">Operations!AA200-Inputs!$F$52</f>
        <v>0.57</v>
      </c>
      <c r="AB201" s="14" t="n">
        <f aca="false">Operations!AB200-Inputs!$F$52</f>
        <v>0.57</v>
      </c>
      <c r="AC201" s="14" t="n">
        <f aca="false">Operations!AC200-Inputs!$F$52</f>
        <v>0.57</v>
      </c>
      <c r="AD201" s="14" t="n">
        <f aca="false">Operations!AD200-Inputs!$F$52</f>
        <v>0.57</v>
      </c>
      <c r="AE201" s="14" t="n">
        <f aca="false">Operations!AE200-Inputs!$F$52</f>
        <v>0.57</v>
      </c>
      <c r="AF201" s="14" t="n">
        <f aca="false">Operations!AF200-Inputs!$F$52</f>
        <v>0.57</v>
      </c>
      <c r="AG201" s="14" t="n">
        <f aca="false">Operations!AG200-Inputs!$F$52</f>
        <v>0.57</v>
      </c>
      <c r="AH201" s="14" t="n">
        <f aca="false">Operations!AH200-Inputs!$F$52</f>
        <v>0.57</v>
      </c>
      <c r="AI201" s="14" t="n">
        <f aca="false">Operations!AI200-Inputs!$F$52</f>
        <v>0.57</v>
      </c>
      <c r="AJ201" s="14" t="n">
        <f aca="false">Operations!AJ200-Inputs!$F$52</f>
        <v>0.57</v>
      </c>
      <c r="AK201" s="14" t="n">
        <f aca="false">Operations!AK200-Inputs!$F$52</f>
        <v>0.57</v>
      </c>
      <c r="AL201" s="14" t="n">
        <f aca="false">Operations!AL200-Inputs!$F$52</f>
        <v>0.57</v>
      </c>
      <c r="AM201" s="14" t="n">
        <f aca="false">Operations!AM200-Inputs!$F$52</f>
        <v>0.57</v>
      </c>
      <c r="AN201" s="14" t="n">
        <f aca="false">Operations!AN200-Inputs!$F$52</f>
        <v>0.57</v>
      </c>
      <c r="AO201" s="14" t="n">
        <f aca="false">Operations!AO200-Inputs!$F$52</f>
        <v>0.57</v>
      </c>
      <c r="AP201" s="14" t="n">
        <f aca="false">Operations!AP200-Inputs!$F$52</f>
        <v>0.57</v>
      </c>
      <c r="AQ201" s="14" t="n">
        <f aca="false">Operations!AQ200-Inputs!$F$52</f>
        <v>0.57</v>
      </c>
      <c r="AR201" s="14" t="n">
        <f aca="false">Operations!AR200-Inputs!$F$52</f>
        <v>0.57</v>
      </c>
      <c r="AS201" s="14" t="n">
        <f aca="false">Operations!AS200-Inputs!$F$52</f>
        <v>0.57</v>
      </c>
      <c r="AT201" s="14" t="n">
        <f aca="false">Operations!AT200-Inputs!$F$52</f>
        <v>0.57</v>
      </c>
      <c r="AU201" s="14" t="n">
        <f aca="false">Operations!AU200-Inputs!$F$52</f>
        <v>0.57</v>
      </c>
    </row>
    <row r="202" customFormat="false" ht="15" hidden="false" customHeight="false" outlineLevel="0" collapsed="false">
      <c r="D202" s="0" t="s">
        <v>598</v>
      </c>
      <c r="E202" s="0" t="s">
        <v>96</v>
      </c>
      <c r="J202" s="18" t="n">
        <f aca="false">Operations!J194*Operations!J201</f>
        <v>59.936624</v>
      </c>
      <c r="K202" s="18" t="n">
        <f aca="false">Operations!K194*Operations!K201</f>
        <v>47.985696</v>
      </c>
      <c r="L202" s="18" t="n">
        <f aca="false">Operations!L194*Operations!L201</f>
        <v>23.018072</v>
      </c>
      <c r="M202" s="18" t="n">
        <f aca="false">Operations!M194*Operations!M201</f>
        <v>29.665328</v>
      </c>
      <c r="N202" s="18" t="n">
        <f aca="false">Operations!N194*Operations!N201</f>
        <v>32.3796</v>
      </c>
      <c r="O202" s="18" t="n">
        <f aca="false">Operations!O194*Operations!O201</f>
        <v>33.424072</v>
      </c>
      <c r="P202" s="18" t="n">
        <f aca="false">Operations!P194*Operations!P201</f>
        <v>33.745448</v>
      </c>
      <c r="Q202" s="18" t="n">
        <f aca="false">Operations!Q194*Operations!Q201</f>
        <v>33.663168</v>
      </c>
      <c r="R202" s="18" t="n">
        <f aca="false">Operations!R194*Operations!R201</f>
        <v>33.595408</v>
      </c>
      <c r="S202" s="18" t="n">
        <f aca="false">Operations!S194*Operations!S201</f>
        <v>33.246928</v>
      </c>
      <c r="T202" s="18" t="n">
        <f aca="false">Operations!T194*Operations!T201</f>
        <v>32.870376</v>
      </c>
      <c r="U202" s="18" t="n">
        <f aca="false">Operations!U194*Operations!U201</f>
        <v>32.4645904</v>
      </c>
      <c r="V202" s="18" t="n">
        <f aca="false">Operations!V194*Operations!V201</f>
        <v>32.0284096</v>
      </c>
      <c r="W202" s="18" t="n">
        <f aca="false">Operations!W194*Operations!W201</f>
        <v>31.560672</v>
      </c>
      <c r="X202" s="18" t="n">
        <f aca="false">Operations!X194*Operations!X201</f>
        <v>32.1896784</v>
      </c>
      <c r="Y202" s="18" t="n">
        <f aca="false">Operations!Y194*Operations!Y201</f>
        <v>32.8352376</v>
      </c>
      <c r="Z202" s="18" t="n">
        <f aca="false">Operations!Z194*Operations!Z201</f>
        <v>33.491832</v>
      </c>
      <c r="AA202" s="18" t="n">
        <f aca="false">Operations!AA194*Operations!AA201</f>
        <v>34.1594616</v>
      </c>
      <c r="AB202" s="18" t="n">
        <f aca="false">Operations!AB194*Operations!AB201</f>
        <v>34.843644</v>
      </c>
      <c r="AC202" s="18" t="n">
        <f aca="false">Operations!AC194*Operations!AC201</f>
        <v>35.5388616</v>
      </c>
      <c r="AD202" s="18" t="n">
        <f aca="false">Operations!AD194*Operations!AD201</f>
        <v>36.250632</v>
      </c>
      <c r="AE202" s="18" t="n">
        <f aca="false">Operations!AE194*Operations!AE201</f>
        <v>36.9734376</v>
      </c>
      <c r="AF202" s="18" t="n">
        <f aca="false">Operations!AF194*Operations!AF201</f>
        <v>37.712796</v>
      </c>
      <c r="AG202" s="18" t="n">
        <f aca="false">Operations!AG194*Operations!AG201</f>
        <v>38.4687072</v>
      </c>
      <c r="AH202" s="18" t="n">
        <f aca="false">Operations!AH194*Operations!AH201</f>
        <v>39.2356536</v>
      </c>
      <c r="AI202" s="18" t="n">
        <f aca="false">Operations!AI194*Operations!AI201</f>
        <v>40.0191528</v>
      </c>
      <c r="AJ202" s="18" t="n">
        <f aca="false">Operations!AJ194*Operations!AJ201</f>
        <v>40.8192048</v>
      </c>
      <c r="AK202" s="18" t="n">
        <f aca="false">Operations!AK194*Operations!AK201</f>
        <v>41.6358096</v>
      </c>
      <c r="AL202" s="18" t="n">
        <f aca="false">Operations!AL194*Operations!AL201</f>
        <v>42.4689672</v>
      </c>
      <c r="AM202" s="18" t="n">
        <f aca="false">Operations!AM194*Operations!AM201</f>
        <v>43.3186776</v>
      </c>
      <c r="AN202" s="18" t="n">
        <f aca="false">Operations!AN194*Operations!AN201</f>
        <v>44.1849408</v>
      </c>
      <c r="AO202" s="18" t="n">
        <f aca="false">Operations!AO194*Operations!AO201</f>
        <v>45.0677568</v>
      </c>
      <c r="AP202" s="18" t="n">
        <f aca="false">Operations!AP194*Operations!AP201</f>
        <v>45.9671256</v>
      </c>
      <c r="AQ202" s="18" t="n">
        <f aca="false">Operations!AQ194*Operations!AQ201</f>
        <v>46.8885648</v>
      </c>
      <c r="AR202" s="18" t="n">
        <f aca="false">Operations!AR194*Operations!AR201</f>
        <v>47.8265568</v>
      </c>
      <c r="AS202" s="18" t="n">
        <f aca="false">Operations!AS194*Operations!AS201</f>
        <v>48.7811016</v>
      </c>
      <c r="AT202" s="18" t="n">
        <f aca="false">Operations!AT194*Operations!AT201</f>
        <v>49.7577168</v>
      </c>
      <c r="AU202" s="18" t="n">
        <f aca="false">Operations!AU194*Operations!AU201</f>
        <v>50.7508848</v>
      </c>
    </row>
    <row r="203" customFormat="false" ht="15" hidden="false" customHeight="false" outlineLevel="0" collapsed="false">
      <c r="D203" s="0" t="s">
        <v>599</v>
      </c>
      <c r="E203" s="0" t="s">
        <v>458</v>
      </c>
      <c r="J203" s="14" t="n">
        <f aca="false">MAX(0,MIN(Inputs!$F$210,Time!J$6)-MAX(Inputs!$F$209-1,Time!J$5))/Time!J$7</f>
        <v>1</v>
      </c>
      <c r="K203" s="14" t="n">
        <f aca="false">MAX(0,MIN(Inputs!$F$210,Time!K$6)-MAX(Inputs!$F$209-1,Time!K$5))/Time!K$7</f>
        <v>1</v>
      </c>
      <c r="L203" s="14" t="n">
        <f aca="false">MAX(0,MIN(Inputs!$F$210,Time!L$6)-MAX(Inputs!$F$209-1,Time!L$5))/Time!L$7</f>
        <v>1</v>
      </c>
      <c r="M203" s="14" t="n">
        <f aca="false">MAX(0,MIN(Inputs!$F$210,Time!M$6)-MAX(Inputs!$F$209-1,Time!M$5))/Time!M$7</f>
        <v>1</v>
      </c>
      <c r="N203" s="14" t="n">
        <f aca="false">MAX(0,MIN(Inputs!$F$210,Time!N$6)-MAX(Inputs!$F$209-1,Time!N$5))/Time!N$7</f>
        <v>1</v>
      </c>
      <c r="O203" s="14" t="n">
        <f aca="false">MAX(0,MIN(Inputs!$F$210,Time!O$6)-MAX(Inputs!$F$209-1,Time!O$5))/Time!O$7</f>
        <v>0</v>
      </c>
      <c r="P203" s="14" t="n">
        <f aca="false">MAX(0,MIN(Inputs!$F$210,Time!P$6)-MAX(Inputs!$F$209-1,Time!P$5))/Time!P$7</f>
        <v>0</v>
      </c>
      <c r="Q203" s="14" t="n">
        <f aca="false">MAX(0,MIN(Inputs!$F$210,Time!Q$6)-MAX(Inputs!$F$209-1,Time!Q$5))/Time!Q$7</f>
        <v>0</v>
      </c>
      <c r="R203" s="14" t="n">
        <f aca="false">MAX(0,MIN(Inputs!$F$210,Time!R$6)-MAX(Inputs!$F$209-1,Time!R$5))/Time!R$7</f>
        <v>0</v>
      </c>
      <c r="S203" s="14" t="n">
        <f aca="false">MAX(0,MIN(Inputs!$F$210,Time!S$6)-MAX(Inputs!$F$209-1,Time!S$5))/Time!S$7</f>
        <v>0</v>
      </c>
      <c r="T203" s="14" t="n">
        <f aca="false">MAX(0,MIN(Inputs!$F$210,Time!T$6)-MAX(Inputs!$F$209-1,Time!T$5))/Time!T$7</f>
        <v>0</v>
      </c>
      <c r="U203" s="14" t="n">
        <f aca="false">MAX(0,MIN(Inputs!$F$210,Time!U$6)-MAX(Inputs!$F$209-1,Time!U$5))/Time!U$7</f>
        <v>0</v>
      </c>
      <c r="V203" s="14" t="n">
        <f aca="false">MAX(0,MIN(Inputs!$F$210,Time!V$6)-MAX(Inputs!$F$209-1,Time!V$5))/Time!V$7</f>
        <v>0</v>
      </c>
      <c r="W203" s="14" t="n">
        <f aca="false">MAX(0,MIN(Inputs!$F$210,Time!W$6)-MAX(Inputs!$F$209-1,Time!W$5))/Time!W$7</f>
        <v>0</v>
      </c>
      <c r="X203" s="14" t="n">
        <f aca="false">MAX(0,MIN(Inputs!$F$210,Time!X$6)-MAX(Inputs!$F$209-1,Time!X$5))/Time!X$7</f>
        <v>0</v>
      </c>
      <c r="Y203" s="14" t="n">
        <f aca="false">MAX(0,MIN(Inputs!$F$210,Time!Y$6)-MAX(Inputs!$F$209-1,Time!Y$5))/Time!Y$7</f>
        <v>0</v>
      </c>
      <c r="Z203" s="14" t="n">
        <f aca="false">MAX(0,MIN(Inputs!$F$210,Time!Z$6)-MAX(Inputs!$F$209-1,Time!Z$5))/Time!Z$7</f>
        <v>0</v>
      </c>
      <c r="AA203" s="14" t="n">
        <f aca="false">MAX(0,MIN(Inputs!$F$210,Time!AA$6)-MAX(Inputs!$F$209-1,Time!AA$5))/Time!AA$7</f>
        <v>0</v>
      </c>
      <c r="AB203" s="14" t="n">
        <f aca="false">MAX(0,MIN(Inputs!$F$210,Time!AB$6)-MAX(Inputs!$F$209-1,Time!AB$5))/Time!AB$7</f>
        <v>0</v>
      </c>
      <c r="AC203" s="14" t="n">
        <f aca="false">MAX(0,MIN(Inputs!$F$210,Time!AC$6)-MAX(Inputs!$F$209-1,Time!AC$5))/Time!AC$7</f>
        <v>0</v>
      </c>
      <c r="AD203" s="14" t="n">
        <f aca="false">MAX(0,MIN(Inputs!$F$210,Time!AD$6)-MAX(Inputs!$F$209-1,Time!AD$5))/Time!AD$7</f>
        <v>0</v>
      </c>
      <c r="AE203" s="14" t="n">
        <f aca="false">MAX(0,MIN(Inputs!$F$210,Time!AE$6)-MAX(Inputs!$F$209-1,Time!AE$5))/Time!AE$7</f>
        <v>0</v>
      </c>
      <c r="AF203" s="14" t="n">
        <f aca="false">MAX(0,MIN(Inputs!$F$210,Time!AF$6)-MAX(Inputs!$F$209-1,Time!AF$5))/Time!AF$7</f>
        <v>0</v>
      </c>
      <c r="AG203" s="14" t="n">
        <f aca="false">MAX(0,MIN(Inputs!$F$210,Time!AG$6)-MAX(Inputs!$F$209-1,Time!AG$5))/Time!AG$7</f>
        <v>0</v>
      </c>
      <c r="AH203" s="14" t="n">
        <f aca="false">MAX(0,MIN(Inputs!$F$210,Time!AH$6)-MAX(Inputs!$F$209-1,Time!AH$5))/Time!AH$7</f>
        <v>0</v>
      </c>
      <c r="AI203" s="14" t="n">
        <f aca="false">MAX(0,MIN(Inputs!$F$210,Time!AI$6)-MAX(Inputs!$F$209-1,Time!AI$5))/Time!AI$7</f>
        <v>0</v>
      </c>
      <c r="AJ203" s="14" t="n">
        <f aca="false">MAX(0,MIN(Inputs!$F$210,Time!AJ$6)-MAX(Inputs!$F$209-1,Time!AJ$5))/Time!AJ$7</f>
        <v>0</v>
      </c>
      <c r="AK203" s="14" t="n">
        <f aca="false">MAX(0,MIN(Inputs!$F$210,Time!AK$6)-MAX(Inputs!$F$209-1,Time!AK$5))/Time!AK$7</f>
        <v>0</v>
      </c>
      <c r="AL203" s="14" t="n">
        <f aca="false">MAX(0,MIN(Inputs!$F$210,Time!AL$6)-MAX(Inputs!$F$209-1,Time!AL$5))/Time!AL$7</f>
        <v>0</v>
      </c>
      <c r="AM203" s="14" t="n">
        <f aca="false">MAX(0,MIN(Inputs!$F$210,Time!AM$6)-MAX(Inputs!$F$209-1,Time!AM$5))/Time!AM$7</f>
        <v>0</v>
      </c>
      <c r="AN203" s="14" t="n">
        <f aca="false">MAX(0,MIN(Inputs!$F$210,Time!AN$6)-MAX(Inputs!$F$209-1,Time!AN$5))/Time!AN$7</f>
        <v>0</v>
      </c>
      <c r="AO203" s="14" t="n">
        <f aca="false">MAX(0,MIN(Inputs!$F$210,Time!AO$6)-MAX(Inputs!$F$209-1,Time!AO$5))/Time!AO$7</f>
        <v>0</v>
      </c>
      <c r="AP203" s="14" t="n">
        <f aca="false">MAX(0,MIN(Inputs!$F$210,Time!AP$6)-MAX(Inputs!$F$209-1,Time!AP$5))/Time!AP$7</f>
        <v>0</v>
      </c>
      <c r="AQ203" s="14" t="n">
        <f aca="false">MAX(0,MIN(Inputs!$F$210,Time!AQ$6)-MAX(Inputs!$F$209-1,Time!AQ$5))/Time!AQ$7</f>
        <v>0</v>
      </c>
      <c r="AR203" s="14" t="n">
        <f aca="false">MAX(0,MIN(Inputs!$F$210,Time!AR$6)-MAX(Inputs!$F$209-1,Time!AR$5))/Time!AR$7</f>
        <v>0</v>
      </c>
      <c r="AS203" s="14" t="n">
        <f aca="false">MAX(0,MIN(Inputs!$F$210,Time!AS$6)-MAX(Inputs!$F$209-1,Time!AS$5))/Time!AS$7</f>
        <v>0</v>
      </c>
      <c r="AT203" s="14" t="n">
        <f aca="false">MAX(0,MIN(Inputs!$F$210,Time!AT$6)-MAX(Inputs!$F$209-1,Time!AT$5))/Time!AT$7</f>
        <v>0</v>
      </c>
      <c r="AU203" s="14" t="n">
        <f aca="false">MAX(0,MIN(Inputs!$F$210,Time!AU$6)-MAX(Inputs!$F$209-1,Time!AU$5))/Time!AU$7</f>
        <v>0</v>
      </c>
    </row>
    <row r="204" customFormat="false" ht="15" hidden="false" customHeight="false" outlineLevel="0" collapsed="false">
      <c r="D204" s="0" t="s">
        <v>240</v>
      </c>
      <c r="E204" s="0" t="s">
        <v>466</v>
      </c>
      <c r="J204" s="20" t="n">
        <f aca="false">Inputs!$F$207*Operations!J203</f>
        <v>168.4</v>
      </c>
      <c r="K204" s="20" t="n">
        <f aca="false">Inputs!$F$207*Operations!K203</f>
        <v>168.4</v>
      </c>
      <c r="L204" s="20" t="n">
        <f aca="false">Inputs!$F$207*Operations!L203</f>
        <v>168.4</v>
      </c>
      <c r="M204" s="20" t="n">
        <f aca="false">Inputs!$F$207*Operations!M203</f>
        <v>168.4</v>
      </c>
      <c r="N204" s="20" t="n">
        <f aca="false">Inputs!$F$207*Operations!N203</f>
        <v>168.4</v>
      </c>
      <c r="O204" s="20" t="n">
        <f aca="false">Inputs!$F$207*Operations!O203</f>
        <v>0</v>
      </c>
      <c r="P204" s="20" t="n">
        <f aca="false">Inputs!$F$207*Operations!P203</f>
        <v>0</v>
      </c>
      <c r="Q204" s="20" t="n">
        <f aca="false">Inputs!$F$207*Operations!Q203</f>
        <v>0</v>
      </c>
      <c r="R204" s="20" t="n">
        <f aca="false">Inputs!$F$207*Operations!R203</f>
        <v>0</v>
      </c>
      <c r="S204" s="20" t="n">
        <f aca="false">Inputs!$F$207*Operations!S203</f>
        <v>0</v>
      </c>
      <c r="T204" s="20" t="n">
        <f aca="false">Inputs!$F$207*Operations!T203</f>
        <v>0</v>
      </c>
      <c r="U204" s="20" t="n">
        <f aca="false">Inputs!$F$207*Operations!U203</f>
        <v>0</v>
      </c>
      <c r="V204" s="20" t="n">
        <f aca="false">Inputs!$F$207*Operations!V203</f>
        <v>0</v>
      </c>
      <c r="W204" s="20" t="n">
        <f aca="false">Inputs!$F$207*Operations!W203</f>
        <v>0</v>
      </c>
      <c r="X204" s="20" t="n">
        <f aca="false">Inputs!$F$207*Operations!X203</f>
        <v>0</v>
      </c>
      <c r="Y204" s="20" t="n">
        <f aca="false">Inputs!$F$207*Operations!Y203</f>
        <v>0</v>
      </c>
      <c r="Z204" s="20" t="n">
        <f aca="false">Inputs!$F$207*Operations!Z203</f>
        <v>0</v>
      </c>
      <c r="AA204" s="20" t="n">
        <f aca="false">Inputs!$F$207*Operations!AA203</f>
        <v>0</v>
      </c>
      <c r="AB204" s="20" t="n">
        <f aca="false">Inputs!$F$207*Operations!AB203</f>
        <v>0</v>
      </c>
      <c r="AC204" s="20" t="n">
        <f aca="false">Inputs!$F$207*Operations!AC203</f>
        <v>0</v>
      </c>
      <c r="AD204" s="20" t="n">
        <f aca="false">Inputs!$F$207*Operations!AD203</f>
        <v>0</v>
      </c>
      <c r="AE204" s="20" t="n">
        <f aca="false">Inputs!$F$207*Operations!AE203</f>
        <v>0</v>
      </c>
      <c r="AF204" s="20" t="n">
        <f aca="false">Inputs!$F$207*Operations!AF203</f>
        <v>0</v>
      </c>
      <c r="AG204" s="20" t="n">
        <f aca="false">Inputs!$F$207*Operations!AG203</f>
        <v>0</v>
      </c>
      <c r="AH204" s="20" t="n">
        <f aca="false">Inputs!$F$207*Operations!AH203</f>
        <v>0</v>
      </c>
      <c r="AI204" s="20" t="n">
        <f aca="false">Inputs!$F$207*Operations!AI203</f>
        <v>0</v>
      </c>
      <c r="AJ204" s="20" t="n">
        <f aca="false">Inputs!$F$207*Operations!AJ203</f>
        <v>0</v>
      </c>
      <c r="AK204" s="20" t="n">
        <f aca="false">Inputs!$F$207*Operations!AK203</f>
        <v>0</v>
      </c>
      <c r="AL204" s="20" t="n">
        <f aca="false">Inputs!$F$207*Operations!AL203</f>
        <v>0</v>
      </c>
      <c r="AM204" s="20" t="n">
        <f aca="false">Inputs!$F$207*Operations!AM203</f>
        <v>0</v>
      </c>
      <c r="AN204" s="20" t="n">
        <f aca="false">Inputs!$F$207*Operations!AN203</f>
        <v>0</v>
      </c>
      <c r="AO204" s="20" t="n">
        <f aca="false">Inputs!$F$207*Operations!AO203</f>
        <v>0</v>
      </c>
      <c r="AP204" s="20" t="n">
        <f aca="false">Inputs!$F$207*Operations!AP203</f>
        <v>0</v>
      </c>
      <c r="AQ204" s="20" t="n">
        <f aca="false">Inputs!$F$207*Operations!AQ203</f>
        <v>0</v>
      </c>
      <c r="AR204" s="20" t="n">
        <f aca="false">Inputs!$F$207*Operations!AR203</f>
        <v>0</v>
      </c>
      <c r="AS204" s="20" t="n">
        <f aca="false">Inputs!$F$207*Operations!AS203</f>
        <v>0</v>
      </c>
      <c r="AT204" s="20" t="n">
        <f aca="false">Inputs!$F$207*Operations!AT203</f>
        <v>0</v>
      </c>
      <c r="AU204" s="20" t="n">
        <f aca="false">Inputs!$F$207*Operations!AU203</f>
        <v>0</v>
      </c>
    </row>
    <row r="205" customFormat="false" ht="15" hidden="false" customHeight="false" outlineLevel="0" collapsed="false">
      <c r="D205" s="0" t="s">
        <v>600</v>
      </c>
      <c r="E205" s="0" t="s">
        <v>47</v>
      </c>
      <c r="G205" s="20" t="n">
        <f aca="false">SUM(J205:AU205)</f>
        <v>3.4094210112</v>
      </c>
      <c r="J205" s="20" t="n">
        <f aca="false">Operations!J204*(Inputs!$F$208-Operations!J194*Operations!J200)/1000</f>
        <v>-3.0317065472</v>
      </c>
      <c r="K205" s="20" t="n">
        <f aca="false">Operations!K204*(Inputs!$F$208-Operations!K194*Operations!K200)/1000</f>
        <v>-0.953639769599999</v>
      </c>
      <c r="L205" s="20" t="n">
        <f aca="false">Operations!L204*(Inputs!$F$208-Operations!L194*Operations!L200)/1000</f>
        <v>3.4029975616</v>
      </c>
      <c r="M205" s="20" t="n">
        <f aca="false">Operations!M204*(Inputs!$F$208-Operations!M194*Operations!M200)/1000</f>
        <v>2.236163392</v>
      </c>
      <c r="N205" s="20" t="n">
        <f aca="false">Operations!N204*(Inputs!$F$208-Operations!N194*Operations!N200)/1000</f>
        <v>1.7556063744</v>
      </c>
      <c r="O205" s="20" t="n">
        <f aca="false">Operations!O204*(Inputs!$F$208-Operations!O194*Operations!O200)/1000</f>
        <v>0</v>
      </c>
      <c r="P205" s="20" t="n">
        <f aca="false">Operations!P204*(Inputs!$F$208-Operations!P194*Operations!P200)/1000</f>
        <v>0</v>
      </c>
      <c r="Q205" s="20" t="n">
        <f aca="false">Operations!Q204*(Inputs!$F$208-Operations!Q194*Operations!Q200)/1000</f>
        <v>0</v>
      </c>
      <c r="R205" s="20" t="n">
        <f aca="false">Operations!R204*(Inputs!$F$208-Operations!R194*Operations!R200)/1000</f>
        <v>0</v>
      </c>
      <c r="S205" s="20" t="n">
        <f aca="false">Operations!S204*(Inputs!$F$208-Operations!S194*Operations!S200)/1000</f>
        <v>0</v>
      </c>
      <c r="T205" s="20" t="n">
        <f aca="false">Operations!T204*(Inputs!$F$208-Operations!T194*Operations!T200)/1000</f>
        <v>0</v>
      </c>
      <c r="U205" s="20" t="n">
        <f aca="false">Operations!U204*(Inputs!$F$208-Operations!U194*Operations!U200)/1000</f>
        <v>0</v>
      </c>
      <c r="V205" s="20" t="n">
        <f aca="false">Operations!V204*(Inputs!$F$208-Operations!V194*Operations!V200)/1000</f>
        <v>0</v>
      </c>
      <c r="W205" s="20" t="n">
        <f aca="false">Operations!W204*(Inputs!$F$208-Operations!W194*Operations!W200)/1000</f>
        <v>0</v>
      </c>
      <c r="X205" s="20" t="n">
        <f aca="false">Operations!X204*(Inputs!$F$208-Operations!X194*Operations!X200)/1000</f>
        <v>0</v>
      </c>
      <c r="Y205" s="20" t="n">
        <f aca="false">Operations!Y204*(Inputs!$F$208-Operations!Y194*Operations!Y200)/1000</f>
        <v>0</v>
      </c>
      <c r="Z205" s="20" t="n">
        <f aca="false">Operations!Z204*(Inputs!$F$208-Operations!Z194*Operations!Z200)/1000</f>
        <v>0</v>
      </c>
      <c r="AA205" s="20" t="n">
        <f aca="false">Operations!AA204*(Inputs!$F$208-Operations!AA194*Operations!AA200)/1000</f>
        <v>0</v>
      </c>
      <c r="AB205" s="20" t="n">
        <f aca="false">Operations!AB204*(Inputs!$F$208-Operations!AB194*Operations!AB200)/1000</f>
        <v>0</v>
      </c>
      <c r="AC205" s="20" t="n">
        <f aca="false">Operations!AC204*(Inputs!$F$208-Operations!AC194*Operations!AC200)/1000</f>
        <v>0</v>
      </c>
      <c r="AD205" s="20" t="n">
        <f aca="false">Operations!AD204*(Inputs!$F$208-Operations!AD194*Operations!AD200)/1000</f>
        <v>0</v>
      </c>
      <c r="AE205" s="20" t="n">
        <f aca="false">Operations!AE204*(Inputs!$F$208-Operations!AE194*Operations!AE200)/1000</f>
        <v>0</v>
      </c>
      <c r="AF205" s="20" t="n">
        <f aca="false">Operations!AF204*(Inputs!$F$208-Operations!AF194*Operations!AF200)/1000</f>
        <v>0</v>
      </c>
      <c r="AG205" s="20" t="n">
        <f aca="false">Operations!AG204*(Inputs!$F$208-Operations!AG194*Operations!AG200)/1000</f>
        <v>0</v>
      </c>
      <c r="AH205" s="20" t="n">
        <f aca="false">Operations!AH204*(Inputs!$F$208-Operations!AH194*Operations!AH200)/1000</f>
        <v>0</v>
      </c>
      <c r="AI205" s="20" t="n">
        <f aca="false">Operations!AI204*(Inputs!$F$208-Operations!AI194*Operations!AI200)/1000</f>
        <v>0</v>
      </c>
      <c r="AJ205" s="20" t="n">
        <f aca="false">Operations!AJ204*(Inputs!$F$208-Operations!AJ194*Operations!AJ200)/1000</f>
        <v>0</v>
      </c>
      <c r="AK205" s="20" t="n">
        <f aca="false">Operations!AK204*(Inputs!$F$208-Operations!AK194*Operations!AK200)/1000</f>
        <v>0</v>
      </c>
      <c r="AL205" s="20" t="n">
        <f aca="false">Operations!AL204*(Inputs!$F$208-Operations!AL194*Operations!AL200)/1000</f>
        <v>-0</v>
      </c>
      <c r="AM205" s="20" t="n">
        <f aca="false">Operations!AM204*(Inputs!$F$208-Operations!AM194*Operations!AM200)/1000</f>
        <v>-0</v>
      </c>
      <c r="AN205" s="20" t="n">
        <f aca="false">Operations!AN204*(Inputs!$F$208-Operations!AN194*Operations!AN200)/1000</f>
        <v>-0</v>
      </c>
      <c r="AO205" s="20" t="n">
        <f aca="false">Operations!AO204*(Inputs!$F$208-Operations!AO194*Operations!AO200)/1000</f>
        <v>-0</v>
      </c>
      <c r="AP205" s="20" t="n">
        <f aca="false">Operations!AP204*(Inputs!$F$208-Operations!AP194*Operations!AP200)/1000</f>
        <v>-0</v>
      </c>
      <c r="AQ205" s="20" t="n">
        <f aca="false">Operations!AQ204*(Inputs!$F$208-Operations!AQ194*Operations!AQ200)/1000</f>
        <v>-0</v>
      </c>
      <c r="AR205" s="20" t="n">
        <f aca="false">Operations!AR204*(Inputs!$F$208-Operations!AR194*Operations!AR200)/1000</f>
        <v>-0</v>
      </c>
      <c r="AS205" s="20" t="n">
        <f aca="false">Operations!AS204*(Inputs!$F$208-Operations!AS194*Operations!AS200)/1000</f>
        <v>-0</v>
      </c>
      <c r="AT205" s="20" t="n">
        <f aca="false">Operations!AT204*(Inputs!$F$208-Operations!AT194*Operations!AT200)/1000</f>
        <v>-0</v>
      </c>
      <c r="AU205" s="20" t="n">
        <f aca="false">Operations!AU204*(Inputs!$F$208-Operations!AU194*Operations!AU200)/1000</f>
        <v>-0</v>
      </c>
    </row>
    <row r="206" customFormat="false" ht="15" hidden="false" customHeight="false" outlineLevel="0" collapsed="false">
      <c r="D206" s="0" t="s">
        <v>601</v>
      </c>
      <c r="E206" s="0" t="s">
        <v>466</v>
      </c>
      <c r="J206" s="20" t="n">
        <f aca="false">Operations!J199</f>
        <v>229.614</v>
      </c>
      <c r="K206" s="20" t="n">
        <f aca="false">Operations!K199</f>
        <v>227.41450875</v>
      </c>
      <c r="L206" s="20" t="n">
        <f aca="false">Operations!L199</f>
        <v>225.23016323775</v>
      </c>
      <c r="M206" s="20" t="n">
        <f aca="false">Operations!M199</f>
        <v>223.060871691308</v>
      </c>
      <c r="N206" s="20" t="n">
        <f aca="false">Operations!N199</f>
        <v>222.057097768697</v>
      </c>
      <c r="O206" s="20" t="n">
        <f aca="false">Operations!O199</f>
        <v>221.057840828738</v>
      </c>
      <c r="P206" s="20" t="n">
        <f aca="false">Operations!P199</f>
        <v>220.063080545009</v>
      </c>
      <c r="Q206" s="20" t="n">
        <f aca="false">Operations!Q199</f>
        <v>219.072796682556</v>
      </c>
      <c r="R206" s="20" t="n">
        <f aca="false">Operations!R199</f>
        <v>218.086969097485</v>
      </c>
      <c r="S206" s="20" t="n">
        <f aca="false">Operations!S199</f>
        <v>217.105577736546</v>
      </c>
      <c r="T206" s="20" t="n">
        <f aca="false">Operations!T199</f>
        <v>216.128602636732</v>
      </c>
      <c r="U206" s="20" t="n">
        <f aca="false">Operations!U199</f>
        <v>215.156023924866</v>
      </c>
      <c r="V206" s="20" t="n">
        <f aca="false">Operations!V199</f>
        <v>214.187821817204</v>
      </c>
      <c r="W206" s="20" t="n">
        <f aca="false">Operations!W199</f>
        <v>213.223976619027</v>
      </c>
      <c r="X206" s="20" t="n">
        <f aca="false">Operations!X199</f>
        <v>212.264468724241</v>
      </c>
      <c r="Y206" s="20" t="n">
        <f aca="false">Operations!Y199</f>
        <v>211.309278614982</v>
      </c>
      <c r="Z206" s="20" t="n">
        <f aca="false">Operations!Z199</f>
        <v>210.358386861215</v>
      </c>
      <c r="AA206" s="20" t="n">
        <f aca="false">Operations!AA199</f>
        <v>209.41177412034</v>
      </c>
      <c r="AB206" s="20" t="n">
        <f aca="false">Operations!AB199</f>
        <v>208.469421136798</v>
      </c>
      <c r="AC206" s="20" t="n">
        <f aca="false">Operations!AC199</f>
        <v>207.531308741682</v>
      </c>
      <c r="AD206" s="20" t="n">
        <f aca="false">Operations!AD199</f>
        <v>206.597417852345</v>
      </c>
      <c r="AE206" s="20" t="n">
        <f aca="false">Operations!AE199</f>
        <v>205.667729472009</v>
      </c>
      <c r="AF206" s="20" t="n">
        <f aca="false">Operations!AF199</f>
        <v>204.742224689385</v>
      </c>
      <c r="AG206" s="20" t="n">
        <f aca="false">Operations!AG199</f>
        <v>203.820884678283</v>
      </c>
      <c r="AH206" s="20" t="n">
        <f aca="false">Operations!AH199</f>
        <v>202.903690697231</v>
      </c>
      <c r="AI206" s="20" t="n">
        <f aca="false">Operations!AI199</f>
        <v>201.990624089093</v>
      </c>
      <c r="AJ206" s="20" t="n">
        <f aca="false">Operations!AJ199</f>
        <v>201.081666280692</v>
      </c>
      <c r="AK206" s="20" t="n">
        <f aca="false">Operations!AK199</f>
        <v>200.176798782429</v>
      </c>
      <c r="AL206" s="20" t="n">
        <f aca="false">Operations!AL199</f>
        <v>199.276003187908</v>
      </c>
      <c r="AM206" s="20" t="n">
        <f aca="false">Operations!AM199</f>
        <v>198.379261173563</v>
      </c>
      <c r="AN206" s="20" t="n">
        <f aca="false">Operations!AN199</f>
        <v>197.486554498282</v>
      </c>
      <c r="AO206" s="20" t="n">
        <f aca="false">Operations!AO199</f>
        <v>196.59786500304</v>
      </c>
      <c r="AP206" s="20" t="n">
        <f aca="false">Operations!AP199</f>
        <v>195.713174610526</v>
      </c>
      <c r="AQ206" s="20" t="n">
        <f aca="false">Operations!AQ199</f>
        <v>162.27142317461</v>
      </c>
      <c r="AR206" s="20" t="n">
        <f aca="false">Operations!AR199</f>
        <v>0</v>
      </c>
      <c r="AS206" s="20" t="n">
        <f aca="false">Operations!AS199</f>
        <v>0</v>
      </c>
      <c r="AT206" s="20" t="n">
        <f aca="false">Operations!AT199</f>
        <v>0</v>
      </c>
      <c r="AU206" s="20" t="n">
        <f aca="false">Operations!AU199</f>
        <v>0</v>
      </c>
    </row>
    <row r="207" customFormat="false" ht="15" hidden="false" customHeight="false" outlineLevel="0" collapsed="false">
      <c r="D207" s="0" t="s">
        <v>602</v>
      </c>
      <c r="E207" s="0" t="s">
        <v>47</v>
      </c>
      <c r="J207" s="20" t="n">
        <f aca="false">0</f>
        <v>0</v>
      </c>
      <c r="K207" s="20" t="n">
        <f aca="false">0</f>
        <v>0</v>
      </c>
      <c r="L207" s="20" t="n">
        <f aca="false">0</f>
        <v>0</v>
      </c>
      <c r="M207" s="20" t="n">
        <f aca="false">0</f>
        <v>0</v>
      </c>
      <c r="N207" s="20" t="n">
        <f aca="false">0</f>
        <v>0</v>
      </c>
      <c r="O207" s="20" t="n">
        <f aca="false">0</f>
        <v>0</v>
      </c>
      <c r="P207" s="20" t="n">
        <f aca="false">0</f>
        <v>0</v>
      </c>
      <c r="Q207" s="20" t="n">
        <f aca="false">0</f>
        <v>0</v>
      </c>
      <c r="R207" s="20" t="n">
        <f aca="false">0</f>
        <v>0</v>
      </c>
      <c r="S207" s="20" t="n">
        <f aca="false">0</f>
        <v>0</v>
      </c>
      <c r="T207" s="20" t="n">
        <f aca="false">0</f>
        <v>0</v>
      </c>
      <c r="U207" s="20" t="n">
        <f aca="false">0</f>
        <v>0</v>
      </c>
      <c r="V207" s="20" t="n">
        <f aca="false">0</f>
        <v>0</v>
      </c>
      <c r="W207" s="20" t="n">
        <f aca="false">0</f>
        <v>0</v>
      </c>
      <c r="X207" s="20" t="n">
        <f aca="false">0</f>
        <v>0</v>
      </c>
      <c r="Y207" s="20" t="n">
        <f aca="false">0</f>
        <v>0</v>
      </c>
      <c r="Z207" s="20" t="n">
        <f aca="false">0</f>
        <v>0</v>
      </c>
      <c r="AA207" s="20" t="n">
        <f aca="false">0</f>
        <v>0</v>
      </c>
      <c r="AB207" s="20" t="n">
        <f aca="false">0</f>
        <v>0</v>
      </c>
      <c r="AC207" s="20" t="n">
        <f aca="false">0</f>
        <v>0</v>
      </c>
      <c r="AD207" s="20" t="n">
        <f aca="false">0</f>
        <v>0</v>
      </c>
      <c r="AE207" s="20" t="n">
        <f aca="false">0</f>
        <v>0</v>
      </c>
      <c r="AF207" s="20" t="n">
        <f aca="false">0</f>
        <v>0</v>
      </c>
      <c r="AG207" s="20" t="n">
        <f aca="false">0</f>
        <v>0</v>
      </c>
      <c r="AH207" s="20" t="n">
        <f aca="false">0</f>
        <v>0</v>
      </c>
      <c r="AI207" s="20" t="n">
        <f aca="false">0</f>
        <v>0</v>
      </c>
      <c r="AJ207" s="20" t="n">
        <f aca="false">0</f>
        <v>0</v>
      </c>
      <c r="AK207" s="20" t="n">
        <f aca="false">0</f>
        <v>0</v>
      </c>
      <c r="AL207" s="20" t="n">
        <f aca="false">0</f>
        <v>0</v>
      </c>
      <c r="AM207" s="20" t="n">
        <f aca="false">0</f>
        <v>0</v>
      </c>
      <c r="AN207" s="20" t="n">
        <f aca="false">0</f>
        <v>0</v>
      </c>
      <c r="AO207" s="20" t="n">
        <f aca="false">0</f>
        <v>0</v>
      </c>
      <c r="AP207" s="20" t="n">
        <f aca="false">0</f>
        <v>0</v>
      </c>
      <c r="AQ207" s="20" t="n">
        <f aca="false">0</f>
        <v>0</v>
      </c>
      <c r="AR207" s="20" t="n">
        <f aca="false">0</f>
        <v>0</v>
      </c>
      <c r="AS207" s="20" t="n">
        <f aca="false">0</f>
        <v>0</v>
      </c>
      <c r="AT207" s="20" t="n">
        <f aca="false">0</f>
        <v>0</v>
      </c>
      <c r="AU207" s="20" t="n">
        <f aca="false">0</f>
        <v>0</v>
      </c>
    </row>
    <row r="208" customFormat="false" ht="15" hidden="false" customHeight="false" outlineLevel="0" collapsed="false">
      <c r="D208" s="0" t="s">
        <v>603</v>
      </c>
      <c r="E208" s="0" t="s">
        <v>47</v>
      </c>
      <c r="J208" s="20" t="n">
        <f aca="false">Operations!J204*Inputs!$F$208/1000</f>
        <v>7.42644</v>
      </c>
      <c r="K208" s="20" t="n">
        <f aca="false">Operations!K204*Inputs!$F$208/1000</f>
        <v>7.42644</v>
      </c>
      <c r="L208" s="20" t="n">
        <f aca="false">Operations!L204*Inputs!$F$208/1000</f>
        <v>7.42644</v>
      </c>
      <c r="M208" s="20" t="n">
        <f aca="false">Operations!M204*Inputs!$F$208/1000</f>
        <v>7.42644</v>
      </c>
      <c r="N208" s="20" t="n">
        <f aca="false">Operations!N204*Inputs!$F$208/1000</f>
        <v>7.42644</v>
      </c>
      <c r="O208" s="20" t="n">
        <f aca="false">Operations!O204*Inputs!$F$208/1000</f>
        <v>0</v>
      </c>
      <c r="P208" s="20" t="n">
        <f aca="false">Operations!P204*Inputs!$F$208/1000</f>
        <v>0</v>
      </c>
      <c r="Q208" s="20" t="n">
        <f aca="false">Operations!Q204*Inputs!$F$208/1000</f>
        <v>0</v>
      </c>
      <c r="R208" s="20" t="n">
        <f aca="false">Operations!R204*Inputs!$F$208/1000</f>
        <v>0</v>
      </c>
      <c r="S208" s="20" t="n">
        <f aca="false">Operations!S204*Inputs!$F$208/1000</f>
        <v>0</v>
      </c>
      <c r="T208" s="20" t="n">
        <f aca="false">Operations!T204*Inputs!$F$208/1000</f>
        <v>0</v>
      </c>
      <c r="U208" s="20" t="n">
        <f aca="false">Operations!U204*Inputs!$F$208/1000</f>
        <v>0</v>
      </c>
      <c r="V208" s="20" t="n">
        <f aca="false">Operations!V204*Inputs!$F$208/1000</f>
        <v>0</v>
      </c>
      <c r="W208" s="20" t="n">
        <f aca="false">Operations!W204*Inputs!$F$208/1000</f>
        <v>0</v>
      </c>
      <c r="X208" s="20" t="n">
        <f aca="false">Operations!X204*Inputs!$F$208/1000</f>
        <v>0</v>
      </c>
      <c r="Y208" s="20" t="n">
        <f aca="false">Operations!Y204*Inputs!$F$208/1000</f>
        <v>0</v>
      </c>
      <c r="Z208" s="20" t="n">
        <f aca="false">Operations!Z204*Inputs!$F$208/1000</f>
        <v>0</v>
      </c>
      <c r="AA208" s="20" t="n">
        <f aca="false">Operations!AA204*Inputs!$F$208/1000</f>
        <v>0</v>
      </c>
      <c r="AB208" s="20" t="n">
        <f aca="false">Operations!AB204*Inputs!$F$208/1000</f>
        <v>0</v>
      </c>
      <c r="AC208" s="20" t="n">
        <f aca="false">Operations!AC204*Inputs!$F$208/1000</f>
        <v>0</v>
      </c>
      <c r="AD208" s="20" t="n">
        <f aca="false">Operations!AD204*Inputs!$F$208/1000</f>
        <v>0</v>
      </c>
      <c r="AE208" s="20" t="n">
        <f aca="false">Operations!AE204*Inputs!$F$208/1000</f>
        <v>0</v>
      </c>
      <c r="AF208" s="20" t="n">
        <f aca="false">Operations!AF204*Inputs!$F$208/1000</f>
        <v>0</v>
      </c>
      <c r="AG208" s="20" t="n">
        <f aca="false">Operations!AG204*Inputs!$F$208/1000</f>
        <v>0</v>
      </c>
      <c r="AH208" s="20" t="n">
        <f aca="false">Operations!AH204*Inputs!$F$208/1000</f>
        <v>0</v>
      </c>
      <c r="AI208" s="20" t="n">
        <f aca="false">Operations!AI204*Inputs!$F$208/1000</f>
        <v>0</v>
      </c>
      <c r="AJ208" s="20" t="n">
        <f aca="false">Operations!AJ204*Inputs!$F$208/1000</f>
        <v>0</v>
      </c>
      <c r="AK208" s="20" t="n">
        <f aca="false">Operations!AK204*Inputs!$F$208/1000</f>
        <v>0</v>
      </c>
      <c r="AL208" s="20" t="n">
        <f aca="false">Operations!AL204*Inputs!$F$208/1000</f>
        <v>0</v>
      </c>
      <c r="AM208" s="20" t="n">
        <f aca="false">Operations!AM204*Inputs!$F$208/1000</f>
        <v>0</v>
      </c>
      <c r="AN208" s="20" t="n">
        <f aca="false">Operations!AN204*Inputs!$F$208/1000</f>
        <v>0</v>
      </c>
      <c r="AO208" s="20" t="n">
        <f aca="false">Operations!AO204*Inputs!$F$208/1000</f>
        <v>0</v>
      </c>
      <c r="AP208" s="20" t="n">
        <f aca="false">Operations!AP204*Inputs!$F$208/1000</f>
        <v>0</v>
      </c>
      <c r="AQ208" s="20" t="n">
        <f aca="false">Operations!AQ204*Inputs!$F$208/1000</f>
        <v>0</v>
      </c>
      <c r="AR208" s="20" t="n">
        <f aca="false">Operations!AR204*Inputs!$F$208/1000</f>
        <v>0</v>
      </c>
      <c r="AS208" s="20" t="n">
        <f aca="false">Operations!AS204*Inputs!$F$208/1000</f>
        <v>0</v>
      </c>
      <c r="AT208" s="20" t="n">
        <f aca="false">Operations!AT204*Inputs!$F$208/1000</f>
        <v>0</v>
      </c>
      <c r="AU208" s="20" t="n">
        <f aca="false">Operations!AU204*Inputs!$F$208/1000</f>
        <v>0</v>
      </c>
    </row>
    <row r="209" customFormat="false" ht="15" hidden="false" customHeight="false" outlineLevel="0" collapsed="false">
      <c r="D209" s="0" t="s">
        <v>604</v>
      </c>
      <c r="E209" s="0" t="s">
        <v>47</v>
      </c>
      <c r="G209" s="20" t="n">
        <f aca="false">SUM(J209:AU209)</f>
        <v>265.179196719514</v>
      </c>
      <c r="J209" s="20" t="n">
        <f aca="false">Operations!J206*Operations!J202/1000</f>
        <v>13.762287983136</v>
      </c>
      <c r="K209" s="20" t="n">
        <f aca="false">Operations!K206*Operations!K202/1000</f>
        <v>10.9126434828668</v>
      </c>
      <c r="L209" s="20" t="n">
        <f aca="false">Operations!L206*Operations!L202/1000</f>
        <v>5.18436411397828</v>
      </c>
      <c r="M209" s="20" t="n">
        <f aca="false">Operations!M206*Operations!M202/1000</f>
        <v>6.61717392268857</v>
      </c>
      <c r="N209" s="20" t="n">
        <f aca="false">Operations!N206*Operations!N202/1000</f>
        <v>7.19012000291131</v>
      </c>
      <c r="O209" s="20" t="n">
        <f aca="false">Operations!O206*Operations!O202/1000</f>
        <v>7.38865318802428</v>
      </c>
      <c r="P209" s="20" t="n">
        <f aca="false">Operations!P206*Operations!P202/1000</f>
        <v>7.42612724125141</v>
      </c>
      <c r="Q209" s="20" t="n">
        <f aca="false">Operations!Q206*Operations!Q202/1000</f>
        <v>7.37468435895473</v>
      </c>
      <c r="R209" s="20" t="n">
        <f aca="false">Operations!R206*Operations!R202/1000</f>
        <v>7.32672070631339</v>
      </c>
      <c r="S209" s="20" t="n">
        <f aca="false">Operations!S206*Operations!S202/1000</f>
        <v>7.21809351140535</v>
      </c>
      <c r="T209" s="20" t="n">
        <f aca="false">Operations!T206*Operations!T202/1000</f>
        <v>7.10422843302396</v>
      </c>
      <c r="U209" s="20" t="n">
        <f aca="false">Operations!U206*Operations!U202/1000</f>
        <v>6.98495218881339</v>
      </c>
      <c r="V209" s="20" t="n">
        <f aca="false">Operations!V206*Operations!V202/1000</f>
        <v>6.86009528849324</v>
      </c>
      <c r="W209" s="20" t="n">
        <f aca="false">Operations!W206*Operations!W202/1000</f>
        <v>6.72949198860878</v>
      </c>
      <c r="X209" s="20" t="n">
        <f aca="false">Operations!X206*Operations!X202/1000</f>
        <v>6.83272498398019</v>
      </c>
      <c r="Y209" s="20" t="n">
        <f aca="false">Operations!Y206*Operations!Y202/1000</f>
        <v>6.93839037040755</v>
      </c>
      <c r="Z209" s="20" t="n">
        <f aca="false">Operations!Z206*Operations!Z202/1000</f>
        <v>7.04528775254682</v>
      </c>
      <c r="AA209" s="20" t="n">
        <f aca="false">Operations!AA206*Operations!AA202/1000</f>
        <v>7.15339345665161</v>
      </c>
      <c r="AB209" s="20" t="n">
        <f aca="false">Operations!AB206*Operations!AB202/1000</f>
        <v>7.26383429497666</v>
      </c>
      <c r="AC209" s="20" t="n">
        <f aca="false">Operations!AC206*Operations!AC202/1000</f>
        <v>7.37542645903752</v>
      </c>
      <c r="AD209" s="20" t="n">
        <f aca="false">Operations!AD206*Operations!AD202/1000</f>
        <v>7.48928696671558</v>
      </c>
      <c r="AE209" s="20" t="n">
        <f aca="false">Operations!AE206*Operations!AE202/1000</f>
        <v>7.60424296196702</v>
      </c>
      <c r="AF209" s="20" t="n">
        <f aca="false">Operations!AF206*Operations!AF202/1000</f>
        <v>7.72140175229695</v>
      </c>
      <c r="AG209" s="20" t="n">
        <f aca="false">Operations!AG206*Operations!AG202/1000</f>
        <v>7.84072593393384</v>
      </c>
      <c r="AH209" s="20" t="n">
        <f aca="false">Operations!AH206*Operations!AH202/1000</f>
        <v>7.96105892235809</v>
      </c>
      <c r="AI209" s="20" t="n">
        <f aca="false">Operations!AI206*Operations!AI202/1000</f>
        <v>8.08349364958879</v>
      </c>
      <c r="AJ209" s="20" t="n">
        <f aca="false">Operations!AJ206*Operations!AJ202/1000</f>
        <v>8.20799371743684</v>
      </c>
      <c r="AK209" s="20" t="n">
        <f aca="false">Operations!AK206*Operations!AK202/1000</f>
        <v>8.33452308044274</v>
      </c>
      <c r="AL209" s="20" t="n">
        <f aca="false">Operations!AL206*Operations!AL202/1000</f>
        <v>8.46304604313438</v>
      </c>
      <c r="AM209" s="20" t="n">
        <f aca="false">Operations!AM206*Operations!AM202/1000</f>
        <v>8.59352725730376</v>
      </c>
      <c r="AN209" s="20" t="n">
        <f aca="false">Operations!AN206*Operations!AN202/1000</f>
        <v>8.72593171930255</v>
      </c>
      <c r="AO209" s="20" t="n">
        <f aca="false">Operations!AO206*Operations!AO202/1000</f>
        <v>8.86022476735622</v>
      </c>
      <c r="AP209" s="20" t="n">
        <f aca="false">Operations!AP206*Operations!AP202/1000</f>
        <v>8.99637207889677</v>
      </c>
      <c r="AQ209" s="20" t="n">
        <f aca="false">Operations!AQ206*Operations!AQ202/1000</f>
        <v>7.60867414071092</v>
      </c>
      <c r="AR209" s="20" t="n">
        <f aca="false">Operations!AR206*Operations!AR202/1000</f>
        <v>0</v>
      </c>
      <c r="AS209" s="20" t="n">
        <f aca="false">Operations!AS206*Operations!AS202/1000</f>
        <v>0</v>
      </c>
      <c r="AT209" s="20" t="n">
        <f aca="false">Operations!AT206*Operations!AT202/1000</f>
        <v>0</v>
      </c>
      <c r="AU209" s="20" t="n">
        <f aca="false">Operations!AU206*Operations!AU202/1000</f>
        <v>0</v>
      </c>
    </row>
    <row r="210" customFormat="false" ht="15" hidden="false" customHeight="false" outlineLevel="0" collapsed="false">
      <c r="D210" s="0" t="s">
        <v>605</v>
      </c>
      <c r="E210" s="0" t="s">
        <v>47</v>
      </c>
      <c r="G210" s="20" t="n">
        <f aca="false">SUM(J210:AU210)</f>
        <v>268.588617730714</v>
      </c>
      <c r="J210" s="20" t="n">
        <f aca="false">Operations!J209+Operations!J205</f>
        <v>10.730581435936</v>
      </c>
      <c r="K210" s="20" t="n">
        <f aca="false">Operations!K209+Operations!K205</f>
        <v>9.95900371326684</v>
      </c>
      <c r="L210" s="20" t="n">
        <f aca="false">Operations!L209+Operations!L205</f>
        <v>8.58736167557828</v>
      </c>
      <c r="M210" s="20" t="n">
        <f aca="false">Operations!M209+Operations!M205</f>
        <v>8.85333731468857</v>
      </c>
      <c r="N210" s="20" t="n">
        <f aca="false">Operations!N209+Operations!N205</f>
        <v>8.94572637731131</v>
      </c>
      <c r="O210" s="20" t="n">
        <f aca="false">Operations!O209+Operations!O205</f>
        <v>7.38865318802428</v>
      </c>
      <c r="P210" s="20" t="n">
        <f aca="false">Operations!P209+Operations!P205</f>
        <v>7.42612724125141</v>
      </c>
      <c r="Q210" s="20" t="n">
        <f aca="false">Operations!Q209+Operations!Q205</f>
        <v>7.37468435895473</v>
      </c>
      <c r="R210" s="20" t="n">
        <f aca="false">Operations!R209+Operations!R205</f>
        <v>7.32672070631339</v>
      </c>
      <c r="S210" s="20" t="n">
        <f aca="false">Operations!S209+Operations!S205</f>
        <v>7.21809351140535</v>
      </c>
      <c r="T210" s="20" t="n">
        <f aca="false">Operations!T209+Operations!T205</f>
        <v>7.10422843302396</v>
      </c>
      <c r="U210" s="20" t="n">
        <f aca="false">Operations!U209+Operations!U205</f>
        <v>6.98495218881339</v>
      </c>
      <c r="V210" s="20" t="n">
        <f aca="false">Operations!V209+Operations!V205</f>
        <v>6.86009528849324</v>
      </c>
      <c r="W210" s="20" t="n">
        <f aca="false">Operations!W209+Operations!W205</f>
        <v>6.72949198860878</v>
      </c>
      <c r="X210" s="20" t="n">
        <f aca="false">Operations!X209+Operations!X205</f>
        <v>6.83272498398019</v>
      </c>
      <c r="Y210" s="20" t="n">
        <f aca="false">Operations!Y209+Operations!Y205</f>
        <v>6.93839037040755</v>
      </c>
      <c r="Z210" s="20" t="n">
        <f aca="false">Operations!Z209+Operations!Z205</f>
        <v>7.04528775254682</v>
      </c>
      <c r="AA210" s="20" t="n">
        <f aca="false">Operations!AA209+Operations!AA205</f>
        <v>7.15339345665161</v>
      </c>
      <c r="AB210" s="20" t="n">
        <f aca="false">Operations!AB209+Operations!AB205</f>
        <v>7.26383429497666</v>
      </c>
      <c r="AC210" s="20" t="n">
        <f aca="false">Operations!AC209+Operations!AC205</f>
        <v>7.37542645903752</v>
      </c>
      <c r="AD210" s="20" t="n">
        <f aca="false">Operations!AD209+Operations!AD205</f>
        <v>7.48928696671558</v>
      </c>
      <c r="AE210" s="20" t="n">
        <f aca="false">Operations!AE209+Operations!AE205</f>
        <v>7.60424296196702</v>
      </c>
      <c r="AF210" s="20" t="n">
        <f aca="false">Operations!AF209+Operations!AF205</f>
        <v>7.72140175229695</v>
      </c>
      <c r="AG210" s="20" t="n">
        <f aca="false">Operations!AG209+Operations!AG205</f>
        <v>7.84072593393384</v>
      </c>
      <c r="AH210" s="20" t="n">
        <f aca="false">Operations!AH209+Operations!AH205</f>
        <v>7.96105892235809</v>
      </c>
      <c r="AI210" s="20" t="n">
        <f aca="false">Operations!AI209+Operations!AI205</f>
        <v>8.08349364958879</v>
      </c>
      <c r="AJ210" s="20" t="n">
        <f aca="false">Operations!AJ209+Operations!AJ205</f>
        <v>8.20799371743684</v>
      </c>
      <c r="AK210" s="20" t="n">
        <f aca="false">Operations!AK209+Operations!AK205</f>
        <v>8.33452308044274</v>
      </c>
      <c r="AL210" s="20" t="n">
        <f aca="false">Operations!AL209+Operations!AL205</f>
        <v>8.46304604313438</v>
      </c>
      <c r="AM210" s="20" t="n">
        <f aca="false">Operations!AM209+Operations!AM205</f>
        <v>8.59352725730376</v>
      </c>
      <c r="AN210" s="20" t="n">
        <f aca="false">Operations!AN209+Operations!AN205</f>
        <v>8.72593171930255</v>
      </c>
      <c r="AO210" s="20" t="n">
        <f aca="false">Operations!AO209+Operations!AO205</f>
        <v>8.86022476735622</v>
      </c>
      <c r="AP210" s="20" t="n">
        <f aca="false">Operations!AP209+Operations!AP205</f>
        <v>8.99637207889677</v>
      </c>
      <c r="AQ210" s="20" t="n">
        <f aca="false">Operations!AQ209+Operations!AQ205</f>
        <v>7.60867414071092</v>
      </c>
      <c r="AR210" s="20" t="n">
        <f aca="false">Operations!AR209+Operations!AR205</f>
        <v>0</v>
      </c>
      <c r="AS210" s="20" t="n">
        <f aca="false">Operations!AS209+Operations!AS205</f>
        <v>0</v>
      </c>
      <c r="AT210" s="20" t="n">
        <f aca="false">Operations!AT209+Operations!AT205</f>
        <v>0</v>
      </c>
      <c r="AU210" s="20" t="n">
        <f aca="false">Operations!AU209+Operations!AU205</f>
        <v>0</v>
      </c>
    </row>
    <row r="211" customFormat="false" ht="15" hidden="false" customHeight="false" outlineLevel="0" collapsed="false">
      <c r="D211" s="0" t="s">
        <v>606</v>
      </c>
      <c r="E211" s="0" t="s">
        <v>47</v>
      </c>
      <c r="J211" s="20" t="n">
        <f aca="false">Operations!J210-Operations!J207-Operations!J208</f>
        <v>3.304141435936</v>
      </c>
      <c r="K211" s="20" t="n">
        <f aca="false">Operations!K210-Operations!K207-Operations!K208</f>
        <v>2.53256371326684</v>
      </c>
      <c r="L211" s="20" t="n">
        <f aca="false">Operations!L210-Operations!L207-Operations!L208</f>
        <v>1.16092167557828</v>
      </c>
      <c r="M211" s="20" t="n">
        <f aca="false">Operations!M210-Operations!M207-Operations!M208</f>
        <v>1.42689731468857</v>
      </c>
      <c r="N211" s="20" t="n">
        <f aca="false">Operations!N210-Operations!N207-Operations!N208</f>
        <v>1.51928637731131</v>
      </c>
      <c r="O211" s="20" t="n">
        <f aca="false">Operations!O210-Operations!O207-Operations!O208</f>
        <v>7.38865318802428</v>
      </c>
      <c r="P211" s="20" t="n">
        <f aca="false">Operations!P210-Operations!P207-Operations!P208</f>
        <v>7.42612724125141</v>
      </c>
      <c r="Q211" s="20" t="n">
        <f aca="false">Operations!Q210-Operations!Q207-Operations!Q208</f>
        <v>7.37468435895473</v>
      </c>
      <c r="R211" s="20" t="n">
        <f aca="false">Operations!R210-Operations!R207-Operations!R208</f>
        <v>7.32672070631339</v>
      </c>
      <c r="S211" s="20" t="n">
        <f aca="false">Operations!S210-Operations!S207-Operations!S208</f>
        <v>7.21809351140535</v>
      </c>
      <c r="T211" s="20" t="n">
        <f aca="false">Operations!T210-Operations!T207-Operations!T208</f>
        <v>7.10422843302396</v>
      </c>
      <c r="U211" s="20" t="n">
        <f aca="false">Operations!U210-Operations!U207-Operations!U208</f>
        <v>6.98495218881339</v>
      </c>
      <c r="V211" s="20" t="n">
        <f aca="false">Operations!V210-Operations!V207-Operations!V208</f>
        <v>6.86009528849324</v>
      </c>
      <c r="W211" s="20" t="n">
        <f aca="false">Operations!W210-Operations!W207-Operations!W208</f>
        <v>6.72949198860878</v>
      </c>
      <c r="X211" s="20" t="n">
        <f aca="false">Operations!X210-Operations!X207-Operations!X208</f>
        <v>6.83272498398019</v>
      </c>
      <c r="Y211" s="20" t="n">
        <f aca="false">Operations!Y210-Operations!Y207-Operations!Y208</f>
        <v>6.93839037040755</v>
      </c>
      <c r="Z211" s="20" t="n">
        <f aca="false">Operations!Z210-Operations!Z207-Operations!Z208</f>
        <v>7.04528775254682</v>
      </c>
      <c r="AA211" s="20" t="n">
        <f aca="false">Operations!AA210-Operations!AA207-Operations!AA208</f>
        <v>7.15339345665161</v>
      </c>
      <c r="AB211" s="20" t="n">
        <f aca="false">Operations!AB210-Operations!AB207-Operations!AB208</f>
        <v>7.26383429497666</v>
      </c>
      <c r="AC211" s="20" t="n">
        <f aca="false">Operations!AC210-Operations!AC207-Operations!AC208</f>
        <v>7.37542645903752</v>
      </c>
      <c r="AD211" s="20" t="n">
        <f aca="false">Operations!AD210-Operations!AD207-Operations!AD208</f>
        <v>7.48928696671558</v>
      </c>
      <c r="AE211" s="20" t="n">
        <f aca="false">Operations!AE210-Operations!AE207-Operations!AE208</f>
        <v>7.60424296196702</v>
      </c>
      <c r="AF211" s="20" t="n">
        <f aca="false">Operations!AF210-Operations!AF207-Operations!AF208</f>
        <v>7.72140175229695</v>
      </c>
      <c r="AG211" s="20" t="n">
        <f aca="false">Operations!AG210-Operations!AG207-Operations!AG208</f>
        <v>7.84072593393384</v>
      </c>
      <c r="AH211" s="20" t="n">
        <f aca="false">Operations!AH210-Operations!AH207-Operations!AH208</f>
        <v>7.96105892235809</v>
      </c>
      <c r="AI211" s="20" t="n">
        <f aca="false">Operations!AI210-Operations!AI207-Operations!AI208</f>
        <v>8.08349364958879</v>
      </c>
      <c r="AJ211" s="20" t="n">
        <f aca="false">Operations!AJ210-Operations!AJ207-Operations!AJ208</f>
        <v>8.20799371743684</v>
      </c>
      <c r="AK211" s="20" t="n">
        <f aca="false">Operations!AK210-Operations!AK207-Operations!AK208</f>
        <v>8.33452308044274</v>
      </c>
      <c r="AL211" s="20" t="n">
        <f aca="false">Operations!AL210-Operations!AL207-Operations!AL208</f>
        <v>8.46304604313438</v>
      </c>
      <c r="AM211" s="20" t="n">
        <f aca="false">Operations!AM210-Operations!AM207-Operations!AM208</f>
        <v>8.59352725730376</v>
      </c>
      <c r="AN211" s="20" t="n">
        <f aca="false">Operations!AN210-Operations!AN207-Operations!AN208</f>
        <v>8.72593171930255</v>
      </c>
      <c r="AO211" s="20" t="n">
        <f aca="false">Operations!AO210-Operations!AO207-Operations!AO208</f>
        <v>8.86022476735622</v>
      </c>
      <c r="AP211" s="20" t="n">
        <f aca="false">Operations!AP210-Operations!AP207-Operations!AP208</f>
        <v>8.99637207889677</v>
      </c>
      <c r="AQ211" s="20" t="n">
        <f aca="false">Operations!AQ210-Operations!AQ207-Operations!AQ208</f>
        <v>7.60867414071092</v>
      </c>
      <c r="AR211" s="20" t="n">
        <f aca="false">Operations!AR210-Operations!AR207-Operations!AR208</f>
        <v>0</v>
      </c>
      <c r="AS211" s="20" t="n">
        <f aca="false">Operations!AS210-Operations!AS207-Operations!AS208</f>
        <v>0</v>
      </c>
      <c r="AT211" s="20" t="n">
        <f aca="false">Operations!AT210-Operations!AT207-Operations!AT208</f>
        <v>0</v>
      </c>
      <c r="AU211" s="20" t="n">
        <f aca="false">Operations!AU210-Operations!AU207-Operations!AU208</f>
        <v>0</v>
      </c>
    </row>
    <row r="212" customFormat="false" ht="15" hidden="false" customHeight="false" outlineLevel="0" collapsed="false">
      <c r="D212" s="0" t="s">
        <v>607</v>
      </c>
      <c r="E212" s="0" t="s">
        <v>47</v>
      </c>
      <c r="J212" s="20" t="n">
        <f aca="false">Inputs!$F$125*Inputs!$F$121/1000*Time!J$9*Time!J$10*Operations!J191*Operations!$F$50</f>
        <v>1.81608</v>
      </c>
      <c r="K212" s="20" t="n">
        <f aca="false">Inputs!$F$125*Inputs!$F$121/1000*Time!K$9*Time!K$10*Operations!K191*Operations!$F$50</f>
        <v>1.922910906</v>
      </c>
      <c r="L212" s="20" t="n">
        <f aca="false">Inputs!$F$125*Inputs!$F$121/1000*Time!L$9*Time!L$10*Operations!L191*Operations!$F$50</f>
        <v>1.97098367865</v>
      </c>
      <c r="M212" s="20" t="n">
        <f aca="false">Inputs!$F$125*Inputs!$F$121/1000*Time!M$9*Time!M$10*Operations!M191*Operations!$F$50</f>
        <v>2.02025827061625</v>
      </c>
      <c r="N212" s="20" t="n">
        <f aca="false">Inputs!$F$125*Inputs!$F$121/1000*Time!N$9*Time!N$10*Operations!N191*Operations!$F$50</f>
        <v>2.07076472738166</v>
      </c>
      <c r="O212" s="20" t="n">
        <f aca="false">Inputs!$F$125*Inputs!$F$121/1000*Time!O$9*Time!O$10*Operations!O191*Operations!$F$50</f>
        <v>2.1225338455662</v>
      </c>
      <c r="P212" s="20" t="n">
        <f aca="false">Inputs!$F$125*Inputs!$F$121/1000*Time!P$9*Time!P$10*Operations!P191*Operations!$F$50</f>
        <v>2.17559719170535</v>
      </c>
      <c r="Q212" s="20" t="n">
        <f aca="false">Inputs!$F$125*Inputs!$F$121/1000*Time!Q$9*Time!Q$10*Operations!Q191*Operations!$F$50</f>
        <v>2.22998712149799</v>
      </c>
      <c r="R212" s="20" t="n">
        <f aca="false">Inputs!$F$125*Inputs!$F$121/1000*Time!R$9*Time!R$10*Operations!R191*Operations!$F$50</f>
        <v>2.28573679953543</v>
      </c>
      <c r="S212" s="20" t="n">
        <f aca="false">Inputs!$F$125*Inputs!$F$121/1000*Time!S$9*Time!S$10*Operations!S191*Operations!$F$50</f>
        <v>2.34288021952382</v>
      </c>
      <c r="T212" s="20" t="n">
        <f aca="false">Inputs!$F$125*Inputs!$F$121/1000*Time!T$9*Time!T$10*Operations!T191*Operations!$F$50</f>
        <v>2.40145222501192</v>
      </c>
      <c r="U212" s="20" t="n">
        <f aca="false">Inputs!$F$125*Inputs!$F$121/1000*Time!U$9*Time!U$10*Operations!U191*Operations!$F$50</f>
        <v>2.46148853063721</v>
      </c>
      <c r="V212" s="20" t="n">
        <f aca="false">Inputs!$F$125*Inputs!$F$121/1000*Time!V$9*Time!V$10*Operations!V191*Operations!$F$50</f>
        <v>2.52302574390314</v>
      </c>
      <c r="W212" s="20" t="n">
        <f aca="false">Inputs!$F$125*Inputs!$F$121/1000*Time!W$9*Time!W$10*Operations!W191*Operations!$F$50</f>
        <v>2.58610138750072</v>
      </c>
      <c r="X212" s="20" t="n">
        <f aca="false">Inputs!$F$125*Inputs!$F$121/1000*Time!X$9*Time!X$10*Operations!X191*Operations!$F$50</f>
        <v>2.65075392218824</v>
      </c>
      <c r="Y212" s="20" t="n">
        <f aca="false">Inputs!$F$125*Inputs!$F$121/1000*Time!Y$9*Time!Y$10*Operations!Y191*Operations!$F$50</f>
        <v>2.71702277024294</v>
      </c>
      <c r="Z212" s="20" t="n">
        <f aca="false">Inputs!$F$125*Inputs!$F$121/1000*Time!Z$9*Time!Z$10*Operations!Z191*Operations!$F$50</f>
        <v>2.78494833949902</v>
      </c>
      <c r="AA212" s="20" t="n">
        <f aca="false">Inputs!$F$125*Inputs!$F$121/1000*Time!AA$9*Time!AA$10*Operations!AA191*Operations!$F$50</f>
        <v>2.85457204798649</v>
      </c>
      <c r="AB212" s="20" t="n">
        <f aca="false">Inputs!$F$125*Inputs!$F$121/1000*Time!AB$9*Time!AB$10*Operations!AB191*Operations!$F$50</f>
        <v>2.92593634918616</v>
      </c>
      <c r="AC212" s="20" t="n">
        <f aca="false">Inputs!$F$125*Inputs!$F$121/1000*Time!AC$9*Time!AC$10*Operations!AC191*Operations!$F$50</f>
        <v>2.99908475791581</v>
      </c>
      <c r="AD212" s="20" t="n">
        <f aca="false">Inputs!$F$125*Inputs!$F$121/1000*Time!AD$9*Time!AD$10*Operations!AD191*Operations!$F$50</f>
        <v>3.0740618768637</v>
      </c>
      <c r="AE212" s="20" t="n">
        <f aca="false">Inputs!$F$125*Inputs!$F$121/1000*Time!AE$9*Time!AE$10*Operations!AE191*Operations!$F$50</f>
        <v>3.1509134237853</v>
      </c>
      <c r="AF212" s="20" t="n">
        <f aca="false">Inputs!$F$125*Inputs!$F$121/1000*Time!AF$9*Time!AF$10*Operations!AF191*Operations!$F$50</f>
        <v>3.22968625937993</v>
      </c>
      <c r="AG212" s="20" t="n">
        <f aca="false">Inputs!$F$125*Inputs!$F$121/1000*Time!AG$9*Time!AG$10*Operations!AG191*Operations!$F$50</f>
        <v>3.31042841586443</v>
      </c>
      <c r="AH212" s="20" t="n">
        <f aca="false">Inputs!$F$125*Inputs!$F$121/1000*Time!AH$9*Time!AH$10*Operations!AH191*Operations!$F$50</f>
        <v>3.39318912626104</v>
      </c>
      <c r="AI212" s="20" t="n">
        <f aca="false">Inputs!$F$125*Inputs!$F$121/1000*Time!AI$9*Time!AI$10*Operations!AI191*Operations!$F$50</f>
        <v>3.47801885441756</v>
      </c>
      <c r="AJ212" s="20" t="n">
        <f aca="false">Inputs!$F$125*Inputs!$F$121/1000*Time!AJ$9*Time!AJ$10*Operations!AJ191*Operations!$F$50</f>
        <v>3.564969325778</v>
      </c>
      <c r="AK212" s="20" t="n">
        <f aca="false">Inputs!$F$125*Inputs!$F$121/1000*Time!AK$9*Time!AK$10*Operations!AK191*Operations!$F$50</f>
        <v>3.65409355892245</v>
      </c>
      <c r="AL212" s="20" t="n">
        <f aca="false">Inputs!$F$125*Inputs!$F$121/1000*Time!AL$9*Time!AL$10*Operations!AL191*Operations!$F$50</f>
        <v>3.74544589789551</v>
      </c>
      <c r="AM212" s="20" t="n">
        <f aca="false">Inputs!$F$125*Inputs!$F$121/1000*Time!AM$9*Time!AM$10*Operations!AM191*Operations!$F$50</f>
        <v>3.8390820453429</v>
      </c>
      <c r="AN212" s="20" t="n">
        <f aca="false">Inputs!$F$125*Inputs!$F$121/1000*Time!AN$9*Time!AN$10*Operations!AN191*Operations!$F$50</f>
        <v>3.93505909647647</v>
      </c>
      <c r="AO212" s="20" t="n">
        <f aca="false">Inputs!$F$125*Inputs!$F$121/1000*Time!AO$9*Time!AO$10*Operations!AO191*Operations!$F$50</f>
        <v>4.03343557388838</v>
      </c>
      <c r="AP212" s="20" t="n">
        <f aca="false">Inputs!$F$125*Inputs!$F$121/1000*Time!AP$9*Time!AP$10*Operations!AP191*Operations!$F$50</f>
        <v>4.13427146323559</v>
      </c>
      <c r="AQ212" s="20" t="n">
        <f aca="false">Inputs!$F$125*Inputs!$F$121/1000*Time!AQ$9*Time!AQ$10*Operations!AQ191*Operations!$F$50</f>
        <v>3.52942188477866</v>
      </c>
      <c r="AR212" s="20" t="n">
        <f aca="false">Inputs!$F$125*Inputs!$F$121/1000*Time!AR$9*Time!AR$10*Operations!AR191*Operations!$F$50</f>
        <v>0</v>
      </c>
      <c r="AS212" s="20" t="n">
        <f aca="false">Inputs!$F$125*Inputs!$F$121/1000*Time!AS$9*Time!AS$10*Operations!AS191*Operations!$F$50</f>
        <v>0</v>
      </c>
      <c r="AT212" s="20" t="n">
        <f aca="false">Inputs!$F$125*Inputs!$F$121/1000*Time!AT$9*Time!AT$10*Operations!AT191*Operations!$F$50</f>
        <v>0</v>
      </c>
      <c r="AU212" s="20" t="n">
        <f aca="false">Inputs!$F$125*Inputs!$F$121/1000*Time!AU$9*Time!AU$10*Operations!AU191*Operations!$F$50</f>
        <v>0</v>
      </c>
    </row>
    <row r="213" customFormat="false" ht="15" hidden="false" customHeight="false" outlineLevel="0" collapsed="false">
      <c r="D213" s="0" t="s">
        <v>608</v>
      </c>
      <c r="E213" s="0" t="s">
        <v>47</v>
      </c>
      <c r="J213" s="20" t="n">
        <f aca="false">0</f>
        <v>0</v>
      </c>
      <c r="K213" s="20" t="n">
        <f aca="false">0</f>
        <v>0</v>
      </c>
      <c r="L213" s="20" t="n">
        <f aca="false">0</f>
        <v>0</v>
      </c>
      <c r="M213" s="20" t="n">
        <f aca="false">0</f>
        <v>0</v>
      </c>
      <c r="N213" s="20" t="n">
        <f aca="false">0</f>
        <v>0</v>
      </c>
      <c r="O213" s="20" t="n">
        <f aca="false">0</f>
        <v>0</v>
      </c>
      <c r="P213" s="20" t="n">
        <f aca="false">0</f>
        <v>0</v>
      </c>
      <c r="Q213" s="20" t="n">
        <f aca="false">0</f>
        <v>0</v>
      </c>
      <c r="R213" s="20" t="n">
        <f aca="false">0</f>
        <v>0</v>
      </c>
      <c r="S213" s="20" t="n">
        <f aca="false">0</f>
        <v>0</v>
      </c>
      <c r="T213" s="20" t="n">
        <f aca="false">0</f>
        <v>0</v>
      </c>
      <c r="U213" s="20" t="n">
        <f aca="false">0</f>
        <v>0</v>
      </c>
      <c r="V213" s="20" t="n">
        <f aca="false">0</f>
        <v>0</v>
      </c>
      <c r="W213" s="20" t="n">
        <f aca="false">0</f>
        <v>0</v>
      </c>
      <c r="X213" s="20" t="n">
        <f aca="false">0</f>
        <v>0</v>
      </c>
      <c r="Y213" s="20" t="n">
        <f aca="false">0</f>
        <v>0</v>
      </c>
      <c r="Z213" s="20" t="n">
        <f aca="false">0</f>
        <v>0</v>
      </c>
      <c r="AA213" s="20" t="n">
        <f aca="false">0</f>
        <v>0</v>
      </c>
      <c r="AB213" s="20" t="n">
        <f aca="false">0</f>
        <v>0</v>
      </c>
      <c r="AC213" s="20" t="n">
        <f aca="false">0</f>
        <v>0</v>
      </c>
      <c r="AD213" s="20" t="n">
        <f aca="false">0</f>
        <v>0</v>
      </c>
      <c r="AE213" s="20" t="n">
        <f aca="false">0</f>
        <v>0</v>
      </c>
      <c r="AF213" s="20" t="n">
        <f aca="false">0</f>
        <v>0</v>
      </c>
      <c r="AG213" s="20" t="n">
        <f aca="false">0</f>
        <v>0</v>
      </c>
      <c r="AH213" s="20" t="n">
        <f aca="false">0</f>
        <v>0</v>
      </c>
      <c r="AI213" s="20" t="n">
        <f aca="false">0</f>
        <v>0</v>
      </c>
      <c r="AJ213" s="20" t="n">
        <f aca="false">0</f>
        <v>0</v>
      </c>
      <c r="AK213" s="20" t="n">
        <f aca="false">0</f>
        <v>0</v>
      </c>
      <c r="AL213" s="20" t="n">
        <f aca="false">0</f>
        <v>0</v>
      </c>
      <c r="AM213" s="20" t="n">
        <f aca="false">0</f>
        <v>0</v>
      </c>
      <c r="AN213" s="20" t="n">
        <f aca="false">0</f>
        <v>0</v>
      </c>
      <c r="AO213" s="20" t="n">
        <f aca="false">0</f>
        <v>0</v>
      </c>
      <c r="AP213" s="20" t="n">
        <f aca="false">0</f>
        <v>0</v>
      </c>
      <c r="AQ213" s="20" t="n">
        <f aca="false">0</f>
        <v>0</v>
      </c>
      <c r="AR213" s="20" t="n">
        <f aca="false">0</f>
        <v>0</v>
      </c>
      <c r="AS213" s="20" t="n">
        <f aca="false">0</f>
        <v>0</v>
      </c>
      <c r="AT213" s="20" t="n">
        <f aca="false">0</f>
        <v>0</v>
      </c>
      <c r="AU213" s="20" t="n">
        <f aca="false">0</f>
        <v>0</v>
      </c>
    </row>
    <row r="214" customFormat="false" ht="15" hidden="false" customHeight="false" outlineLevel="0" collapsed="false">
      <c r="D214" s="0" t="s">
        <v>609</v>
      </c>
      <c r="E214" s="0" t="s">
        <v>47</v>
      </c>
      <c r="J214" s="20" t="n">
        <f aca="false">Inputs!$F$243/100*Inputs!$F$126*Inputs!$F$121/1000*Time!J$9*Operations!J191</f>
        <v>0.0225036</v>
      </c>
      <c r="K214" s="20" t="n">
        <f aca="false">Inputs!$F$243/100*Inputs!$F$126*Inputs!$F$121/1000*Time!K$9*Operations!K191</f>
        <v>0.02306619</v>
      </c>
      <c r="L214" s="20" t="n">
        <f aca="false">Inputs!$F$243/100*Inputs!$F$126*Inputs!$F$121/1000*Time!L$9*Operations!L191</f>
        <v>0.02364284475</v>
      </c>
      <c r="M214" s="20" t="n">
        <f aca="false">Inputs!$F$243/100*Inputs!$F$126*Inputs!$F$121/1000*Time!M$9*Operations!M191</f>
        <v>0.02423391586875</v>
      </c>
      <c r="N214" s="20" t="n">
        <f aca="false">Inputs!$F$243/100*Inputs!$F$126*Inputs!$F$121/1000*Time!N$9*Operations!N191</f>
        <v>0.0248397637654687</v>
      </c>
      <c r="O214" s="20" t="n">
        <f aca="false">Inputs!$F$243/100*Inputs!$F$126*Inputs!$F$121/1000*Time!O$9*Operations!O191</f>
        <v>0.0254607578596055</v>
      </c>
      <c r="P214" s="20" t="n">
        <f aca="false">Inputs!$F$243/100*Inputs!$F$126*Inputs!$F$121/1000*Time!P$9*Operations!P191</f>
        <v>0.0260972768060956</v>
      </c>
      <c r="Q214" s="20" t="n">
        <f aca="false">Inputs!$F$243/100*Inputs!$F$126*Inputs!$F$121/1000*Time!Q$9*Operations!Q191</f>
        <v>0.026749708726248</v>
      </c>
      <c r="R214" s="20" t="n">
        <f aca="false">Inputs!$F$243/100*Inputs!$F$126*Inputs!$F$121/1000*Time!R$9*Operations!R191</f>
        <v>0.0274184514444042</v>
      </c>
      <c r="S214" s="20" t="n">
        <f aca="false">Inputs!$F$243/100*Inputs!$F$126*Inputs!$F$121/1000*Time!S$9*Operations!S191</f>
        <v>0.0281039127305143</v>
      </c>
      <c r="T214" s="20" t="n">
        <f aca="false">Inputs!$F$243/100*Inputs!$F$126*Inputs!$F$121/1000*Time!T$9*Operations!T191</f>
        <v>0.0288065105487771</v>
      </c>
      <c r="U214" s="20" t="n">
        <f aca="false">Inputs!$F$243/100*Inputs!$F$126*Inputs!$F$121/1000*Time!U$9*Operations!U191</f>
        <v>0.0295266733124966</v>
      </c>
      <c r="V214" s="20" t="n">
        <f aca="false">Inputs!$F$243/100*Inputs!$F$126*Inputs!$F$121/1000*Time!V$9*Operations!V191</f>
        <v>0.030264840145309</v>
      </c>
      <c r="W214" s="20" t="n">
        <f aca="false">Inputs!$F$243/100*Inputs!$F$126*Inputs!$F$121/1000*Time!W$9*Operations!W191</f>
        <v>0.0310214611489417</v>
      </c>
      <c r="X214" s="20" t="n">
        <f aca="false">Inputs!$F$243/100*Inputs!$F$126*Inputs!$F$121/1000*Time!X$9*Operations!X191</f>
        <v>0.0317969976776652</v>
      </c>
      <c r="Y214" s="20" t="n">
        <f aca="false">Inputs!$F$243/100*Inputs!$F$126*Inputs!$F$121/1000*Time!Y$9*Operations!Y191</f>
        <v>0.0325919226196069</v>
      </c>
      <c r="Z214" s="20" t="n">
        <f aca="false">Inputs!$F$243/100*Inputs!$F$126*Inputs!$F$121/1000*Time!Z$9*Operations!Z191</f>
        <v>0.033406720685097</v>
      </c>
      <c r="AA214" s="20" t="n">
        <f aca="false">Inputs!$F$243/100*Inputs!$F$126*Inputs!$F$121/1000*Time!AA$9*Operations!AA191</f>
        <v>0.0342418887022245</v>
      </c>
      <c r="AB214" s="20" t="n">
        <f aca="false">Inputs!$F$243/100*Inputs!$F$126*Inputs!$F$121/1000*Time!AB$9*Operations!AB191</f>
        <v>0.0350979359197801</v>
      </c>
      <c r="AC214" s="20" t="n">
        <f aca="false">Inputs!$F$243/100*Inputs!$F$126*Inputs!$F$121/1000*Time!AC$9*Operations!AC191</f>
        <v>0.0359753843177746</v>
      </c>
      <c r="AD214" s="20" t="n">
        <f aca="false">Inputs!$F$243/100*Inputs!$F$126*Inputs!$F$121/1000*Time!AD$9*Operations!AD191</f>
        <v>0.0368747689257189</v>
      </c>
      <c r="AE214" s="20" t="n">
        <f aca="false">Inputs!$F$243/100*Inputs!$F$126*Inputs!$F$121/1000*Time!AE$9*Operations!AE191</f>
        <v>0.0377966381488619</v>
      </c>
      <c r="AF214" s="20" t="n">
        <f aca="false">Inputs!$F$243/100*Inputs!$F$126*Inputs!$F$121/1000*Time!AF$9*Operations!AF191</f>
        <v>0.0387415541025834</v>
      </c>
      <c r="AG214" s="20" t="n">
        <f aca="false">Inputs!$F$243/100*Inputs!$F$126*Inputs!$F$121/1000*Time!AG$9*Operations!AG191</f>
        <v>0.039710092955148</v>
      </c>
      <c r="AH214" s="20" t="n">
        <f aca="false">Inputs!$F$243/100*Inputs!$F$126*Inputs!$F$121/1000*Time!AH$9*Operations!AH191</f>
        <v>0.0407028452790267</v>
      </c>
      <c r="AI214" s="20" t="n">
        <f aca="false">Inputs!$F$243/100*Inputs!$F$126*Inputs!$F$121/1000*Time!AI$9*Operations!AI191</f>
        <v>0.0417204164110024</v>
      </c>
      <c r="AJ214" s="20" t="n">
        <f aca="false">Inputs!$F$243/100*Inputs!$F$126*Inputs!$F$121/1000*Time!AJ$9*Operations!AJ191</f>
        <v>0.0427634268212774</v>
      </c>
      <c r="AK214" s="20" t="n">
        <f aca="false">Inputs!$F$243/100*Inputs!$F$126*Inputs!$F$121/1000*Time!AK$9*Operations!AK191</f>
        <v>0.0438325124918094</v>
      </c>
      <c r="AL214" s="20" t="n">
        <f aca="false">Inputs!$F$243/100*Inputs!$F$126*Inputs!$F$121/1000*Time!AL$9*Operations!AL191</f>
        <v>0.0449283253041046</v>
      </c>
      <c r="AM214" s="20" t="n">
        <f aca="false">Inputs!$F$243/100*Inputs!$F$126*Inputs!$F$121/1000*Time!AM$9*Operations!AM191</f>
        <v>0.0460515334367072</v>
      </c>
      <c r="AN214" s="20" t="n">
        <f aca="false">Inputs!$F$243/100*Inputs!$F$126*Inputs!$F$121/1000*Time!AN$9*Operations!AN191</f>
        <v>0.0472028217726249</v>
      </c>
      <c r="AO214" s="20" t="n">
        <f aca="false">Inputs!$F$243/100*Inputs!$F$126*Inputs!$F$121/1000*Time!AO$9*Operations!AO191</f>
        <v>0.0483828923169405</v>
      </c>
      <c r="AP214" s="20" t="n">
        <f aca="false">Inputs!$F$243/100*Inputs!$F$126*Inputs!$F$121/1000*Time!AP$9*Operations!AP191</f>
        <v>0.049592464624864</v>
      </c>
      <c r="AQ214" s="20" t="n">
        <f aca="false">Inputs!$F$243/100*Inputs!$F$126*Inputs!$F$121/1000*Time!AQ$9*Operations!AQ191</f>
        <v>0.0423370191153634</v>
      </c>
      <c r="AR214" s="20" t="n">
        <f aca="false">Inputs!$F$243/100*Inputs!$F$126*Inputs!$F$121/1000*Time!AR$9*Operations!AR191</f>
        <v>0</v>
      </c>
      <c r="AS214" s="20" t="n">
        <f aca="false">Inputs!$F$243/100*Inputs!$F$126*Inputs!$F$121/1000*Time!AS$9*Operations!AS191</f>
        <v>0</v>
      </c>
      <c r="AT214" s="20" t="n">
        <f aca="false">Inputs!$F$243/100*Inputs!$F$126*Inputs!$F$121/1000*Time!AT$9*Operations!AT191</f>
        <v>0</v>
      </c>
      <c r="AU214" s="20" t="n">
        <f aca="false">Inputs!$F$243/100*Inputs!$F$126*Inputs!$F$121/1000*Time!AU$9*Operations!AU191</f>
        <v>0</v>
      </c>
    </row>
    <row r="215" customFormat="false" ht="15" hidden="false" customHeight="false" outlineLevel="0" collapsed="false">
      <c r="D215" s="0" t="s">
        <v>610</v>
      </c>
      <c r="E215" s="0" t="s">
        <v>47</v>
      </c>
      <c r="J215" s="20" t="n">
        <f aca="false">Inputs!$F$244/100*Inputs!$F$245/100*Operations!J210</f>
        <v>0.056335552538664</v>
      </c>
      <c r="K215" s="20" t="n">
        <f aca="false">Inputs!$F$244/100*Inputs!$F$245/100*Operations!K210</f>
        <v>0.0522847694946509</v>
      </c>
      <c r="L215" s="20" t="n">
        <f aca="false">Inputs!$F$244/100*Inputs!$F$245/100*Operations!L210</f>
        <v>0.045083648796786</v>
      </c>
      <c r="M215" s="20" t="n">
        <f aca="false">Inputs!$F$244/100*Inputs!$F$245/100*Operations!M210</f>
        <v>0.046480020902115</v>
      </c>
      <c r="N215" s="20" t="n">
        <f aca="false">Inputs!$F$244/100*Inputs!$F$245/100*Operations!N210</f>
        <v>0.0469650634808844</v>
      </c>
      <c r="O215" s="20" t="n">
        <f aca="false">Inputs!$F$244/100*Inputs!$F$245/100*Operations!O210</f>
        <v>0.0387904292371275</v>
      </c>
      <c r="P215" s="20" t="n">
        <f aca="false">Inputs!$F$244/100*Inputs!$F$245/100*Operations!P210</f>
        <v>0.0389871680165699</v>
      </c>
      <c r="Q215" s="20" t="n">
        <f aca="false">Inputs!$F$244/100*Inputs!$F$245/100*Operations!Q210</f>
        <v>0.0387170928845124</v>
      </c>
      <c r="R215" s="20" t="n">
        <f aca="false">Inputs!$F$244/100*Inputs!$F$245/100*Operations!R210</f>
        <v>0.0384652837081453</v>
      </c>
      <c r="S215" s="20" t="n">
        <f aca="false">Inputs!$F$244/100*Inputs!$F$245/100*Operations!S210</f>
        <v>0.0378949909348781</v>
      </c>
      <c r="T215" s="20" t="n">
        <f aca="false">Inputs!$F$244/100*Inputs!$F$245/100*Operations!T210</f>
        <v>0.0372971992733758</v>
      </c>
      <c r="U215" s="20" t="n">
        <f aca="false">Inputs!$F$244/100*Inputs!$F$245/100*Operations!U210</f>
        <v>0.0366709989912703</v>
      </c>
      <c r="V215" s="20" t="n">
        <f aca="false">Inputs!$F$244/100*Inputs!$F$245/100*Operations!V210</f>
        <v>0.0360155002645895</v>
      </c>
      <c r="W215" s="20" t="n">
        <f aca="false">Inputs!$F$244/100*Inputs!$F$245/100*Operations!W210</f>
        <v>0.0353298329401961</v>
      </c>
      <c r="X215" s="20" t="n">
        <f aca="false">Inputs!$F$244/100*Inputs!$F$245/100*Operations!X210</f>
        <v>0.035871806165896</v>
      </c>
      <c r="Y215" s="20" t="n">
        <f aca="false">Inputs!$F$244/100*Inputs!$F$245/100*Operations!Y210</f>
        <v>0.0364265494446396</v>
      </c>
      <c r="Z215" s="20" t="n">
        <f aca="false">Inputs!$F$244/100*Inputs!$F$245/100*Operations!Z210</f>
        <v>0.0369877607008708</v>
      </c>
      <c r="AA215" s="20" t="n">
        <f aca="false">Inputs!$F$244/100*Inputs!$F$245/100*Operations!AA210</f>
        <v>0.037555315647421</v>
      </c>
      <c r="AB215" s="20" t="n">
        <f aca="false">Inputs!$F$244/100*Inputs!$F$245/100*Operations!AB210</f>
        <v>0.0381351300486275</v>
      </c>
      <c r="AC215" s="20" t="n">
        <f aca="false">Inputs!$F$244/100*Inputs!$F$245/100*Operations!AC210</f>
        <v>0.038720988909947</v>
      </c>
      <c r="AD215" s="20" t="n">
        <f aca="false">Inputs!$F$244/100*Inputs!$F$245/100*Operations!AD210</f>
        <v>0.0393187565752568</v>
      </c>
      <c r="AE215" s="20" t="n">
        <f aca="false">Inputs!$F$244/100*Inputs!$F$245/100*Operations!AE210</f>
        <v>0.0399222755503268</v>
      </c>
      <c r="AF215" s="20" t="n">
        <f aca="false">Inputs!$F$244/100*Inputs!$F$245/100*Operations!AF210</f>
        <v>0.040537359199559</v>
      </c>
      <c r="AG215" s="20" t="n">
        <f aca="false">Inputs!$F$244/100*Inputs!$F$245/100*Operations!AG210</f>
        <v>0.0411638111531526</v>
      </c>
      <c r="AH215" s="20" t="n">
        <f aca="false">Inputs!$F$244/100*Inputs!$F$245/100*Operations!AH210</f>
        <v>0.04179555934238</v>
      </c>
      <c r="AI215" s="20" t="n">
        <f aca="false">Inputs!$F$244/100*Inputs!$F$245/100*Operations!AI210</f>
        <v>0.0424383416603411</v>
      </c>
      <c r="AJ215" s="20" t="n">
        <f aca="false">Inputs!$F$244/100*Inputs!$F$245/100*Operations!AJ210</f>
        <v>0.0430919670165434</v>
      </c>
      <c r="AK215" s="20" t="n">
        <f aca="false">Inputs!$F$244/100*Inputs!$F$245/100*Operations!AK210</f>
        <v>0.0437562461723244</v>
      </c>
      <c r="AL215" s="20" t="n">
        <f aca="false">Inputs!$F$244/100*Inputs!$F$245/100*Operations!AL210</f>
        <v>0.0444309917264555</v>
      </c>
      <c r="AM215" s="20" t="n">
        <f aca="false">Inputs!$F$244/100*Inputs!$F$245/100*Operations!AM210</f>
        <v>0.0451160181008448</v>
      </c>
      <c r="AN215" s="20" t="n">
        <f aca="false">Inputs!$F$244/100*Inputs!$F$245/100*Operations!AN210</f>
        <v>0.0458111415263384</v>
      </c>
      <c r="AO215" s="20" t="n">
        <f aca="false">Inputs!$F$244/100*Inputs!$F$245/100*Operations!AO210</f>
        <v>0.0465161800286201</v>
      </c>
      <c r="AP215" s="20" t="n">
        <f aca="false">Inputs!$F$244/100*Inputs!$F$245/100*Operations!AP210</f>
        <v>0.047230953414208</v>
      </c>
      <c r="AQ215" s="20" t="n">
        <f aca="false">Inputs!$F$244/100*Inputs!$F$245/100*Operations!AQ210</f>
        <v>0.0399455392387323</v>
      </c>
      <c r="AR215" s="20" t="n">
        <f aca="false">Inputs!$F$244/100*Inputs!$F$245/100*Operations!AR210</f>
        <v>0</v>
      </c>
      <c r="AS215" s="20" t="n">
        <f aca="false">Inputs!$F$244/100*Inputs!$F$245/100*Operations!AS210</f>
        <v>0</v>
      </c>
      <c r="AT215" s="20" t="n">
        <f aca="false">Inputs!$F$244/100*Inputs!$F$245/100*Operations!AT210</f>
        <v>0</v>
      </c>
      <c r="AU215" s="20" t="n">
        <f aca="false">Inputs!$F$244/100*Inputs!$F$245/100*Operations!AU210</f>
        <v>0</v>
      </c>
    </row>
    <row r="216" customFormat="false" ht="15" hidden="false" customHeight="false" outlineLevel="0" collapsed="false">
      <c r="D216" s="0" t="s">
        <v>611</v>
      </c>
      <c r="E216" s="0" t="s">
        <v>47</v>
      </c>
      <c r="G216" s="20" t="n">
        <f aca="false">SUM(J216:AU216)</f>
        <v>168.068847781455</v>
      </c>
      <c r="J216" s="20" t="n">
        <f aca="false">Operations!J210-Operations!J212-Operations!J213-Operations!J214-Operations!J215</f>
        <v>8.83566228339734</v>
      </c>
      <c r="K216" s="20" t="n">
        <f aca="false">Operations!K210-Operations!K212-Operations!K213-Operations!K214-Operations!K215</f>
        <v>7.96074184777219</v>
      </c>
      <c r="L216" s="20" t="n">
        <f aca="false">Operations!L210-Operations!L212-Operations!L213-Operations!L214-Operations!L215</f>
        <v>6.5476515033815</v>
      </c>
      <c r="M216" s="20" t="n">
        <f aca="false">Operations!M210-Operations!M212-Operations!M213-Operations!M214-Operations!M215</f>
        <v>6.76236510730146</v>
      </c>
      <c r="N216" s="20" t="n">
        <f aca="false">Operations!N210-Operations!N212-Operations!N213-Operations!N214-Operations!N215</f>
        <v>6.8031568226833</v>
      </c>
      <c r="O216" s="20" t="n">
        <f aca="false">Operations!O210-Operations!O212-Operations!O213-Operations!O214-Operations!O215</f>
        <v>5.20186815536135</v>
      </c>
      <c r="P216" s="20" t="n">
        <f aca="false">Operations!P210-Operations!P212-Operations!P213-Operations!P214-Operations!P215</f>
        <v>5.18544560472339</v>
      </c>
      <c r="Q216" s="20" t="n">
        <f aca="false">Operations!Q210-Operations!Q212-Operations!Q213-Operations!Q214-Operations!Q215</f>
        <v>5.07923043584599</v>
      </c>
      <c r="R216" s="20" t="n">
        <f aca="false">Operations!R210-Operations!R212-Operations!R213-Operations!R214-Operations!R215</f>
        <v>4.97510017162541</v>
      </c>
      <c r="S216" s="20" t="n">
        <f aca="false">Operations!S210-Operations!S212-Operations!S213-Operations!S214-Operations!S215</f>
        <v>4.80921438821614</v>
      </c>
      <c r="T216" s="20" t="n">
        <f aca="false">Operations!T210-Operations!T212-Operations!T213-Operations!T214-Operations!T215</f>
        <v>4.63667249818989</v>
      </c>
      <c r="U216" s="20" t="n">
        <f aca="false">Operations!U210-Operations!U212-Operations!U213-Operations!U214-Operations!U215</f>
        <v>4.45726598587241</v>
      </c>
      <c r="V216" s="20" t="n">
        <f aca="false">Operations!V210-Operations!V212-Operations!V213-Operations!V214-Operations!V215</f>
        <v>4.2707892041802</v>
      </c>
      <c r="W216" s="20" t="n">
        <f aca="false">Operations!W210-Operations!W212-Operations!W213-Operations!W214-Operations!W215</f>
        <v>4.07703930701892</v>
      </c>
      <c r="X216" s="20" t="n">
        <f aca="false">Operations!X210-Operations!X212-Operations!X213-Operations!X214-Operations!X215</f>
        <v>4.11430225794839</v>
      </c>
      <c r="Y216" s="20" t="n">
        <f aca="false">Operations!Y210-Operations!Y212-Operations!Y213-Operations!Y214-Operations!Y215</f>
        <v>4.15234912810036</v>
      </c>
      <c r="Z216" s="20" t="n">
        <f aca="false">Operations!Z210-Operations!Z212-Operations!Z213-Operations!Z214-Operations!Z215</f>
        <v>4.18994493166183</v>
      </c>
      <c r="AA216" s="20" t="n">
        <f aca="false">Operations!AA210-Operations!AA212-Operations!AA213-Operations!AA214-Operations!AA215</f>
        <v>4.22702420431547</v>
      </c>
      <c r="AB216" s="20" t="n">
        <f aca="false">Operations!AB210-Operations!AB212-Operations!AB213-Operations!AB214-Operations!AB215</f>
        <v>4.2646648798221</v>
      </c>
      <c r="AC216" s="20" t="n">
        <f aca="false">Operations!AC210-Operations!AC212-Operations!AC213-Operations!AC214-Operations!AC215</f>
        <v>4.30164532789399</v>
      </c>
      <c r="AD216" s="20" t="n">
        <f aca="false">Operations!AD210-Operations!AD212-Operations!AD213-Operations!AD214-Operations!AD215</f>
        <v>4.3390315643509</v>
      </c>
      <c r="AE216" s="20" t="n">
        <f aca="false">Operations!AE210-Operations!AE212-Operations!AE213-Operations!AE214-Operations!AE215</f>
        <v>4.37561062448253</v>
      </c>
      <c r="AF216" s="20" t="n">
        <f aca="false">Operations!AF210-Operations!AF212-Operations!AF213-Operations!AF214-Operations!AF215</f>
        <v>4.41243657961488</v>
      </c>
      <c r="AG216" s="20" t="n">
        <f aca="false">Operations!AG210-Operations!AG212-Operations!AG213-Operations!AG214-Operations!AG215</f>
        <v>4.44942361396111</v>
      </c>
      <c r="AH216" s="20" t="n">
        <f aca="false">Operations!AH210-Operations!AH212-Operations!AH213-Operations!AH214-Operations!AH215</f>
        <v>4.48537139147565</v>
      </c>
      <c r="AI216" s="20" t="n">
        <f aca="false">Operations!AI210-Operations!AI212-Operations!AI213-Operations!AI214-Operations!AI215</f>
        <v>4.52131603709988</v>
      </c>
      <c r="AJ216" s="20" t="n">
        <f aca="false">Operations!AJ210-Operations!AJ212-Operations!AJ213-Operations!AJ214-Operations!AJ215</f>
        <v>4.55716899782101</v>
      </c>
      <c r="AK216" s="20" t="n">
        <f aca="false">Operations!AK210-Operations!AK212-Operations!AK213-Operations!AK214-Operations!AK215</f>
        <v>4.59284076285615</v>
      </c>
      <c r="AL216" s="20" t="n">
        <f aca="false">Operations!AL210-Operations!AL212-Operations!AL213-Operations!AL214-Operations!AL215</f>
        <v>4.6282408282083</v>
      </c>
      <c r="AM216" s="20" t="n">
        <f aca="false">Operations!AM210-Operations!AM212-Operations!AM213-Operations!AM214-Operations!AM215</f>
        <v>4.66327766042331</v>
      </c>
      <c r="AN216" s="20" t="n">
        <f aca="false">Operations!AN210-Operations!AN212-Operations!AN213-Operations!AN214-Operations!AN215</f>
        <v>4.69785865952712</v>
      </c>
      <c r="AO216" s="20" t="n">
        <f aca="false">Operations!AO210-Operations!AO212-Operations!AO213-Operations!AO214-Operations!AO215</f>
        <v>4.73189012112227</v>
      </c>
      <c r="AP216" s="20" t="n">
        <f aca="false">Operations!AP210-Operations!AP212-Operations!AP213-Operations!AP214-Operations!AP215</f>
        <v>4.76527719762211</v>
      </c>
      <c r="AQ216" s="20" t="n">
        <f aca="false">Operations!AQ210-Operations!AQ212-Operations!AQ213-Operations!AQ214-Operations!AQ215</f>
        <v>3.99696969757817</v>
      </c>
      <c r="AR216" s="20" t="n">
        <f aca="false">Operations!AR210-Operations!AR212-Operations!AR213-Operations!AR214-Operations!AR215</f>
        <v>0</v>
      </c>
      <c r="AS216" s="20" t="n">
        <f aca="false">Operations!AS210-Operations!AS212-Operations!AS213-Operations!AS214-Operations!AS215</f>
        <v>0</v>
      </c>
      <c r="AT216" s="20" t="n">
        <f aca="false">Operations!AT210-Operations!AT212-Operations!AT213-Operations!AT214-Operations!AT215</f>
        <v>0</v>
      </c>
      <c r="AU216" s="20" t="n">
        <f aca="false">Operations!AU210-Operations!AU212-Operations!AU213-Operations!AU214-Operations!AU215</f>
        <v>0</v>
      </c>
    </row>
    <row r="217" customFormat="false" ht="15" hidden="false" customHeight="false" outlineLevel="0" collapsed="false">
      <c r="D217" s="0" t="s">
        <v>612</v>
      </c>
      <c r="E217" s="0" t="s">
        <v>47</v>
      </c>
      <c r="J217" s="20" t="n">
        <f aca="false">0</f>
        <v>0</v>
      </c>
      <c r="K217" s="20" t="n">
        <f aca="false">0</f>
        <v>0</v>
      </c>
      <c r="L217" s="20" t="n">
        <f aca="false">0</f>
        <v>0</v>
      </c>
      <c r="M217" s="20" t="n">
        <f aca="false">0</f>
        <v>0</v>
      </c>
      <c r="N217" s="20" t="n">
        <f aca="false">0</f>
        <v>0</v>
      </c>
      <c r="O217" s="20" t="n">
        <f aca="false">0</f>
        <v>0</v>
      </c>
      <c r="P217" s="20" t="n">
        <f aca="false">0</f>
        <v>0</v>
      </c>
      <c r="Q217" s="20" t="n">
        <f aca="false">0</f>
        <v>0</v>
      </c>
      <c r="R217" s="20" t="n">
        <f aca="false">0</f>
        <v>0</v>
      </c>
      <c r="S217" s="20" t="n">
        <f aca="false">0</f>
        <v>0</v>
      </c>
      <c r="T217" s="20" t="n">
        <f aca="false">0</f>
        <v>0</v>
      </c>
      <c r="U217" s="20" t="n">
        <f aca="false">0</f>
        <v>0</v>
      </c>
      <c r="V217" s="20" t="n">
        <f aca="false">0</f>
        <v>0</v>
      </c>
      <c r="W217" s="20" t="n">
        <f aca="false">0</f>
        <v>0</v>
      </c>
      <c r="X217" s="20" t="n">
        <f aca="false">0</f>
        <v>0</v>
      </c>
      <c r="Y217" s="20" t="n">
        <f aca="false">0</f>
        <v>0</v>
      </c>
      <c r="Z217" s="20" t="n">
        <f aca="false">0</f>
        <v>0</v>
      </c>
      <c r="AA217" s="20" t="n">
        <f aca="false">0</f>
        <v>0</v>
      </c>
      <c r="AB217" s="20" t="n">
        <f aca="false">0</f>
        <v>0</v>
      </c>
      <c r="AC217" s="20" t="n">
        <f aca="false">0</f>
        <v>0</v>
      </c>
      <c r="AD217" s="20" t="n">
        <f aca="false">0</f>
        <v>0</v>
      </c>
      <c r="AE217" s="20" t="n">
        <f aca="false">0</f>
        <v>0</v>
      </c>
      <c r="AF217" s="20" t="n">
        <f aca="false">0</f>
        <v>0</v>
      </c>
      <c r="AG217" s="20" t="n">
        <f aca="false">0</f>
        <v>0</v>
      </c>
      <c r="AH217" s="20" t="n">
        <f aca="false">0</f>
        <v>0</v>
      </c>
      <c r="AI217" s="20" t="n">
        <f aca="false">0</f>
        <v>0</v>
      </c>
      <c r="AJ217" s="20" t="n">
        <f aca="false">0</f>
        <v>0</v>
      </c>
      <c r="AK217" s="20" t="n">
        <f aca="false">0</f>
        <v>0</v>
      </c>
      <c r="AL217" s="20" t="n">
        <f aca="false">0</f>
        <v>0</v>
      </c>
      <c r="AM217" s="20" t="n">
        <f aca="false">0</f>
        <v>0</v>
      </c>
      <c r="AN217" s="20" t="n">
        <f aca="false">0</f>
        <v>0</v>
      </c>
      <c r="AO217" s="20" t="n">
        <f aca="false">0</f>
        <v>0</v>
      </c>
      <c r="AP217" s="20" t="n">
        <f aca="false">0</f>
        <v>0</v>
      </c>
      <c r="AQ217" s="20" t="n">
        <f aca="false">0</f>
        <v>0</v>
      </c>
      <c r="AR217" s="20" t="n">
        <f aca="false">0</f>
        <v>0</v>
      </c>
      <c r="AS217" s="20" t="n">
        <f aca="false">0</f>
        <v>0</v>
      </c>
      <c r="AT217" s="20" t="n">
        <f aca="false">0</f>
        <v>0</v>
      </c>
      <c r="AU217" s="20" t="n">
        <f aca="false">0</f>
        <v>0</v>
      </c>
    </row>
    <row r="218" customFormat="false" ht="15" hidden="false" customHeight="false" outlineLevel="0" collapsed="false">
      <c r="D218" s="0" t="s">
        <v>613</v>
      </c>
      <c r="E218" s="0" t="s">
        <v>47</v>
      </c>
      <c r="J218" s="20" t="n">
        <f aca="false">IF(Time!J$4=YEAR(Inputs!$F$123),Inputs!$F$126*Inputs!$F$121/1000*Time!J$9,0)</f>
        <v>0</v>
      </c>
      <c r="K218" s="20" t="n">
        <f aca="false">IF(Time!K$4=YEAR(Inputs!$F$123),Inputs!$F$126*Inputs!$F$121/1000*Time!K$9,0)</f>
        <v>0</v>
      </c>
      <c r="L218" s="20" t="n">
        <f aca="false">IF(Time!L$4=YEAR(Inputs!$F$123),Inputs!$F$126*Inputs!$F$121/1000*Time!L$9,0)</f>
        <v>0</v>
      </c>
      <c r="M218" s="20" t="n">
        <f aca="false">IF(Time!M$4=YEAR(Inputs!$F$123),Inputs!$F$126*Inputs!$F$121/1000*Time!M$9,0)</f>
        <v>0</v>
      </c>
      <c r="N218" s="20" t="n">
        <f aca="false">IF(Time!N$4=YEAR(Inputs!$F$123),Inputs!$F$126*Inputs!$F$121/1000*Time!N$9,0)</f>
        <v>0</v>
      </c>
      <c r="O218" s="20" t="n">
        <f aca="false">IF(Time!O$4=YEAR(Inputs!$F$123),Inputs!$F$126*Inputs!$F$121/1000*Time!O$9,0)</f>
        <v>0</v>
      </c>
      <c r="P218" s="20" t="n">
        <f aca="false">IF(Time!P$4=YEAR(Inputs!$F$123),Inputs!$F$126*Inputs!$F$121/1000*Time!P$9,0)</f>
        <v>0</v>
      </c>
      <c r="Q218" s="20" t="n">
        <f aca="false">IF(Time!Q$4=YEAR(Inputs!$F$123),Inputs!$F$126*Inputs!$F$121/1000*Time!Q$9,0)</f>
        <v>0</v>
      </c>
      <c r="R218" s="20" t="n">
        <f aca="false">IF(Time!R$4=YEAR(Inputs!$F$123),Inputs!$F$126*Inputs!$F$121/1000*Time!R$9,0)</f>
        <v>0</v>
      </c>
      <c r="S218" s="20" t="n">
        <f aca="false">IF(Time!S$4=YEAR(Inputs!$F$123),Inputs!$F$126*Inputs!$F$121/1000*Time!S$9,0)</f>
        <v>0</v>
      </c>
      <c r="T218" s="20" t="n">
        <f aca="false">IF(Time!T$4=YEAR(Inputs!$F$123),Inputs!$F$126*Inputs!$F$121/1000*Time!T$9,0)</f>
        <v>0</v>
      </c>
      <c r="U218" s="20" t="n">
        <f aca="false">IF(Time!U$4=YEAR(Inputs!$F$123),Inputs!$F$126*Inputs!$F$121/1000*Time!U$9,0)</f>
        <v>0</v>
      </c>
      <c r="V218" s="20" t="n">
        <f aca="false">IF(Time!V$4=YEAR(Inputs!$F$123),Inputs!$F$126*Inputs!$F$121/1000*Time!V$9,0)</f>
        <v>0</v>
      </c>
      <c r="W218" s="20" t="n">
        <f aca="false">IF(Time!W$4=YEAR(Inputs!$F$123),Inputs!$F$126*Inputs!$F$121/1000*Time!W$9,0)</f>
        <v>0</v>
      </c>
      <c r="X218" s="20" t="n">
        <f aca="false">IF(Time!X$4=YEAR(Inputs!$F$123),Inputs!$F$126*Inputs!$F$121/1000*Time!X$9,0)</f>
        <v>0</v>
      </c>
      <c r="Y218" s="20" t="n">
        <f aca="false">IF(Time!Y$4=YEAR(Inputs!$F$123),Inputs!$F$126*Inputs!$F$121/1000*Time!Y$9,0)</f>
        <v>0</v>
      </c>
      <c r="Z218" s="20" t="n">
        <f aca="false">IF(Time!Z$4=YEAR(Inputs!$F$123),Inputs!$F$126*Inputs!$F$121/1000*Time!Z$9,0)</f>
        <v>0</v>
      </c>
      <c r="AA218" s="20" t="n">
        <f aca="false">IF(Time!AA$4=YEAR(Inputs!$F$123),Inputs!$F$126*Inputs!$F$121/1000*Time!AA$9,0)</f>
        <v>0</v>
      </c>
      <c r="AB218" s="20" t="n">
        <f aca="false">IF(Time!AB$4=YEAR(Inputs!$F$123),Inputs!$F$126*Inputs!$F$121/1000*Time!AB$9,0)</f>
        <v>0</v>
      </c>
      <c r="AC218" s="20" t="n">
        <f aca="false">IF(Time!AC$4=YEAR(Inputs!$F$123),Inputs!$F$126*Inputs!$F$121/1000*Time!AC$9,0)</f>
        <v>0</v>
      </c>
      <c r="AD218" s="20" t="n">
        <f aca="false">IF(Time!AD$4=YEAR(Inputs!$F$123),Inputs!$F$126*Inputs!$F$121/1000*Time!AD$9,0)</f>
        <v>0</v>
      </c>
      <c r="AE218" s="20" t="n">
        <f aca="false">IF(Time!AE$4=YEAR(Inputs!$F$123),Inputs!$F$126*Inputs!$F$121/1000*Time!AE$9,0)</f>
        <v>0</v>
      </c>
      <c r="AF218" s="20" t="n">
        <f aca="false">IF(Time!AF$4=YEAR(Inputs!$F$123),Inputs!$F$126*Inputs!$F$121/1000*Time!AF$9,0)</f>
        <v>0</v>
      </c>
      <c r="AG218" s="20" t="n">
        <f aca="false">IF(Time!AG$4=YEAR(Inputs!$F$123),Inputs!$F$126*Inputs!$F$121/1000*Time!AG$9,0)</f>
        <v>0</v>
      </c>
      <c r="AH218" s="20" t="n">
        <f aca="false">IF(Time!AH$4=YEAR(Inputs!$F$123),Inputs!$F$126*Inputs!$F$121/1000*Time!AH$9,0)</f>
        <v>0</v>
      </c>
      <c r="AI218" s="20" t="n">
        <f aca="false">IF(Time!AI$4=YEAR(Inputs!$F$123),Inputs!$F$126*Inputs!$F$121/1000*Time!AI$9,0)</f>
        <v>0</v>
      </c>
      <c r="AJ218" s="20" t="n">
        <f aca="false">IF(Time!AJ$4=YEAR(Inputs!$F$123),Inputs!$F$126*Inputs!$F$121/1000*Time!AJ$9,0)</f>
        <v>0</v>
      </c>
      <c r="AK218" s="20" t="n">
        <f aca="false">IF(Time!AK$4=YEAR(Inputs!$F$123),Inputs!$F$126*Inputs!$F$121/1000*Time!AK$9,0)</f>
        <v>0</v>
      </c>
      <c r="AL218" s="20" t="n">
        <f aca="false">IF(Time!AL$4=YEAR(Inputs!$F$123),Inputs!$F$126*Inputs!$F$121/1000*Time!AL$9,0)</f>
        <v>0</v>
      </c>
      <c r="AM218" s="20" t="n">
        <f aca="false">IF(Time!AM$4=YEAR(Inputs!$F$123),Inputs!$F$126*Inputs!$F$121/1000*Time!AM$9,0)</f>
        <v>0</v>
      </c>
      <c r="AN218" s="20" t="n">
        <f aca="false">IF(Time!AN$4=YEAR(Inputs!$F$123),Inputs!$F$126*Inputs!$F$121/1000*Time!AN$9,0)</f>
        <v>0</v>
      </c>
      <c r="AO218" s="20" t="n">
        <f aca="false">IF(Time!AO$4=YEAR(Inputs!$F$123),Inputs!$F$126*Inputs!$F$121/1000*Time!AO$9,0)</f>
        <v>0</v>
      </c>
      <c r="AP218" s="20" t="n">
        <f aca="false">IF(Time!AP$4=YEAR(Inputs!$F$123),Inputs!$F$126*Inputs!$F$121/1000*Time!AP$9,0)</f>
        <v>0</v>
      </c>
      <c r="AQ218" s="20" t="n">
        <f aca="false">IF(Time!AQ$4=YEAR(Inputs!$F$123),Inputs!$F$126*Inputs!$F$121/1000*Time!AQ$9,0)</f>
        <v>8.47204604008093</v>
      </c>
      <c r="AR218" s="20" t="n">
        <f aca="false">IF(Time!AR$4=YEAR(Inputs!$F$123),Inputs!$F$126*Inputs!$F$121/1000*Time!AR$9,0)</f>
        <v>0</v>
      </c>
      <c r="AS218" s="20" t="n">
        <f aca="false">IF(Time!AS$4=YEAR(Inputs!$F$123),Inputs!$F$126*Inputs!$F$121/1000*Time!AS$9,0)</f>
        <v>0</v>
      </c>
      <c r="AT218" s="20" t="n">
        <f aca="false">IF(Time!AT$4=YEAR(Inputs!$F$123),Inputs!$F$126*Inputs!$F$121/1000*Time!AT$9,0)</f>
        <v>0</v>
      </c>
      <c r="AU218" s="20" t="n">
        <f aca="false">IF(Time!AU$4=YEAR(Inputs!$F$123),Inputs!$F$126*Inputs!$F$121/1000*Time!AU$9,0)</f>
        <v>0</v>
      </c>
    </row>
    <row r="219" customFormat="false" ht="15" hidden="false" customHeight="false" outlineLevel="0" collapsed="false">
      <c r="D219" s="0" t="s">
        <v>614</v>
      </c>
      <c r="E219" s="0" t="s">
        <v>47</v>
      </c>
      <c r="G219" s="20" t="n">
        <f aca="false">SUM(J219:AU219)</f>
        <v>159.596801741374</v>
      </c>
      <c r="J219" s="20" t="n">
        <f aca="false">Operations!J216-Operations!J217-Operations!J218</f>
        <v>8.83566228339734</v>
      </c>
      <c r="K219" s="20" t="n">
        <f aca="false">Operations!K216-Operations!K217-Operations!K218</f>
        <v>7.96074184777219</v>
      </c>
      <c r="L219" s="20" t="n">
        <f aca="false">Operations!L216-Operations!L217-Operations!L218</f>
        <v>6.5476515033815</v>
      </c>
      <c r="M219" s="20" t="n">
        <f aca="false">Operations!M216-Operations!M217-Operations!M218</f>
        <v>6.76236510730146</v>
      </c>
      <c r="N219" s="20" t="n">
        <f aca="false">Operations!N216-Operations!N217-Operations!N218</f>
        <v>6.8031568226833</v>
      </c>
      <c r="O219" s="20" t="n">
        <f aca="false">Operations!O216-Operations!O217-Operations!O218</f>
        <v>5.20186815536135</v>
      </c>
      <c r="P219" s="20" t="n">
        <f aca="false">Operations!P216-Operations!P217-Operations!P218</f>
        <v>5.18544560472339</v>
      </c>
      <c r="Q219" s="20" t="n">
        <f aca="false">Operations!Q216-Operations!Q217-Operations!Q218</f>
        <v>5.07923043584599</v>
      </c>
      <c r="R219" s="20" t="n">
        <f aca="false">Operations!R216-Operations!R217-Operations!R218</f>
        <v>4.97510017162541</v>
      </c>
      <c r="S219" s="20" t="n">
        <f aca="false">Operations!S216-Operations!S217-Operations!S218</f>
        <v>4.80921438821614</v>
      </c>
      <c r="T219" s="20" t="n">
        <f aca="false">Operations!T216-Operations!T217-Operations!T218</f>
        <v>4.63667249818989</v>
      </c>
      <c r="U219" s="20" t="n">
        <f aca="false">Operations!U216-Operations!U217-Operations!U218</f>
        <v>4.45726598587241</v>
      </c>
      <c r="V219" s="20" t="n">
        <f aca="false">Operations!V216-Operations!V217-Operations!V218</f>
        <v>4.2707892041802</v>
      </c>
      <c r="W219" s="20" t="n">
        <f aca="false">Operations!W216-Operations!W217-Operations!W218</f>
        <v>4.07703930701892</v>
      </c>
      <c r="X219" s="20" t="n">
        <f aca="false">Operations!X216-Operations!X217-Operations!X218</f>
        <v>4.11430225794839</v>
      </c>
      <c r="Y219" s="20" t="n">
        <f aca="false">Operations!Y216-Operations!Y217-Operations!Y218</f>
        <v>4.15234912810036</v>
      </c>
      <c r="Z219" s="20" t="n">
        <f aca="false">Operations!Z216-Operations!Z217-Operations!Z218</f>
        <v>4.18994493166183</v>
      </c>
      <c r="AA219" s="20" t="n">
        <f aca="false">Operations!AA216-Operations!AA217-Operations!AA218</f>
        <v>4.22702420431547</v>
      </c>
      <c r="AB219" s="20" t="n">
        <f aca="false">Operations!AB216-Operations!AB217-Operations!AB218</f>
        <v>4.2646648798221</v>
      </c>
      <c r="AC219" s="20" t="n">
        <f aca="false">Operations!AC216-Operations!AC217-Operations!AC218</f>
        <v>4.30164532789399</v>
      </c>
      <c r="AD219" s="20" t="n">
        <f aca="false">Operations!AD216-Operations!AD217-Operations!AD218</f>
        <v>4.3390315643509</v>
      </c>
      <c r="AE219" s="20" t="n">
        <f aca="false">Operations!AE216-Operations!AE217-Operations!AE218</f>
        <v>4.37561062448253</v>
      </c>
      <c r="AF219" s="20" t="n">
        <f aca="false">Operations!AF216-Operations!AF217-Operations!AF218</f>
        <v>4.41243657961488</v>
      </c>
      <c r="AG219" s="20" t="n">
        <f aca="false">Operations!AG216-Operations!AG217-Operations!AG218</f>
        <v>4.44942361396111</v>
      </c>
      <c r="AH219" s="20" t="n">
        <f aca="false">Operations!AH216-Operations!AH217-Operations!AH218</f>
        <v>4.48537139147565</v>
      </c>
      <c r="AI219" s="20" t="n">
        <f aca="false">Operations!AI216-Operations!AI217-Operations!AI218</f>
        <v>4.52131603709988</v>
      </c>
      <c r="AJ219" s="20" t="n">
        <f aca="false">Operations!AJ216-Operations!AJ217-Operations!AJ218</f>
        <v>4.55716899782101</v>
      </c>
      <c r="AK219" s="20" t="n">
        <f aca="false">Operations!AK216-Operations!AK217-Operations!AK218</f>
        <v>4.59284076285615</v>
      </c>
      <c r="AL219" s="20" t="n">
        <f aca="false">Operations!AL216-Operations!AL217-Operations!AL218</f>
        <v>4.6282408282083</v>
      </c>
      <c r="AM219" s="20" t="n">
        <f aca="false">Operations!AM216-Operations!AM217-Operations!AM218</f>
        <v>4.66327766042331</v>
      </c>
      <c r="AN219" s="20" t="n">
        <f aca="false">Operations!AN216-Operations!AN217-Operations!AN218</f>
        <v>4.69785865952712</v>
      </c>
      <c r="AO219" s="20" t="n">
        <f aca="false">Operations!AO216-Operations!AO217-Operations!AO218</f>
        <v>4.73189012112227</v>
      </c>
      <c r="AP219" s="20" t="n">
        <f aca="false">Operations!AP216-Operations!AP217-Operations!AP218</f>
        <v>4.76527719762211</v>
      </c>
      <c r="AQ219" s="20" t="n">
        <f aca="false">Operations!AQ216-Operations!AQ217-Operations!AQ218</f>
        <v>-4.47507634250277</v>
      </c>
      <c r="AR219" s="20" t="n">
        <f aca="false">Operations!AR216-Operations!AR217-Operations!AR218</f>
        <v>0</v>
      </c>
      <c r="AS219" s="20" t="n">
        <f aca="false">Operations!AS216-Operations!AS217-Operations!AS218</f>
        <v>0</v>
      </c>
      <c r="AT219" s="20" t="n">
        <f aca="false">Operations!AT216-Operations!AT217-Operations!AT218</f>
        <v>0</v>
      </c>
      <c r="AU219" s="20" t="n">
        <f aca="false">Operations!AU216-Operations!AU217-Operations!AU218</f>
        <v>0</v>
      </c>
    </row>
    <row r="220" customFormat="false" ht="15" hidden="false" customHeight="false" outlineLevel="0" collapsed="false">
      <c r="D220" s="0" t="s">
        <v>615</v>
      </c>
      <c r="E220" s="0" t="s">
        <v>458</v>
      </c>
      <c r="J220" s="14" t="n">
        <f aca="false">0</f>
        <v>0</v>
      </c>
      <c r="K220" s="14" t="n">
        <f aca="false">0</f>
        <v>0</v>
      </c>
      <c r="L220" s="14" t="n">
        <f aca="false">0</f>
        <v>0</v>
      </c>
      <c r="M220" s="14" t="n">
        <f aca="false">0</f>
        <v>0</v>
      </c>
      <c r="N220" s="14" t="n">
        <f aca="false">0</f>
        <v>0</v>
      </c>
      <c r="O220" s="14" t="n">
        <f aca="false">0</f>
        <v>0</v>
      </c>
      <c r="P220" s="14" t="n">
        <f aca="false">0</f>
        <v>0</v>
      </c>
      <c r="Q220" s="14" t="n">
        <f aca="false">0</f>
        <v>0</v>
      </c>
      <c r="R220" s="14" t="n">
        <f aca="false">0</f>
        <v>0</v>
      </c>
      <c r="S220" s="14" t="n">
        <f aca="false">0</f>
        <v>0</v>
      </c>
      <c r="T220" s="14" t="n">
        <f aca="false">0</f>
        <v>0</v>
      </c>
      <c r="U220" s="14" t="n">
        <f aca="false">0</f>
        <v>0</v>
      </c>
      <c r="V220" s="14" t="n">
        <f aca="false">0</f>
        <v>0</v>
      </c>
      <c r="W220" s="14" t="n">
        <f aca="false">0</f>
        <v>0</v>
      </c>
      <c r="X220" s="14" t="n">
        <f aca="false">0</f>
        <v>0</v>
      </c>
      <c r="Y220" s="14" t="n">
        <f aca="false">0</f>
        <v>0</v>
      </c>
      <c r="Z220" s="14" t="n">
        <f aca="false">0</f>
        <v>0</v>
      </c>
      <c r="AA220" s="14" t="n">
        <f aca="false">0</f>
        <v>0</v>
      </c>
      <c r="AB220" s="14" t="n">
        <f aca="false">0</f>
        <v>0</v>
      </c>
      <c r="AC220" s="14" t="n">
        <f aca="false">0</f>
        <v>0</v>
      </c>
      <c r="AD220" s="14" t="n">
        <f aca="false">0</f>
        <v>0</v>
      </c>
      <c r="AE220" s="14" t="n">
        <f aca="false">0</f>
        <v>0</v>
      </c>
      <c r="AF220" s="14" t="n">
        <f aca="false">0</f>
        <v>0</v>
      </c>
      <c r="AG220" s="14" t="n">
        <f aca="false">0</f>
        <v>0</v>
      </c>
      <c r="AH220" s="14" t="n">
        <f aca="false">0</f>
        <v>0</v>
      </c>
      <c r="AI220" s="14" t="n">
        <f aca="false">0</f>
        <v>0</v>
      </c>
      <c r="AJ220" s="14" t="n">
        <f aca="false">0</f>
        <v>0</v>
      </c>
      <c r="AK220" s="14" t="n">
        <f aca="false">0</f>
        <v>0</v>
      </c>
      <c r="AL220" s="14" t="n">
        <f aca="false">0</f>
        <v>0</v>
      </c>
      <c r="AM220" s="14" t="n">
        <f aca="false">0</f>
        <v>0</v>
      </c>
      <c r="AN220" s="14" t="n">
        <f aca="false">0</f>
        <v>0</v>
      </c>
      <c r="AO220" s="14" t="n">
        <f aca="false">0</f>
        <v>0</v>
      </c>
      <c r="AP220" s="14" t="n">
        <f aca="false">0</f>
        <v>0</v>
      </c>
      <c r="AQ220" s="14" t="n">
        <f aca="false">0</f>
        <v>0</v>
      </c>
      <c r="AR220" s="14" t="n">
        <f aca="false">0</f>
        <v>0</v>
      </c>
      <c r="AS220" s="14" t="n">
        <f aca="false">0</f>
        <v>0</v>
      </c>
      <c r="AT220" s="14" t="n">
        <f aca="false">0</f>
        <v>0</v>
      </c>
      <c r="AU220" s="14" t="n">
        <f aca="false">0</f>
        <v>0</v>
      </c>
    </row>
    <row r="221" customFormat="false" ht="15" hidden="false" customHeight="false" outlineLevel="0" collapsed="false">
      <c r="D221" s="0" t="s">
        <v>616</v>
      </c>
      <c r="E221" s="0" t="s">
        <v>458</v>
      </c>
      <c r="J221" s="14" t="n">
        <f aca="false">1</f>
        <v>1</v>
      </c>
      <c r="K221" s="14" t="n">
        <f aca="false">1</f>
        <v>1</v>
      </c>
      <c r="L221" s="14" t="n">
        <f aca="false">1</f>
        <v>1</v>
      </c>
      <c r="M221" s="14" t="n">
        <f aca="false">1</f>
        <v>1</v>
      </c>
      <c r="N221" s="14" t="n">
        <f aca="false">1</f>
        <v>1</v>
      </c>
      <c r="O221" s="14" t="n">
        <f aca="false">1</f>
        <v>1</v>
      </c>
      <c r="P221" s="14" t="n">
        <f aca="false">1</f>
        <v>1</v>
      </c>
      <c r="Q221" s="14" t="n">
        <f aca="false">1</f>
        <v>1</v>
      </c>
      <c r="R221" s="14" t="n">
        <f aca="false">1</f>
        <v>1</v>
      </c>
      <c r="S221" s="14" t="n">
        <f aca="false">1</f>
        <v>1</v>
      </c>
      <c r="T221" s="14" t="n">
        <f aca="false">1</f>
        <v>1</v>
      </c>
      <c r="U221" s="14" t="n">
        <f aca="false">1</f>
        <v>1</v>
      </c>
      <c r="V221" s="14" t="n">
        <f aca="false">1</f>
        <v>1</v>
      </c>
      <c r="W221" s="14" t="n">
        <f aca="false">1</f>
        <v>1</v>
      </c>
      <c r="X221" s="14" t="n">
        <f aca="false">1</f>
        <v>1</v>
      </c>
      <c r="Y221" s="14" t="n">
        <f aca="false">1</f>
        <v>1</v>
      </c>
      <c r="Z221" s="14" t="n">
        <f aca="false">1</f>
        <v>1</v>
      </c>
      <c r="AA221" s="14" t="n">
        <f aca="false">1</f>
        <v>1</v>
      </c>
      <c r="AB221" s="14" t="n">
        <f aca="false">1</f>
        <v>1</v>
      </c>
      <c r="AC221" s="14" t="n">
        <f aca="false">1</f>
        <v>1</v>
      </c>
      <c r="AD221" s="14" t="n">
        <f aca="false">1</f>
        <v>1</v>
      </c>
      <c r="AE221" s="14" t="n">
        <f aca="false">1</f>
        <v>1</v>
      </c>
      <c r="AF221" s="14" t="n">
        <f aca="false">1</f>
        <v>1</v>
      </c>
      <c r="AG221" s="14" t="n">
        <f aca="false">1</f>
        <v>1</v>
      </c>
      <c r="AH221" s="14" t="n">
        <f aca="false">1</f>
        <v>1</v>
      </c>
      <c r="AI221" s="14" t="n">
        <f aca="false">1</f>
        <v>1</v>
      </c>
      <c r="AJ221" s="14" t="n">
        <f aca="false">1</f>
        <v>1</v>
      </c>
      <c r="AK221" s="14" t="n">
        <f aca="false">1</f>
        <v>1</v>
      </c>
      <c r="AL221" s="14" t="n">
        <f aca="false">1</f>
        <v>1</v>
      </c>
      <c r="AM221" s="14" t="n">
        <f aca="false">1</f>
        <v>1</v>
      </c>
      <c r="AN221" s="14" t="n">
        <f aca="false">1</f>
        <v>1</v>
      </c>
      <c r="AO221" s="14" t="n">
        <f aca="false">1</f>
        <v>1</v>
      </c>
      <c r="AP221" s="14" t="n">
        <f aca="false">1</f>
        <v>1</v>
      </c>
      <c r="AQ221" s="14" t="n">
        <f aca="false">1</f>
        <v>1</v>
      </c>
      <c r="AR221" s="14" t="n">
        <f aca="false">1</f>
        <v>1</v>
      </c>
      <c r="AS221" s="14" t="n">
        <f aca="false">1</f>
        <v>1</v>
      </c>
      <c r="AT221" s="14" t="n">
        <f aca="false">1</f>
        <v>1</v>
      </c>
      <c r="AU221" s="14" t="n">
        <f aca="false">1</f>
        <v>1</v>
      </c>
    </row>
    <row r="222" customFormat="false" ht="15" hidden="false" customHeight="false" outlineLevel="0" collapsed="false">
      <c r="D222" s="0" t="s">
        <v>617</v>
      </c>
      <c r="E222" s="0" t="s">
        <v>47</v>
      </c>
      <c r="G222" s="20" t="n">
        <f aca="false">SUM(J222:AU222)</f>
        <v>157.636010933278</v>
      </c>
      <c r="J222" s="20" t="n">
        <f aca="false">Operations!J219*(1-Operations!J220)*Operations!J193</f>
        <v>6.87487147530094</v>
      </c>
      <c r="K222" s="20" t="n">
        <f aca="false">Operations!K219*(1-Operations!K220)*Operations!K193</f>
        <v>7.96074184777219</v>
      </c>
      <c r="L222" s="20" t="n">
        <f aca="false">Operations!L219*(1-Operations!L220)*Operations!L193</f>
        <v>6.5476515033815</v>
      </c>
      <c r="M222" s="20" t="n">
        <f aca="false">Operations!M219*(1-Operations!M220)*Operations!M193</f>
        <v>6.76236510730146</v>
      </c>
      <c r="N222" s="20" t="n">
        <f aca="false">Operations!N219*(1-Operations!N220)*Operations!N193</f>
        <v>6.8031568226833</v>
      </c>
      <c r="O222" s="20" t="n">
        <f aca="false">Operations!O219*(1-Operations!O220)*Operations!O193</f>
        <v>5.20186815536135</v>
      </c>
      <c r="P222" s="20" t="n">
        <f aca="false">Operations!P219*(1-Operations!P220)*Operations!P193</f>
        <v>5.18544560472339</v>
      </c>
      <c r="Q222" s="20" t="n">
        <f aca="false">Operations!Q219*(1-Operations!Q220)*Operations!Q193</f>
        <v>5.07923043584599</v>
      </c>
      <c r="R222" s="20" t="n">
        <f aca="false">Operations!R219*(1-Operations!R220)*Operations!R193</f>
        <v>4.97510017162541</v>
      </c>
      <c r="S222" s="20" t="n">
        <f aca="false">Operations!S219*(1-Operations!S220)*Operations!S193</f>
        <v>4.80921438821614</v>
      </c>
      <c r="T222" s="20" t="n">
        <f aca="false">Operations!T219*(1-Operations!T220)*Operations!T193</f>
        <v>4.63667249818989</v>
      </c>
      <c r="U222" s="20" t="n">
        <f aca="false">Operations!U219*(1-Operations!U220)*Operations!U193</f>
        <v>4.45726598587241</v>
      </c>
      <c r="V222" s="20" t="n">
        <f aca="false">Operations!V219*(1-Operations!V220)*Operations!V193</f>
        <v>4.2707892041802</v>
      </c>
      <c r="W222" s="20" t="n">
        <f aca="false">Operations!W219*(1-Operations!W220)*Operations!W193</f>
        <v>4.07703930701892</v>
      </c>
      <c r="X222" s="20" t="n">
        <f aca="false">Operations!X219*(1-Operations!X220)*Operations!X193</f>
        <v>4.11430225794839</v>
      </c>
      <c r="Y222" s="20" t="n">
        <f aca="false">Operations!Y219*(1-Operations!Y220)*Operations!Y193</f>
        <v>4.15234912810036</v>
      </c>
      <c r="Z222" s="20" t="n">
        <f aca="false">Operations!Z219*(1-Operations!Z220)*Operations!Z193</f>
        <v>4.18994493166183</v>
      </c>
      <c r="AA222" s="20" t="n">
        <f aca="false">Operations!AA219*(1-Operations!AA220)*Operations!AA193</f>
        <v>4.22702420431547</v>
      </c>
      <c r="AB222" s="20" t="n">
        <f aca="false">Operations!AB219*(1-Operations!AB220)*Operations!AB193</f>
        <v>4.2646648798221</v>
      </c>
      <c r="AC222" s="20" t="n">
        <f aca="false">Operations!AC219*(1-Operations!AC220)*Operations!AC193</f>
        <v>4.30164532789399</v>
      </c>
      <c r="AD222" s="20" t="n">
        <f aca="false">Operations!AD219*(1-Operations!AD220)*Operations!AD193</f>
        <v>4.3390315643509</v>
      </c>
      <c r="AE222" s="20" t="n">
        <f aca="false">Operations!AE219*(1-Operations!AE220)*Operations!AE193</f>
        <v>4.37561062448253</v>
      </c>
      <c r="AF222" s="20" t="n">
        <f aca="false">Operations!AF219*(1-Operations!AF220)*Operations!AF193</f>
        <v>4.41243657961488</v>
      </c>
      <c r="AG222" s="20" t="n">
        <f aca="false">Operations!AG219*(1-Operations!AG220)*Operations!AG193</f>
        <v>4.44942361396111</v>
      </c>
      <c r="AH222" s="20" t="n">
        <f aca="false">Operations!AH219*(1-Operations!AH220)*Operations!AH193</f>
        <v>4.48537139147565</v>
      </c>
      <c r="AI222" s="20" t="n">
        <f aca="false">Operations!AI219*(1-Operations!AI220)*Operations!AI193</f>
        <v>4.52131603709988</v>
      </c>
      <c r="AJ222" s="20" t="n">
        <f aca="false">Operations!AJ219*(1-Operations!AJ220)*Operations!AJ193</f>
        <v>4.55716899782101</v>
      </c>
      <c r="AK222" s="20" t="n">
        <f aca="false">Operations!AK219*(1-Operations!AK220)*Operations!AK193</f>
        <v>4.59284076285615</v>
      </c>
      <c r="AL222" s="20" t="n">
        <f aca="false">Operations!AL219*(1-Operations!AL220)*Operations!AL193</f>
        <v>4.6282408282083</v>
      </c>
      <c r="AM222" s="20" t="n">
        <f aca="false">Operations!AM219*(1-Operations!AM220)*Operations!AM193</f>
        <v>4.66327766042331</v>
      </c>
      <c r="AN222" s="20" t="n">
        <f aca="false">Operations!AN219*(1-Operations!AN220)*Operations!AN193</f>
        <v>4.69785865952712</v>
      </c>
      <c r="AO222" s="20" t="n">
        <f aca="false">Operations!AO219*(1-Operations!AO220)*Operations!AO193</f>
        <v>4.73189012112227</v>
      </c>
      <c r="AP222" s="20" t="n">
        <f aca="false">Operations!AP219*(1-Operations!AP220)*Operations!AP193</f>
        <v>4.76527719762211</v>
      </c>
      <c r="AQ222" s="20" t="n">
        <f aca="false">Operations!AQ219*(1-Operations!AQ220)*Operations!AQ193</f>
        <v>-4.47507634250277</v>
      </c>
      <c r="AR222" s="20" t="n">
        <f aca="false">Operations!AR219*(1-Operations!AR220)*Operations!AR193</f>
        <v>0</v>
      </c>
      <c r="AS222" s="20" t="n">
        <f aca="false">Operations!AS219*(1-Operations!AS220)*Operations!AS193</f>
        <v>0</v>
      </c>
      <c r="AT222" s="20" t="n">
        <f aca="false">Operations!AT219*(1-Operations!AT220)*Operations!AT193</f>
        <v>0</v>
      </c>
      <c r="AU222" s="20" t="n">
        <f aca="false">Operations!AU219*(1-Operations!AU220)*Operations!AU193</f>
        <v>0</v>
      </c>
    </row>
    <row r="223" customFormat="false" ht="15" hidden="false" customHeight="false" outlineLevel="0" collapsed="false">
      <c r="D223" s="0" t="s">
        <v>618</v>
      </c>
      <c r="E223" s="0" t="s">
        <v>47</v>
      </c>
      <c r="J223" s="20" t="n">
        <f aca="false">Operations!J219*Operations!J221*Operations!J193</f>
        <v>6.87487147530094</v>
      </c>
      <c r="K223" s="20" t="n">
        <f aca="false">Operations!K219*Operations!K221*Operations!K193</f>
        <v>7.96074184777219</v>
      </c>
      <c r="L223" s="20" t="n">
        <f aca="false">Operations!L219*Operations!L221*Operations!L193</f>
        <v>6.5476515033815</v>
      </c>
      <c r="M223" s="20" t="n">
        <f aca="false">Operations!M219*Operations!M221*Operations!M193</f>
        <v>6.76236510730146</v>
      </c>
      <c r="N223" s="20" t="n">
        <f aca="false">Operations!N219*Operations!N221*Operations!N193</f>
        <v>6.8031568226833</v>
      </c>
      <c r="O223" s="20" t="n">
        <f aca="false">Operations!O219*Operations!O221*Operations!O193</f>
        <v>5.20186815536135</v>
      </c>
      <c r="P223" s="20" t="n">
        <f aca="false">Operations!P219*Operations!P221*Operations!P193</f>
        <v>5.18544560472339</v>
      </c>
      <c r="Q223" s="20" t="n">
        <f aca="false">Operations!Q219*Operations!Q221*Operations!Q193</f>
        <v>5.07923043584599</v>
      </c>
      <c r="R223" s="20" t="n">
        <f aca="false">Operations!R219*Operations!R221*Operations!R193</f>
        <v>4.97510017162541</v>
      </c>
      <c r="S223" s="20" t="n">
        <f aca="false">Operations!S219*Operations!S221*Operations!S193</f>
        <v>4.80921438821614</v>
      </c>
      <c r="T223" s="20" t="n">
        <f aca="false">Operations!T219*Operations!T221*Operations!T193</f>
        <v>4.63667249818989</v>
      </c>
      <c r="U223" s="20" t="n">
        <f aca="false">Operations!U219*Operations!U221*Operations!U193</f>
        <v>4.45726598587241</v>
      </c>
      <c r="V223" s="20" t="n">
        <f aca="false">Operations!V219*Operations!V221*Operations!V193</f>
        <v>4.2707892041802</v>
      </c>
      <c r="W223" s="20" t="n">
        <f aca="false">Operations!W219*Operations!W221*Operations!W193</f>
        <v>4.07703930701892</v>
      </c>
      <c r="X223" s="20" t="n">
        <f aca="false">Operations!X219*Operations!X221*Operations!X193</f>
        <v>4.11430225794839</v>
      </c>
      <c r="Y223" s="20" t="n">
        <f aca="false">Operations!Y219*Operations!Y221*Operations!Y193</f>
        <v>4.15234912810036</v>
      </c>
      <c r="Z223" s="20" t="n">
        <f aca="false">Operations!Z219*Operations!Z221*Operations!Z193</f>
        <v>4.18994493166183</v>
      </c>
      <c r="AA223" s="20" t="n">
        <f aca="false">Operations!AA219*Operations!AA221*Operations!AA193</f>
        <v>4.22702420431547</v>
      </c>
      <c r="AB223" s="20" t="n">
        <f aca="false">Operations!AB219*Operations!AB221*Operations!AB193</f>
        <v>4.2646648798221</v>
      </c>
      <c r="AC223" s="20" t="n">
        <f aca="false">Operations!AC219*Operations!AC221*Operations!AC193</f>
        <v>4.30164532789399</v>
      </c>
      <c r="AD223" s="20" t="n">
        <f aca="false">Operations!AD219*Operations!AD221*Operations!AD193</f>
        <v>4.3390315643509</v>
      </c>
      <c r="AE223" s="20" t="n">
        <f aca="false">Operations!AE219*Operations!AE221*Operations!AE193</f>
        <v>4.37561062448253</v>
      </c>
      <c r="AF223" s="20" t="n">
        <f aca="false">Operations!AF219*Operations!AF221*Operations!AF193</f>
        <v>4.41243657961488</v>
      </c>
      <c r="AG223" s="20" t="n">
        <f aca="false">Operations!AG219*Operations!AG221*Operations!AG193</f>
        <v>4.44942361396111</v>
      </c>
      <c r="AH223" s="20" t="n">
        <f aca="false">Operations!AH219*Operations!AH221*Operations!AH193</f>
        <v>4.48537139147565</v>
      </c>
      <c r="AI223" s="20" t="n">
        <f aca="false">Operations!AI219*Operations!AI221*Operations!AI193</f>
        <v>4.52131603709988</v>
      </c>
      <c r="AJ223" s="20" t="n">
        <f aca="false">Operations!AJ219*Operations!AJ221*Operations!AJ193</f>
        <v>4.55716899782101</v>
      </c>
      <c r="AK223" s="20" t="n">
        <f aca="false">Operations!AK219*Operations!AK221*Operations!AK193</f>
        <v>4.59284076285615</v>
      </c>
      <c r="AL223" s="20" t="n">
        <f aca="false">Operations!AL219*Operations!AL221*Operations!AL193</f>
        <v>4.6282408282083</v>
      </c>
      <c r="AM223" s="20" t="n">
        <f aca="false">Operations!AM219*Operations!AM221*Operations!AM193</f>
        <v>4.66327766042331</v>
      </c>
      <c r="AN223" s="20" t="n">
        <f aca="false">Operations!AN219*Operations!AN221*Operations!AN193</f>
        <v>4.69785865952712</v>
      </c>
      <c r="AO223" s="20" t="n">
        <f aca="false">Operations!AO219*Operations!AO221*Operations!AO193</f>
        <v>4.73189012112227</v>
      </c>
      <c r="AP223" s="20" t="n">
        <f aca="false">Operations!AP219*Operations!AP221*Operations!AP193</f>
        <v>4.76527719762211</v>
      </c>
      <c r="AQ223" s="20" t="n">
        <f aca="false">Operations!AQ219*Operations!AQ221*Operations!AQ193</f>
        <v>-4.47507634250277</v>
      </c>
      <c r="AR223" s="20" t="n">
        <f aca="false">Operations!AR219*Operations!AR221*Operations!AR193</f>
        <v>0</v>
      </c>
      <c r="AS223" s="20" t="n">
        <f aca="false">Operations!AS219*Operations!AS221*Operations!AS193</f>
        <v>0</v>
      </c>
      <c r="AT223" s="20" t="n">
        <f aca="false">Operations!AT219*Operations!AT221*Operations!AT193</f>
        <v>0</v>
      </c>
      <c r="AU223" s="20" t="n">
        <f aca="false">Operations!AU219*Operations!AU221*Operations!AU193</f>
        <v>0</v>
      </c>
    </row>
    <row r="224" customFormat="false" ht="15" hidden="false" customHeight="false" outlineLevel="0" collapsed="false">
      <c r="D224" s="0" t="s">
        <v>619</v>
      </c>
      <c r="E224" s="0" t="s">
        <v>47</v>
      </c>
      <c r="J224" s="20" t="n">
        <f aca="false">Operations!J222-Inputs!$F$248/100*Operations!J223</f>
        <v>5.43114846548774</v>
      </c>
      <c r="K224" s="20" t="n">
        <f aca="false">Operations!K222-Inputs!$F$248/100*Operations!K223</f>
        <v>6.28898605974003</v>
      </c>
      <c r="L224" s="20" t="n">
        <f aca="false">Operations!L222-Inputs!$F$248/100*Operations!L223</f>
        <v>5.17264468767138</v>
      </c>
      <c r="M224" s="20" t="n">
        <f aca="false">Operations!M222-Inputs!$F$248/100*Operations!M223</f>
        <v>5.34226843476815</v>
      </c>
      <c r="N224" s="20" t="n">
        <f aca="false">Operations!N222-Inputs!$F$248/100*Operations!N223</f>
        <v>5.37449388991981</v>
      </c>
      <c r="O224" s="20" t="n">
        <f aca="false">Operations!O222-Inputs!$F$248/100*Operations!O223</f>
        <v>4.10947584273547</v>
      </c>
      <c r="P224" s="20" t="n">
        <f aca="false">Operations!P222-Inputs!$F$248/100*Operations!P223</f>
        <v>4.09650202773148</v>
      </c>
      <c r="Q224" s="20" t="n">
        <f aca="false">Operations!Q222-Inputs!$F$248/100*Operations!Q223</f>
        <v>4.01259204431833</v>
      </c>
      <c r="R224" s="20" t="n">
        <f aca="false">Operations!R222-Inputs!$F$248/100*Operations!R223</f>
        <v>3.93032913558407</v>
      </c>
      <c r="S224" s="20" t="n">
        <f aca="false">Operations!S222-Inputs!$F$248/100*Operations!S223</f>
        <v>3.79927936669075</v>
      </c>
      <c r="T224" s="20" t="n">
        <f aca="false">Operations!T222-Inputs!$F$248/100*Operations!T223</f>
        <v>3.66297127357001</v>
      </c>
      <c r="U224" s="20" t="n">
        <f aca="false">Operations!U222-Inputs!$F$248/100*Operations!U223</f>
        <v>3.5212401288392</v>
      </c>
      <c r="V224" s="20" t="n">
        <f aca="false">Operations!V222-Inputs!$F$248/100*Operations!V223</f>
        <v>3.37392347130236</v>
      </c>
      <c r="W224" s="20" t="n">
        <f aca="false">Operations!W222-Inputs!$F$248/100*Operations!W223</f>
        <v>3.22086105254495</v>
      </c>
      <c r="X224" s="20" t="n">
        <f aca="false">Operations!X222-Inputs!$F$248/100*Operations!X223</f>
        <v>3.25029878377923</v>
      </c>
      <c r="Y224" s="20" t="n">
        <f aca="false">Operations!Y222-Inputs!$F$248/100*Operations!Y223</f>
        <v>3.28035581119928</v>
      </c>
      <c r="Z224" s="20" t="n">
        <f aca="false">Operations!Z222-Inputs!$F$248/100*Operations!Z223</f>
        <v>3.31005649601285</v>
      </c>
      <c r="AA224" s="20" t="n">
        <f aca="false">Operations!AA222-Inputs!$F$248/100*Operations!AA223</f>
        <v>3.33934912140922</v>
      </c>
      <c r="AB224" s="20" t="n">
        <f aca="false">Operations!AB222-Inputs!$F$248/100*Operations!AB223</f>
        <v>3.36908525505946</v>
      </c>
      <c r="AC224" s="20" t="n">
        <f aca="false">Operations!AC222-Inputs!$F$248/100*Operations!AC223</f>
        <v>3.39829980903625</v>
      </c>
      <c r="AD224" s="20" t="n">
        <f aca="false">Operations!AD222-Inputs!$F$248/100*Operations!AD223</f>
        <v>3.42783493583721</v>
      </c>
      <c r="AE224" s="20" t="n">
        <f aca="false">Operations!AE222-Inputs!$F$248/100*Operations!AE223</f>
        <v>3.4567323933412</v>
      </c>
      <c r="AF224" s="20" t="n">
        <f aca="false">Operations!AF222-Inputs!$F$248/100*Operations!AF223</f>
        <v>3.48582489789575</v>
      </c>
      <c r="AG224" s="20" t="n">
        <f aca="false">Operations!AG222-Inputs!$F$248/100*Operations!AG223</f>
        <v>3.51504465502928</v>
      </c>
      <c r="AH224" s="20" t="n">
        <f aca="false">Operations!AH222-Inputs!$F$248/100*Operations!AH223</f>
        <v>3.54344339926576</v>
      </c>
      <c r="AI224" s="20" t="n">
        <f aca="false">Operations!AI222-Inputs!$F$248/100*Operations!AI223</f>
        <v>3.5718396693089</v>
      </c>
      <c r="AJ224" s="20" t="n">
        <f aca="false">Operations!AJ222-Inputs!$F$248/100*Operations!AJ223</f>
        <v>3.6001635082786</v>
      </c>
      <c r="AK224" s="20" t="n">
        <f aca="false">Operations!AK222-Inputs!$F$248/100*Operations!AK223</f>
        <v>3.62834420265636</v>
      </c>
      <c r="AL224" s="20" t="n">
        <f aca="false">Operations!AL222-Inputs!$F$248/100*Operations!AL223</f>
        <v>3.65631025428456</v>
      </c>
      <c r="AM224" s="20" t="n">
        <f aca="false">Operations!AM222-Inputs!$F$248/100*Operations!AM223</f>
        <v>3.68398935173442</v>
      </c>
      <c r="AN224" s="20" t="n">
        <f aca="false">Operations!AN222-Inputs!$F$248/100*Operations!AN223</f>
        <v>3.71130834102642</v>
      </c>
      <c r="AO224" s="20" t="n">
        <f aca="false">Operations!AO222-Inputs!$F$248/100*Operations!AO223</f>
        <v>3.73819319568659</v>
      </c>
      <c r="AP224" s="20" t="n">
        <f aca="false">Operations!AP222-Inputs!$F$248/100*Operations!AP223</f>
        <v>3.76456898612146</v>
      </c>
      <c r="AQ224" s="20" t="n">
        <f aca="false">Operations!AQ222-Inputs!$F$248/100*Operations!AQ223</f>
        <v>-3.53531031057718</v>
      </c>
      <c r="AR224" s="20" t="n">
        <f aca="false">Operations!AR222-Inputs!$F$248/100*Operations!AR223</f>
        <v>0</v>
      </c>
      <c r="AS224" s="20" t="n">
        <f aca="false">Operations!AS222-Inputs!$F$248/100*Operations!AS223</f>
        <v>0</v>
      </c>
      <c r="AT224" s="20" t="n">
        <f aca="false">Operations!AT222-Inputs!$F$248/100*Operations!AT223</f>
        <v>0</v>
      </c>
      <c r="AU224" s="20" t="n">
        <f aca="false">Operations!AU222-Inputs!$F$248/100*Operations!AU223</f>
        <v>0</v>
      </c>
    </row>
    <row r="225" customFormat="false" ht="15" hidden="false" customHeight="false" outlineLevel="0" collapsed="false">
      <c r="D225" s="0" t="s">
        <v>620</v>
      </c>
      <c r="E225" s="0" t="s">
        <v>458</v>
      </c>
      <c r="J225" s="14" t="n">
        <f aca="false">IF(Operations!J210=0,0,Operations!J207/Operations!J210)</f>
        <v>0</v>
      </c>
      <c r="K225" s="14" t="n">
        <f aca="false">IF(Operations!K210=0,0,Operations!K207/Operations!K210)</f>
        <v>0</v>
      </c>
      <c r="L225" s="14" t="n">
        <f aca="false">IF(Operations!L210=0,0,Operations!L207/Operations!L210)</f>
        <v>0</v>
      </c>
      <c r="M225" s="14" t="n">
        <f aca="false">IF(Operations!M210=0,0,Operations!M207/Operations!M210)</f>
        <v>0</v>
      </c>
      <c r="N225" s="14" t="n">
        <f aca="false">IF(Operations!N210=0,0,Operations!N207/Operations!N210)</f>
        <v>0</v>
      </c>
      <c r="O225" s="14" t="n">
        <f aca="false">IF(Operations!O210=0,0,Operations!O207/Operations!O210)</f>
        <v>0</v>
      </c>
      <c r="P225" s="14" t="n">
        <f aca="false">IF(Operations!P210=0,0,Operations!P207/Operations!P210)</f>
        <v>0</v>
      </c>
      <c r="Q225" s="14" t="n">
        <f aca="false">IF(Operations!Q210=0,0,Operations!Q207/Operations!Q210)</f>
        <v>0</v>
      </c>
      <c r="R225" s="14" t="n">
        <f aca="false">IF(Operations!R210=0,0,Operations!R207/Operations!R210)</f>
        <v>0</v>
      </c>
      <c r="S225" s="14" t="n">
        <f aca="false">IF(Operations!S210=0,0,Operations!S207/Operations!S210)</f>
        <v>0</v>
      </c>
      <c r="T225" s="14" t="n">
        <f aca="false">IF(Operations!T210=0,0,Operations!T207/Operations!T210)</f>
        <v>0</v>
      </c>
      <c r="U225" s="14" t="n">
        <f aca="false">IF(Operations!U210=0,0,Operations!U207/Operations!U210)</f>
        <v>0</v>
      </c>
      <c r="V225" s="14" t="n">
        <f aca="false">IF(Operations!V210=0,0,Operations!V207/Operations!V210)</f>
        <v>0</v>
      </c>
      <c r="W225" s="14" t="n">
        <f aca="false">IF(Operations!W210=0,0,Operations!W207/Operations!W210)</f>
        <v>0</v>
      </c>
      <c r="X225" s="14" t="n">
        <f aca="false">IF(Operations!X210=0,0,Operations!X207/Operations!X210)</f>
        <v>0</v>
      </c>
      <c r="Y225" s="14" t="n">
        <f aca="false">IF(Operations!Y210=0,0,Operations!Y207/Operations!Y210)</f>
        <v>0</v>
      </c>
      <c r="Z225" s="14" t="n">
        <f aca="false">IF(Operations!Z210=0,0,Operations!Z207/Operations!Z210)</f>
        <v>0</v>
      </c>
      <c r="AA225" s="14" t="n">
        <f aca="false">IF(Operations!AA210=0,0,Operations!AA207/Operations!AA210)</f>
        <v>0</v>
      </c>
      <c r="AB225" s="14" t="n">
        <f aca="false">IF(Operations!AB210=0,0,Operations!AB207/Operations!AB210)</f>
        <v>0</v>
      </c>
      <c r="AC225" s="14" t="n">
        <f aca="false">IF(Operations!AC210=0,0,Operations!AC207/Operations!AC210)</f>
        <v>0</v>
      </c>
      <c r="AD225" s="14" t="n">
        <f aca="false">IF(Operations!AD210=0,0,Operations!AD207/Operations!AD210)</f>
        <v>0</v>
      </c>
      <c r="AE225" s="14" t="n">
        <f aca="false">IF(Operations!AE210=0,0,Operations!AE207/Operations!AE210)</f>
        <v>0</v>
      </c>
      <c r="AF225" s="14" t="n">
        <f aca="false">IF(Operations!AF210=0,0,Operations!AF207/Operations!AF210)</f>
        <v>0</v>
      </c>
      <c r="AG225" s="14" t="n">
        <f aca="false">IF(Operations!AG210=0,0,Operations!AG207/Operations!AG210)</f>
        <v>0</v>
      </c>
      <c r="AH225" s="14" t="n">
        <f aca="false">IF(Operations!AH210=0,0,Operations!AH207/Operations!AH210)</f>
        <v>0</v>
      </c>
      <c r="AI225" s="14" t="n">
        <f aca="false">IF(Operations!AI210=0,0,Operations!AI207/Operations!AI210)</f>
        <v>0</v>
      </c>
      <c r="AJ225" s="14" t="n">
        <f aca="false">IF(Operations!AJ210=0,0,Operations!AJ207/Operations!AJ210)</f>
        <v>0</v>
      </c>
      <c r="AK225" s="14" t="n">
        <f aca="false">IF(Operations!AK210=0,0,Operations!AK207/Operations!AK210)</f>
        <v>0</v>
      </c>
      <c r="AL225" s="14" t="n">
        <f aca="false">IF(Operations!AL210=0,0,Operations!AL207/Operations!AL210)</f>
        <v>0</v>
      </c>
      <c r="AM225" s="14" t="n">
        <f aca="false">IF(Operations!AM210=0,0,Operations!AM207/Operations!AM210)</f>
        <v>0</v>
      </c>
      <c r="AN225" s="14" t="n">
        <f aca="false">IF(Operations!AN210=0,0,Operations!AN207/Operations!AN210)</f>
        <v>0</v>
      </c>
      <c r="AO225" s="14" t="n">
        <f aca="false">IF(Operations!AO210=0,0,Operations!AO207/Operations!AO210)</f>
        <v>0</v>
      </c>
      <c r="AP225" s="14" t="n">
        <f aca="false">IF(Operations!AP210=0,0,Operations!AP207/Operations!AP210)</f>
        <v>0</v>
      </c>
      <c r="AQ225" s="14" t="n">
        <f aca="false">IF(Operations!AQ210=0,0,Operations!AQ207/Operations!AQ210)</f>
        <v>0</v>
      </c>
      <c r="AR225" s="14" t="n">
        <f aca="false">IF(Operations!AR210=0,0,Operations!AR207/Operations!AR210)</f>
        <v>0</v>
      </c>
      <c r="AS225" s="14" t="n">
        <f aca="false">IF(Operations!AS210=0,0,Operations!AS207/Operations!AS210)</f>
        <v>0</v>
      </c>
      <c r="AT225" s="14" t="n">
        <f aca="false">IF(Operations!AT210=0,0,Operations!AT207/Operations!AT210)</f>
        <v>0</v>
      </c>
      <c r="AU225" s="14" t="n">
        <f aca="false">IF(Operations!AU210=0,0,Operations!AU207/Operations!AU210)</f>
        <v>0</v>
      </c>
    </row>
    <row r="226" customFormat="false" ht="15" hidden="false" customHeight="false" outlineLevel="0" collapsed="false">
      <c r="D226" s="0" t="s">
        <v>621</v>
      </c>
      <c r="E226" s="0" t="s">
        <v>458</v>
      </c>
      <c r="J226" s="14" t="n">
        <f aca="false">IF(Operations!J210=0,0,Operations!J208/Operations!J210)</f>
        <v>0.69208178926161</v>
      </c>
      <c r="K226" s="14" t="n">
        <f aca="false">IF(Operations!K210=0,0,Operations!K208/Operations!K210)</f>
        <v>0.74570109760145</v>
      </c>
      <c r="L226" s="14" t="n">
        <f aca="false">IF(Operations!L210=0,0,Operations!L208/Operations!L210)</f>
        <v>0.864810436611766</v>
      </c>
      <c r="M226" s="14" t="n">
        <f aca="false">IF(Operations!M210=0,0,Operations!M208/Operations!M210)</f>
        <v>0.838829442054444</v>
      </c>
      <c r="N226" s="14" t="n">
        <f aca="false">IF(Operations!N210=0,0,Operations!N208/Operations!N210)</f>
        <v>0.830166236565807</v>
      </c>
      <c r="O226" s="14" t="n">
        <f aca="false">IF(Operations!O210=0,0,Operations!O208/Operations!O210)</f>
        <v>0</v>
      </c>
      <c r="P226" s="14" t="n">
        <f aca="false">IF(Operations!P210=0,0,Operations!P208/Operations!P210)</f>
        <v>0</v>
      </c>
      <c r="Q226" s="14" t="n">
        <f aca="false">IF(Operations!Q210=0,0,Operations!Q208/Operations!Q210)</f>
        <v>0</v>
      </c>
      <c r="R226" s="14" t="n">
        <f aca="false">IF(Operations!R210=0,0,Operations!R208/Operations!R210)</f>
        <v>0</v>
      </c>
      <c r="S226" s="14" t="n">
        <f aca="false">IF(Operations!S210=0,0,Operations!S208/Operations!S210)</f>
        <v>0</v>
      </c>
      <c r="T226" s="14" t="n">
        <f aca="false">IF(Operations!T210=0,0,Operations!T208/Operations!T210)</f>
        <v>0</v>
      </c>
      <c r="U226" s="14" t="n">
        <f aca="false">IF(Operations!U210=0,0,Operations!U208/Operations!U210)</f>
        <v>0</v>
      </c>
      <c r="V226" s="14" t="n">
        <f aca="false">IF(Operations!V210=0,0,Operations!V208/Operations!V210)</f>
        <v>0</v>
      </c>
      <c r="W226" s="14" t="n">
        <f aca="false">IF(Operations!W210=0,0,Operations!W208/Operations!W210)</f>
        <v>0</v>
      </c>
      <c r="X226" s="14" t="n">
        <f aca="false">IF(Operations!X210=0,0,Operations!X208/Operations!X210)</f>
        <v>0</v>
      </c>
      <c r="Y226" s="14" t="n">
        <f aca="false">IF(Operations!Y210=0,0,Operations!Y208/Operations!Y210)</f>
        <v>0</v>
      </c>
      <c r="Z226" s="14" t="n">
        <f aca="false">IF(Operations!Z210=0,0,Operations!Z208/Operations!Z210)</f>
        <v>0</v>
      </c>
      <c r="AA226" s="14" t="n">
        <f aca="false">IF(Operations!AA210=0,0,Operations!AA208/Operations!AA210)</f>
        <v>0</v>
      </c>
      <c r="AB226" s="14" t="n">
        <f aca="false">IF(Operations!AB210=0,0,Operations!AB208/Operations!AB210)</f>
        <v>0</v>
      </c>
      <c r="AC226" s="14" t="n">
        <f aca="false">IF(Operations!AC210=0,0,Operations!AC208/Operations!AC210)</f>
        <v>0</v>
      </c>
      <c r="AD226" s="14" t="n">
        <f aca="false">IF(Operations!AD210=0,0,Operations!AD208/Operations!AD210)</f>
        <v>0</v>
      </c>
      <c r="AE226" s="14" t="n">
        <f aca="false">IF(Operations!AE210=0,0,Operations!AE208/Operations!AE210)</f>
        <v>0</v>
      </c>
      <c r="AF226" s="14" t="n">
        <f aca="false">IF(Operations!AF210=0,0,Operations!AF208/Operations!AF210)</f>
        <v>0</v>
      </c>
      <c r="AG226" s="14" t="n">
        <f aca="false">IF(Operations!AG210=0,0,Operations!AG208/Operations!AG210)</f>
        <v>0</v>
      </c>
      <c r="AH226" s="14" t="n">
        <f aca="false">IF(Operations!AH210=0,0,Operations!AH208/Operations!AH210)</f>
        <v>0</v>
      </c>
      <c r="AI226" s="14" t="n">
        <f aca="false">IF(Operations!AI210=0,0,Operations!AI208/Operations!AI210)</f>
        <v>0</v>
      </c>
      <c r="AJ226" s="14" t="n">
        <f aca="false">IF(Operations!AJ210=0,0,Operations!AJ208/Operations!AJ210)</f>
        <v>0</v>
      </c>
      <c r="AK226" s="14" t="n">
        <f aca="false">IF(Operations!AK210=0,0,Operations!AK208/Operations!AK210)</f>
        <v>0</v>
      </c>
      <c r="AL226" s="14" t="n">
        <f aca="false">IF(Operations!AL210=0,0,Operations!AL208/Operations!AL210)</f>
        <v>0</v>
      </c>
      <c r="AM226" s="14" t="n">
        <f aca="false">IF(Operations!AM210=0,0,Operations!AM208/Operations!AM210)</f>
        <v>0</v>
      </c>
      <c r="AN226" s="14" t="n">
        <f aca="false">IF(Operations!AN210=0,0,Operations!AN208/Operations!AN210)</f>
        <v>0</v>
      </c>
      <c r="AO226" s="14" t="n">
        <f aca="false">IF(Operations!AO210=0,0,Operations!AO208/Operations!AO210)</f>
        <v>0</v>
      </c>
      <c r="AP226" s="14" t="n">
        <f aca="false">IF(Operations!AP210=0,0,Operations!AP208/Operations!AP210)</f>
        <v>0</v>
      </c>
      <c r="AQ226" s="14" t="n">
        <f aca="false">IF(Operations!AQ210=0,0,Operations!AQ208/Operations!AQ210)</f>
        <v>0</v>
      </c>
      <c r="AR226" s="14" t="n">
        <f aca="false">IF(Operations!AR210=0,0,Operations!AR208/Operations!AR210)</f>
        <v>0</v>
      </c>
      <c r="AS226" s="14" t="n">
        <f aca="false">IF(Operations!AS210=0,0,Operations!AS208/Operations!AS210)</f>
        <v>0</v>
      </c>
      <c r="AT226" s="14" t="n">
        <f aca="false">IF(Operations!AT210=0,0,Operations!AT208/Operations!AT210)</f>
        <v>0</v>
      </c>
      <c r="AU226" s="14" t="n">
        <f aca="false">IF(Operations!AU210=0,0,Operations!AU208/Operations!AU210)</f>
        <v>0</v>
      </c>
    </row>
    <row r="227" customFormat="false" ht="15" hidden="false" customHeight="false" outlineLevel="0" collapsed="false">
      <c r="D227" s="0" t="s">
        <v>622</v>
      </c>
      <c r="E227" s="0" t="s">
        <v>458</v>
      </c>
      <c r="J227" s="14" t="n">
        <f aca="false">1-Operations!J225-Operations!J226</f>
        <v>0.30791821073839</v>
      </c>
      <c r="K227" s="14" t="n">
        <f aca="false">1-Operations!K225-Operations!K226</f>
        <v>0.25429890239855</v>
      </c>
      <c r="L227" s="14" t="n">
        <f aca="false">1-Operations!L225-Operations!L226</f>
        <v>0.135189563388234</v>
      </c>
      <c r="M227" s="14" t="n">
        <f aca="false">1-Operations!M225-Operations!M226</f>
        <v>0.161170557945556</v>
      </c>
      <c r="N227" s="14" t="n">
        <f aca="false">1-Operations!N225-Operations!N226</f>
        <v>0.169833763434193</v>
      </c>
      <c r="O227" s="14" t="n">
        <f aca="false">1-Operations!O225-Operations!O226</f>
        <v>1</v>
      </c>
      <c r="P227" s="14" t="n">
        <f aca="false">1-Operations!P225-Operations!P226</f>
        <v>1</v>
      </c>
      <c r="Q227" s="14" t="n">
        <f aca="false">1-Operations!Q225-Operations!Q226</f>
        <v>1</v>
      </c>
      <c r="R227" s="14" t="n">
        <f aca="false">1-Operations!R225-Operations!R226</f>
        <v>1</v>
      </c>
      <c r="S227" s="14" t="n">
        <f aca="false">1-Operations!S225-Operations!S226</f>
        <v>1</v>
      </c>
      <c r="T227" s="14" t="n">
        <f aca="false">1-Operations!T225-Operations!T226</f>
        <v>1</v>
      </c>
      <c r="U227" s="14" t="n">
        <f aca="false">1-Operations!U225-Operations!U226</f>
        <v>1</v>
      </c>
      <c r="V227" s="14" t="n">
        <f aca="false">1-Operations!V225-Operations!V226</f>
        <v>1</v>
      </c>
      <c r="W227" s="14" t="n">
        <f aca="false">1-Operations!W225-Operations!W226</f>
        <v>1</v>
      </c>
      <c r="X227" s="14" t="n">
        <f aca="false">1-Operations!X225-Operations!X226</f>
        <v>1</v>
      </c>
      <c r="Y227" s="14" t="n">
        <f aca="false">1-Operations!Y225-Operations!Y226</f>
        <v>1</v>
      </c>
      <c r="Z227" s="14" t="n">
        <f aca="false">1-Operations!Z225-Operations!Z226</f>
        <v>1</v>
      </c>
      <c r="AA227" s="14" t="n">
        <f aca="false">1-Operations!AA225-Operations!AA226</f>
        <v>1</v>
      </c>
      <c r="AB227" s="14" t="n">
        <f aca="false">1-Operations!AB225-Operations!AB226</f>
        <v>1</v>
      </c>
      <c r="AC227" s="14" t="n">
        <f aca="false">1-Operations!AC225-Operations!AC226</f>
        <v>1</v>
      </c>
      <c r="AD227" s="14" t="n">
        <f aca="false">1-Operations!AD225-Operations!AD226</f>
        <v>1</v>
      </c>
      <c r="AE227" s="14" t="n">
        <f aca="false">1-Operations!AE225-Operations!AE226</f>
        <v>1</v>
      </c>
      <c r="AF227" s="14" t="n">
        <f aca="false">1-Operations!AF225-Operations!AF226</f>
        <v>1</v>
      </c>
      <c r="AG227" s="14" t="n">
        <f aca="false">1-Operations!AG225-Operations!AG226</f>
        <v>1</v>
      </c>
      <c r="AH227" s="14" t="n">
        <f aca="false">1-Operations!AH225-Operations!AH226</f>
        <v>1</v>
      </c>
      <c r="AI227" s="14" t="n">
        <f aca="false">1-Operations!AI225-Operations!AI226</f>
        <v>1</v>
      </c>
      <c r="AJ227" s="14" t="n">
        <f aca="false">1-Operations!AJ225-Operations!AJ226</f>
        <v>1</v>
      </c>
      <c r="AK227" s="14" t="n">
        <f aca="false">1-Operations!AK225-Operations!AK226</f>
        <v>1</v>
      </c>
      <c r="AL227" s="14" t="n">
        <f aca="false">1-Operations!AL225-Operations!AL226</f>
        <v>1</v>
      </c>
      <c r="AM227" s="14" t="n">
        <f aca="false">1-Operations!AM225-Operations!AM226</f>
        <v>1</v>
      </c>
      <c r="AN227" s="14" t="n">
        <f aca="false">1-Operations!AN225-Operations!AN226</f>
        <v>1</v>
      </c>
      <c r="AO227" s="14" t="n">
        <f aca="false">1-Operations!AO225-Operations!AO226</f>
        <v>1</v>
      </c>
      <c r="AP227" s="14" t="n">
        <f aca="false">1-Operations!AP225-Operations!AP226</f>
        <v>1</v>
      </c>
      <c r="AQ227" s="14" t="n">
        <f aca="false">1-Operations!AQ225-Operations!AQ226</f>
        <v>1</v>
      </c>
      <c r="AR227" s="14" t="n">
        <f aca="false">1-Operations!AR225-Operations!AR226</f>
        <v>1</v>
      </c>
      <c r="AS227" s="14" t="n">
        <f aca="false">1-Operations!AS225-Operations!AS226</f>
        <v>1</v>
      </c>
      <c r="AT227" s="14" t="n">
        <f aca="false">1-Operations!AT225-Operations!AT226</f>
        <v>1</v>
      </c>
      <c r="AU227" s="14" t="n">
        <f aca="false">1-Operations!AU225-Operations!AU226</f>
        <v>1</v>
      </c>
    </row>
    <row r="228" customFormat="false" ht="15" hidden="false" customHeight="false" outlineLevel="0" collapsed="false">
      <c r="D228" s="0" t="s">
        <v>623</v>
      </c>
      <c r="E228" s="0" t="s">
        <v>47</v>
      </c>
      <c r="J228" s="20" t="n">
        <f aca="false">Operations!J207*Operations!J193*(1-Operations!J220)</f>
        <v>0</v>
      </c>
      <c r="K228" s="20" t="n">
        <f aca="false">Operations!K207*Operations!K193*(1-Operations!K220)</f>
        <v>0</v>
      </c>
      <c r="L228" s="20" t="n">
        <f aca="false">Operations!L207*Operations!L193*(1-Operations!L220)</f>
        <v>0</v>
      </c>
      <c r="M228" s="20" t="n">
        <f aca="false">Operations!M207*Operations!M193*(1-Operations!M220)</f>
        <v>0</v>
      </c>
      <c r="N228" s="20" t="n">
        <f aca="false">Operations!N207*Operations!N193*(1-Operations!N220)</f>
        <v>0</v>
      </c>
      <c r="O228" s="20" t="n">
        <f aca="false">Operations!O207*Operations!O193*(1-Operations!O220)</f>
        <v>0</v>
      </c>
      <c r="P228" s="20" t="n">
        <f aca="false">Operations!P207*Operations!P193*(1-Operations!P220)</f>
        <v>0</v>
      </c>
      <c r="Q228" s="20" t="n">
        <f aca="false">Operations!Q207*Operations!Q193*(1-Operations!Q220)</f>
        <v>0</v>
      </c>
      <c r="R228" s="20" t="n">
        <f aca="false">Operations!R207*Operations!R193*(1-Operations!R220)</f>
        <v>0</v>
      </c>
      <c r="S228" s="20" t="n">
        <f aca="false">Operations!S207*Operations!S193*(1-Operations!S220)</f>
        <v>0</v>
      </c>
      <c r="T228" s="20" t="n">
        <f aca="false">Operations!T207*Operations!T193*(1-Operations!T220)</f>
        <v>0</v>
      </c>
      <c r="U228" s="20" t="n">
        <f aca="false">Operations!U207*Operations!U193*(1-Operations!U220)</f>
        <v>0</v>
      </c>
      <c r="V228" s="20" t="n">
        <f aca="false">Operations!V207*Operations!V193*(1-Operations!V220)</f>
        <v>0</v>
      </c>
      <c r="W228" s="20" t="n">
        <f aca="false">Operations!W207*Operations!W193*(1-Operations!W220)</f>
        <v>0</v>
      </c>
      <c r="X228" s="20" t="n">
        <f aca="false">Operations!X207*Operations!X193*(1-Operations!X220)</f>
        <v>0</v>
      </c>
      <c r="Y228" s="20" t="n">
        <f aca="false">Operations!Y207*Operations!Y193*(1-Operations!Y220)</f>
        <v>0</v>
      </c>
      <c r="Z228" s="20" t="n">
        <f aca="false">Operations!Z207*Operations!Z193*(1-Operations!Z220)</f>
        <v>0</v>
      </c>
      <c r="AA228" s="20" t="n">
        <f aca="false">Operations!AA207*Operations!AA193*(1-Operations!AA220)</f>
        <v>0</v>
      </c>
      <c r="AB228" s="20" t="n">
        <f aca="false">Operations!AB207*Operations!AB193*(1-Operations!AB220)</f>
        <v>0</v>
      </c>
      <c r="AC228" s="20" t="n">
        <f aca="false">Operations!AC207*Operations!AC193*(1-Operations!AC220)</f>
        <v>0</v>
      </c>
      <c r="AD228" s="20" t="n">
        <f aca="false">Operations!AD207*Operations!AD193*(1-Operations!AD220)</f>
        <v>0</v>
      </c>
      <c r="AE228" s="20" t="n">
        <f aca="false">Operations!AE207*Operations!AE193*(1-Operations!AE220)</f>
        <v>0</v>
      </c>
      <c r="AF228" s="20" t="n">
        <f aca="false">Operations!AF207*Operations!AF193*(1-Operations!AF220)</f>
        <v>0</v>
      </c>
      <c r="AG228" s="20" t="n">
        <f aca="false">Operations!AG207*Operations!AG193*(1-Operations!AG220)</f>
        <v>0</v>
      </c>
      <c r="AH228" s="20" t="n">
        <f aca="false">Operations!AH207*Operations!AH193*(1-Operations!AH220)</f>
        <v>0</v>
      </c>
      <c r="AI228" s="20" t="n">
        <f aca="false">Operations!AI207*Operations!AI193*(1-Operations!AI220)</f>
        <v>0</v>
      </c>
      <c r="AJ228" s="20" t="n">
        <f aca="false">Operations!AJ207*Operations!AJ193*(1-Operations!AJ220)</f>
        <v>0</v>
      </c>
      <c r="AK228" s="20" t="n">
        <f aca="false">Operations!AK207*Operations!AK193*(1-Operations!AK220)</f>
        <v>0</v>
      </c>
      <c r="AL228" s="20" t="n">
        <f aca="false">Operations!AL207*Operations!AL193*(1-Operations!AL220)</f>
        <v>0</v>
      </c>
      <c r="AM228" s="20" t="n">
        <f aca="false">Operations!AM207*Operations!AM193*(1-Operations!AM220)</f>
        <v>0</v>
      </c>
      <c r="AN228" s="20" t="n">
        <f aca="false">Operations!AN207*Operations!AN193*(1-Operations!AN220)</f>
        <v>0</v>
      </c>
      <c r="AO228" s="20" t="n">
        <f aca="false">Operations!AO207*Operations!AO193*(1-Operations!AO220)</f>
        <v>0</v>
      </c>
      <c r="AP228" s="20" t="n">
        <f aca="false">Operations!AP207*Operations!AP193*(1-Operations!AP220)</f>
        <v>0</v>
      </c>
      <c r="AQ228" s="20" t="n">
        <f aca="false">Operations!AQ207*Operations!AQ193*(1-Operations!AQ220)</f>
        <v>0</v>
      </c>
      <c r="AR228" s="20" t="n">
        <f aca="false">Operations!AR207*Operations!AR193*(1-Operations!AR220)</f>
        <v>0</v>
      </c>
      <c r="AS228" s="20" t="n">
        <f aca="false">Operations!AS207*Operations!AS193*(1-Operations!AS220)</f>
        <v>0</v>
      </c>
      <c r="AT228" s="20" t="n">
        <f aca="false">Operations!AT207*Operations!AT193*(1-Operations!AT220)</f>
        <v>0</v>
      </c>
      <c r="AU228" s="20" t="n">
        <f aca="false">Operations!AU207*Operations!AU193*(1-Operations!AU220)</f>
        <v>0</v>
      </c>
    </row>
    <row r="229" customFormat="false" ht="15" hidden="false" customHeight="false" outlineLevel="0" collapsed="false">
      <c r="D229" s="0" t="s">
        <v>624</v>
      </c>
      <c r="E229" s="0" t="s">
        <v>47</v>
      </c>
      <c r="J229" s="20" t="n">
        <f aca="false">Operations!J208*Operations!J193*(1-Operations!J220)</f>
        <v>5.77838071232877</v>
      </c>
      <c r="K229" s="20" t="n">
        <f aca="false">Operations!K208*Operations!K193*(1-Operations!K220)</f>
        <v>7.42644</v>
      </c>
      <c r="L229" s="20" t="n">
        <f aca="false">Operations!L208*Operations!L193*(1-Operations!L220)</f>
        <v>7.42644</v>
      </c>
      <c r="M229" s="20" t="n">
        <f aca="false">Operations!M208*Operations!M193*(1-Operations!M220)</f>
        <v>7.42644</v>
      </c>
      <c r="N229" s="20" t="n">
        <f aca="false">Operations!N208*Operations!N193*(1-Operations!N220)</f>
        <v>7.42644</v>
      </c>
      <c r="O229" s="20" t="n">
        <f aca="false">Operations!O208*Operations!O193*(1-Operations!O220)</f>
        <v>0</v>
      </c>
      <c r="P229" s="20" t="n">
        <f aca="false">Operations!P208*Operations!P193*(1-Operations!P220)</f>
        <v>0</v>
      </c>
      <c r="Q229" s="20" t="n">
        <f aca="false">Operations!Q208*Operations!Q193*(1-Operations!Q220)</f>
        <v>0</v>
      </c>
      <c r="R229" s="20" t="n">
        <f aca="false">Operations!R208*Operations!R193*(1-Operations!R220)</f>
        <v>0</v>
      </c>
      <c r="S229" s="20" t="n">
        <f aca="false">Operations!S208*Operations!S193*(1-Operations!S220)</f>
        <v>0</v>
      </c>
      <c r="T229" s="20" t="n">
        <f aca="false">Operations!T208*Operations!T193*(1-Operations!T220)</f>
        <v>0</v>
      </c>
      <c r="U229" s="20" t="n">
        <f aca="false">Operations!U208*Operations!U193*(1-Operations!U220)</f>
        <v>0</v>
      </c>
      <c r="V229" s="20" t="n">
        <f aca="false">Operations!V208*Operations!V193*(1-Operations!V220)</f>
        <v>0</v>
      </c>
      <c r="W229" s="20" t="n">
        <f aca="false">Operations!W208*Operations!W193*(1-Operations!W220)</f>
        <v>0</v>
      </c>
      <c r="X229" s="20" t="n">
        <f aca="false">Operations!X208*Operations!X193*(1-Operations!X220)</f>
        <v>0</v>
      </c>
      <c r="Y229" s="20" t="n">
        <f aca="false">Operations!Y208*Operations!Y193*(1-Operations!Y220)</f>
        <v>0</v>
      </c>
      <c r="Z229" s="20" t="n">
        <f aca="false">Operations!Z208*Operations!Z193*(1-Operations!Z220)</f>
        <v>0</v>
      </c>
      <c r="AA229" s="20" t="n">
        <f aca="false">Operations!AA208*Operations!AA193*(1-Operations!AA220)</f>
        <v>0</v>
      </c>
      <c r="AB229" s="20" t="n">
        <f aca="false">Operations!AB208*Operations!AB193*(1-Operations!AB220)</f>
        <v>0</v>
      </c>
      <c r="AC229" s="20" t="n">
        <f aca="false">Operations!AC208*Operations!AC193*(1-Operations!AC220)</f>
        <v>0</v>
      </c>
      <c r="AD229" s="20" t="n">
        <f aca="false">Operations!AD208*Operations!AD193*(1-Operations!AD220)</f>
        <v>0</v>
      </c>
      <c r="AE229" s="20" t="n">
        <f aca="false">Operations!AE208*Operations!AE193*(1-Operations!AE220)</f>
        <v>0</v>
      </c>
      <c r="AF229" s="20" t="n">
        <f aca="false">Operations!AF208*Operations!AF193*(1-Operations!AF220)</f>
        <v>0</v>
      </c>
      <c r="AG229" s="20" t="n">
        <f aca="false">Operations!AG208*Operations!AG193*(1-Operations!AG220)</f>
        <v>0</v>
      </c>
      <c r="AH229" s="20" t="n">
        <f aca="false">Operations!AH208*Operations!AH193*(1-Operations!AH220)</f>
        <v>0</v>
      </c>
      <c r="AI229" s="20" t="n">
        <f aca="false">Operations!AI208*Operations!AI193*(1-Operations!AI220)</f>
        <v>0</v>
      </c>
      <c r="AJ229" s="20" t="n">
        <f aca="false">Operations!AJ208*Operations!AJ193*(1-Operations!AJ220)</f>
        <v>0</v>
      </c>
      <c r="AK229" s="20" t="n">
        <f aca="false">Operations!AK208*Operations!AK193*(1-Operations!AK220)</f>
        <v>0</v>
      </c>
      <c r="AL229" s="20" t="n">
        <f aca="false">Operations!AL208*Operations!AL193*(1-Operations!AL220)</f>
        <v>0</v>
      </c>
      <c r="AM229" s="20" t="n">
        <f aca="false">Operations!AM208*Operations!AM193*(1-Operations!AM220)</f>
        <v>0</v>
      </c>
      <c r="AN229" s="20" t="n">
        <f aca="false">Operations!AN208*Operations!AN193*(1-Operations!AN220)</f>
        <v>0</v>
      </c>
      <c r="AO229" s="20" t="n">
        <f aca="false">Operations!AO208*Operations!AO193*(1-Operations!AO220)</f>
        <v>0</v>
      </c>
      <c r="AP229" s="20" t="n">
        <f aca="false">Operations!AP208*Operations!AP193*(1-Operations!AP220)</f>
        <v>0</v>
      </c>
      <c r="AQ229" s="20" t="n">
        <f aca="false">Operations!AQ208*Operations!AQ193*(1-Operations!AQ220)</f>
        <v>0</v>
      </c>
      <c r="AR229" s="20" t="n">
        <f aca="false">Operations!AR208*Operations!AR193*(1-Operations!AR220)</f>
        <v>0</v>
      </c>
      <c r="AS229" s="20" t="n">
        <f aca="false">Operations!AS208*Operations!AS193*(1-Operations!AS220)</f>
        <v>0</v>
      </c>
      <c r="AT229" s="20" t="n">
        <f aca="false">Operations!AT208*Operations!AT193*(1-Operations!AT220)</f>
        <v>0</v>
      </c>
      <c r="AU229" s="20" t="n">
        <f aca="false">Operations!AU208*Operations!AU193*(1-Operations!AU220)</f>
        <v>0</v>
      </c>
    </row>
    <row r="230" customFormat="false" ht="15" hidden="false" customHeight="false" outlineLevel="0" collapsed="false">
      <c r="D230" s="0" t="s">
        <v>625</v>
      </c>
      <c r="E230" s="0" t="s">
        <v>47</v>
      </c>
      <c r="J230" s="20" t="n">
        <f aca="false">Operations!J211*Operations!J193*(1-Operations!J220)</f>
        <v>2.57089361042691</v>
      </c>
      <c r="K230" s="20" t="n">
        <f aca="false">Operations!K211*Operations!K193*(1-Operations!K220)</f>
        <v>2.53256371326684</v>
      </c>
      <c r="L230" s="20" t="n">
        <f aca="false">Operations!L211*Operations!L193*(1-Operations!L220)</f>
        <v>1.16092167557828</v>
      </c>
      <c r="M230" s="20" t="n">
        <f aca="false">Operations!M211*Operations!M193*(1-Operations!M220)</f>
        <v>1.42689731468857</v>
      </c>
      <c r="N230" s="20" t="n">
        <f aca="false">Operations!N211*Operations!N193*(1-Operations!N220)</f>
        <v>1.51928637731131</v>
      </c>
      <c r="O230" s="20" t="n">
        <f aca="false">Operations!O211*Operations!O193*(1-Operations!O220)</f>
        <v>7.38865318802428</v>
      </c>
      <c r="P230" s="20" t="n">
        <f aca="false">Operations!P211*Operations!P193*(1-Operations!P220)</f>
        <v>7.42612724125141</v>
      </c>
      <c r="Q230" s="20" t="n">
        <f aca="false">Operations!Q211*Operations!Q193*(1-Operations!Q220)</f>
        <v>7.37468435895473</v>
      </c>
      <c r="R230" s="20" t="n">
        <f aca="false">Operations!R211*Operations!R193*(1-Operations!R220)</f>
        <v>7.32672070631339</v>
      </c>
      <c r="S230" s="20" t="n">
        <f aca="false">Operations!S211*Operations!S193*(1-Operations!S220)</f>
        <v>7.21809351140535</v>
      </c>
      <c r="T230" s="20" t="n">
        <f aca="false">Operations!T211*Operations!T193*(1-Operations!T220)</f>
        <v>7.10422843302396</v>
      </c>
      <c r="U230" s="20" t="n">
        <f aca="false">Operations!U211*Operations!U193*(1-Operations!U220)</f>
        <v>6.98495218881339</v>
      </c>
      <c r="V230" s="20" t="n">
        <f aca="false">Operations!V211*Operations!V193*(1-Operations!V220)</f>
        <v>6.86009528849324</v>
      </c>
      <c r="W230" s="20" t="n">
        <f aca="false">Operations!W211*Operations!W193*(1-Operations!W220)</f>
        <v>6.72949198860878</v>
      </c>
      <c r="X230" s="20" t="n">
        <f aca="false">Operations!X211*Operations!X193*(1-Operations!X220)</f>
        <v>6.83272498398019</v>
      </c>
      <c r="Y230" s="20" t="n">
        <f aca="false">Operations!Y211*Operations!Y193*(1-Operations!Y220)</f>
        <v>6.93839037040755</v>
      </c>
      <c r="Z230" s="20" t="n">
        <f aca="false">Operations!Z211*Operations!Z193*(1-Operations!Z220)</f>
        <v>7.04528775254682</v>
      </c>
      <c r="AA230" s="20" t="n">
        <f aca="false">Operations!AA211*Operations!AA193*(1-Operations!AA220)</f>
        <v>7.15339345665161</v>
      </c>
      <c r="AB230" s="20" t="n">
        <f aca="false">Operations!AB211*Operations!AB193*(1-Operations!AB220)</f>
        <v>7.26383429497666</v>
      </c>
      <c r="AC230" s="20" t="n">
        <f aca="false">Operations!AC211*Operations!AC193*(1-Operations!AC220)</f>
        <v>7.37542645903752</v>
      </c>
      <c r="AD230" s="20" t="n">
        <f aca="false">Operations!AD211*Operations!AD193*(1-Operations!AD220)</f>
        <v>7.48928696671558</v>
      </c>
      <c r="AE230" s="20" t="n">
        <f aca="false">Operations!AE211*Operations!AE193*(1-Operations!AE220)</f>
        <v>7.60424296196702</v>
      </c>
      <c r="AF230" s="20" t="n">
        <f aca="false">Operations!AF211*Operations!AF193*(1-Operations!AF220)</f>
        <v>7.72140175229695</v>
      </c>
      <c r="AG230" s="20" t="n">
        <f aca="false">Operations!AG211*Operations!AG193*(1-Operations!AG220)</f>
        <v>7.84072593393384</v>
      </c>
      <c r="AH230" s="20" t="n">
        <f aca="false">Operations!AH211*Operations!AH193*(1-Operations!AH220)</f>
        <v>7.96105892235809</v>
      </c>
      <c r="AI230" s="20" t="n">
        <f aca="false">Operations!AI211*Operations!AI193*(1-Operations!AI220)</f>
        <v>8.08349364958879</v>
      </c>
      <c r="AJ230" s="20" t="n">
        <f aca="false">Operations!AJ211*Operations!AJ193*(1-Operations!AJ220)</f>
        <v>8.20799371743684</v>
      </c>
      <c r="AK230" s="20" t="n">
        <f aca="false">Operations!AK211*Operations!AK193*(1-Operations!AK220)</f>
        <v>8.33452308044274</v>
      </c>
      <c r="AL230" s="20" t="n">
        <f aca="false">Operations!AL211*Operations!AL193*(1-Operations!AL220)</f>
        <v>8.46304604313438</v>
      </c>
      <c r="AM230" s="20" t="n">
        <f aca="false">Operations!AM211*Operations!AM193*(1-Operations!AM220)</f>
        <v>8.59352725730376</v>
      </c>
      <c r="AN230" s="20" t="n">
        <f aca="false">Operations!AN211*Operations!AN193*(1-Operations!AN220)</f>
        <v>8.72593171930255</v>
      </c>
      <c r="AO230" s="20" t="n">
        <f aca="false">Operations!AO211*Operations!AO193*(1-Operations!AO220)</f>
        <v>8.86022476735622</v>
      </c>
      <c r="AP230" s="20" t="n">
        <f aca="false">Operations!AP211*Operations!AP193*(1-Operations!AP220)</f>
        <v>8.99637207889677</v>
      </c>
      <c r="AQ230" s="20" t="n">
        <f aca="false">Operations!AQ211*Operations!AQ193*(1-Operations!AQ220)</f>
        <v>7.60867414071092</v>
      </c>
      <c r="AR230" s="20" t="n">
        <f aca="false">Operations!AR211*Operations!AR193*(1-Operations!AR220)</f>
        <v>0</v>
      </c>
      <c r="AS230" s="20" t="n">
        <f aca="false">Operations!AS211*Operations!AS193*(1-Operations!AS220)</f>
        <v>0</v>
      </c>
      <c r="AT230" s="20" t="n">
        <f aca="false">Operations!AT211*Operations!AT193*(1-Operations!AT220)</f>
        <v>0</v>
      </c>
      <c r="AU230" s="20" t="n">
        <f aca="false">Operations!AU211*Operations!AU193*(1-Operations!AU220)</f>
        <v>0</v>
      </c>
    </row>
    <row r="231" customFormat="false" ht="15" hidden="false" customHeight="false" outlineLevel="0" collapsed="false">
      <c r="D231" s="0" t="s">
        <v>626</v>
      </c>
      <c r="E231" s="0" t="s">
        <v>47</v>
      </c>
      <c r="J231" s="20" t="n">
        <f aca="false">Operations!J210*Operations!J193*(1-Operations!J220)</f>
        <v>8.34927432275568</v>
      </c>
      <c r="K231" s="20" t="n">
        <f aca="false">Operations!K210*Operations!K193*(1-Operations!K220)</f>
        <v>9.95900371326684</v>
      </c>
      <c r="L231" s="20" t="n">
        <f aca="false">Operations!L210*Operations!L193*(1-Operations!L220)</f>
        <v>8.58736167557828</v>
      </c>
      <c r="M231" s="20" t="n">
        <f aca="false">Operations!M210*Operations!M193*(1-Operations!M220)</f>
        <v>8.85333731468857</v>
      </c>
      <c r="N231" s="20" t="n">
        <f aca="false">Operations!N210*Operations!N193*(1-Operations!N220)</f>
        <v>8.94572637731131</v>
      </c>
      <c r="O231" s="20" t="n">
        <f aca="false">Operations!O210*Operations!O193*(1-Operations!O220)</f>
        <v>7.38865318802428</v>
      </c>
      <c r="P231" s="20" t="n">
        <f aca="false">Operations!P210*Operations!P193*(1-Operations!P220)</f>
        <v>7.42612724125141</v>
      </c>
      <c r="Q231" s="20" t="n">
        <f aca="false">Operations!Q210*Operations!Q193*(1-Operations!Q220)</f>
        <v>7.37468435895473</v>
      </c>
      <c r="R231" s="20" t="n">
        <f aca="false">Operations!R210*Operations!R193*(1-Operations!R220)</f>
        <v>7.32672070631339</v>
      </c>
      <c r="S231" s="20" t="n">
        <f aca="false">Operations!S210*Operations!S193*(1-Operations!S220)</f>
        <v>7.21809351140535</v>
      </c>
      <c r="T231" s="20" t="n">
        <f aca="false">Operations!T210*Operations!T193*(1-Operations!T220)</f>
        <v>7.10422843302396</v>
      </c>
      <c r="U231" s="20" t="n">
        <f aca="false">Operations!U210*Operations!U193*(1-Operations!U220)</f>
        <v>6.98495218881339</v>
      </c>
      <c r="V231" s="20" t="n">
        <f aca="false">Operations!V210*Operations!V193*(1-Operations!V220)</f>
        <v>6.86009528849324</v>
      </c>
      <c r="W231" s="20" t="n">
        <f aca="false">Operations!W210*Operations!W193*(1-Operations!W220)</f>
        <v>6.72949198860878</v>
      </c>
      <c r="X231" s="20" t="n">
        <f aca="false">Operations!X210*Operations!X193*(1-Operations!X220)</f>
        <v>6.83272498398019</v>
      </c>
      <c r="Y231" s="20" t="n">
        <f aca="false">Operations!Y210*Operations!Y193*(1-Operations!Y220)</f>
        <v>6.93839037040755</v>
      </c>
      <c r="Z231" s="20" t="n">
        <f aca="false">Operations!Z210*Operations!Z193*(1-Operations!Z220)</f>
        <v>7.04528775254682</v>
      </c>
      <c r="AA231" s="20" t="n">
        <f aca="false">Operations!AA210*Operations!AA193*(1-Operations!AA220)</f>
        <v>7.15339345665161</v>
      </c>
      <c r="AB231" s="20" t="n">
        <f aca="false">Operations!AB210*Operations!AB193*(1-Operations!AB220)</f>
        <v>7.26383429497666</v>
      </c>
      <c r="AC231" s="20" t="n">
        <f aca="false">Operations!AC210*Operations!AC193*(1-Operations!AC220)</f>
        <v>7.37542645903752</v>
      </c>
      <c r="AD231" s="20" t="n">
        <f aca="false">Operations!AD210*Operations!AD193*(1-Operations!AD220)</f>
        <v>7.48928696671558</v>
      </c>
      <c r="AE231" s="20" t="n">
        <f aca="false">Operations!AE210*Operations!AE193*(1-Operations!AE220)</f>
        <v>7.60424296196702</v>
      </c>
      <c r="AF231" s="20" t="n">
        <f aca="false">Operations!AF210*Operations!AF193*(1-Operations!AF220)</f>
        <v>7.72140175229695</v>
      </c>
      <c r="AG231" s="20" t="n">
        <f aca="false">Operations!AG210*Operations!AG193*(1-Operations!AG220)</f>
        <v>7.84072593393384</v>
      </c>
      <c r="AH231" s="20" t="n">
        <f aca="false">Operations!AH210*Operations!AH193*(1-Operations!AH220)</f>
        <v>7.96105892235809</v>
      </c>
      <c r="AI231" s="20" t="n">
        <f aca="false">Operations!AI210*Operations!AI193*(1-Operations!AI220)</f>
        <v>8.08349364958879</v>
      </c>
      <c r="AJ231" s="20" t="n">
        <f aca="false">Operations!AJ210*Operations!AJ193*(1-Operations!AJ220)</f>
        <v>8.20799371743684</v>
      </c>
      <c r="AK231" s="20" t="n">
        <f aca="false">Operations!AK210*Operations!AK193*(1-Operations!AK220)</f>
        <v>8.33452308044274</v>
      </c>
      <c r="AL231" s="20" t="n">
        <f aca="false">Operations!AL210*Operations!AL193*(1-Operations!AL220)</f>
        <v>8.46304604313438</v>
      </c>
      <c r="AM231" s="20" t="n">
        <f aca="false">Operations!AM210*Operations!AM193*(1-Operations!AM220)</f>
        <v>8.59352725730376</v>
      </c>
      <c r="AN231" s="20" t="n">
        <f aca="false">Operations!AN210*Operations!AN193*(1-Operations!AN220)</f>
        <v>8.72593171930255</v>
      </c>
      <c r="AO231" s="20" t="n">
        <f aca="false">Operations!AO210*Operations!AO193*(1-Operations!AO220)</f>
        <v>8.86022476735622</v>
      </c>
      <c r="AP231" s="20" t="n">
        <f aca="false">Operations!AP210*Operations!AP193*(1-Operations!AP220)</f>
        <v>8.99637207889677</v>
      </c>
      <c r="AQ231" s="20" t="n">
        <f aca="false">Operations!AQ210*Operations!AQ193*(1-Operations!AQ220)</f>
        <v>7.60867414071092</v>
      </c>
      <c r="AR231" s="20" t="n">
        <f aca="false">Operations!AR210*Operations!AR193*(1-Operations!AR220)</f>
        <v>0</v>
      </c>
      <c r="AS231" s="20" t="n">
        <f aca="false">Operations!AS210*Operations!AS193*(1-Operations!AS220)</f>
        <v>0</v>
      </c>
      <c r="AT231" s="20" t="n">
        <f aca="false">Operations!AT210*Operations!AT193*(1-Operations!AT220)</f>
        <v>0</v>
      </c>
      <c r="AU231" s="20" t="n">
        <f aca="false">Operations!AU210*Operations!AU193*(1-Operations!AU220)</f>
        <v>0</v>
      </c>
    </row>
    <row r="232" customFormat="false" ht="15" hidden="false" customHeight="false" outlineLevel="0" collapsed="false">
      <c r="D232" s="19" t="s">
        <v>627</v>
      </c>
    </row>
    <row r="233" customFormat="false" ht="15" hidden="false" customHeight="false" outlineLevel="0" collapsed="false">
      <c r="D233" s="0" t="s">
        <v>628</v>
      </c>
      <c r="E233" s="0" t="s">
        <v>458</v>
      </c>
      <c r="J233" s="14" t="n">
        <f aca="false">MAX(0,MIN(Inputs!$F$134,Time!J$6)-MAX(Inputs!$F$133,Time!J$5))/Time!J$7</f>
        <v>1</v>
      </c>
      <c r="K233" s="14" t="n">
        <f aca="false">MAX(0,MIN(Inputs!$F$134,Time!K$6)-MAX(Inputs!$F$133,Time!K$5))/Time!K$7</f>
        <v>1</v>
      </c>
      <c r="L233" s="14" t="n">
        <f aca="false">MAX(0,MIN(Inputs!$F$134,Time!L$6)-MAX(Inputs!$F$133,Time!L$5))/Time!L$7</f>
        <v>1</v>
      </c>
      <c r="M233" s="14" t="n">
        <f aca="false">MAX(0,MIN(Inputs!$F$134,Time!M$6)-MAX(Inputs!$F$133,Time!M$5))/Time!M$7</f>
        <v>1</v>
      </c>
      <c r="N233" s="14" t="n">
        <f aca="false">MAX(0,MIN(Inputs!$F$134,Time!N$6)-MAX(Inputs!$F$133,Time!N$5))/Time!N$7</f>
        <v>1</v>
      </c>
      <c r="O233" s="14" t="n">
        <f aca="false">MAX(0,MIN(Inputs!$F$134,Time!O$6)-MAX(Inputs!$F$133,Time!O$5))/Time!O$7</f>
        <v>1</v>
      </c>
      <c r="P233" s="14" t="n">
        <f aca="false">MAX(0,MIN(Inputs!$F$134,Time!P$6)-MAX(Inputs!$F$133,Time!P$5))/Time!P$7</f>
        <v>1</v>
      </c>
      <c r="Q233" s="14" t="n">
        <f aca="false">MAX(0,MIN(Inputs!$F$134,Time!Q$6)-MAX(Inputs!$F$133,Time!Q$5))/Time!Q$7</f>
        <v>1</v>
      </c>
      <c r="R233" s="14" t="n">
        <f aca="false">MAX(0,MIN(Inputs!$F$134,Time!R$6)-MAX(Inputs!$F$133,Time!R$5))/Time!R$7</f>
        <v>1</v>
      </c>
      <c r="S233" s="14" t="n">
        <f aca="false">MAX(0,MIN(Inputs!$F$134,Time!S$6)-MAX(Inputs!$F$133,Time!S$5))/Time!S$7</f>
        <v>1</v>
      </c>
      <c r="T233" s="14" t="n">
        <f aca="false">MAX(0,MIN(Inputs!$F$134,Time!T$6)-MAX(Inputs!$F$133,Time!T$5))/Time!T$7</f>
        <v>1</v>
      </c>
      <c r="U233" s="14" t="n">
        <f aca="false">MAX(0,MIN(Inputs!$F$134,Time!U$6)-MAX(Inputs!$F$133,Time!U$5))/Time!U$7</f>
        <v>1</v>
      </c>
      <c r="V233" s="14" t="n">
        <f aca="false">MAX(0,MIN(Inputs!$F$134,Time!V$6)-MAX(Inputs!$F$133,Time!V$5))/Time!V$7</f>
        <v>1</v>
      </c>
      <c r="W233" s="14" t="n">
        <f aca="false">MAX(0,MIN(Inputs!$F$134,Time!W$6)-MAX(Inputs!$F$133,Time!W$5))/Time!W$7</f>
        <v>1</v>
      </c>
      <c r="X233" s="14" t="n">
        <f aca="false">MAX(0,MIN(Inputs!$F$134,Time!X$6)-MAX(Inputs!$F$133,Time!X$5))/Time!X$7</f>
        <v>1</v>
      </c>
      <c r="Y233" s="14" t="n">
        <f aca="false">MAX(0,MIN(Inputs!$F$134,Time!Y$6)-MAX(Inputs!$F$133,Time!Y$5))/Time!Y$7</f>
        <v>1</v>
      </c>
      <c r="Z233" s="14" t="n">
        <f aca="false">MAX(0,MIN(Inputs!$F$134,Time!Z$6)-MAX(Inputs!$F$133,Time!Z$5))/Time!Z$7</f>
        <v>1</v>
      </c>
      <c r="AA233" s="14" t="n">
        <f aca="false">MAX(0,MIN(Inputs!$F$134,Time!AA$6)-MAX(Inputs!$F$133,Time!AA$5))/Time!AA$7</f>
        <v>1</v>
      </c>
      <c r="AB233" s="14" t="n">
        <f aca="false">MAX(0,MIN(Inputs!$F$134,Time!AB$6)-MAX(Inputs!$F$133,Time!AB$5))/Time!AB$7</f>
        <v>1</v>
      </c>
      <c r="AC233" s="14" t="n">
        <f aca="false">MAX(0,MIN(Inputs!$F$134,Time!AC$6)-MAX(Inputs!$F$133,Time!AC$5))/Time!AC$7</f>
        <v>1</v>
      </c>
      <c r="AD233" s="14" t="n">
        <f aca="false">MAX(0,MIN(Inputs!$F$134,Time!AD$6)-MAX(Inputs!$F$133,Time!AD$5))/Time!AD$7</f>
        <v>1</v>
      </c>
      <c r="AE233" s="14" t="n">
        <f aca="false">MAX(0,MIN(Inputs!$F$134,Time!AE$6)-MAX(Inputs!$F$133,Time!AE$5))/Time!AE$7</f>
        <v>1</v>
      </c>
      <c r="AF233" s="14" t="n">
        <f aca="false">MAX(0,MIN(Inputs!$F$134,Time!AF$6)-MAX(Inputs!$F$133,Time!AF$5))/Time!AF$7</f>
        <v>1</v>
      </c>
      <c r="AG233" s="14" t="n">
        <f aca="false">MAX(0,MIN(Inputs!$F$134,Time!AG$6)-MAX(Inputs!$F$133,Time!AG$5))/Time!AG$7</f>
        <v>1</v>
      </c>
      <c r="AH233" s="14" t="n">
        <f aca="false">MAX(0,MIN(Inputs!$F$134,Time!AH$6)-MAX(Inputs!$F$133,Time!AH$5))/Time!AH$7</f>
        <v>1</v>
      </c>
      <c r="AI233" s="14" t="n">
        <f aca="false">MAX(0,MIN(Inputs!$F$134,Time!AI$6)-MAX(Inputs!$F$133,Time!AI$5))/Time!AI$7</f>
        <v>1</v>
      </c>
      <c r="AJ233" s="14" t="n">
        <f aca="false">MAX(0,MIN(Inputs!$F$134,Time!AJ$6)-MAX(Inputs!$F$133,Time!AJ$5))/Time!AJ$7</f>
        <v>1</v>
      </c>
      <c r="AK233" s="14" t="n">
        <f aca="false">MAX(0,MIN(Inputs!$F$134,Time!AK$6)-MAX(Inputs!$F$133,Time!AK$5))/Time!AK$7</f>
        <v>1</v>
      </c>
      <c r="AL233" s="14" t="n">
        <f aca="false">MAX(0,MIN(Inputs!$F$134,Time!AL$6)-MAX(Inputs!$F$133,Time!AL$5))/Time!AL$7</f>
        <v>1</v>
      </c>
      <c r="AM233" s="14" t="n">
        <f aca="false">MAX(0,MIN(Inputs!$F$134,Time!AM$6)-MAX(Inputs!$F$133,Time!AM$5))/Time!AM$7</f>
        <v>1</v>
      </c>
      <c r="AN233" s="14" t="n">
        <f aca="false">MAX(0,MIN(Inputs!$F$134,Time!AN$6)-MAX(Inputs!$F$133,Time!AN$5))/Time!AN$7</f>
        <v>1</v>
      </c>
      <c r="AO233" s="14" t="n">
        <f aca="false">MAX(0,MIN(Inputs!$F$134,Time!AO$6)-MAX(Inputs!$F$133,Time!AO$5))/Time!AO$7</f>
        <v>1</v>
      </c>
      <c r="AP233" s="14" t="n">
        <f aca="false">MAX(0,MIN(Inputs!$F$134,Time!AP$6)-MAX(Inputs!$F$133,Time!AP$5))/Time!AP$7</f>
        <v>1</v>
      </c>
      <c r="AQ233" s="14" t="n">
        <f aca="false">MAX(0,MIN(Inputs!$F$134,Time!AQ$6)-MAX(Inputs!$F$133,Time!AQ$5))/Time!AQ$7</f>
        <v>1</v>
      </c>
      <c r="AR233" s="14" t="n">
        <f aca="false">MAX(0,MIN(Inputs!$F$134,Time!AR$6)-MAX(Inputs!$F$133,Time!AR$5))/Time!AR$7</f>
        <v>0.497267759562842</v>
      </c>
      <c r="AS233" s="14" t="n">
        <f aca="false">MAX(0,MIN(Inputs!$F$134,Time!AS$6)-MAX(Inputs!$F$133,Time!AS$5))/Time!AS$7</f>
        <v>0</v>
      </c>
      <c r="AT233" s="14" t="n">
        <f aca="false">MAX(0,MIN(Inputs!$F$134,Time!AT$6)-MAX(Inputs!$F$133,Time!AT$5))/Time!AT$7</f>
        <v>0</v>
      </c>
      <c r="AU233" s="14" t="n">
        <f aca="false">MAX(0,MIN(Inputs!$F$134,Time!AU$6)-MAX(Inputs!$F$133,Time!AU$5))/Time!AU$7</f>
        <v>0</v>
      </c>
    </row>
    <row r="234" customFormat="false" ht="15" hidden="false" customHeight="false" outlineLevel="0" collapsed="false">
      <c r="D234" s="0" t="s">
        <v>629</v>
      </c>
      <c r="E234" s="0" t="s">
        <v>458</v>
      </c>
      <c r="J234" s="14" t="n">
        <f aca="false">MAX(0,MIN(Inputs!$F$134,Time!J$6)-MAX(MAX(Inputs!$F$135,Inputs!$F$133),Time!J$5))/Time!J$7</f>
        <v>0.778082191780822</v>
      </c>
      <c r="K234" s="14" t="n">
        <f aca="false">MAX(0,MIN(Inputs!$F$134,Time!K$6)-MAX(MAX(Inputs!$F$135,Inputs!$F$133),Time!K$5))/Time!K$7</f>
        <v>1</v>
      </c>
      <c r="L234" s="14" t="n">
        <f aca="false">MAX(0,MIN(Inputs!$F$134,Time!L$6)-MAX(MAX(Inputs!$F$135,Inputs!$F$133),Time!L$5))/Time!L$7</f>
        <v>1</v>
      </c>
      <c r="M234" s="14" t="n">
        <f aca="false">MAX(0,MIN(Inputs!$F$134,Time!M$6)-MAX(MAX(Inputs!$F$135,Inputs!$F$133),Time!M$5))/Time!M$7</f>
        <v>1</v>
      </c>
      <c r="N234" s="14" t="n">
        <f aca="false">MAX(0,MIN(Inputs!$F$134,Time!N$6)-MAX(MAX(Inputs!$F$135,Inputs!$F$133),Time!N$5))/Time!N$7</f>
        <v>1</v>
      </c>
      <c r="O234" s="14" t="n">
        <f aca="false">MAX(0,MIN(Inputs!$F$134,Time!O$6)-MAX(MAX(Inputs!$F$135,Inputs!$F$133),Time!O$5))/Time!O$7</f>
        <v>1</v>
      </c>
      <c r="P234" s="14" t="n">
        <f aca="false">MAX(0,MIN(Inputs!$F$134,Time!P$6)-MAX(MAX(Inputs!$F$135,Inputs!$F$133),Time!P$5))/Time!P$7</f>
        <v>1</v>
      </c>
      <c r="Q234" s="14" t="n">
        <f aca="false">MAX(0,MIN(Inputs!$F$134,Time!Q$6)-MAX(MAX(Inputs!$F$135,Inputs!$F$133),Time!Q$5))/Time!Q$7</f>
        <v>1</v>
      </c>
      <c r="R234" s="14" t="n">
        <f aca="false">MAX(0,MIN(Inputs!$F$134,Time!R$6)-MAX(MAX(Inputs!$F$135,Inputs!$F$133),Time!R$5))/Time!R$7</f>
        <v>1</v>
      </c>
      <c r="S234" s="14" t="n">
        <f aca="false">MAX(0,MIN(Inputs!$F$134,Time!S$6)-MAX(MAX(Inputs!$F$135,Inputs!$F$133),Time!S$5))/Time!S$7</f>
        <v>1</v>
      </c>
      <c r="T234" s="14" t="n">
        <f aca="false">MAX(0,MIN(Inputs!$F$134,Time!T$6)-MAX(MAX(Inputs!$F$135,Inputs!$F$133),Time!T$5))/Time!T$7</f>
        <v>1</v>
      </c>
      <c r="U234" s="14" t="n">
        <f aca="false">MAX(0,MIN(Inputs!$F$134,Time!U$6)-MAX(MAX(Inputs!$F$135,Inputs!$F$133),Time!U$5))/Time!U$7</f>
        <v>1</v>
      </c>
      <c r="V234" s="14" t="n">
        <f aca="false">MAX(0,MIN(Inputs!$F$134,Time!V$6)-MAX(MAX(Inputs!$F$135,Inputs!$F$133),Time!V$5))/Time!V$7</f>
        <v>1</v>
      </c>
      <c r="W234" s="14" t="n">
        <f aca="false">MAX(0,MIN(Inputs!$F$134,Time!W$6)-MAX(MAX(Inputs!$F$135,Inputs!$F$133),Time!W$5))/Time!W$7</f>
        <v>1</v>
      </c>
      <c r="X234" s="14" t="n">
        <f aca="false">MAX(0,MIN(Inputs!$F$134,Time!X$6)-MAX(MAX(Inputs!$F$135,Inputs!$F$133),Time!X$5))/Time!X$7</f>
        <v>1</v>
      </c>
      <c r="Y234" s="14" t="n">
        <f aca="false">MAX(0,MIN(Inputs!$F$134,Time!Y$6)-MAX(MAX(Inputs!$F$135,Inputs!$F$133),Time!Y$5))/Time!Y$7</f>
        <v>1</v>
      </c>
      <c r="Z234" s="14" t="n">
        <f aca="false">MAX(0,MIN(Inputs!$F$134,Time!Z$6)-MAX(MAX(Inputs!$F$135,Inputs!$F$133),Time!Z$5))/Time!Z$7</f>
        <v>1</v>
      </c>
      <c r="AA234" s="14" t="n">
        <f aca="false">MAX(0,MIN(Inputs!$F$134,Time!AA$6)-MAX(MAX(Inputs!$F$135,Inputs!$F$133),Time!AA$5))/Time!AA$7</f>
        <v>1</v>
      </c>
      <c r="AB234" s="14" t="n">
        <f aca="false">MAX(0,MIN(Inputs!$F$134,Time!AB$6)-MAX(MAX(Inputs!$F$135,Inputs!$F$133),Time!AB$5))/Time!AB$7</f>
        <v>1</v>
      </c>
      <c r="AC234" s="14" t="n">
        <f aca="false">MAX(0,MIN(Inputs!$F$134,Time!AC$6)-MAX(MAX(Inputs!$F$135,Inputs!$F$133),Time!AC$5))/Time!AC$7</f>
        <v>1</v>
      </c>
      <c r="AD234" s="14" t="n">
        <f aca="false">MAX(0,MIN(Inputs!$F$134,Time!AD$6)-MAX(MAX(Inputs!$F$135,Inputs!$F$133),Time!AD$5))/Time!AD$7</f>
        <v>1</v>
      </c>
      <c r="AE234" s="14" t="n">
        <f aca="false">MAX(0,MIN(Inputs!$F$134,Time!AE$6)-MAX(MAX(Inputs!$F$135,Inputs!$F$133),Time!AE$5))/Time!AE$7</f>
        <v>1</v>
      </c>
      <c r="AF234" s="14" t="n">
        <f aca="false">MAX(0,MIN(Inputs!$F$134,Time!AF$6)-MAX(MAX(Inputs!$F$135,Inputs!$F$133),Time!AF$5))/Time!AF$7</f>
        <v>1</v>
      </c>
      <c r="AG234" s="14" t="n">
        <f aca="false">MAX(0,MIN(Inputs!$F$134,Time!AG$6)-MAX(MAX(Inputs!$F$135,Inputs!$F$133),Time!AG$5))/Time!AG$7</f>
        <v>1</v>
      </c>
      <c r="AH234" s="14" t="n">
        <f aca="false">MAX(0,MIN(Inputs!$F$134,Time!AH$6)-MAX(MAX(Inputs!$F$135,Inputs!$F$133),Time!AH$5))/Time!AH$7</f>
        <v>1</v>
      </c>
      <c r="AI234" s="14" t="n">
        <f aca="false">MAX(0,MIN(Inputs!$F$134,Time!AI$6)-MAX(MAX(Inputs!$F$135,Inputs!$F$133),Time!AI$5))/Time!AI$7</f>
        <v>1</v>
      </c>
      <c r="AJ234" s="14" t="n">
        <f aca="false">MAX(0,MIN(Inputs!$F$134,Time!AJ$6)-MAX(MAX(Inputs!$F$135,Inputs!$F$133),Time!AJ$5))/Time!AJ$7</f>
        <v>1</v>
      </c>
      <c r="AK234" s="14" t="n">
        <f aca="false">MAX(0,MIN(Inputs!$F$134,Time!AK$6)-MAX(MAX(Inputs!$F$135,Inputs!$F$133),Time!AK$5))/Time!AK$7</f>
        <v>1</v>
      </c>
      <c r="AL234" s="14" t="n">
        <f aca="false">MAX(0,MIN(Inputs!$F$134,Time!AL$6)-MAX(MAX(Inputs!$F$135,Inputs!$F$133),Time!AL$5))/Time!AL$7</f>
        <v>1</v>
      </c>
      <c r="AM234" s="14" t="n">
        <f aca="false">MAX(0,MIN(Inputs!$F$134,Time!AM$6)-MAX(MAX(Inputs!$F$135,Inputs!$F$133),Time!AM$5))/Time!AM$7</f>
        <v>1</v>
      </c>
      <c r="AN234" s="14" t="n">
        <f aca="false">MAX(0,MIN(Inputs!$F$134,Time!AN$6)-MAX(MAX(Inputs!$F$135,Inputs!$F$133),Time!AN$5))/Time!AN$7</f>
        <v>1</v>
      </c>
      <c r="AO234" s="14" t="n">
        <f aca="false">MAX(0,MIN(Inputs!$F$134,Time!AO$6)-MAX(MAX(Inputs!$F$135,Inputs!$F$133),Time!AO$5))/Time!AO$7</f>
        <v>1</v>
      </c>
      <c r="AP234" s="14" t="n">
        <f aca="false">MAX(0,MIN(Inputs!$F$134,Time!AP$6)-MAX(MAX(Inputs!$F$135,Inputs!$F$133),Time!AP$5))/Time!AP$7</f>
        <v>1</v>
      </c>
      <c r="AQ234" s="14" t="n">
        <f aca="false">MAX(0,MIN(Inputs!$F$134,Time!AQ$6)-MAX(MAX(Inputs!$F$135,Inputs!$F$133),Time!AQ$5))/Time!AQ$7</f>
        <v>1</v>
      </c>
      <c r="AR234" s="14" t="n">
        <f aca="false">MAX(0,MIN(Inputs!$F$134,Time!AR$6)-MAX(MAX(Inputs!$F$135,Inputs!$F$133),Time!AR$5))/Time!AR$7</f>
        <v>0.497267759562842</v>
      </c>
      <c r="AS234" s="14" t="n">
        <f aca="false">MAX(0,MIN(Inputs!$F$134,Time!AS$6)-MAX(MAX(Inputs!$F$135,Inputs!$F$133),Time!AS$5))/Time!AS$7</f>
        <v>0</v>
      </c>
      <c r="AT234" s="14" t="n">
        <f aca="false">MAX(0,MIN(Inputs!$F$134,Time!AT$6)-MAX(MAX(Inputs!$F$135,Inputs!$F$133),Time!AT$5))/Time!AT$7</f>
        <v>0</v>
      </c>
      <c r="AU234" s="14" t="n">
        <f aca="false">MAX(0,MIN(Inputs!$F$134,Time!AU$6)-MAX(MAX(Inputs!$F$135,Inputs!$F$133),Time!AU$5))/Time!AU$7</f>
        <v>0</v>
      </c>
    </row>
    <row r="235" customFormat="false" ht="15" hidden="false" customHeight="false" outlineLevel="0" collapsed="false">
      <c r="D235" s="0" t="s">
        <v>630</v>
      </c>
      <c r="E235" s="0" t="s">
        <v>458</v>
      </c>
      <c r="J235" s="14" t="n">
        <f aca="false">IF(Operations!J233&gt;0,Operations!J234/Operations!J233,0)</f>
        <v>0.778082191780822</v>
      </c>
      <c r="K235" s="14" t="n">
        <f aca="false">IF(Operations!K233&gt;0,Operations!K234/Operations!K233,0)</f>
        <v>1</v>
      </c>
      <c r="L235" s="14" t="n">
        <f aca="false">IF(Operations!L233&gt;0,Operations!L234/Operations!L233,0)</f>
        <v>1</v>
      </c>
      <c r="M235" s="14" t="n">
        <f aca="false">IF(Operations!M233&gt;0,Operations!M234/Operations!M233,0)</f>
        <v>1</v>
      </c>
      <c r="N235" s="14" t="n">
        <f aca="false">IF(Operations!N233&gt;0,Operations!N234/Operations!N233,0)</f>
        <v>1</v>
      </c>
      <c r="O235" s="14" t="n">
        <f aca="false">IF(Operations!O233&gt;0,Operations!O234/Operations!O233,0)</f>
        <v>1</v>
      </c>
      <c r="P235" s="14" t="n">
        <f aca="false">IF(Operations!P233&gt;0,Operations!P234/Operations!P233,0)</f>
        <v>1</v>
      </c>
      <c r="Q235" s="14" t="n">
        <f aca="false">IF(Operations!Q233&gt;0,Operations!Q234/Operations!Q233,0)</f>
        <v>1</v>
      </c>
      <c r="R235" s="14" t="n">
        <f aca="false">IF(Operations!R233&gt;0,Operations!R234/Operations!R233,0)</f>
        <v>1</v>
      </c>
      <c r="S235" s="14" t="n">
        <f aca="false">IF(Operations!S233&gt;0,Operations!S234/Operations!S233,0)</f>
        <v>1</v>
      </c>
      <c r="T235" s="14" t="n">
        <f aca="false">IF(Operations!T233&gt;0,Operations!T234/Operations!T233,0)</f>
        <v>1</v>
      </c>
      <c r="U235" s="14" t="n">
        <f aca="false">IF(Operations!U233&gt;0,Operations!U234/Operations!U233,0)</f>
        <v>1</v>
      </c>
      <c r="V235" s="14" t="n">
        <f aca="false">IF(Operations!V233&gt;0,Operations!V234/Operations!V233,0)</f>
        <v>1</v>
      </c>
      <c r="W235" s="14" t="n">
        <f aca="false">IF(Operations!W233&gt;0,Operations!W234/Operations!W233,0)</f>
        <v>1</v>
      </c>
      <c r="X235" s="14" t="n">
        <f aca="false">IF(Operations!X233&gt;0,Operations!X234/Operations!X233,0)</f>
        <v>1</v>
      </c>
      <c r="Y235" s="14" t="n">
        <f aca="false">IF(Operations!Y233&gt;0,Operations!Y234/Operations!Y233,0)</f>
        <v>1</v>
      </c>
      <c r="Z235" s="14" t="n">
        <f aca="false">IF(Operations!Z233&gt;0,Operations!Z234/Operations!Z233,0)</f>
        <v>1</v>
      </c>
      <c r="AA235" s="14" t="n">
        <f aca="false">IF(Operations!AA233&gt;0,Operations!AA234/Operations!AA233,0)</f>
        <v>1</v>
      </c>
      <c r="AB235" s="14" t="n">
        <f aca="false">IF(Operations!AB233&gt;0,Operations!AB234/Operations!AB233,0)</f>
        <v>1</v>
      </c>
      <c r="AC235" s="14" t="n">
        <f aca="false">IF(Operations!AC233&gt;0,Operations!AC234/Operations!AC233,0)</f>
        <v>1</v>
      </c>
      <c r="AD235" s="14" t="n">
        <f aca="false">IF(Operations!AD233&gt;0,Operations!AD234/Operations!AD233,0)</f>
        <v>1</v>
      </c>
      <c r="AE235" s="14" t="n">
        <f aca="false">IF(Operations!AE233&gt;0,Operations!AE234/Operations!AE233,0)</f>
        <v>1</v>
      </c>
      <c r="AF235" s="14" t="n">
        <f aca="false">IF(Operations!AF233&gt;0,Operations!AF234/Operations!AF233,0)</f>
        <v>1</v>
      </c>
      <c r="AG235" s="14" t="n">
        <f aca="false">IF(Operations!AG233&gt;0,Operations!AG234/Operations!AG233,0)</f>
        <v>1</v>
      </c>
      <c r="AH235" s="14" t="n">
        <f aca="false">IF(Operations!AH233&gt;0,Operations!AH234/Operations!AH233,0)</f>
        <v>1</v>
      </c>
      <c r="AI235" s="14" t="n">
        <f aca="false">IF(Operations!AI233&gt;0,Operations!AI234/Operations!AI233,0)</f>
        <v>1</v>
      </c>
      <c r="AJ235" s="14" t="n">
        <f aca="false">IF(Operations!AJ233&gt;0,Operations!AJ234/Operations!AJ233,0)</f>
        <v>1</v>
      </c>
      <c r="AK235" s="14" t="n">
        <f aca="false">IF(Operations!AK233&gt;0,Operations!AK234/Operations!AK233,0)</f>
        <v>1</v>
      </c>
      <c r="AL235" s="14" t="n">
        <f aca="false">IF(Operations!AL233&gt;0,Operations!AL234/Operations!AL233,0)</f>
        <v>1</v>
      </c>
      <c r="AM235" s="14" t="n">
        <f aca="false">IF(Operations!AM233&gt;0,Operations!AM234/Operations!AM233,0)</f>
        <v>1</v>
      </c>
      <c r="AN235" s="14" t="n">
        <f aca="false">IF(Operations!AN233&gt;0,Operations!AN234/Operations!AN233,0)</f>
        <v>1</v>
      </c>
      <c r="AO235" s="14" t="n">
        <f aca="false">IF(Operations!AO233&gt;0,Operations!AO234/Operations!AO233,0)</f>
        <v>1</v>
      </c>
      <c r="AP235" s="14" t="n">
        <f aca="false">IF(Operations!AP233&gt;0,Operations!AP234/Operations!AP233,0)</f>
        <v>1</v>
      </c>
      <c r="AQ235" s="14" t="n">
        <f aca="false">IF(Operations!AQ233&gt;0,Operations!AQ234/Operations!AQ233,0)</f>
        <v>1</v>
      </c>
      <c r="AR235" s="14" t="n">
        <f aca="false">IF(Operations!AR233&gt;0,Operations!AR234/Operations!AR233,0)</f>
        <v>1</v>
      </c>
      <c r="AS235" s="14" t="n">
        <f aca="false">IF(Operations!AS233&gt;0,Operations!AS234/Operations!AS233,0)</f>
        <v>0</v>
      </c>
      <c r="AT235" s="14" t="n">
        <f aca="false">IF(Operations!AT233&gt;0,Operations!AT234/Operations!AT233,0)</f>
        <v>0</v>
      </c>
      <c r="AU235" s="14" t="n">
        <f aca="false">IF(Operations!AU233&gt;0,Operations!AU234/Operations!AU233,0)</f>
        <v>0</v>
      </c>
    </row>
    <row r="236" customFormat="false" ht="15" hidden="false" customHeight="false" outlineLevel="0" collapsed="false">
      <c r="D236" s="0" t="s">
        <v>631</v>
      </c>
      <c r="E236" s="0" t="s">
        <v>96</v>
      </c>
      <c r="J236" s="18" t="n">
        <f aca="false">Operations!J53</f>
        <v>72.2128</v>
      </c>
      <c r="K236" s="18" t="n">
        <f aca="false">Operations!K53</f>
        <v>59.2416</v>
      </c>
      <c r="L236" s="18" t="n">
        <f aca="false">Operations!L53</f>
        <v>29.1368</v>
      </c>
      <c r="M236" s="18" t="n">
        <f aca="false">Operations!M53</f>
        <v>38.5264</v>
      </c>
      <c r="N236" s="18" t="n">
        <f aca="false">Operations!N53</f>
        <v>43.1728</v>
      </c>
      <c r="O236" s="18" t="n">
        <f aca="false">Operations!O53</f>
        <v>45.7864</v>
      </c>
      <c r="P236" s="18" t="n">
        <f aca="false">Operations!P53</f>
        <v>47.5288</v>
      </c>
      <c r="Q236" s="18" t="n">
        <f aca="false">Operations!Q53</f>
        <v>48.7872</v>
      </c>
      <c r="R236" s="18" t="n">
        <f aca="false">Operations!R53</f>
        <v>50.1424</v>
      </c>
      <c r="S236" s="18" t="n">
        <f aca="false">Operations!S53</f>
        <v>51.14912</v>
      </c>
      <c r="T236" s="18" t="n">
        <f aca="false">Operations!T53</f>
        <v>52.1752</v>
      </c>
      <c r="U236" s="18" t="n">
        <f aca="false">Operations!U53</f>
        <v>53.22064</v>
      </c>
      <c r="V236" s="18" t="n">
        <f aca="false">Operations!V53</f>
        <v>54.28544</v>
      </c>
      <c r="W236" s="18" t="n">
        <f aca="false">Operations!W53</f>
        <v>55.3696</v>
      </c>
      <c r="X236" s="18" t="n">
        <f aca="false">Operations!X53</f>
        <v>56.47312</v>
      </c>
      <c r="Y236" s="18" t="n">
        <f aca="false">Operations!Y53</f>
        <v>57.60568</v>
      </c>
      <c r="Z236" s="18" t="n">
        <f aca="false">Operations!Z53</f>
        <v>58.7576</v>
      </c>
      <c r="AA236" s="18" t="n">
        <f aca="false">Operations!AA53</f>
        <v>59.92888</v>
      </c>
      <c r="AB236" s="18" t="n">
        <f aca="false">Operations!AB53</f>
        <v>61.1292</v>
      </c>
      <c r="AC236" s="18" t="n">
        <f aca="false">Operations!AC53</f>
        <v>62.34888</v>
      </c>
      <c r="AD236" s="18" t="n">
        <f aca="false">Operations!AD53</f>
        <v>63.5976</v>
      </c>
      <c r="AE236" s="18" t="n">
        <f aca="false">Operations!AE53</f>
        <v>64.86568</v>
      </c>
      <c r="AF236" s="18" t="n">
        <f aca="false">Operations!AF53</f>
        <v>66.1628</v>
      </c>
      <c r="AG236" s="18" t="n">
        <f aca="false">Operations!AG53</f>
        <v>67.48896</v>
      </c>
      <c r="AH236" s="18" t="n">
        <f aca="false">Operations!AH53</f>
        <v>68.83448</v>
      </c>
      <c r="AI236" s="18" t="n">
        <f aca="false">Operations!AI53</f>
        <v>70.20904</v>
      </c>
      <c r="AJ236" s="18" t="n">
        <f aca="false">Operations!AJ53</f>
        <v>71.61264</v>
      </c>
      <c r="AK236" s="18" t="n">
        <f aca="false">Operations!AK53</f>
        <v>73.04528</v>
      </c>
      <c r="AL236" s="18" t="n">
        <f aca="false">Operations!AL53</f>
        <v>74.50696</v>
      </c>
      <c r="AM236" s="18" t="n">
        <f aca="false">Operations!AM53</f>
        <v>75.99768</v>
      </c>
      <c r="AN236" s="18" t="n">
        <f aca="false">Operations!AN53</f>
        <v>77.51744</v>
      </c>
      <c r="AO236" s="18" t="n">
        <f aca="false">Operations!AO53</f>
        <v>79.06624</v>
      </c>
      <c r="AP236" s="18" t="n">
        <f aca="false">Operations!AP53</f>
        <v>80.64408</v>
      </c>
      <c r="AQ236" s="18" t="n">
        <f aca="false">Operations!AQ53</f>
        <v>82.26064</v>
      </c>
      <c r="AR236" s="18" t="n">
        <f aca="false">Operations!AR53</f>
        <v>83.90624</v>
      </c>
      <c r="AS236" s="18" t="n">
        <f aca="false">Operations!AS53</f>
        <v>85.58088</v>
      </c>
      <c r="AT236" s="18" t="n">
        <f aca="false">Operations!AT53</f>
        <v>87.29424</v>
      </c>
      <c r="AU236" s="18" t="n">
        <f aca="false">Operations!AU53</f>
        <v>89.03664</v>
      </c>
    </row>
    <row r="237" customFormat="false" ht="15" hidden="false" customHeight="false" outlineLevel="0" collapsed="false">
      <c r="D237" s="0" t="s">
        <v>632</v>
      </c>
      <c r="E237" s="0" t="s">
        <v>27</v>
      </c>
      <c r="J237" s="14" t="n">
        <f aca="false">CHOOSE(Operations!$F$47,1,Inputs!$F$139/100,Inputs!$F$140/100,Operations!$F$36/100)</f>
        <v>1</v>
      </c>
      <c r="K237" s="14" t="n">
        <f aca="false">CHOOSE(Operations!$F$47,1,Inputs!$F$139/100,Inputs!$F$140/100,Operations!$F$36/100)</f>
        <v>1</v>
      </c>
      <c r="L237" s="14" t="n">
        <f aca="false">CHOOSE(Operations!$F$47,1,Inputs!$F$139/100,Inputs!$F$140/100,Operations!$F$36/100)</f>
        <v>1</v>
      </c>
      <c r="M237" s="14" t="n">
        <f aca="false">CHOOSE(Operations!$F$47,1,Inputs!$F$139/100,Inputs!$F$140/100,Operations!$F$36/100)</f>
        <v>1</v>
      </c>
      <c r="N237" s="14" t="n">
        <f aca="false">CHOOSE(Operations!$F$47,1,Inputs!$F$139/100,Inputs!$F$140/100,Operations!$F$36/100)</f>
        <v>1</v>
      </c>
      <c r="O237" s="14" t="n">
        <f aca="false">CHOOSE(Operations!$F$47,1,Inputs!$F$139/100,Inputs!$F$140/100,Operations!$F$36/100)</f>
        <v>1</v>
      </c>
      <c r="P237" s="14" t="n">
        <f aca="false">CHOOSE(Operations!$F$47,1,Inputs!$F$139/100,Inputs!$F$140/100,Operations!$F$36/100)</f>
        <v>1</v>
      </c>
      <c r="Q237" s="14" t="n">
        <f aca="false">CHOOSE(Operations!$F$47,1,Inputs!$F$139/100,Inputs!$F$140/100,Operations!$F$36/100)</f>
        <v>1</v>
      </c>
      <c r="R237" s="14" t="n">
        <f aca="false">CHOOSE(Operations!$F$47,1,Inputs!$F$139/100,Inputs!$F$140/100,Operations!$F$36/100)</f>
        <v>1</v>
      </c>
      <c r="S237" s="14" t="n">
        <f aca="false">CHOOSE(Operations!$F$47,1,Inputs!$F$139/100,Inputs!$F$140/100,Operations!$F$36/100)</f>
        <v>1</v>
      </c>
      <c r="T237" s="14" t="n">
        <f aca="false">CHOOSE(Operations!$F$47,1,Inputs!$F$139/100,Inputs!$F$140/100,Operations!$F$36/100)</f>
        <v>1</v>
      </c>
      <c r="U237" s="14" t="n">
        <f aca="false">CHOOSE(Operations!$F$47,1,Inputs!$F$139/100,Inputs!$F$140/100,Operations!$F$36/100)</f>
        <v>1</v>
      </c>
      <c r="V237" s="14" t="n">
        <f aca="false">CHOOSE(Operations!$F$47,1,Inputs!$F$139/100,Inputs!$F$140/100,Operations!$F$36/100)</f>
        <v>1</v>
      </c>
      <c r="W237" s="14" t="n">
        <f aca="false">CHOOSE(Operations!$F$47,1,Inputs!$F$139/100,Inputs!$F$140/100,Operations!$F$36/100)</f>
        <v>1</v>
      </c>
      <c r="X237" s="14" t="n">
        <f aca="false">CHOOSE(Operations!$F$47,1,Inputs!$F$139/100,Inputs!$F$140/100,Operations!$F$36/100)</f>
        <v>1</v>
      </c>
      <c r="Y237" s="14" t="n">
        <f aca="false">CHOOSE(Operations!$F$47,1,Inputs!$F$139/100,Inputs!$F$140/100,Operations!$F$36/100)</f>
        <v>1</v>
      </c>
      <c r="Z237" s="14" t="n">
        <f aca="false">CHOOSE(Operations!$F$47,1,Inputs!$F$139/100,Inputs!$F$140/100,Operations!$F$36/100)</f>
        <v>1</v>
      </c>
      <c r="AA237" s="14" t="n">
        <f aca="false">CHOOSE(Operations!$F$47,1,Inputs!$F$139/100,Inputs!$F$140/100,Operations!$F$36/100)</f>
        <v>1</v>
      </c>
      <c r="AB237" s="14" t="n">
        <f aca="false">CHOOSE(Operations!$F$47,1,Inputs!$F$139/100,Inputs!$F$140/100,Operations!$F$36/100)</f>
        <v>1</v>
      </c>
      <c r="AC237" s="14" t="n">
        <f aca="false">CHOOSE(Operations!$F$47,1,Inputs!$F$139/100,Inputs!$F$140/100,Operations!$F$36/100)</f>
        <v>1</v>
      </c>
      <c r="AD237" s="14" t="n">
        <f aca="false">CHOOSE(Operations!$F$47,1,Inputs!$F$139/100,Inputs!$F$140/100,Operations!$F$36/100)</f>
        <v>1</v>
      </c>
      <c r="AE237" s="14" t="n">
        <f aca="false">CHOOSE(Operations!$F$47,1,Inputs!$F$139/100,Inputs!$F$140/100,Operations!$F$36/100)</f>
        <v>1</v>
      </c>
      <c r="AF237" s="14" t="n">
        <f aca="false">CHOOSE(Operations!$F$47,1,Inputs!$F$139/100,Inputs!$F$140/100,Operations!$F$36/100)</f>
        <v>1</v>
      </c>
      <c r="AG237" s="14" t="n">
        <f aca="false">CHOOSE(Operations!$F$47,1,Inputs!$F$139/100,Inputs!$F$140/100,Operations!$F$36/100)</f>
        <v>1</v>
      </c>
      <c r="AH237" s="14" t="n">
        <f aca="false">CHOOSE(Operations!$F$47,1,Inputs!$F$139/100,Inputs!$F$140/100,Operations!$F$36/100)</f>
        <v>1</v>
      </c>
      <c r="AI237" s="14" t="n">
        <f aca="false">CHOOSE(Operations!$F$47,1,Inputs!$F$139/100,Inputs!$F$140/100,Operations!$F$36/100)</f>
        <v>1</v>
      </c>
      <c r="AJ237" s="14" t="n">
        <f aca="false">CHOOSE(Operations!$F$47,1,Inputs!$F$139/100,Inputs!$F$140/100,Operations!$F$36/100)</f>
        <v>1</v>
      </c>
      <c r="AK237" s="14" t="n">
        <f aca="false">CHOOSE(Operations!$F$47,1,Inputs!$F$139/100,Inputs!$F$140/100,Operations!$F$36/100)</f>
        <v>1</v>
      </c>
      <c r="AL237" s="14" t="n">
        <f aca="false">CHOOSE(Operations!$F$47,1,Inputs!$F$139/100,Inputs!$F$140/100,Operations!$F$36/100)</f>
        <v>1</v>
      </c>
      <c r="AM237" s="14" t="n">
        <f aca="false">CHOOSE(Operations!$F$47,1,Inputs!$F$139/100,Inputs!$F$140/100,Operations!$F$36/100)</f>
        <v>1</v>
      </c>
      <c r="AN237" s="14" t="n">
        <f aca="false">CHOOSE(Operations!$F$47,1,Inputs!$F$139/100,Inputs!$F$140/100,Operations!$F$36/100)</f>
        <v>1</v>
      </c>
      <c r="AO237" s="14" t="n">
        <f aca="false">CHOOSE(Operations!$F$47,1,Inputs!$F$139/100,Inputs!$F$140/100,Operations!$F$36/100)</f>
        <v>1</v>
      </c>
      <c r="AP237" s="14" t="n">
        <f aca="false">CHOOSE(Operations!$F$47,1,Inputs!$F$139/100,Inputs!$F$140/100,Operations!$F$36/100)</f>
        <v>1</v>
      </c>
      <c r="AQ237" s="14" t="n">
        <f aca="false">CHOOSE(Operations!$F$47,1,Inputs!$F$139/100,Inputs!$F$140/100,Operations!$F$36/100)</f>
        <v>1</v>
      </c>
      <c r="AR237" s="14" t="n">
        <f aca="false">CHOOSE(Operations!$F$47,1,Inputs!$F$139/100,Inputs!$F$140/100,Operations!$F$36/100)</f>
        <v>1</v>
      </c>
      <c r="AS237" s="14" t="n">
        <f aca="false">CHOOSE(Operations!$F$47,1,Inputs!$F$139/100,Inputs!$F$140/100,Operations!$F$36/100)</f>
        <v>1</v>
      </c>
      <c r="AT237" s="14" t="n">
        <f aca="false">CHOOSE(Operations!$F$47,1,Inputs!$F$139/100,Inputs!$F$140/100,Operations!$F$36/100)</f>
        <v>1</v>
      </c>
      <c r="AU237" s="14" t="n">
        <f aca="false">CHOOSE(Operations!$F$47,1,Inputs!$F$139/100,Inputs!$F$140/100,Operations!$F$36/100)</f>
        <v>1</v>
      </c>
    </row>
    <row r="238" customFormat="false" ht="15" hidden="false" customHeight="false" outlineLevel="0" collapsed="false">
      <c r="D238" s="0" t="s">
        <v>633</v>
      </c>
      <c r="E238" s="0" t="s">
        <v>27</v>
      </c>
      <c r="J238" s="14" t="n">
        <f aca="false">(1-Inputs!$F$141/100)^MAX(0,Time!J$4-Inputs!$F$142)</f>
        <v>1</v>
      </c>
      <c r="K238" s="14" t="n">
        <f aca="false">(1-Inputs!$F$141/100)^MAX(0,Time!K$4-Inputs!$F$142)</f>
        <v>0.9955</v>
      </c>
      <c r="L238" s="14" t="n">
        <f aca="false">(1-Inputs!$F$141/100)^MAX(0,Time!L$4-Inputs!$F$142)</f>
        <v>0.99102025</v>
      </c>
      <c r="M238" s="14" t="n">
        <f aca="false">(1-Inputs!$F$141/100)^MAX(0,Time!M$4-Inputs!$F$142)</f>
        <v>0.986560658875</v>
      </c>
      <c r="N238" s="14" t="n">
        <f aca="false">(1-Inputs!$F$141/100)^MAX(0,Time!N$4-Inputs!$F$142)</f>
        <v>0.982121135910063</v>
      </c>
      <c r="O238" s="14" t="n">
        <f aca="false">(1-Inputs!$F$141/100)^MAX(0,Time!O$4-Inputs!$F$142)</f>
        <v>0.977701590798468</v>
      </c>
      <c r="P238" s="14" t="n">
        <f aca="false">(1-Inputs!$F$141/100)^MAX(0,Time!P$4-Inputs!$F$142)</f>
        <v>0.973301933639874</v>
      </c>
      <c r="Q238" s="14" t="n">
        <f aca="false">(1-Inputs!$F$141/100)^MAX(0,Time!Q$4-Inputs!$F$142)</f>
        <v>0.968922074938495</v>
      </c>
      <c r="R238" s="14" t="n">
        <f aca="false">(1-Inputs!$F$141/100)^MAX(0,Time!R$4-Inputs!$F$142)</f>
        <v>0.964561925601272</v>
      </c>
      <c r="S238" s="14" t="n">
        <f aca="false">(1-Inputs!$F$141/100)^MAX(0,Time!S$4-Inputs!$F$142)</f>
        <v>0.960221396936066</v>
      </c>
      <c r="T238" s="14" t="n">
        <f aca="false">(1-Inputs!$F$141/100)^MAX(0,Time!T$4-Inputs!$F$142)</f>
        <v>0.955900400649854</v>
      </c>
      <c r="U238" s="14" t="n">
        <f aca="false">(1-Inputs!$F$141/100)^MAX(0,Time!U$4-Inputs!$F$142)</f>
        <v>0.95159884884693</v>
      </c>
      <c r="V238" s="14" t="n">
        <f aca="false">(1-Inputs!$F$141/100)^MAX(0,Time!V$4-Inputs!$F$142)</f>
        <v>0.947316654027119</v>
      </c>
      <c r="W238" s="14" t="n">
        <f aca="false">(1-Inputs!$F$141/100)^MAX(0,Time!W$4-Inputs!$F$142)</f>
        <v>0.943053729083997</v>
      </c>
      <c r="X238" s="14" t="n">
        <f aca="false">(1-Inputs!$F$141/100)^MAX(0,Time!X$4-Inputs!$F$142)</f>
        <v>0.938809987303119</v>
      </c>
      <c r="Y238" s="14" t="n">
        <f aca="false">(1-Inputs!$F$141/100)^MAX(0,Time!Y$4-Inputs!$F$142)</f>
        <v>0.934585342360255</v>
      </c>
      <c r="Z238" s="14" t="n">
        <f aca="false">(1-Inputs!$F$141/100)^MAX(0,Time!Z$4-Inputs!$F$142)</f>
        <v>0.930379708319634</v>
      </c>
      <c r="AA238" s="14" t="n">
        <f aca="false">(1-Inputs!$F$141/100)^MAX(0,Time!AA$4-Inputs!$F$142)</f>
        <v>0.926192999632195</v>
      </c>
      <c r="AB238" s="14" t="n">
        <f aca="false">(1-Inputs!$F$141/100)^MAX(0,Time!AB$4-Inputs!$F$142)</f>
        <v>0.92202513113385</v>
      </c>
      <c r="AC238" s="14" t="n">
        <f aca="false">(1-Inputs!$F$141/100)^MAX(0,Time!AC$4-Inputs!$F$142)</f>
        <v>0.917876018043748</v>
      </c>
      <c r="AD238" s="14" t="n">
        <f aca="false">(1-Inputs!$F$141/100)^MAX(0,Time!AD$4-Inputs!$F$142)</f>
        <v>0.913745575962551</v>
      </c>
      <c r="AE238" s="14" t="n">
        <f aca="false">(1-Inputs!$F$141/100)^MAX(0,Time!AE$4-Inputs!$F$142)</f>
        <v>0.90963372087072</v>
      </c>
      <c r="AF238" s="14" t="n">
        <f aca="false">(1-Inputs!$F$141/100)^MAX(0,Time!AF$4-Inputs!$F$142)</f>
        <v>0.905540369126802</v>
      </c>
      <c r="AG238" s="14" t="n">
        <f aca="false">(1-Inputs!$F$141/100)^MAX(0,Time!AG$4-Inputs!$F$142)</f>
        <v>0.901465437465731</v>
      </c>
      <c r="AH238" s="14" t="n">
        <f aca="false">(1-Inputs!$F$141/100)^MAX(0,Time!AH$4-Inputs!$F$142)</f>
        <v>0.897408842997135</v>
      </c>
      <c r="AI238" s="14" t="n">
        <f aca="false">(1-Inputs!$F$141/100)^MAX(0,Time!AI$4-Inputs!$F$142)</f>
        <v>0.893370503203648</v>
      </c>
      <c r="AJ238" s="14" t="n">
        <f aca="false">(1-Inputs!$F$141/100)^MAX(0,Time!AJ$4-Inputs!$F$142)</f>
        <v>0.889350335939232</v>
      </c>
      <c r="AK238" s="14" t="n">
        <f aca="false">(1-Inputs!$F$141/100)^MAX(0,Time!AK$4-Inputs!$F$142)</f>
        <v>0.885348259427505</v>
      </c>
      <c r="AL238" s="14" t="n">
        <f aca="false">(1-Inputs!$F$141/100)^MAX(0,Time!AL$4-Inputs!$F$142)</f>
        <v>0.881364192260082</v>
      </c>
      <c r="AM238" s="14" t="n">
        <f aca="false">(1-Inputs!$F$141/100)^MAX(0,Time!AM$4-Inputs!$F$142)</f>
        <v>0.877398053394911</v>
      </c>
      <c r="AN238" s="14" t="n">
        <f aca="false">(1-Inputs!$F$141/100)^MAX(0,Time!AN$4-Inputs!$F$142)</f>
        <v>0.873449762154634</v>
      </c>
      <c r="AO238" s="14" t="n">
        <f aca="false">(1-Inputs!$F$141/100)^MAX(0,Time!AO$4-Inputs!$F$142)</f>
        <v>0.869519238224939</v>
      </c>
      <c r="AP238" s="14" t="n">
        <f aca="false">(1-Inputs!$F$141/100)^MAX(0,Time!AP$4-Inputs!$F$142)</f>
        <v>0.865606401652926</v>
      </c>
      <c r="AQ238" s="14" t="n">
        <f aca="false">(1-Inputs!$F$141/100)^MAX(0,Time!AQ$4-Inputs!$F$142)</f>
        <v>0.861711172845488</v>
      </c>
      <c r="AR238" s="14" t="n">
        <f aca="false">(1-Inputs!$F$141/100)^MAX(0,Time!AR$4-Inputs!$F$142)</f>
        <v>0.857833472567684</v>
      </c>
      <c r="AS238" s="14" t="n">
        <f aca="false">(1-Inputs!$F$141/100)^MAX(0,Time!AS$4-Inputs!$F$142)</f>
        <v>0.853973221941129</v>
      </c>
      <c r="AT238" s="14" t="n">
        <f aca="false">(1-Inputs!$F$141/100)^MAX(0,Time!AT$4-Inputs!$F$142)</f>
        <v>0.850130342442394</v>
      </c>
      <c r="AU238" s="14" t="n">
        <f aca="false">(1-Inputs!$F$141/100)^MAX(0,Time!AU$4-Inputs!$F$142)</f>
        <v>0.846304755901403</v>
      </c>
    </row>
    <row r="239" customFormat="false" ht="15" hidden="false" customHeight="false" outlineLevel="0" collapsed="false">
      <c r="D239" s="0" t="s">
        <v>634</v>
      </c>
      <c r="E239" s="0" t="s">
        <v>458</v>
      </c>
      <c r="J239" s="14" t="n">
        <f aca="false">(IF(Time!J$4&gt;=Inputs!$F$61,Inputs!$F$67,Inputs!$F$66+(Inputs!$F$67-Inputs!$F$66)*(Time!J$4-Inputs!$F$23)/(Inputs!$F$61-Inputs!$F$23))+Operations!$F$49)/100</f>
        <v>0.02</v>
      </c>
      <c r="K239" s="14" t="n">
        <f aca="false">(IF(Time!K$4&gt;=Inputs!$F$61,Inputs!$F$67,Inputs!$F$66+(Inputs!$F$67-Inputs!$F$66)*(Time!K$4-Inputs!$F$23)/(Inputs!$F$61-Inputs!$F$23))+Operations!$F$49)/100</f>
        <v>0.025</v>
      </c>
      <c r="L239" s="14" t="n">
        <f aca="false">(IF(Time!L$4&gt;=Inputs!$F$61,Inputs!$F$67,Inputs!$F$66+(Inputs!$F$67-Inputs!$F$66)*(Time!L$4-Inputs!$F$23)/(Inputs!$F$61-Inputs!$F$23))+Operations!$F$49)/100</f>
        <v>0.03</v>
      </c>
      <c r="M239" s="14" t="n">
        <f aca="false">(IF(Time!M$4&gt;=Inputs!$F$61,Inputs!$F$67,Inputs!$F$66+(Inputs!$F$67-Inputs!$F$66)*(Time!M$4-Inputs!$F$23)/(Inputs!$F$61-Inputs!$F$23))+Operations!$F$49)/100</f>
        <v>0.035</v>
      </c>
      <c r="N239" s="14" t="n">
        <f aca="false">(IF(Time!N$4&gt;=Inputs!$F$61,Inputs!$F$67,Inputs!$F$66+(Inputs!$F$67-Inputs!$F$66)*(Time!N$4-Inputs!$F$23)/(Inputs!$F$61-Inputs!$F$23))+Operations!$F$49)/100</f>
        <v>0.035</v>
      </c>
      <c r="O239" s="14" t="n">
        <f aca="false">(IF(Time!O$4&gt;=Inputs!$F$61,Inputs!$F$67,Inputs!$F$66+(Inputs!$F$67-Inputs!$F$66)*(Time!O$4-Inputs!$F$23)/(Inputs!$F$61-Inputs!$F$23))+Operations!$F$49)/100</f>
        <v>0.035</v>
      </c>
      <c r="P239" s="14" t="n">
        <f aca="false">(IF(Time!P$4&gt;=Inputs!$F$61,Inputs!$F$67,Inputs!$F$66+(Inputs!$F$67-Inputs!$F$66)*(Time!P$4-Inputs!$F$23)/(Inputs!$F$61-Inputs!$F$23))+Operations!$F$49)/100</f>
        <v>0.035</v>
      </c>
      <c r="Q239" s="14" t="n">
        <f aca="false">(IF(Time!Q$4&gt;=Inputs!$F$61,Inputs!$F$67,Inputs!$F$66+(Inputs!$F$67-Inputs!$F$66)*(Time!Q$4-Inputs!$F$23)/(Inputs!$F$61-Inputs!$F$23))+Operations!$F$49)/100</f>
        <v>0.035</v>
      </c>
      <c r="R239" s="14" t="n">
        <f aca="false">(IF(Time!R$4&gt;=Inputs!$F$61,Inputs!$F$67,Inputs!$F$66+(Inputs!$F$67-Inputs!$F$66)*(Time!R$4-Inputs!$F$23)/(Inputs!$F$61-Inputs!$F$23))+Operations!$F$49)/100</f>
        <v>0.035</v>
      </c>
      <c r="S239" s="14" t="n">
        <f aca="false">(IF(Time!S$4&gt;=Inputs!$F$61,Inputs!$F$67,Inputs!$F$66+(Inputs!$F$67-Inputs!$F$66)*(Time!S$4-Inputs!$F$23)/(Inputs!$F$61-Inputs!$F$23))+Operations!$F$49)/100</f>
        <v>0.035</v>
      </c>
      <c r="T239" s="14" t="n">
        <f aca="false">(IF(Time!T$4&gt;=Inputs!$F$61,Inputs!$F$67,Inputs!$F$66+(Inputs!$F$67-Inputs!$F$66)*(Time!T$4-Inputs!$F$23)/(Inputs!$F$61-Inputs!$F$23))+Operations!$F$49)/100</f>
        <v>0.035</v>
      </c>
      <c r="U239" s="14" t="n">
        <f aca="false">(IF(Time!U$4&gt;=Inputs!$F$61,Inputs!$F$67,Inputs!$F$66+(Inputs!$F$67-Inputs!$F$66)*(Time!U$4-Inputs!$F$23)/(Inputs!$F$61-Inputs!$F$23))+Operations!$F$49)/100</f>
        <v>0.035</v>
      </c>
      <c r="V239" s="14" t="n">
        <f aca="false">(IF(Time!V$4&gt;=Inputs!$F$61,Inputs!$F$67,Inputs!$F$66+(Inputs!$F$67-Inputs!$F$66)*(Time!V$4-Inputs!$F$23)/(Inputs!$F$61-Inputs!$F$23))+Operations!$F$49)/100</f>
        <v>0.035</v>
      </c>
      <c r="W239" s="14" t="n">
        <f aca="false">(IF(Time!W$4&gt;=Inputs!$F$61,Inputs!$F$67,Inputs!$F$66+(Inputs!$F$67-Inputs!$F$66)*(Time!W$4-Inputs!$F$23)/(Inputs!$F$61-Inputs!$F$23))+Operations!$F$49)/100</f>
        <v>0.035</v>
      </c>
      <c r="X239" s="14" t="n">
        <f aca="false">(IF(Time!X$4&gt;=Inputs!$F$61,Inputs!$F$67,Inputs!$F$66+(Inputs!$F$67-Inputs!$F$66)*(Time!X$4-Inputs!$F$23)/(Inputs!$F$61-Inputs!$F$23))+Operations!$F$49)/100</f>
        <v>0.035</v>
      </c>
      <c r="Y239" s="14" t="n">
        <f aca="false">(IF(Time!Y$4&gt;=Inputs!$F$61,Inputs!$F$67,Inputs!$F$66+(Inputs!$F$67-Inputs!$F$66)*(Time!Y$4-Inputs!$F$23)/(Inputs!$F$61-Inputs!$F$23))+Operations!$F$49)/100</f>
        <v>0.035</v>
      </c>
      <c r="Z239" s="14" t="n">
        <f aca="false">(IF(Time!Z$4&gt;=Inputs!$F$61,Inputs!$F$67,Inputs!$F$66+(Inputs!$F$67-Inputs!$F$66)*(Time!Z$4-Inputs!$F$23)/(Inputs!$F$61-Inputs!$F$23))+Operations!$F$49)/100</f>
        <v>0.035</v>
      </c>
      <c r="AA239" s="14" t="n">
        <f aca="false">(IF(Time!AA$4&gt;=Inputs!$F$61,Inputs!$F$67,Inputs!$F$66+(Inputs!$F$67-Inputs!$F$66)*(Time!AA$4-Inputs!$F$23)/(Inputs!$F$61-Inputs!$F$23))+Operations!$F$49)/100</f>
        <v>0.035</v>
      </c>
      <c r="AB239" s="14" t="n">
        <f aca="false">(IF(Time!AB$4&gt;=Inputs!$F$61,Inputs!$F$67,Inputs!$F$66+(Inputs!$F$67-Inputs!$F$66)*(Time!AB$4-Inputs!$F$23)/(Inputs!$F$61-Inputs!$F$23))+Operations!$F$49)/100</f>
        <v>0.035</v>
      </c>
      <c r="AC239" s="14" t="n">
        <f aca="false">(IF(Time!AC$4&gt;=Inputs!$F$61,Inputs!$F$67,Inputs!$F$66+(Inputs!$F$67-Inputs!$F$66)*(Time!AC$4-Inputs!$F$23)/(Inputs!$F$61-Inputs!$F$23))+Operations!$F$49)/100</f>
        <v>0.035</v>
      </c>
      <c r="AD239" s="14" t="n">
        <f aca="false">(IF(Time!AD$4&gt;=Inputs!$F$61,Inputs!$F$67,Inputs!$F$66+(Inputs!$F$67-Inputs!$F$66)*(Time!AD$4-Inputs!$F$23)/(Inputs!$F$61-Inputs!$F$23))+Operations!$F$49)/100</f>
        <v>0.035</v>
      </c>
      <c r="AE239" s="14" t="n">
        <f aca="false">(IF(Time!AE$4&gt;=Inputs!$F$61,Inputs!$F$67,Inputs!$F$66+(Inputs!$F$67-Inputs!$F$66)*(Time!AE$4-Inputs!$F$23)/(Inputs!$F$61-Inputs!$F$23))+Operations!$F$49)/100</f>
        <v>0.035</v>
      </c>
      <c r="AF239" s="14" t="n">
        <f aca="false">(IF(Time!AF$4&gt;=Inputs!$F$61,Inputs!$F$67,Inputs!$F$66+(Inputs!$F$67-Inputs!$F$66)*(Time!AF$4-Inputs!$F$23)/(Inputs!$F$61-Inputs!$F$23))+Operations!$F$49)/100</f>
        <v>0.035</v>
      </c>
      <c r="AG239" s="14" t="n">
        <f aca="false">(IF(Time!AG$4&gt;=Inputs!$F$61,Inputs!$F$67,Inputs!$F$66+(Inputs!$F$67-Inputs!$F$66)*(Time!AG$4-Inputs!$F$23)/(Inputs!$F$61-Inputs!$F$23))+Operations!$F$49)/100</f>
        <v>0.035</v>
      </c>
      <c r="AH239" s="14" t="n">
        <f aca="false">(IF(Time!AH$4&gt;=Inputs!$F$61,Inputs!$F$67,Inputs!$F$66+(Inputs!$F$67-Inputs!$F$66)*(Time!AH$4-Inputs!$F$23)/(Inputs!$F$61-Inputs!$F$23))+Operations!$F$49)/100</f>
        <v>0.035</v>
      </c>
      <c r="AI239" s="14" t="n">
        <f aca="false">(IF(Time!AI$4&gt;=Inputs!$F$61,Inputs!$F$67,Inputs!$F$66+(Inputs!$F$67-Inputs!$F$66)*(Time!AI$4-Inputs!$F$23)/(Inputs!$F$61-Inputs!$F$23))+Operations!$F$49)/100</f>
        <v>0.035</v>
      </c>
      <c r="AJ239" s="14" t="n">
        <f aca="false">(IF(Time!AJ$4&gt;=Inputs!$F$61,Inputs!$F$67,Inputs!$F$66+(Inputs!$F$67-Inputs!$F$66)*(Time!AJ$4-Inputs!$F$23)/(Inputs!$F$61-Inputs!$F$23))+Operations!$F$49)/100</f>
        <v>0.035</v>
      </c>
      <c r="AK239" s="14" t="n">
        <f aca="false">(IF(Time!AK$4&gt;=Inputs!$F$61,Inputs!$F$67,Inputs!$F$66+(Inputs!$F$67-Inputs!$F$66)*(Time!AK$4-Inputs!$F$23)/(Inputs!$F$61-Inputs!$F$23))+Operations!$F$49)/100</f>
        <v>0.035</v>
      </c>
      <c r="AL239" s="14" t="n">
        <f aca="false">(IF(Time!AL$4&gt;=Inputs!$F$61,Inputs!$F$67,Inputs!$F$66+(Inputs!$F$67-Inputs!$F$66)*(Time!AL$4-Inputs!$F$23)/(Inputs!$F$61-Inputs!$F$23))+Operations!$F$49)/100</f>
        <v>0.035</v>
      </c>
      <c r="AM239" s="14" t="n">
        <f aca="false">(IF(Time!AM$4&gt;=Inputs!$F$61,Inputs!$F$67,Inputs!$F$66+(Inputs!$F$67-Inputs!$F$66)*(Time!AM$4-Inputs!$F$23)/(Inputs!$F$61-Inputs!$F$23))+Operations!$F$49)/100</f>
        <v>0.035</v>
      </c>
      <c r="AN239" s="14" t="n">
        <f aca="false">(IF(Time!AN$4&gt;=Inputs!$F$61,Inputs!$F$67,Inputs!$F$66+(Inputs!$F$67-Inputs!$F$66)*(Time!AN$4-Inputs!$F$23)/(Inputs!$F$61-Inputs!$F$23))+Operations!$F$49)/100</f>
        <v>0.035</v>
      </c>
      <c r="AO239" s="14" t="n">
        <f aca="false">(IF(Time!AO$4&gt;=Inputs!$F$61,Inputs!$F$67,Inputs!$F$66+(Inputs!$F$67-Inputs!$F$66)*(Time!AO$4-Inputs!$F$23)/(Inputs!$F$61-Inputs!$F$23))+Operations!$F$49)/100</f>
        <v>0.035</v>
      </c>
      <c r="AP239" s="14" t="n">
        <f aca="false">(IF(Time!AP$4&gt;=Inputs!$F$61,Inputs!$F$67,Inputs!$F$66+(Inputs!$F$67-Inputs!$F$66)*(Time!AP$4-Inputs!$F$23)/(Inputs!$F$61-Inputs!$F$23))+Operations!$F$49)/100</f>
        <v>0.035</v>
      </c>
      <c r="AQ239" s="14" t="n">
        <f aca="false">(IF(Time!AQ$4&gt;=Inputs!$F$61,Inputs!$F$67,Inputs!$F$66+(Inputs!$F$67-Inputs!$F$66)*(Time!AQ$4-Inputs!$F$23)/(Inputs!$F$61-Inputs!$F$23))+Operations!$F$49)/100</f>
        <v>0.035</v>
      </c>
      <c r="AR239" s="14" t="n">
        <f aca="false">(IF(Time!AR$4&gt;=Inputs!$F$61,Inputs!$F$67,Inputs!$F$66+(Inputs!$F$67-Inputs!$F$66)*(Time!AR$4-Inputs!$F$23)/(Inputs!$F$61-Inputs!$F$23))+Operations!$F$49)/100</f>
        <v>0.035</v>
      </c>
      <c r="AS239" s="14" t="n">
        <f aca="false">(IF(Time!AS$4&gt;=Inputs!$F$61,Inputs!$F$67,Inputs!$F$66+(Inputs!$F$67-Inputs!$F$66)*(Time!AS$4-Inputs!$F$23)/(Inputs!$F$61-Inputs!$F$23))+Operations!$F$49)/100</f>
        <v>0.035</v>
      </c>
      <c r="AT239" s="14" t="n">
        <f aca="false">(IF(Time!AT$4&gt;=Inputs!$F$61,Inputs!$F$67,Inputs!$F$66+(Inputs!$F$67-Inputs!$F$66)*(Time!AT$4-Inputs!$F$23)/(Inputs!$F$61-Inputs!$F$23))+Operations!$F$49)/100</f>
        <v>0.035</v>
      </c>
      <c r="AU239" s="14" t="n">
        <f aca="false">(IF(Time!AU$4&gt;=Inputs!$F$61,Inputs!$F$67,Inputs!$F$66+(Inputs!$F$67-Inputs!$F$66)*(Time!AU$4-Inputs!$F$23)/(Inputs!$F$61-Inputs!$F$23))+Operations!$F$49)/100</f>
        <v>0.035</v>
      </c>
    </row>
    <row r="240" customFormat="false" ht="15" hidden="false" customHeight="false" outlineLevel="0" collapsed="false">
      <c r="D240" s="0" t="s">
        <v>635</v>
      </c>
      <c r="E240" s="0" t="s">
        <v>466</v>
      </c>
      <c r="J240" s="20" t="n">
        <f aca="false">Inputs!$F$138*Operations!J237*Inputs!$F$192/100*Operations!J238*(1-Operations!J239)</f>
        <v>443.156</v>
      </c>
      <c r="K240" s="20" t="n">
        <f aca="false">Inputs!$F$138*Operations!K237*Inputs!$F$192/100*Operations!K238*(1-Operations!K239)</f>
        <v>438.9109725</v>
      </c>
      <c r="L240" s="20" t="n">
        <f aca="false">Inputs!$F$138*Operations!L237*Inputs!$F$192/100*Operations!L238*(1-Operations!L239)</f>
        <v>434.6951763385</v>
      </c>
      <c r="M240" s="20" t="n">
        <f aca="false">Inputs!$F$138*Operations!M237*Inputs!$F$192/100*Operations!M238*(1-Operations!M239)</f>
        <v>430.50843439526</v>
      </c>
      <c r="N240" s="20" t="n">
        <f aca="false">Inputs!$F$138*Operations!N237*Inputs!$F$192/100*Operations!N238*(1-Operations!N239)</f>
        <v>428.571146440482</v>
      </c>
      <c r="O240" s="20" t="n">
        <f aca="false">Inputs!$F$138*Operations!O237*Inputs!$F$192/100*Operations!O238*(1-Operations!O239)</f>
        <v>426.6425762815</v>
      </c>
      <c r="P240" s="20" t="n">
        <f aca="false">Inputs!$F$138*Operations!P237*Inputs!$F$192/100*Operations!P238*(1-Operations!P239)</f>
        <v>424.722684688233</v>
      </c>
      <c r="Q240" s="20" t="n">
        <f aca="false">Inputs!$F$138*Operations!Q237*Inputs!$F$192/100*Operations!Q238*(1-Operations!Q239)</f>
        <v>422.811432607136</v>
      </c>
      <c r="R240" s="20" t="n">
        <f aca="false">Inputs!$F$138*Operations!R237*Inputs!$F$192/100*Operations!R238*(1-Operations!R239)</f>
        <v>420.908781160404</v>
      </c>
      <c r="S240" s="20" t="n">
        <f aca="false">Inputs!$F$138*Operations!S237*Inputs!$F$192/100*Operations!S238*(1-Operations!S239)</f>
        <v>419.014691645182</v>
      </c>
      <c r="T240" s="20" t="n">
        <f aca="false">Inputs!$F$138*Operations!T237*Inputs!$F$192/100*Operations!T238*(1-Operations!T239)</f>
        <v>417.129125532779</v>
      </c>
      <c r="U240" s="20" t="n">
        <f aca="false">Inputs!$F$138*Operations!U237*Inputs!$F$192/100*Operations!U238*(1-Operations!U239)</f>
        <v>415.252044467881</v>
      </c>
      <c r="V240" s="20" t="n">
        <f aca="false">Inputs!$F$138*Operations!V237*Inputs!$F$192/100*Operations!V238*(1-Operations!V239)</f>
        <v>413.383410267776</v>
      </c>
      <c r="W240" s="20" t="n">
        <f aca="false">Inputs!$F$138*Operations!W237*Inputs!$F$192/100*Operations!W238*(1-Operations!W239)</f>
        <v>411.523184921571</v>
      </c>
      <c r="X240" s="20" t="n">
        <f aca="false">Inputs!$F$138*Operations!X237*Inputs!$F$192/100*Operations!X238*(1-Operations!X239)</f>
        <v>409.671330589424</v>
      </c>
      <c r="Y240" s="20" t="n">
        <f aca="false">Inputs!$F$138*Operations!Y237*Inputs!$F$192/100*Operations!Y238*(1-Operations!Y239)</f>
        <v>407.827809601771</v>
      </c>
      <c r="Z240" s="20" t="n">
        <f aca="false">Inputs!$F$138*Operations!Z237*Inputs!$F$192/100*Operations!Z238*(1-Operations!Z239)</f>
        <v>405.992584458563</v>
      </c>
      <c r="AA240" s="20" t="n">
        <f aca="false">Inputs!$F$138*Operations!AA237*Inputs!$F$192/100*Operations!AA238*(1-Operations!AA239)</f>
        <v>404.1656178285</v>
      </c>
      <c r="AB240" s="20" t="n">
        <f aca="false">Inputs!$F$138*Operations!AB237*Inputs!$F$192/100*Operations!AB238*(1-Operations!AB239)</f>
        <v>402.346872548272</v>
      </c>
      <c r="AC240" s="20" t="n">
        <f aca="false">Inputs!$F$138*Operations!AC237*Inputs!$F$192/100*Operations!AC238*(1-Operations!AC239)</f>
        <v>400.536311621804</v>
      </c>
      <c r="AD240" s="20" t="n">
        <f aca="false">Inputs!$F$138*Operations!AD237*Inputs!$F$192/100*Operations!AD238*(1-Operations!AD239)</f>
        <v>398.733898219506</v>
      </c>
      <c r="AE240" s="20" t="n">
        <f aca="false">Inputs!$F$138*Operations!AE237*Inputs!$F$192/100*Operations!AE238*(1-Operations!AE239)</f>
        <v>396.939595677519</v>
      </c>
      <c r="AF240" s="20" t="n">
        <f aca="false">Inputs!$F$138*Operations!AF237*Inputs!$F$192/100*Operations!AF238*(1-Operations!AF239)</f>
        <v>395.15336749697</v>
      </c>
      <c r="AG240" s="20" t="n">
        <f aca="false">Inputs!$F$138*Operations!AG237*Inputs!$F$192/100*Operations!AG238*(1-Operations!AG239)</f>
        <v>393.375177343234</v>
      </c>
      <c r="AH240" s="20" t="n">
        <f aca="false">Inputs!$F$138*Operations!AH237*Inputs!$F$192/100*Operations!AH238*(1-Operations!AH239)</f>
        <v>391.604989045189</v>
      </c>
      <c r="AI240" s="20" t="n">
        <f aca="false">Inputs!$F$138*Operations!AI237*Inputs!$F$192/100*Operations!AI238*(1-Operations!AI239)</f>
        <v>389.842766594486</v>
      </c>
      <c r="AJ240" s="20" t="n">
        <f aca="false">Inputs!$F$138*Operations!AJ237*Inputs!$F$192/100*Operations!AJ238*(1-Operations!AJ239)</f>
        <v>388.08847414481</v>
      </c>
      <c r="AK240" s="20" t="n">
        <f aca="false">Inputs!$F$138*Operations!AK237*Inputs!$F$192/100*Operations!AK238*(1-Operations!AK239)</f>
        <v>386.342076011159</v>
      </c>
      <c r="AL240" s="20" t="n">
        <f aca="false">Inputs!$F$138*Operations!AL237*Inputs!$F$192/100*Operations!AL238*(1-Operations!AL239)</f>
        <v>384.603536669109</v>
      </c>
      <c r="AM240" s="20" t="n">
        <f aca="false">Inputs!$F$138*Operations!AM237*Inputs!$F$192/100*Operations!AM238*(1-Operations!AM239)</f>
        <v>382.872820754098</v>
      </c>
      <c r="AN240" s="20" t="n">
        <f aca="false">Inputs!$F$138*Operations!AN237*Inputs!$F$192/100*Operations!AN238*(1-Operations!AN239)</f>
        <v>381.149893060704</v>
      </c>
      <c r="AO240" s="20" t="n">
        <f aca="false">Inputs!$F$138*Operations!AO237*Inputs!$F$192/100*Operations!AO238*(1-Operations!AO239)</f>
        <v>379.434718541931</v>
      </c>
      <c r="AP240" s="20" t="n">
        <f aca="false">Inputs!$F$138*Operations!AP237*Inputs!$F$192/100*Operations!AP238*(1-Operations!AP239)</f>
        <v>377.727262308492</v>
      </c>
      <c r="AQ240" s="20" t="n">
        <f aca="false">Inputs!$F$138*Operations!AQ237*Inputs!$F$192/100*Operations!AQ238*(1-Operations!AQ239)</f>
        <v>376.027489628104</v>
      </c>
      <c r="AR240" s="20" t="n">
        <f aca="false">Inputs!$F$138*Operations!AR237*Inputs!$F$192/100*Operations!AR238*(1-Operations!AR239)</f>
        <v>374.335365924778</v>
      </c>
      <c r="AS240" s="20" t="n">
        <f aca="false">Inputs!$F$138*Operations!AS237*Inputs!$F$192/100*Operations!AS238*(1-Operations!AS239)</f>
        <v>372.650856778116</v>
      </c>
      <c r="AT240" s="20" t="n">
        <f aca="false">Inputs!$F$138*Operations!AT237*Inputs!$F$192/100*Operations!AT238*(1-Operations!AT239)</f>
        <v>370.973927922615</v>
      </c>
      <c r="AU240" s="20" t="n">
        <f aca="false">Inputs!$F$138*Operations!AU237*Inputs!$F$192/100*Operations!AU238*(1-Operations!AU239)</f>
        <v>369.304545246963</v>
      </c>
    </row>
    <row r="241" customFormat="false" ht="15" hidden="false" customHeight="false" outlineLevel="0" collapsed="false">
      <c r="D241" s="0" t="s">
        <v>636</v>
      </c>
      <c r="E241" s="0" t="s">
        <v>466</v>
      </c>
      <c r="G241" s="20" t="n">
        <f aca="false">SUM(J241:AU241)</f>
        <v>13985.8111621289</v>
      </c>
      <c r="J241" s="20" t="n">
        <f aca="false">Operations!J240*Operations!J233</f>
        <v>443.156</v>
      </c>
      <c r="K241" s="20" t="n">
        <f aca="false">Operations!K240*Operations!K233</f>
        <v>438.9109725</v>
      </c>
      <c r="L241" s="20" t="n">
        <f aca="false">Operations!L240*Operations!L233</f>
        <v>434.6951763385</v>
      </c>
      <c r="M241" s="20" t="n">
        <f aca="false">Operations!M240*Operations!M233</f>
        <v>430.50843439526</v>
      </c>
      <c r="N241" s="20" t="n">
        <f aca="false">Operations!N240*Operations!N233</f>
        <v>428.571146440482</v>
      </c>
      <c r="O241" s="20" t="n">
        <f aca="false">Operations!O240*Operations!O233</f>
        <v>426.6425762815</v>
      </c>
      <c r="P241" s="20" t="n">
        <f aca="false">Operations!P240*Operations!P233</f>
        <v>424.722684688233</v>
      </c>
      <c r="Q241" s="20" t="n">
        <f aca="false">Operations!Q240*Operations!Q233</f>
        <v>422.811432607136</v>
      </c>
      <c r="R241" s="20" t="n">
        <f aca="false">Operations!R240*Operations!R233</f>
        <v>420.908781160404</v>
      </c>
      <c r="S241" s="20" t="n">
        <f aca="false">Operations!S240*Operations!S233</f>
        <v>419.014691645182</v>
      </c>
      <c r="T241" s="20" t="n">
        <f aca="false">Operations!T240*Operations!T233</f>
        <v>417.129125532779</v>
      </c>
      <c r="U241" s="20" t="n">
        <f aca="false">Operations!U240*Operations!U233</f>
        <v>415.252044467881</v>
      </c>
      <c r="V241" s="20" t="n">
        <f aca="false">Operations!V240*Operations!V233</f>
        <v>413.383410267776</v>
      </c>
      <c r="W241" s="20" t="n">
        <f aca="false">Operations!W240*Operations!W233</f>
        <v>411.523184921571</v>
      </c>
      <c r="X241" s="20" t="n">
        <f aca="false">Operations!X240*Operations!X233</f>
        <v>409.671330589424</v>
      </c>
      <c r="Y241" s="20" t="n">
        <f aca="false">Operations!Y240*Operations!Y233</f>
        <v>407.827809601771</v>
      </c>
      <c r="Z241" s="20" t="n">
        <f aca="false">Operations!Z240*Operations!Z233</f>
        <v>405.992584458563</v>
      </c>
      <c r="AA241" s="20" t="n">
        <f aca="false">Operations!AA240*Operations!AA233</f>
        <v>404.1656178285</v>
      </c>
      <c r="AB241" s="20" t="n">
        <f aca="false">Operations!AB240*Operations!AB233</f>
        <v>402.346872548272</v>
      </c>
      <c r="AC241" s="20" t="n">
        <f aca="false">Operations!AC240*Operations!AC233</f>
        <v>400.536311621804</v>
      </c>
      <c r="AD241" s="20" t="n">
        <f aca="false">Operations!AD240*Operations!AD233</f>
        <v>398.733898219506</v>
      </c>
      <c r="AE241" s="20" t="n">
        <f aca="false">Operations!AE240*Operations!AE233</f>
        <v>396.939595677519</v>
      </c>
      <c r="AF241" s="20" t="n">
        <f aca="false">Operations!AF240*Operations!AF233</f>
        <v>395.15336749697</v>
      </c>
      <c r="AG241" s="20" t="n">
        <f aca="false">Operations!AG240*Operations!AG233</f>
        <v>393.375177343234</v>
      </c>
      <c r="AH241" s="20" t="n">
        <f aca="false">Operations!AH240*Operations!AH233</f>
        <v>391.604989045189</v>
      </c>
      <c r="AI241" s="20" t="n">
        <f aca="false">Operations!AI240*Operations!AI233</f>
        <v>389.842766594486</v>
      </c>
      <c r="AJ241" s="20" t="n">
        <f aca="false">Operations!AJ240*Operations!AJ233</f>
        <v>388.08847414481</v>
      </c>
      <c r="AK241" s="20" t="n">
        <f aca="false">Operations!AK240*Operations!AK233</f>
        <v>386.342076011159</v>
      </c>
      <c r="AL241" s="20" t="n">
        <f aca="false">Operations!AL240*Operations!AL233</f>
        <v>384.603536669109</v>
      </c>
      <c r="AM241" s="20" t="n">
        <f aca="false">Operations!AM240*Operations!AM233</f>
        <v>382.872820754098</v>
      </c>
      <c r="AN241" s="20" t="n">
        <f aca="false">Operations!AN240*Operations!AN233</f>
        <v>381.149893060704</v>
      </c>
      <c r="AO241" s="20" t="n">
        <f aca="false">Operations!AO240*Operations!AO233</f>
        <v>379.434718541931</v>
      </c>
      <c r="AP241" s="20" t="n">
        <f aca="false">Operations!AP240*Operations!AP233</f>
        <v>377.727262308492</v>
      </c>
      <c r="AQ241" s="20" t="n">
        <f aca="false">Operations!AQ240*Operations!AQ233</f>
        <v>376.027489628104</v>
      </c>
      <c r="AR241" s="20" t="n">
        <f aca="false">Operations!AR240*Operations!AR233</f>
        <v>186.144908738551</v>
      </c>
      <c r="AS241" s="20" t="n">
        <f aca="false">Operations!AS240*Operations!AS233</f>
        <v>0</v>
      </c>
      <c r="AT241" s="20" t="n">
        <f aca="false">Operations!AT240*Operations!AT233</f>
        <v>0</v>
      </c>
      <c r="AU241" s="20" t="n">
        <f aca="false">Operations!AU240*Operations!AU233</f>
        <v>0</v>
      </c>
    </row>
    <row r="242" customFormat="false" ht="15" hidden="false" customHeight="false" outlineLevel="0" collapsed="false">
      <c r="D242" s="0" t="s">
        <v>637</v>
      </c>
      <c r="E242" s="0" t="s">
        <v>54</v>
      </c>
      <c r="J242" s="14" t="n">
        <f aca="false">Operations!J59</f>
        <v>0.86</v>
      </c>
      <c r="K242" s="14" t="n">
        <f aca="false">Operations!K59</f>
        <v>0.84</v>
      </c>
      <c r="L242" s="14" t="n">
        <f aca="false">Operations!L59</f>
        <v>0.82</v>
      </c>
      <c r="M242" s="14" t="n">
        <f aca="false">Operations!M59</f>
        <v>0.8</v>
      </c>
      <c r="N242" s="14" t="n">
        <f aca="false">Operations!N59</f>
        <v>0.78</v>
      </c>
      <c r="O242" s="14" t="n">
        <f aca="false">Operations!O59</f>
        <v>0.76</v>
      </c>
      <c r="P242" s="14" t="n">
        <f aca="false">Operations!P59</f>
        <v>0.74</v>
      </c>
      <c r="Q242" s="14" t="n">
        <f aca="false">Operations!Q59</f>
        <v>0.72</v>
      </c>
      <c r="R242" s="14" t="n">
        <f aca="false">Operations!R59</f>
        <v>0.7</v>
      </c>
      <c r="S242" s="14" t="n">
        <f aca="false">Operations!S59</f>
        <v>0.68</v>
      </c>
      <c r="T242" s="14" t="n">
        <f aca="false">Operations!T59</f>
        <v>0.66</v>
      </c>
      <c r="U242" s="14" t="n">
        <f aca="false">Operations!U59</f>
        <v>0.64</v>
      </c>
      <c r="V242" s="14" t="n">
        <f aca="false">Operations!V59</f>
        <v>0.62</v>
      </c>
      <c r="W242" s="14" t="n">
        <f aca="false">Operations!W59</f>
        <v>0.6</v>
      </c>
      <c r="X242" s="14" t="n">
        <f aca="false">Operations!X59</f>
        <v>0.6</v>
      </c>
      <c r="Y242" s="14" t="n">
        <f aca="false">Operations!Y59</f>
        <v>0.6</v>
      </c>
      <c r="Z242" s="14" t="n">
        <f aca="false">Operations!Z59</f>
        <v>0.6</v>
      </c>
      <c r="AA242" s="14" t="n">
        <f aca="false">Operations!AA59</f>
        <v>0.6</v>
      </c>
      <c r="AB242" s="14" t="n">
        <f aca="false">Operations!AB59</f>
        <v>0.6</v>
      </c>
      <c r="AC242" s="14" t="n">
        <f aca="false">Operations!AC59</f>
        <v>0.6</v>
      </c>
      <c r="AD242" s="14" t="n">
        <f aca="false">Operations!AD59</f>
        <v>0.6</v>
      </c>
      <c r="AE242" s="14" t="n">
        <f aca="false">Operations!AE59</f>
        <v>0.6</v>
      </c>
      <c r="AF242" s="14" t="n">
        <f aca="false">Operations!AF59</f>
        <v>0.6</v>
      </c>
      <c r="AG242" s="14" t="n">
        <f aca="false">Operations!AG59</f>
        <v>0.6</v>
      </c>
      <c r="AH242" s="14" t="n">
        <f aca="false">Operations!AH59</f>
        <v>0.6</v>
      </c>
      <c r="AI242" s="14" t="n">
        <f aca="false">Operations!AI59</f>
        <v>0.6</v>
      </c>
      <c r="AJ242" s="14" t="n">
        <f aca="false">Operations!AJ59</f>
        <v>0.6</v>
      </c>
      <c r="AK242" s="14" t="n">
        <f aca="false">Operations!AK59</f>
        <v>0.6</v>
      </c>
      <c r="AL242" s="14" t="n">
        <f aca="false">Operations!AL59</f>
        <v>0.6</v>
      </c>
      <c r="AM242" s="14" t="n">
        <f aca="false">Operations!AM59</f>
        <v>0.6</v>
      </c>
      <c r="AN242" s="14" t="n">
        <f aca="false">Operations!AN59</f>
        <v>0.6</v>
      </c>
      <c r="AO242" s="14" t="n">
        <f aca="false">Operations!AO59</f>
        <v>0.6</v>
      </c>
      <c r="AP242" s="14" t="n">
        <f aca="false">Operations!AP59</f>
        <v>0.6</v>
      </c>
      <c r="AQ242" s="14" t="n">
        <f aca="false">Operations!AQ59</f>
        <v>0.6</v>
      </c>
      <c r="AR242" s="14" t="n">
        <f aca="false">Operations!AR59</f>
        <v>0.6</v>
      </c>
      <c r="AS242" s="14" t="n">
        <f aca="false">Operations!AS59</f>
        <v>0.6</v>
      </c>
      <c r="AT242" s="14" t="n">
        <f aca="false">Operations!AT59</f>
        <v>0.6</v>
      </c>
      <c r="AU242" s="14" t="n">
        <f aca="false">Operations!AU59</f>
        <v>0.6</v>
      </c>
    </row>
    <row r="243" customFormat="false" ht="15" hidden="false" customHeight="false" outlineLevel="0" collapsed="false">
      <c r="D243" s="0" t="s">
        <v>638</v>
      </c>
      <c r="E243" s="0" t="s">
        <v>54</v>
      </c>
      <c r="J243" s="14" t="n">
        <f aca="false">Operations!J242-Inputs!$F$52</f>
        <v>0.83</v>
      </c>
      <c r="K243" s="14" t="n">
        <f aca="false">Operations!K242-Inputs!$F$52</f>
        <v>0.81</v>
      </c>
      <c r="L243" s="14" t="n">
        <f aca="false">Operations!L242-Inputs!$F$52</f>
        <v>0.79</v>
      </c>
      <c r="M243" s="14" t="n">
        <f aca="false">Operations!M242-Inputs!$F$52</f>
        <v>0.77</v>
      </c>
      <c r="N243" s="14" t="n">
        <f aca="false">Operations!N242-Inputs!$F$52</f>
        <v>0.75</v>
      </c>
      <c r="O243" s="14" t="n">
        <f aca="false">Operations!O242-Inputs!$F$52</f>
        <v>0.73</v>
      </c>
      <c r="P243" s="14" t="n">
        <f aca="false">Operations!P242-Inputs!$F$52</f>
        <v>0.71</v>
      </c>
      <c r="Q243" s="14" t="n">
        <f aca="false">Operations!Q242-Inputs!$F$52</f>
        <v>0.69</v>
      </c>
      <c r="R243" s="14" t="n">
        <f aca="false">Operations!R242-Inputs!$F$52</f>
        <v>0.67</v>
      </c>
      <c r="S243" s="14" t="n">
        <f aca="false">Operations!S242-Inputs!$F$52</f>
        <v>0.65</v>
      </c>
      <c r="T243" s="14" t="n">
        <f aca="false">Operations!T242-Inputs!$F$52</f>
        <v>0.63</v>
      </c>
      <c r="U243" s="14" t="n">
        <f aca="false">Operations!U242-Inputs!$F$52</f>
        <v>0.61</v>
      </c>
      <c r="V243" s="14" t="n">
        <f aca="false">Operations!V242-Inputs!$F$52</f>
        <v>0.59</v>
      </c>
      <c r="W243" s="14" t="n">
        <f aca="false">Operations!W242-Inputs!$F$52</f>
        <v>0.57</v>
      </c>
      <c r="X243" s="14" t="n">
        <f aca="false">Operations!X242-Inputs!$F$52</f>
        <v>0.57</v>
      </c>
      <c r="Y243" s="14" t="n">
        <f aca="false">Operations!Y242-Inputs!$F$52</f>
        <v>0.57</v>
      </c>
      <c r="Z243" s="14" t="n">
        <f aca="false">Operations!Z242-Inputs!$F$52</f>
        <v>0.57</v>
      </c>
      <c r="AA243" s="14" t="n">
        <f aca="false">Operations!AA242-Inputs!$F$52</f>
        <v>0.57</v>
      </c>
      <c r="AB243" s="14" t="n">
        <f aca="false">Operations!AB242-Inputs!$F$52</f>
        <v>0.57</v>
      </c>
      <c r="AC243" s="14" t="n">
        <f aca="false">Operations!AC242-Inputs!$F$52</f>
        <v>0.57</v>
      </c>
      <c r="AD243" s="14" t="n">
        <f aca="false">Operations!AD242-Inputs!$F$52</f>
        <v>0.57</v>
      </c>
      <c r="AE243" s="14" t="n">
        <f aca="false">Operations!AE242-Inputs!$F$52</f>
        <v>0.57</v>
      </c>
      <c r="AF243" s="14" t="n">
        <f aca="false">Operations!AF242-Inputs!$F$52</f>
        <v>0.57</v>
      </c>
      <c r="AG243" s="14" t="n">
        <f aca="false">Operations!AG242-Inputs!$F$52</f>
        <v>0.57</v>
      </c>
      <c r="AH243" s="14" t="n">
        <f aca="false">Operations!AH242-Inputs!$F$52</f>
        <v>0.57</v>
      </c>
      <c r="AI243" s="14" t="n">
        <f aca="false">Operations!AI242-Inputs!$F$52</f>
        <v>0.57</v>
      </c>
      <c r="AJ243" s="14" t="n">
        <f aca="false">Operations!AJ242-Inputs!$F$52</f>
        <v>0.57</v>
      </c>
      <c r="AK243" s="14" t="n">
        <f aca="false">Operations!AK242-Inputs!$F$52</f>
        <v>0.57</v>
      </c>
      <c r="AL243" s="14" t="n">
        <f aca="false">Operations!AL242-Inputs!$F$52</f>
        <v>0.57</v>
      </c>
      <c r="AM243" s="14" t="n">
        <f aca="false">Operations!AM242-Inputs!$F$52</f>
        <v>0.57</v>
      </c>
      <c r="AN243" s="14" t="n">
        <f aca="false">Operations!AN242-Inputs!$F$52</f>
        <v>0.57</v>
      </c>
      <c r="AO243" s="14" t="n">
        <f aca="false">Operations!AO242-Inputs!$F$52</f>
        <v>0.57</v>
      </c>
      <c r="AP243" s="14" t="n">
        <f aca="false">Operations!AP242-Inputs!$F$52</f>
        <v>0.57</v>
      </c>
      <c r="AQ243" s="14" t="n">
        <f aca="false">Operations!AQ242-Inputs!$F$52</f>
        <v>0.57</v>
      </c>
      <c r="AR243" s="14" t="n">
        <f aca="false">Operations!AR242-Inputs!$F$52</f>
        <v>0.57</v>
      </c>
      <c r="AS243" s="14" t="n">
        <f aca="false">Operations!AS242-Inputs!$F$52</f>
        <v>0.57</v>
      </c>
      <c r="AT243" s="14" t="n">
        <f aca="false">Operations!AT242-Inputs!$F$52</f>
        <v>0.57</v>
      </c>
      <c r="AU243" s="14" t="n">
        <f aca="false">Operations!AU242-Inputs!$F$52</f>
        <v>0.57</v>
      </c>
    </row>
    <row r="244" customFormat="false" ht="15" hidden="false" customHeight="false" outlineLevel="0" collapsed="false">
      <c r="D244" s="0" t="s">
        <v>639</v>
      </c>
      <c r="E244" s="0" t="s">
        <v>96</v>
      </c>
      <c r="J244" s="18" t="n">
        <f aca="false">Operations!J236*Operations!J243</f>
        <v>59.936624</v>
      </c>
      <c r="K244" s="18" t="n">
        <f aca="false">Operations!K236*Operations!K243</f>
        <v>47.985696</v>
      </c>
      <c r="L244" s="18" t="n">
        <f aca="false">Operations!L236*Operations!L243</f>
        <v>23.018072</v>
      </c>
      <c r="M244" s="18" t="n">
        <f aca="false">Operations!M236*Operations!M243</f>
        <v>29.665328</v>
      </c>
      <c r="N244" s="18" t="n">
        <f aca="false">Operations!N236*Operations!N243</f>
        <v>32.3796</v>
      </c>
      <c r="O244" s="18" t="n">
        <f aca="false">Operations!O236*Operations!O243</f>
        <v>33.424072</v>
      </c>
      <c r="P244" s="18" t="n">
        <f aca="false">Operations!P236*Operations!P243</f>
        <v>33.745448</v>
      </c>
      <c r="Q244" s="18" t="n">
        <f aca="false">Operations!Q236*Operations!Q243</f>
        <v>33.663168</v>
      </c>
      <c r="R244" s="18" t="n">
        <f aca="false">Operations!R236*Operations!R243</f>
        <v>33.595408</v>
      </c>
      <c r="S244" s="18" t="n">
        <f aca="false">Operations!S236*Operations!S243</f>
        <v>33.246928</v>
      </c>
      <c r="T244" s="18" t="n">
        <f aca="false">Operations!T236*Operations!T243</f>
        <v>32.870376</v>
      </c>
      <c r="U244" s="18" t="n">
        <f aca="false">Operations!U236*Operations!U243</f>
        <v>32.4645904</v>
      </c>
      <c r="V244" s="18" t="n">
        <f aca="false">Operations!V236*Operations!V243</f>
        <v>32.0284096</v>
      </c>
      <c r="W244" s="18" t="n">
        <f aca="false">Operations!W236*Operations!W243</f>
        <v>31.560672</v>
      </c>
      <c r="X244" s="18" t="n">
        <f aca="false">Operations!X236*Operations!X243</f>
        <v>32.1896784</v>
      </c>
      <c r="Y244" s="18" t="n">
        <f aca="false">Operations!Y236*Operations!Y243</f>
        <v>32.8352376</v>
      </c>
      <c r="Z244" s="18" t="n">
        <f aca="false">Operations!Z236*Operations!Z243</f>
        <v>33.491832</v>
      </c>
      <c r="AA244" s="18" t="n">
        <f aca="false">Operations!AA236*Operations!AA243</f>
        <v>34.1594616</v>
      </c>
      <c r="AB244" s="18" t="n">
        <f aca="false">Operations!AB236*Operations!AB243</f>
        <v>34.843644</v>
      </c>
      <c r="AC244" s="18" t="n">
        <f aca="false">Operations!AC236*Operations!AC243</f>
        <v>35.5388616</v>
      </c>
      <c r="AD244" s="18" t="n">
        <f aca="false">Operations!AD236*Operations!AD243</f>
        <v>36.250632</v>
      </c>
      <c r="AE244" s="18" t="n">
        <f aca="false">Operations!AE236*Operations!AE243</f>
        <v>36.9734376</v>
      </c>
      <c r="AF244" s="18" t="n">
        <f aca="false">Operations!AF236*Operations!AF243</f>
        <v>37.712796</v>
      </c>
      <c r="AG244" s="18" t="n">
        <f aca="false">Operations!AG236*Operations!AG243</f>
        <v>38.4687072</v>
      </c>
      <c r="AH244" s="18" t="n">
        <f aca="false">Operations!AH236*Operations!AH243</f>
        <v>39.2356536</v>
      </c>
      <c r="AI244" s="18" t="n">
        <f aca="false">Operations!AI236*Operations!AI243</f>
        <v>40.0191528</v>
      </c>
      <c r="AJ244" s="18" t="n">
        <f aca="false">Operations!AJ236*Operations!AJ243</f>
        <v>40.8192048</v>
      </c>
      <c r="AK244" s="18" t="n">
        <f aca="false">Operations!AK236*Operations!AK243</f>
        <v>41.6358096</v>
      </c>
      <c r="AL244" s="18" t="n">
        <f aca="false">Operations!AL236*Operations!AL243</f>
        <v>42.4689672</v>
      </c>
      <c r="AM244" s="18" t="n">
        <f aca="false">Operations!AM236*Operations!AM243</f>
        <v>43.3186776</v>
      </c>
      <c r="AN244" s="18" t="n">
        <f aca="false">Operations!AN236*Operations!AN243</f>
        <v>44.1849408</v>
      </c>
      <c r="AO244" s="18" t="n">
        <f aca="false">Operations!AO236*Operations!AO243</f>
        <v>45.0677568</v>
      </c>
      <c r="AP244" s="18" t="n">
        <f aca="false">Operations!AP236*Operations!AP243</f>
        <v>45.9671256</v>
      </c>
      <c r="AQ244" s="18" t="n">
        <f aca="false">Operations!AQ236*Operations!AQ243</f>
        <v>46.8885648</v>
      </c>
      <c r="AR244" s="18" t="n">
        <f aca="false">Operations!AR236*Operations!AR243</f>
        <v>47.8265568</v>
      </c>
      <c r="AS244" s="18" t="n">
        <f aca="false">Operations!AS236*Operations!AS243</f>
        <v>48.7811016</v>
      </c>
      <c r="AT244" s="18" t="n">
        <f aca="false">Operations!AT236*Operations!AT243</f>
        <v>49.7577168</v>
      </c>
      <c r="AU244" s="18" t="n">
        <f aca="false">Operations!AU236*Operations!AU243</f>
        <v>50.7508848</v>
      </c>
    </row>
    <row r="245" customFormat="false" ht="15" hidden="false" customHeight="false" outlineLevel="0" collapsed="false">
      <c r="D245" s="0" t="s">
        <v>640</v>
      </c>
      <c r="E245" s="0" t="s">
        <v>458</v>
      </c>
      <c r="J245" s="14" t="n">
        <f aca="false">MAX(0,MIN(Inputs!$F$212,Time!J$6)-MAX(Inputs!$F$133,Time!J$5))/Time!J$7</f>
        <v>1</v>
      </c>
      <c r="K245" s="14" t="n">
        <f aca="false">MAX(0,MIN(Inputs!$F$212,Time!K$6)-MAX(Inputs!$F$133,Time!K$5))/Time!K$7</f>
        <v>1</v>
      </c>
      <c r="L245" s="14" t="n">
        <f aca="false">MAX(0,MIN(Inputs!$F$212,Time!L$6)-MAX(Inputs!$F$133,Time!L$5))/Time!L$7</f>
        <v>1</v>
      </c>
      <c r="M245" s="14" t="n">
        <f aca="false">MAX(0,MIN(Inputs!$F$212,Time!M$6)-MAX(Inputs!$F$133,Time!M$5))/Time!M$7</f>
        <v>1</v>
      </c>
      <c r="N245" s="14" t="n">
        <f aca="false">MAX(0,MIN(Inputs!$F$212,Time!N$6)-MAX(Inputs!$F$133,Time!N$5))/Time!N$7</f>
        <v>1</v>
      </c>
      <c r="O245" s="14" t="n">
        <f aca="false">MAX(0,MIN(Inputs!$F$212,Time!O$6)-MAX(Inputs!$F$133,Time!O$5))/Time!O$7</f>
        <v>1</v>
      </c>
      <c r="P245" s="14" t="n">
        <f aca="false">MAX(0,MIN(Inputs!$F$212,Time!P$6)-MAX(Inputs!$F$133,Time!P$5))/Time!P$7</f>
        <v>1</v>
      </c>
      <c r="Q245" s="14" t="n">
        <f aca="false">MAX(0,MIN(Inputs!$F$212,Time!Q$6)-MAX(Inputs!$F$133,Time!Q$5))/Time!Q$7</f>
        <v>1</v>
      </c>
      <c r="R245" s="14" t="n">
        <f aca="false">MAX(0,MIN(Inputs!$F$212,Time!R$6)-MAX(Inputs!$F$133,Time!R$5))/Time!R$7</f>
        <v>1</v>
      </c>
      <c r="S245" s="14" t="n">
        <f aca="false">MAX(0,MIN(Inputs!$F$212,Time!S$6)-MAX(Inputs!$F$133,Time!S$5))/Time!S$7</f>
        <v>1</v>
      </c>
      <c r="T245" s="14" t="n">
        <f aca="false">MAX(0,MIN(Inputs!$F$212,Time!T$6)-MAX(Inputs!$F$133,Time!T$5))/Time!T$7</f>
        <v>1</v>
      </c>
      <c r="U245" s="14" t="n">
        <f aca="false">MAX(0,MIN(Inputs!$F$212,Time!U$6)-MAX(Inputs!$F$133,Time!U$5))/Time!U$7</f>
        <v>0.495890410958904</v>
      </c>
      <c r="V245" s="14" t="n">
        <f aca="false">MAX(0,MIN(Inputs!$F$212,Time!V$6)-MAX(Inputs!$F$133,Time!V$5))/Time!V$7</f>
        <v>0</v>
      </c>
      <c r="W245" s="14" t="n">
        <f aca="false">MAX(0,MIN(Inputs!$F$212,Time!W$6)-MAX(Inputs!$F$133,Time!W$5))/Time!W$7</f>
        <v>0</v>
      </c>
      <c r="X245" s="14" t="n">
        <f aca="false">MAX(0,MIN(Inputs!$F$212,Time!X$6)-MAX(Inputs!$F$133,Time!X$5))/Time!X$7</f>
        <v>0</v>
      </c>
      <c r="Y245" s="14" t="n">
        <f aca="false">MAX(0,MIN(Inputs!$F$212,Time!Y$6)-MAX(Inputs!$F$133,Time!Y$5))/Time!Y$7</f>
        <v>0</v>
      </c>
      <c r="Z245" s="14" t="n">
        <f aca="false">MAX(0,MIN(Inputs!$F$212,Time!Z$6)-MAX(Inputs!$F$133,Time!Z$5))/Time!Z$7</f>
        <v>0</v>
      </c>
      <c r="AA245" s="14" t="n">
        <f aca="false">MAX(0,MIN(Inputs!$F$212,Time!AA$6)-MAX(Inputs!$F$133,Time!AA$5))/Time!AA$7</f>
        <v>0</v>
      </c>
      <c r="AB245" s="14" t="n">
        <f aca="false">MAX(0,MIN(Inputs!$F$212,Time!AB$6)-MAX(Inputs!$F$133,Time!AB$5))/Time!AB$7</f>
        <v>0</v>
      </c>
      <c r="AC245" s="14" t="n">
        <f aca="false">MAX(0,MIN(Inputs!$F$212,Time!AC$6)-MAX(Inputs!$F$133,Time!AC$5))/Time!AC$7</f>
        <v>0</v>
      </c>
      <c r="AD245" s="14" t="n">
        <f aca="false">MAX(0,MIN(Inputs!$F$212,Time!AD$6)-MAX(Inputs!$F$133,Time!AD$5))/Time!AD$7</f>
        <v>0</v>
      </c>
      <c r="AE245" s="14" t="n">
        <f aca="false">MAX(0,MIN(Inputs!$F$212,Time!AE$6)-MAX(Inputs!$F$133,Time!AE$5))/Time!AE$7</f>
        <v>0</v>
      </c>
      <c r="AF245" s="14" t="n">
        <f aca="false">MAX(0,MIN(Inputs!$F$212,Time!AF$6)-MAX(Inputs!$F$133,Time!AF$5))/Time!AF$7</f>
        <v>0</v>
      </c>
      <c r="AG245" s="14" t="n">
        <f aca="false">MAX(0,MIN(Inputs!$F$212,Time!AG$6)-MAX(Inputs!$F$133,Time!AG$5))/Time!AG$7</f>
        <v>0</v>
      </c>
      <c r="AH245" s="14" t="n">
        <f aca="false">MAX(0,MIN(Inputs!$F$212,Time!AH$6)-MAX(Inputs!$F$133,Time!AH$5))/Time!AH$7</f>
        <v>0</v>
      </c>
      <c r="AI245" s="14" t="n">
        <f aca="false">MAX(0,MIN(Inputs!$F$212,Time!AI$6)-MAX(Inputs!$F$133,Time!AI$5))/Time!AI$7</f>
        <v>0</v>
      </c>
      <c r="AJ245" s="14" t="n">
        <f aca="false">MAX(0,MIN(Inputs!$F$212,Time!AJ$6)-MAX(Inputs!$F$133,Time!AJ$5))/Time!AJ$7</f>
        <v>0</v>
      </c>
      <c r="AK245" s="14" t="n">
        <f aca="false">MAX(0,MIN(Inputs!$F$212,Time!AK$6)-MAX(Inputs!$F$133,Time!AK$5))/Time!AK$7</f>
        <v>0</v>
      </c>
      <c r="AL245" s="14" t="n">
        <f aca="false">MAX(0,MIN(Inputs!$F$212,Time!AL$6)-MAX(Inputs!$F$133,Time!AL$5))/Time!AL$7</f>
        <v>0</v>
      </c>
      <c r="AM245" s="14" t="n">
        <f aca="false">MAX(0,MIN(Inputs!$F$212,Time!AM$6)-MAX(Inputs!$F$133,Time!AM$5))/Time!AM$7</f>
        <v>0</v>
      </c>
      <c r="AN245" s="14" t="n">
        <f aca="false">MAX(0,MIN(Inputs!$F$212,Time!AN$6)-MAX(Inputs!$F$133,Time!AN$5))/Time!AN$7</f>
        <v>0</v>
      </c>
      <c r="AO245" s="14" t="n">
        <f aca="false">MAX(0,MIN(Inputs!$F$212,Time!AO$6)-MAX(Inputs!$F$133,Time!AO$5))/Time!AO$7</f>
        <v>0</v>
      </c>
      <c r="AP245" s="14" t="n">
        <f aca="false">MAX(0,MIN(Inputs!$F$212,Time!AP$6)-MAX(Inputs!$F$133,Time!AP$5))/Time!AP$7</f>
        <v>0</v>
      </c>
      <c r="AQ245" s="14" t="n">
        <f aca="false">MAX(0,MIN(Inputs!$F$212,Time!AQ$6)-MAX(Inputs!$F$133,Time!AQ$5))/Time!AQ$7</f>
        <v>0</v>
      </c>
      <c r="AR245" s="14" t="n">
        <f aca="false">MAX(0,MIN(Inputs!$F$212,Time!AR$6)-MAX(Inputs!$F$133,Time!AR$5))/Time!AR$7</f>
        <v>0</v>
      </c>
      <c r="AS245" s="14" t="n">
        <f aca="false">MAX(0,MIN(Inputs!$F$212,Time!AS$6)-MAX(Inputs!$F$133,Time!AS$5))/Time!AS$7</f>
        <v>0</v>
      </c>
      <c r="AT245" s="14" t="n">
        <f aca="false">MAX(0,MIN(Inputs!$F$212,Time!AT$6)-MAX(Inputs!$F$133,Time!AT$5))/Time!AT$7</f>
        <v>0</v>
      </c>
      <c r="AU245" s="14" t="n">
        <f aca="false">MAX(0,MIN(Inputs!$F$212,Time!AU$6)-MAX(Inputs!$F$133,Time!AU$5))/Time!AU$7</f>
        <v>0</v>
      </c>
    </row>
    <row r="246" customFormat="false" ht="15" hidden="false" customHeight="false" outlineLevel="0" collapsed="false">
      <c r="D246" s="0" t="s">
        <v>641</v>
      </c>
      <c r="E246" s="0" t="s">
        <v>466</v>
      </c>
      <c r="J246" s="20" t="n">
        <f aca="false">Operations!J240*Operations!J245</f>
        <v>443.156</v>
      </c>
      <c r="K246" s="20" t="n">
        <f aca="false">Operations!K240*Operations!K245</f>
        <v>438.9109725</v>
      </c>
      <c r="L246" s="20" t="n">
        <f aca="false">Operations!L240*Operations!L245</f>
        <v>434.6951763385</v>
      </c>
      <c r="M246" s="20" t="n">
        <f aca="false">Operations!M240*Operations!M245</f>
        <v>430.50843439526</v>
      </c>
      <c r="N246" s="20" t="n">
        <f aca="false">Operations!N240*Operations!N245</f>
        <v>428.571146440482</v>
      </c>
      <c r="O246" s="20" t="n">
        <f aca="false">Operations!O240*Operations!O245</f>
        <v>426.6425762815</v>
      </c>
      <c r="P246" s="20" t="n">
        <f aca="false">Operations!P240*Operations!P245</f>
        <v>424.722684688233</v>
      </c>
      <c r="Q246" s="20" t="n">
        <f aca="false">Operations!Q240*Operations!Q245</f>
        <v>422.811432607136</v>
      </c>
      <c r="R246" s="20" t="n">
        <f aca="false">Operations!R240*Operations!R245</f>
        <v>420.908781160404</v>
      </c>
      <c r="S246" s="20" t="n">
        <f aca="false">Operations!S240*Operations!S245</f>
        <v>419.014691645182</v>
      </c>
      <c r="T246" s="20" t="n">
        <f aca="false">Operations!T240*Operations!T245</f>
        <v>417.129125532779</v>
      </c>
      <c r="U246" s="20" t="n">
        <f aca="false">Operations!U240*Operations!U245</f>
        <v>205.919506982703</v>
      </c>
      <c r="V246" s="20" t="n">
        <f aca="false">Operations!V240*Operations!V245</f>
        <v>0</v>
      </c>
      <c r="W246" s="20" t="n">
        <f aca="false">Operations!W240*Operations!W245</f>
        <v>0</v>
      </c>
      <c r="X246" s="20" t="n">
        <f aca="false">Operations!X240*Operations!X245</f>
        <v>0</v>
      </c>
      <c r="Y246" s="20" t="n">
        <f aca="false">Operations!Y240*Operations!Y245</f>
        <v>0</v>
      </c>
      <c r="Z246" s="20" t="n">
        <f aca="false">Operations!Z240*Operations!Z245</f>
        <v>0</v>
      </c>
      <c r="AA246" s="20" t="n">
        <f aca="false">Operations!AA240*Operations!AA245</f>
        <v>0</v>
      </c>
      <c r="AB246" s="20" t="n">
        <f aca="false">Operations!AB240*Operations!AB245</f>
        <v>0</v>
      </c>
      <c r="AC246" s="20" t="n">
        <f aca="false">Operations!AC240*Operations!AC245</f>
        <v>0</v>
      </c>
      <c r="AD246" s="20" t="n">
        <f aca="false">Operations!AD240*Operations!AD245</f>
        <v>0</v>
      </c>
      <c r="AE246" s="20" t="n">
        <f aca="false">Operations!AE240*Operations!AE245</f>
        <v>0</v>
      </c>
      <c r="AF246" s="20" t="n">
        <f aca="false">Operations!AF240*Operations!AF245</f>
        <v>0</v>
      </c>
      <c r="AG246" s="20" t="n">
        <f aca="false">Operations!AG240*Operations!AG245</f>
        <v>0</v>
      </c>
      <c r="AH246" s="20" t="n">
        <f aca="false">Operations!AH240*Operations!AH245</f>
        <v>0</v>
      </c>
      <c r="AI246" s="20" t="n">
        <f aca="false">Operations!AI240*Operations!AI245</f>
        <v>0</v>
      </c>
      <c r="AJ246" s="20" t="n">
        <f aca="false">Operations!AJ240*Operations!AJ245</f>
        <v>0</v>
      </c>
      <c r="AK246" s="20" t="n">
        <f aca="false">Operations!AK240*Operations!AK245</f>
        <v>0</v>
      </c>
      <c r="AL246" s="20" t="n">
        <f aca="false">Operations!AL240*Operations!AL245</f>
        <v>0</v>
      </c>
      <c r="AM246" s="20" t="n">
        <f aca="false">Operations!AM240*Operations!AM245</f>
        <v>0</v>
      </c>
      <c r="AN246" s="20" t="n">
        <f aca="false">Operations!AN240*Operations!AN245</f>
        <v>0</v>
      </c>
      <c r="AO246" s="20" t="n">
        <f aca="false">Operations!AO240*Operations!AO245</f>
        <v>0</v>
      </c>
      <c r="AP246" s="20" t="n">
        <f aca="false">Operations!AP240*Operations!AP245</f>
        <v>0</v>
      </c>
      <c r="AQ246" s="20" t="n">
        <f aca="false">Operations!AQ240*Operations!AQ245</f>
        <v>0</v>
      </c>
      <c r="AR246" s="20" t="n">
        <f aca="false">Operations!AR240*Operations!AR245</f>
        <v>0</v>
      </c>
      <c r="AS246" s="20" t="n">
        <f aca="false">Operations!AS240*Operations!AS245</f>
        <v>0</v>
      </c>
      <c r="AT246" s="20" t="n">
        <f aca="false">Operations!AT240*Operations!AT245</f>
        <v>0</v>
      </c>
      <c r="AU246" s="20" t="n">
        <f aca="false">Operations!AU240*Operations!AU245</f>
        <v>0</v>
      </c>
    </row>
    <row r="247" customFormat="false" ht="15" hidden="false" customHeight="false" outlineLevel="0" collapsed="false">
      <c r="D247" s="0" t="s">
        <v>642</v>
      </c>
      <c r="E247" s="0" t="s">
        <v>47</v>
      </c>
      <c r="G247" s="20" t="n">
        <f aca="false">SUM(J247:AU247)</f>
        <v>-45.9845223858038</v>
      </c>
      <c r="J247" s="20" t="n">
        <f aca="false">Operations!J246*(Inputs!$F$211-Operations!J236*Operations!J242)/1000</f>
        <v>-15.179426013248</v>
      </c>
      <c r="K247" s="20" t="n">
        <f aca="false">Operations!K246*(Inputs!$F$211-Operations!K236*Operations!K242)/1000</f>
        <v>-9.61783156137804</v>
      </c>
      <c r="L247" s="20" t="n">
        <f aca="false">Operations!L246*(Inputs!$F$211-Operations!L236*Operations!L242)/1000</f>
        <v>1.72044700159675</v>
      </c>
      <c r="M247" s="20" t="n">
        <f aca="false">Operations!M246*(Inputs!$F$211-Operations!M236*Operations!M242)/1000</f>
        <v>-1.27909221960044</v>
      </c>
      <c r="N247" s="20" t="n">
        <f aca="false">Operations!N246*(Inputs!$F$211-Operations!N236*Operations!N242)/1000</f>
        <v>-2.49633435664818</v>
      </c>
      <c r="O247" s="20" t="n">
        <f aca="false">Operations!O246*(Inputs!$F$211-Operations!O236*Operations!O242)/1000</f>
        <v>-2.96416926809823</v>
      </c>
      <c r="P247" s="20" t="n">
        <f aca="false">Operations!P246*(Inputs!$F$211-Operations!P236*Operations!P242)/1000</f>
        <v>-3.10952728808018</v>
      </c>
      <c r="Q247" s="20" t="n">
        <f aca="false">Operations!Q246*(Inputs!$F$211-Operations!Q236*Operations!Q242)/1000</f>
        <v>-3.07670746781268</v>
      </c>
      <c r="R247" s="20" t="n">
        <f aca="false">Operations!R246*(Inputs!$F$211-Operations!R236*Operations!R242)/1000</f>
        <v>-3.05145397260295</v>
      </c>
      <c r="S247" s="20" t="n">
        <f aca="false">Operations!S246*(Inputs!$F$211-Operations!S236*Operations!S242)/1000</f>
        <v>-2.90435910409292</v>
      </c>
      <c r="T247" s="20" t="n">
        <f aca="false">Operations!T246*(Inputs!$F$211-Operations!T236*Operations!T242)/1000</f>
        <v>-2.74705891724068</v>
      </c>
      <c r="U247" s="20" t="n">
        <f aca="false">Operations!U246*(Inputs!$F$211-Operations!U236*Operations!U242)/1000</f>
        <v>-1.27900921859823</v>
      </c>
      <c r="V247" s="20" t="n">
        <f aca="false">Operations!V246*(Inputs!$F$211-Operations!V236*Operations!V242)/1000</f>
        <v>-0</v>
      </c>
      <c r="W247" s="20" t="n">
        <f aca="false">Operations!W246*(Inputs!$F$211-Operations!W236*Operations!W242)/1000</f>
        <v>-0</v>
      </c>
      <c r="X247" s="20" t="n">
        <f aca="false">Operations!X246*(Inputs!$F$211-Operations!X236*Operations!X242)/1000</f>
        <v>-0</v>
      </c>
      <c r="Y247" s="20" t="n">
        <f aca="false">Operations!Y246*(Inputs!$F$211-Operations!Y236*Operations!Y242)/1000</f>
        <v>-0</v>
      </c>
      <c r="Z247" s="20" t="n">
        <f aca="false">Operations!Z246*(Inputs!$F$211-Operations!Z236*Operations!Z242)/1000</f>
        <v>-0</v>
      </c>
      <c r="AA247" s="20" t="n">
        <f aca="false">Operations!AA246*(Inputs!$F$211-Operations!AA236*Operations!AA242)/1000</f>
        <v>-0</v>
      </c>
      <c r="AB247" s="20" t="n">
        <f aca="false">Operations!AB246*(Inputs!$F$211-Operations!AB236*Operations!AB242)/1000</f>
        <v>-0</v>
      </c>
      <c r="AC247" s="20" t="n">
        <f aca="false">Operations!AC246*(Inputs!$F$211-Operations!AC236*Operations!AC242)/1000</f>
        <v>-0</v>
      </c>
      <c r="AD247" s="20" t="n">
        <f aca="false">Operations!AD246*(Inputs!$F$211-Operations!AD236*Operations!AD242)/1000</f>
        <v>-0</v>
      </c>
      <c r="AE247" s="20" t="n">
        <f aca="false">Operations!AE246*(Inputs!$F$211-Operations!AE236*Operations!AE242)/1000</f>
        <v>-0</v>
      </c>
      <c r="AF247" s="20" t="n">
        <f aca="false">Operations!AF246*(Inputs!$F$211-Operations!AF236*Operations!AF242)/1000</f>
        <v>-0</v>
      </c>
      <c r="AG247" s="20" t="n">
        <f aca="false">Operations!AG246*(Inputs!$F$211-Operations!AG236*Operations!AG242)/1000</f>
        <v>-0</v>
      </c>
      <c r="AH247" s="20" t="n">
        <f aca="false">Operations!AH246*(Inputs!$F$211-Operations!AH236*Operations!AH242)/1000</f>
        <v>-0</v>
      </c>
      <c r="AI247" s="20" t="n">
        <f aca="false">Operations!AI246*(Inputs!$F$211-Operations!AI236*Operations!AI242)/1000</f>
        <v>-0</v>
      </c>
      <c r="AJ247" s="20" t="n">
        <f aca="false">Operations!AJ246*(Inputs!$F$211-Operations!AJ236*Operations!AJ242)/1000</f>
        <v>-0</v>
      </c>
      <c r="AK247" s="20" t="n">
        <f aca="false">Operations!AK246*(Inputs!$F$211-Operations!AK236*Operations!AK242)/1000</f>
        <v>-0</v>
      </c>
      <c r="AL247" s="20" t="n">
        <f aca="false">Operations!AL246*(Inputs!$F$211-Operations!AL236*Operations!AL242)/1000</f>
        <v>-0</v>
      </c>
      <c r="AM247" s="20" t="n">
        <f aca="false">Operations!AM246*(Inputs!$F$211-Operations!AM236*Operations!AM242)/1000</f>
        <v>-0</v>
      </c>
      <c r="AN247" s="20" t="n">
        <f aca="false">Operations!AN246*(Inputs!$F$211-Operations!AN236*Operations!AN242)/1000</f>
        <v>-0</v>
      </c>
      <c r="AO247" s="20" t="n">
        <f aca="false">Operations!AO246*(Inputs!$F$211-Operations!AO236*Operations!AO242)/1000</f>
        <v>-0</v>
      </c>
      <c r="AP247" s="20" t="n">
        <f aca="false">Operations!AP246*(Inputs!$F$211-Operations!AP236*Operations!AP242)/1000</f>
        <v>-0</v>
      </c>
      <c r="AQ247" s="20" t="n">
        <f aca="false">Operations!AQ246*(Inputs!$F$211-Operations!AQ236*Operations!AQ242)/1000</f>
        <v>-0</v>
      </c>
      <c r="AR247" s="20" t="n">
        <f aca="false">Operations!AR246*(Inputs!$F$211-Operations!AR236*Operations!AR242)/1000</f>
        <v>-0</v>
      </c>
      <c r="AS247" s="20" t="n">
        <f aca="false">Operations!AS246*(Inputs!$F$211-Operations!AS236*Operations!AS242)/1000</f>
        <v>-0</v>
      </c>
      <c r="AT247" s="20" t="n">
        <f aca="false">Operations!AT246*(Inputs!$F$211-Operations!AT236*Operations!AT242)/1000</f>
        <v>-0</v>
      </c>
      <c r="AU247" s="20" t="n">
        <f aca="false">Operations!AU246*(Inputs!$F$211-Operations!AU236*Operations!AU242)/1000</f>
        <v>-0</v>
      </c>
    </row>
    <row r="248" customFormat="false" ht="15" hidden="false" customHeight="false" outlineLevel="0" collapsed="false">
      <c r="D248" s="0" t="s">
        <v>643</v>
      </c>
      <c r="E248" s="0" t="s">
        <v>466</v>
      </c>
      <c r="J248" s="20" t="n">
        <f aca="false">Operations!J241</f>
        <v>443.156</v>
      </c>
      <c r="K248" s="20" t="n">
        <f aca="false">Operations!K241</f>
        <v>438.9109725</v>
      </c>
      <c r="L248" s="20" t="n">
        <f aca="false">Operations!L241</f>
        <v>434.6951763385</v>
      </c>
      <c r="M248" s="20" t="n">
        <f aca="false">Operations!M241</f>
        <v>430.50843439526</v>
      </c>
      <c r="N248" s="20" t="n">
        <f aca="false">Operations!N241</f>
        <v>428.571146440482</v>
      </c>
      <c r="O248" s="20" t="n">
        <f aca="false">Operations!O241</f>
        <v>426.6425762815</v>
      </c>
      <c r="P248" s="20" t="n">
        <f aca="false">Operations!P241</f>
        <v>424.722684688233</v>
      </c>
      <c r="Q248" s="20" t="n">
        <f aca="false">Operations!Q241</f>
        <v>422.811432607136</v>
      </c>
      <c r="R248" s="20" t="n">
        <f aca="false">Operations!R241</f>
        <v>420.908781160404</v>
      </c>
      <c r="S248" s="20" t="n">
        <f aca="false">Operations!S241</f>
        <v>419.014691645182</v>
      </c>
      <c r="T248" s="20" t="n">
        <f aca="false">Operations!T241</f>
        <v>417.129125532779</v>
      </c>
      <c r="U248" s="20" t="n">
        <f aca="false">Operations!U241</f>
        <v>415.252044467881</v>
      </c>
      <c r="V248" s="20" t="n">
        <f aca="false">Operations!V241</f>
        <v>413.383410267776</v>
      </c>
      <c r="W248" s="20" t="n">
        <f aca="false">Operations!W241</f>
        <v>411.523184921571</v>
      </c>
      <c r="X248" s="20" t="n">
        <f aca="false">Operations!X241</f>
        <v>409.671330589424</v>
      </c>
      <c r="Y248" s="20" t="n">
        <f aca="false">Operations!Y241</f>
        <v>407.827809601771</v>
      </c>
      <c r="Z248" s="20" t="n">
        <f aca="false">Operations!Z241</f>
        <v>405.992584458563</v>
      </c>
      <c r="AA248" s="20" t="n">
        <f aca="false">Operations!AA241</f>
        <v>404.1656178285</v>
      </c>
      <c r="AB248" s="20" t="n">
        <f aca="false">Operations!AB241</f>
        <v>402.346872548272</v>
      </c>
      <c r="AC248" s="20" t="n">
        <f aca="false">Operations!AC241</f>
        <v>400.536311621804</v>
      </c>
      <c r="AD248" s="20" t="n">
        <f aca="false">Operations!AD241</f>
        <v>398.733898219506</v>
      </c>
      <c r="AE248" s="20" t="n">
        <f aca="false">Operations!AE241</f>
        <v>396.939595677519</v>
      </c>
      <c r="AF248" s="20" t="n">
        <f aca="false">Operations!AF241</f>
        <v>395.15336749697</v>
      </c>
      <c r="AG248" s="20" t="n">
        <f aca="false">Operations!AG241</f>
        <v>393.375177343234</v>
      </c>
      <c r="AH248" s="20" t="n">
        <f aca="false">Operations!AH241</f>
        <v>391.604989045189</v>
      </c>
      <c r="AI248" s="20" t="n">
        <f aca="false">Operations!AI241</f>
        <v>389.842766594486</v>
      </c>
      <c r="AJ248" s="20" t="n">
        <f aca="false">Operations!AJ241</f>
        <v>388.08847414481</v>
      </c>
      <c r="AK248" s="20" t="n">
        <f aca="false">Operations!AK241</f>
        <v>386.342076011159</v>
      </c>
      <c r="AL248" s="20" t="n">
        <f aca="false">Operations!AL241</f>
        <v>384.603536669109</v>
      </c>
      <c r="AM248" s="20" t="n">
        <f aca="false">Operations!AM241</f>
        <v>382.872820754098</v>
      </c>
      <c r="AN248" s="20" t="n">
        <f aca="false">Operations!AN241</f>
        <v>381.149893060704</v>
      </c>
      <c r="AO248" s="20" t="n">
        <f aca="false">Operations!AO241</f>
        <v>379.434718541931</v>
      </c>
      <c r="AP248" s="20" t="n">
        <f aca="false">Operations!AP241</f>
        <v>377.727262308492</v>
      </c>
      <c r="AQ248" s="20" t="n">
        <f aca="false">Operations!AQ241</f>
        <v>376.027489628104</v>
      </c>
      <c r="AR248" s="20" t="n">
        <f aca="false">Operations!AR241</f>
        <v>186.144908738551</v>
      </c>
      <c r="AS248" s="20" t="n">
        <f aca="false">Operations!AS241</f>
        <v>0</v>
      </c>
      <c r="AT248" s="20" t="n">
        <f aca="false">Operations!AT241</f>
        <v>0</v>
      </c>
      <c r="AU248" s="20" t="n">
        <f aca="false">Operations!AU241</f>
        <v>0</v>
      </c>
    </row>
    <row r="249" customFormat="false" ht="15" hidden="false" customHeight="false" outlineLevel="0" collapsed="false">
      <c r="D249" s="0" t="s">
        <v>644</v>
      </c>
      <c r="E249" s="0" t="s">
        <v>47</v>
      </c>
      <c r="J249" s="20" t="n">
        <f aca="false">Operations!J246*Inputs!$F$211/1000</f>
        <v>12.3418946</v>
      </c>
      <c r="K249" s="20" t="n">
        <f aca="false">Operations!K246*Inputs!$F$211/1000</f>
        <v>12.223670584125</v>
      </c>
      <c r="L249" s="20" t="n">
        <f aca="false">Operations!L246*Inputs!$F$211/1000</f>
        <v>12.1062606610272</v>
      </c>
      <c r="M249" s="20" t="n">
        <f aca="false">Operations!M246*Inputs!$F$211/1000</f>
        <v>11.989659897908</v>
      </c>
      <c r="N249" s="20" t="n">
        <f aca="false">Operations!N246*Inputs!$F$211/1000</f>
        <v>11.9357064283674</v>
      </c>
      <c r="O249" s="20" t="n">
        <f aca="false">Operations!O246*Inputs!$F$211/1000</f>
        <v>11.8819957494398</v>
      </c>
      <c r="P249" s="20" t="n">
        <f aca="false">Operations!P246*Inputs!$F$211/1000</f>
        <v>11.8285267685673</v>
      </c>
      <c r="Q249" s="20" t="n">
        <f aca="false">Operations!Q246*Inputs!$F$211/1000</f>
        <v>11.7752983981087</v>
      </c>
      <c r="R249" s="20" t="n">
        <f aca="false">Operations!R246*Inputs!$F$211/1000</f>
        <v>11.7223095553172</v>
      </c>
      <c r="S249" s="20" t="n">
        <f aca="false">Operations!S246*Inputs!$F$211/1000</f>
        <v>11.6695591623183</v>
      </c>
      <c r="T249" s="20" t="n">
        <f aca="false">Operations!T246*Inputs!$F$211/1000</f>
        <v>11.6170461460879</v>
      </c>
      <c r="U249" s="20" t="n">
        <f aca="false">Operations!U246*Inputs!$F$211/1000</f>
        <v>5.73485826946827</v>
      </c>
      <c r="V249" s="20" t="n">
        <f aca="false">Operations!V246*Inputs!$F$211/1000</f>
        <v>0</v>
      </c>
      <c r="W249" s="20" t="n">
        <f aca="false">Operations!W246*Inputs!$F$211/1000</f>
        <v>0</v>
      </c>
      <c r="X249" s="20" t="n">
        <f aca="false">Operations!X246*Inputs!$F$211/1000</f>
        <v>0</v>
      </c>
      <c r="Y249" s="20" t="n">
        <f aca="false">Operations!Y246*Inputs!$F$211/1000</f>
        <v>0</v>
      </c>
      <c r="Z249" s="20" t="n">
        <f aca="false">Operations!Z246*Inputs!$F$211/1000</f>
        <v>0</v>
      </c>
      <c r="AA249" s="20" t="n">
        <f aca="false">Operations!AA246*Inputs!$F$211/1000</f>
        <v>0</v>
      </c>
      <c r="AB249" s="20" t="n">
        <f aca="false">Operations!AB246*Inputs!$F$211/1000</f>
        <v>0</v>
      </c>
      <c r="AC249" s="20" t="n">
        <f aca="false">Operations!AC246*Inputs!$F$211/1000</f>
        <v>0</v>
      </c>
      <c r="AD249" s="20" t="n">
        <f aca="false">Operations!AD246*Inputs!$F$211/1000</f>
        <v>0</v>
      </c>
      <c r="AE249" s="20" t="n">
        <f aca="false">Operations!AE246*Inputs!$F$211/1000</f>
        <v>0</v>
      </c>
      <c r="AF249" s="20" t="n">
        <f aca="false">Operations!AF246*Inputs!$F$211/1000</f>
        <v>0</v>
      </c>
      <c r="AG249" s="20" t="n">
        <f aca="false">Operations!AG246*Inputs!$F$211/1000</f>
        <v>0</v>
      </c>
      <c r="AH249" s="20" t="n">
        <f aca="false">Operations!AH246*Inputs!$F$211/1000</f>
        <v>0</v>
      </c>
      <c r="AI249" s="20" t="n">
        <f aca="false">Operations!AI246*Inputs!$F$211/1000</f>
        <v>0</v>
      </c>
      <c r="AJ249" s="20" t="n">
        <f aca="false">Operations!AJ246*Inputs!$F$211/1000</f>
        <v>0</v>
      </c>
      <c r="AK249" s="20" t="n">
        <f aca="false">Operations!AK246*Inputs!$F$211/1000</f>
        <v>0</v>
      </c>
      <c r="AL249" s="20" t="n">
        <f aca="false">Operations!AL246*Inputs!$F$211/1000</f>
        <v>0</v>
      </c>
      <c r="AM249" s="20" t="n">
        <f aca="false">Operations!AM246*Inputs!$F$211/1000</f>
        <v>0</v>
      </c>
      <c r="AN249" s="20" t="n">
        <f aca="false">Operations!AN246*Inputs!$F$211/1000</f>
        <v>0</v>
      </c>
      <c r="AO249" s="20" t="n">
        <f aca="false">Operations!AO246*Inputs!$F$211/1000</f>
        <v>0</v>
      </c>
      <c r="AP249" s="20" t="n">
        <f aca="false">Operations!AP246*Inputs!$F$211/1000</f>
        <v>0</v>
      </c>
      <c r="AQ249" s="20" t="n">
        <f aca="false">Operations!AQ246*Inputs!$F$211/1000</f>
        <v>0</v>
      </c>
      <c r="AR249" s="20" t="n">
        <f aca="false">Operations!AR246*Inputs!$F$211/1000</f>
        <v>0</v>
      </c>
      <c r="AS249" s="20" t="n">
        <f aca="false">Operations!AS246*Inputs!$F$211/1000</f>
        <v>0</v>
      </c>
      <c r="AT249" s="20" t="n">
        <f aca="false">Operations!AT246*Inputs!$F$211/1000</f>
        <v>0</v>
      </c>
      <c r="AU249" s="20" t="n">
        <f aca="false">Operations!AU246*Inputs!$F$211/1000</f>
        <v>0</v>
      </c>
    </row>
    <row r="250" customFormat="false" ht="15" hidden="false" customHeight="false" outlineLevel="0" collapsed="false">
      <c r="D250" s="0" t="s">
        <v>645</v>
      </c>
      <c r="E250" s="0" t="s">
        <v>47</v>
      </c>
      <c r="J250" s="20" t="n">
        <f aca="false">0</f>
        <v>0</v>
      </c>
      <c r="K250" s="20" t="n">
        <f aca="false">0</f>
        <v>0</v>
      </c>
      <c r="L250" s="20" t="n">
        <f aca="false">0</f>
        <v>0</v>
      </c>
      <c r="M250" s="20" t="n">
        <f aca="false">0</f>
        <v>0</v>
      </c>
      <c r="N250" s="20" t="n">
        <f aca="false">0</f>
        <v>0</v>
      </c>
      <c r="O250" s="20" t="n">
        <f aca="false">0</f>
        <v>0</v>
      </c>
      <c r="P250" s="20" t="n">
        <f aca="false">0</f>
        <v>0</v>
      </c>
      <c r="Q250" s="20" t="n">
        <f aca="false">0</f>
        <v>0</v>
      </c>
      <c r="R250" s="20" t="n">
        <f aca="false">0</f>
        <v>0</v>
      </c>
      <c r="S250" s="20" t="n">
        <f aca="false">0</f>
        <v>0</v>
      </c>
      <c r="T250" s="20" t="n">
        <f aca="false">0</f>
        <v>0</v>
      </c>
      <c r="U250" s="20" t="n">
        <f aca="false">0</f>
        <v>0</v>
      </c>
      <c r="V250" s="20" t="n">
        <f aca="false">0</f>
        <v>0</v>
      </c>
      <c r="W250" s="20" t="n">
        <f aca="false">0</f>
        <v>0</v>
      </c>
      <c r="X250" s="20" t="n">
        <f aca="false">0</f>
        <v>0</v>
      </c>
      <c r="Y250" s="20" t="n">
        <f aca="false">0</f>
        <v>0</v>
      </c>
      <c r="Z250" s="20" t="n">
        <f aca="false">0</f>
        <v>0</v>
      </c>
      <c r="AA250" s="20" t="n">
        <f aca="false">0</f>
        <v>0</v>
      </c>
      <c r="AB250" s="20" t="n">
        <f aca="false">0</f>
        <v>0</v>
      </c>
      <c r="AC250" s="20" t="n">
        <f aca="false">0</f>
        <v>0</v>
      </c>
      <c r="AD250" s="20" t="n">
        <f aca="false">0</f>
        <v>0</v>
      </c>
      <c r="AE250" s="20" t="n">
        <f aca="false">0</f>
        <v>0</v>
      </c>
      <c r="AF250" s="20" t="n">
        <f aca="false">0</f>
        <v>0</v>
      </c>
      <c r="AG250" s="20" t="n">
        <f aca="false">0</f>
        <v>0</v>
      </c>
      <c r="AH250" s="20" t="n">
        <f aca="false">0</f>
        <v>0</v>
      </c>
      <c r="AI250" s="20" t="n">
        <f aca="false">0</f>
        <v>0</v>
      </c>
      <c r="AJ250" s="20" t="n">
        <f aca="false">0</f>
        <v>0</v>
      </c>
      <c r="AK250" s="20" t="n">
        <f aca="false">0</f>
        <v>0</v>
      </c>
      <c r="AL250" s="20" t="n">
        <f aca="false">0</f>
        <v>0</v>
      </c>
      <c r="AM250" s="20" t="n">
        <f aca="false">0</f>
        <v>0</v>
      </c>
      <c r="AN250" s="20" t="n">
        <f aca="false">0</f>
        <v>0</v>
      </c>
      <c r="AO250" s="20" t="n">
        <f aca="false">0</f>
        <v>0</v>
      </c>
      <c r="AP250" s="20" t="n">
        <f aca="false">0</f>
        <v>0</v>
      </c>
      <c r="AQ250" s="20" t="n">
        <f aca="false">0</f>
        <v>0</v>
      </c>
      <c r="AR250" s="20" t="n">
        <f aca="false">0</f>
        <v>0</v>
      </c>
      <c r="AS250" s="20" t="n">
        <f aca="false">0</f>
        <v>0</v>
      </c>
      <c r="AT250" s="20" t="n">
        <f aca="false">0</f>
        <v>0</v>
      </c>
      <c r="AU250" s="20" t="n">
        <f aca="false">0</f>
        <v>0</v>
      </c>
    </row>
    <row r="251" customFormat="false" ht="15" hidden="false" customHeight="false" outlineLevel="0" collapsed="false">
      <c r="D251" s="0" t="s">
        <v>646</v>
      </c>
      <c r="E251" s="0" t="s">
        <v>47</v>
      </c>
      <c r="G251" s="20" t="n">
        <f aca="false">SUM(J251:AU251)</f>
        <v>523.64626726126</v>
      </c>
      <c r="J251" s="20" t="n">
        <f aca="false">Operations!J248*Operations!J244/1000</f>
        <v>26.561274545344</v>
      </c>
      <c r="K251" s="20" t="n">
        <f aca="false">Operations!K248*Operations!K244/1000</f>
        <v>21.0614484974494</v>
      </c>
      <c r="L251" s="20" t="n">
        <f aca="false">Operations!L248*Operations!L244/1000</f>
        <v>10.0058448670123</v>
      </c>
      <c r="M251" s="20" t="n">
        <f aca="false">Operations!M248*Operations!M244/1000</f>
        <v>12.7711739131019</v>
      </c>
      <c r="N251" s="20" t="n">
        <f aca="false">Operations!N248*Operations!N244/1000</f>
        <v>13.8769622932842</v>
      </c>
      <c r="O251" s="20" t="n">
        <f aca="false">Operations!O248*Operations!O244/1000</f>
        <v>14.2601321878983</v>
      </c>
      <c r="P251" s="20" t="n">
        <f aca="false">Operations!P248*Operations!P244/1000</f>
        <v>14.3324572705672</v>
      </c>
      <c r="Q251" s="20" t="n">
        <f aca="false">Operations!Q248*Operations!Q244/1000</f>
        <v>14.2331722881747</v>
      </c>
      <c r="R251" s="20" t="n">
        <f aca="false">Operations!R248*Operations!R244/1000</f>
        <v>14.1406022338665</v>
      </c>
      <c r="S251" s="20" t="n">
        <f aca="false">Operations!S248*Operations!S244/1000</f>
        <v>13.9309512840696</v>
      </c>
      <c r="T251" s="20" t="n">
        <f aca="false">Operations!T248*Operations!T244/1000</f>
        <v>13.7111911968136</v>
      </c>
      <c r="U251" s="20" t="n">
        <f aca="false">Operations!U248*Operations!U244/1000</f>
        <v>13.4809875364124</v>
      </c>
      <c r="V251" s="20" t="n">
        <f aca="false">Operations!V248*Operations!V244/1000</f>
        <v>13.2400131859012</v>
      </c>
      <c r="W251" s="20" t="n">
        <f aca="false">Operations!W248*Operations!W244/1000</f>
        <v>12.987948259705</v>
      </c>
      <c r="X251" s="20" t="n">
        <f aca="false">Operations!X248*Operations!X244/1000</f>
        <v>13.1871883813736</v>
      </c>
      <c r="Y251" s="20" t="n">
        <f aca="false">Operations!Y248*Operations!Y244/1000</f>
        <v>13.3911230281617</v>
      </c>
      <c r="Z251" s="20" t="n">
        <f aca="false">Operations!Z248*Operations!Z244/1000</f>
        <v>13.597435431932</v>
      </c>
      <c r="AA251" s="20" t="n">
        <f aca="false">Operations!AA248*Operations!AA244/1000</f>
        <v>13.8060799022529</v>
      </c>
      <c r="AB251" s="20" t="n">
        <f aca="false">Operations!AB248*Operations!AB244/1000</f>
        <v>14.0192311915853</v>
      </c>
      <c r="AC251" s="20" t="n">
        <f aca="false">Operations!AC248*Operations!AC244/1000</f>
        <v>14.2346045445018</v>
      </c>
      <c r="AD251" s="20" t="n">
        <f aca="false">Operations!AD248*Operations!AD244/1000</f>
        <v>14.4543558102808</v>
      </c>
      <c r="AE251" s="20" t="n">
        <f aca="false">Operations!AE248*Operations!AE244/1000</f>
        <v>14.676221371752</v>
      </c>
      <c r="AF251" s="20" t="n">
        <f aca="false">Operations!AF248*Operations!AF244/1000</f>
        <v>14.9023383371262</v>
      </c>
      <c r="AG251" s="20" t="n">
        <f aca="false">Operations!AG248*Operations!AG244/1000</f>
        <v>15.1326345169649</v>
      </c>
      <c r="AH251" s="20" t="n">
        <f aca="false">Operations!AH248*Operations!AH244/1000</f>
        <v>15.3648776982088</v>
      </c>
      <c r="AI251" s="20" t="n">
        <f aca="false">Operations!AI248*Operations!AI244/1000</f>
        <v>15.6011772443195</v>
      </c>
      <c r="AJ251" s="20" t="n">
        <f aca="false">Operations!AJ248*Operations!AJ244/1000</f>
        <v>15.8414629066365</v>
      </c>
      <c r="AK251" s="20" t="n">
        <f aca="false">Operations!AK248*Operations!AK244/1000</f>
        <v>16.0856651172693</v>
      </c>
      <c r="AL251" s="20" t="n">
        <f aca="false">Operations!AL248*Operations!AL244/1000</f>
        <v>16.3337149838044</v>
      </c>
      <c r="AM251" s="20" t="n">
        <f aca="false">Operations!AM248*Operations!AM244/1000</f>
        <v>16.5855442840493</v>
      </c>
      <c r="AN251" s="20" t="n">
        <f aca="false">Operations!AN248*Operations!AN244/1000</f>
        <v>16.8410854608135</v>
      </c>
      <c r="AO251" s="20" t="n">
        <f aca="false">Operations!AO248*Operations!AO244/1000</f>
        <v>17.1002716167242</v>
      </c>
      <c r="AP251" s="20" t="n">
        <f aca="false">Operations!AP248*Operations!AP244/1000</f>
        <v>17.3630365090786</v>
      </c>
      <c r="AQ251" s="20" t="n">
        <f aca="false">Operations!AQ248*Operations!AQ244/1000</f>
        <v>17.6313893140087</v>
      </c>
      <c r="AR251" s="20" t="n">
        <f aca="false">Operations!AR248*Operations!AR244/1000</f>
        <v>8.90267005081511</v>
      </c>
      <c r="AS251" s="20" t="n">
        <f aca="false">Operations!AS248*Operations!AS244/1000</f>
        <v>0</v>
      </c>
      <c r="AT251" s="20" t="n">
        <f aca="false">Operations!AT248*Operations!AT244/1000</f>
        <v>0</v>
      </c>
      <c r="AU251" s="20" t="n">
        <f aca="false">Operations!AU248*Operations!AU244/1000</f>
        <v>0</v>
      </c>
    </row>
    <row r="252" customFormat="false" ht="15" hidden="false" customHeight="false" outlineLevel="0" collapsed="false">
      <c r="D252" s="0" t="s">
        <v>647</v>
      </c>
      <c r="E252" s="0" t="s">
        <v>47</v>
      </c>
      <c r="G252" s="20" t="n">
        <f aca="false">SUM(J252:AU252)</f>
        <v>477.661744875456</v>
      </c>
      <c r="J252" s="20" t="n">
        <f aca="false">Operations!J251+Operations!J247</f>
        <v>11.381848532096</v>
      </c>
      <c r="K252" s="20" t="n">
        <f aca="false">Operations!K251+Operations!K247</f>
        <v>11.4436169360713</v>
      </c>
      <c r="L252" s="20" t="n">
        <f aca="false">Operations!L251+Operations!L247</f>
        <v>11.726291868609</v>
      </c>
      <c r="M252" s="20" t="n">
        <f aca="false">Operations!M251+Operations!M247</f>
        <v>11.4920816935014</v>
      </c>
      <c r="N252" s="20" t="n">
        <f aca="false">Operations!N251+Operations!N247</f>
        <v>11.3806279366361</v>
      </c>
      <c r="O252" s="20" t="n">
        <f aca="false">Operations!O251+Operations!O247</f>
        <v>11.2959629198001</v>
      </c>
      <c r="P252" s="20" t="n">
        <f aca="false">Operations!P251+Operations!P247</f>
        <v>11.222929982487</v>
      </c>
      <c r="Q252" s="20" t="n">
        <f aca="false">Operations!Q251+Operations!Q247</f>
        <v>11.156464820362</v>
      </c>
      <c r="R252" s="20" t="n">
        <f aca="false">Operations!R251+Operations!R247</f>
        <v>11.0891482612635</v>
      </c>
      <c r="S252" s="20" t="n">
        <f aca="false">Operations!S251+Operations!S247</f>
        <v>11.0265921799766</v>
      </c>
      <c r="T252" s="20" t="n">
        <f aca="false">Operations!T251+Operations!T247</f>
        <v>10.964132279573</v>
      </c>
      <c r="U252" s="20" t="n">
        <f aca="false">Operations!U251+Operations!U247</f>
        <v>12.2019783178141</v>
      </c>
      <c r="V252" s="20" t="n">
        <f aca="false">Operations!V251+Operations!V247</f>
        <v>13.2400131859012</v>
      </c>
      <c r="W252" s="20" t="n">
        <f aca="false">Operations!W251+Operations!W247</f>
        <v>12.987948259705</v>
      </c>
      <c r="X252" s="20" t="n">
        <f aca="false">Operations!X251+Operations!X247</f>
        <v>13.1871883813736</v>
      </c>
      <c r="Y252" s="20" t="n">
        <f aca="false">Operations!Y251+Operations!Y247</f>
        <v>13.3911230281617</v>
      </c>
      <c r="Z252" s="20" t="n">
        <f aca="false">Operations!Z251+Operations!Z247</f>
        <v>13.597435431932</v>
      </c>
      <c r="AA252" s="20" t="n">
        <f aca="false">Operations!AA251+Operations!AA247</f>
        <v>13.8060799022529</v>
      </c>
      <c r="AB252" s="20" t="n">
        <f aca="false">Operations!AB251+Operations!AB247</f>
        <v>14.0192311915853</v>
      </c>
      <c r="AC252" s="20" t="n">
        <f aca="false">Operations!AC251+Operations!AC247</f>
        <v>14.2346045445018</v>
      </c>
      <c r="AD252" s="20" t="n">
        <f aca="false">Operations!AD251+Operations!AD247</f>
        <v>14.4543558102808</v>
      </c>
      <c r="AE252" s="20" t="n">
        <f aca="false">Operations!AE251+Operations!AE247</f>
        <v>14.676221371752</v>
      </c>
      <c r="AF252" s="20" t="n">
        <f aca="false">Operations!AF251+Operations!AF247</f>
        <v>14.9023383371262</v>
      </c>
      <c r="AG252" s="20" t="n">
        <f aca="false">Operations!AG251+Operations!AG247</f>
        <v>15.1326345169649</v>
      </c>
      <c r="AH252" s="20" t="n">
        <f aca="false">Operations!AH251+Operations!AH247</f>
        <v>15.3648776982088</v>
      </c>
      <c r="AI252" s="20" t="n">
        <f aca="false">Operations!AI251+Operations!AI247</f>
        <v>15.6011772443195</v>
      </c>
      <c r="AJ252" s="20" t="n">
        <f aca="false">Operations!AJ251+Operations!AJ247</f>
        <v>15.8414629066365</v>
      </c>
      <c r="AK252" s="20" t="n">
        <f aca="false">Operations!AK251+Operations!AK247</f>
        <v>16.0856651172693</v>
      </c>
      <c r="AL252" s="20" t="n">
        <f aca="false">Operations!AL251+Operations!AL247</f>
        <v>16.3337149838044</v>
      </c>
      <c r="AM252" s="20" t="n">
        <f aca="false">Operations!AM251+Operations!AM247</f>
        <v>16.5855442840493</v>
      </c>
      <c r="AN252" s="20" t="n">
        <f aca="false">Operations!AN251+Operations!AN247</f>
        <v>16.8410854608135</v>
      </c>
      <c r="AO252" s="20" t="n">
        <f aca="false">Operations!AO251+Operations!AO247</f>
        <v>17.1002716167242</v>
      </c>
      <c r="AP252" s="20" t="n">
        <f aca="false">Operations!AP251+Operations!AP247</f>
        <v>17.3630365090786</v>
      </c>
      <c r="AQ252" s="20" t="n">
        <f aca="false">Operations!AQ251+Operations!AQ247</f>
        <v>17.6313893140087</v>
      </c>
      <c r="AR252" s="20" t="n">
        <f aca="false">Operations!AR251+Operations!AR247</f>
        <v>8.90267005081511</v>
      </c>
      <c r="AS252" s="20" t="n">
        <f aca="false">Operations!AS251+Operations!AS247</f>
        <v>0</v>
      </c>
      <c r="AT252" s="20" t="n">
        <f aca="false">Operations!AT251+Operations!AT247</f>
        <v>0</v>
      </c>
      <c r="AU252" s="20" t="n">
        <f aca="false">Operations!AU251+Operations!AU247</f>
        <v>0</v>
      </c>
    </row>
    <row r="253" customFormat="false" ht="15" hidden="false" customHeight="false" outlineLevel="0" collapsed="false">
      <c r="D253" s="0" t="s">
        <v>648</v>
      </c>
      <c r="E253" s="0" t="s">
        <v>47</v>
      </c>
      <c r="J253" s="20" t="n">
        <f aca="false">Operations!J252-Operations!J249-Operations!J250</f>
        <v>-0.960046067904001</v>
      </c>
      <c r="K253" s="20" t="n">
        <f aca="false">Operations!K252-Operations!K249-Operations!K250</f>
        <v>-0.780053648053679</v>
      </c>
      <c r="L253" s="20" t="n">
        <f aca="false">Operations!L252-Operations!L249-Operations!L250</f>
        <v>-0.379968792418188</v>
      </c>
      <c r="M253" s="20" t="n">
        <f aca="false">Operations!M252-Operations!M249-Operations!M250</f>
        <v>-0.497578204406567</v>
      </c>
      <c r="N253" s="20" t="n">
        <f aca="false">Operations!N252-Operations!N249-Operations!N250</f>
        <v>-0.555078491731369</v>
      </c>
      <c r="O253" s="20" t="n">
        <f aca="false">Operations!O252-Operations!O249-Operations!O250</f>
        <v>-0.586032829639658</v>
      </c>
      <c r="P253" s="20" t="n">
        <f aca="false">Operations!P252-Operations!P249-Operations!P250</f>
        <v>-0.605596786080303</v>
      </c>
      <c r="Q253" s="20" t="n">
        <f aca="false">Operations!Q252-Operations!Q249-Operations!Q250</f>
        <v>-0.618833577746724</v>
      </c>
      <c r="R253" s="20" t="n">
        <f aca="false">Operations!R252-Operations!R249-Operations!R250</f>
        <v>-0.633161294053721</v>
      </c>
      <c r="S253" s="20" t="n">
        <f aca="false">Operations!S252-Operations!S249-Operations!S250</f>
        <v>-0.642966982341672</v>
      </c>
      <c r="T253" s="20" t="n">
        <f aca="false">Operations!T252-Operations!T249-Operations!T250</f>
        <v>-0.652913866514933</v>
      </c>
      <c r="U253" s="20" t="n">
        <f aca="false">Operations!U252-Operations!U249-Operations!U250</f>
        <v>6.46712004834585</v>
      </c>
      <c r="V253" s="20" t="n">
        <f aca="false">Operations!V252-Operations!V249-Operations!V250</f>
        <v>13.2400131859012</v>
      </c>
      <c r="W253" s="20" t="n">
        <f aca="false">Operations!W252-Operations!W249-Operations!W250</f>
        <v>12.987948259705</v>
      </c>
      <c r="X253" s="20" t="n">
        <f aca="false">Operations!X252-Operations!X249-Operations!X250</f>
        <v>13.1871883813736</v>
      </c>
      <c r="Y253" s="20" t="n">
        <f aca="false">Operations!Y252-Operations!Y249-Operations!Y250</f>
        <v>13.3911230281617</v>
      </c>
      <c r="Z253" s="20" t="n">
        <f aca="false">Operations!Z252-Operations!Z249-Operations!Z250</f>
        <v>13.597435431932</v>
      </c>
      <c r="AA253" s="20" t="n">
        <f aca="false">Operations!AA252-Operations!AA249-Operations!AA250</f>
        <v>13.8060799022529</v>
      </c>
      <c r="AB253" s="20" t="n">
        <f aca="false">Operations!AB252-Operations!AB249-Operations!AB250</f>
        <v>14.0192311915853</v>
      </c>
      <c r="AC253" s="20" t="n">
        <f aca="false">Operations!AC252-Operations!AC249-Operations!AC250</f>
        <v>14.2346045445018</v>
      </c>
      <c r="AD253" s="20" t="n">
        <f aca="false">Operations!AD252-Operations!AD249-Operations!AD250</f>
        <v>14.4543558102808</v>
      </c>
      <c r="AE253" s="20" t="n">
        <f aca="false">Operations!AE252-Operations!AE249-Operations!AE250</f>
        <v>14.676221371752</v>
      </c>
      <c r="AF253" s="20" t="n">
        <f aca="false">Operations!AF252-Operations!AF249-Operations!AF250</f>
        <v>14.9023383371262</v>
      </c>
      <c r="AG253" s="20" t="n">
        <f aca="false">Operations!AG252-Operations!AG249-Operations!AG250</f>
        <v>15.1326345169649</v>
      </c>
      <c r="AH253" s="20" t="n">
        <f aca="false">Operations!AH252-Operations!AH249-Operations!AH250</f>
        <v>15.3648776982088</v>
      </c>
      <c r="AI253" s="20" t="n">
        <f aca="false">Operations!AI252-Operations!AI249-Operations!AI250</f>
        <v>15.6011772443195</v>
      </c>
      <c r="AJ253" s="20" t="n">
        <f aca="false">Operations!AJ252-Operations!AJ249-Operations!AJ250</f>
        <v>15.8414629066365</v>
      </c>
      <c r="AK253" s="20" t="n">
        <f aca="false">Operations!AK252-Operations!AK249-Operations!AK250</f>
        <v>16.0856651172693</v>
      </c>
      <c r="AL253" s="20" t="n">
        <f aca="false">Operations!AL252-Operations!AL249-Operations!AL250</f>
        <v>16.3337149838044</v>
      </c>
      <c r="AM253" s="20" t="n">
        <f aca="false">Operations!AM252-Operations!AM249-Operations!AM250</f>
        <v>16.5855442840493</v>
      </c>
      <c r="AN253" s="20" t="n">
        <f aca="false">Operations!AN252-Operations!AN249-Operations!AN250</f>
        <v>16.8410854608135</v>
      </c>
      <c r="AO253" s="20" t="n">
        <f aca="false">Operations!AO252-Operations!AO249-Operations!AO250</f>
        <v>17.1002716167242</v>
      </c>
      <c r="AP253" s="20" t="n">
        <f aca="false">Operations!AP252-Operations!AP249-Operations!AP250</f>
        <v>17.3630365090786</v>
      </c>
      <c r="AQ253" s="20" t="n">
        <f aca="false">Operations!AQ252-Operations!AQ249-Operations!AQ250</f>
        <v>17.6313893140087</v>
      </c>
      <c r="AR253" s="20" t="n">
        <f aca="false">Operations!AR252-Operations!AR249-Operations!AR250</f>
        <v>8.90267005081511</v>
      </c>
      <c r="AS253" s="20" t="n">
        <f aca="false">Operations!AS252-Operations!AS249-Operations!AS250</f>
        <v>0</v>
      </c>
      <c r="AT253" s="20" t="n">
        <f aca="false">Operations!AT252-Operations!AT249-Operations!AT250</f>
        <v>0</v>
      </c>
      <c r="AU253" s="20" t="n">
        <f aca="false">Operations!AU252-Operations!AU249-Operations!AU250</f>
        <v>0</v>
      </c>
    </row>
    <row r="254" customFormat="false" ht="15" hidden="false" customHeight="false" outlineLevel="0" collapsed="false">
      <c r="D254" s="0" t="s">
        <v>649</v>
      </c>
      <c r="E254" s="0" t="s">
        <v>47</v>
      </c>
      <c r="J254" s="20" t="n">
        <f aca="false">Inputs!$F$136*Inputs!$F$132/1000*Time!J$9*Time!J$10*Operations!J233*Operations!$F$50</f>
        <v>3.35616</v>
      </c>
      <c r="K254" s="20" t="n">
        <f aca="false">Inputs!$F$136*Inputs!$F$132/1000*Time!K$9*Time!K$10*Operations!K233*Operations!$F$50</f>
        <v>3.553586112</v>
      </c>
      <c r="L254" s="20" t="n">
        <f aca="false">Inputs!$F$136*Inputs!$F$132/1000*Time!L$9*Time!L$10*Operations!L233*Operations!$F$50</f>
        <v>3.6424257648</v>
      </c>
      <c r="M254" s="20" t="n">
        <f aca="false">Inputs!$F$136*Inputs!$F$132/1000*Time!M$9*Time!M$10*Operations!M233*Operations!$F$50</f>
        <v>3.73348640892</v>
      </c>
      <c r="N254" s="20" t="n">
        <f aca="false">Inputs!$F$136*Inputs!$F$132/1000*Time!N$9*Time!N$10*Operations!N233*Operations!$F$50</f>
        <v>3.826823569143</v>
      </c>
      <c r="O254" s="20" t="n">
        <f aca="false">Inputs!$F$136*Inputs!$F$132/1000*Time!O$9*Time!O$10*Operations!O233*Operations!$F$50</f>
        <v>3.92249415837157</v>
      </c>
      <c r="P254" s="20" t="n">
        <f aca="false">Inputs!$F$136*Inputs!$F$132/1000*Time!P$9*Time!P$10*Operations!P233*Operations!$F$50</f>
        <v>4.02055651233086</v>
      </c>
      <c r="Q254" s="20" t="n">
        <f aca="false">Inputs!$F$136*Inputs!$F$132/1000*Time!Q$9*Time!Q$10*Operations!Q233*Operations!$F$50</f>
        <v>4.12107042513913</v>
      </c>
      <c r="R254" s="20" t="n">
        <f aca="false">Inputs!$F$136*Inputs!$F$132/1000*Time!R$9*Time!R$10*Operations!R233*Operations!$F$50</f>
        <v>4.22409718576761</v>
      </c>
      <c r="S254" s="20" t="n">
        <f aca="false">Inputs!$F$136*Inputs!$F$132/1000*Time!S$9*Time!S$10*Operations!S233*Operations!$F$50</f>
        <v>4.3296996154118</v>
      </c>
      <c r="T254" s="20" t="n">
        <f aca="false">Inputs!$F$136*Inputs!$F$132/1000*Time!T$9*Time!T$10*Operations!T233*Operations!$F$50</f>
        <v>4.4379421057971</v>
      </c>
      <c r="U254" s="20" t="n">
        <f aca="false">Inputs!$F$136*Inputs!$F$132/1000*Time!U$9*Time!U$10*Operations!U233*Operations!$F$50</f>
        <v>4.54889065844202</v>
      </c>
      <c r="V254" s="20" t="n">
        <f aca="false">Inputs!$F$136*Inputs!$F$132/1000*Time!V$9*Time!V$10*Operations!V233*Operations!$F$50</f>
        <v>4.66261292490307</v>
      </c>
      <c r="W254" s="20" t="n">
        <f aca="false">Inputs!$F$136*Inputs!$F$132/1000*Time!W$9*Time!W$10*Operations!W233*Operations!$F$50</f>
        <v>4.77917824802565</v>
      </c>
      <c r="X254" s="20" t="n">
        <f aca="false">Inputs!$F$136*Inputs!$F$132/1000*Time!X$9*Time!X$10*Operations!X233*Operations!$F$50</f>
        <v>4.89865770422629</v>
      </c>
      <c r="Y254" s="20" t="n">
        <f aca="false">Inputs!$F$136*Inputs!$F$132/1000*Time!Y$9*Time!Y$10*Operations!Y233*Operations!$F$50</f>
        <v>5.02112414683195</v>
      </c>
      <c r="Z254" s="20" t="n">
        <f aca="false">Inputs!$F$136*Inputs!$F$132/1000*Time!Z$9*Time!Z$10*Operations!Z233*Operations!$F$50</f>
        <v>5.14665225050275</v>
      </c>
      <c r="AA254" s="20" t="n">
        <f aca="false">Inputs!$F$136*Inputs!$F$132/1000*Time!AA$9*Time!AA$10*Operations!AA233*Operations!$F$50</f>
        <v>5.27531855676531</v>
      </c>
      <c r="AB254" s="20" t="n">
        <f aca="false">Inputs!$F$136*Inputs!$F$132/1000*Time!AB$9*Time!AB$10*Operations!AB233*Operations!$F$50</f>
        <v>5.40720152068445</v>
      </c>
      <c r="AC254" s="20" t="n">
        <f aca="false">Inputs!$F$136*Inputs!$F$132/1000*Time!AC$9*Time!AC$10*Operations!AC233*Operations!$F$50</f>
        <v>5.54238155870156</v>
      </c>
      <c r="AD254" s="20" t="n">
        <f aca="false">Inputs!$F$136*Inputs!$F$132/1000*Time!AD$9*Time!AD$10*Operations!AD233*Operations!$F$50</f>
        <v>5.6809410976691</v>
      </c>
      <c r="AE254" s="20" t="n">
        <f aca="false">Inputs!$F$136*Inputs!$F$132/1000*Time!AE$9*Time!AE$10*Operations!AE233*Operations!$F$50</f>
        <v>5.82296462511082</v>
      </c>
      <c r="AF254" s="20" t="n">
        <f aca="false">Inputs!$F$136*Inputs!$F$132/1000*Time!AF$9*Time!AF$10*Operations!AF233*Operations!$F$50</f>
        <v>5.96853874073859</v>
      </c>
      <c r="AG254" s="20" t="n">
        <f aca="false">Inputs!$F$136*Inputs!$F$132/1000*Time!AG$9*Time!AG$10*Operations!AG233*Operations!$F$50</f>
        <v>6.11775220925706</v>
      </c>
      <c r="AH254" s="20" t="n">
        <f aca="false">Inputs!$F$136*Inputs!$F$132/1000*Time!AH$9*Time!AH$10*Operations!AH233*Operations!$F$50</f>
        <v>6.27069601448848</v>
      </c>
      <c r="AI254" s="20" t="n">
        <f aca="false">Inputs!$F$136*Inputs!$F$132/1000*Time!AI$9*Time!AI$10*Operations!AI233*Operations!$F$50</f>
        <v>6.42746341485069</v>
      </c>
      <c r="AJ254" s="20" t="n">
        <f aca="false">Inputs!$F$136*Inputs!$F$132/1000*Time!AJ$9*Time!AJ$10*Operations!AJ233*Operations!$F$50</f>
        <v>6.58815000022196</v>
      </c>
      <c r="AK254" s="20" t="n">
        <f aca="false">Inputs!$F$136*Inputs!$F$132/1000*Time!AK$9*Time!AK$10*Operations!AK233*Operations!$F$50</f>
        <v>6.75285375022751</v>
      </c>
      <c r="AL254" s="20" t="n">
        <f aca="false">Inputs!$F$136*Inputs!$F$132/1000*Time!AL$9*Time!AL$10*Operations!AL233*Operations!$F$50</f>
        <v>6.9216750939832</v>
      </c>
      <c r="AM254" s="20" t="n">
        <f aca="false">Inputs!$F$136*Inputs!$F$132/1000*Time!AM$9*Time!AM$10*Operations!AM233*Operations!$F$50</f>
        <v>7.09471697133278</v>
      </c>
      <c r="AN254" s="20" t="n">
        <f aca="false">Inputs!$F$136*Inputs!$F$132/1000*Time!AN$9*Time!AN$10*Operations!AN233*Operations!$F$50</f>
        <v>7.27208489561609</v>
      </c>
      <c r="AO254" s="20" t="n">
        <f aca="false">Inputs!$F$136*Inputs!$F$132/1000*Time!AO$9*Time!AO$10*Operations!AO233*Operations!$F$50</f>
        <v>7.4538870180065</v>
      </c>
      <c r="AP254" s="20" t="n">
        <f aca="false">Inputs!$F$136*Inputs!$F$132/1000*Time!AP$9*Time!AP$10*Operations!AP233*Operations!$F$50</f>
        <v>7.64023419345666</v>
      </c>
      <c r="AQ254" s="20" t="n">
        <f aca="false">Inputs!$F$136*Inputs!$F$132/1000*Time!AQ$9*Time!AQ$10*Operations!AQ233*Operations!$F$50</f>
        <v>7.83124004829307</v>
      </c>
      <c r="AR254" s="20" t="n">
        <f aca="false">Inputs!$F$136*Inputs!$F$132/1000*Time!AR$9*Time!AR$10*Operations!AR233*Operations!$F$50</f>
        <v>3.99157877324883</v>
      </c>
      <c r="AS254" s="20" t="n">
        <f aca="false">Inputs!$F$136*Inputs!$F$132/1000*Time!AS$9*Time!AS$10*Operations!AS233*Operations!$F$50</f>
        <v>0</v>
      </c>
      <c r="AT254" s="20" t="n">
        <f aca="false">Inputs!$F$136*Inputs!$F$132/1000*Time!AT$9*Time!AT$10*Operations!AT233*Operations!$F$50</f>
        <v>0</v>
      </c>
      <c r="AU254" s="20" t="n">
        <f aca="false">Inputs!$F$136*Inputs!$F$132/1000*Time!AU$9*Time!AU$10*Operations!AU233*Operations!$F$50</f>
        <v>0</v>
      </c>
    </row>
    <row r="255" customFormat="false" ht="15" hidden="false" customHeight="false" outlineLevel="0" collapsed="false">
      <c r="D255" s="0" t="s">
        <v>650</v>
      </c>
      <c r="E255" s="0" t="s">
        <v>47</v>
      </c>
      <c r="J255" s="20" t="n">
        <f aca="false">0</f>
        <v>0</v>
      </c>
      <c r="K255" s="20" t="n">
        <f aca="false">0</f>
        <v>0</v>
      </c>
      <c r="L255" s="20" t="n">
        <f aca="false">0</f>
        <v>0</v>
      </c>
      <c r="M255" s="20" t="n">
        <f aca="false">0</f>
        <v>0</v>
      </c>
      <c r="N255" s="20" t="n">
        <f aca="false">0</f>
        <v>0</v>
      </c>
      <c r="O255" s="20" t="n">
        <f aca="false">0</f>
        <v>0</v>
      </c>
      <c r="P255" s="20" t="n">
        <f aca="false">0</f>
        <v>0</v>
      </c>
      <c r="Q255" s="20" t="n">
        <f aca="false">0</f>
        <v>0</v>
      </c>
      <c r="R255" s="20" t="n">
        <f aca="false">0</f>
        <v>0</v>
      </c>
      <c r="S255" s="20" t="n">
        <f aca="false">0</f>
        <v>0</v>
      </c>
      <c r="T255" s="20" t="n">
        <f aca="false">0</f>
        <v>0</v>
      </c>
      <c r="U255" s="20" t="n">
        <f aca="false">0</f>
        <v>0</v>
      </c>
      <c r="V255" s="20" t="n">
        <f aca="false">0</f>
        <v>0</v>
      </c>
      <c r="W255" s="20" t="n">
        <f aca="false">0</f>
        <v>0</v>
      </c>
      <c r="X255" s="20" t="n">
        <f aca="false">0</f>
        <v>0</v>
      </c>
      <c r="Y255" s="20" t="n">
        <f aca="false">0</f>
        <v>0</v>
      </c>
      <c r="Z255" s="20" t="n">
        <f aca="false">0</f>
        <v>0</v>
      </c>
      <c r="AA255" s="20" t="n">
        <f aca="false">0</f>
        <v>0</v>
      </c>
      <c r="AB255" s="20" t="n">
        <f aca="false">0</f>
        <v>0</v>
      </c>
      <c r="AC255" s="20" t="n">
        <f aca="false">0</f>
        <v>0</v>
      </c>
      <c r="AD255" s="20" t="n">
        <f aca="false">0</f>
        <v>0</v>
      </c>
      <c r="AE255" s="20" t="n">
        <f aca="false">0</f>
        <v>0</v>
      </c>
      <c r="AF255" s="20" t="n">
        <f aca="false">0</f>
        <v>0</v>
      </c>
      <c r="AG255" s="20" t="n">
        <f aca="false">0</f>
        <v>0</v>
      </c>
      <c r="AH255" s="20" t="n">
        <f aca="false">0</f>
        <v>0</v>
      </c>
      <c r="AI255" s="20" t="n">
        <f aca="false">0</f>
        <v>0</v>
      </c>
      <c r="AJ255" s="20" t="n">
        <f aca="false">0</f>
        <v>0</v>
      </c>
      <c r="AK255" s="20" t="n">
        <f aca="false">0</f>
        <v>0</v>
      </c>
      <c r="AL255" s="20" t="n">
        <f aca="false">0</f>
        <v>0</v>
      </c>
      <c r="AM255" s="20" t="n">
        <f aca="false">0</f>
        <v>0</v>
      </c>
      <c r="AN255" s="20" t="n">
        <f aca="false">0</f>
        <v>0</v>
      </c>
      <c r="AO255" s="20" t="n">
        <f aca="false">0</f>
        <v>0</v>
      </c>
      <c r="AP255" s="20" t="n">
        <f aca="false">0</f>
        <v>0</v>
      </c>
      <c r="AQ255" s="20" t="n">
        <f aca="false">0</f>
        <v>0</v>
      </c>
      <c r="AR255" s="20" t="n">
        <f aca="false">0</f>
        <v>0</v>
      </c>
      <c r="AS255" s="20" t="n">
        <f aca="false">0</f>
        <v>0</v>
      </c>
      <c r="AT255" s="20" t="n">
        <f aca="false">0</f>
        <v>0</v>
      </c>
      <c r="AU255" s="20" t="n">
        <f aca="false">0</f>
        <v>0</v>
      </c>
    </row>
    <row r="256" customFormat="false" ht="15" hidden="false" customHeight="false" outlineLevel="0" collapsed="false">
      <c r="D256" s="0" t="s">
        <v>651</v>
      </c>
      <c r="E256" s="0" t="s">
        <v>47</v>
      </c>
      <c r="J256" s="20" t="n">
        <f aca="false">Inputs!$F$243/100*Inputs!$F$137*Inputs!$F$132/1000*Time!J$9*Operations!J233</f>
        <v>0.0415872</v>
      </c>
      <c r="K256" s="20" t="n">
        <f aca="false">Inputs!$F$243/100*Inputs!$F$137*Inputs!$F$132/1000*Time!K$9*Operations!K233</f>
        <v>0.04262688</v>
      </c>
      <c r="L256" s="20" t="n">
        <f aca="false">Inputs!$F$243/100*Inputs!$F$137*Inputs!$F$132/1000*Time!L$9*Operations!L233</f>
        <v>0.043692552</v>
      </c>
      <c r="M256" s="20" t="n">
        <f aca="false">Inputs!$F$243/100*Inputs!$F$137*Inputs!$F$132/1000*Time!M$9*Operations!M233</f>
        <v>0.0447848658</v>
      </c>
      <c r="N256" s="20" t="n">
        <f aca="false">Inputs!$F$243/100*Inputs!$F$137*Inputs!$F$132/1000*Time!N$9*Operations!N233</f>
        <v>0.045904487445</v>
      </c>
      <c r="O256" s="20" t="n">
        <f aca="false">Inputs!$F$243/100*Inputs!$F$137*Inputs!$F$132/1000*Time!O$9*Operations!O233</f>
        <v>0.047052099631125</v>
      </c>
      <c r="P256" s="20" t="n">
        <f aca="false">Inputs!$F$243/100*Inputs!$F$137*Inputs!$F$132/1000*Time!P$9*Operations!P233</f>
        <v>0.0482284021219031</v>
      </c>
      <c r="Q256" s="20" t="n">
        <f aca="false">Inputs!$F$243/100*Inputs!$F$137*Inputs!$F$132/1000*Time!Q$9*Operations!Q233</f>
        <v>0.0494341121749507</v>
      </c>
      <c r="R256" s="20" t="n">
        <f aca="false">Inputs!$F$243/100*Inputs!$F$137*Inputs!$F$132/1000*Time!R$9*Operations!R233</f>
        <v>0.0506699649793244</v>
      </c>
      <c r="S256" s="20" t="n">
        <f aca="false">Inputs!$F$243/100*Inputs!$F$137*Inputs!$F$132/1000*Time!S$9*Operations!S233</f>
        <v>0.0519367141038076</v>
      </c>
      <c r="T256" s="20" t="n">
        <f aca="false">Inputs!$F$243/100*Inputs!$F$137*Inputs!$F$132/1000*Time!T$9*Operations!T233</f>
        <v>0.0532351319564027</v>
      </c>
      <c r="U256" s="20" t="n">
        <f aca="false">Inputs!$F$243/100*Inputs!$F$137*Inputs!$F$132/1000*Time!U$9*Operations!U233</f>
        <v>0.0545660102553128</v>
      </c>
      <c r="V256" s="20" t="n">
        <f aca="false">Inputs!$F$243/100*Inputs!$F$137*Inputs!$F$132/1000*Time!V$9*Operations!V233</f>
        <v>0.0559301605116956</v>
      </c>
      <c r="W256" s="20" t="n">
        <f aca="false">Inputs!$F$243/100*Inputs!$F$137*Inputs!$F$132/1000*Time!W$9*Operations!W233</f>
        <v>0.057328414524488</v>
      </c>
      <c r="X256" s="20" t="n">
        <f aca="false">Inputs!$F$243/100*Inputs!$F$137*Inputs!$F$132/1000*Time!X$9*Operations!X233</f>
        <v>0.0587616248876002</v>
      </c>
      <c r="Y256" s="20" t="n">
        <f aca="false">Inputs!$F$243/100*Inputs!$F$137*Inputs!$F$132/1000*Time!Y$9*Operations!Y233</f>
        <v>0.0602306655097902</v>
      </c>
      <c r="Z256" s="20" t="n">
        <f aca="false">Inputs!$F$243/100*Inputs!$F$137*Inputs!$F$132/1000*Time!Z$9*Operations!Z233</f>
        <v>0.0617364321475349</v>
      </c>
      <c r="AA256" s="20" t="n">
        <f aca="false">Inputs!$F$243/100*Inputs!$F$137*Inputs!$F$132/1000*Time!AA$9*Operations!AA233</f>
        <v>0.0632798429512233</v>
      </c>
      <c r="AB256" s="20" t="n">
        <f aca="false">Inputs!$F$243/100*Inputs!$F$137*Inputs!$F$132/1000*Time!AB$9*Operations!AB233</f>
        <v>0.0648618390250039</v>
      </c>
      <c r="AC256" s="20" t="n">
        <f aca="false">Inputs!$F$243/100*Inputs!$F$137*Inputs!$F$132/1000*Time!AC$9*Operations!AC233</f>
        <v>0.066483385000629</v>
      </c>
      <c r="AD256" s="20" t="n">
        <f aca="false">Inputs!$F$243/100*Inputs!$F$137*Inputs!$F$132/1000*Time!AD$9*Operations!AD233</f>
        <v>0.0681454696256447</v>
      </c>
      <c r="AE256" s="20" t="n">
        <f aca="false">Inputs!$F$243/100*Inputs!$F$137*Inputs!$F$132/1000*Time!AE$9*Operations!AE233</f>
        <v>0.0698491063662858</v>
      </c>
      <c r="AF256" s="20" t="n">
        <f aca="false">Inputs!$F$243/100*Inputs!$F$137*Inputs!$F$132/1000*Time!AF$9*Operations!AF233</f>
        <v>0.071595334025443</v>
      </c>
      <c r="AG256" s="20" t="n">
        <f aca="false">Inputs!$F$243/100*Inputs!$F$137*Inputs!$F$132/1000*Time!AG$9*Operations!AG233</f>
        <v>0.073385217376079</v>
      </c>
      <c r="AH256" s="20" t="n">
        <f aca="false">Inputs!$F$243/100*Inputs!$F$137*Inputs!$F$132/1000*Time!AH$9*Operations!AH233</f>
        <v>0.075219847810481</v>
      </c>
      <c r="AI256" s="20" t="n">
        <f aca="false">Inputs!$F$243/100*Inputs!$F$137*Inputs!$F$132/1000*Time!AI$9*Operations!AI233</f>
        <v>0.077100344005743</v>
      </c>
      <c r="AJ256" s="20" t="n">
        <f aca="false">Inputs!$F$243/100*Inputs!$F$137*Inputs!$F$132/1000*Time!AJ$9*Operations!AJ233</f>
        <v>0.0790278526058866</v>
      </c>
      <c r="AK256" s="20" t="n">
        <f aca="false">Inputs!$F$243/100*Inputs!$F$137*Inputs!$F$132/1000*Time!AK$9*Operations!AK233</f>
        <v>0.0810035489210337</v>
      </c>
      <c r="AL256" s="20" t="n">
        <f aca="false">Inputs!$F$243/100*Inputs!$F$137*Inputs!$F$132/1000*Time!AL$9*Operations!AL233</f>
        <v>0.0830286376440596</v>
      </c>
      <c r="AM256" s="20" t="n">
        <f aca="false">Inputs!$F$243/100*Inputs!$F$137*Inputs!$F$132/1000*Time!AM$9*Operations!AM233</f>
        <v>0.0851043535851611</v>
      </c>
      <c r="AN256" s="20" t="n">
        <f aca="false">Inputs!$F$243/100*Inputs!$F$137*Inputs!$F$132/1000*Time!AN$9*Operations!AN233</f>
        <v>0.0872319624247901</v>
      </c>
      <c r="AO256" s="20" t="n">
        <f aca="false">Inputs!$F$243/100*Inputs!$F$137*Inputs!$F$132/1000*Time!AO$9*Operations!AO233</f>
        <v>0.0894127614854098</v>
      </c>
      <c r="AP256" s="20" t="n">
        <f aca="false">Inputs!$F$243/100*Inputs!$F$137*Inputs!$F$132/1000*Time!AP$9*Operations!AP233</f>
        <v>0.091648080522545</v>
      </c>
      <c r="AQ256" s="20" t="n">
        <f aca="false">Inputs!$F$243/100*Inputs!$F$137*Inputs!$F$132/1000*Time!AQ$9*Operations!AQ233</f>
        <v>0.0939392825356087</v>
      </c>
      <c r="AR256" s="20" t="n">
        <f aca="false">Inputs!$F$243/100*Inputs!$F$137*Inputs!$F$132/1000*Time!AR$9*Operations!AR233</f>
        <v>0.0478808009754585</v>
      </c>
      <c r="AS256" s="20" t="n">
        <f aca="false">Inputs!$F$243/100*Inputs!$F$137*Inputs!$F$132/1000*Time!AS$9*Operations!AS233</f>
        <v>0</v>
      </c>
      <c r="AT256" s="20" t="n">
        <f aca="false">Inputs!$F$243/100*Inputs!$F$137*Inputs!$F$132/1000*Time!AT$9*Operations!AT233</f>
        <v>0</v>
      </c>
      <c r="AU256" s="20" t="n">
        <f aca="false">Inputs!$F$243/100*Inputs!$F$137*Inputs!$F$132/1000*Time!AU$9*Operations!AU233</f>
        <v>0</v>
      </c>
    </row>
    <row r="257" customFormat="false" ht="15" hidden="false" customHeight="false" outlineLevel="0" collapsed="false">
      <c r="D257" s="0" t="s">
        <v>652</v>
      </c>
      <c r="E257" s="0" t="s">
        <v>47</v>
      </c>
      <c r="J257" s="20" t="n">
        <f aca="false">Inputs!$F$244/100*Inputs!$F$245/100*Operations!J252</f>
        <v>0.059754704793504</v>
      </c>
      <c r="K257" s="20" t="n">
        <f aca="false">Inputs!$F$244/100*Inputs!$F$245/100*Operations!K252</f>
        <v>0.0600789889143744</v>
      </c>
      <c r="L257" s="20" t="n">
        <f aca="false">Inputs!$F$244/100*Inputs!$F$245/100*Operations!L252</f>
        <v>0.0615630323101975</v>
      </c>
      <c r="M257" s="20" t="n">
        <f aca="false">Inputs!$F$244/100*Inputs!$F$245/100*Operations!M252</f>
        <v>0.0603334288908825</v>
      </c>
      <c r="N257" s="20" t="n">
        <f aca="false">Inputs!$F$244/100*Inputs!$F$245/100*Operations!N252</f>
        <v>0.0597482966673393</v>
      </c>
      <c r="O257" s="20" t="n">
        <f aca="false">Inputs!$F$244/100*Inputs!$F$245/100*Operations!O252</f>
        <v>0.0593038053289506</v>
      </c>
      <c r="P257" s="20" t="n">
        <f aca="false">Inputs!$F$244/100*Inputs!$F$245/100*Operations!P252</f>
        <v>0.0589203824080567</v>
      </c>
      <c r="Q257" s="20" t="n">
        <f aca="false">Inputs!$F$244/100*Inputs!$F$245/100*Operations!Q252</f>
        <v>0.0585714403069006</v>
      </c>
      <c r="R257" s="20" t="n">
        <f aca="false">Inputs!$F$244/100*Inputs!$F$245/100*Operations!R252</f>
        <v>0.0582180283716335</v>
      </c>
      <c r="S257" s="20" t="n">
        <f aca="false">Inputs!$F$244/100*Inputs!$F$245/100*Operations!S252</f>
        <v>0.0578896089448774</v>
      </c>
      <c r="T257" s="20" t="n">
        <f aca="false">Inputs!$F$244/100*Inputs!$F$245/100*Operations!T252</f>
        <v>0.057561694467758</v>
      </c>
      <c r="U257" s="20" t="n">
        <f aca="false">Inputs!$F$244/100*Inputs!$F$245/100*Operations!U252</f>
        <v>0.0640603861685241</v>
      </c>
      <c r="V257" s="20" t="n">
        <f aca="false">Inputs!$F$244/100*Inputs!$F$245/100*Operations!V252</f>
        <v>0.0695100692259811</v>
      </c>
      <c r="W257" s="20" t="n">
        <f aca="false">Inputs!$F$244/100*Inputs!$F$245/100*Operations!W252</f>
        <v>0.0681867283634515</v>
      </c>
      <c r="X257" s="20" t="n">
        <f aca="false">Inputs!$F$244/100*Inputs!$F$245/100*Operations!X252</f>
        <v>0.0692327390022116</v>
      </c>
      <c r="Y257" s="20" t="n">
        <f aca="false">Inputs!$F$244/100*Inputs!$F$245/100*Operations!Y252</f>
        <v>0.0703033958978491</v>
      </c>
      <c r="Z257" s="20" t="n">
        <f aca="false">Inputs!$F$244/100*Inputs!$F$245/100*Operations!Z252</f>
        <v>0.0713865360176431</v>
      </c>
      <c r="AA257" s="20" t="n">
        <f aca="false">Inputs!$F$244/100*Inputs!$F$245/100*Operations!AA252</f>
        <v>0.0724819194868278</v>
      </c>
      <c r="AB257" s="20" t="n">
        <f aca="false">Inputs!$F$244/100*Inputs!$F$245/100*Operations!AB252</f>
        <v>0.0736009637558231</v>
      </c>
      <c r="AC257" s="20" t="n">
        <f aca="false">Inputs!$F$244/100*Inputs!$F$245/100*Operations!AC252</f>
        <v>0.0747316738586343</v>
      </c>
      <c r="AD257" s="20" t="n">
        <f aca="false">Inputs!$F$244/100*Inputs!$F$245/100*Operations!AD252</f>
        <v>0.0758853680039741</v>
      </c>
      <c r="AE257" s="20" t="n">
        <f aca="false">Inputs!$F$244/100*Inputs!$F$245/100*Operations!AE252</f>
        <v>0.0770501622016978</v>
      </c>
      <c r="AF257" s="20" t="n">
        <f aca="false">Inputs!$F$244/100*Inputs!$F$245/100*Operations!AF252</f>
        <v>0.0782372762699128</v>
      </c>
      <c r="AG257" s="20" t="n">
        <f aca="false">Inputs!$F$244/100*Inputs!$F$245/100*Operations!AG252</f>
        <v>0.0794463312140658</v>
      </c>
      <c r="AH257" s="20" t="n">
        <f aca="false">Inputs!$F$244/100*Inputs!$F$245/100*Operations!AH252</f>
        <v>0.0806656079155964</v>
      </c>
      <c r="AI257" s="20" t="n">
        <f aca="false">Inputs!$F$244/100*Inputs!$F$245/100*Operations!AI252</f>
        <v>0.0819061805326772</v>
      </c>
      <c r="AJ257" s="20" t="n">
        <f aca="false">Inputs!$F$244/100*Inputs!$F$245/100*Operations!AJ252</f>
        <v>0.0831676802598417</v>
      </c>
      <c r="AK257" s="20" t="n">
        <f aca="false">Inputs!$F$244/100*Inputs!$F$245/100*Operations!AK252</f>
        <v>0.084449741865664</v>
      </c>
      <c r="AL257" s="20" t="n">
        <f aca="false">Inputs!$F$244/100*Inputs!$F$245/100*Operations!AL252</f>
        <v>0.085752003664973</v>
      </c>
      <c r="AM257" s="20" t="n">
        <f aca="false">Inputs!$F$244/100*Inputs!$F$245/100*Operations!AM252</f>
        <v>0.0870741074912591</v>
      </c>
      <c r="AN257" s="20" t="n">
        <f aca="false">Inputs!$F$244/100*Inputs!$F$245/100*Operations!AN252</f>
        <v>0.0884156986692711</v>
      </c>
      <c r="AO257" s="20" t="n">
        <f aca="false">Inputs!$F$244/100*Inputs!$F$245/100*Operations!AO252</f>
        <v>0.0897764259878021</v>
      </c>
      <c r="AP257" s="20" t="n">
        <f aca="false">Inputs!$F$244/100*Inputs!$F$245/100*Operations!AP252</f>
        <v>0.0911559416726627</v>
      </c>
      <c r="AQ257" s="20" t="n">
        <f aca="false">Inputs!$F$244/100*Inputs!$F$245/100*Operations!AQ252</f>
        <v>0.0925647938985456</v>
      </c>
      <c r="AR257" s="20" t="n">
        <f aca="false">Inputs!$F$244/100*Inputs!$F$245/100*Operations!AR252</f>
        <v>0.0467390177667793</v>
      </c>
      <c r="AS257" s="20" t="n">
        <f aca="false">Inputs!$F$244/100*Inputs!$F$245/100*Operations!AS252</f>
        <v>0</v>
      </c>
      <c r="AT257" s="20" t="n">
        <f aca="false">Inputs!$F$244/100*Inputs!$F$245/100*Operations!AT252</f>
        <v>0</v>
      </c>
      <c r="AU257" s="20" t="n">
        <f aca="false">Inputs!$F$244/100*Inputs!$F$245/100*Operations!AU252</f>
        <v>0</v>
      </c>
    </row>
    <row r="258" customFormat="false" ht="15" hidden="false" customHeight="false" outlineLevel="0" collapsed="false">
      <c r="D258" s="0" t="s">
        <v>653</v>
      </c>
      <c r="E258" s="0" t="s">
        <v>47</v>
      </c>
      <c r="G258" s="20" t="n">
        <f aca="false">SUM(J258:AU258)</f>
        <v>286.632981056659</v>
      </c>
      <c r="J258" s="20" t="n">
        <f aca="false">Operations!J252-Operations!J254-Operations!J255-Operations!J256-Operations!J257</f>
        <v>7.9243466273025</v>
      </c>
      <c r="K258" s="20" t="n">
        <f aca="false">Operations!K252-Operations!K254-Operations!K255-Operations!K256-Operations!K257</f>
        <v>7.78732495515695</v>
      </c>
      <c r="L258" s="20" t="n">
        <f aca="false">Operations!L252-Operations!L254-Operations!L255-Operations!L256-Operations!L257</f>
        <v>7.97861051949884</v>
      </c>
      <c r="M258" s="20" t="n">
        <f aca="false">Operations!M252-Operations!M254-Operations!M255-Operations!M256-Operations!M257</f>
        <v>7.65347698989055</v>
      </c>
      <c r="N258" s="20" t="n">
        <f aca="false">Operations!N252-Operations!N254-Operations!N255-Operations!N256-Operations!N257</f>
        <v>7.44815158338071</v>
      </c>
      <c r="O258" s="20" t="n">
        <f aca="false">Operations!O252-Operations!O254-Operations!O255-Operations!O256-Operations!O257</f>
        <v>7.26711285646846</v>
      </c>
      <c r="P258" s="20" t="n">
        <f aca="false">Operations!P252-Operations!P254-Operations!P255-Operations!P256-Operations!P257</f>
        <v>7.09522468562616</v>
      </c>
      <c r="Q258" s="20" t="n">
        <f aca="false">Operations!Q252-Operations!Q254-Operations!Q255-Operations!Q256-Operations!Q257</f>
        <v>6.92738884274103</v>
      </c>
      <c r="R258" s="20" t="n">
        <f aca="false">Operations!R252-Operations!R254-Operations!R255-Operations!R256-Operations!R257</f>
        <v>6.75616308214496</v>
      </c>
      <c r="S258" s="20" t="n">
        <f aca="false">Operations!S252-Operations!S254-Operations!S255-Operations!S256-Operations!S257</f>
        <v>6.58706624151616</v>
      </c>
      <c r="T258" s="20" t="n">
        <f aca="false">Operations!T252-Operations!T254-Operations!T255-Operations!T256-Operations!T257</f>
        <v>6.4153933473517</v>
      </c>
      <c r="U258" s="20" t="n">
        <f aca="false">Operations!U252-Operations!U254-Operations!U255-Operations!U256-Operations!U257</f>
        <v>7.53446126294826</v>
      </c>
      <c r="V258" s="20" t="n">
        <f aca="false">Operations!V252-Operations!V254-Operations!V255-Operations!V256-Operations!V257</f>
        <v>8.45196003126042</v>
      </c>
      <c r="W258" s="20" t="n">
        <f aca="false">Operations!W252-Operations!W254-Operations!W255-Operations!W256-Operations!W257</f>
        <v>8.08325486879145</v>
      </c>
      <c r="X258" s="20" t="n">
        <f aca="false">Operations!X252-Operations!X254-Operations!X255-Operations!X256-Operations!X257</f>
        <v>8.16053631325753</v>
      </c>
      <c r="Y258" s="20" t="n">
        <f aca="false">Operations!Y252-Operations!Y254-Operations!Y255-Operations!Y256-Operations!Y257</f>
        <v>8.23946481992214</v>
      </c>
      <c r="Z258" s="20" t="n">
        <f aca="false">Operations!Z252-Operations!Z254-Operations!Z255-Operations!Z256-Operations!Z257</f>
        <v>8.31766021326409</v>
      </c>
      <c r="AA258" s="20" t="n">
        <f aca="false">Operations!AA252-Operations!AA254-Operations!AA255-Operations!AA256-Operations!AA257</f>
        <v>8.39499958304955</v>
      </c>
      <c r="AB258" s="20" t="n">
        <f aca="false">Operations!AB252-Operations!AB254-Operations!AB255-Operations!AB256-Operations!AB257</f>
        <v>8.47356686812008</v>
      </c>
      <c r="AC258" s="20" t="n">
        <f aca="false">Operations!AC252-Operations!AC254-Operations!AC255-Operations!AC256-Operations!AC257</f>
        <v>8.55100792694096</v>
      </c>
      <c r="AD258" s="20" t="n">
        <f aca="false">Operations!AD252-Operations!AD254-Operations!AD255-Operations!AD256-Operations!AD257</f>
        <v>8.62938387498207</v>
      </c>
      <c r="AE258" s="20" t="n">
        <f aca="false">Operations!AE252-Operations!AE254-Operations!AE255-Operations!AE256-Operations!AE257</f>
        <v>8.70635747807316</v>
      </c>
      <c r="AF258" s="20" t="n">
        <f aca="false">Operations!AF252-Operations!AF254-Operations!AF255-Operations!AF256-Operations!AF257</f>
        <v>8.7839669860923</v>
      </c>
      <c r="AG258" s="20" t="n">
        <f aca="false">Operations!AG252-Operations!AG254-Operations!AG255-Operations!AG256-Operations!AG257</f>
        <v>8.86205075911772</v>
      </c>
      <c r="AH258" s="20" t="n">
        <f aca="false">Operations!AH252-Operations!AH254-Operations!AH255-Operations!AH256-Operations!AH257</f>
        <v>8.93829622799427</v>
      </c>
      <c r="AI258" s="20" t="n">
        <f aca="false">Operations!AI252-Operations!AI254-Operations!AI255-Operations!AI256-Operations!AI257</f>
        <v>9.01470730493034</v>
      </c>
      <c r="AJ258" s="20" t="n">
        <f aca="false">Operations!AJ252-Operations!AJ254-Operations!AJ255-Operations!AJ256-Operations!AJ257</f>
        <v>9.09111737354883</v>
      </c>
      <c r="AK258" s="20" t="n">
        <f aca="false">Operations!AK252-Operations!AK254-Operations!AK255-Operations!AK256-Operations!AK257</f>
        <v>9.16735807625513</v>
      </c>
      <c r="AL258" s="20" t="n">
        <f aca="false">Operations!AL252-Operations!AL254-Operations!AL255-Operations!AL256-Operations!AL257</f>
        <v>9.24325924851214</v>
      </c>
      <c r="AM258" s="20" t="n">
        <f aca="false">Operations!AM252-Operations!AM254-Operations!AM255-Operations!AM256-Operations!AM257</f>
        <v>9.31864885164015</v>
      </c>
      <c r="AN258" s="20" t="n">
        <f aca="false">Operations!AN252-Operations!AN254-Operations!AN255-Operations!AN256-Operations!AN257</f>
        <v>9.39335290410339</v>
      </c>
      <c r="AO258" s="20" t="n">
        <f aca="false">Operations!AO252-Operations!AO254-Operations!AO255-Operations!AO256-Operations!AO257</f>
        <v>9.46719541124449</v>
      </c>
      <c r="AP258" s="20" t="n">
        <f aca="false">Operations!AP252-Operations!AP254-Operations!AP255-Operations!AP256-Operations!AP257</f>
        <v>9.53999829342675</v>
      </c>
      <c r="AQ258" s="20" t="n">
        <f aca="false">Operations!AQ252-Operations!AQ254-Operations!AQ255-Operations!AQ256-Operations!AQ257</f>
        <v>9.61364518928146</v>
      </c>
      <c r="AR258" s="20" t="n">
        <f aca="false">Operations!AR252-Operations!AR254-Operations!AR255-Operations!AR256-Operations!AR257</f>
        <v>4.81647145882404</v>
      </c>
      <c r="AS258" s="20" t="n">
        <f aca="false">Operations!AS252-Operations!AS254-Operations!AS255-Operations!AS256-Operations!AS257</f>
        <v>0</v>
      </c>
      <c r="AT258" s="20" t="n">
        <f aca="false">Operations!AT252-Operations!AT254-Operations!AT255-Operations!AT256-Operations!AT257</f>
        <v>0</v>
      </c>
      <c r="AU258" s="20" t="n">
        <f aca="false">Operations!AU252-Operations!AU254-Operations!AU255-Operations!AU256-Operations!AU257</f>
        <v>0</v>
      </c>
    </row>
    <row r="259" customFormat="false" ht="15" hidden="false" customHeight="false" outlineLevel="0" collapsed="false">
      <c r="D259" s="0" t="s">
        <v>654</v>
      </c>
      <c r="E259" s="0" t="s">
        <v>47</v>
      </c>
      <c r="J259" s="20" t="n">
        <f aca="false">0</f>
        <v>0</v>
      </c>
      <c r="K259" s="20" t="n">
        <f aca="false">0</f>
        <v>0</v>
      </c>
      <c r="L259" s="20" t="n">
        <f aca="false">0</f>
        <v>0</v>
      </c>
      <c r="M259" s="20" t="n">
        <f aca="false">0</f>
        <v>0</v>
      </c>
      <c r="N259" s="20" t="n">
        <f aca="false">0</f>
        <v>0</v>
      </c>
      <c r="O259" s="20" t="n">
        <f aca="false">0</f>
        <v>0</v>
      </c>
      <c r="P259" s="20" t="n">
        <f aca="false">0</f>
        <v>0</v>
      </c>
      <c r="Q259" s="20" t="n">
        <f aca="false">0</f>
        <v>0</v>
      </c>
      <c r="R259" s="20" t="n">
        <f aca="false">0</f>
        <v>0</v>
      </c>
      <c r="S259" s="20" t="n">
        <f aca="false">0</f>
        <v>0</v>
      </c>
      <c r="T259" s="20" t="n">
        <f aca="false">0</f>
        <v>0</v>
      </c>
      <c r="U259" s="20" t="n">
        <f aca="false">0</f>
        <v>0</v>
      </c>
      <c r="V259" s="20" t="n">
        <f aca="false">0</f>
        <v>0</v>
      </c>
      <c r="W259" s="20" t="n">
        <f aca="false">0</f>
        <v>0</v>
      </c>
      <c r="X259" s="20" t="n">
        <f aca="false">0</f>
        <v>0</v>
      </c>
      <c r="Y259" s="20" t="n">
        <f aca="false">0</f>
        <v>0</v>
      </c>
      <c r="Z259" s="20" t="n">
        <f aca="false">0</f>
        <v>0</v>
      </c>
      <c r="AA259" s="20" t="n">
        <f aca="false">0</f>
        <v>0</v>
      </c>
      <c r="AB259" s="20" t="n">
        <f aca="false">0</f>
        <v>0</v>
      </c>
      <c r="AC259" s="20" t="n">
        <f aca="false">0</f>
        <v>0</v>
      </c>
      <c r="AD259" s="20" t="n">
        <f aca="false">0</f>
        <v>0</v>
      </c>
      <c r="AE259" s="20" t="n">
        <f aca="false">0</f>
        <v>0</v>
      </c>
      <c r="AF259" s="20" t="n">
        <f aca="false">0</f>
        <v>0</v>
      </c>
      <c r="AG259" s="20" t="n">
        <f aca="false">0</f>
        <v>0</v>
      </c>
      <c r="AH259" s="20" t="n">
        <f aca="false">0</f>
        <v>0</v>
      </c>
      <c r="AI259" s="20" t="n">
        <f aca="false">0</f>
        <v>0</v>
      </c>
      <c r="AJ259" s="20" t="n">
        <f aca="false">0</f>
        <v>0</v>
      </c>
      <c r="AK259" s="20" t="n">
        <f aca="false">0</f>
        <v>0</v>
      </c>
      <c r="AL259" s="20" t="n">
        <f aca="false">0</f>
        <v>0</v>
      </c>
      <c r="AM259" s="20" t="n">
        <f aca="false">0</f>
        <v>0</v>
      </c>
      <c r="AN259" s="20" t="n">
        <f aca="false">0</f>
        <v>0</v>
      </c>
      <c r="AO259" s="20" t="n">
        <f aca="false">0</f>
        <v>0</v>
      </c>
      <c r="AP259" s="20" t="n">
        <f aca="false">0</f>
        <v>0</v>
      </c>
      <c r="AQ259" s="20" t="n">
        <f aca="false">0</f>
        <v>0</v>
      </c>
      <c r="AR259" s="20" t="n">
        <f aca="false">0</f>
        <v>0</v>
      </c>
      <c r="AS259" s="20" t="n">
        <f aca="false">0</f>
        <v>0</v>
      </c>
      <c r="AT259" s="20" t="n">
        <f aca="false">0</f>
        <v>0</v>
      </c>
      <c r="AU259" s="20" t="n">
        <f aca="false">0</f>
        <v>0</v>
      </c>
    </row>
    <row r="260" customFormat="false" ht="15" hidden="false" customHeight="false" outlineLevel="0" collapsed="false">
      <c r="D260" s="0" t="s">
        <v>655</v>
      </c>
      <c r="E260" s="0" t="s">
        <v>47</v>
      </c>
      <c r="J260" s="20" t="n">
        <f aca="false">IF(Time!J$4=YEAR(Inputs!$F$134),Inputs!$F$137*Inputs!$F$132/1000*Time!J$9,0)</f>
        <v>0</v>
      </c>
      <c r="K260" s="20" t="n">
        <f aca="false">IF(Time!K$4=YEAR(Inputs!$F$134),Inputs!$F$137*Inputs!$F$132/1000*Time!K$9,0)</f>
        <v>0</v>
      </c>
      <c r="L260" s="20" t="n">
        <f aca="false">IF(Time!L$4=YEAR(Inputs!$F$134),Inputs!$F$137*Inputs!$F$132/1000*Time!L$9,0)</f>
        <v>0</v>
      </c>
      <c r="M260" s="20" t="n">
        <f aca="false">IF(Time!M$4=YEAR(Inputs!$F$134),Inputs!$F$137*Inputs!$F$132/1000*Time!M$9,0)</f>
        <v>0</v>
      </c>
      <c r="N260" s="20" t="n">
        <f aca="false">IF(Time!N$4=YEAR(Inputs!$F$134),Inputs!$F$137*Inputs!$F$132/1000*Time!N$9,0)</f>
        <v>0</v>
      </c>
      <c r="O260" s="20" t="n">
        <f aca="false">IF(Time!O$4=YEAR(Inputs!$F$134),Inputs!$F$137*Inputs!$F$132/1000*Time!O$9,0)</f>
        <v>0</v>
      </c>
      <c r="P260" s="20" t="n">
        <f aca="false">IF(Time!P$4=YEAR(Inputs!$F$134),Inputs!$F$137*Inputs!$F$132/1000*Time!P$9,0)</f>
        <v>0</v>
      </c>
      <c r="Q260" s="20" t="n">
        <f aca="false">IF(Time!Q$4=YEAR(Inputs!$F$134),Inputs!$F$137*Inputs!$F$132/1000*Time!Q$9,0)</f>
        <v>0</v>
      </c>
      <c r="R260" s="20" t="n">
        <f aca="false">IF(Time!R$4=YEAR(Inputs!$F$134),Inputs!$F$137*Inputs!$F$132/1000*Time!R$9,0)</f>
        <v>0</v>
      </c>
      <c r="S260" s="20" t="n">
        <f aca="false">IF(Time!S$4=YEAR(Inputs!$F$134),Inputs!$F$137*Inputs!$F$132/1000*Time!S$9,0)</f>
        <v>0</v>
      </c>
      <c r="T260" s="20" t="n">
        <f aca="false">IF(Time!T$4=YEAR(Inputs!$F$134),Inputs!$F$137*Inputs!$F$132/1000*Time!T$9,0)</f>
        <v>0</v>
      </c>
      <c r="U260" s="20" t="n">
        <f aca="false">IF(Time!U$4=YEAR(Inputs!$F$134),Inputs!$F$137*Inputs!$F$132/1000*Time!U$9,0)</f>
        <v>0</v>
      </c>
      <c r="V260" s="20" t="n">
        <f aca="false">IF(Time!V$4=YEAR(Inputs!$F$134),Inputs!$F$137*Inputs!$F$132/1000*Time!V$9,0)</f>
        <v>0</v>
      </c>
      <c r="W260" s="20" t="n">
        <f aca="false">IF(Time!W$4=YEAR(Inputs!$F$134),Inputs!$F$137*Inputs!$F$132/1000*Time!W$9,0)</f>
        <v>0</v>
      </c>
      <c r="X260" s="20" t="n">
        <f aca="false">IF(Time!X$4=YEAR(Inputs!$F$134),Inputs!$F$137*Inputs!$F$132/1000*Time!X$9,0)</f>
        <v>0</v>
      </c>
      <c r="Y260" s="20" t="n">
        <f aca="false">IF(Time!Y$4=YEAR(Inputs!$F$134),Inputs!$F$137*Inputs!$F$132/1000*Time!Y$9,0)</f>
        <v>0</v>
      </c>
      <c r="Z260" s="20" t="n">
        <f aca="false">IF(Time!Z$4=YEAR(Inputs!$F$134),Inputs!$F$137*Inputs!$F$132/1000*Time!Z$9,0)</f>
        <v>0</v>
      </c>
      <c r="AA260" s="20" t="n">
        <f aca="false">IF(Time!AA$4=YEAR(Inputs!$F$134),Inputs!$F$137*Inputs!$F$132/1000*Time!AA$9,0)</f>
        <v>0</v>
      </c>
      <c r="AB260" s="20" t="n">
        <f aca="false">IF(Time!AB$4=YEAR(Inputs!$F$134),Inputs!$F$137*Inputs!$F$132/1000*Time!AB$9,0)</f>
        <v>0</v>
      </c>
      <c r="AC260" s="20" t="n">
        <f aca="false">IF(Time!AC$4=YEAR(Inputs!$F$134),Inputs!$F$137*Inputs!$F$132/1000*Time!AC$9,0)</f>
        <v>0</v>
      </c>
      <c r="AD260" s="20" t="n">
        <f aca="false">IF(Time!AD$4=YEAR(Inputs!$F$134),Inputs!$F$137*Inputs!$F$132/1000*Time!AD$9,0)</f>
        <v>0</v>
      </c>
      <c r="AE260" s="20" t="n">
        <f aca="false">IF(Time!AE$4=YEAR(Inputs!$F$134),Inputs!$F$137*Inputs!$F$132/1000*Time!AE$9,0)</f>
        <v>0</v>
      </c>
      <c r="AF260" s="20" t="n">
        <f aca="false">IF(Time!AF$4=YEAR(Inputs!$F$134),Inputs!$F$137*Inputs!$F$132/1000*Time!AF$9,0)</f>
        <v>0</v>
      </c>
      <c r="AG260" s="20" t="n">
        <f aca="false">IF(Time!AG$4=YEAR(Inputs!$F$134),Inputs!$F$137*Inputs!$F$132/1000*Time!AG$9,0)</f>
        <v>0</v>
      </c>
      <c r="AH260" s="20" t="n">
        <f aca="false">IF(Time!AH$4=YEAR(Inputs!$F$134),Inputs!$F$137*Inputs!$F$132/1000*Time!AH$9,0)</f>
        <v>0</v>
      </c>
      <c r="AI260" s="20" t="n">
        <f aca="false">IF(Time!AI$4=YEAR(Inputs!$F$134),Inputs!$F$137*Inputs!$F$132/1000*Time!AI$9,0)</f>
        <v>0</v>
      </c>
      <c r="AJ260" s="20" t="n">
        <f aca="false">IF(Time!AJ$4=YEAR(Inputs!$F$134),Inputs!$F$137*Inputs!$F$132/1000*Time!AJ$9,0)</f>
        <v>0</v>
      </c>
      <c r="AK260" s="20" t="n">
        <f aca="false">IF(Time!AK$4=YEAR(Inputs!$F$134),Inputs!$F$137*Inputs!$F$132/1000*Time!AK$9,0)</f>
        <v>0</v>
      </c>
      <c r="AL260" s="20" t="n">
        <f aca="false">IF(Time!AL$4=YEAR(Inputs!$F$134),Inputs!$F$137*Inputs!$F$132/1000*Time!AL$9,0)</f>
        <v>0</v>
      </c>
      <c r="AM260" s="20" t="n">
        <f aca="false">IF(Time!AM$4=YEAR(Inputs!$F$134),Inputs!$F$137*Inputs!$F$132/1000*Time!AM$9,0)</f>
        <v>0</v>
      </c>
      <c r="AN260" s="20" t="n">
        <f aca="false">IF(Time!AN$4=YEAR(Inputs!$F$134),Inputs!$F$137*Inputs!$F$132/1000*Time!AN$9,0)</f>
        <v>0</v>
      </c>
      <c r="AO260" s="20" t="n">
        <f aca="false">IF(Time!AO$4=YEAR(Inputs!$F$134),Inputs!$F$137*Inputs!$F$132/1000*Time!AO$9,0)</f>
        <v>0</v>
      </c>
      <c r="AP260" s="20" t="n">
        <f aca="false">IF(Time!AP$4=YEAR(Inputs!$F$134),Inputs!$F$137*Inputs!$F$132/1000*Time!AP$9,0)</f>
        <v>0</v>
      </c>
      <c r="AQ260" s="20" t="n">
        <f aca="false">IF(Time!AQ$4=YEAR(Inputs!$F$134),Inputs!$F$137*Inputs!$F$132/1000*Time!AQ$9,0)</f>
        <v>0</v>
      </c>
      <c r="AR260" s="20" t="n">
        <f aca="false">IF(Time!AR$4=YEAR(Inputs!$F$134),Inputs!$F$137*Inputs!$F$132/1000*Time!AR$9,0)</f>
        <v>16.0479607664998</v>
      </c>
      <c r="AS260" s="20" t="n">
        <f aca="false">IF(Time!AS$4=YEAR(Inputs!$F$134),Inputs!$F$137*Inputs!$F$132/1000*Time!AS$9,0)</f>
        <v>0</v>
      </c>
      <c r="AT260" s="20" t="n">
        <f aca="false">IF(Time!AT$4=YEAR(Inputs!$F$134),Inputs!$F$137*Inputs!$F$132/1000*Time!AT$9,0)</f>
        <v>0</v>
      </c>
      <c r="AU260" s="20" t="n">
        <f aca="false">IF(Time!AU$4=YEAR(Inputs!$F$134),Inputs!$F$137*Inputs!$F$132/1000*Time!AU$9,0)</f>
        <v>0</v>
      </c>
    </row>
    <row r="261" customFormat="false" ht="15" hidden="false" customHeight="false" outlineLevel="0" collapsed="false">
      <c r="D261" s="0" t="s">
        <v>656</v>
      </c>
      <c r="E261" s="0" t="s">
        <v>47</v>
      </c>
      <c r="G261" s="20" t="n">
        <f aca="false">SUM(J261:AU261)</f>
        <v>270.585020290159</v>
      </c>
      <c r="J261" s="20" t="n">
        <f aca="false">Operations!J258-Operations!J259-Operations!J260</f>
        <v>7.9243466273025</v>
      </c>
      <c r="K261" s="20" t="n">
        <f aca="false">Operations!K258-Operations!K259-Operations!K260</f>
        <v>7.78732495515695</v>
      </c>
      <c r="L261" s="20" t="n">
        <f aca="false">Operations!L258-Operations!L259-Operations!L260</f>
        <v>7.97861051949884</v>
      </c>
      <c r="M261" s="20" t="n">
        <f aca="false">Operations!M258-Operations!M259-Operations!M260</f>
        <v>7.65347698989055</v>
      </c>
      <c r="N261" s="20" t="n">
        <f aca="false">Operations!N258-Operations!N259-Operations!N260</f>
        <v>7.44815158338071</v>
      </c>
      <c r="O261" s="20" t="n">
        <f aca="false">Operations!O258-Operations!O259-Operations!O260</f>
        <v>7.26711285646846</v>
      </c>
      <c r="P261" s="20" t="n">
        <f aca="false">Operations!P258-Operations!P259-Operations!P260</f>
        <v>7.09522468562616</v>
      </c>
      <c r="Q261" s="20" t="n">
        <f aca="false">Operations!Q258-Operations!Q259-Operations!Q260</f>
        <v>6.92738884274103</v>
      </c>
      <c r="R261" s="20" t="n">
        <f aca="false">Operations!R258-Operations!R259-Operations!R260</f>
        <v>6.75616308214496</v>
      </c>
      <c r="S261" s="20" t="n">
        <f aca="false">Operations!S258-Operations!S259-Operations!S260</f>
        <v>6.58706624151616</v>
      </c>
      <c r="T261" s="20" t="n">
        <f aca="false">Operations!T258-Operations!T259-Operations!T260</f>
        <v>6.4153933473517</v>
      </c>
      <c r="U261" s="20" t="n">
        <f aca="false">Operations!U258-Operations!U259-Operations!U260</f>
        <v>7.53446126294826</v>
      </c>
      <c r="V261" s="20" t="n">
        <f aca="false">Operations!V258-Operations!V259-Operations!V260</f>
        <v>8.45196003126042</v>
      </c>
      <c r="W261" s="20" t="n">
        <f aca="false">Operations!W258-Operations!W259-Operations!W260</f>
        <v>8.08325486879145</v>
      </c>
      <c r="X261" s="20" t="n">
        <f aca="false">Operations!X258-Operations!X259-Operations!X260</f>
        <v>8.16053631325753</v>
      </c>
      <c r="Y261" s="20" t="n">
        <f aca="false">Operations!Y258-Operations!Y259-Operations!Y260</f>
        <v>8.23946481992214</v>
      </c>
      <c r="Z261" s="20" t="n">
        <f aca="false">Operations!Z258-Operations!Z259-Operations!Z260</f>
        <v>8.31766021326409</v>
      </c>
      <c r="AA261" s="20" t="n">
        <f aca="false">Operations!AA258-Operations!AA259-Operations!AA260</f>
        <v>8.39499958304955</v>
      </c>
      <c r="AB261" s="20" t="n">
        <f aca="false">Operations!AB258-Operations!AB259-Operations!AB260</f>
        <v>8.47356686812008</v>
      </c>
      <c r="AC261" s="20" t="n">
        <f aca="false">Operations!AC258-Operations!AC259-Operations!AC260</f>
        <v>8.55100792694096</v>
      </c>
      <c r="AD261" s="20" t="n">
        <f aca="false">Operations!AD258-Operations!AD259-Operations!AD260</f>
        <v>8.62938387498207</v>
      </c>
      <c r="AE261" s="20" t="n">
        <f aca="false">Operations!AE258-Operations!AE259-Operations!AE260</f>
        <v>8.70635747807316</v>
      </c>
      <c r="AF261" s="20" t="n">
        <f aca="false">Operations!AF258-Operations!AF259-Operations!AF260</f>
        <v>8.7839669860923</v>
      </c>
      <c r="AG261" s="20" t="n">
        <f aca="false">Operations!AG258-Operations!AG259-Operations!AG260</f>
        <v>8.86205075911772</v>
      </c>
      <c r="AH261" s="20" t="n">
        <f aca="false">Operations!AH258-Operations!AH259-Operations!AH260</f>
        <v>8.93829622799427</v>
      </c>
      <c r="AI261" s="20" t="n">
        <f aca="false">Operations!AI258-Operations!AI259-Operations!AI260</f>
        <v>9.01470730493034</v>
      </c>
      <c r="AJ261" s="20" t="n">
        <f aca="false">Operations!AJ258-Operations!AJ259-Operations!AJ260</f>
        <v>9.09111737354883</v>
      </c>
      <c r="AK261" s="20" t="n">
        <f aca="false">Operations!AK258-Operations!AK259-Operations!AK260</f>
        <v>9.16735807625513</v>
      </c>
      <c r="AL261" s="20" t="n">
        <f aca="false">Operations!AL258-Operations!AL259-Operations!AL260</f>
        <v>9.24325924851214</v>
      </c>
      <c r="AM261" s="20" t="n">
        <f aca="false">Operations!AM258-Operations!AM259-Operations!AM260</f>
        <v>9.31864885164015</v>
      </c>
      <c r="AN261" s="20" t="n">
        <f aca="false">Operations!AN258-Operations!AN259-Operations!AN260</f>
        <v>9.39335290410339</v>
      </c>
      <c r="AO261" s="20" t="n">
        <f aca="false">Operations!AO258-Operations!AO259-Operations!AO260</f>
        <v>9.46719541124449</v>
      </c>
      <c r="AP261" s="20" t="n">
        <f aca="false">Operations!AP258-Operations!AP259-Operations!AP260</f>
        <v>9.53999829342675</v>
      </c>
      <c r="AQ261" s="20" t="n">
        <f aca="false">Operations!AQ258-Operations!AQ259-Operations!AQ260</f>
        <v>9.61364518928146</v>
      </c>
      <c r="AR261" s="20" t="n">
        <f aca="false">Operations!AR258-Operations!AR259-Operations!AR260</f>
        <v>-11.2314893076758</v>
      </c>
      <c r="AS261" s="20" t="n">
        <f aca="false">Operations!AS258-Operations!AS259-Operations!AS260</f>
        <v>0</v>
      </c>
      <c r="AT261" s="20" t="n">
        <f aca="false">Operations!AT258-Operations!AT259-Operations!AT260</f>
        <v>0</v>
      </c>
      <c r="AU261" s="20" t="n">
        <f aca="false">Operations!AU258-Operations!AU259-Operations!AU260</f>
        <v>0</v>
      </c>
    </row>
    <row r="262" customFormat="false" ht="15" hidden="false" customHeight="false" outlineLevel="0" collapsed="false">
      <c r="D262" s="0" t="s">
        <v>657</v>
      </c>
      <c r="E262" s="0" t="s">
        <v>458</v>
      </c>
      <c r="J262" s="14" t="n">
        <f aca="false">MAX(0,MIN(Inputs!$F$235,Time!J$6)-Time!J$5)/Time!J$7</f>
        <v>1</v>
      </c>
      <c r="K262" s="14" t="n">
        <f aca="false">MAX(0,MIN(Inputs!$F$235,Time!K$6)-Time!K$5)/Time!K$7</f>
        <v>1</v>
      </c>
      <c r="L262" s="14" t="n">
        <f aca="false">MAX(0,MIN(Inputs!$F$235,Time!L$6)-Time!L$5)/Time!L$7</f>
        <v>1</v>
      </c>
      <c r="M262" s="14" t="n">
        <f aca="false">MAX(0,MIN(Inputs!$F$235,Time!M$6)-Time!M$5)/Time!M$7</f>
        <v>1</v>
      </c>
      <c r="N262" s="14" t="n">
        <f aca="false">MAX(0,MIN(Inputs!$F$235,Time!N$6)-Time!N$5)/Time!N$7</f>
        <v>1</v>
      </c>
      <c r="O262" s="14" t="n">
        <f aca="false">MAX(0,MIN(Inputs!$F$235,Time!O$6)-Time!O$5)/Time!O$7</f>
        <v>0.495890410958904</v>
      </c>
      <c r="P262" s="14" t="n">
        <f aca="false">MAX(0,MIN(Inputs!$F$235,Time!P$6)-Time!P$5)/Time!P$7</f>
        <v>0</v>
      </c>
      <c r="Q262" s="14" t="n">
        <f aca="false">MAX(0,MIN(Inputs!$F$235,Time!Q$6)-Time!Q$5)/Time!Q$7</f>
        <v>0</v>
      </c>
      <c r="R262" s="14" t="n">
        <f aca="false">MAX(0,MIN(Inputs!$F$235,Time!R$6)-Time!R$5)/Time!R$7</f>
        <v>0</v>
      </c>
      <c r="S262" s="14" t="n">
        <f aca="false">MAX(0,MIN(Inputs!$F$235,Time!S$6)-Time!S$5)/Time!S$7</f>
        <v>0</v>
      </c>
      <c r="T262" s="14" t="n">
        <f aca="false">MAX(0,MIN(Inputs!$F$235,Time!T$6)-Time!T$5)/Time!T$7</f>
        <v>0</v>
      </c>
      <c r="U262" s="14" t="n">
        <f aca="false">MAX(0,MIN(Inputs!$F$235,Time!U$6)-Time!U$5)/Time!U$7</f>
        <v>0</v>
      </c>
      <c r="V262" s="14" t="n">
        <f aca="false">MAX(0,MIN(Inputs!$F$235,Time!V$6)-Time!V$5)/Time!V$7</f>
        <v>0</v>
      </c>
      <c r="W262" s="14" t="n">
        <f aca="false">MAX(0,MIN(Inputs!$F$235,Time!W$6)-Time!W$5)/Time!W$7</f>
        <v>0</v>
      </c>
      <c r="X262" s="14" t="n">
        <f aca="false">MAX(0,MIN(Inputs!$F$235,Time!X$6)-Time!X$5)/Time!X$7</f>
        <v>0</v>
      </c>
      <c r="Y262" s="14" t="n">
        <f aca="false">MAX(0,MIN(Inputs!$F$235,Time!Y$6)-Time!Y$5)/Time!Y$7</f>
        <v>0</v>
      </c>
      <c r="Z262" s="14" t="n">
        <f aca="false">MAX(0,MIN(Inputs!$F$235,Time!Z$6)-Time!Z$5)/Time!Z$7</f>
        <v>0</v>
      </c>
      <c r="AA262" s="14" t="n">
        <f aca="false">MAX(0,MIN(Inputs!$F$235,Time!AA$6)-Time!AA$5)/Time!AA$7</f>
        <v>0</v>
      </c>
      <c r="AB262" s="14" t="n">
        <f aca="false">MAX(0,MIN(Inputs!$F$235,Time!AB$6)-Time!AB$5)/Time!AB$7</f>
        <v>0</v>
      </c>
      <c r="AC262" s="14" t="n">
        <f aca="false">MAX(0,MIN(Inputs!$F$235,Time!AC$6)-Time!AC$5)/Time!AC$7</f>
        <v>0</v>
      </c>
      <c r="AD262" s="14" t="n">
        <f aca="false">MAX(0,MIN(Inputs!$F$235,Time!AD$6)-Time!AD$5)/Time!AD$7</f>
        <v>0</v>
      </c>
      <c r="AE262" s="14" t="n">
        <f aca="false">MAX(0,MIN(Inputs!$F$235,Time!AE$6)-Time!AE$5)/Time!AE$7</f>
        <v>0</v>
      </c>
      <c r="AF262" s="14" t="n">
        <f aca="false">MAX(0,MIN(Inputs!$F$235,Time!AF$6)-Time!AF$5)/Time!AF$7</f>
        <v>0</v>
      </c>
      <c r="AG262" s="14" t="n">
        <f aca="false">MAX(0,MIN(Inputs!$F$235,Time!AG$6)-Time!AG$5)/Time!AG$7</f>
        <v>0</v>
      </c>
      <c r="AH262" s="14" t="n">
        <f aca="false">MAX(0,MIN(Inputs!$F$235,Time!AH$6)-Time!AH$5)/Time!AH$7</f>
        <v>0</v>
      </c>
      <c r="AI262" s="14" t="n">
        <f aca="false">MAX(0,MIN(Inputs!$F$235,Time!AI$6)-Time!AI$5)/Time!AI$7</f>
        <v>0</v>
      </c>
      <c r="AJ262" s="14" t="n">
        <f aca="false">MAX(0,MIN(Inputs!$F$235,Time!AJ$6)-Time!AJ$5)/Time!AJ$7</f>
        <v>0</v>
      </c>
      <c r="AK262" s="14" t="n">
        <f aca="false">MAX(0,MIN(Inputs!$F$235,Time!AK$6)-Time!AK$5)/Time!AK$7</f>
        <v>0</v>
      </c>
      <c r="AL262" s="14" t="n">
        <f aca="false">MAX(0,MIN(Inputs!$F$235,Time!AL$6)-Time!AL$5)/Time!AL$7</f>
        <v>0</v>
      </c>
      <c r="AM262" s="14" t="n">
        <f aca="false">MAX(0,MIN(Inputs!$F$235,Time!AM$6)-Time!AM$5)/Time!AM$7</f>
        <v>0</v>
      </c>
      <c r="AN262" s="14" t="n">
        <f aca="false">MAX(0,MIN(Inputs!$F$235,Time!AN$6)-Time!AN$5)/Time!AN$7</f>
        <v>0</v>
      </c>
      <c r="AO262" s="14" t="n">
        <f aca="false">MAX(0,MIN(Inputs!$F$235,Time!AO$6)-Time!AO$5)/Time!AO$7</f>
        <v>0</v>
      </c>
      <c r="AP262" s="14" t="n">
        <f aca="false">MAX(0,MIN(Inputs!$F$235,Time!AP$6)-Time!AP$5)/Time!AP$7</f>
        <v>0</v>
      </c>
      <c r="AQ262" s="14" t="n">
        <f aca="false">MAX(0,MIN(Inputs!$F$235,Time!AQ$6)-Time!AQ$5)/Time!AQ$7</f>
        <v>0</v>
      </c>
      <c r="AR262" s="14" t="n">
        <f aca="false">MAX(0,MIN(Inputs!$F$235,Time!AR$6)-Time!AR$5)/Time!AR$7</f>
        <v>0</v>
      </c>
      <c r="AS262" s="14" t="n">
        <f aca="false">MAX(0,MIN(Inputs!$F$235,Time!AS$6)-Time!AS$5)/Time!AS$7</f>
        <v>0</v>
      </c>
      <c r="AT262" s="14" t="n">
        <f aca="false">MAX(0,MIN(Inputs!$F$235,Time!AT$6)-Time!AT$5)/Time!AT$7</f>
        <v>0</v>
      </c>
      <c r="AU262" s="14" t="n">
        <f aca="false">MAX(0,MIN(Inputs!$F$235,Time!AU$6)-Time!AU$5)/Time!AU$7</f>
        <v>0</v>
      </c>
    </row>
    <row r="263" customFormat="false" ht="15" hidden="false" customHeight="false" outlineLevel="0" collapsed="false">
      <c r="D263" s="0" t="s">
        <v>658</v>
      </c>
      <c r="E263" s="0" t="s">
        <v>458</v>
      </c>
      <c r="J263" s="14" t="n">
        <f aca="false">Inputs!$F$232/100*Operations!J262+Inputs!$F$234/100*(1-Operations!J262)</f>
        <v>0.2</v>
      </c>
      <c r="K263" s="14" t="n">
        <f aca="false">Inputs!$F$232/100*Operations!K262+Inputs!$F$234/100*(1-Operations!K262)</f>
        <v>0.2</v>
      </c>
      <c r="L263" s="14" t="n">
        <f aca="false">Inputs!$F$232/100*Operations!L262+Inputs!$F$234/100*(1-Operations!L262)</f>
        <v>0.2</v>
      </c>
      <c r="M263" s="14" t="n">
        <f aca="false">Inputs!$F$232/100*Operations!M262+Inputs!$F$234/100*(1-Operations!M262)</f>
        <v>0.2</v>
      </c>
      <c r="N263" s="14" t="n">
        <f aca="false">Inputs!$F$232/100*Operations!N262+Inputs!$F$234/100*(1-Operations!N262)</f>
        <v>0.2</v>
      </c>
      <c r="O263" s="14" t="n">
        <f aca="false">Inputs!$F$232/100*Operations!O262+Inputs!$F$234/100*(1-Operations!O262)</f>
        <v>0.124383561643836</v>
      </c>
      <c r="P263" s="14" t="n">
        <f aca="false">Inputs!$F$232/100*Operations!P262+Inputs!$F$234/100*(1-Operations!P262)</f>
        <v>0.05</v>
      </c>
      <c r="Q263" s="14" t="n">
        <f aca="false">Inputs!$F$232/100*Operations!Q262+Inputs!$F$234/100*(1-Operations!Q262)</f>
        <v>0.05</v>
      </c>
      <c r="R263" s="14" t="n">
        <f aca="false">Inputs!$F$232/100*Operations!R262+Inputs!$F$234/100*(1-Operations!R262)</f>
        <v>0.05</v>
      </c>
      <c r="S263" s="14" t="n">
        <f aca="false">Inputs!$F$232/100*Operations!S262+Inputs!$F$234/100*(1-Operations!S262)</f>
        <v>0.05</v>
      </c>
      <c r="T263" s="14" t="n">
        <f aca="false">Inputs!$F$232/100*Operations!T262+Inputs!$F$234/100*(1-Operations!T262)</f>
        <v>0.05</v>
      </c>
      <c r="U263" s="14" t="n">
        <f aca="false">Inputs!$F$232/100*Operations!U262+Inputs!$F$234/100*(1-Operations!U262)</f>
        <v>0.05</v>
      </c>
      <c r="V263" s="14" t="n">
        <f aca="false">Inputs!$F$232/100*Operations!V262+Inputs!$F$234/100*(1-Operations!V262)</f>
        <v>0.05</v>
      </c>
      <c r="W263" s="14" t="n">
        <f aca="false">Inputs!$F$232/100*Operations!W262+Inputs!$F$234/100*(1-Operations!W262)</f>
        <v>0.05</v>
      </c>
      <c r="X263" s="14" t="n">
        <f aca="false">Inputs!$F$232/100*Operations!X262+Inputs!$F$234/100*(1-Operations!X262)</f>
        <v>0.05</v>
      </c>
      <c r="Y263" s="14" t="n">
        <f aca="false">Inputs!$F$232/100*Operations!Y262+Inputs!$F$234/100*(1-Operations!Y262)</f>
        <v>0.05</v>
      </c>
      <c r="Z263" s="14" t="n">
        <f aca="false">Inputs!$F$232/100*Operations!Z262+Inputs!$F$234/100*(1-Operations!Z262)</f>
        <v>0.05</v>
      </c>
      <c r="AA263" s="14" t="n">
        <f aca="false">Inputs!$F$232/100*Operations!AA262+Inputs!$F$234/100*(1-Operations!AA262)</f>
        <v>0.05</v>
      </c>
      <c r="AB263" s="14" t="n">
        <f aca="false">Inputs!$F$232/100*Operations!AB262+Inputs!$F$234/100*(1-Operations!AB262)</f>
        <v>0.05</v>
      </c>
      <c r="AC263" s="14" t="n">
        <f aca="false">Inputs!$F$232/100*Operations!AC262+Inputs!$F$234/100*(1-Operations!AC262)</f>
        <v>0.05</v>
      </c>
      <c r="AD263" s="14" t="n">
        <f aca="false">Inputs!$F$232/100*Operations!AD262+Inputs!$F$234/100*(1-Operations!AD262)</f>
        <v>0.05</v>
      </c>
      <c r="AE263" s="14" t="n">
        <f aca="false">Inputs!$F$232/100*Operations!AE262+Inputs!$F$234/100*(1-Operations!AE262)</f>
        <v>0.05</v>
      </c>
      <c r="AF263" s="14" t="n">
        <f aca="false">Inputs!$F$232/100*Operations!AF262+Inputs!$F$234/100*(1-Operations!AF262)</f>
        <v>0.05</v>
      </c>
      <c r="AG263" s="14" t="n">
        <f aca="false">Inputs!$F$232/100*Operations!AG262+Inputs!$F$234/100*(1-Operations!AG262)</f>
        <v>0.05</v>
      </c>
      <c r="AH263" s="14" t="n">
        <f aca="false">Inputs!$F$232/100*Operations!AH262+Inputs!$F$234/100*(1-Operations!AH262)</f>
        <v>0.05</v>
      </c>
      <c r="AI263" s="14" t="n">
        <f aca="false">Inputs!$F$232/100*Operations!AI262+Inputs!$F$234/100*(1-Operations!AI262)</f>
        <v>0.05</v>
      </c>
      <c r="AJ263" s="14" t="n">
        <f aca="false">Inputs!$F$232/100*Operations!AJ262+Inputs!$F$234/100*(1-Operations!AJ262)</f>
        <v>0.05</v>
      </c>
      <c r="AK263" s="14" t="n">
        <f aca="false">Inputs!$F$232/100*Operations!AK262+Inputs!$F$234/100*(1-Operations!AK262)</f>
        <v>0.05</v>
      </c>
      <c r="AL263" s="14" t="n">
        <f aca="false">Inputs!$F$232/100*Operations!AL262+Inputs!$F$234/100*(1-Operations!AL262)</f>
        <v>0.05</v>
      </c>
      <c r="AM263" s="14" t="n">
        <f aca="false">Inputs!$F$232/100*Operations!AM262+Inputs!$F$234/100*(1-Operations!AM262)</f>
        <v>0.05</v>
      </c>
      <c r="AN263" s="14" t="n">
        <f aca="false">Inputs!$F$232/100*Operations!AN262+Inputs!$F$234/100*(1-Operations!AN262)</f>
        <v>0.05</v>
      </c>
      <c r="AO263" s="14" t="n">
        <f aca="false">Inputs!$F$232/100*Operations!AO262+Inputs!$F$234/100*(1-Operations!AO262)</f>
        <v>0.05</v>
      </c>
      <c r="AP263" s="14" t="n">
        <f aca="false">Inputs!$F$232/100*Operations!AP262+Inputs!$F$234/100*(1-Operations!AP262)</f>
        <v>0.05</v>
      </c>
      <c r="AQ263" s="14" t="n">
        <f aca="false">Inputs!$F$232/100*Operations!AQ262+Inputs!$F$234/100*(1-Operations!AQ262)</f>
        <v>0.05</v>
      </c>
      <c r="AR263" s="14" t="n">
        <f aca="false">Inputs!$F$232/100*Operations!AR262+Inputs!$F$234/100*(1-Operations!AR262)</f>
        <v>0.05</v>
      </c>
      <c r="AS263" s="14" t="n">
        <f aca="false">Inputs!$F$232/100*Operations!AS262+Inputs!$F$234/100*(1-Operations!AS262)</f>
        <v>0.05</v>
      </c>
      <c r="AT263" s="14" t="n">
        <f aca="false">Inputs!$F$232/100*Operations!AT262+Inputs!$F$234/100*(1-Operations!AT262)</f>
        <v>0.05</v>
      </c>
      <c r="AU263" s="14" t="n">
        <f aca="false">Inputs!$F$232/100*Operations!AU262+Inputs!$F$234/100*(1-Operations!AU262)</f>
        <v>0.05</v>
      </c>
    </row>
    <row r="264" customFormat="false" ht="15" hidden="false" customHeight="false" outlineLevel="0" collapsed="false">
      <c r="D264" s="0" t="s">
        <v>659</v>
      </c>
      <c r="E264" s="0" t="s">
        <v>458</v>
      </c>
      <c r="J264" s="14" t="n">
        <f aca="false">(1-Inputs!$F$233/100)*Operations!J262+(1-Inputs!$F$234/100)*(1-Operations!J262)</f>
        <v>0.01</v>
      </c>
      <c r="K264" s="14" t="n">
        <f aca="false">(1-Inputs!$F$233/100)*Operations!K262+(1-Inputs!$F$234/100)*(1-Operations!K262)</f>
        <v>0.01</v>
      </c>
      <c r="L264" s="14" t="n">
        <f aca="false">(1-Inputs!$F$233/100)*Operations!L262+(1-Inputs!$F$234/100)*(1-Operations!L262)</f>
        <v>0.01</v>
      </c>
      <c r="M264" s="14" t="n">
        <f aca="false">(1-Inputs!$F$233/100)*Operations!M262+(1-Inputs!$F$234/100)*(1-Operations!M262)</f>
        <v>0.01</v>
      </c>
      <c r="N264" s="14" t="n">
        <f aca="false">(1-Inputs!$F$233/100)*Operations!N262+(1-Inputs!$F$234/100)*(1-Operations!N262)</f>
        <v>0.01</v>
      </c>
      <c r="O264" s="14" t="n">
        <f aca="false">(1-Inputs!$F$233/100)*Operations!O262+(1-Inputs!$F$234/100)*(1-Operations!O262)</f>
        <v>0.48386301369863</v>
      </c>
      <c r="P264" s="14" t="n">
        <f aca="false">(1-Inputs!$F$233/100)*Operations!P262+(1-Inputs!$F$234/100)*(1-Operations!P262)</f>
        <v>0.95</v>
      </c>
      <c r="Q264" s="14" t="n">
        <f aca="false">(1-Inputs!$F$233/100)*Operations!Q262+(1-Inputs!$F$234/100)*(1-Operations!Q262)</f>
        <v>0.95</v>
      </c>
      <c r="R264" s="14" t="n">
        <f aca="false">(1-Inputs!$F$233/100)*Operations!R262+(1-Inputs!$F$234/100)*(1-Operations!R262)</f>
        <v>0.95</v>
      </c>
      <c r="S264" s="14" t="n">
        <f aca="false">(1-Inputs!$F$233/100)*Operations!S262+(1-Inputs!$F$234/100)*(1-Operations!S262)</f>
        <v>0.95</v>
      </c>
      <c r="T264" s="14" t="n">
        <f aca="false">(1-Inputs!$F$233/100)*Operations!T262+(1-Inputs!$F$234/100)*(1-Operations!T262)</f>
        <v>0.95</v>
      </c>
      <c r="U264" s="14" t="n">
        <f aca="false">(1-Inputs!$F$233/100)*Operations!U262+(1-Inputs!$F$234/100)*(1-Operations!U262)</f>
        <v>0.95</v>
      </c>
      <c r="V264" s="14" t="n">
        <f aca="false">(1-Inputs!$F$233/100)*Operations!V262+(1-Inputs!$F$234/100)*(1-Operations!V262)</f>
        <v>0.95</v>
      </c>
      <c r="W264" s="14" t="n">
        <f aca="false">(1-Inputs!$F$233/100)*Operations!W262+(1-Inputs!$F$234/100)*(1-Operations!W262)</f>
        <v>0.95</v>
      </c>
      <c r="X264" s="14" t="n">
        <f aca="false">(1-Inputs!$F$233/100)*Operations!X262+(1-Inputs!$F$234/100)*(1-Operations!X262)</f>
        <v>0.95</v>
      </c>
      <c r="Y264" s="14" t="n">
        <f aca="false">(1-Inputs!$F$233/100)*Operations!Y262+(1-Inputs!$F$234/100)*(1-Operations!Y262)</f>
        <v>0.95</v>
      </c>
      <c r="Z264" s="14" t="n">
        <f aca="false">(1-Inputs!$F$233/100)*Operations!Z262+(1-Inputs!$F$234/100)*(1-Operations!Z262)</f>
        <v>0.95</v>
      </c>
      <c r="AA264" s="14" t="n">
        <f aca="false">(1-Inputs!$F$233/100)*Operations!AA262+(1-Inputs!$F$234/100)*(1-Operations!AA262)</f>
        <v>0.95</v>
      </c>
      <c r="AB264" s="14" t="n">
        <f aca="false">(1-Inputs!$F$233/100)*Operations!AB262+(1-Inputs!$F$234/100)*(1-Operations!AB262)</f>
        <v>0.95</v>
      </c>
      <c r="AC264" s="14" t="n">
        <f aca="false">(1-Inputs!$F$233/100)*Operations!AC262+(1-Inputs!$F$234/100)*(1-Operations!AC262)</f>
        <v>0.95</v>
      </c>
      <c r="AD264" s="14" t="n">
        <f aca="false">(1-Inputs!$F$233/100)*Operations!AD262+(1-Inputs!$F$234/100)*(1-Operations!AD262)</f>
        <v>0.95</v>
      </c>
      <c r="AE264" s="14" t="n">
        <f aca="false">(1-Inputs!$F$233/100)*Operations!AE262+(1-Inputs!$F$234/100)*(1-Operations!AE262)</f>
        <v>0.95</v>
      </c>
      <c r="AF264" s="14" t="n">
        <f aca="false">(1-Inputs!$F$233/100)*Operations!AF262+(1-Inputs!$F$234/100)*(1-Operations!AF262)</f>
        <v>0.95</v>
      </c>
      <c r="AG264" s="14" t="n">
        <f aca="false">(1-Inputs!$F$233/100)*Operations!AG262+(1-Inputs!$F$234/100)*(1-Operations!AG262)</f>
        <v>0.95</v>
      </c>
      <c r="AH264" s="14" t="n">
        <f aca="false">(1-Inputs!$F$233/100)*Operations!AH262+(1-Inputs!$F$234/100)*(1-Operations!AH262)</f>
        <v>0.95</v>
      </c>
      <c r="AI264" s="14" t="n">
        <f aca="false">(1-Inputs!$F$233/100)*Operations!AI262+(1-Inputs!$F$234/100)*(1-Operations!AI262)</f>
        <v>0.95</v>
      </c>
      <c r="AJ264" s="14" t="n">
        <f aca="false">(1-Inputs!$F$233/100)*Operations!AJ262+(1-Inputs!$F$234/100)*(1-Operations!AJ262)</f>
        <v>0.95</v>
      </c>
      <c r="AK264" s="14" t="n">
        <f aca="false">(1-Inputs!$F$233/100)*Operations!AK262+(1-Inputs!$F$234/100)*(1-Operations!AK262)</f>
        <v>0.95</v>
      </c>
      <c r="AL264" s="14" t="n">
        <f aca="false">(1-Inputs!$F$233/100)*Operations!AL262+(1-Inputs!$F$234/100)*(1-Operations!AL262)</f>
        <v>0.95</v>
      </c>
      <c r="AM264" s="14" t="n">
        <f aca="false">(1-Inputs!$F$233/100)*Operations!AM262+(1-Inputs!$F$234/100)*(1-Operations!AM262)</f>
        <v>0.95</v>
      </c>
      <c r="AN264" s="14" t="n">
        <f aca="false">(1-Inputs!$F$233/100)*Operations!AN262+(1-Inputs!$F$234/100)*(1-Operations!AN262)</f>
        <v>0.95</v>
      </c>
      <c r="AO264" s="14" t="n">
        <f aca="false">(1-Inputs!$F$233/100)*Operations!AO262+(1-Inputs!$F$234/100)*(1-Operations!AO262)</f>
        <v>0.95</v>
      </c>
      <c r="AP264" s="14" t="n">
        <f aca="false">(1-Inputs!$F$233/100)*Operations!AP262+(1-Inputs!$F$234/100)*(1-Operations!AP262)</f>
        <v>0.95</v>
      </c>
      <c r="AQ264" s="14" t="n">
        <f aca="false">(1-Inputs!$F$233/100)*Operations!AQ262+(1-Inputs!$F$234/100)*(1-Operations!AQ262)</f>
        <v>0.95</v>
      </c>
      <c r="AR264" s="14" t="n">
        <f aca="false">(1-Inputs!$F$233/100)*Operations!AR262+(1-Inputs!$F$234/100)*(1-Operations!AR262)</f>
        <v>0.95</v>
      </c>
      <c r="AS264" s="14" t="n">
        <f aca="false">(1-Inputs!$F$233/100)*Operations!AS262+(1-Inputs!$F$234/100)*(1-Operations!AS262)</f>
        <v>0.95</v>
      </c>
      <c r="AT264" s="14" t="n">
        <f aca="false">(1-Inputs!$F$233/100)*Operations!AT262+(1-Inputs!$F$234/100)*(1-Operations!AT262)</f>
        <v>0.95</v>
      </c>
      <c r="AU264" s="14" t="n">
        <f aca="false">(1-Inputs!$F$233/100)*Operations!AU262+(1-Inputs!$F$234/100)*(1-Operations!AU262)</f>
        <v>0.95</v>
      </c>
    </row>
    <row r="265" customFormat="false" ht="15" hidden="false" customHeight="false" outlineLevel="0" collapsed="false">
      <c r="D265" s="0" t="s">
        <v>660</v>
      </c>
      <c r="E265" s="0" t="s">
        <v>47</v>
      </c>
      <c r="G265" s="20" t="n">
        <f aca="false">SUM(J265:AU265)</f>
        <v>249.289586029155</v>
      </c>
      <c r="J265" s="20" t="n">
        <f aca="false">Operations!J261*(1-Operations!J263)*Operations!J235</f>
        <v>4.93263439376199</v>
      </c>
      <c r="K265" s="20" t="n">
        <f aca="false">Operations!K261*(1-Operations!K263)*Operations!K235</f>
        <v>6.22985996412556</v>
      </c>
      <c r="L265" s="20" t="n">
        <f aca="false">Operations!L261*(1-Operations!L263)*Operations!L235</f>
        <v>6.38288841559908</v>
      </c>
      <c r="M265" s="20" t="n">
        <f aca="false">Operations!M261*(1-Operations!M263)*Operations!M235</f>
        <v>6.12278159191244</v>
      </c>
      <c r="N265" s="20" t="n">
        <f aca="false">Operations!N261*(1-Operations!N263)*Operations!N235</f>
        <v>5.95852126670457</v>
      </c>
      <c r="O265" s="20" t="n">
        <f aca="false">Operations!O261*(1-Operations!O263)*Operations!O235</f>
        <v>6.36320347651321</v>
      </c>
      <c r="P265" s="20" t="n">
        <f aca="false">Operations!P261*(1-Operations!P263)*Operations!P235</f>
        <v>6.74046345134485</v>
      </c>
      <c r="Q265" s="20" t="n">
        <f aca="false">Operations!Q261*(1-Operations!Q263)*Operations!Q235</f>
        <v>6.58101940060397</v>
      </c>
      <c r="R265" s="20" t="n">
        <f aca="false">Operations!R261*(1-Operations!R263)*Operations!R235</f>
        <v>6.41835492803771</v>
      </c>
      <c r="S265" s="20" t="n">
        <f aca="false">Operations!S261*(1-Operations!S263)*Operations!S235</f>
        <v>6.25771292944035</v>
      </c>
      <c r="T265" s="20" t="n">
        <f aca="false">Operations!T261*(1-Operations!T263)*Operations!T235</f>
        <v>6.09462367998411</v>
      </c>
      <c r="U265" s="20" t="n">
        <f aca="false">Operations!U261*(1-Operations!U263)*Operations!U235</f>
        <v>7.15773819980085</v>
      </c>
      <c r="V265" s="20" t="n">
        <f aca="false">Operations!V261*(1-Operations!V263)*Operations!V235</f>
        <v>8.0293620296974</v>
      </c>
      <c r="W265" s="20" t="n">
        <f aca="false">Operations!W261*(1-Operations!W263)*Operations!W235</f>
        <v>7.67909212535188</v>
      </c>
      <c r="X265" s="20" t="n">
        <f aca="false">Operations!X261*(1-Operations!X263)*Operations!X235</f>
        <v>7.75250949759465</v>
      </c>
      <c r="Y265" s="20" t="n">
        <f aca="false">Operations!Y261*(1-Operations!Y263)*Operations!Y235</f>
        <v>7.82749157892603</v>
      </c>
      <c r="Z265" s="20" t="n">
        <f aca="false">Operations!Z261*(1-Operations!Z263)*Operations!Z235</f>
        <v>7.90177720260089</v>
      </c>
      <c r="AA265" s="20" t="n">
        <f aca="false">Operations!AA261*(1-Operations!AA263)*Operations!AA235</f>
        <v>7.97524960389707</v>
      </c>
      <c r="AB265" s="20" t="n">
        <f aca="false">Operations!AB261*(1-Operations!AB263)*Operations!AB235</f>
        <v>8.04988852471407</v>
      </c>
      <c r="AC265" s="20" t="n">
        <f aca="false">Operations!AC261*(1-Operations!AC263)*Operations!AC235</f>
        <v>8.12345753059391</v>
      </c>
      <c r="AD265" s="20" t="n">
        <f aca="false">Operations!AD261*(1-Operations!AD263)*Operations!AD235</f>
        <v>8.19791468123296</v>
      </c>
      <c r="AE265" s="20" t="n">
        <f aca="false">Operations!AE261*(1-Operations!AE263)*Operations!AE235</f>
        <v>8.2710396041695</v>
      </c>
      <c r="AF265" s="20" t="n">
        <f aca="false">Operations!AF261*(1-Operations!AF263)*Operations!AF235</f>
        <v>8.34476863678768</v>
      </c>
      <c r="AG265" s="20" t="n">
        <f aca="false">Operations!AG261*(1-Operations!AG263)*Operations!AG235</f>
        <v>8.41894822116183</v>
      </c>
      <c r="AH265" s="20" t="n">
        <f aca="false">Operations!AH261*(1-Operations!AH263)*Operations!AH235</f>
        <v>8.49138141659456</v>
      </c>
      <c r="AI265" s="20" t="n">
        <f aca="false">Operations!AI261*(1-Operations!AI263)*Operations!AI235</f>
        <v>8.56397193968383</v>
      </c>
      <c r="AJ265" s="20" t="n">
        <f aca="false">Operations!AJ261*(1-Operations!AJ263)*Operations!AJ235</f>
        <v>8.63656150487139</v>
      </c>
      <c r="AK265" s="20" t="n">
        <f aca="false">Operations!AK261*(1-Operations!AK263)*Operations!AK235</f>
        <v>8.70899017244237</v>
      </c>
      <c r="AL265" s="20" t="n">
        <f aca="false">Operations!AL261*(1-Operations!AL263)*Operations!AL235</f>
        <v>8.78109628608654</v>
      </c>
      <c r="AM265" s="20" t="n">
        <f aca="false">Operations!AM261*(1-Operations!AM263)*Operations!AM235</f>
        <v>8.85271640905814</v>
      </c>
      <c r="AN265" s="20" t="n">
        <f aca="false">Operations!AN261*(1-Operations!AN263)*Operations!AN235</f>
        <v>8.92368525889822</v>
      </c>
      <c r="AO265" s="20" t="n">
        <f aca="false">Operations!AO261*(1-Operations!AO263)*Operations!AO235</f>
        <v>8.99383564068227</v>
      </c>
      <c r="AP265" s="20" t="n">
        <f aca="false">Operations!AP261*(1-Operations!AP263)*Operations!AP235</f>
        <v>9.06299837875541</v>
      </c>
      <c r="AQ265" s="20" t="n">
        <f aca="false">Operations!AQ261*(1-Operations!AQ263)*Operations!AQ235</f>
        <v>9.13296292981738</v>
      </c>
      <c r="AR265" s="20" t="n">
        <f aca="false">Operations!AR261*(1-Operations!AR263)*Operations!AR235</f>
        <v>-10.669914842292</v>
      </c>
      <c r="AS265" s="20" t="n">
        <f aca="false">Operations!AS261*(1-Operations!AS263)*Operations!AS235</f>
        <v>0</v>
      </c>
      <c r="AT265" s="20" t="n">
        <f aca="false">Operations!AT261*(1-Operations!AT263)*Operations!AT235</f>
        <v>0</v>
      </c>
      <c r="AU265" s="20" t="n">
        <f aca="false">Operations!AU261*(1-Operations!AU263)*Operations!AU235</f>
        <v>0</v>
      </c>
    </row>
    <row r="266" customFormat="false" ht="15" hidden="false" customHeight="false" outlineLevel="0" collapsed="false">
      <c r="D266" s="0" t="s">
        <v>661</v>
      </c>
      <c r="E266" s="0" t="s">
        <v>47</v>
      </c>
      <c r="J266" s="20" t="n">
        <f aca="false">Operations!J261*Operations!J264*Operations!J235</f>
        <v>0.061657929922025</v>
      </c>
      <c r="K266" s="20" t="n">
        <f aca="false">Operations!K261*Operations!K264*Operations!K235</f>
        <v>0.0778732495515695</v>
      </c>
      <c r="L266" s="20" t="n">
        <f aca="false">Operations!L261*Operations!L264*Operations!L235</f>
        <v>0.0797861051949885</v>
      </c>
      <c r="M266" s="20" t="n">
        <f aca="false">Operations!M261*Operations!M264*Operations!M235</f>
        <v>0.0765347698989056</v>
      </c>
      <c r="N266" s="20" t="n">
        <f aca="false">Operations!N261*Operations!N264*Operations!N235</f>
        <v>0.0744815158338072</v>
      </c>
      <c r="O266" s="20" t="n">
        <f aca="false">Operations!O261*Operations!O264*Operations!O235</f>
        <v>3.51628712761889</v>
      </c>
      <c r="P266" s="20" t="n">
        <f aca="false">Operations!P261*Operations!P264*Operations!P235</f>
        <v>6.74046345134485</v>
      </c>
      <c r="Q266" s="20" t="n">
        <f aca="false">Operations!Q261*Operations!Q264*Operations!Q235</f>
        <v>6.58101940060397</v>
      </c>
      <c r="R266" s="20" t="n">
        <f aca="false">Operations!R261*Operations!R264*Operations!R235</f>
        <v>6.41835492803771</v>
      </c>
      <c r="S266" s="20" t="n">
        <f aca="false">Operations!S261*Operations!S264*Operations!S235</f>
        <v>6.25771292944035</v>
      </c>
      <c r="T266" s="20" t="n">
        <f aca="false">Operations!T261*Operations!T264*Operations!T235</f>
        <v>6.09462367998411</v>
      </c>
      <c r="U266" s="20" t="n">
        <f aca="false">Operations!U261*Operations!U264*Operations!U235</f>
        <v>7.15773819980085</v>
      </c>
      <c r="V266" s="20" t="n">
        <f aca="false">Operations!V261*Operations!V264*Operations!V235</f>
        <v>8.0293620296974</v>
      </c>
      <c r="W266" s="20" t="n">
        <f aca="false">Operations!W261*Operations!W264*Operations!W235</f>
        <v>7.67909212535188</v>
      </c>
      <c r="X266" s="20" t="n">
        <f aca="false">Operations!X261*Operations!X264*Operations!X235</f>
        <v>7.75250949759465</v>
      </c>
      <c r="Y266" s="20" t="n">
        <f aca="false">Operations!Y261*Operations!Y264*Operations!Y235</f>
        <v>7.82749157892603</v>
      </c>
      <c r="Z266" s="20" t="n">
        <f aca="false">Operations!Z261*Operations!Z264*Operations!Z235</f>
        <v>7.90177720260089</v>
      </c>
      <c r="AA266" s="20" t="n">
        <f aca="false">Operations!AA261*Operations!AA264*Operations!AA235</f>
        <v>7.97524960389707</v>
      </c>
      <c r="AB266" s="20" t="n">
        <f aca="false">Operations!AB261*Operations!AB264*Operations!AB235</f>
        <v>8.04988852471407</v>
      </c>
      <c r="AC266" s="20" t="n">
        <f aca="false">Operations!AC261*Operations!AC264*Operations!AC235</f>
        <v>8.12345753059391</v>
      </c>
      <c r="AD266" s="20" t="n">
        <f aca="false">Operations!AD261*Operations!AD264*Operations!AD235</f>
        <v>8.19791468123296</v>
      </c>
      <c r="AE266" s="20" t="n">
        <f aca="false">Operations!AE261*Operations!AE264*Operations!AE235</f>
        <v>8.2710396041695</v>
      </c>
      <c r="AF266" s="20" t="n">
        <f aca="false">Operations!AF261*Operations!AF264*Operations!AF235</f>
        <v>8.34476863678768</v>
      </c>
      <c r="AG266" s="20" t="n">
        <f aca="false">Operations!AG261*Operations!AG264*Operations!AG235</f>
        <v>8.41894822116183</v>
      </c>
      <c r="AH266" s="20" t="n">
        <f aca="false">Operations!AH261*Operations!AH264*Operations!AH235</f>
        <v>8.49138141659456</v>
      </c>
      <c r="AI266" s="20" t="n">
        <f aca="false">Operations!AI261*Operations!AI264*Operations!AI235</f>
        <v>8.56397193968383</v>
      </c>
      <c r="AJ266" s="20" t="n">
        <f aca="false">Operations!AJ261*Operations!AJ264*Operations!AJ235</f>
        <v>8.63656150487139</v>
      </c>
      <c r="AK266" s="20" t="n">
        <f aca="false">Operations!AK261*Operations!AK264*Operations!AK235</f>
        <v>8.70899017244237</v>
      </c>
      <c r="AL266" s="20" t="n">
        <f aca="false">Operations!AL261*Operations!AL264*Operations!AL235</f>
        <v>8.78109628608654</v>
      </c>
      <c r="AM266" s="20" t="n">
        <f aca="false">Operations!AM261*Operations!AM264*Operations!AM235</f>
        <v>8.85271640905814</v>
      </c>
      <c r="AN266" s="20" t="n">
        <f aca="false">Operations!AN261*Operations!AN264*Operations!AN235</f>
        <v>8.92368525889822</v>
      </c>
      <c r="AO266" s="20" t="n">
        <f aca="false">Operations!AO261*Operations!AO264*Operations!AO235</f>
        <v>8.99383564068227</v>
      </c>
      <c r="AP266" s="20" t="n">
        <f aca="false">Operations!AP261*Operations!AP264*Operations!AP235</f>
        <v>9.06299837875541</v>
      </c>
      <c r="AQ266" s="20" t="n">
        <f aca="false">Operations!AQ261*Operations!AQ264*Operations!AQ235</f>
        <v>9.13296292981738</v>
      </c>
      <c r="AR266" s="20" t="n">
        <f aca="false">Operations!AR261*Operations!AR264*Operations!AR235</f>
        <v>-10.669914842292</v>
      </c>
      <c r="AS266" s="20" t="n">
        <f aca="false">Operations!AS261*Operations!AS264*Operations!AS235</f>
        <v>0</v>
      </c>
      <c r="AT266" s="20" t="n">
        <f aca="false">Operations!AT261*Operations!AT264*Operations!AT235</f>
        <v>0</v>
      </c>
      <c r="AU266" s="20" t="n">
        <f aca="false">Operations!AU261*Operations!AU264*Operations!AU235</f>
        <v>0</v>
      </c>
    </row>
    <row r="267" customFormat="false" ht="15" hidden="false" customHeight="false" outlineLevel="0" collapsed="false">
      <c r="D267" s="0" t="s">
        <v>662</v>
      </c>
      <c r="E267" s="0" t="s">
        <v>47</v>
      </c>
      <c r="J267" s="20" t="n">
        <f aca="false">Operations!J265-Inputs!$F$248/100*Operations!J266</f>
        <v>4.91968622847837</v>
      </c>
      <c r="K267" s="20" t="n">
        <f aca="false">Operations!K265-Inputs!$F$248/100*Operations!K266</f>
        <v>6.21350658171973</v>
      </c>
      <c r="L267" s="20" t="n">
        <f aca="false">Operations!L265-Inputs!$F$248/100*Operations!L266</f>
        <v>6.36613333350813</v>
      </c>
      <c r="M267" s="20" t="n">
        <f aca="false">Operations!M265-Inputs!$F$248/100*Operations!M266</f>
        <v>6.10670929023367</v>
      </c>
      <c r="N267" s="20" t="n">
        <f aca="false">Operations!N265-Inputs!$F$248/100*Operations!N266</f>
        <v>5.94288014837947</v>
      </c>
      <c r="O267" s="20" t="n">
        <f aca="false">Operations!O265-Inputs!$F$248/100*Operations!O266</f>
        <v>5.62478317971324</v>
      </c>
      <c r="P267" s="20" t="n">
        <f aca="false">Operations!P265-Inputs!$F$248/100*Operations!P266</f>
        <v>5.32496612656243</v>
      </c>
      <c r="Q267" s="20" t="n">
        <f aca="false">Operations!Q265-Inputs!$F$248/100*Operations!Q266</f>
        <v>5.19900532647714</v>
      </c>
      <c r="R267" s="20" t="n">
        <f aca="false">Operations!R265-Inputs!$F$248/100*Operations!R266</f>
        <v>5.07050039314979</v>
      </c>
      <c r="S267" s="20" t="n">
        <f aca="false">Operations!S265-Inputs!$F$248/100*Operations!S266</f>
        <v>4.94359321425788</v>
      </c>
      <c r="T267" s="20" t="n">
        <f aca="false">Operations!T265-Inputs!$F$248/100*Operations!T266</f>
        <v>4.81475270718745</v>
      </c>
      <c r="U267" s="20" t="n">
        <f aca="false">Operations!U265-Inputs!$F$248/100*Operations!U266</f>
        <v>5.65461317784267</v>
      </c>
      <c r="V267" s="20" t="n">
        <f aca="false">Operations!V265-Inputs!$F$248/100*Operations!V266</f>
        <v>6.34319600346094</v>
      </c>
      <c r="W267" s="20" t="n">
        <f aca="false">Operations!W265-Inputs!$F$248/100*Operations!W266</f>
        <v>6.06648277902798</v>
      </c>
      <c r="X267" s="20" t="n">
        <f aca="false">Operations!X265-Inputs!$F$248/100*Operations!X266</f>
        <v>6.12448250309978</v>
      </c>
      <c r="Y267" s="20" t="n">
        <f aca="false">Operations!Y265-Inputs!$F$248/100*Operations!Y266</f>
        <v>6.18371834735157</v>
      </c>
      <c r="Z267" s="20" t="n">
        <f aca="false">Operations!Z265-Inputs!$F$248/100*Operations!Z266</f>
        <v>6.2424039900547</v>
      </c>
      <c r="AA267" s="20" t="n">
        <f aca="false">Operations!AA265-Inputs!$F$248/100*Operations!AA266</f>
        <v>6.30044718707869</v>
      </c>
      <c r="AB267" s="20" t="n">
        <f aca="false">Operations!AB265-Inputs!$F$248/100*Operations!AB266</f>
        <v>6.35941193452412</v>
      </c>
      <c r="AC267" s="20" t="n">
        <f aca="false">Operations!AC265-Inputs!$F$248/100*Operations!AC266</f>
        <v>6.41753144916919</v>
      </c>
      <c r="AD267" s="20" t="n">
        <f aca="false">Operations!AD265-Inputs!$F$248/100*Operations!AD266</f>
        <v>6.47635259817404</v>
      </c>
      <c r="AE267" s="20" t="n">
        <f aca="false">Operations!AE265-Inputs!$F$248/100*Operations!AE266</f>
        <v>6.53412128729391</v>
      </c>
      <c r="AF267" s="20" t="n">
        <f aca="false">Operations!AF265-Inputs!$F$248/100*Operations!AF266</f>
        <v>6.59236722306227</v>
      </c>
      <c r="AG267" s="20" t="n">
        <f aca="false">Operations!AG265-Inputs!$F$248/100*Operations!AG266</f>
        <v>6.65096909471785</v>
      </c>
      <c r="AH267" s="20" t="n">
        <f aca="false">Operations!AH265-Inputs!$F$248/100*Operations!AH266</f>
        <v>6.7081913191097</v>
      </c>
      <c r="AI267" s="20" t="n">
        <f aca="false">Operations!AI265-Inputs!$F$248/100*Operations!AI266</f>
        <v>6.76553783235022</v>
      </c>
      <c r="AJ267" s="20" t="n">
        <f aca="false">Operations!AJ265-Inputs!$F$248/100*Operations!AJ266</f>
        <v>6.8228835888484</v>
      </c>
      <c r="AK267" s="20" t="n">
        <f aca="false">Operations!AK265-Inputs!$F$248/100*Operations!AK266</f>
        <v>6.88010223622947</v>
      </c>
      <c r="AL267" s="20" t="n">
        <f aca="false">Operations!AL265-Inputs!$F$248/100*Operations!AL266</f>
        <v>6.93706606600836</v>
      </c>
      <c r="AM267" s="20" t="n">
        <f aca="false">Operations!AM265-Inputs!$F$248/100*Operations!AM266</f>
        <v>6.99364596315593</v>
      </c>
      <c r="AN267" s="20" t="n">
        <f aca="false">Operations!AN265-Inputs!$F$248/100*Operations!AN266</f>
        <v>7.04971135452959</v>
      </c>
      <c r="AO267" s="20" t="n">
        <f aca="false">Operations!AO265-Inputs!$F$248/100*Operations!AO266</f>
        <v>7.10513015613899</v>
      </c>
      <c r="AP267" s="20" t="n">
        <f aca="false">Operations!AP265-Inputs!$F$248/100*Operations!AP266</f>
        <v>7.15976871921678</v>
      </c>
      <c r="AQ267" s="20" t="n">
        <f aca="false">Operations!AQ265-Inputs!$F$248/100*Operations!AQ266</f>
        <v>7.21504071455573</v>
      </c>
      <c r="AR267" s="20" t="n">
        <f aca="false">Operations!AR265-Inputs!$F$248/100*Operations!AR266</f>
        <v>-8.42923272541066</v>
      </c>
      <c r="AS267" s="20" t="n">
        <f aca="false">Operations!AS265-Inputs!$F$248/100*Operations!AS266</f>
        <v>0</v>
      </c>
      <c r="AT267" s="20" t="n">
        <f aca="false">Operations!AT265-Inputs!$F$248/100*Operations!AT266</f>
        <v>0</v>
      </c>
      <c r="AU267" s="20" t="n">
        <f aca="false">Operations!AU265-Inputs!$F$248/100*Operations!AU266</f>
        <v>0</v>
      </c>
    </row>
    <row r="268" customFormat="false" ht="15" hidden="false" customHeight="false" outlineLevel="0" collapsed="false">
      <c r="D268" s="0" t="s">
        <v>663</v>
      </c>
      <c r="E268" s="0" t="s">
        <v>458</v>
      </c>
      <c r="J268" s="14" t="n">
        <f aca="false">IF(Operations!J252=0,0,Operations!J249/Operations!J252)</f>
        <v>1.08434887050172</v>
      </c>
      <c r="K268" s="14" t="n">
        <f aca="false">IF(Operations!K252=0,0,Operations!K249/Operations!K252)</f>
        <v>1.06816495627312</v>
      </c>
      <c r="L268" s="14" t="n">
        <f aca="false">IF(Operations!L252=0,0,Operations!L249/Operations!L252)</f>
        <v>1.03240314983421</v>
      </c>
      <c r="M268" s="14" t="n">
        <f aca="false">IF(Operations!M252=0,0,Operations!M249/Operations!M252)</f>
        <v>1.04329748236022</v>
      </c>
      <c r="N268" s="14" t="n">
        <f aca="false">IF(Operations!N252=0,0,Operations!N249/Operations!N252)</f>
        <v>1.04877397757153</v>
      </c>
      <c r="O268" s="14" t="n">
        <f aca="false">IF(Operations!O252=0,0,Operations!O249/Operations!O252)</f>
        <v>1.05187984714543</v>
      </c>
      <c r="P268" s="14" t="n">
        <f aca="false">IF(Operations!P252=0,0,Operations!P249/Operations!P252)</f>
        <v>1.05396066686911</v>
      </c>
      <c r="Q268" s="14" t="n">
        <f aca="false">IF(Operations!Q252=0,0,Operations!Q249/Operations!Q252)</f>
        <v>1.05546860835498</v>
      </c>
      <c r="R268" s="14" t="n">
        <f aca="false">IF(Operations!R252=0,0,Operations!R249/Operations!R252)</f>
        <v>1.05709737836814</v>
      </c>
      <c r="S268" s="14" t="n">
        <f aca="false">IF(Operations!S252=0,0,Operations!S249/Operations!S252)</f>
        <v>1.0583105797192</v>
      </c>
      <c r="T268" s="14" t="n">
        <f aca="false">IF(Operations!T252=0,0,Operations!T249/Operations!T252)</f>
        <v>1.05954998077973</v>
      </c>
      <c r="U268" s="14" t="n">
        <f aca="false">IF(Operations!U252=0,0,Operations!U249/Operations!U252)</f>
        <v>0.469994137024136</v>
      </c>
      <c r="V268" s="14" t="n">
        <f aca="false">IF(Operations!V252=0,0,Operations!V249/Operations!V252)</f>
        <v>0</v>
      </c>
      <c r="W268" s="14" t="n">
        <f aca="false">IF(Operations!W252=0,0,Operations!W249/Operations!W252)</f>
        <v>0</v>
      </c>
      <c r="X268" s="14" t="n">
        <f aca="false">IF(Operations!X252=0,0,Operations!X249/Operations!X252)</f>
        <v>0</v>
      </c>
      <c r="Y268" s="14" t="n">
        <f aca="false">IF(Operations!Y252=0,0,Operations!Y249/Operations!Y252)</f>
        <v>0</v>
      </c>
      <c r="Z268" s="14" t="n">
        <f aca="false">IF(Operations!Z252=0,0,Operations!Z249/Operations!Z252)</f>
        <v>0</v>
      </c>
      <c r="AA268" s="14" t="n">
        <f aca="false">IF(Operations!AA252=0,0,Operations!AA249/Operations!AA252)</f>
        <v>0</v>
      </c>
      <c r="AB268" s="14" t="n">
        <f aca="false">IF(Operations!AB252=0,0,Operations!AB249/Operations!AB252)</f>
        <v>0</v>
      </c>
      <c r="AC268" s="14" t="n">
        <f aca="false">IF(Operations!AC252=0,0,Operations!AC249/Operations!AC252)</f>
        <v>0</v>
      </c>
      <c r="AD268" s="14" t="n">
        <f aca="false">IF(Operations!AD252=0,0,Operations!AD249/Operations!AD252)</f>
        <v>0</v>
      </c>
      <c r="AE268" s="14" t="n">
        <f aca="false">IF(Operations!AE252=0,0,Operations!AE249/Operations!AE252)</f>
        <v>0</v>
      </c>
      <c r="AF268" s="14" t="n">
        <f aca="false">IF(Operations!AF252=0,0,Operations!AF249/Operations!AF252)</f>
        <v>0</v>
      </c>
      <c r="AG268" s="14" t="n">
        <f aca="false">IF(Operations!AG252=0,0,Operations!AG249/Operations!AG252)</f>
        <v>0</v>
      </c>
      <c r="AH268" s="14" t="n">
        <f aca="false">IF(Operations!AH252=0,0,Operations!AH249/Operations!AH252)</f>
        <v>0</v>
      </c>
      <c r="AI268" s="14" t="n">
        <f aca="false">IF(Operations!AI252=0,0,Operations!AI249/Operations!AI252)</f>
        <v>0</v>
      </c>
      <c r="AJ268" s="14" t="n">
        <f aca="false">IF(Operations!AJ252=0,0,Operations!AJ249/Operations!AJ252)</f>
        <v>0</v>
      </c>
      <c r="AK268" s="14" t="n">
        <f aca="false">IF(Operations!AK252=0,0,Operations!AK249/Operations!AK252)</f>
        <v>0</v>
      </c>
      <c r="AL268" s="14" t="n">
        <f aca="false">IF(Operations!AL252=0,0,Operations!AL249/Operations!AL252)</f>
        <v>0</v>
      </c>
      <c r="AM268" s="14" t="n">
        <f aca="false">IF(Operations!AM252=0,0,Operations!AM249/Operations!AM252)</f>
        <v>0</v>
      </c>
      <c r="AN268" s="14" t="n">
        <f aca="false">IF(Operations!AN252=0,0,Operations!AN249/Operations!AN252)</f>
        <v>0</v>
      </c>
      <c r="AO268" s="14" t="n">
        <f aca="false">IF(Operations!AO252=0,0,Operations!AO249/Operations!AO252)</f>
        <v>0</v>
      </c>
      <c r="AP268" s="14" t="n">
        <f aca="false">IF(Operations!AP252=0,0,Operations!AP249/Operations!AP252)</f>
        <v>0</v>
      </c>
      <c r="AQ268" s="14" t="n">
        <f aca="false">IF(Operations!AQ252=0,0,Operations!AQ249/Operations!AQ252)</f>
        <v>0</v>
      </c>
      <c r="AR268" s="14" t="n">
        <f aca="false">IF(Operations!AR252=0,0,Operations!AR249/Operations!AR252)</f>
        <v>0</v>
      </c>
      <c r="AS268" s="14" t="n">
        <f aca="false">IF(Operations!AS252=0,0,Operations!AS249/Operations!AS252)</f>
        <v>0</v>
      </c>
      <c r="AT268" s="14" t="n">
        <f aca="false">IF(Operations!AT252=0,0,Operations!AT249/Operations!AT252)</f>
        <v>0</v>
      </c>
      <c r="AU268" s="14" t="n">
        <f aca="false">IF(Operations!AU252=0,0,Operations!AU249/Operations!AU252)</f>
        <v>0</v>
      </c>
    </row>
    <row r="269" customFormat="false" ht="15" hidden="false" customHeight="false" outlineLevel="0" collapsed="false">
      <c r="D269" s="0" t="s">
        <v>664</v>
      </c>
      <c r="E269" s="0" t="s">
        <v>458</v>
      </c>
      <c r="J269" s="14" t="n">
        <f aca="false">IF(Operations!J252=0,0,Operations!J250/Operations!J252)</f>
        <v>0</v>
      </c>
      <c r="K269" s="14" t="n">
        <f aca="false">IF(Operations!K252=0,0,Operations!K250/Operations!K252)</f>
        <v>0</v>
      </c>
      <c r="L269" s="14" t="n">
        <f aca="false">IF(Operations!L252=0,0,Operations!L250/Operations!L252)</f>
        <v>0</v>
      </c>
      <c r="M269" s="14" t="n">
        <f aca="false">IF(Operations!M252=0,0,Operations!M250/Operations!M252)</f>
        <v>0</v>
      </c>
      <c r="N269" s="14" t="n">
        <f aca="false">IF(Operations!N252=0,0,Operations!N250/Operations!N252)</f>
        <v>0</v>
      </c>
      <c r="O269" s="14" t="n">
        <f aca="false">IF(Operations!O252=0,0,Operations!O250/Operations!O252)</f>
        <v>0</v>
      </c>
      <c r="P269" s="14" t="n">
        <f aca="false">IF(Operations!P252=0,0,Operations!P250/Operations!P252)</f>
        <v>0</v>
      </c>
      <c r="Q269" s="14" t="n">
        <f aca="false">IF(Operations!Q252=0,0,Operations!Q250/Operations!Q252)</f>
        <v>0</v>
      </c>
      <c r="R269" s="14" t="n">
        <f aca="false">IF(Operations!R252=0,0,Operations!R250/Operations!R252)</f>
        <v>0</v>
      </c>
      <c r="S269" s="14" t="n">
        <f aca="false">IF(Operations!S252=0,0,Operations!S250/Operations!S252)</f>
        <v>0</v>
      </c>
      <c r="T269" s="14" t="n">
        <f aca="false">IF(Operations!T252=0,0,Operations!T250/Operations!T252)</f>
        <v>0</v>
      </c>
      <c r="U269" s="14" t="n">
        <f aca="false">IF(Operations!U252=0,0,Operations!U250/Operations!U252)</f>
        <v>0</v>
      </c>
      <c r="V269" s="14" t="n">
        <f aca="false">IF(Operations!V252=0,0,Operations!V250/Operations!V252)</f>
        <v>0</v>
      </c>
      <c r="W269" s="14" t="n">
        <f aca="false">IF(Operations!W252=0,0,Operations!W250/Operations!W252)</f>
        <v>0</v>
      </c>
      <c r="X269" s="14" t="n">
        <f aca="false">IF(Operations!X252=0,0,Operations!X250/Operations!X252)</f>
        <v>0</v>
      </c>
      <c r="Y269" s="14" t="n">
        <f aca="false">IF(Operations!Y252=0,0,Operations!Y250/Operations!Y252)</f>
        <v>0</v>
      </c>
      <c r="Z269" s="14" t="n">
        <f aca="false">IF(Operations!Z252=0,0,Operations!Z250/Operations!Z252)</f>
        <v>0</v>
      </c>
      <c r="AA269" s="14" t="n">
        <f aca="false">IF(Operations!AA252=0,0,Operations!AA250/Operations!AA252)</f>
        <v>0</v>
      </c>
      <c r="AB269" s="14" t="n">
        <f aca="false">IF(Operations!AB252=0,0,Operations!AB250/Operations!AB252)</f>
        <v>0</v>
      </c>
      <c r="AC269" s="14" t="n">
        <f aca="false">IF(Operations!AC252=0,0,Operations!AC250/Operations!AC252)</f>
        <v>0</v>
      </c>
      <c r="AD269" s="14" t="n">
        <f aca="false">IF(Operations!AD252=0,0,Operations!AD250/Operations!AD252)</f>
        <v>0</v>
      </c>
      <c r="AE269" s="14" t="n">
        <f aca="false">IF(Operations!AE252=0,0,Operations!AE250/Operations!AE252)</f>
        <v>0</v>
      </c>
      <c r="AF269" s="14" t="n">
        <f aca="false">IF(Operations!AF252=0,0,Operations!AF250/Operations!AF252)</f>
        <v>0</v>
      </c>
      <c r="AG269" s="14" t="n">
        <f aca="false">IF(Operations!AG252=0,0,Operations!AG250/Operations!AG252)</f>
        <v>0</v>
      </c>
      <c r="AH269" s="14" t="n">
        <f aca="false">IF(Operations!AH252=0,0,Operations!AH250/Operations!AH252)</f>
        <v>0</v>
      </c>
      <c r="AI269" s="14" t="n">
        <f aca="false">IF(Operations!AI252=0,0,Operations!AI250/Operations!AI252)</f>
        <v>0</v>
      </c>
      <c r="AJ269" s="14" t="n">
        <f aca="false">IF(Operations!AJ252=0,0,Operations!AJ250/Operations!AJ252)</f>
        <v>0</v>
      </c>
      <c r="AK269" s="14" t="n">
        <f aca="false">IF(Operations!AK252=0,0,Operations!AK250/Operations!AK252)</f>
        <v>0</v>
      </c>
      <c r="AL269" s="14" t="n">
        <f aca="false">IF(Operations!AL252=0,0,Operations!AL250/Operations!AL252)</f>
        <v>0</v>
      </c>
      <c r="AM269" s="14" t="n">
        <f aca="false">IF(Operations!AM252=0,0,Operations!AM250/Operations!AM252)</f>
        <v>0</v>
      </c>
      <c r="AN269" s="14" t="n">
        <f aca="false">IF(Operations!AN252=0,0,Operations!AN250/Operations!AN252)</f>
        <v>0</v>
      </c>
      <c r="AO269" s="14" t="n">
        <f aca="false">IF(Operations!AO252=0,0,Operations!AO250/Operations!AO252)</f>
        <v>0</v>
      </c>
      <c r="AP269" s="14" t="n">
        <f aca="false">IF(Operations!AP252=0,0,Operations!AP250/Operations!AP252)</f>
        <v>0</v>
      </c>
      <c r="AQ269" s="14" t="n">
        <f aca="false">IF(Operations!AQ252=0,0,Operations!AQ250/Operations!AQ252)</f>
        <v>0</v>
      </c>
      <c r="AR269" s="14" t="n">
        <f aca="false">IF(Operations!AR252=0,0,Operations!AR250/Operations!AR252)</f>
        <v>0</v>
      </c>
      <c r="AS269" s="14" t="n">
        <f aca="false">IF(Operations!AS252=0,0,Operations!AS250/Operations!AS252)</f>
        <v>0</v>
      </c>
      <c r="AT269" s="14" t="n">
        <f aca="false">IF(Operations!AT252=0,0,Operations!AT250/Operations!AT252)</f>
        <v>0</v>
      </c>
      <c r="AU269" s="14" t="n">
        <f aca="false">IF(Operations!AU252=0,0,Operations!AU250/Operations!AU252)</f>
        <v>0</v>
      </c>
    </row>
    <row r="270" customFormat="false" ht="15" hidden="false" customHeight="false" outlineLevel="0" collapsed="false">
      <c r="D270" s="0" t="s">
        <v>665</v>
      </c>
      <c r="E270" s="0" t="s">
        <v>458</v>
      </c>
      <c r="J270" s="14" t="n">
        <f aca="false">1-Operations!J268-Operations!J269</f>
        <v>-0.0843488705017239</v>
      </c>
      <c r="K270" s="14" t="n">
        <f aca="false">1-Operations!K268-Operations!K269</f>
        <v>-0.0681649562731237</v>
      </c>
      <c r="L270" s="14" t="n">
        <f aca="false">1-Operations!L268-Operations!L269</f>
        <v>-0.0324031498342074</v>
      </c>
      <c r="M270" s="14" t="n">
        <f aca="false">1-Operations!M268-Operations!M269</f>
        <v>-0.0432974823602184</v>
      </c>
      <c r="N270" s="14" t="n">
        <f aca="false">1-Operations!N268-Operations!N269</f>
        <v>-0.0487739775715259</v>
      </c>
      <c r="O270" s="14" t="n">
        <f aca="false">1-Operations!O268-Operations!O269</f>
        <v>-0.0518798471454285</v>
      </c>
      <c r="P270" s="14" t="n">
        <f aca="false">1-Operations!P268-Operations!P269</f>
        <v>-0.0539606668691079</v>
      </c>
      <c r="Q270" s="14" t="n">
        <f aca="false">1-Operations!Q268-Operations!Q269</f>
        <v>-0.0554686083549756</v>
      </c>
      <c r="R270" s="14" t="n">
        <f aca="false">1-Operations!R268-Operations!R269</f>
        <v>-0.0570973783681361</v>
      </c>
      <c r="S270" s="14" t="n">
        <f aca="false">1-Operations!S268-Operations!S269</f>
        <v>-0.0583105797192034</v>
      </c>
      <c r="T270" s="14" t="n">
        <f aca="false">1-Operations!T268-Operations!T269</f>
        <v>-0.0595499807797251</v>
      </c>
      <c r="U270" s="14" t="n">
        <f aca="false">1-Operations!U268-Operations!U269</f>
        <v>0.530005862975864</v>
      </c>
      <c r="V270" s="14" t="n">
        <f aca="false">1-Operations!V268-Operations!V269</f>
        <v>1</v>
      </c>
      <c r="W270" s="14" t="n">
        <f aca="false">1-Operations!W268-Operations!W269</f>
        <v>1</v>
      </c>
      <c r="X270" s="14" t="n">
        <f aca="false">1-Operations!X268-Operations!X269</f>
        <v>1</v>
      </c>
      <c r="Y270" s="14" t="n">
        <f aca="false">1-Operations!Y268-Operations!Y269</f>
        <v>1</v>
      </c>
      <c r="Z270" s="14" t="n">
        <f aca="false">1-Operations!Z268-Operations!Z269</f>
        <v>1</v>
      </c>
      <c r="AA270" s="14" t="n">
        <f aca="false">1-Operations!AA268-Operations!AA269</f>
        <v>1</v>
      </c>
      <c r="AB270" s="14" t="n">
        <f aca="false">1-Operations!AB268-Operations!AB269</f>
        <v>1</v>
      </c>
      <c r="AC270" s="14" t="n">
        <f aca="false">1-Operations!AC268-Operations!AC269</f>
        <v>1</v>
      </c>
      <c r="AD270" s="14" t="n">
        <f aca="false">1-Operations!AD268-Operations!AD269</f>
        <v>1</v>
      </c>
      <c r="AE270" s="14" t="n">
        <f aca="false">1-Operations!AE268-Operations!AE269</f>
        <v>1</v>
      </c>
      <c r="AF270" s="14" t="n">
        <f aca="false">1-Operations!AF268-Operations!AF269</f>
        <v>1</v>
      </c>
      <c r="AG270" s="14" t="n">
        <f aca="false">1-Operations!AG268-Operations!AG269</f>
        <v>1</v>
      </c>
      <c r="AH270" s="14" t="n">
        <f aca="false">1-Operations!AH268-Operations!AH269</f>
        <v>1</v>
      </c>
      <c r="AI270" s="14" t="n">
        <f aca="false">1-Operations!AI268-Operations!AI269</f>
        <v>1</v>
      </c>
      <c r="AJ270" s="14" t="n">
        <f aca="false">1-Operations!AJ268-Operations!AJ269</f>
        <v>1</v>
      </c>
      <c r="AK270" s="14" t="n">
        <f aca="false">1-Operations!AK268-Operations!AK269</f>
        <v>1</v>
      </c>
      <c r="AL270" s="14" t="n">
        <f aca="false">1-Operations!AL268-Operations!AL269</f>
        <v>1</v>
      </c>
      <c r="AM270" s="14" t="n">
        <f aca="false">1-Operations!AM268-Operations!AM269</f>
        <v>1</v>
      </c>
      <c r="AN270" s="14" t="n">
        <f aca="false">1-Operations!AN268-Operations!AN269</f>
        <v>1</v>
      </c>
      <c r="AO270" s="14" t="n">
        <f aca="false">1-Operations!AO268-Operations!AO269</f>
        <v>1</v>
      </c>
      <c r="AP270" s="14" t="n">
        <f aca="false">1-Operations!AP268-Operations!AP269</f>
        <v>1</v>
      </c>
      <c r="AQ270" s="14" t="n">
        <f aca="false">1-Operations!AQ268-Operations!AQ269</f>
        <v>1</v>
      </c>
      <c r="AR270" s="14" t="n">
        <f aca="false">1-Operations!AR268-Operations!AR269</f>
        <v>1</v>
      </c>
      <c r="AS270" s="14" t="n">
        <f aca="false">1-Operations!AS268-Operations!AS269</f>
        <v>1</v>
      </c>
      <c r="AT270" s="14" t="n">
        <f aca="false">1-Operations!AT268-Operations!AT269</f>
        <v>1</v>
      </c>
      <c r="AU270" s="14" t="n">
        <f aca="false">1-Operations!AU268-Operations!AU269</f>
        <v>1</v>
      </c>
    </row>
    <row r="271" customFormat="false" ht="15" hidden="false" customHeight="false" outlineLevel="0" collapsed="false">
      <c r="D271" s="0" t="s">
        <v>666</v>
      </c>
      <c r="E271" s="0" t="s">
        <v>47</v>
      </c>
      <c r="J271" s="20" t="n">
        <f aca="false">Operations!J249*Operations!J235*(1-Operations!J263)</f>
        <v>7.68240672087671</v>
      </c>
      <c r="K271" s="20" t="n">
        <f aca="false">Operations!K249*Operations!K235*(1-Operations!K263)</f>
        <v>9.7789364673</v>
      </c>
      <c r="L271" s="20" t="n">
        <f aca="false">Operations!L249*Operations!L235*(1-Operations!L263)</f>
        <v>9.68500852882178</v>
      </c>
      <c r="M271" s="20" t="n">
        <f aca="false">Operations!M249*Operations!M235*(1-Operations!M263)</f>
        <v>9.5917279183264</v>
      </c>
      <c r="N271" s="20" t="n">
        <f aca="false">Operations!N249*Operations!N235*(1-Operations!N263)</f>
        <v>9.54856514269394</v>
      </c>
      <c r="O271" s="20" t="n">
        <f aca="false">Operations!O249*Operations!O235*(1-Operations!O263)</f>
        <v>10.4040707986875</v>
      </c>
      <c r="P271" s="20" t="n">
        <f aca="false">Operations!P249*Operations!P235*(1-Operations!P263)</f>
        <v>11.2371004301389</v>
      </c>
      <c r="Q271" s="20" t="n">
        <f aca="false">Operations!Q249*Operations!Q235*(1-Operations!Q263)</f>
        <v>11.1865334782033</v>
      </c>
      <c r="R271" s="20" t="n">
        <f aca="false">Operations!R249*Operations!R235*(1-Operations!R263)</f>
        <v>11.1361940775514</v>
      </c>
      <c r="S271" s="20" t="n">
        <f aca="false">Operations!S249*Operations!S235*(1-Operations!S263)</f>
        <v>11.0860812042024</v>
      </c>
      <c r="T271" s="20" t="n">
        <f aca="false">Operations!T249*Operations!T235*(1-Operations!T263)</f>
        <v>11.0361938387835</v>
      </c>
      <c r="U271" s="20" t="n">
        <f aca="false">Operations!U249*Operations!U235*(1-Operations!U263)</f>
        <v>5.44811535599486</v>
      </c>
      <c r="V271" s="20" t="n">
        <f aca="false">Operations!V249*Operations!V235*(1-Operations!V263)</f>
        <v>0</v>
      </c>
      <c r="W271" s="20" t="n">
        <f aca="false">Operations!W249*Operations!W235*(1-Operations!W263)</f>
        <v>0</v>
      </c>
      <c r="X271" s="20" t="n">
        <f aca="false">Operations!X249*Operations!X235*(1-Operations!X263)</f>
        <v>0</v>
      </c>
      <c r="Y271" s="20" t="n">
        <f aca="false">Operations!Y249*Operations!Y235*(1-Operations!Y263)</f>
        <v>0</v>
      </c>
      <c r="Z271" s="20" t="n">
        <f aca="false">Operations!Z249*Operations!Z235*(1-Operations!Z263)</f>
        <v>0</v>
      </c>
      <c r="AA271" s="20" t="n">
        <f aca="false">Operations!AA249*Operations!AA235*(1-Operations!AA263)</f>
        <v>0</v>
      </c>
      <c r="AB271" s="20" t="n">
        <f aca="false">Operations!AB249*Operations!AB235*(1-Operations!AB263)</f>
        <v>0</v>
      </c>
      <c r="AC271" s="20" t="n">
        <f aca="false">Operations!AC249*Operations!AC235*(1-Operations!AC263)</f>
        <v>0</v>
      </c>
      <c r="AD271" s="20" t="n">
        <f aca="false">Operations!AD249*Operations!AD235*(1-Operations!AD263)</f>
        <v>0</v>
      </c>
      <c r="AE271" s="20" t="n">
        <f aca="false">Operations!AE249*Operations!AE235*(1-Operations!AE263)</f>
        <v>0</v>
      </c>
      <c r="AF271" s="20" t="n">
        <f aca="false">Operations!AF249*Operations!AF235*(1-Operations!AF263)</f>
        <v>0</v>
      </c>
      <c r="AG271" s="20" t="n">
        <f aca="false">Operations!AG249*Operations!AG235*(1-Operations!AG263)</f>
        <v>0</v>
      </c>
      <c r="AH271" s="20" t="n">
        <f aca="false">Operations!AH249*Operations!AH235*(1-Operations!AH263)</f>
        <v>0</v>
      </c>
      <c r="AI271" s="20" t="n">
        <f aca="false">Operations!AI249*Operations!AI235*(1-Operations!AI263)</f>
        <v>0</v>
      </c>
      <c r="AJ271" s="20" t="n">
        <f aca="false">Operations!AJ249*Operations!AJ235*(1-Operations!AJ263)</f>
        <v>0</v>
      </c>
      <c r="AK271" s="20" t="n">
        <f aca="false">Operations!AK249*Operations!AK235*(1-Operations!AK263)</f>
        <v>0</v>
      </c>
      <c r="AL271" s="20" t="n">
        <f aca="false">Operations!AL249*Operations!AL235*(1-Operations!AL263)</f>
        <v>0</v>
      </c>
      <c r="AM271" s="20" t="n">
        <f aca="false">Operations!AM249*Operations!AM235*(1-Operations!AM263)</f>
        <v>0</v>
      </c>
      <c r="AN271" s="20" t="n">
        <f aca="false">Operations!AN249*Operations!AN235*(1-Operations!AN263)</f>
        <v>0</v>
      </c>
      <c r="AO271" s="20" t="n">
        <f aca="false">Operations!AO249*Operations!AO235*(1-Operations!AO263)</f>
        <v>0</v>
      </c>
      <c r="AP271" s="20" t="n">
        <f aca="false">Operations!AP249*Operations!AP235*(1-Operations!AP263)</f>
        <v>0</v>
      </c>
      <c r="AQ271" s="20" t="n">
        <f aca="false">Operations!AQ249*Operations!AQ235*(1-Operations!AQ263)</f>
        <v>0</v>
      </c>
      <c r="AR271" s="20" t="n">
        <f aca="false">Operations!AR249*Operations!AR235*(1-Operations!AR263)</f>
        <v>0</v>
      </c>
      <c r="AS271" s="20" t="n">
        <f aca="false">Operations!AS249*Operations!AS235*(1-Operations!AS263)</f>
        <v>0</v>
      </c>
      <c r="AT271" s="20" t="n">
        <f aca="false">Operations!AT249*Operations!AT235*(1-Operations!AT263)</f>
        <v>0</v>
      </c>
      <c r="AU271" s="20" t="n">
        <f aca="false">Operations!AU249*Operations!AU235*(1-Operations!AU263)</f>
        <v>0</v>
      </c>
    </row>
    <row r="272" customFormat="false" ht="15" hidden="false" customHeight="false" outlineLevel="0" collapsed="false">
      <c r="D272" s="0" t="s">
        <v>667</v>
      </c>
      <c r="E272" s="0" t="s">
        <v>47</v>
      </c>
      <c r="J272" s="20" t="n">
        <f aca="false">Operations!J250*Operations!J235*(1-Operations!J263)</f>
        <v>0</v>
      </c>
      <c r="K272" s="20" t="n">
        <f aca="false">Operations!K250*Operations!K235*(1-Operations!K263)</f>
        <v>0</v>
      </c>
      <c r="L272" s="20" t="n">
        <f aca="false">Operations!L250*Operations!L235*(1-Operations!L263)</f>
        <v>0</v>
      </c>
      <c r="M272" s="20" t="n">
        <f aca="false">Operations!M250*Operations!M235*(1-Operations!M263)</f>
        <v>0</v>
      </c>
      <c r="N272" s="20" t="n">
        <f aca="false">Operations!N250*Operations!N235*(1-Operations!N263)</f>
        <v>0</v>
      </c>
      <c r="O272" s="20" t="n">
        <f aca="false">Operations!O250*Operations!O235*(1-Operations!O263)</f>
        <v>0</v>
      </c>
      <c r="P272" s="20" t="n">
        <f aca="false">Operations!P250*Operations!P235*(1-Operations!P263)</f>
        <v>0</v>
      </c>
      <c r="Q272" s="20" t="n">
        <f aca="false">Operations!Q250*Operations!Q235*(1-Operations!Q263)</f>
        <v>0</v>
      </c>
      <c r="R272" s="20" t="n">
        <f aca="false">Operations!R250*Operations!R235*(1-Operations!R263)</f>
        <v>0</v>
      </c>
      <c r="S272" s="20" t="n">
        <f aca="false">Operations!S250*Operations!S235*(1-Operations!S263)</f>
        <v>0</v>
      </c>
      <c r="T272" s="20" t="n">
        <f aca="false">Operations!T250*Operations!T235*(1-Operations!T263)</f>
        <v>0</v>
      </c>
      <c r="U272" s="20" t="n">
        <f aca="false">Operations!U250*Operations!U235*(1-Operations!U263)</f>
        <v>0</v>
      </c>
      <c r="V272" s="20" t="n">
        <f aca="false">Operations!V250*Operations!V235*(1-Operations!V263)</f>
        <v>0</v>
      </c>
      <c r="W272" s="20" t="n">
        <f aca="false">Operations!W250*Operations!W235*(1-Operations!W263)</f>
        <v>0</v>
      </c>
      <c r="X272" s="20" t="n">
        <f aca="false">Operations!X250*Operations!X235*(1-Operations!X263)</f>
        <v>0</v>
      </c>
      <c r="Y272" s="20" t="n">
        <f aca="false">Operations!Y250*Operations!Y235*(1-Operations!Y263)</f>
        <v>0</v>
      </c>
      <c r="Z272" s="20" t="n">
        <f aca="false">Operations!Z250*Operations!Z235*(1-Operations!Z263)</f>
        <v>0</v>
      </c>
      <c r="AA272" s="20" t="n">
        <f aca="false">Operations!AA250*Operations!AA235*(1-Operations!AA263)</f>
        <v>0</v>
      </c>
      <c r="AB272" s="20" t="n">
        <f aca="false">Operations!AB250*Operations!AB235*(1-Operations!AB263)</f>
        <v>0</v>
      </c>
      <c r="AC272" s="20" t="n">
        <f aca="false">Operations!AC250*Operations!AC235*(1-Operations!AC263)</f>
        <v>0</v>
      </c>
      <c r="AD272" s="20" t="n">
        <f aca="false">Operations!AD250*Operations!AD235*(1-Operations!AD263)</f>
        <v>0</v>
      </c>
      <c r="AE272" s="20" t="n">
        <f aca="false">Operations!AE250*Operations!AE235*(1-Operations!AE263)</f>
        <v>0</v>
      </c>
      <c r="AF272" s="20" t="n">
        <f aca="false">Operations!AF250*Operations!AF235*(1-Operations!AF263)</f>
        <v>0</v>
      </c>
      <c r="AG272" s="20" t="n">
        <f aca="false">Operations!AG250*Operations!AG235*(1-Operations!AG263)</f>
        <v>0</v>
      </c>
      <c r="AH272" s="20" t="n">
        <f aca="false">Operations!AH250*Operations!AH235*(1-Operations!AH263)</f>
        <v>0</v>
      </c>
      <c r="AI272" s="20" t="n">
        <f aca="false">Operations!AI250*Operations!AI235*(1-Operations!AI263)</f>
        <v>0</v>
      </c>
      <c r="AJ272" s="20" t="n">
        <f aca="false">Operations!AJ250*Operations!AJ235*(1-Operations!AJ263)</f>
        <v>0</v>
      </c>
      <c r="AK272" s="20" t="n">
        <f aca="false">Operations!AK250*Operations!AK235*(1-Operations!AK263)</f>
        <v>0</v>
      </c>
      <c r="AL272" s="20" t="n">
        <f aca="false">Operations!AL250*Operations!AL235*(1-Operations!AL263)</f>
        <v>0</v>
      </c>
      <c r="AM272" s="20" t="n">
        <f aca="false">Operations!AM250*Operations!AM235*(1-Operations!AM263)</f>
        <v>0</v>
      </c>
      <c r="AN272" s="20" t="n">
        <f aca="false">Operations!AN250*Operations!AN235*(1-Operations!AN263)</f>
        <v>0</v>
      </c>
      <c r="AO272" s="20" t="n">
        <f aca="false">Operations!AO250*Operations!AO235*(1-Operations!AO263)</f>
        <v>0</v>
      </c>
      <c r="AP272" s="20" t="n">
        <f aca="false">Operations!AP250*Operations!AP235*(1-Operations!AP263)</f>
        <v>0</v>
      </c>
      <c r="AQ272" s="20" t="n">
        <f aca="false">Operations!AQ250*Operations!AQ235*(1-Operations!AQ263)</f>
        <v>0</v>
      </c>
      <c r="AR272" s="20" t="n">
        <f aca="false">Operations!AR250*Operations!AR235*(1-Operations!AR263)</f>
        <v>0</v>
      </c>
      <c r="AS272" s="20" t="n">
        <f aca="false">Operations!AS250*Operations!AS235*(1-Operations!AS263)</f>
        <v>0</v>
      </c>
      <c r="AT272" s="20" t="n">
        <f aca="false">Operations!AT250*Operations!AT235*(1-Operations!AT263)</f>
        <v>0</v>
      </c>
      <c r="AU272" s="20" t="n">
        <f aca="false">Operations!AU250*Operations!AU235*(1-Operations!AU263)</f>
        <v>0</v>
      </c>
    </row>
    <row r="273" customFormat="false" ht="15" hidden="false" customHeight="false" outlineLevel="0" collapsed="false">
      <c r="D273" s="0" t="s">
        <v>668</v>
      </c>
      <c r="E273" s="0" t="s">
        <v>47</v>
      </c>
      <c r="J273" s="20" t="n">
        <f aca="false">Operations!J253*Operations!J235*(1-Operations!J263)</f>
        <v>-0.597595798980244</v>
      </c>
      <c r="K273" s="20" t="n">
        <f aca="false">Operations!K253*Operations!K235*(1-Operations!K263)</f>
        <v>-0.624042918442943</v>
      </c>
      <c r="L273" s="20" t="n">
        <f aca="false">Operations!L253*Operations!L235*(1-Operations!L263)</f>
        <v>-0.30397503393455</v>
      </c>
      <c r="M273" s="20" t="n">
        <f aca="false">Operations!M253*Operations!M235*(1-Operations!M263)</f>
        <v>-0.398062563525254</v>
      </c>
      <c r="N273" s="20" t="n">
        <f aca="false">Operations!N253*Operations!N235*(1-Operations!N263)</f>
        <v>-0.444062793385095</v>
      </c>
      <c r="O273" s="20" t="n">
        <f aca="false">Operations!O253*Operations!O235*(1-Operations!O263)</f>
        <v>-0.513139979048862</v>
      </c>
      <c r="P273" s="20" t="n">
        <f aca="false">Operations!P253*Operations!P235*(1-Operations!P263)</f>
        <v>-0.575316946776288</v>
      </c>
      <c r="Q273" s="20" t="n">
        <f aca="false">Operations!Q253*Operations!Q235*(1-Operations!Q263)</f>
        <v>-0.587891898859388</v>
      </c>
      <c r="R273" s="20" t="n">
        <f aca="false">Operations!R253*Operations!R235*(1-Operations!R263)</f>
        <v>-0.601503229351035</v>
      </c>
      <c r="S273" s="20" t="n">
        <f aca="false">Operations!S253*Operations!S235*(1-Operations!S263)</f>
        <v>-0.610818633224589</v>
      </c>
      <c r="T273" s="20" t="n">
        <f aca="false">Operations!T253*Operations!T235*(1-Operations!T263)</f>
        <v>-0.620268173189186</v>
      </c>
      <c r="U273" s="20" t="n">
        <f aca="false">Operations!U253*Operations!U235*(1-Operations!U263)</f>
        <v>6.14376404592856</v>
      </c>
      <c r="V273" s="20" t="n">
        <f aca="false">Operations!V253*Operations!V235*(1-Operations!V263)</f>
        <v>12.5780125266061</v>
      </c>
      <c r="W273" s="20" t="n">
        <f aca="false">Operations!W253*Operations!W235*(1-Operations!W263)</f>
        <v>12.3385508467198</v>
      </c>
      <c r="X273" s="20" t="n">
        <f aca="false">Operations!X253*Operations!X235*(1-Operations!X263)</f>
        <v>12.527828962305</v>
      </c>
      <c r="Y273" s="20" t="n">
        <f aca="false">Operations!Y253*Operations!Y235*(1-Operations!Y263)</f>
        <v>12.7215668767536</v>
      </c>
      <c r="Z273" s="20" t="n">
        <f aca="false">Operations!Z253*Operations!Z235*(1-Operations!Z263)</f>
        <v>12.9175636603354</v>
      </c>
      <c r="AA273" s="20" t="n">
        <f aca="false">Operations!AA253*Operations!AA235*(1-Operations!AA263)</f>
        <v>13.1157759071403</v>
      </c>
      <c r="AB273" s="20" t="n">
        <f aca="false">Operations!AB253*Operations!AB235*(1-Operations!AB263)</f>
        <v>13.3182696320061</v>
      </c>
      <c r="AC273" s="20" t="n">
        <f aca="false">Operations!AC253*Operations!AC235*(1-Operations!AC263)</f>
        <v>13.5228743172767</v>
      </c>
      <c r="AD273" s="20" t="n">
        <f aca="false">Operations!AD253*Operations!AD235*(1-Operations!AD263)</f>
        <v>13.7316380197667</v>
      </c>
      <c r="AE273" s="20" t="n">
        <f aca="false">Operations!AE253*Operations!AE235*(1-Operations!AE263)</f>
        <v>13.9424103031644</v>
      </c>
      <c r="AF273" s="20" t="n">
        <f aca="false">Operations!AF253*Operations!AF235*(1-Operations!AF263)</f>
        <v>14.1572214202699</v>
      </c>
      <c r="AG273" s="20" t="n">
        <f aca="false">Operations!AG253*Operations!AG235*(1-Operations!AG263)</f>
        <v>14.3760027911167</v>
      </c>
      <c r="AH273" s="20" t="n">
        <f aca="false">Operations!AH253*Operations!AH235*(1-Operations!AH263)</f>
        <v>14.5966338132984</v>
      </c>
      <c r="AI273" s="20" t="n">
        <f aca="false">Operations!AI253*Operations!AI235*(1-Operations!AI263)</f>
        <v>14.8211183821035</v>
      </c>
      <c r="AJ273" s="20" t="n">
        <f aca="false">Operations!AJ253*Operations!AJ235*(1-Operations!AJ263)</f>
        <v>15.0493897613047</v>
      </c>
      <c r="AK273" s="20" t="n">
        <f aca="false">Operations!AK253*Operations!AK235*(1-Operations!AK263)</f>
        <v>15.2813818614059</v>
      </c>
      <c r="AL273" s="20" t="n">
        <f aca="false">Operations!AL253*Operations!AL235*(1-Operations!AL263)</f>
        <v>15.5170292346142</v>
      </c>
      <c r="AM273" s="20" t="n">
        <f aca="false">Operations!AM253*Operations!AM235*(1-Operations!AM263)</f>
        <v>15.7562670698469</v>
      </c>
      <c r="AN273" s="20" t="n">
        <f aca="false">Operations!AN253*Operations!AN235*(1-Operations!AN263)</f>
        <v>15.9990311877729</v>
      </c>
      <c r="AO273" s="20" t="n">
        <f aca="false">Operations!AO253*Operations!AO235*(1-Operations!AO263)</f>
        <v>16.245258035888</v>
      </c>
      <c r="AP273" s="20" t="n">
        <f aca="false">Operations!AP253*Operations!AP235*(1-Operations!AP263)</f>
        <v>16.4948846836247</v>
      </c>
      <c r="AQ273" s="20" t="n">
        <f aca="false">Operations!AQ253*Operations!AQ235*(1-Operations!AQ263)</f>
        <v>16.7498198483083</v>
      </c>
      <c r="AR273" s="20" t="n">
        <f aca="false">Operations!AR253*Operations!AR235*(1-Operations!AR263)</f>
        <v>8.45753654827435</v>
      </c>
      <c r="AS273" s="20" t="n">
        <f aca="false">Operations!AS253*Operations!AS235*(1-Operations!AS263)</f>
        <v>0</v>
      </c>
      <c r="AT273" s="20" t="n">
        <f aca="false">Operations!AT253*Operations!AT235*(1-Operations!AT263)</f>
        <v>0</v>
      </c>
      <c r="AU273" s="20" t="n">
        <f aca="false">Operations!AU253*Operations!AU235*(1-Operations!AU263)</f>
        <v>0</v>
      </c>
    </row>
    <row r="274" customFormat="false" ht="15" hidden="false" customHeight="false" outlineLevel="0" collapsed="false">
      <c r="D274" s="0" t="s">
        <v>669</v>
      </c>
      <c r="E274" s="0" t="s">
        <v>47</v>
      </c>
      <c r="J274" s="20" t="n">
        <f aca="false">Operations!J252*Operations!J235*(1-Operations!J263)</f>
        <v>7.08481092189647</v>
      </c>
      <c r="K274" s="20" t="n">
        <f aca="false">Operations!K252*Operations!K235*(1-Operations!K263)</f>
        <v>9.15489354885706</v>
      </c>
      <c r="L274" s="20" t="n">
        <f aca="false">Operations!L252*Operations!L235*(1-Operations!L263)</f>
        <v>9.38103349488723</v>
      </c>
      <c r="M274" s="20" t="n">
        <f aca="false">Operations!M252*Operations!M235*(1-Operations!M263)</f>
        <v>9.19366535480115</v>
      </c>
      <c r="N274" s="20" t="n">
        <f aca="false">Operations!N252*Operations!N235*(1-Operations!N263)</f>
        <v>9.10450234930884</v>
      </c>
      <c r="O274" s="20" t="n">
        <f aca="false">Operations!O252*Operations!O235*(1-Operations!O263)</f>
        <v>9.89093081963867</v>
      </c>
      <c r="P274" s="20" t="n">
        <f aca="false">Operations!P252*Operations!P235*(1-Operations!P263)</f>
        <v>10.6617834833626</v>
      </c>
      <c r="Q274" s="20" t="n">
        <f aca="false">Operations!Q252*Operations!Q235*(1-Operations!Q263)</f>
        <v>10.5986415793439</v>
      </c>
      <c r="R274" s="20" t="n">
        <f aca="false">Operations!R252*Operations!R235*(1-Operations!R263)</f>
        <v>10.5346908482003</v>
      </c>
      <c r="S274" s="20" t="n">
        <f aca="false">Operations!S252*Operations!S235*(1-Operations!S263)</f>
        <v>10.4752625709778</v>
      </c>
      <c r="T274" s="20" t="n">
        <f aca="false">Operations!T252*Operations!T235*(1-Operations!T263)</f>
        <v>10.4159256655943</v>
      </c>
      <c r="U274" s="20" t="n">
        <f aca="false">Operations!U252*Operations!U235*(1-Operations!U263)</f>
        <v>11.5918794019234</v>
      </c>
      <c r="V274" s="20" t="n">
        <f aca="false">Operations!V252*Operations!V235*(1-Operations!V263)</f>
        <v>12.5780125266061</v>
      </c>
      <c r="W274" s="20" t="n">
        <f aca="false">Operations!W252*Operations!W235*(1-Operations!W263)</f>
        <v>12.3385508467198</v>
      </c>
      <c r="X274" s="20" t="n">
        <f aca="false">Operations!X252*Operations!X235*(1-Operations!X263)</f>
        <v>12.527828962305</v>
      </c>
      <c r="Y274" s="20" t="n">
        <f aca="false">Operations!Y252*Operations!Y235*(1-Operations!Y263)</f>
        <v>12.7215668767536</v>
      </c>
      <c r="Z274" s="20" t="n">
        <f aca="false">Operations!Z252*Operations!Z235*(1-Operations!Z263)</f>
        <v>12.9175636603354</v>
      </c>
      <c r="AA274" s="20" t="n">
        <f aca="false">Operations!AA252*Operations!AA235*(1-Operations!AA263)</f>
        <v>13.1157759071403</v>
      </c>
      <c r="AB274" s="20" t="n">
        <f aca="false">Operations!AB252*Operations!AB235*(1-Operations!AB263)</f>
        <v>13.3182696320061</v>
      </c>
      <c r="AC274" s="20" t="n">
        <f aca="false">Operations!AC252*Operations!AC235*(1-Operations!AC263)</f>
        <v>13.5228743172767</v>
      </c>
      <c r="AD274" s="20" t="n">
        <f aca="false">Operations!AD252*Operations!AD235*(1-Operations!AD263)</f>
        <v>13.7316380197667</v>
      </c>
      <c r="AE274" s="20" t="n">
        <f aca="false">Operations!AE252*Operations!AE235*(1-Operations!AE263)</f>
        <v>13.9424103031644</v>
      </c>
      <c r="AF274" s="20" t="n">
        <f aca="false">Operations!AF252*Operations!AF235*(1-Operations!AF263)</f>
        <v>14.1572214202699</v>
      </c>
      <c r="AG274" s="20" t="n">
        <f aca="false">Operations!AG252*Operations!AG235*(1-Operations!AG263)</f>
        <v>14.3760027911167</v>
      </c>
      <c r="AH274" s="20" t="n">
        <f aca="false">Operations!AH252*Operations!AH235*(1-Operations!AH263)</f>
        <v>14.5966338132984</v>
      </c>
      <c r="AI274" s="20" t="n">
        <f aca="false">Operations!AI252*Operations!AI235*(1-Operations!AI263)</f>
        <v>14.8211183821035</v>
      </c>
      <c r="AJ274" s="20" t="n">
        <f aca="false">Operations!AJ252*Operations!AJ235*(1-Operations!AJ263)</f>
        <v>15.0493897613047</v>
      </c>
      <c r="AK274" s="20" t="n">
        <f aca="false">Operations!AK252*Operations!AK235*(1-Operations!AK263)</f>
        <v>15.2813818614059</v>
      </c>
      <c r="AL274" s="20" t="n">
        <f aca="false">Operations!AL252*Operations!AL235*(1-Operations!AL263)</f>
        <v>15.5170292346142</v>
      </c>
      <c r="AM274" s="20" t="n">
        <f aca="false">Operations!AM252*Operations!AM235*(1-Operations!AM263)</f>
        <v>15.7562670698469</v>
      </c>
      <c r="AN274" s="20" t="n">
        <f aca="false">Operations!AN252*Operations!AN235*(1-Operations!AN263)</f>
        <v>15.9990311877729</v>
      </c>
      <c r="AO274" s="20" t="n">
        <f aca="false">Operations!AO252*Operations!AO235*(1-Operations!AO263)</f>
        <v>16.245258035888</v>
      </c>
      <c r="AP274" s="20" t="n">
        <f aca="false">Operations!AP252*Operations!AP235*(1-Operations!AP263)</f>
        <v>16.4948846836247</v>
      </c>
      <c r="AQ274" s="20" t="n">
        <f aca="false">Operations!AQ252*Operations!AQ235*(1-Operations!AQ263)</f>
        <v>16.7498198483083</v>
      </c>
      <c r="AR274" s="20" t="n">
        <f aca="false">Operations!AR252*Operations!AR235*(1-Operations!AR263)</f>
        <v>8.45753654827435</v>
      </c>
      <c r="AS274" s="20" t="n">
        <f aca="false">Operations!AS252*Operations!AS235*(1-Operations!AS263)</f>
        <v>0</v>
      </c>
      <c r="AT274" s="20" t="n">
        <f aca="false">Operations!AT252*Operations!AT235*(1-Operations!AT263)</f>
        <v>0</v>
      </c>
      <c r="AU274" s="20" t="n">
        <f aca="false">Operations!AU252*Operations!AU235*(1-Operations!AU263)</f>
        <v>0</v>
      </c>
    </row>
    <row r="275" customFormat="false" ht="15" hidden="false" customHeight="false" outlineLevel="0" collapsed="false">
      <c r="D275" s="19" t="s">
        <v>670</v>
      </c>
    </row>
    <row r="276" customFormat="false" ht="15" hidden="false" customHeight="false" outlineLevel="0" collapsed="false">
      <c r="D276" s="0" t="s">
        <v>671</v>
      </c>
      <c r="E276" s="0" t="s">
        <v>458</v>
      </c>
      <c r="J276" s="14" t="n">
        <f aca="false">MAX(0,MIN(Inputs!$F$145,Time!J$6)-MAX(Inputs!$F$144,Time!J$5))/Time!J$7</f>
        <v>0</v>
      </c>
      <c r="K276" s="14" t="n">
        <f aca="false">MAX(0,MIN(Inputs!$F$145,Time!K$6)-MAX(Inputs!$F$144,Time!K$5))/Time!K$7</f>
        <v>0.465753424657534</v>
      </c>
      <c r="L276" s="14" t="n">
        <f aca="false">MAX(0,MIN(Inputs!$F$145,Time!L$6)-MAX(Inputs!$F$144,Time!L$5))/Time!L$7</f>
        <v>1</v>
      </c>
      <c r="M276" s="14" t="n">
        <f aca="false">MAX(0,MIN(Inputs!$F$145,Time!M$6)-MAX(Inputs!$F$144,Time!M$5))/Time!M$7</f>
        <v>1</v>
      </c>
      <c r="N276" s="14" t="n">
        <f aca="false">MAX(0,MIN(Inputs!$F$145,Time!N$6)-MAX(Inputs!$F$144,Time!N$5))/Time!N$7</f>
        <v>1</v>
      </c>
      <c r="O276" s="14" t="n">
        <f aca="false">MAX(0,MIN(Inputs!$F$145,Time!O$6)-MAX(Inputs!$F$144,Time!O$5))/Time!O$7</f>
        <v>1</v>
      </c>
      <c r="P276" s="14" t="n">
        <f aca="false">MAX(0,MIN(Inputs!$F$145,Time!P$6)-MAX(Inputs!$F$144,Time!P$5))/Time!P$7</f>
        <v>1</v>
      </c>
      <c r="Q276" s="14" t="n">
        <f aca="false">MAX(0,MIN(Inputs!$F$145,Time!Q$6)-MAX(Inputs!$F$144,Time!Q$5))/Time!Q$7</f>
        <v>1</v>
      </c>
      <c r="R276" s="14" t="n">
        <f aca="false">MAX(0,MIN(Inputs!$F$145,Time!R$6)-MAX(Inputs!$F$144,Time!R$5))/Time!R$7</f>
        <v>1</v>
      </c>
      <c r="S276" s="14" t="n">
        <f aca="false">MAX(0,MIN(Inputs!$F$145,Time!S$6)-MAX(Inputs!$F$144,Time!S$5))/Time!S$7</f>
        <v>1</v>
      </c>
      <c r="T276" s="14" t="n">
        <f aca="false">MAX(0,MIN(Inputs!$F$145,Time!T$6)-MAX(Inputs!$F$144,Time!T$5))/Time!T$7</f>
        <v>1</v>
      </c>
      <c r="U276" s="14" t="n">
        <f aca="false">MAX(0,MIN(Inputs!$F$145,Time!U$6)-MAX(Inputs!$F$144,Time!U$5))/Time!U$7</f>
        <v>1</v>
      </c>
      <c r="V276" s="14" t="n">
        <f aca="false">MAX(0,MIN(Inputs!$F$145,Time!V$6)-MAX(Inputs!$F$144,Time!V$5))/Time!V$7</f>
        <v>1</v>
      </c>
      <c r="W276" s="14" t="n">
        <f aca="false">MAX(0,MIN(Inputs!$F$145,Time!W$6)-MAX(Inputs!$F$144,Time!W$5))/Time!W$7</f>
        <v>1</v>
      </c>
      <c r="X276" s="14" t="n">
        <f aca="false">MAX(0,MIN(Inputs!$F$145,Time!X$6)-MAX(Inputs!$F$144,Time!X$5))/Time!X$7</f>
        <v>1</v>
      </c>
      <c r="Y276" s="14" t="n">
        <f aca="false">MAX(0,MIN(Inputs!$F$145,Time!Y$6)-MAX(Inputs!$F$144,Time!Y$5))/Time!Y$7</f>
        <v>1</v>
      </c>
      <c r="Z276" s="14" t="n">
        <f aca="false">MAX(0,MIN(Inputs!$F$145,Time!Z$6)-MAX(Inputs!$F$144,Time!Z$5))/Time!Z$7</f>
        <v>1</v>
      </c>
      <c r="AA276" s="14" t="n">
        <f aca="false">MAX(0,MIN(Inputs!$F$145,Time!AA$6)-MAX(Inputs!$F$144,Time!AA$5))/Time!AA$7</f>
        <v>1</v>
      </c>
      <c r="AB276" s="14" t="n">
        <f aca="false">MAX(0,MIN(Inputs!$F$145,Time!AB$6)-MAX(Inputs!$F$144,Time!AB$5))/Time!AB$7</f>
        <v>1</v>
      </c>
      <c r="AC276" s="14" t="n">
        <f aca="false">MAX(0,MIN(Inputs!$F$145,Time!AC$6)-MAX(Inputs!$F$144,Time!AC$5))/Time!AC$7</f>
        <v>1</v>
      </c>
      <c r="AD276" s="14" t="n">
        <f aca="false">MAX(0,MIN(Inputs!$F$145,Time!AD$6)-MAX(Inputs!$F$144,Time!AD$5))/Time!AD$7</f>
        <v>1</v>
      </c>
      <c r="AE276" s="14" t="n">
        <f aca="false">MAX(0,MIN(Inputs!$F$145,Time!AE$6)-MAX(Inputs!$F$144,Time!AE$5))/Time!AE$7</f>
        <v>0.580821917808219</v>
      </c>
      <c r="AF276" s="14" t="n">
        <f aca="false">MAX(0,MIN(Inputs!$F$145,Time!AF$6)-MAX(Inputs!$F$144,Time!AF$5))/Time!AF$7</f>
        <v>0</v>
      </c>
      <c r="AG276" s="14" t="n">
        <f aca="false">MAX(0,MIN(Inputs!$F$145,Time!AG$6)-MAX(Inputs!$F$144,Time!AG$5))/Time!AG$7</f>
        <v>0</v>
      </c>
      <c r="AH276" s="14" t="n">
        <f aca="false">MAX(0,MIN(Inputs!$F$145,Time!AH$6)-MAX(Inputs!$F$144,Time!AH$5))/Time!AH$7</f>
        <v>0</v>
      </c>
      <c r="AI276" s="14" t="n">
        <f aca="false">MAX(0,MIN(Inputs!$F$145,Time!AI$6)-MAX(Inputs!$F$144,Time!AI$5))/Time!AI$7</f>
        <v>0</v>
      </c>
      <c r="AJ276" s="14" t="n">
        <f aca="false">MAX(0,MIN(Inputs!$F$145,Time!AJ$6)-MAX(Inputs!$F$144,Time!AJ$5))/Time!AJ$7</f>
        <v>0</v>
      </c>
      <c r="AK276" s="14" t="n">
        <f aca="false">MAX(0,MIN(Inputs!$F$145,Time!AK$6)-MAX(Inputs!$F$144,Time!AK$5))/Time!AK$7</f>
        <v>0</v>
      </c>
      <c r="AL276" s="14" t="n">
        <f aca="false">MAX(0,MIN(Inputs!$F$145,Time!AL$6)-MAX(Inputs!$F$144,Time!AL$5))/Time!AL$7</f>
        <v>0</v>
      </c>
      <c r="AM276" s="14" t="n">
        <f aca="false">MAX(0,MIN(Inputs!$F$145,Time!AM$6)-MAX(Inputs!$F$144,Time!AM$5))/Time!AM$7</f>
        <v>0</v>
      </c>
      <c r="AN276" s="14" t="n">
        <f aca="false">MAX(0,MIN(Inputs!$F$145,Time!AN$6)-MAX(Inputs!$F$144,Time!AN$5))/Time!AN$7</f>
        <v>0</v>
      </c>
      <c r="AO276" s="14" t="n">
        <f aca="false">MAX(0,MIN(Inputs!$F$145,Time!AO$6)-MAX(Inputs!$F$144,Time!AO$5))/Time!AO$7</f>
        <v>0</v>
      </c>
      <c r="AP276" s="14" t="n">
        <f aca="false">MAX(0,MIN(Inputs!$F$145,Time!AP$6)-MAX(Inputs!$F$144,Time!AP$5))/Time!AP$7</f>
        <v>0</v>
      </c>
      <c r="AQ276" s="14" t="n">
        <f aca="false">MAX(0,MIN(Inputs!$F$145,Time!AQ$6)-MAX(Inputs!$F$144,Time!AQ$5))/Time!AQ$7</f>
        <v>0</v>
      </c>
      <c r="AR276" s="14" t="n">
        <f aca="false">MAX(0,MIN(Inputs!$F$145,Time!AR$6)-MAX(Inputs!$F$144,Time!AR$5))/Time!AR$7</f>
        <v>0</v>
      </c>
      <c r="AS276" s="14" t="n">
        <f aca="false">MAX(0,MIN(Inputs!$F$145,Time!AS$6)-MAX(Inputs!$F$144,Time!AS$5))/Time!AS$7</f>
        <v>0</v>
      </c>
      <c r="AT276" s="14" t="n">
        <f aca="false">MAX(0,MIN(Inputs!$F$145,Time!AT$6)-MAX(Inputs!$F$144,Time!AT$5))/Time!AT$7</f>
        <v>0</v>
      </c>
      <c r="AU276" s="14" t="n">
        <f aca="false">MAX(0,MIN(Inputs!$F$145,Time!AU$6)-MAX(Inputs!$F$144,Time!AU$5))/Time!AU$7</f>
        <v>0</v>
      </c>
    </row>
    <row r="277" customFormat="false" ht="15" hidden="false" customHeight="false" outlineLevel="0" collapsed="false">
      <c r="D277" s="0" t="s">
        <v>672</v>
      </c>
      <c r="E277" s="0" t="s">
        <v>458</v>
      </c>
      <c r="J277" s="14" t="n">
        <f aca="false">MAX(0,MIN(Inputs!$F$145,Time!J$6)-MAX(MAX(Inputs!$F$146,Inputs!$F$144),Time!J$5))/Time!J$7</f>
        <v>0</v>
      </c>
      <c r="K277" s="14" t="n">
        <f aca="false">MAX(0,MIN(Inputs!$F$145,Time!K$6)-MAX(MAX(Inputs!$F$146,Inputs!$F$144),Time!K$5))/Time!K$7</f>
        <v>0.334246575342466</v>
      </c>
      <c r="L277" s="14" t="n">
        <f aca="false">MAX(0,MIN(Inputs!$F$145,Time!L$6)-MAX(MAX(Inputs!$F$146,Inputs!$F$144),Time!L$5))/Time!L$7</f>
        <v>1</v>
      </c>
      <c r="M277" s="14" t="n">
        <f aca="false">MAX(0,MIN(Inputs!$F$145,Time!M$6)-MAX(MAX(Inputs!$F$146,Inputs!$F$144),Time!M$5))/Time!M$7</f>
        <v>1</v>
      </c>
      <c r="N277" s="14" t="n">
        <f aca="false">MAX(0,MIN(Inputs!$F$145,Time!N$6)-MAX(MAX(Inputs!$F$146,Inputs!$F$144),Time!N$5))/Time!N$7</f>
        <v>1</v>
      </c>
      <c r="O277" s="14" t="n">
        <f aca="false">MAX(0,MIN(Inputs!$F$145,Time!O$6)-MAX(MAX(Inputs!$F$146,Inputs!$F$144),Time!O$5))/Time!O$7</f>
        <v>1</v>
      </c>
      <c r="P277" s="14" t="n">
        <f aca="false">MAX(0,MIN(Inputs!$F$145,Time!P$6)-MAX(MAX(Inputs!$F$146,Inputs!$F$144),Time!P$5))/Time!P$7</f>
        <v>1</v>
      </c>
      <c r="Q277" s="14" t="n">
        <f aca="false">MAX(0,MIN(Inputs!$F$145,Time!Q$6)-MAX(MAX(Inputs!$F$146,Inputs!$F$144),Time!Q$5))/Time!Q$7</f>
        <v>1</v>
      </c>
      <c r="R277" s="14" t="n">
        <f aca="false">MAX(0,MIN(Inputs!$F$145,Time!R$6)-MAX(MAX(Inputs!$F$146,Inputs!$F$144),Time!R$5))/Time!R$7</f>
        <v>1</v>
      </c>
      <c r="S277" s="14" t="n">
        <f aca="false">MAX(0,MIN(Inputs!$F$145,Time!S$6)-MAX(MAX(Inputs!$F$146,Inputs!$F$144),Time!S$5))/Time!S$7</f>
        <v>1</v>
      </c>
      <c r="T277" s="14" t="n">
        <f aca="false">MAX(0,MIN(Inputs!$F$145,Time!T$6)-MAX(MAX(Inputs!$F$146,Inputs!$F$144),Time!T$5))/Time!T$7</f>
        <v>1</v>
      </c>
      <c r="U277" s="14" t="n">
        <f aca="false">MAX(0,MIN(Inputs!$F$145,Time!U$6)-MAX(MAX(Inputs!$F$146,Inputs!$F$144),Time!U$5))/Time!U$7</f>
        <v>1</v>
      </c>
      <c r="V277" s="14" t="n">
        <f aca="false">MAX(0,MIN(Inputs!$F$145,Time!V$6)-MAX(MAX(Inputs!$F$146,Inputs!$F$144),Time!V$5))/Time!V$7</f>
        <v>1</v>
      </c>
      <c r="W277" s="14" t="n">
        <f aca="false">MAX(0,MIN(Inputs!$F$145,Time!W$6)-MAX(MAX(Inputs!$F$146,Inputs!$F$144),Time!W$5))/Time!W$7</f>
        <v>1</v>
      </c>
      <c r="X277" s="14" t="n">
        <f aca="false">MAX(0,MIN(Inputs!$F$145,Time!X$6)-MAX(MAX(Inputs!$F$146,Inputs!$F$144),Time!X$5))/Time!X$7</f>
        <v>1</v>
      </c>
      <c r="Y277" s="14" t="n">
        <f aca="false">MAX(0,MIN(Inputs!$F$145,Time!Y$6)-MAX(MAX(Inputs!$F$146,Inputs!$F$144),Time!Y$5))/Time!Y$7</f>
        <v>1</v>
      </c>
      <c r="Z277" s="14" t="n">
        <f aca="false">MAX(0,MIN(Inputs!$F$145,Time!Z$6)-MAX(MAX(Inputs!$F$146,Inputs!$F$144),Time!Z$5))/Time!Z$7</f>
        <v>1</v>
      </c>
      <c r="AA277" s="14" t="n">
        <f aca="false">MAX(0,MIN(Inputs!$F$145,Time!AA$6)-MAX(MAX(Inputs!$F$146,Inputs!$F$144),Time!AA$5))/Time!AA$7</f>
        <v>1</v>
      </c>
      <c r="AB277" s="14" t="n">
        <f aca="false">MAX(0,MIN(Inputs!$F$145,Time!AB$6)-MAX(MAX(Inputs!$F$146,Inputs!$F$144),Time!AB$5))/Time!AB$7</f>
        <v>1</v>
      </c>
      <c r="AC277" s="14" t="n">
        <f aca="false">MAX(0,MIN(Inputs!$F$145,Time!AC$6)-MAX(MAX(Inputs!$F$146,Inputs!$F$144),Time!AC$5))/Time!AC$7</f>
        <v>1</v>
      </c>
      <c r="AD277" s="14" t="n">
        <f aca="false">MAX(0,MIN(Inputs!$F$145,Time!AD$6)-MAX(MAX(Inputs!$F$146,Inputs!$F$144),Time!AD$5))/Time!AD$7</f>
        <v>1</v>
      </c>
      <c r="AE277" s="14" t="n">
        <f aca="false">MAX(0,MIN(Inputs!$F$145,Time!AE$6)-MAX(MAX(Inputs!$F$146,Inputs!$F$144),Time!AE$5))/Time!AE$7</f>
        <v>0.580821917808219</v>
      </c>
      <c r="AF277" s="14" t="n">
        <f aca="false">MAX(0,MIN(Inputs!$F$145,Time!AF$6)-MAX(MAX(Inputs!$F$146,Inputs!$F$144),Time!AF$5))/Time!AF$7</f>
        <v>0</v>
      </c>
      <c r="AG277" s="14" t="n">
        <f aca="false">MAX(0,MIN(Inputs!$F$145,Time!AG$6)-MAX(MAX(Inputs!$F$146,Inputs!$F$144),Time!AG$5))/Time!AG$7</f>
        <v>0</v>
      </c>
      <c r="AH277" s="14" t="n">
        <f aca="false">MAX(0,MIN(Inputs!$F$145,Time!AH$6)-MAX(MAX(Inputs!$F$146,Inputs!$F$144),Time!AH$5))/Time!AH$7</f>
        <v>0</v>
      </c>
      <c r="AI277" s="14" t="n">
        <f aca="false">MAX(0,MIN(Inputs!$F$145,Time!AI$6)-MAX(MAX(Inputs!$F$146,Inputs!$F$144),Time!AI$5))/Time!AI$7</f>
        <v>0</v>
      </c>
      <c r="AJ277" s="14" t="n">
        <f aca="false">MAX(0,MIN(Inputs!$F$145,Time!AJ$6)-MAX(MAX(Inputs!$F$146,Inputs!$F$144),Time!AJ$5))/Time!AJ$7</f>
        <v>0</v>
      </c>
      <c r="AK277" s="14" t="n">
        <f aca="false">MAX(0,MIN(Inputs!$F$145,Time!AK$6)-MAX(MAX(Inputs!$F$146,Inputs!$F$144),Time!AK$5))/Time!AK$7</f>
        <v>0</v>
      </c>
      <c r="AL277" s="14" t="n">
        <f aca="false">MAX(0,MIN(Inputs!$F$145,Time!AL$6)-MAX(MAX(Inputs!$F$146,Inputs!$F$144),Time!AL$5))/Time!AL$7</f>
        <v>0</v>
      </c>
      <c r="AM277" s="14" t="n">
        <f aca="false">MAX(0,MIN(Inputs!$F$145,Time!AM$6)-MAX(MAX(Inputs!$F$146,Inputs!$F$144),Time!AM$5))/Time!AM$7</f>
        <v>0</v>
      </c>
      <c r="AN277" s="14" t="n">
        <f aca="false">MAX(0,MIN(Inputs!$F$145,Time!AN$6)-MAX(MAX(Inputs!$F$146,Inputs!$F$144),Time!AN$5))/Time!AN$7</f>
        <v>0</v>
      </c>
      <c r="AO277" s="14" t="n">
        <f aca="false">MAX(0,MIN(Inputs!$F$145,Time!AO$6)-MAX(MAX(Inputs!$F$146,Inputs!$F$144),Time!AO$5))/Time!AO$7</f>
        <v>0</v>
      </c>
      <c r="AP277" s="14" t="n">
        <f aca="false">MAX(0,MIN(Inputs!$F$145,Time!AP$6)-MAX(MAX(Inputs!$F$146,Inputs!$F$144),Time!AP$5))/Time!AP$7</f>
        <v>0</v>
      </c>
      <c r="AQ277" s="14" t="n">
        <f aca="false">MAX(0,MIN(Inputs!$F$145,Time!AQ$6)-MAX(MAX(Inputs!$F$146,Inputs!$F$144),Time!AQ$5))/Time!AQ$7</f>
        <v>0</v>
      </c>
      <c r="AR277" s="14" t="n">
        <f aca="false">MAX(0,MIN(Inputs!$F$145,Time!AR$6)-MAX(MAX(Inputs!$F$146,Inputs!$F$144),Time!AR$5))/Time!AR$7</f>
        <v>0</v>
      </c>
      <c r="AS277" s="14" t="n">
        <f aca="false">MAX(0,MIN(Inputs!$F$145,Time!AS$6)-MAX(MAX(Inputs!$F$146,Inputs!$F$144),Time!AS$5))/Time!AS$7</f>
        <v>0</v>
      </c>
      <c r="AT277" s="14" t="n">
        <f aca="false">MAX(0,MIN(Inputs!$F$145,Time!AT$6)-MAX(MAX(Inputs!$F$146,Inputs!$F$144),Time!AT$5))/Time!AT$7</f>
        <v>0</v>
      </c>
      <c r="AU277" s="14" t="n">
        <f aca="false">MAX(0,MIN(Inputs!$F$145,Time!AU$6)-MAX(MAX(Inputs!$F$146,Inputs!$F$144),Time!AU$5))/Time!AU$7</f>
        <v>0</v>
      </c>
    </row>
    <row r="278" customFormat="false" ht="15" hidden="false" customHeight="false" outlineLevel="0" collapsed="false">
      <c r="D278" s="0" t="s">
        <v>673</v>
      </c>
      <c r="E278" s="0" t="s">
        <v>458</v>
      </c>
      <c r="J278" s="14" t="n">
        <f aca="false">IF(Operations!J276&gt;0,Operations!J277/Operations!J276,0)</f>
        <v>0</v>
      </c>
      <c r="K278" s="14" t="n">
        <f aca="false">IF(Operations!K276&gt;0,Operations!K277/Operations!K276,0)</f>
        <v>0.71764705882353</v>
      </c>
      <c r="L278" s="14" t="n">
        <f aca="false">IF(Operations!L276&gt;0,Operations!L277/Operations!L276,0)</f>
        <v>1</v>
      </c>
      <c r="M278" s="14" t="n">
        <f aca="false">IF(Operations!M276&gt;0,Operations!M277/Operations!M276,0)</f>
        <v>1</v>
      </c>
      <c r="N278" s="14" t="n">
        <f aca="false">IF(Operations!N276&gt;0,Operations!N277/Operations!N276,0)</f>
        <v>1</v>
      </c>
      <c r="O278" s="14" t="n">
        <f aca="false">IF(Operations!O276&gt;0,Operations!O277/Operations!O276,0)</f>
        <v>1</v>
      </c>
      <c r="P278" s="14" t="n">
        <f aca="false">IF(Operations!P276&gt;0,Operations!P277/Operations!P276,0)</f>
        <v>1</v>
      </c>
      <c r="Q278" s="14" t="n">
        <f aca="false">IF(Operations!Q276&gt;0,Operations!Q277/Operations!Q276,0)</f>
        <v>1</v>
      </c>
      <c r="R278" s="14" t="n">
        <f aca="false">IF(Operations!R276&gt;0,Operations!R277/Operations!R276,0)</f>
        <v>1</v>
      </c>
      <c r="S278" s="14" t="n">
        <f aca="false">IF(Operations!S276&gt;0,Operations!S277/Operations!S276,0)</f>
        <v>1</v>
      </c>
      <c r="T278" s="14" t="n">
        <f aca="false">IF(Operations!T276&gt;0,Operations!T277/Operations!T276,0)</f>
        <v>1</v>
      </c>
      <c r="U278" s="14" t="n">
        <f aca="false">IF(Operations!U276&gt;0,Operations!U277/Operations!U276,0)</f>
        <v>1</v>
      </c>
      <c r="V278" s="14" t="n">
        <f aca="false">IF(Operations!V276&gt;0,Operations!V277/Operations!V276,0)</f>
        <v>1</v>
      </c>
      <c r="W278" s="14" t="n">
        <f aca="false">IF(Operations!W276&gt;0,Operations!W277/Operations!W276,0)</f>
        <v>1</v>
      </c>
      <c r="X278" s="14" t="n">
        <f aca="false">IF(Operations!X276&gt;0,Operations!X277/Operations!X276,0)</f>
        <v>1</v>
      </c>
      <c r="Y278" s="14" t="n">
        <f aca="false">IF(Operations!Y276&gt;0,Operations!Y277/Operations!Y276,0)</f>
        <v>1</v>
      </c>
      <c r="Z278" s="14" t="n">
        <f aca="false">IF(Operations!Z276&gt;0,Operations!Z277/Operations!Z276,0)</f>
        <v>1</v>
      </c>
      <c r="AA278" s="14" t="n">
        <f aca="false">IF(Operations!AA276&gt;0,Operations!AA277/Operations!AA276,0)</f>
        <v>1</v>
      </c>
      <c r="AB278" s="14" t="n">
        <f aca="false">IF(Operations!AB276&gt;0,Operations!AB277/Operations!AB276,0)</f>
        <v>1</v>
      </c>
      <c r="AC278" s="14" t="n">
        <f aca="false">IF(Operations!AC276&gt;0,Operations!AC277/Operations!AC276,0)</f>
        <v>1</v>
      </c>
      <c r="AD278" s="14" t="n">
        <f aca="false">IF(Operations!AD276&gt;0,Operations!AD277/Operations!AD276,0)</f>
        <v>1</v>
      </c>
      <c r="AE278" s="14" t="n">
        <f aca="false">IF(Operations!AE276&gt;0,Operations!AE277/Operations!AE276,0)</f>
        <v>1</v>
      </c>
      <c r="AF278" s="14" t="n">
        <f aca="false">IF(Operations!AF276&gt;0,Operations!AF277/Operations!AF276,0)</f>
        <v>0</v>
      </c>
      <c r="AG278" s="14" t="n">
        <f aca="false">IF(Operations!AG276&gt;0,Operations!AG277/Operations!AG276,0)</f>
        <v>0</v>
      </c>
      <c r="AH278" s="14" t="n">
        <f aca="false">IF(Operations!AH276&gt;0,Operations!AH277/Operations!AH276,0)</f>
        <v>0</v>
      </c>
      <c r="AI278" s="14" t="n">
        <f aca="false">IF(Operations!AI276&gt;0,Operations!AI277/Operations!AI276,0)</f>
        <v>0</v>
      </c>
      <c r="AJ278" s="14" t="n">
        <f aca="false">IF(Operations!AJ276&gt;0,Operations!AJ277/Operations!AJ276,0)</f>
        <v>0</v>
      </c>
      <c r="AK278" s="14" t="n">
        <f aca="false">IF(Operations!AK276&gt;0,Operations!AK277/Operations!AK276,0)</f>
        <v>0</v>
      </c>
      <c r="AL278" s="14" t="n">
        <f aca="false">IF(Operations!AL276&gt;0,Operations!AL277/Operations!AL276,0)</f>
        <v>0</v>
      </c>
      <c r="AM278" s="14" t="n">
        <f aca="false">IF(Operations!AM276&gt;0,Operations!AM277/Operations!AM276,0)</f>
        <v>0</v>
      </c>
      <c r="AN278" s="14" t="n">
        <f aca="false">IF(Operations!AN276&gt;0,Operations!AN277/Operations!AN276,0)</f>
        <v>0</v>
      </c>
      <c r="AO278" s="14" t="n">
        <f aca="false">IF(Operations!AO276&gt;0,Operations!AO277/Operations!AO276,0)</f>
        <v>0</v>
      </c>
      <c r="AP278" s="14" t="n">
        <f aca="false">IF(Operations!AP276&gt;0,Operations!AP277/Operations!AP276,0)</f>
        <v>0</v>
      </c>
      <c r="AQ278" s="14" t="n">
        <f aca="false">IF(Operations!AQ276&gt;0,Operations!AQ277/Operations!AQ276,0)</f>
        <v>0</v>
      </c>
      <c r="AR278" s="14" t="n">
        <f aca="false">IF(Operations!AR276&gt;0,Operations!AR277/Operations!AR276,0)</f>
        <v>0</v>
      </c>
      <c r="AS278" s="14" t="n">
        <f aca="false">IF(Operations!AS276&gt;0,Operations!AS277/Operations!AS276,0)</f>
        <v>0</v>
      </c>
      <c r="AT278" s="14" t="n">
        <f aca="false">IF(Operations!AT276&gt;0,Operations!AT277/Operations!AT276,0)</f>
        <v>0</v>
      </c>
      <c r="AU278" s="14" t="n">
        <f aca="false">IF(Operations!AU276&gt;0,Operations!AU277/Operations!AU276,0)</f>
        <v>0</v>
      </c>
    </row>
    <row r="279" customFormat="false" ht="15" hidden="false" customHeight="false" outlineLevel="0" collapsed="false">
      <c r="D279" s="0" t="s">
        <v>674</v>
      </c>
      <c r="E279" s="0" t="s">
        <v>96</v>
      </c>
      <c r="J279" s="18" t="n">
        <f aca="false">Operations!J52</f>
        <v>74.6</v>
      </c>
      <c r="K279" s="18" t="n">
        <f aca="false">Operations!K52</f>
        <v>61.2</v>
      </c>
      <c r="L279" s="18" t="n">
        <f aca="false">Operations!L52</f>
        <v>30.1</v>
      </c>
      <c r="M279" s="18" t="n">
        <f aca="false">Operations!M52</f>
        <v>39.8</v>
      </c>
      <c r="N279" s="18" t="n">
        <f aca="false">Operations!N52</f>
        <v>44.6</v>
      </c>
      <c r="O279" s="18" t="n">
        <f aca="false">Operations!O52</f>
        <v>47.3</v>
      </c>
      <c r="P279" s="18" t="n">
        <f aca="false">Operations!P52</f>
        <v>49.1</v>
      </c>
      <c r="Q279" s="18" t="n">
        <f aca="false">Operations!Q52</f>
        <v>50.4</v>
      </c>
      <c r="R279" s="18" t="n">
        <f aca="false">Operations!R52</f>
        <v>51.8</v>
      </c>
      <c r="S279" s="18" t="n">
        <f aca="false">Operations!S52</f>
        <v>52.84</v>
      </c>
      <c r="T279" s="18" t="n">
        <f aca="false">Operations!T52</f>
        <v>53.9</v>
      </c>
      <c r="U279" s="18" t="n">
        <f aca="false">Operations!U52</f>
        <v>54.98</v>
      </c>
      <c r="V279" s="18" t="n">
        <f aca="false">Operations!V52</f>
        <v>56.08</v>
      </c>
      <c r="W279" s="18" t="n">
        <f aca="false">Operations!W52</f>
        <v>57.2</v>
      </c>
      <c r="X279" s="18" t="n">
        <f aca="false">Operations!X52</f>
        <v>58.34</v>
      </c>
      <c r="Y279" s="18" t="n">
        <f aca="false">Operations!Y52</f>
        <v>59.51</v>
      </c>
      <c r="Z279" s="18" t="n">
        <f aca="false">Operations!Z52</f>
        <v>60.7</v>
      </c>
      <c r="AA279" s="18" t="n">
        <f aca="false">Operations!AA52</f>
        <v>61.91</v>
      </c>
      <c r="AB279" s="18" t="n">
        <f aca="false">Operations!AB52</f>
        <v>63.15</v>
      </c>
      <c r="AC279" s="18" t="n">
        <f aca="false">Operations!AC52</f>
        <v>64.41</v>
      </c>
      <c r="AD279" s="18" t="n">
        <f aca="false">Operations!AD52</f>
        <v>65.7</v>
      </c>
      <c r="AE279" s="18" t="n">
        <f aca="false">Operations!AE52</f>
        <v>67.01</v>
      </c>
      <c r="AF279" s="18" t="n">
        <f aca="false">Operations!AF52</f>
        <v>68.35</v>
      </c>
      <c r="AG279" s="18" t="n">
        <f aca="false">Operations!AG52</f>
        <v>69.72</v>
      </c>
      <c r="AH279" s="18" t="n">
        <f aca="false">Operations!AH52</f>
        <v>71.11</v>
      </c>
      <c r="AI279" s="18" t="n">
        <f aca="false">Operations!AI52</f>
        <v>72.53</v>
      </c>
      <c r="AJ279" s="18" t="n">
        <f aca="false">Operations!AJ52</f>
        <v>73.98</v>
      </c>
      <c r="AK279" s="18" t="n">
        <f aca="false">Operations!AK52</f>
        <v>75.46</v>
      </c>
      <c r="AL279" s="18" t="n">
        <f aca="false">Operations!AL52</f>
        <v>76.97</v>
      </c>
      <c r="AM279" s="18" t="n">
        <f aca="false">Operations!AM52</f>
        <v>78.51</v>
      </c>
      <c r="AN279" s="18" t="n">
        <f aca="false">Operations!AN52</f>
        <v>80.08</v>
      </c>
      <c r="AO279" s="18" t="n">
        <f aca="false">Operations!AO52</f>
        <v>81.68</v>
      </c>
      <c r="AP279" s="18" t="n">
        <f aca="false">Operations!AP52</f>
        <v>83.31</v>
      </c>
      <c r="AQ279" s="18" t="n">
        <f aca="false">Operations!AQ52</f>
        <v>84.98</v>
      </c>
      <c r="AR279" s="18" t="n">
        <f aca="false">Operations!AR52</f>
        <v>86.68</v>
      </c>
      <c r="AS279" s="18" t="n">
        <f aca="false">Operations!AS52</f>
        <v>88.41</v>
      </c>
      <c r="AT279" s="18" t="n">
        <f aca="false">Operations!AT52</f>
        <v>90.18</v>
      </c>
      <c r="AU279" s="18" t="n">
        <f aca="false">Operations!AU52</f>
        <v>91.98</v>
      </c>
    </row>
    <row r="280" customFormat="false" ht="15" hidden="false" customHeight="false" outlineLevel="0" collapsed="false">
      <c r="D280" s="0" t="s">
        <v>675</v>
      </c>
      <c r="E280" s="0" t="s">
        <v>176</v>
      </c>
      <c r="J280" s="20" t="n">
        <f aca="false">Inputs!$F$149*(1+Inputs!$F$155/100)*(1-(Inputs!$F$187*MIN(MAX(0,(Time!J$5-Inputs!$F$144)/Inputs!$F$27),1)+Inputs!$F$188*MIN(MAX(MAX(0,(Time!J$5-Inputs!$F$144)/Inputs!$F$27)-1,0),Inputs!$F$190-1)+Inputs!$F$189*MAX(MAX(0,(Time!J$5-Inputs!$F$144)/Inputs!$F$27)-Inputs!$F$190,0))/100)</f>
        <v>216</v>
      </c>
      <c r="K280" s="20" t="n">
        <f aca="false">Inputs!$F$149*(1+Inputs!$F$155/100)*(1-(Inputs!$F$187*MIN(MAX(0,(Time!K$5-Inputs!$F$144)/Inputs!$F$27),1)+Inputs!$F$188*MIN(MAX(MAX(0,(Time!K$5-Inputs!$F$144)/Inputs!$F$27)-1,0),Inputs!$F$190-1)+Inputs!$F$189*MAX(MAX(0,(Time!K$5-Inputs!$F$144)/Inputs!$F$27)-Inputs!$F$190,0))/100)</f>
        <v>216</v>
      </c>
      <c r="L280" s="20" t="n">
        <f aca="false">Inputs!$F$149*(1+Inputs!$F$155/100)*(1-(Inputs!$F$187*MIN(MAX(0,(Time!L$5-Inputs!$F$144)/Inputs!$F$27),1)+Inputs!$F$188*MIN(MAX(MAX(0,(Time!L$5-Inputs!$F$144)/Inputs!$F$27)-1,0),Inputs!$F$190-1)+Inputs!$F$189*MAX(MAX(0,(Time!L$5-Inputs!$F$144)/Inputs!$F$27)-Inputs!$F$190,0))/100)</f>
        <v>213.987945205479</v>
      </c>
      <c r="M280" s="20" t="n">
        <f aca="false">Inputs!$F$149*(1+Inputs!$F$155/100)*(1-(Inputs!$F$187*MIN(MAX(0,(Time!M$5-Inputs!$F$144)/Inputs!$F$27),1)+Inputs!$F$188*MIN(MAX(MAX(0,(Time!M$5-Inputs!$F$144)/Inputs!$F$27)-1,0),Inputs!$F$190-1)+Inputs!$F$189*MAX(MAX(0,(Time!M$5-Inputs!$F$144)/Inputs!$F$27)-Inputs!$F$190,0))/100)</f>
        <v>210.162082191781</v>
      </c>
      <c r="N280" s="20" t="n">
        <f aca="false">Inputs!$F$149*(1+Inputs!$F$155/100)*(1-(Inputs!$F$187*MIN(MAX(0,(Time!N$5-Inputs!$F$144)/Inputs!$F$27),1)+Inputs!$F$188*MIN(MAX(MAX(0,(Time!N$5-Inputs!$F$144)/Inputs!$F$27)-1,0),Inputs!$F$190-1)+Inputs!$F$189*MAX(MAX(0,(Time!N$5-Inputs!$F$144)/Inputs!$F$27)-Inputs!$F$190,0))/100)</f>
        <v>206.922082191781</v>
      </c>
      <c r="O280" s="20" t="n">
        <f aca="false">Inputs!$F$149*(1+Inputs!$F$155/100)*(1-(Inputs!$F$187*MIN(MAX(0,(Time!O$5-Inputs!$F$144)/Inputs!$F$27),1)+Inputs!$F$188*MIN(MAX(MAX(0,(Time!O$5-Inputs!$F$144)/Inputs!$F$27)-1,0),Inputs!$F$190-1)+Inputs!$F$189*MAX(MAX(0,(Time!O$5-Inputs!$F$144)/Inputs!$F$27)-Inputs!$F$190,0))/100)</f>
        <v>203.682082191781</v>
      </c>
      <c r="P280" s="20" t="n">
        <f aca="false">Inputs!$F$149*(1+Inputs!$F$155/100)*(1-(Inputs!$F$187*MIN(MAX(0,(Time!P$5-Inputs!$F$144)/Inputs!$F$27),1)+Inputs!$F$188*MIN(MAX(MAX(0,(Time!P$5-Inputs!$F$144)/Inputs!$F$27)-1,0),Inputs!$F$190-1)+Inputs!$F$189*MAX(MAX(0,(Time!P$5-Inputs!$F$144)/Inputs!$F$27)-Inputs!$F$190,0))/100)</f>
        <v>200.442082191781</v>
      </c>
      <c r="Q280" s="20" t="n">
        <f aca="false">Inputs!$F$149*(1+Inputs!$F$155/100)*(1-(Inputs!$F$187*MIN(MAX(0,(Time!Q$5-Inputs!$F$144)/Inputs!$F$27),1)+Inputs!$F$188*MIN(MAX(MAX(0,(Time!Q$5-Inputs!$F$144)/Inputs!$F$27)-1,0),Inputs!$F$190-1)+Inputs!$F$189*MAX(MAX(0,(Time!Q$5-Inputs!$F$144)/Inputs!$F$27)-Inputs!$F$190,0))/100)</f>
        <v>197.193205479452</v>
      </c>
      <c r="R280" s="20" t="n">
        <f aca="false">Inputs!$F$149*(1+Inputs!$F$155/100)*(1-(Inputs!$F$187*MIN(MAX(0,(Time!R$5-Inputs!$F$144)/Inputs!$F$27),1)+Inputs!$F$188*MIN(MAX(MAX(0,(Time!R$5-Inputs!$F$144)/Inputs!$F$27)-1,0),Inputs!$F$190-1)+Inputs!$F$189*MAX(MAX(0,(Time!R$5-Inputs!$F$144)/Inputs!$F$27)-Inputs!$F$190,0))/100)</f>
        <v>193.953205479452</v>
      </c>
      <c r="S280" s="20" t="n">
        <f aca="false">Inputs!$F$149*(1+Inputs!$F$155/100)*(1-(Inputs!$F$187*MIN(MAX(0,(Time!S$5-Inputs!$F$144)/Inputs!$F$27),1)+Inputs!$F$188*MIN(MAX(MAX(0,(Time!S$5-Inputs!$F$144)/Inputs!$F$27)-1,0),Inputs!$F$190-1)+Inputs!$F$189*MAX(MAX(0,(Time!S$5-Inputs!$F$144)/Inputs!$F$27)-Inputs!$F$190,0))/100)</f>
        <v>190.713205479452</v>
      </c>
      <c r="T280" s="20" t="n">
        <f aca="false">Inputs!$F$149*(1+Inputs!$F$155/100)*(1-(Inputs!$F$187*MIN(MAX(0,(Time!T$5-Inputs!$F$144)/Inputs!$F$27),1)+Inputs!$F$188*MIN(MAX(MAX(0,(Time!T$5-Inputs!$F$144)/Inputs!$F$27)-1,0),Inputs!$F$190-1)+Inputs!$F$189*MAX(MAX(0,(Time!T$5-Inputs!$F$144)/Inputs!$F$27)-Inputs!$F$190,0))/100)</f>
        <v>187.473205479452</v>
      </c>
      <c r="U280" s="20" t="n">
        <f aca="false">Inputs!$F$149*(1+Inputs!$F$155/100)*(1-(Inputs!$F$187*MIN(MAX(0,(Time!U$5-Inputs!$F$144)/Inputs!$F$27),1)+Inputs!$F$188*MIN(MAX(MAX(0,(Time!U$5-Inputs!$F$144)/Inputs!$F$27)-1,0),Inputs!$F$190-1)+Inputs!$F$189*MAX(MAX(0,(Time!U$5-Inputs!$F$144)/Inputs!$F$27)-Inputs!$F$190,0))/100)</f>
        <v>184.224328767123</v>
      </c>
      <c r="V280" s="20" t="n">
        <f aca="false">Inputs!$F$149*(1+Inputs!$F$155/100)*(1-(Inputs!$F$187*MIN(MAX(0,(Time!V$5-Inputs!$F$144)/Inputs!$F$27),1)+Inputs!$F$188*MIN(MAX(MAX(0,(Time!V$5-Inputs!$F$144)/Inputs!$F$27)-1,0),Inputs!$F$190-1)+Inputs!$F$189*MAX(MAX(0,(Time!V$5-Inputs!$F$144)/Inputs!$F$27)-Inputs!$F$190,0))/100)</f>
        <v>181.496219178082</v>
      </c>
      <c r="W280" s="20" t="n">
        <f aca="false">Inputs!$F$149*(1+Inputs!$F$155/100)*(1-(Inputs!$F$187*MIN(MAX(0,(Time!W$5-Inputs!$F$144)/Inputs!$F$27),1)+Inputs!$F$188*MIN(MAX(MAX(0,(Time!W$5-Inputs!$F$144)/Inputs!$F$27)-1,0),Inputs!$F$190-1)+Inputs!$F$189*MAX(MAX(0,(Time!W$5-Inputs!$F$144)/Inputs!$F$27)-Inputs!$F$190,0))/100)</f>
        <v>179.336219178082</v>
      </c>
      <c r="X280" s="20" t="n">
        <f aca="false">Inputs!$F$149*(1+Inputs!$F$155/100)*(1-(Inputs!$F$187*MIN(MAX(0,(Time!X$5-Inputs!$F$144)/Inputs!$F$27),1)+Inputs!$F$188*MIN(MAX(MAX(0,(Time!X$5-Inputs!$F$144)/Inputs!$F$27)-1,0),Inputs!$F$190-1)+Inputs!$F$189*MAX(MAX(0,(Time!X$5-Inputs!$F$144)/Inputs!$F$27)-Inputs!$F$190,0))/100)</f>
        <v>177.176219178082</v>
      </c>
      <c r="Y280" s="20" t="n">
        <f aca="false">Inputs!$F$149*(1+Inputs!$F$155/100)*(1-(Inputs!$F$187*MIN(MAX(0,(Time!Y$5-Inputs!$F$144)/Inputs!$F$27),1)+Inputs!$F$188*MIN(MAX(MAX(0,(Time!Y$5-Inputs!$F$144)/Inputs!$F$27)-1,0),Inputs!$F$190-1)+Inputs!$F$189*MAX(MAX(0,(Time!Y$5-Inputs!$F$144)/Inputs!$F$27)-Inputs!$F$190,0))/100)</f>
        <v>175.010301369863</v>
      </c>
      <c r="Z280" s="20" t="n">
        <f aca="false">Inputs!$F$149*(1+Inputs!$F$155/100)*(1-(Inputs!$F$187*MIN(MAX(0,(Time!Z$5-Inputs!$F$144)/Inputs!$F$27),1)+Inputs!$F$188*MIN(MAX(MAX(0,(Time!Z$5-Inputs!$F$144)/Inputs!$F$27)-1,0),Inputs!$F$190-1)+Inputs!$F$189*MAX(MAX(0,(Time!Z$5-Inputs!$F$144)/Inputs!$F$27)-Inputs!$F$190,0))/100)</f>
        <v>172.850301369863</v>
      </c>
      <c r="AA280" s="20" t="n">
        <f aca="false">Inputs!$F$149*(1+Inputs!$F$155/100)*(1-(Inputs!$F$187*MIN(MAX(0,(Time!AA$5-Inputs!$F$144)/Inputs!$F$27),1)+Inputs!$F$188*MIN(MAX(MAX(0,(Time!AA$5-Inputs!$F$144)/Inputs!$F$27)-1,0),Inputs!$F$190-1)+Inputs!$F$189*MAX(MAX(0,(Time!AA$5-Inputs!$F$144)/Inputs!$F$27)-Inputs!$F$190,0))/100)</f>
        <v>170.690301369863</v>
      </c>
      <c r="AB280" s="20" t="n">
        <f aca="false">Inputs!$F$149*(1+Inputs!$F$155/100)*(1-(Inputs!$F$187*MIN(MAX(0,(Time!AB$5-Inputs!$F$144)/Inputs!$F$27),1)+Inputs!$F$188*MIN(MAX(MAX(0,(Time!AB$5-Inputs!$F$144)/Inputs!$F$27)-1,0),Inputs!$F$190-1)+Inputs!$F$189*MAX(MAX(0,(Time!AB$5-Inputs!$F$144)/Inputs!$F$27)-Inputs!$F$190,0))/100)</f>
        <v>168.530301369863</v>
      </c>
      <c r="AC280" s="20" t="n">
        <f aca="false">Inputs!$F$149*(1+Inputs!$F$155/100)*(1-(Inputs!$F$187*MIN(MAX(0,(Time!AC$5-Inputs!$F$144)/Inputs!$F$27),1)+Inputs!$F$188*MIN(MAX(MAX(0,(Time!AC$5-Inputs!$F$144)/Inputs!$F$27)-1,0),Inputs!$F$190-1)+Inputs!$F$189*MAX(MAX(0,(Time!AC$5-Inputs!$F$144)/Inputs!$F$27)-Inputs!$F$190,0))/100)</f>
        <v>166.364383561644</v>
      </c>
      <c r="AD280" s="20" t="n">
        <f aca="false">Inputs!$F$149*(1+Inputs!$F$155/100)*(1-(Inputs!$F$187*MIN(MAX(0,(Time!AD$5-Inputs!$F$144)/Inputs!$F$27),1)+Inputs!$F$188*MIN(MAX(MAX(0,(Time!AD$5-Inputs!$F$144)/Inputs!$F$27)-1,0),Inputs!$F$190-1)+Inputs!$F$189*MAX(MAX(0,(Time!AD$5-Inputs!$F$144)/Inputs!$F$27)-Inputs!$F$190,0))/100)</f>
        <v>164.204383561644</v>
      </c>
      <c r="AE280" s="20" t="n">
        <f aca="false">Inputs!$F$149*(1+Inputs!$F$155/100)*(1-(Inputs!$F$187*MIN(MAX(0,(Time!AE$5-Inputs!$F$144)/Inputs!$F$27),1)+Inputs!$F$188*MIN(MAX(MAX(0,(Time!AE$5-Inputs!$F$144)/Inputs!$F$27)-1,0),Inputs!$F$190-1)+Inputs!$F$189*MAX(MAX(0,(Time!AE$5-Inputs!$F$144)/Inputs!$F$27)-Inputs!$F$190,0))/100)</f>
        <v>162.044383561644</v>
      </c>
      <c r="AF280" s="20" t="n">
        <f aca="false">Inputs!$F$149*(1+Inputs!$F$155/100)*(1-(Inputs!$F$187*MIN(MAX(0,(Time!AF$5-Inputs!$F$144)/Inputs!$F$27),1)+Inputs!$F$188*MIN(MAX(MAX(0,(Time!AF$5-Inputs!$F$144)/Inputs!$F$27)-1,0),Inputs!$F$190-1)+Inputs!$F$189*MAX(MAX(0,(Time!AF$5-Inputs!$F$144)/Inputs!$F$27)-Inputs!$F$190,0))/100)</f>
        <v>159.884383561644</v>
      </c>
      <c r="AG280" s="20" t="n">
        <f aca="false">Inputs!$F$149*(1+Inputs!$F$155/100)*(1-(Inputs!$F$187*MIN(MAX(0,(Time!AG$5-Inputs!$F$144)/Inputs!$F$27),1)+Inputs!$F$188*MIN(MAX(MAX(0,(Time!AG$5-Inputs!$F$144)/Inputs!$F$27)-1,0),Inputs!$F$190-1)+Inputs!$F$189*MAX(MAX(0,(Time!AG$5-Inputs!$F$144)/Inputs!$F$27)-Inputs!$F$190,0))/100)</f>
        <v>157.718465753425</v>
      </c>
      <c r="AH280" s="20" t="n">
        <f aca="false">Inputs!$F$149*(1+Inputs!$F$155/100)*(1-(Inputs!$F$187*MIN(MAX(0,(Time!AH$5-Inputs!$F$144)/Inputs!$F$27),1)+Inputs!$F$188*MIN(MAX(MAX(0,(Time!AH$5-Inputs!$F$144)/Inputs!$F$27)-1,0),Inputs!$F$190-1)+Inputs!$F$189*MAX(MAX(0,(Time!AH$5-Inputs!$F$144)/Inputs!$F$27)-Inputs!$F$190,0))/100)</f>
        <v>155.558465753425</v>
      </c>
      <c r="AI280" s="20" t="n">
        <f aca="false">Inputs!$F$149*(1+Inputs!$F$155/100)*(1-(Inputs!$F$187*MIN(MAX(0,(Time!AI$5-Inputs!$F$144)/Inputs!$F$27),1)+Inputs!$F$188*MIN(MAX(MAX(0,(Time!AI$5-Inputs!$F$144)/Inputs!$F$27)-1,0),Inputs!$F$190-1)+Inputs!$F$189*MAX(MAX(0,(Time!AI$5-Inputs!$F$144)/Inputs!$F$27)-Inputs!$F$190,0))/100)</f>
        <v>153.398465753425</v>
      </c>
      <c r="AJ280" s="20" t="n">
        <f aca="false">Inputs!$F$149*(1+Inputs!$F$155/100)*(1-(Inputs!$F$187*MIN(MAX(0,(Time!AJ$5-Inputs!$F$144)/Inputs!$F$27),1)+Inputs!$F$188*MIN(MAX(MAX(0,(Time!AJ$5-Inputs!$F$144)/Inputs!$F$27)-1,0),Inputs!$F$190-1)+Inputs!$F$189*MAX(MAX(0,(Time!AJ$5-Inputs!$F$144)/Inputs!$F$27)-Inputs!$F$190,0))/100)</f>
        <v>151.238465753425</v>
      </c>
      <c r="AK280" s="20" t="n">
        <f aca="false">Inputs!$F$149*(1+Inputs!$F$155/100)*(1-(Inputs!$F$187*MIN(MAX(0,(Time!AK$5-Inputs!$F$144)/Inputs!$F$27),1)+Inputs!$F$188*MIN(MAX(MAX(0,(Time!AK$5-Inputs!$F$144)/Inputs!$F$27)-1,0),Inputs!$F$190-1)+Inputs!$F$189*MAX(MAX(0,(Time!AK$5-Inputs!$F$144)/Inputs!$F$27)-Inputs!$F$190,0))/100)</f>
        <v>149.072547945205</v>
      </c>
      <c r="AL280" s="20" t="n">
        <f aca="false">Inputs!$F$149*(1+Inputs!$F$155/100)*(1-(Inputs!$F$187*MIN(MAX(0,(Time!AL$5-Inputs!$F$144)/Inputs!$F$27),1)+Inputs!$F$188*MIN(MAX(MAX(0,(Time!AL$5-Inputs!$F$144)/Inputs!$F$27)-1,0),Inputs!$F$190-1)+Inputs!$F$189*MAX(MAX(0,(Time!AL$5-Inputs!$F$144)/Inputs!$F$27)-Inputs!$F$190,0))/100)</f>
        <v>146.912547945206</v>
      </c>
      <c r="AM280" s="20" t="n">
        <f aca="false">Inputs!$F$149*(1+Inputs!$F$155/100)*(1-(Inputs!$F$187*MIN(MAX(0,(Time!AM$5-Inputs!$F$144)/Inputs!$F$27),1)+Inputs!$F$188*MIN(MAX(MAX(0,(Time!AM$5-Inputs!$F$144)/Inputs!$F$27)-1,0),Inputs!$F$190-1)+Inputs!$F$189*MAX(MAX(0,(Time!AM$5-Inputs!$F$144)/Inputs!$F$27)-Inputs!$F$190,0))/100)</f>
        <v>144.752547945206</v>
      </c>
      <c r="AN280" s="20" t="n">
        <f aca="false">Inputs!$F$149*(1+Inputs!$F$155/100)*(1-(Inputs!$F$187*MIN(MAX(0,(Time!AN$5-Inputs!$F$144)/Inputs!$F$27),1)+Inputs!$F$188*MIN(MAX(MAX(0,(Time!AN$5-Inputs!$F$144)/Inputs!$F$27)-1,0),Inputs!$F$190-1)+Inputs!$F$189*MAX(MAX(0,(Time!AN$5-Inputs!$F$144)/Inputs!$F$27)-Inputs!$F$190,0))/100)</f>
        <v>142.592547945205</v>
      </c>
      <c r="AO280" s="20" t="n">
        <f aca="false">Inputs!$F$149*(1+Inputs!$F$155/100)*(1-(Inputs!$F$187*MIN(MAX(0,(Time!AO$5-Inputs!$F$144)/Inputs!$F$27),1)+Inputs!$F$188*MIN(MAX(MAX(0,(Time!AO$5-Inputs!$F$144)/Inputs!$F$27)-1,0),Inputs!$F$190-1)+Inputs!$F$189*MAX(MAX(0,(Time!AO$5-Inputs!$F$144)/Inputs!$F$27)-Inputs!$F$190,0))/100)</f>
        <v>140.426630136986</v>
      </c>
      <c r="AP280" s="20" t="n">
        <f aca="false">Inputs!$F$149*(1+Inputs!$F$155/100)*(1-(Inputs!$F$187*MIN(MAX(0,(Time!AP$5-Inputs!$F$144)/Inputs!$F$27),1)+Inputs!$F$188*MIN(MAX(MAX(0,(Time!AP$5-Inputs!$F$144)/Inputs!$F$27)-1,0),Inputs!$F$190-1)+Inputs!$F$189*MAX(MAX(0,(Time!AP$5-Inputs!$F$144)/Inputs!$F$27)-Inputs!$F$190,0))/100)</f>
        <v>138.266630136986</v>
      </c>
      <c r="AQ280" s="20" t="n">
        <f aca="false">Inputs!$F$149*(1+Inputs!$F$155/100)*(1-(Inputs!$F$187*MIN(MAX(0,(Time!AQ$5-Inputs!$F$144)/Inputs!$F$27),1)+Inputs!$F$188*MIN(MAX(MAX(0,(Time!AQ$5-Inputs!$F$144)/Inputs!$F$27)-1,0),Inputs!$F$190-1)+Inputs!$F$189*MAX(MAX(0,(Time!AQ$5-Inputs!$F$144)/Inputs!$F$27)-Inputs!$F$190,0))/100)</f>
        <v>136.106630136986</v>
      </c>
      <c r="AR280" s="20" t="n">
        <f aca="false">Inputs!$F$149*(1+Inputs!$F$155/100)*(1-(Inputs!$F$187*MIN(MAX(0,(Time!AR$5-Inputs!$F$144)/Inputs!$F$27),1)+Inputs!$F$188*MIN(MAX(MAX(0,(Time!AR$5-Inputs!$F$144)/Inputs!$F$27)-1,0),Inputs!$F$190-1)+Inputs!$F$189*MAX(MAX(0,(Time!AR$5-Inputs!$F$144)/Inputs!$F$27)-Inputs!$F$190,0))/100)</f>
        <v>133.946630136986</v>
      </c>
      <c r="AS280" s="20" t="n">
        <f aca="false">Inputs!$F$149*(1+Inputs!$F$155/100)*(1-(Inputs!$F$187*MIN(MAX(0,(Time!AS$5-Inputs!$F$144)/Inputs!$F$27),1)+Inputs!$F$188*MIN(MAX(MAX(0,(Time!AS$5-Inputs!$F$144)/Inputs!$F$27)-1,0),Inputs!$F$190-1)+Inputs!$F$189*MAX(MAX(0,(Time!AS$5-Inputs!$F$144)/Inputs!$F$27)-Inputs!$F$190,0))/100)</f>
        <v>131.780712328767</v>
      </c>
      <c r="AT280" s="20" t="n">
        <f aca="false">Inputs!$F$149*(1+Inputs!$F$155/100)*(1-(Inputs!$F$187*MIN(MAX(0,(Time!AT$5-Inputs!$F$144)/Inputs!$F$27),1)+Inputs!$F$188*MIN(MAX(MAX(0,(Time!AT$5-Inputs!$F$144)/Inputs!$F$27)-1,0),Inputs!$F$190-1)+Inputs!$F$189*MAX(MAX(0,(Time!AT$5-Inputs!$F$144)/Inputs!$F$27)-Inputs!$F$190,0))/100)</f>
        <v>129.620712328767</v>
      </c>
      <c r="AU280" s="20" t="n">
        <f aca="false">Inputs!$F$149*(1+Inputs!$F$155/100)*(1-(Inputs!$F$187*MIN(MAX(0,(Time!AU$5-Inputs!$F$144)/Inputs!$F$27),1)+Inputs!$F$188*MIN(MAX(MAX(0,(Time!AU$5-Inputs!$F$144)/Inputs!$F$27)-1,0),Inputs!$F$190-1)+Inputs!$F$189*MAX(MAX(0,(Time!AU$5-Inputs!$F$144)/Inputs!$F$27)-Inputs!$F$190,0))/100)</f>
        <v>127.460712328767</v>
      </c>
    </row>
    <row r="281" customFormat="false" ht="15" hidden="false" customHeight="false" outlineLevel="0" collapsed="false">
      <c r="D281" s="0" t="s">
        <v>676</v>
      </c>
      <c r="E281" s="0" t="s">
        <v>176</v>
      </c>
      <c r="J281" s="20" t="n">
        <f aca="false">IF(Time!J$5&gt;=(DATE(YEAR(Inputs!$F$144)+Inputs!$F$151,1,1)-1),Inputs!$F$153/100*Inputs!$F$149*(1-(Inputs!$F$187*MIN(MAX(0,(Time!J$5-(DATE(YEAR(Inputs!$F$144)+Inputs!$F$151,1,1)-1))/Inputs!$F$27),1)+Inputs!$F$188*MIN(MAX(MAX(0,(Time!J$5-(DATE(YEAR(Inputs!$F$144)+Inputs!$F$151,1,1)-1))/Inputs!$F$27)-1,0),Inputs!$F$190-1)+Inputs!$F$189*MAX(MAX(0,(Time!J$5-(DATE(YEAR(Inputs!$F$144)+Inputs!$F$151,1,1)-1))/Inputs!$F$27)-Inputs!$F$190,0))/100),0)+IF(Time!J$5&gt;=(DATE(YEAR(Inputs!$F$144)+Inputs!$F$152,1,1)-1),Inputs!$F$153/100*Inputs!$F$149*(1-(Inputs!$F$187*MIN(MAX(0,(Time!J$5-(DATE(YEAR(Inputs!$F$144)+Inputs!$F$152,1,1)-1))/Inputs!$F$27),1)+Inputs!$F$188*MIN(MAX(MAX(0,(Time!J$5-(DATE(YEAR(Inputs!$F$144)+Inputs!$F$152,1,1)-1))/Inputs!$F$27)-1,0),Inputs!$F$190-1)+Inputs!$F$189*MAX(MAX(0,(Time!J$5-(DATE(YEAR(Inputs!$F$144)+Inputs!$F$152,1,1)-1))/Inputs!$F$27)-Inputs!$F$190,0))/100),0)</f>
        <v>0</v>
      </c>
      <c r="K281" s="20" t="n">
        <f aca="false">IF(Time!K$5&gt;=(DATE(YEAR(Inputs!$F$144)+Inputs!$F$151,1,1)-1),Inputs!$F$153/100*Inputs!$F$149*(1-(Inputs!$F$187*MIN(MAX(0,(Time!K$5-(DATE(YEAR(Inputs!$F$144)+Inputs!$F$151,1,1)-1))/Inputs!$F$27),1)+Inputs!$F$188*MIN(MAX(MAX(0,(Time!K$5-(DATE(YEAR(Inputs!$F$144)+Inputs!$F$151,1,1)-1))/Inputs!$F$27)-1,0),Inputs!$F$190-1)+Inputs!$F$189*MAX(MAX(0,(Time!K$5-(DATE(YEAR(Inputs!$F$144)+Inputs!$F$151,1,1)-1))/Inputs!$F$27)-Inputs!$F$190,0))/100),0)+IF(Time!K$5&gt;=(DATE(YEAR(Inputs!$F$144)+Inputs!$F$152,1,1)-1),Inputs!$F$153/100*Inputs!$F$149*(1-(Inputs!$F$187*MIN(MAX(0,(Time!K$5-(DATE(YEAR(Inputs!$F$144)+Inputs!$F$152,1,1)-1))/Inputs!$F$27),1)+Inputs!$F$188*MIN(MAX(MAX(0,(Time!K$5-(DATE(YEAR(Inputs!$F$144)+Inputs!$F$152,1,1)-1))/Inputs!$F$27)-1,0),Inputs!$F$190-1)+Inputs!$F$189*MAX(MAX(0,(Time!K$5-(DATE(YEAR(Inputs!$F$144)+Inputs!$F$152,1,1)-1))/Inputs!$F$27)-Inputs!$F$190,0))/100),0)</f>
        <v>0</v>
      </c>
      <c r="L281" s="20" t="n">
        <f aca="false">IF(Time!L$5&gt;=(DATE(YEAR(Inputs!$F$144)+Inputs!$F$151,1,1)-1),Inputs!$F$153/100*Inputs!$F$149*(1-(Inputs!$F$187*MIN(MAX(0,(Time!L$5-(DATE(YEAR(Inputs!$F$144)+Inputs!$F$151,1,1)-1))/Inputs!$F$27),1)+Inputs!$F$188*MIN(MAX(MAX(0,(Time!L$5-(DATE(YEAR(Inputs!$F$144)+Inputs!$F$151,1,1)-1))/Inputs!$F$27)-1,0),Inputs!$F$190-1)+Inputs!$F$189*MAX(MAX(0,(Time!L$5-(DATE(YEAR(Inputs!$F$144)+Inputs!$F$151,1,1)-1))/Inputs!$F$27)-Inputs!$F$190,0))/100),0)+IF(Time!L$5&gt;=(DATE(YEAR(Inputs!$F$144)+Inputs!$F$152,1,1)-1),Inputs!$F$153/100*Inputs!$F$149*(1-(Inputs!$F$187*MIN(MAX(0,(Time!L$5-(DATE(YEAR(Inputs!$F$144)+Inputs!$F$152,1,1)-1))/Inputs!$F$27),1)+Inputs!$F$188*MIN(MAX(MAX(0,(Time!L$5-(DATE(YEAR(Inputs!$F$144)+Inputs!$F$152,1,1)-1))/Inputs!$F$27)-1,0),Inputs!$F$190-1)+Inputs!$F$189*MAX(MAX(0,(Time!L$5-(DATE(YEAR(Inputs!$F$144)+Inputs!$F$152,1,1)-1))/Inputs!$F$27)-Inputs!$F$190,0))/100),0)</f>
        <v>0</v>
      </c>
      <c r="M281" s="20" t="n">
        <f aca="false">IF(Time!M$5&gt;=(DATE(YEAR(Inputs!$F$144)+Inputs!$F$151,1,1)-1),Inputs!$F$153/100*Inputs!$F$149*(1-(Inputs!$F$187*MIN(MAX(0,(Time!M$5-(DATE(YEAR(Inputs!$F$144)+Inputs!$F$151,1,1)-1))/Inputs!$F$27),1)+Inputs!$F$188*MIN(MAX(MAX(0,(Time!M$5-(DATE(YEAR(Inputs!$F$144)+Inputs!$F$151,1,1)-1))/Inputs!$F$27)-1,0),Inputs!$F$190-1)+Inputs!$F$189*MAX(MAX(0,(Time!M$5-(DATE(YEAR(Inputs!$F$144)+Inputs!$F$151,1,1)-1))/Inputs!$F$27)-Inputs!$F$190,0))/100),0)+IF(Time!M$5&gt;=(DATE(YEAR(Inputs!$F$144)+Inputs!$F$152,1,1)-1),Inputs!$F$153/100*Inputs!$F$149*(1-(Inputs!$F$187*MIN(MAX(0,(Time!M$5-(DATE(YEAR(Inputs!$F$144)+Inputs!$F$152,1,1)-1))/Inputs!$F$27),1)+Inputs!$F$188*MIN(MAX(MAX(0,(Time!M$5-(DATE(YEAR(Inputs!$F$144)+Inputs!$F$152,1,1)-1))/Inputs!$F$27)-1,0),Inputs!$F$190-1)+Inputs!$F$189*MAX(MAX(0,(Time!M$5-(DATE(YEAR(Inputs!$F$144)+Inputs!$F$152,1,1)-1))/Inputs!$F$27)-Inputs!$F$190,0))/100),0)</f>
        <v>0</v>
      </c>
      <c r="N281" s="20" t="n">
        <f aca="false">IF(Time!N$5&gt;=(DATE(YEAR(Inputs!$F$144)+Inputs!$F$151,1,1)-1),Inputs!$F$153/100*Inputs!$F$149*(1-(Inputs!$F$187*MIN(MAX(0,(Time!N$5-(DATE(YEAR(Inputs!$F$144)+Inputs!$F$151,1,1)-1))/Inputs!$F$27),1)+Inputs!$F$188*MIN(MAX(MAX(0,(Time!N$5-(DATE(YEAR(Inputs!$F$144)+Inputs!$F$151,1,1)-1))/Inputs!$F$27)-1,0),Inputs!$F$190-1)+Inputs!$F$189*MAX(MAX(0,(Time!N$5-(DATE(YEAR(Inputs!$F$144)+Inputs!$F$151,1,1)-1))/Inputs!$F$27)-Inputs!$F$190,0))/100),0)+IF(Time!N$5&gt;=(DATE(YEAR(Inputs!$F$144)+Inputs!$F$152,1,1)-1),Inputs!$F$153/100*Inputs!$F$149*(1-(Inputs!$F$187*MIN(MAX(0,(Time!N$5-(DATE(YEAR(Inputs!$F$144)+Inputs!$F$152,1,1)-1))/Inputs!$F$27),1)+Inputs!$F$188*MIN(MAX(MAX(0,(Time!N$5-(DATE(YEAR(Inputs!$F$144)+Inputs!$F$152,1,1)-1))/Inputs!$F$27)-1,0),Inputs!$F$190-1)+Inputs!$F$189*MAX(MAX(0,(Time!N$5-(DATE(YEAR(Inputs!$F$144)+Inputs!$F$152,1,1)-1))/Inputs!$F$27)-Inputs!$F$190,0))/100),0)</f>
        <v>0</v>
      </c>
      <c r="O281" s="20" t="n">
        <f aca="false">IF(Time!O$5&gt;=(DATE(YEAR(Inputs!$F$144)+Inputs!$F$151,1,1)-1),Inputs!$F$153/100*Inputs!$F$149*(1-(Inputs!$F$187*MIN(MAX(0,(Time!O$5-(DATE(YEAR(Inputs!$F$144)+Inputs!$F$151,1,1)-1))/Inputs!$F$27),1)+Inputs!$F$188*MIN(MAX(MAX(0,(Time!O$5-(DATE(YEAR(Inputs!$F$144)+Inputs!$F$151,1,1)-1))/Inputs!$F$27)-1,0),Inputs!$F$190-1)+Inputs!$F$189*MAX(MAX(0,(Time!O$5-(DATE(YEAR(Inputs!$F$144)+Inputs!$F$151,1,1)-1))/Inputs!$F$27)-Inputs!$F$190,0))/100),0)+IF(Time!O$5&gt;=(DATE(YEAR(Inputs!$F$144)+Inputs!$F$152,1,1)-1),Inputs!$F$153/100*Inputs!$F$149*(1-(Inputs!$F$187*MIN(MAX(0,(Time!O$5-(DATE(YEAR(Inputs!$F$144)+Inputs!$F$152,1,1)-1))/Inputs!$F$27),1)+Inputs!$F$188*MIN(MAX(MAX(0,(Time!O$5-(DATE(YEAR(Inputs!$F$144)+Inputs!$F$152,1,1)-1))/Inputs!$F$27)-1,0),Inputs!$F$190-1)+Inputs!$F$189*MAX(MAX(0,(Time!O$5-(DATE(YEAR(Inputs!$F$144)+Inputs!$F$152,1,1)-1))/Inputs!$F$27)-Inputs!$F$190,0))/100),0)</f>
        <v>0</v>
      </c>
      <c r="P281" s="20" t="n">
        <f aca="false">IF(Time!P$5&gt;=(DATE(YEAR(Inputs!$F$144)+Inputs!$F$151,1,1)-1),Inputs!$F$153/100*Inputs!$F$149*(1-(Inputs!$F$187*MIN(MAX(0,(Time!P$5-(DATE(YEAR(Inputs!$F$144)+Inputs!$F$151,1,1)-1))/Inputs!$F$27),1)+Inputs!$F$188*MIN(MAX(MAX(0,(Time!P$5-(DATE(YEAR(Inputs!$F$144)+Inputs!$F$151,1,1)-1))/Inputs!$F$27)-1,0),Inputs!$F$190-1)+Inputs!$F$189*MAX(MAX(0,(Time!P$5-(DATE(YEAR(Inputs!$F$144)+Inputs!$F$151,1,1)-1))/Inputs!$F$27)-Inputs!$F$190,0))/100),0)+IF(Time!P$5&gt;=(DATE(YEAR(Inputs!$F$144)+Inputs!$F$152,1,1)-1),Inputs!$F$153/100*Inputs!$F$149*(1-(Inputs!$F$187*MIN(MAX(0,(Time!P$5-(DATE(YEAR(Inputs!$F$144)+Inputs!$F$152,1,1)-1))/Inputs!$F$27),1)+Inputs!$F$188*MIN(MAX(MAX(0,(Time!P$5-(DATE(YEAR(Inputs!$F$144)+Inputs!$F$152,1,1)-1))/Inputs!$F$27)-1,0),Inputs!$F$190-1)+Inputs!$F$189*MAX(MAX(0,(Time!P$5-(DATE(YEAR(Inputs!$F$144)+Inputs!$F$152,1,1)-1))/Inputs!$F$27)-Inputs!$F$190,0))/100),0)</f>
        <v>12</v>
      </c>
      <c r="Q281" s="20" t="n">
        <f aca="false">IF(Time!Q$5&gt;=(DATE(YEAR(Inputs!$F$144)+Inputs!$F$151,1,1)-1),Inputs!$F$153/100*Inputs!$F$149*(1-(Inputs!$F$187*MIN(MAX(0,(Time!Q$5-(DATE(YEAR(Inputs!$F$144)+Inputs!$F$151,1,1)-1))/Inputs!$F$27),1)+Inputs!$F$188*MIN(MAX(MAX(0,(Time!Q$5-(DATE(YEAR(Inputs!$F$144)+Inputs!$F$151,1,1)-1))/Inputs!$F$27)-1,0),Inputs!$F$190-1)+Inputs!$F$189*MAX(MAX(0,(Time!Q$5-(DATE(YEAR(Inputs!$F$144)+Inputs!$F$151,1,1)-1))/Inputs!$F$27)-Inputs!$F$190,0))/100),0)+IF(Time!Q$5&gt;=(DATE(YEAR(Inputs!$F$144)+Inputs!$F$152,1,1)-1),Inputs!$F$153/100*Inputs!$F$149*(1-(Inputs!$F$187*MIN(MAX(0,(Time!Q$5-(DATE(YEAR(Inputs!$F$144)+Inputs!$F$152,1,1)-1))/Inputs!$F$27),1)+Inputs!$F$188*MIN(MAX(MAX(0,(Time!Q$5-(DATE(YEAR(Inputs!$F$144)+Inputs!$F$152,1,1)-1))/Inputs!$F$27)-1,0),Inputs!$F$190-1)+Inputs!$F$189*MAX(MAX(0,(Time!Q$5-(DATE(YEAR(Inputs!$F$144)+Inputs!$F$152,1,1)-1))/Inputs!$F$27)-Inputs!$F$190,0))/100),0)</f>
        <v>11.7595068493151</v>
      </c>
      <c r="R281" s="20" t="n">
        <f aca="false">IF(Time!R$5&gt;=(DATE(YEAR(Inputs!$F$144)+Inputs!$F$151,1,1)-1),Inputs!$F$153/100*Inputs!$F$149*(1-(Inputs!$F$187*MIN(MAX(0,(Time!R$5-(DATE(YEAR(Inputs!$F$144)+Inputs!$F$151,1,1)-1))/Inputs!$F$27),1)+Inputs!$F$188*MIN(MAX(MAX(0,(Time!R$5-(DATE(YEAR(Inputs!$F$144)+Inputs!$F$151,1,1)-1))/Inputs!$F$27)-1,0),Inputs!$F$190-1)+Inputs!$F$189*MAX(MAX(0,(Time!R$5-(DATE(YEAR(Inputs!$F$144)+Inputs!$F$151,1,1)-1))/Inputs!$F$27)-Inputs!$F$190,0))/100),0)+IF(Time!R$5&gt;=(DATE(YEAR(Inputs!$F$144)+Inputs!$F$152,1,1)-1),Inputs!$F$153/100*Inputs!$F$149*(1-(Inputs!$F$187*MIN(MAX(0,(Time!R$5-(DATE(YEAR(Inputs!$F$144)+Inputs!$F$152,1,1)-1))/Inputs!$F$27),1)+Inputs!$F$188*MIN(MAX(MAX(0,(Time!R$5-(DATE(YEAR(Inputs!$F$144)+Inputs!$F$152,1,1)-1))/Inputs!$F$27)-1,0),Inputs!$F$190-1)+Inputs!$F$189*MAX(MAX(0,(Time!R$5-(DATE(YEAR(Inputs!$F$144)+Inputs!$F$152,1,1)-1))/Inputs!$F$27)-Inputs!$F$190,0))/100),0)</f>
        <v>11.5795068493151</v>
      </c>
      <c r="S281" s="20" t="n">
        <f aca="false">IF(Time!S$5&gt;=(DATE(YEAR(Inputs!$F$144)+Inputs!$F$151,1,1)-1),Inputs!$F$153/100*Inputs!$F$149*(1-(Inputs!$F$187*MIN(MAX(0,(Time!S$5-(DATE(YEAR(Inputs!$F$144)+Inputs!$F$151,1,1)-1))/Inputs!$F$27),1)+Inputs!$F$188*MIN(MAX(MAX(0,(Time!S$5-(DATE(YEAR(Inputs!$F$144)+Inputs!$F$151,1,1)-1))/Inputs!$F$27)-1,0),Inputs!$F$190-1)+Inputs!$F$189*MAX(MAX(0,(Time!S$5-(DATE(YEAR(Inputs!$F$144)+Inputs!$F$151,1,1)-1))/Inputs!$F$27)-Inputs!$F$190,0))/100),0)+IF(Time!S$5&gt;=(DATE(YEAR(Inputs!$F$144)+Inputs!$F$152,1,1)-1),Inputs!$F$153/100*Inputs!$F$149*(1-(Inputs!$F$187*MIN(MAX(0,(Time!S$5-(DATE(YEAR(Inputs!$F$144)+Inputs!$F$152,1,1)-1))/Inputs!$F$27),1)+Inputs!$F$188*MIN(MAX(MAX(0,(Time!S$5-(DATE(YEAR(Inputs!$F$144)+Inputs!$F$152,1,1)-1))/Inputs!$F$27)-1,0),Inputs!$F$190-1)+Inputs!$F$189*MAX(MAX(0,(Time!S$5-(DATE(YEAR(Inputs!$F$144)+Inputs!$F$152,1,1)-1))/Inputs!$F$27)-Inputs!$F$190,0))/100),0)</f>
        <v>11.3995068493151</v>
      </c>
      <c r="T281" s="20" t="n">
        <f aca="false">IF(Time!T$5&gt;=(DATE(YEAR(Inputs!$F$144)+Inputs!$F$151,1,1)-1),Inputs!$F$153/100*Inputs!$F$149*(1-(Inputs!$F$187*MIN(MAX(0,(Time!T$5-(DATE(YEAR(Inputs!$F$144)+Inputs!$F$151,1,1)-1))/Inputs!$F$27),1)+Inputs!$F$188*MIN(MAX(MAX(0,(Time!T$5-(DATE(YEAR(Inputs!$F$144)+Inputs!$F$151,1,1)-1))/Inputs!$F$27)-1,0),Inputs!$F$190-1)+Inputs!$F$189*MAX(MAX(0,(Time!T$5-(DATE(YEAR(Inputs!$F$144)+Inputs!$F$151,1,1)-1))/Inputs!$F$27)-Inputs!$F$190,0))/100),0)+IF(Time!T$5&gt;=(DATE(YEAR(Inputs!$F$144)+Inputs!$F$152,1,1)-1),Inputs!$F$153/100*Inputs!$F$149*(1-(Inputs!$F$187*MIN(MAX(0,(Time!T$5-(DATE(YEAR(Inputs!$F$144)+Inputs!$F$152,1,1)-1))/Inputs!$F$27),1)+Inputs!$F$188*MIN(MAX(MAX(0,(Time!T$5-(DATE(YEAR(Inputs!$F$144)+Inputs!$F$152,1,1)-1))/Inputs!$F$27)-1,0),Inputs!$F$190-1)+Inputs!$F$189*MAX(MAX(0,(Time!T$5-(DATE(YEAR(Inputs!$F$144)+Inputs!$F$152,1,1)-1))/Inputs!$F$27)-Inputs!$F$190,0))/100),0)</f>
        <v>23.2195068493151</v>
      </c>
      <c r="U281" s="20" t="n">
        <f aca="false">IF(Time!U$5&gt;=(DATE(YEAR(Inputs!$F$144)+Inputs!$F$151,1,1)-1),Inputs!$F$153/100*Inputs!$F$149*(1-(Inputs!$F$187*MIN(MAX(0,(Time!U$5-(DATE(YEAR(Inputs!$F$144)+Inputs!$F$151,1,1)-1))/Inputs!$F$27),1)+Inputs!$F$188*MIN(MAX(MAX(0,(Time!U$5-(DATE(YEAR(Inputs!$F$144)+Inputs!$F$151,1,1)-1))/Inputs!$F$27)-1,0),Inputs!$F$190-1)+Inputs!$F$189*MAX(MAX(0,(Time!U$5-(DATE(YEAR(Inputs!$F$144)+Inputs!$F$151,1,1)-1))/Inputs!$F$27)-Inputs!$F$190,0))/100),0)+IF(Time!U$5&gt;=(DATE(YEAR(Inputs!$F$144)+Inputs!$F$152,1,1)-1),Inputs!$F$153/100*Inputs!$F$149*(1-(Inputs!$F$187*MIN(MAX(0,(Time!U$5-(DATE(YEAR(Inputs!$F$144)+Inputs!$F$152,1,1)-1))/Inputs!$F$27),1)+Inputs!$F$188*MIN(MAX(MAX(0,(Time!U$5-(DATE(YEAR(Inputs!$F$144)+Inputs!$F$152,1,1)-1))/Inputs!$F$27)-1,0),Inputs!$F$190-1)+Inputs!$F$189*MAX(MAX(0,(Time!U$5-(DATE(YEAR(Inputs!$F$144)+Inputs!$F$152,1,1)-1))/Inputs!$F$27)-Inputs!$F$190,0))/100),0)</f>
        <v>22.7985205479452</v>
      </c>
      <c r="V281" s="20" t="n">
        <f aca="false">IF(Time!V$5&gt;=(DATE(YEAR(Inputs!$F$144)+Inputs!$F$151,1,1)-1),Inputs!$F$153/100*Inputs!$F$149*(1-(Inputs!$F$187*MIN(MAX(0,(Time!V$5-(DATE(YEAR(Inputs!$F$144)+Inputs!$F$151,1,1)-1))/Inputs!$F$27),1)+Inputs!$F$188*MIN(MAX(MAX(0,(Time!V$5-(DATE(YEAR(Inputs!$F$144)+Inputs!$F$151,1,1)-1))/Inputs!$F$27)-1,0),Inputs!$F$190-1)+Inputs!$F$189*MAX(MAX(0,(Time!V$5-(DATE(YEAR(Inputs!$F$144)+Inputs!$F$151,1,1)-1))/Inputs!$F$27)-Inputs!$F$190,0))/100),0)+IF(Time!V$5&gt;=(DATE(YEAR(Inputs!$F$144)+Inputs!$F$152,1,1)-1),Inputs!$F$153/100*Inputs!$F$149*(1-(Inputs!$F$187*MIN(MAX(0,(Time!V$5-(DATE(YEAR(Inputs!$F$144)+Inputs!$F$152,1,1)-1))/Inputs!$F$27),1)+Inputs!$F$188*MIN(MAX(MAX(0,(Time!V$5-(DATE(YEAR(Inputs!$F$144)+Inputs!$F$152,1,1)-1))/Inputs!$F$27)-1,0),Inputs!$F$190-1)+Inputs!$F$189*MAX(MAX(0,(Time!V$5-(DATE(YEAR(Inputs!$F$144)+Inputs!$F$152,1,1)-1))/Inputs!$F$27)-Inputs!$F$190,0))/100),0)</f>
        <v>22.4385205479452</v>
      </c>
      <c r="W281" s="20" t="n">
        <f aca="false">IF(Time!W$5&gt;=(DATE(YEAR(Inputs!$F$144)+Inputs!$F$151,1,1)-1),Inputs!$F$153/100*Inputs!$F$149*(1-(Inputs!$F$187*MIN(MAX(0,(Time!W$5-(DATE(YEAR(Inputs!$F$144)+Inputs!$F$151,1,1)-1))/Inputs!$F$27),1)+Inputs!$F$188*MIN(MAX(MAX(0,(Time!W$5-(DATE(YEAR(Inputs!$F$144)+Inputs!$F$151,1,1)-1))/Inputs!$F$27)-1,0),Inputs!$F$190-1)+Inputs!$F$189*MAX(MAX(0,(Time!W$5-(DATE(YEAR(Inputs!$F$144)+Inputs!$F$151,1,1)-1))/Inputs!$F$27)-Inputs!$F$190,0))/100),0)+IF(Time!W$5&gt;=(DATE(YEAR(Inputs!$F$144)+Inputs!$F$152,1,1)-1),Inputs!$F$153/100*Inputs!$F$149*(1-(Inputs!$F$187*MIN(MAX(0,(Time!W$5-(DATE(YEAR(Inputs!$F$144)+Inputs!$F$152,1,1)-1))/Inputs!$F$27),1)+Inputs!$F$188*MIN(MAX(MAX(0,(Time!W$5-(DATE(YEAR(Inputs!$F$144)+Inputs!$F$152,1,1)-1))/Inputs!$F$27)-1,0),Inputs!$F$190-1)+Inputs!$F$189*MAX(MAX(0,(Time!W$5-(DATE(YEAR(Inputs!$F$144)+Inputs!$F$152,1,1)-1))/Inputs!$F$27)-Inputs!$F$190,0))/100),0)</f>
        <v>22.0785205479452</v>
      </c>
      <c r="X281" s="20" t="n">
        <f aca="false">IF(Time!X$5&gt;=(DATE(YEAR(Inputs!$F$144)+Inputs!$F$151,1,1)-1),Inputs!$F$153/100*Inputs!$F$149*(1-(Inputs!$F$187*MIN(MAX(0,(Time!X$5-(DATE(YEAR(Inputs!$F$144)+Inputs!$F$151,1,1)-1))/Inputs!$F$27),1)+Inputs!$F$188*MIN(MAX(MAX(0,(Time!X$5-(DATE(YEAR(Inputs!$F$144)+Inputs!$F$151,1,1)-1))/Inputs!$F$27)-1,0),Inputs!$F$190-1)+Inputs!$F$189*MAX(MAX(0,(Time!X$5-(DATE(YEAR(Inputs!$F$144)+Inputs!$F$151,1,1)-1))/Inputs!$F$27)-Inputs!$F$190,0))/100),0)+IF(Time!X$5&gt;=(DATE(YEAR(Inputs!$F$144)+Inputs!$F$152,1,1)-1),Inputs!$F$153/100*Inputs!$F$149*(1-(Inputs!$F$187*MIN(MAX(0,(Time!X$5-(DATE(YEAR(Inputs!$F$144)+Inputs!$F$152,1,1)-1))/Inputs!$F$27),1)+Inputs!$F$188*MIN(MAX(MAX(0,(Time!X$5-(DATE(YEAR(Inputs!$F$144)+Inputs!$F$152,1,1)-1))/Inputs!$F$27)-1,0),Inputs!$F$190-1)+Inputs!$F$189*MAX(MAX(0,(Time!X$5-(DATE(YEAR(Inputs!$F$144)+Inputs!$F$152,1,1)-1))/Inputs!$F$27)-Inputs!$F$190,0))/100),0)</f>
        <v>21.7185205479452</v>
      </c>
      <c r="Y281" s="20" t="n">
        <f aca="false">IF(Time!Y$5&gt;=(DATE(YEAR(Inputs!$F$144)+Inputs!$F$151,1,1)-1),Inputs!$F$153/100*Inputs!$F$149*(1-(Inputs!$F$187*MIN(MAX(0,(Time!Y$5-(DATE(YEAR(Inputs!$F$144)+Inputs!$F$151,1,1)-1))/Inputs!$F$27),1)+Inputs!$F$188*MIN(MAX(MAX(0,(Time!Y$5-(DATE(YEAR(Inputs!$F$144)+Inputs!$F$151,1,1)-1))/Inputs!$F$27)-1,0),Inputs!$F$190-1)+Inputs!$F$189*MAX(MAX(0,(Time!Y$5-(DATE(YEAR(Inputs!$F$144)+Inputs!$F$151,1,1)-1))/Inputs!$F$27)-Inputs!$F$190,0))/100),0)+IF(Time!Y$5&gt;=(DATE(YEAR(Inputs!$F$144)+Inputs!$F$152,1,1)-1),Inputs!$F$153/100*Inputs!$F$149*(1-(Inputs!$F$187*MIN(MAX(0,(Time!Y$5-(DATE(YEAR(Inputs!$F$144)+Inputs!$F$152,1,1)-1))/Inputs!$F$27),1)+Inputs!$F$188*MIN(MAX(MAX(0,(Time!Y$5-(DATE(YEAR(Inputs!$F$144)+Inputs!$F$152,1,1)-1))/Inputs!$F$27)-1,0),Inputs!$F$190-1)+Inputs!$F$189*MAX(MAX(0,(Time!Y$5-(DATE(YEAR(Inputs!$F$144)+Inputs!$F$152,1,1)-1))/Inputs!$F$27)-Inputs!$F$190,0))/100),0)</f>
        <v>21.3575342465753</v>
      </c>
      <c r="Z281" s="20" t="n">
        <f aca="false">IF(Time!Z$5&gt;=(DATE(YEAR(Inputs!$F$144)+Inputs!$F$151,1,1)-1),Inputs!$F$153/100*Inputs!$F$149*(1-(Inputs!$F$187*MIN(MAX(0,(Time!Z$5-(DATE(YEAR(Inputs!$F$144)+Inputs!$F$151,1,1)-1))/Inputs!$F$27),1)+Inputs!$F$188*MIN(MAX(MAX(0,(Time!Z$5-(DATE(YEAR(Inputs!$F$144)+Inputs!$F$151,1,1)-1))/Inputs!$F$27)-1,0),Inputs!$F$190-1)+Inputs!$F$189*MAX(MAX(0,(Time!Z$5-(DATE(YEAR(Inputs!$F$144)+Inputs!$F$151,1,1)-1))/Inputs!$F$27)-Inputs!$F$190,0))/100),0)+IF(Time!Z$5&gt;=(DATE(YEAR(Inputs!$F$144)+Inputs!$F$152,1,1)-1),Inputs!$F$153/100*Inputs!$F$149*(1-(Inputs!$F$187*MIN(MAX(0,(Time!Z$5-(DATE(YEAR(Inputs!$F$144)+Inputs!$F$152,1,1)-1))/Inputs!$F$27),1)+Inputs!$F$188*MIN(MAX(MAX(0,(Time!Z$5-(DATE(YEAR(Inputs!$F$144)+Inputs!$F$152,1,1)-1))/Inputs!$F$27)-1,0),Inputs!$F$190-1)+Inputs!$F$189*MAX(MAX(0,(Time!Z$5-(DATE(YEAR(Inputs!$F$144)+Inputs!$F$152,1,1)-1))/Inputs!$F$27)-Inputs!$F$190,0))/100),0)</f>
        <v>20.9980273972603</v>
      </c>
      <c r="AA281" s="20" t="n">
        <f aca="false">IF(Time!AA$5&gt;=(DATE(YEAR(Inputs!$F$144)+Inputs!$F$151,1,1)-1),Inputs!$F$153/100*Inputs!$F$149*(1-(Inputs!$F$187*MIN(MAX(0,(Time!AA$5-(DATE(YEAR(Inputs!$F$144)+Inputs!$F$151,1,1)-1))/Inputs!$F$27),1)+Inputs!$F$188*MIN(MAX(MAX(0,(Time!AA$5-(DATE(YEAR(Inputs!$F$144)+Inputs!$F$151,1,1)-1))/Inputs!$F$27)-1,0),Inputs!$F$190-1)+Inputs!$F$189*MAX(MAX(0,(Time!AA$5-(DATE(YEAR(Inputs!$F$144)+Inputs!$F$151,1,1)-1))/Inputs!$F$27)-Inputs!$F$190,0))/100),0)+IF(Time!AA$5&gt;=(DATE(YEAR(Inputs!$F$144)+Inputs!$F$152,1,1)-1),Inputs!$F$153/100*Inputs!$F$149*(1-(Inputs!$F$187*MIN(MAX(0,(Time!AA$5-(DATE(YEAR(Inputs!$F$144)+Inputs!$F$152,1,1)-1))/Inputs!$F$27),1)+Inputs!$F$188*MIN(MAX(MAX(0,(Time!AA$5-(DATE(YEAR(Inputs!$F$144)+Inputs!$F$152,1,1)-1))/Inputs!$F$27)-1,0),Inputs!$F$190-1)+Inputs!$F$189*MAX(MAX(0,(Time!AA$5-(DATE(YEAR(Inputs!$F$144)+Inputs!$F$152,1,1)-1))/Inputs!$F$27)-Inputs!$F$190,0))/100),0)</f>
        <v>20.6980273972603</v>
      </c>
      <c r="AB281" s="20" t="n">
        <f aca="false">IF(Time!AB$5&gt;=(DATE(YEAR(Inputs!$F$144)+Inputs!$F$151,1,1)-1),Inputs!$F$153/100*Inputs!$F$149*(1-(Inputs!$F$187*MIN(MAX(0,(Time!AB$5-(DATE(YEAR(Inputs!$F$144)+Inputs!$F$151,1,1)-1))/Inputs!$F$27),1)+Inputs!$F$188*MIN(MAX(MAX(0,(Time!AB$5-(DATE(YEAR(Inputs!$F$144)+Inputs!$F$151,1,1)-1))/Inputs!$F$27)-1,0),Inputs!$F$190-1)+Inputs!$F$189*MAX(MAX(0,(Time!AB$5-(DATE(YEAR(Inputs!$F$144)+Inputs!$F$151,1,1)-1))/Inputs!$F$27)-Inputs!$F$190,0))/100),0)+IF(Time!AB$5&gt;=(DATE(YEAR(Inputs!$F$144)+Inputs!$F$152,1,1)-1),Inputs!$F$153/100*Inputs!$F$149*(1-(Inputs!$F$187*MIN(MAX(0,(Time!AB$5-(DATE(YEAR(Inputs!$F$144)+Inputs!$F$152,1,1)-1))/Inputs!$F$27),1)+Inputs!$F$188*MIN(MAX(MAX(0,(Time!AB$5-(DATE(YEAR(Inputs!$F$144)+Inputs!$F$152,1,1)-1))/Inputs!$F$27)-1,0),Inputs!$F$190-1)+Inputs!$F$189*MAX(MAX(0,(Time!AB$5-(DATE(YEAR(Inputs!$F$144)+Inputs!$F$152,1,1)-1))/Inputs!$F$27)-Inputs!$F$190,0))/100),0)</f>
        <v>20.3980273972603</v>
      </c>
      <c r="AC281" s="20" t="n">
        <f aca="false">IF(Time!AC$5&gt;=(DATE(YEAR(Inputs!$F$144)+Inputs!$F$151,1,1)-1),Inputs!$F$153/100*Inputs!$F$149*(1-(Inputs!$F$187*MIN(MAX(0,(Time!AC$5-(DATE(YEAR(Inputs!$F$144)+Inputs!$F$151,1,1)-1))/Inputs!$F$27),1)+Inputs!$F$188*MIN(MAX(MAX(0,(Time!AC$5-(DATE(YEAR(Inputs!$F$144)+Inputs!$F$151,1,1)-1))/Inputs!$F$27)-1,0),Inputs!$F$190-1)+Inputs!$F$189*MAX(MAX(0,(Time!AC$5-(DATE(YEAR(Inputs!$F$144)+Inputs!$F$151,1,1)-1))/Inputs!$F$27)-Inputs!$F$190,0))/100),0)+IF(Time!AC$5&gt;=(DATE(YEAR(Inputs!$F$144)+Inputs!$F$152,1,1)-1),Inputs!$F$153/100*Inputs!$F$149*(1-(Inputs!$F$187*MIN(MAX(0,(Time!AC$5-(DATE(YEAR(Inputs!$F$144)+Inputs!$F$152,1,1)-1))/Inputs!$F$27),1)+Inputs!$F$188*MIN(MAX(MAX(0,(Time!AC$5-(DATE(YEAR(Inputs!$F$144)+Inputs!$F$152,1,1)-1))/Inputs!$F$27)-1,0),Inputs!$F$190-1)+Inputs!$F$189*MAX(MAX(0,(Time!AC$5-(DATE(YEAR(Inputs!$F$144)+Inputs!$F$152,1,1)-1))/Inputs!$F$27)-Inputs!$F$190,0))/100),0)</f>
        <v>20.0972054794521</v>
      </c>
      <c r="AD281" s="20" t="n">
        <f aca="false">IF(Time!AD$5&gt;=(DATE(YEAR(Inputs!$F$144)+Inputs!$F$151,1,1)-1),Inputs!$F$153/100*Inputs!$F$149*(1-(Inputs!$F$187*MIN(MAX(0,(Time!AD$5-(DATE(YEAR(Inputs!$F$144)+Inputs!$F$151,1,1)-1))/Inputs!$F$27),1)+Inputs!$F$188*MIN(MAX(MAX(0,(Time!AD$5-(DATE(YEAR(Inputs!$F$144)+Inputs!$F$151,1,1)-1))/Inputs!$F$27)-1,0),Inputs!$F$190-1)+Inputs!$F$189*MAX(MAX(0,(Time!AD$5-(DATE(YEAR(Inputs!$F$144)+Inputs!$F$151,1,1)-1))/Inputs!$F$27)-Inputs!$F$190,0))/100),0)+IF(Time!AD$5&gt;=(DATE(YEAR(Inputs!$F$144)+Inputs!$F$152,1,1)-1),Inputs!$F$153/100*Inputs!$F$149*(1-(Inputs!$F$187*MIN(MAX(0,(Time!AD$5-(DATE(YEAR(Inputs!$F$144)+Inputs!$F$152,1,1)-1))/Inputs!$F$27),1)+Inputs!$F$188*MIN(MAX(MAX(0,(Time!AD$5-(DATE(YEAR(Inputs!$F$144)+Inputs!$F$152,1,1)-1))/Inputs!$F$27)-1,0),Inputs!$F$190-1)+Inputs!$F$189*MAX(MAX(0,(Time!AD$5-(DATE(YEAR(Inputs!$F$144)+Inputs!$F$152,1,1)-1))/Inputs!$F$27)-Inputs!$F$190,0))/100),0)</f>
        <v>19.797698630137</v>
      </c>
      <c r="AE281" s="20" t="n">
        <f aca="false">IF(Time!AE$5&gt;=(DATE(YEAR(Inputs!$F$144)+Inputs!$F$151,1,1)-1),Inputs!$F$153/100*Inputs!$F$149*(1-(Inputs!$F$187*MIN(MAX(0,(Time!AE$5-(DATE(YEAR(Inputs!$F$144)+Inputs!$F$151,1,1)-1))/Inputs!$F$27),1)+Inputs!$F$188*MIN(MAX(MAX(0,(Time!AE$5-(DATE(YEAR(Inputs!$F$144)+Inputs!$F$151,1,1)-1))/Inputs!$F$27)-1,0),Inputs!$F$190-1)+Inputs!$F$189*MAX(MAX(0,(Time!AE$5-(DATE(YEAR(Inputs!$F$144)+Inputs!$F$151,1,1)-1))/Inputs!$F$27)-Inputs!$F$190,0))/100),0)+IF(Time!AE$5&gt;=(DATE(YEAR(Inputs!$F$144)+Inputs!$F$152,1,1)-1),Inputs!$F$153/100*Inputs!$F$149*(1-(Inputs!$F$187*MIN(MAX(0,(Time!AE$5-(DATE(YEAR(Inputs!$F$144)+Inputs!$F$152,1,1)-1))/Inputs!$F$27),1)+Inputs!$F$188*MIN(MAX(MAX(0,(Time!AE$5-(DATE(YEAR(Inputs!$F$144)+Inputs!$F$152,1,1)-1))/Inputs!$F$27)-1,0),Inputs!$F$190-1)+Inputs!$F$189*MAX(MAX(0,(Time!AE$5-(DATE(YEAR(Inputs!$F$144)+Inputs!$F$152,1,1)-1))/Inputs!$F$27)-Inputs!$F$190,0))/100),0)</f>
        <v>19.557698630137</v>
      </c>
      <c r="AF281" s="20" t="n">
        <f aca="false">IF(Time!AF$5&gt;=(DATE(YEAR(Inputs!$F$144)+Inputs!$F$151,1,1)-1),Inputs!$F$153/100*Inputs!$F$149*(1-(Inputs!$F$187*MIN(MAX(0,(Time!AF$5-(DATE(YEAR(Inputs!$F$144)+Inputs!$F$151,1,1)-1))/Inputs!$F$27),1)+Inputs!$F$188*MIN(MAX(MAX(0,(Time!AF$5-(DATE(YEAR(Inputs!$F$144)+Inputs!$F$151,1,1)-1))/Inputs!$F$27)-1,0),Inputs!$F$190-1)+Inputs!$F$189*MAX(MAX(0,(Time!AF$5-(DATE(YEAR(Inputs!$F$144)+Inputs!$F$151,1,1)-1))/Inputs!$F$27)-Inputs!$F$190,0))/100),0)+IF(Time!AF$5&gt;=(DATE(YEAR(Inputs!$F$144)+Inputs!$F$152,1,1)-1),Inputs!$F$153/100*Inputs!$F$149*(1-(Inputs!$F$187*MIN(MAX(0,(Time!AF$5-(DATE(YEAR(Inputs!$F$144)+Inputs!$F$152,1,1)-1))/Inputs!$F$27),1)+Inputs!$F$188*MIN(MAX(MAX(0,(Time!AF$5-(DATE(YEAR(Inputs!$F$144)+Inputs!$F$152,1,1)-1))/Inputs!$F$27)-1,0),Inputs!$F$190-1)+Inputs!$F$189*MAX(MAX(0,(Time!AF$5-(DATE(YEAR(Inputs!$F$144)+Inputs!$F$152,1,1)-1))/Inputs!$F$27)-Inputs!$F$190,0))/100),0)</f>
        <v>19.317698630137</v>
      </c>
      <c r="AG281" s="20" t="n">
        <f aca="false">IF(Time!AG$5&gt;=(DATE(YEAR(Inputs!$F$144)+Inputs!$F$151,1,1)-1),Inputs!$F$153/100*Inputs!$F$149*(1-(Inputs!$F$187*MIN(MAX(0,(Time!AG$5-(DATE(YEAR(Inputs!$F$144)+Inputs!$F$151,1,1)-1))/Inputs!$F$27),1)+Inputs!$F$188*MIN(MAX(MAX(0,(Time!AG$5-(DATE(YEAR(Inputs!$F$144)+Inputs!$F$151,1,1)-1))/Inputs!$F$27)-1,0),Inputs!$F$190-1)+Inputs!$F$189*MAX(MAX(0,(Time!AG$5-(DATE(YEAR(Inputs!$F$144)+Inputs!$F$151,1,1)-1))/Inputs!$F$27)-Inputs!$F$190,0))/100),0)+IF(Time!AG$5&gt;=(DATE(YEAR(Inputs!$F$144)+Inputs!$F$152,1,1)-1),Inputs!$F$153/100*Inputs!$F$149*(1-(Inputs!$F$187*MIN(MAX(0,(Time!AG$5-(DATE(YEAR(Inputs!$F$144)+Inputs!$F$152,1,1)-1))/Inputs!$F$27),1)+Inputs!$F$188*MIN(MAX(MAX(0,(Time!AG$5-(DATE(YEAR(Inputs!$F$144)+Inputs!$F$152,1,1)-1))/Inputs!$F$27)-1,0),Inputs!$F$190-1)+Inputs!$F$189*MAX(MAX(0,(Time!AG$5-(DATE(YEAR(Inputs!$F$144)+Inputs!$F$152,1,1)-1))/Inputs!$F$27)-Inputs!$F$190,0))/100),0)</f>
        <v>19.0770410958904</v>
      </c>
      <c r="AH281" s="20" t="n">
        <f aca="false">IF(Time!AH$5&gt;=(DATE(YEAR(Inputs!$F$144)+Inputs!$F$151,1,1)-1),Inputs!$F$153/100*Inputs!$F$149*(1-(Inputs!$F$187*MIN(MAX(0,(Time!AH$5-(DATE(YEAR(Inputs!$F$144)+Inputs!$F$151,1,1)-1))/Inputs!$F$27),1)+Inputs!$F$188*MIN(MAX(MAX(0,(Time!AH$5-(DATE(YEAR(Inputs!$F$144)+Inputs!$F$151,1,1)-1))/Inputs!$F$27)-1,0),Inputs!$F$190-1)+Inputs!$F$189*MAX(MAX(0,(Time!AH$5-(DATE(YEAR(Inputs!$F$144)+Inputs!$F$151,1,1)-1))/Inputs!$F$27)-Inputs!$F$190,0))/100),0)+IF(Time!AH$5&gt;=(DATE(YEAR(Inputs!$F$144)+Inputs!$F$152,1,1)-1),Inputs!$F$153/100*Inputs!$F$149*(1-(Inputs!$F$187*MIN(MAX(0,(Time!AH$5-(DATE(YEAR(Inputs!$F$144)+Inputs!$F$152,1,1)-1))/Inputs!$F$27),1)+Inputs!$F$188*MIN(MAX(MAX(0,(Time!AH$5-(DATE(YEAR(Inputs!$F$144)+Inputs!$F$152,1,1)-1))/Inputs!$F$27)-1,0),Inputs!$F$190-1)+Inputs!$F$189*MAX(MAX(0,(Time!AH$5-(DATE(YEAR(Inputs!$F$144)+Inputs!$F$152,1,1)-1))/Inputs!$F$27)-Inputs!$F$190,0))/100),0)</f>
        <v>18.8370410958904</v>
      </c>
      <c r="AI281" s="20" t="n">
        <f aca="false">IF(Time!AI$5&gt;=(DATE(YEAR(Inputs!$F$144)+Inputs!$F$151,1,1)-1),Inputs!$F$153/100*Inputs!$F$149*(1-(Inputs!$F$187*MIN(MAX(0,(Time!AI$5-(DATE(YEAR(Inputs!$F$144)+Inputs!$F$151,1,1)-1))/Inputs!$F$27),1)+Inputs!$F$188*MIN(MAX(MAX(0,(Time!AI$5-(DATE(YEAR(Inputs!$F$144)+Inputs!$F$151,1,1)-1))/Inputs!$F$27)-1,0),Inputs!$F$190-1)+Inputs!$F$189*MAX(MAX(0,(Time!AI$5-(DATE(YEAR(Inputs!$F$144)+Inputs!$F$151,1,1)-1))/Inputs!$F$27)-Inputs!$F$190,0))/100),0)+IF(Time!AI$5&gt;=(DATE(YEAR(Inputs!$F$144)+Inputs!$F$152,1,1)-1),Inputs!$F$153/100*Inputs!$F$149*(1-(Inputs!$F$187*MIN(MAX(0,(Time!AI$5-(DATE(YEAR(Inputs!$F$144)+Inputs!$F$152,1,1)-1))/Inputs!$F$27),1)+Inputs!$F$188*MIN(MAX(MAX(0,(Time!AI$5-(DATE(YEAR(Inputs!$F$144)+Inputs!$F$152,1,1)-1))/Inputs!$F$27)-1,0),Inputs!$F$190-1)+Inputs!$F$189*MAX(MAX(0,(Time!AI$5-(DATE(YEAR(Inputs!$F$144)+Inputs!$F$152,1,1)-1))/Inputs!$F$27)-Inputs!$F$190,0))/100),0)</f>
        <v>18.5970410958904</v>
      </c>
      <c r="AJ281" s="20" t="n">
        <f aca="false">IF(Time!AJ$5&gt;=(DATE(YEAR(Inputs!$F$144)+Inputs!$F$151,1,1)-1),Inputs!$F$153/100*Inputs!$F$149*(1-(Inputs!$F$187*MIN(MAX(0,(Time!AJ$5-(DATE(YEAR(Inputs!$F$144)+Inputs!$F$151,1,1)-1))/Inputs!$F$27),1)+Inputs!$F$188*MIN(MAX(MAX(0,(Time!AJ$5-(DATE(YEAR(Inputs!$F$144)+Inputs!$F$151,1,1)-1))/Inputs!$F$27)-1,0),Inputs!$F$190-1)+Inputs!$F$189*MAX(MAX(0,(Time!AJ$5-(DATE(YEAR(Inputs!$F$144)+Inputs!$F$151,1,1)-1))/Inputs!$F$27)-Inputs!$F$190,0))/100),0)+IF(Time!AJ$5&gt;=(DATE(YEAR(Inputs!$F$144)+Inputs!$F$152,1,1)-1),Inputs!$F$153/100*Inputs!$F$149*(1-(Inputs!$F$187*MIN(MAX(0,(Time!AJ$5-(DATE(YEAR(Inputs!$F$144)+Inputs!$F$152,1,1)-1))/Inputs!$F$27),1)+Inputs!$F$188*MIN(MAX(MAX(0,(Time!AJ$5-(DATE(YEAR(Inputs!$F$144)+Inputs!$F$152,1,1)-1))/Inputs!$F$27)-1,0),Inputs!$F$190-1)+Inputs!$F$189*MAX(MAX(0,(Time!AJ$5-(DATE(YEAR(Inputs!$F$144)+Inputs!$F$152,1,1)-1))/Inputs!$F$27)-Inputs!$F$190,0))/100),0)</f>
        <v>18.3570410958904</v>
      </c>
      <c r="AK281" s="20" t="n">
        <f aca="false">IF(Time!AK$5&gt;=(DATE(YEAR(Inputs!$F$144)+Inputs!$F$151,1,1)-1),Inputs!$F$153/100*Inputs!$F$149*(1-(Inputs!$F$187*MIN(MAX(0,(Time!AK$5-(DATE(YEAR(Inputs!$F$144)+Inputs!$F$151,1,1)-1))/Inputs!$F$27),1)+Inputs!$F$188*MIN(MAX(MAX(0,(Time!AK$5-(DATE(YEAR(Inputs!$F$144)+Inputs!$F$151,1,1)-1))/Inputs!$F$27)-1,0),Inputs!$F$190-1)+Inputs!$F$189*MAX(MAX(0,(Time!AK$5-(DATE(YEAR(Inputs!$F$144)+Inputs!$F$151,1,1)-1))/Inputs!$F$27)-Inputs!$F$190,0))/100),0)+IF(Time!AK$5&gt;=(DATE(YEAR(Inputs!$F$144)+Inputs!$F$152,1,1)-1),Inputs!$F$153/100*Inputs!$F$149*(1-(Inputs!$F$187*MIN(MAX(0,(Time!AK$5-(DATE(YEAR(Inputs!$F$144)+Inputs!$F$152,1,1)-1))/Inputs!$F$27),1)+Inputs!$F$188*MIN(MAX(MAX(0,(Time!AK$5-(DATE(YEAR(Inputs!$F$144)+Inputs!$F$152,1,1)-1))/Inputs!$F$27)-1,0),Inputs!$F$190-1)+Inputs!$F$189*MAX(MAX(0,(Time!AK$5-(DATE(YEAR(Inputs!$F$144)+Inputs!$F$152,1,1)-1))/Inputs!$F$27)-Inputs!$F$190,0))/100),0)</f>
        <v>18.1163835616438</v>
      </c>
      <c r="AL281" s="20" t="n">
        <f aca="false">IF(Time!AL$5&gt;=(DATE(YEAR(Inputs!$F$144)+Inputs!$F$151,1,1)-1),Inputs!$F$153/100*Inputs!$F$149*(1-(Inputs!$F$187*MIN(MAX(0,(Time!AL$5-(DATE(YEAR(Inputs!$F$144)+Inputs!$F$151,1,1)-1))/Inputs!$F$27),1)+Inputs!$F$188*MIN(MAX(MAX(0,(Time!AL$5-(DATE(YEAR(Inputs!$F$144)+Inputs!$F$151,1,1)-1))/Inputs!$F$27)-1,0),Inputs!$F$190-1)+Inputs!$F$189*MAX(MAX(0,(Time!AL$5-(DATE(YEAR(Inputs!$F$144)+Inputs!$F$151,1,1)-1))/Inputs!$F$27)-Inputs!$F$190,0))/100),0)+IF(Time!AL$5&gt;=(DATE(YEAR(Inputs!$F$144)+Inputs!$F$152,1,1)-1),Inputs!$F$153/100*Inputs!$F$149*(1-(Inputs!$F$187*MIN(MAX(0,(Time!AL$5-(DATE(YEAR(Inputs!$F$144)+Inputs!$F$152,1,1)-1))/Inputs!$F$27),1)+Inputs!$F$188*MIN(MAX(MAX(0,(Time!AL$5-(DATE(YEAR(Inputs!$F$144)+Inputs!$F$152,1,1)-1))/Inputs!$F$27)-1,0),Inputs!$F$190-1)+Inputs!$F$189*MAX(MAX(0,(Time!AL$5-(DATE(YEAR(Inputs!$F$144)+Inputs!$F$152,1,1)-1))/Inputs!$F$27)-Inputs!$F$190,0))/100),0)</f>
        <v>17.8763835616438</v>
      </c>
      <c r="AM281" s="20" t="n">
        <f aca="false">IF(Time!AM$5&gt;=(DATE(YEAR(Inputs!$F$144)+Inputs!$F$151,1,1)-1),Inputs!$F$153/100*Inputs!$F$149*(1-(Inputs!$F$187*MIN(MAX(0,(Time!AM$5-(DATE(YEAR(Inputs!$F$144)+Inputs!$F$151,1,1)-1))/Inputs!$F$27),1)+Inputs!$F$188*MIN(MAX(MAX(0,(Time!AM$5-(DATE(YEAR(Inputs!$F$144)+Inputs!$F$151,1,1)-1))/Inputs!$F$27)-1,0),Inputs!$F$190-1)+Inputs!$F$189*MAX(MAX(0,(Time!AM$5-(DATE(YEAR(Inputs!$F$144)+Inputs!$F$151,1,1)-1))/Inputs!$F$27)-Inputs!$F$190,0))/100),0)+IF(Time!AM$5&gt;=(DATE(YEAR(Inputs!$F$144)+Inputs!$F$152,1,1)-1),Inputs!$F$153/100*Inputs!$F$149*(1-(Inputs!$F$187*MIN(MAX(0,(Time!AM$5-(DATE(YEAR(Inputs!$F$144)+Inputs!$F$152,1,1)-1))/Inputs!$F$27),1)+Inputs!$F$188*MIN(MAX(MAX(0,(Time!AM$5-(DATE(YEAR(Inputs!$F$144)+Inputs!$F$152,1,1)-1))/Inputs!$F$27)-1,0),Inputs!$F$190-1)+Inputs!$F$189*MAX(MAX(0,(Time!AM$5-(DATE(YEAR(Inputs!$F$144)+Inputs!$F$152,1,1)-1))/Inputs!$F$27)-Inputs!$F$190,0))/100),0)</f>
        <v>17.6363835616438</v>
      </c>
      <c r="AN281" s="20" t="n">
        <f aca="false">IF(Time!AN$5&gt;=(DATE(YEAR(Inputs!$F$144)+Inputs!$F$151,1,1)-1),Inputs!$F$153/100*Inputs!$F$149*(1-(Inputs!$F$187*MIN(MAX(0,(Time!AN$5-(DATE(YEAR(Inputs!$F$144)+Inputs!$F$151,1,1)-1))/Inputs!$F$27),1)+Inputs!$F$188*MIN(MAX(MAX(0,(Time!AN$5-(DATE(YEAR(Inputs!$F$144)+Inputs!$F$151,1,1)-1))/Inputs!$F$27)-1,0),Inputs!$F$190-1)+Inputs!$F$189*MAX(MAX(0,(Time!AN$5-(DATE(YEAR(Inputs!$F$144)+Inputs!$F$151,1,1)-1))/Inputs!$F$27)-Inputs!$F$190,0))/100),0)+IF(Time!AN$5&gt;=(DATE(YEAR(Inputs!$F$144)+Inputs!$F$152,1,1)-1),Inputs!$F$153/100*Inputs!$F$149*(1-(Inputs!$F$187*MIN(MAX(0,(Time!AN$5-(DATE(YEAR(Inputs!$F$144)+Inputs!$F$152,1,1)-1))/Inputs!$F$27),1)+Inputs!$F$188*MIN(MAX(MAX(0,(Time!AN$5-(DATE(YEAR(Inputs!$F$144)+Inputs!$F$152,1,1)-1))/Inputs!$F$27)-1,0),Inputs!$F$190-1)+Inputs!$F$189*MAX(MAX(0,(Time!AN$5-(DATE(YEAR(Inputs!$F$144)+Inputs!$F$152,1,1)-1))/Inputs!$F$27)-Inputs!$F$190,0))/100),0)</f>
        <v>17.3963835616438</v>
      </c>
      <c r="AO281" s="20" t="n">
        <f aca="false">IF(Time!AO$5&gt;=(DATE(YEAR(Inputs!$F$144)+Inputs!$F$151,1,1)-1),Inputs!$F$153/100*Inputs!$F$149*(1-(Inputs!$F$187*MIN(MAX(0,(Time!AO$5-(DATE(YEAR(Inputs!$F$144)+Inputs!$F$151,1,1)-1))/Inputs!$F$27),1)+Inputs!$F$188*MIN(MAX(MAX(0,(Time!AO$5-(DATE(YEAR(Inputs!$F$144)+Inputs!$F$151,1,1)-1))/Inputs!$F$27)-1,0),Inputs!$F$190-1)+Inputs!$F$189*MAX(MAX(0,(Time!AO$5-(DATE(YEAR(Inputs!$F$144)+Inputs!$F$151,1,1)-1))/Inputs!$F$27)-Inputs!$F$190,0))/100),0)+IF(Time!AO$5&gt;=(DATE(YEAR(Inputs!$F$144)+Inputs!$F$152,1,1)-1),Inputs!$F$153/100*Inputs!$F$149*(1-(Inputs!$F$187*MIN(MAX(0,(Time!AO$5-(DATE(YEAR(Inputs!$F$144)+Inputs!$F$152,1,1)-1))/Inputs!$F$27),1)+Inputs!$F$188*MIN(MAX(MAX(0,(Time!AO$5-(DATE(YEAR(Inputs!$F$144)+Inputs!$F$152,1,1)-1))/Inputs!$F$27)-1,0),Inputs!$F$190-1)+Inputs!$F$189*MAX(MAX(0,(Time!AO$5-(DATE(YEAR(Inputs!$F$144)+Inputs!$F$152,1,1)-1))/Inputs!$F$27)-Inputs!$F$190,0))/100),0)</f>
        <v>17.1557260273973</v>
      </c>
      <c r="AP281" s="20" t="n">
        <f aca="false">IF(Time!AP$5&gt;=(DATE(YEAR(Inputs!$F$144)+Inputs!$F$151,1,1)-1),Inputs!$F$153/100*Inputs!$F$149*(1-(Inputs!$F$187*MIN(MAX(0,(Time!AP$5-(DATE(YEAR(Inputs!$F$144)+Inputs!$F$151,1,1)-1))/Inputs!$F$27),1)+Inputs!$F$188*MIN(MAX(MAX(0,(Time!AP$5-(DATE(YEAR(Inputs!$F$144)+Inputs!$F$151,1,1)-1))/Inputs!$F$27)-1,0),Inputs!$F$190-1)+Inputs!$F$189*MAX(MAX(0,(Time!AP$5-(DATE(YEAR(Inputs!$F$144)+Inputs!$F$151,1,1)-1))/Inputs!$F$27)-Inputs!$F$190,0))/100),0)+IF(Time!AP$5&gt;=(DATE(YEAR(Inputs!$F$144)+Inputs!$F$152,1,1)-1),Inputs!$F$153/100*Inputs!$F$149*(1-(Inputs!$F$187*MIN(MAX(0,(Time!AP$5-(DATE(YEAR(Inputs!$F$144)+Inputs!$F$152,1,1)-1))/Inputs!$F$27),1)+Inputs!$F$188*MIN(MAX(MAX(0,(Time!AP$5-(DATE(YEAR(Inputs!$F$144)+Inputs!$F$152,1,1)-1))/Inputs!$F$27)-1,0),Inputs!$F$190-1)+Inputs!$F$189*MAX(MAX(0,(Time!AP$5-(DATE(YEAR(Inputs!$F$144)+Inputs!$F$152,1,1)-1))/Inputs!$F$27)-Inputs!$F$190,0))/100),0)</f>
        <v>16.9157260273973</v>
      </c>
      <c r="AQ281" s="20" t="n">
        <f aca="false">IF(Time!AQ$5&gt;=(DATE(YEAR(Inputs!$F$144)+Inputs!$F$151,1,1)-1),Inputs!$F$153/100*Inputs!$F$149*(1-(Inputs!$F$187*MIN(MAX(0,(Time!AQ$5-(DATE(YEAR(Inputs!$F$144)+Inputs!$F$151,1,1)-1))/Inputs!$F$27),1)+Inputs!$F$188*MIN(MAX(MAX(0,(Time!AQ$5-(DATE(YEAR(Inputs!$F$144)+Inputs!$F$151,1,1)-1))/Inputs!$F$27)-1,0),Inputs!$F$190-1)+Inputs!$F$189*MAX(MAX(0,(Time!AQ$5-(DATE(YEAR(Inputs!$F$144)+Inputs!$F$151,1,1)-1))/Inputs!$F$27)-Inputs!$F$190,0))/100),0)+IF(Time!AQ$5&gt;=(DATE(YEAR(Inputs!$F$144)+Inputs!$F$152,1,1)-1),Inputs!$F$153/100*Inputs!$F$149*(1-(Inputs!$F$187*MIN(MAX(0,(Time!AQ$5-(DATE(YEAR(Inputs!$F$144)+Inputs!$F$152,1,1)-1))/Inputs!$F$27),1)+Inputs!$F$188*MIN(MAX(MAX(0,(Time!AQ$5-(DATE(YEAR(Inputs!$F$144)+Inputs!$F$152,1,1)-1))/Inputs!$F$27)-1,0),Inputs!$F$190-1)+Inputs!$F$189*MAX(MAX(0,(Time!AQ$5-(DATE(YEAR(Inputs!$F$144)+Inputs!$F$152,1,1)-1))/Inputs!$F$27)-Inputs!$F$190,0))/100),0)</f>
        <v>16.6757260273973</v>
      </c>
      <c r="AR281" s="20" t="n">
        <f aca="false">IF(Time!AR$5&gt;=(DATE(YEAR(Inputs!$F$144)+Inputs!$F$151,1,1)-1),Inputs!$F$153/100*Inputs!$F$149*(1-(Inputs!$F$187*MIN(MAX(0,(Time!AR$5-(DATE(YEAR(Inputs!$F$144)+Inputs!$F$151,1,1)-1))/Inputs!$F$27),1)+Inputs!$F$188*MIN(MAX(MAX(0,(Time!AR$5-(DATE(YEAR(Inputs!$F$144)+Inputs!$F$151,1,1)-1))/Inputs!$F$27)-1,0),Inputs!$F$190-1)+Inputs!$F$189*MAX(MAX(0,(Time!AR$5-(DATE(YEAR(Inputs!$F$144)+Inputs!$F$151,1,1)-1))/Inputs!$F$27)-Inputs!$F$190,0))/100),0)+IF(Time!AR$5&gt;=(DATE(YEAR(Inputs!$F$144)+Inputs!$F$152,1,1)-1),Inputs!$F$153/100*Inputs!$F$149*(1-(Inputs!$F$187*MIN(MAX(0,(Time!AR$5-(DATE(YEAR(Inputs!$F$144)+Inputs!$F$152,1,1)-1))/Inputs!$F$27),1)+Inputs!$F$188*MIN(MAX(MAX(0,(Time!AR$5-(DATE(YEAR(Inputs!$F$144)+Inputs!$F$152,1,1)-1))/Inputs!$F$27)-1,0),Inputs!$F$190-1)+Inputs!$F$189*MAX(MAX(0,(Time!AR$5-(DATE(YEAR(Inputs!$F$144)+Inputs!$F$152,1,1)-1))/Inputs!$F$27)-Inputs!$F$190,0))/100),0)</f>
        <v>16.4357260273973</v>
      </c>
      <c r="AS281" s="20" t="n">
        <f aca="false">IF(Time!AS$5&gt;=(DATE(YEAR(Inputs!$F$144)+Inputs!$F$151,1,1)-1),Inputs!$F$153/100*Inputs!$F$149*(1-(Inputs!$F$187*MIN(MAX(0,(Time!AS$5-(DATE(YEAR(Inputs!$F$144)+Inputs!$F$151,1,1)-1))/Inputs!$F$27),1)+Inputs!$F$188*MIN(MAX(MAX(0,(Time!AS$5-(DATE(YEAR(Inputs!$F$144)+Inputs!$F$151,1,1)-1))/Inputs!$F$27)-1,0),Inputs!$F$190-1)+Inputs!$F$189*MAX(MAX(0,(Time!AS$5-(DATE(YEAR(Inputs!$F$144)+Inputs!$F$151,1,1)-1))/Inputs!$F$27)-Inputs!$F$190,0))/100),0)+IF(Time!AS$5&gt;=(DATE(YEAR(Inputs!$F$144)+Inputs!$F$152,1,1)-1),Inputs!$F$153/100*Inputs!$F$149*(1-(Inputs!$F$187*MIN(MAX(0,(Time!AS$5-(DATE(YEAR(Inputs!$F$144)+Inputs!$F$152,1,1)-1))/Inputs!$F$27),1)+Inputs!$F$188*MIN(MAX(MAX(0,(Time!AS$5-(DATE(YEAR(Inputs!$F$144)+Inputs!$F$152,1,1)-1))/Inputs!$F$27)-1,0),Inputs!$F$190-1)+Inputs!$F$189*MAX(MAX(0,(Time!AS$5-(DATE(YEAR(Inputs!$F$144)+Inputs!$F$152,1,1)-1))/Inputs!$F$27)-Inputs!$F$190,0))/100),0)</f>
        <v>16.1950684931507</v>
      </c>
      <c r="AT281" s="20" t="n">
        <f aca="false">IF(Time!AT$5&gt;=(DATE(YEAR(Inputs!$F$144)+Inputs!$F$151,1,1)-1),Inputs!$F$153/100*Inputs!$F$149*(1-(Inputs!$F$187*MIN(MAX(0,(Time!AT$5-(DATE(YEAR(Inputs!$F$144)+Inputs!$F$151,1,1)-1))/Inputs!$F$27),1)+Inputs!$F$188*MIN(MAX(MAX(0,(Time!AT$5-(DATE(YEAR(Inputs!$F$144)+Inputs!$F$151,1,1)-1))/Inputs!$F$27)-1,0),Inputs!$F$190-1)+Inputs!$F$189*MAX(MAX(0,(Time!AT$5-(DATE(YEAR(Inputs!$F$144)+Inputs!$F$151,1,1)-1))/Inputs!$F$27)-Inputs!$F$190,0))/100),0)+IF(Time!AT$5&gt;=(DATE(YEAR(Inputs!$F$144)+Inputs!$F$152,1,1)-1),Inputs!$F$153/100*Inputs!$F$149*(1-(Inputs!$F$187*MIN(MAX(0,(Time!AT$5-(DATE(YEAR(Inputs!$F$144)+Inputs!$F$152,1,1)-1))/Inputs!$F$27),1)+Inputs!$F$188*MIN(MAX(MAX(0,(Time!AT$5-(DATE(YEAR(Inputs!$F$144)+Inputs!$F$152,1,1)-1))/Inputs!$F$27)-1,0),Inputs!$F$190-1)+Inputs!$F$189*MAX(MAX(0,(Time!AT$5-(DATE(YEAR(Inputs!$F$144)+Inputs!$F$152,1,1)-1))/Inputs!$F$27)-Inputs!$F$190,0))/100),0)</f>
        <v>15.9550684931507</v>
      </c>
      <c r="AU281" s="20" t="n">
        <f aca="false">IF(Time!AU$5&gt;=(DATE(YEAR(Inputs!$F$144)+Inputs!$F$151,1,1)-1),Inputs!$F$153/100*Inputs!$F$149*(1-(Inputs!$F$187*MIN(MAX(0,(Time!AU$5-(DATE(YEAR(Inputs!$F$144)+Inputs!$F$151,1,1)-1))/Inputs!$F$27),1)+Inputs!$F$188*MIN(MAX(MAX(0,(Time!AU$5-(DATE(YEAR(Inputs!$F$144)+Inputs!$F$151,1,1)-1))/Inputs!$F$27)-1,0),Inputs!$F$190-1)+Inputs!$F$189*MAX(MAX(0,(Time!AU$5-(DATE(YEAR(Inputs!$F$144)+Inputs!$F$151,1,1)-1))/Inputs!$F$27)-Inputs!$F$190,0))/100),0)+IF(Time!AU$5&gt;=(DATE(YEAR(Inputs!$F$144)+Inputs!$F$152,1,1)-1),Inputs!$F$153/100*Inputs!$F$149*(1-(Inputs!$F$187*MIN(MAX(0,(Time!AU$5-(DATE(YEAR(Inputs!$F$144)+Inputs!$F$152,1,1)-1))/Inputs!$F$27),1)+Inputs!$F$188*MIN(MAX(MAX(0,(Time!AU$5-(DATE(YEAR(Inputs!$F$144)+Inputs!$F$152,1,1)-1))/Inputs!$F$27)-1,0),Inputs!$F$190-1)+Inputs!$F$189*MAX(MAX(0,(Time!AU$5-(DATE(YEAR(Inputs!$F$144)+Inputs!$F$152,1,1)-1))/Inputs!$F$27)-Inputs!$F$190,0))/100),0)</f>
        <v>15.7150684931507</v>
      </c>
    </row>
    <row r="282" customFormat="false" ht="15" hidden="false" customHeight="false" outlineLevel="0" collapsed="false">
      <c r="D282" s="0" t="s">
        <v>677</v>
      </c>
      <c r="E282" s="0" t="s">
        <v>176</v>
      </c>
      <c r="J282" s="20" t="n">
        <f aca="false">Operations!J280+Operations!J281</f>
        <v>216</v>
      </c>
      <c r="K282" s="20" t="n">
        <f aca="false">Operations!K280+Operations!K281</f>
        <v>216</v>
      </c>
      <c r="L282" s="20" t="n">
        <f aca="false">Operations!L280+Operations!L281</f>
        <v>213.987945205479</v>
      </c>
      <c r="M282" s="20" t="n">
        <f aca="false">Operations!M280+Operations!M281</f>
        <v>210.162082191781</v>
      </c>
      <c r="N282" s="20" t="n">
        <f aca="false">Operations!N280+Operations!N281</f>
        <v>206.922082191781</v>
      </c>
      <c r="O282" s="20" t="n">
        <f aca="false">Operations!O280+Operations!O281</f>
        <v>203.682082191781</v>
      </c>
      <c r="P282" s="20" t="n">
        <f aca="false">Operations!P280+Operations!P281</f>
        <v>212.442082191781</v>
      </c>
      <c r="Q282" s="20" t="n">
        <f aca="false">Operations!Q280+Operations!Q281</f>
        <v>208.952712328767</v>
      </c>
      <c r="R282" s="20" t="n">
        <f aca="false">Operations!R280+Operations!R281</f>
        <v>205.532712328767</v>
      </c>
      <c r="S282" s="20" t="n">
        <f aca="false">Operations!S280+Operations!S281</f>
        <v>202.112712328767</v>
      </c>
      <c r="T282" s="20" t="n">
        <f aca="false">Operations!T280+Operations!T281</f>
        <v>210.692712328767</v>
      </c>
      <c r="U282" s="20" t="n">
        <f aca="false">Operations!U280+Operations!U281</f>
        <v>207.022849315069</v>
      </c>
      <c r="V282" s="20" t="n">
        <f aca="false">Operations!V280+Operations!V281</f>
        <v>203.934739726027</v>
      </c>
      <c r="W282" s="20" t="n">
        <f aca="false">Operations!W280+Operations!W281</f>
        <v>201.414739726027</v>
      </c>
      <c r="X282" s="20" t="n">
        <f aca="false">Operations!X280+Operations!X281</f>
        <v>198.894739726027</v>
      </c>
      <c r="Y282" s="20" t="n">
        <f aca="false">Operations!Y280+Operations!Y281</f>
        <v>196.367835616438</v>
      </c>
      <c r="Z282" s="20" t="n">
        <f aca="false">Operations!Z280+Operations!Z281</f>
        <v>193.848328767123</v>
      </c>
      <c r="AA282" s="20" t="n">
        <f aca="false">Operations!AA280+Operations!AA281</f>
        <v>191.388328767123</v>
      </c>
      <c r="AB282" s="20" t="n">
        <f aca="false">Operations!AB280+Operations!AB281</f>
        <v>188.928328767123</v>
      </c>
      <c r="AC282" s="20" t="n">
        <f aca="false">Operations!AC280+Operations!AC281</f>
        <v>186.461589041096</v>
      </c>
      <c r="AD282" s="20" t="n">
        <f aca="false">Operations!AD280+Operations!AD281</f>
        <v>184.002082191781</v>
      </c>
      <c r="AE282" s="20" t="n">
        <f aca="false">Operations!AE280+Operations!AE281</f>
        <v>181.602082191781</v>
      </c>
      <c r="AF282" s="20" t="n">
        <f aca="false">Operations!AF280+Operations!AF281</f>
        <v>179.202082191781</v>
      </c>
      <c r="AG282" s="20" t="n">
        <f aca="false">Operations!AG280+Operations!AG281</f>
        <v>176.795506849315</v>
      </c>
      <c r="AH282" s="20" t="n">
        <f aca="false">Operations!AH280+Operations!AH281</f>
        <v>174.395506849315</v>
      </c>
      <c r="AI282" s="20" t="n">
        <f aca="false">Operations!AI280+Operations!AI281</f>
        <v>171.995506849315</v>
      </c>
      <c r="AJ282" s="20" t="n">
        <f aca="false">Operations!AJ280+Operations!AJ281</f>
        <v>169.595506849315</v>
      </c>
      <c r="AK282" s="20" t="n">
        <f aca="false">Operations!AK280+Operations!AK281</f>
        <v>167.188931506849</v>
      </c>
      <c r="AL282" s="20" t="n">
        <f aca="false">Operations!AL280+Operations!AL281</f>
        <v>164.788931506849</v>
      </c>
      <c r="AM282" s="20" t="n">
        <f aca="false">Operations!AM280+Operations!AM281</f>
        <v>162.388931506849</v>
      </c>
      <c r="AN282" s="20" t="n">
        <f aca="false">Operations!AN280+Operations!AN281</f>
        <v>159.988931506849</v>
      </c>
      <c r="AO282" s="20" t="n">
        <f aca="false">Operations!AO280+Operations!AO281</f>
        <v>157.582356164384</v>
      </c>
      <c r="AP282" s="20" t="n">
        <f aca="false">Operations!AP280+Operations!AP281</f>
        <v>155.182356164384</v>
      </c>
      <c r="AQ282" s="20" t="n">
        <f aca="false">Operations!AQ280+Operations!AQ281</f>
        <v>152.782356164384</v>
      </c>
      <c r="AR282" s="20" t="n">
        <f aca="false">Operations!AR280+Operations!AR281</f>
        <v>150.382356164384</v>
      </c>
      <c r="AS282" s="20" t="n">
        <f aca="false">Operations!AS280+Operations!AS281</f>
        <v>147.975780821918</v>
      </c>
      <c r="AT282" s="20" t="n">
        <f aca="false">Operations!AT280+Operations!AT281</f>
        <v>145.575780821918</v>
      </c>
      <c r="AU282" s="20" t="n">
        <f aca="false">Operations!AU280+Operations!AU281</f>
        <v>143.175780821918</v>
      </c>
    </row>
    <row r="283" customFormat="false" ht="15" hidden="false" customHeight="false" outlineLevel="0" collapsed="false">
      <c r="D283" s="0" t="s">
        <v>678</v>
      </c>
      <c r="E283" s="0" t="s">
        <v>176</v>
      </c>
      <c r="J283" s="20" t="n">
        <f aca="false">Inputs!$F$149*(1+Inputs!$F$155/100)*(1-(Inputs!$F$187*MIN(MAX(0,(Time!J$6-Inputs!$F$144)/Inputs!$F$27),1)+Inputs!$F$188*MIN(MAX(MAX(0,(Time!J$6-Inputs!$F$144)/Inputs!$F$27)-1,0),Inputs!$F$190-1)+Inputs!$F$189*MAX(MAX(0,(Time!J$6-Inputs!$F$144)/Inputs!$F$27)-Inputs!$F$190,0))/100)</f>
        <v>216</v>
      </c>
      <c r="K283" s="20" t="n">
        <f aca="false">Inputs!$F$149*(1+Inputs!$F$155/100)*(1-(Inputs!$F$187*MIN(MAX(0,(Time!K$6-Inputs!$F$144)/Inputs!$F$27),1)+Inputs!$F$188*MIN(MAX(MAX(0,(Time!K$6-Inputs!$F$144)/Inputs!$F$27)-1,0),Inputs!$F$190-1)+Inputs!$F$189*MAX(MAX(0,(Time!K$6-Inputs!$F$144)/Inputs!$F$27)-Inputs!$F$190,0))/100)</f>
        <v>213.987945205479</v>
      </c>
      <c r="L283" s="20" t="n">
        <f aca="false">Inputs!$F$149*(1+Inputs!$F$155/100)*(1-(Inputs!$F$187*MIN(MAX(0,(Time!L$6-Inputs!$F$144)/Inputs!$F$27),1)+Inputs!$F$188*MIN(MAX(MAX(0,(Time!L$6-Inputs!$F$144)/Inputs!$F$27)-1,0),Inputs!$F$190-1)+Inputs!$F$189*MAX(MAX(0,(Time!L$6-Inputs!$F$144)/Inputs!$F$27)-Inputs!$F$190,0))/100)</f>
        <v>210.162082191781</v>
      </c>
      <c r="M283" s="20" t="n">
        <f aca="false">Inputs!$F$149*(1+Inputs!$F$155/100)*(1-(Inputs!$F$187*MIN(MAX(0,(Time!M$6-Inputs!$F$144)/Inputs!$F$27),1)+Inputs!$F$188*MIN(MAX(MAX(0,(Time!M$6-Inputs!$F$144)/Inputs!$F$27)-1,0),Inputs!$F$190-1)+Inputs!$F$189*MAX(MAX(0,(Time!M$6-Inputs!$F$144)/Inputs!$F$27)-Inputs!$F$190,0))/100)</f>
        <v>206.922082191781</v>
      </c>
      <c r="N283" s="20" t="n">
        <f aca="false">Inputs!$F$149*(1+Inputs!$F$155/100)*(1-(Inputs!$F$187*MIN(MAX(0,(Time!N$6-Inputs!$F$144)/Inputs!$F$27),1)+Inputs!$F$188*MIN(MAX(MAX(0,(Time!N$6-Inputs!$F$144)/Inputs!$F$27)-1,0),Inputs!$F$190-1)+Inputs!$F$189*MAX(MAX(0,(Time!N$6-Inputs!$F$144)/Inputs!$F$27)-Inputs!$F$190,0))/100)</f>
        <v>203.682082191781</v>
      </c>
      <c r="O283" s="20" t="n">
        <f aca="false">Inputs!$F$149*(1+Inputs!$F$155/100)*(1-(Inputs!$F$187*MIN(MAX(0,(Time!O$6-Inputs!$F$144)/Inputs!$F$27),1)+Inputs!$F$188*MIN(MAX(MAX(0,(Time!O$6-Inputs!$F$144)/Inputs!$F$27)-1,0),Inputs!$F$190-1)+Inputs!$F$189*MAX(MAX(0,(Time!O$6-Inputs!$F$144)/Inputs!$F$27)-Inputs!$F$190,0))/100)</f>
        <v>200.442082191781</v>
      </c>
      <c r="P283" s="20" t="n">
        <f aca="false">Inputs!$F$149*(1+Inputs!$F$155/100)*(1-(Inputs!$F$187*MIN(MAX(0,(Time!P$6-Inputs!$F$144)/Inputs!$F$27),1)+Inputs!$F$188*MIN(MAX(MAX(0,(Time!P$6-Inputs!$F$144)/Inputs!$F$27)-1,0),Inputs!$F$190-1)+Inputs!$F$189*MAX(MAX(0,(Time!P$6-Inputs!$F$144)/Inputs!$F$27)-Inputs!$F$190,0))/100)</f>
        <v>197.193205479452</v>
      </c>
      <c r="Q283" s="20" t="n">
        <f aca="false">Inputs!$F$149*(1+Inputs!$F$155/100)*(1-(Inputs!$F$187*MIN(MAX(0,(Time!Q$6-Inputs!$F$144)/Inputs!$F$27),1)+Inputs!$F$188*MIN(MAX(MAX(0,(Time!Q$6-Inputs!$F$144)/Inputs!$F$27)-1,0),Inputs!$F$190-1)+Inputs!$F$189*MAX(MAX(0,(Time!Q$6-Inputs!$F$144)/Inputs!$F$27)-Inputs!$F$190,0))/100)</f>
        <v>193.953205479452</v>
      </c>
      <c r="R283" s="20" t="n">
        <f aca="false">Inputs!$F$149*(1+Inputs!$F$155/100)*(1-(Inputs!$F$187*MIN(MAX(0,(Time!R$6-Inputs!$F$144)/Inputs!$F$27),1)+Inputs!$F$188*MIN(MAX(MAX(0,(Time!R$6-Inputs!$F$144)/Inputs!$F$27)-1,0),Inputs!$F$190-1)+Inputs!$F$189*MAX(MAX(0,(Time!R$6-Inputs!$F$144)/Inputs!$F$27)-Inputs!$F$190,0))/100)</f>
        <v>190.713205479452</v>
      </c>
      <c r="S283" s="20" t="n">
        <f aca="false">Inputs!$F$149*(1+Inputs!$F$155/100)*(1-(Inputs!$F$187*MIN(MAX(0,(Time!S$6-Inputs!$F$144)/Inputs!$F$27),1)+Inputs!$F$188*MIN(MAX(MAX(0,(Time!S$6-Inputs!$F$144)/Inputs!$F$27)-1,0),Inputs!$F$190-1)+Inputs!$F$189*MAX(MAX(0,(Time!S$6-Inputs!$F$144)/Inputs!$F$27)-Inputs!$F$190,0))/100)</f>
        <v>187.473205479452</v>
      </c>
      <c r="T283" s="20" t="n">
        <f aca="false">Inputs!$F$149*(1+Inputs!$F$155/100)*(1-(Inputs!$F$187*MIN(MAX(0,(Time!T$6-Inputs!$F$144)/Inputs!$F$27),1)+Inputs!$F$188*MIN(MAX(MAX(0,(Time!T$6-Inputs!$F$144)/Inputs!$F$27)-1,0),Inputs!$F$190-1)+Inputs!$F$189*MAX(MAX(0,(Time!T$6-Inputs!$F$144)/Inputs!$F$27)-Inputs!$F$190,0))/100)</f>
        <v>184.224328767123</v>
      </c>
      <c r="U283" s="20" t="n">
        <f aca="false">Inputs!$F$149*(1+Inputs!$F$155/100)*(1-(Inputs!$F$187*MIN(MAX(0,(Time!U$6-Inputs!$F$144)/Inputs!$F$27),1)+Inputs!$F$188*MIN(MAX(MAX(0,(Time!U$6-Inputs!$F$144)/Inputs!$F$27)-1,0),Inputs!$F$190-1)+Inputs!$F$189*MAX(MAX(0,(Time!U$6-Inputs!$F$144)/Inputs!$F$27)-Inputs!$F$190,0))/100)</f>
        <v>181.496219178082</v>
      </c>
      <c r="V283" s="20" t="n">
        <f aca="false">Inputs!$F$149*(1+Inputs!$F$155/100)*(1-(Inputs!$F$187*MIN(MAX(0,(Time!V$6-Inputs!$F$144)/Inputs!$F$27),1)+Inputs!$F$188*MIN(MAX(MAX(0,(Time!V$6-Inputs!$F$144)/Inputs!$F$27)-1,0),Inputs!$F$190-1)+Inputs!$F$189*MAX(MAX(0,(Time!V$6-Inputs!$F$144)/Inputs!$F$27)-Inputs!$F$190,0))/100)</f>
        <v>179.336219178082</v>
      </c>
      <c r="W283" s="20" t="n">
        <f aca="false">Inputs!$F$149*(1+Inputs!$F$155/100)*(1-(Inputs!$F$187*MIN(MAX(0,(Time!W$6-Inputs!$F$144)/Inputs!$F$27),1)+Inputs!$F$188*MIN(MAX(MAX(0,(Time!W$6-Inputs!$F$144)/Inputs!$F$27)-1,0),Inputs!$F$190-1)+Inputs!$F$189*MAX(MAX(0,(Time!W$6-Inputs!$F$144)/Inputs!$F$27)-Inputs!$F$190,0))/100)</f>
        <v>177.176219178082</v>
      </c>
      <c r="X283" s="20" t="n">
        <f aca="false">Inputs!$F$149*(1+Inputs!$F$155/100)*(1-(Inputs!$F$187*MIN(MAX(0,(Time!X$6-Inputs!$F$144)/Inputs!$F$27),1)+Inputs!$F$188*MIN(MAX(MAX(0,(Time!X$6-Inputs!$F$144)/Inputs!$F$27)-1,0),Inputs!$F$190-1)+Inputs!$F$189*MAX(MAX(0,(Time!X$6-Inputs!$F$144)/Inputs!$F$27)-Inputs!$F$190,0))/100)</f>
        <v>175.010301369863</v>
      </c>
      <c r="Y283" s="20" t="n">
        <f aca="false">Inputs!$F$149*(1+Inputs!$F$155/100)*(1-(Inputs!$F$187*MIN(MAX(0,(Time!Y$6-Inputs!$F$144)/Inputs!$F$27),1)+Inputs!$F$188*MIN(MAX(MAX(0,(Time!Y$6-Inputs!$F$144)/Inputs!$F$27)-1,0),Inputs!$F$190-1)+Inputs!$F$189*MAX(MAX(0,(Time!Y$6-Inputs!$F$144)/Inputs!$F$27)-Inputs!$F$190,0))/100)</f>
        <v>172.850301369863</v>
      </c>
      <c r="Z283" s="20" t="n">
        <f aca="false">Inputs!$F$149*(1+Inputs!$F$155/100)*(1-(Inputs!$F$187*MIN(MAX(0,(Time!Z$6-Inputs!$F$144)/Inputs!$F$27),1)+Inputs!$F$188*MIN(MAX(MAX(0,(Time!Z$6-Inputs!$F$144)/Inputs!$F$27)-1,0),Inputs!$F$190-1)+Inputs!$F$189*MAX(MAX(0,(Time!Z$6-Inputs!$F$144)/Inputs!$F$27)-Inputs!$F$190,0))/100)</f>
        <v>170.690301369863</v>
      </c>
      <c r="AA283" s="20" t="n">
        <f aca="false">Inputs!$F$149*(1+Inputs!$F$155/100)*(1-(Inputs!$F$187*MIN(MAX(0,(Time!AA$6-Inputs!$F$144)/Inputs!$F$27),1)+Inputs!$F$188*MIN(MAX(MAX(0,(Time!AA$6-Inputs!$F$144)/Inputs!$F$27)-1,0),Inputs!$F$190-1)+Inputs!$F$189*MAX(MAX(0,(Time!AA$6-Inputs!$F$144)/Inputs!$F$27)-Inputs!$F$190,0))/100)</f>
        <v>168.530301369863</v>
      </c>
      <c r="AB283" s="20" t="n">
        <f aca="false">Inputs!$F$149*(1+Inputs!$F$155/100)*(1-(Inputs!$F$187*MIN(MAX(0,(Time!AB$6-Inputs!$F$144)/Inputs!$F$27),1)+Inputs!$F$188*MIN(MAX(MAX(0,(Time!AB$6-Inputs!$F$144)/Inputs!$F$27)-1,0),Inputs!$F$190-1)+Inputs!$F$189*MAX(MAX(0,(Time!AB$6-Inputs!$F$144)/Inputs!$F$27)-Inputs!$F$190,0))/100)</f>
        <v>166.364383561644</v>
      </c>
      <c r="AC283" s="20" t="n">
        <f aca="false">Inputs!$F$149*(1+Inputs!$F$155/100)*(1-(Inputs!$F$187*MIN(MAX(0,(Time!AC$6-Inputs!$F$144)/Inputs!$F$27),1)+Inputs!$F$188*MIN(MAX(MAX(0,(Time!AC$6-Inputs!$F$144)/Inputs!$F$27)-1,0),Inputs!$F$190-1)+Inputs!$F$189*MAX(MAX(0,(Time!AC$6-Inputs!$F$144)/Inputs!$F$27)-Inputs!$F$190,0))/100)</f>
        <v>164.204383561644</v>
      </c>
      <c r="AD283" s="20" t="n">
        <f aca="false">Inputs!$F$149*(1+Inputs!$F$155/100)*(1-(Inputs!$F$187*MIN(MAX(0,(Time!AD$6-Inputs!$F$144)/Inputs!$F$27),1)+Inputs!$F$188*MIN(MAX(MAX(0,(Time!AD$6-Inputs!$F$144)/Inputs!$F$27)-1,0),Inputs!$F$190-1)+Inputs!$F$189*MAX(MAX(0,(Time!AD$6-Inputs!$F$144)/Inputs!$F$27)-Inputs!$F$190,0))/100)</f>
        <v>162.044383561644</v>
      </c>
      <c r="AE283" s="20" t="n">
        <f aca="false">Inputs!$F$149*(1+Inputs!$F$155/100)*(1-(Inputs!$F$187*MIN(MAX(0,(Time!AE$6-Inputs!$F$144)/Inputs!$F$27),1)+Inputs!$F$188*MIN(MAX(MAX(0,(Time!AE$6-Inputs!$F$144)/Inputs!$F$27)-1,0),Inputs!$F$190-1)+Inputs!$F$189*MAX(MAX(0,(Time!AE$6-Inputs!$F$144)/Inputs!$F$27)-Inputs!$F$190,0))/100)</f>
        <v>159.884383561644</v>
      </c>
      <c r="AF283" s="20" t="n">
        <f aca="false">Inputs!$F$149*(1+Inputs!$F$155/100)*(1-(Inputs!$F$187*MIN(MAX(0,(Time!AF$6-Inputs!$F$144)/Inputs!$F$27),1)+Inputs!$F$188*MIN(MAX(MAX(0,(Time!AF$6-Inputs!$F$144)/Inputs!$F$27)-1,0),Inputs!$F$190-1)+Inputs!$F$189*MAX(MAX(0,(Time!AF$6-Inputs!$F$144)/Inputs!$F$27)-Inputs!$F$190,0))/100)</f>
        <v>157.718465753425</v>
      </c>
      <c r="AG283" s="20" t="n">
        <f aca="false">Inputs!$F$149*(1+Inputs!$F$155/100)*(1-(Inputs!$F$187*MIN(MAX(0,(Time!AG$6-Inputs!$F$144)/Inputs!$F$27),1)+Inputs!$F$188*MIN(MAX(MAX(0,(Time!AG$6-Inputs!$F$144)/Inputs!$F$27)-1,0),Inputs!$F$190-1)+Inputs!$F$189*MAX(MAX(0,(Time!AG$6-Inputs!$F$144)/Inputs!$F$27)-Inputs!$F$190,0))/100)</f>
        <v>155.558465753425</v>
      </c>
      <c r="AH283" s="20" t="n">
        <f aca="false">Inputs!$F$149*(1+Inputs!$F$155/100)*(1-(Inputs!$F$187*MIN(MAX(0,(Time!AH$6-Inputs!$F$144)/Inputs!$F$27),1)+Inputs!$F$188*MIN(MAX(MAX(0,(Time!AH$6-Inputs!$F$144)/Inputs!$F$27)-1,0),Inputs!$F$190-1)+Inputs!$F$189*MAX(MAX(0,(Time!AH$6-Inputs!$F$144)/Inputs!$F$27)-Inputs!$F$190,0))/100)</f>
        <v>153.398465753425</v>
      </c>
      <c r="AI283" s="20" t="n">
        <f aca="false">Inputs!$F$149*(1+Inputs!$F$155/100)*(1-(Inputs!$F$187*MIN(MAX(0,(Time!AI$6-Inputs!$F$144)/Inputs!$F$27),1)+Inputs!$F$188*MIN(MAX(MAX(0,(Time!AI$6-Inputs!$F$144)/Inputs!$F$27)-1,0),Inputs!$F$190-1)+Inputs!$F$189*MAX(MAX(0,(Time!AI$6-Inputs!$F$144)/Inputs!$F$27)-Inputs!$F$190,0))/100)</f>
        <v>151.238465753425</v>
      </c>
      <c r="AJ283" s="20" t="n">
        <f aca="false">Inputs!$F$149*(1+Inputs!$F$155/100)*(1-(Inputs!$F$187*MIN(MAX(0,(Time!AJ$6-Inputs!$F$144)/Inputs!$F$27),1)+Inputs!$F$188*MIN(MAX(MAX(0,(Time!AJ$6-Inputs!$F$144)/Inputs!$F$27)-1,0),Inputs!$F$190-1)+Inputs!$F$189*MAX(MAX(0,(Time!AJ$6-Inputs!$F$144)/Inputs!$F$27)-Inputs!$F$190,0))/100)</f>
        <v>149.072547945205</v>
      </c>
      <c r="AK283" s="20" t="n">
        <f aca="false">Inputs!$F$149*(1+Inputs!$F$155/100)*(1-(Inputs!$F$187*MIN(MAX(0,(Time!AK$6-Inputs!$F$144)/Inputs!$F$27),1)+Inputs!$F$188*MIN(MAX(MAX(0,(Time!AK$6-Inputs!$F$144)/Inputs!$F$27)-1,0),Inputs!$F$190-1)+Inputs!$F$189*MAX(MAX(0,(Time!AK$6-Inputs!$F$144)/Inputs!$F$27)-Inputs!$F$190,0))/100)</f>
        <v>146.912547945206</v>
      </c>
      <c r="AL283" s="20" t="n">
        <f aca="false">Inputs!$F$149*(1+Inputs!$F$155/100)*(1-(Inputs!$F$187*MIN(MAX(0,(Time!AL$6-Inputs!$F$144)/Inputs!$F$27),1)+Inputs!$F$188*MIN(MAX(MAX(0,(Time!AL$6-Inputs!$F$144)/Inputs!$F$27)-1,0),Inputs!$F$190-1)+Inputs!$F$189*MAX(MAX(0,(Time!AL$6-Inputs!$F$144)/Inputs!$F$27)-Inputs!$F$190,0))/100)</f>
        <v>144.752547945206</v>
      </c>
      <c r="AM283" s="20" t="n">
        <f aca="false">Inputs!$F$149*(1+Inputs!$F$155/100)*(1-(Inputs!$F$187*MIN(MAX(0,(Time!AM$6-Inputs!$F$144)/Inputs!$F$27),1)+Inputs!$F$188*MIN(MAX(MAX(0,(Time!AM$6-Inputs!$F$144)/Inputs!$F$27)-1,0),Inputs!$F$190-1)+Inputs!$F$189*MAX(MAX(0,(Time!AM$6-Inputs!$F$144)/Inputs!$F$27)-Inputs!$F$190,0))/100)</f>
        <v>142.592547945205</v>
      </c>
      <c r="AN283" s="20" t="n">
        <f aca="false">Inputs!$F$149*(1+Inputs!$F$155/100)*(1-(Inputs!$F$187*MIN(MAX(0,(Time!AN$6-Inputs!$F$144)/Inputs!$F$27),1)+Inputs!$F$188*MIN(MAX(MAX(0,(Time!AN$6-Inputs!$F$144)/Inputs!$F$27)-1,0),Inputs!$F$190-1)+Inputs!$F$189*MAX(MAX(0,(Time!AN$6-Inputs!$F$144)/Inputs!$F$27)-Inputs!$F$190,0))/100)</f>
        <v>140.426630136986</v>
      </c>
      <c r="AO283" s="20" t="n">
        <f aca="false">Inputs!$F$149*(1+Inputs!$F$155/100)*(1-(Inputs!$F$187*MIN(MAX(0,(Time!AO$6-Inputs!$F$144)/Inputs!$F$27),1)+Inputs!$F$188*MIN(MAX(MAX(0,(Time!AO$6-Inputs!$F$144)/Inputs!$F$27)-1,0),Inputs!$F$190-1)+Inputs!$F$189*MAX(MAX(0,(Time!AO$6-Inputs!$F$144)/Inputs!$F$27)-Inputs!$F$190,0))/100)</f>
        <v>138.266630136986</v>
      </c>
      <c r="AP283" s="20" t="n">
        <f aca="false">Inputs!$F$149*(1+Inputs!$F$155/100)*(1-(Inputs!$F$187*MIN(MAX(0,(Time!AP$6-Inputs!$F$144)/Inputs!$F$27),1)+Inputs!$F$188*MIN(MAX(MAX(0,(Time!AP$6-Inputs!$F$144)/Inputs!$F$27)-1,0),Inputs!$F$190-1)+Inputs!$F$189*MAX(MAX(0,(Time!AP$6-Inputs!$F$144)/Inputs!$F$27)-Inputs!$F$190,0))/100)</f>
        <v>136.106630136986</v>
      </c>
      <c r="AQ283" s="20" t="n">
        <f aca="false">Inputs!$F$149*(1+Inputs!$F$155/100)*(1-(Inputs!$F$187*MIN(MAX(0,(Time!AQ$6-Inputs!$F$144)/Inputs!$F$27),1)+Inputs!$F$188*MIN(MAX(MAX(0,(Time!AQ$6-Inputs!$F$144)/Inputs!$F$27)-1,0),Inputs!$F$190-1)+Inputs!$F$189*MAX(MAX(0,(Time!AQ$6-Inputs!$F$144)/Inputs!$F$27)-Inputs!$F$190,0))/100)</f>
        <v>133.946630136986</v>
      </c>
      <c r="AR283" s="20" t="n">
        <f aca="false">Inputs!$F$149*(1+Inputs!$F$155/100)*(1-(Inputs!$F$187*MIN(MAX(0,(Time!AR$6-Inputs!$F$144)/Inputs!$F$27),1)+Inputs!$F$188*MIN(MAX(MAX(0,(Time!AR$6-Inputs!$F$144)/Inputs!$F$27)-1,0),Inputs!$F$190-1)+Inputs!$F$189*MAX(MAX(0,(Time!AR$6-Inputs!$F$144)/Inputs!$F$27)-Inputs!$F$190,0))/100)</f>
        <v>131.780712328767</v>
      </c>
      <c r="AS283" s="20" t="n">
        <f aca="false">Inputs!$F$149*(1+Inputs!$F$155/100)*(1-(Inputs!$F$187*MIN(MAX(0,(Time!AS$6-Inputs!$F$144)/Inputs!$F$27),1)+Inputs!$F$188*MIN(MAX(MAX(0,(Time!AS$6-Inputs!$F$144)/Inputs!$F$27)-1,0),Inputs!$F$190-1)+Inputs!$F$189*MAX(MAX(0,(Time!AS$6-Inputs!$F$144)/Inputs!$F$27)-Inputs!$F$190,0))/100)</f>
        <v>129.620712328767</v>
      </c>
      <c r="AT283" s="20" t="n">
        <f aca="false">Inputs!$F$149*(1+Inputs!$F$155/100)*(1-(Inputs!$F$187*MIN(MAX(0,(Time!AT$6-Inputs!$F$144)/Inputs!$F$27),1)+Inputs!$F$188*MIN(MAX(MAX(0,(Time!AT$6-Inputs!$F$144)/Inputs!$F$27)-1,0),Inputs!$F$190-1)+Inputs!$F$189*MAX(MAX(0,(Time!AT$6-Inputs!$F$144)/Inputs!$F$27)-Inputs!$F$190,0))/100)</f>
        <v>127.460712328767</v>
      </c>
      <c r="AU283" s="20" t="n">
        <f aca="false">Inputs!$F$149*(1+Inputs!$F$155/100)*(1-(Inputs!$F$187*MIN(MAX(0,(Time!AU$6-Inputs!$F$144)/Inputs!$F$27),1)+Inputs!$F$188*MIN(MAX(MAX(0,(Time!AU$6-Inputs!$F$144)/Inputs!$F$27)-1,0),Inputs!$F$190-1)+Inputs!$F$189*MAX(MAX(0,(Time!AU$6-Inputs!$F$144)/Inputs!$F$27)-Inputs!$F$190,0))/100)</f>
        <v>125.300712328767</v>
      </c>
    </row>
    <row r="284" customFormat="false" ht="15" hidden="false" customHeight="false" outlineLevel="0" collapsed="false">
      <c r="D284" s="0" t="s">
        <v>679</v>
      </c>
      <c r="E284" s="0" t="s">
        <v>176</v>
      </c>
      <c r="J284" s="20" t="n">
        <f aca="false">IF(Time!J$6&gt;=(DATE(YEAR(Inputs!$F$144)+Inputs!$F$151,1,1)-1),Inputs!$F$153/100*Inputs!$F$149*(1-(Inputs!$F$187*MIN(MAX(0,(Time!J$6-(DATE(YEAR(Inputs!$F$144)+Inputs!$F$151,1,1)-1))/Inputs!$F$27),1)+Inputs!$F$188*MIN(MAX(MAX(0,(Time!J$6-(DATE(YEAR(Inputs!$F$144)+Inputs!$F$151,1,1)-1))/Inputs!$F$27)-1,0),Inputs!$F$190-1)+Inputs!$F$189*MAX(MAX(0,(Time!J$6-(DATE(YEAR(Inputs!$F$144)+Inputs!$F$151,1,1)-1))/Inputs!$F$27)-Inputs!$F$190,0))/100),0)+IF(Time!J$6&gt;=(DATE(YEAR(Inputs!$F$144)+Inputs!$F$152,1,1)-1),Inputs!$F$153/100*Inputs!$F$149*(1-(Inputs!$F$187*MIN(MAX(0,(Time!J$6-(DATE(YEAR(Inputs!$F$144)+Inputs!$F$152,1,1)-1))/Inputs!$F$27),1)+Inputs!$F$188*MIN(MAX(MAX(0,(Time!J$6-(DATE(YEAR(Inputs!$F$144)+Inputs!$F$152,1,1)-1))/Inputs!$F$27)-1,0),Inputs!$F$190-1)+Inputs!$F$189*MAX(MAX(0,(Time!J$6-(DATE(YEAR(Inputs!$F$144)+Inputs!$F$152,1,1)-1))/Inputs!$F$27)-Inputs!$F$190,0))/100),0)</f>
        <v>0</v>
      </c>
      <c r="K284" s="20" t="n">
        <f aca="false">IF(Time!K$6&gt;=(DATE(YEAR(Inputs!$F$144)+Inputs!$F$151,1,1)-1),Inputs!$F$153/100*Inputs!$F$149*(1-(Inputs!$F$187*MIN(MAX(0,(Time!K$6-(DATE(YEAR(Inputs!$F$144)+Inputs!$F$151,1,1)-1))/Inputs!$F$27),1)+Inputs!$F$188*MIN(MAX(MAX(0,(Time!K$6-(DATE(YEAR(Inputs!$F$144)+Inputs!$F$151,1,1)-1))/Inputs!$F$27)-1,0),Inputs!$F$190-1)+Inputs!$F$189*MAX(MAX(0,(Time!K$6-(DATE(YEAR(Inputs!$F$144)+Inputs!$F$151,1,1)-1))/Inputs!$F$27)-Inputs!$F$190,0))/100),0)+IF(Time!K$6&gt;=(DATE(YEAR(Inputs!$F$144)+Inputs!$F$152,1,1)-1),Inputs!$F$153/100*Inputs!$F$149*(1-(Inputs!$F$187*MIN(MAX(0,(Time!K$6-(DATE(YEAR(Inputs!$F$144)+Inputs!$F$152,1,1)-1))/Inputs!$F$27),1)+Inputs!$F$188*MIN(MAX(MAX(0,(Time!K$6-(DATE(YEAR(Inputs!$F$144)+Inputs!$F$152,1,1)-1))/Inputs!$F$27)-1,0),Inputs!$F$190-1)+Inputs!$F$189*MAX(MAX(0,(Time!K$6-(DATE(YEAR(Inputs!$F$144)+Inputs!$F$152,1,1)-1))/Inputs!$F$27)-Inputs!$F$190,0))/100),0)</f>
        <v>0</v>
      </c>
      <c r="L284" s="20" t="n">
        <f aca="false">IF(Time!L$6&gt;=(DATE(YEAR(Inputs!$F$144)+Inputs!$F$151,1,1)-1),Inputs!$F$153/100*Inputs!$F$149*(1-(Inputs!$F$187*MIN(MAX(0,(Time!L$6-(DATE(YEAR(Inputs!$F$144)+Inputs!$F$151,1,1)-1))/Inputs!$F$27),1)+Inputs!$F$188*MIN(MAX(MAX(0,(Time!L$6-(DATE(YEAR(Inputs!$F$144)+Inputs!$F$151,1,1)-1))/Inputs!$F$27)-1,0),Inputs!$F$190-1)+Inputs!$F$189*MAX(MAX(0,(Time!L$6-(DATE(YEAR(Inputs!$F$144)+Inputs!$F$151,1,1)-1))/Inputs!$F$27)-Inputs!$F$190,0))/100),0)+IF(Time!L$6&gt;=(DATE(YEAR(Inputs!$F$144)+Inputs!$F$152,1,1)-1),Inputs!$F$153/100*Inputs!$F$149*(1-(Inputs!$F$187*MIN(MAX(0,(Time!L$6-(DATE(YEAR(Inputs!$F$144)+Inputs!$F$152,1,1)-1))/Inputs!$F$27),1)+Inputs!$F$188*MIN(MAX(MAX(0,(Time!L$6-(DATE(YEAR(Inputs!$F$144)+Inputs!$F$152,1,1)-1))/Inputs!$F$27)-1,0),Inputs!$F$190-1)+Inputs!$F$189*MAX(MAX(0,(Time!L$6-(DATE(YEAR(Inputs!$F$144)+Inputs!$F$152,1,1)-1))/Inputs!$F$27)-Inputs!$F$190,0))/100),0)</f>
        <v>0</v>
      </c>
      <c r="M284" s="20" t="n">
        <f aca="false">IF(Time!M$6&gt;=(DATE(YEAR(Inputs!$F$144)+Inputs!$F$151,1,1)-1),Inputs!$F$153/100*Inputs!$F$149*(1-(Inputs!$F$187*MIN(MAX(0,(Time!M$6-(DATE(YEAR(Inputs!$F$144)+Inputs!$F$151,1,1)-1))/Inputs!$F$27),1)+Inputs!$F$188*MIN(MAX(MAX(0,(Time!M$6-(DATE(YEAR(Inputs!$F$144)+Inputs!$F$151,1,1)-1))/Inputs!$F$27)-1,0),Inputs!$F$190-1)+Inputs!$F$189*MAX(MAX(0,(Time!M$6-(DATE(YEAR(Inputs!$F$144)+Inputs!$F$151,1,1)-1))/Inputs!$F$27)-Inputs!$F$190,0))/100),0)+IF(Time!M$6&gt;=(DATE(YEAR(Inputs!$F$144)+Inputs!$F$152,1,1)-1),Inputs!$F$153/100*Inputs!$F$149*(1-(Inputs!$F$187*MIN(MAX(0,(Time!M$6-(DATE(YEAR(Inputs!$F$144)+Inputs!$F$152,1,1)-1))/Inputs!$F$27),1)+Inputs!$F$188*MIN(MAX(MAX(0,(Time!M$6-(DATE(YEAR(Inputs!$F$144)+Inputs!$F$152,1,1)-1))/Inputs!$F$27)-1,0),Inputs!$F$190-1)+Inputs!$F$189*MAX(MAX(0,(Time!M$6-(DATE(YEAR(Inputs!$F$144)+Inputs!$F$152,1,1)-1))/Inputs!$F$27)-Inputs!$F$190,0))/100),0)</f>
        <v>0</v>
      </c>
      <c r="N284" s="20" t="n">
        <f aca="false">IF(Time!N$6&gt;=(DATE(YEAR(Inputs!$F$144)+Inputs!$F$151,1,1)-1),Inputs!$F$153/100*Inputs!$F$149*(1-(Inputs!$F$187*MIN(MAX(0,(Time!N$6-(DATE(YEAR(Inputs!$F$144)+Inputs!$F$151,1,1)-1))/Inputs!$F$27),1)+Inputs!$F$188*MIN(MAX(MAX(0,(Time!N$6-(DATE(YEAR(Inputs!$F$144)+Inputs!$F$151,1,1)-1))/Inputs!$F$27)-1,0),Inputs!$F$190-1)+Inputs!$F$189*MAX(MAX(0,(Time!N$6-(DATE(YEAR(Inputs!$F$144)+Inputs!$F$151,1,1)-1))/Inputs!$F$27)-Inputs!$F$190,0))/100),0)+IF(Time!N$6&gt;=(DATE(YEAR(Inputs!$F$144)+Inputs!$F$152,1,1)-1),Inputs!$F$153/100*Inputs!$F$149*(1-(Inputs!$F$187*MIN(MAX(0,(Time!N$6-(DATE(YEAR(Inputs!$F$144)+Inputs!$F$152,1,1)-1))/Inputs!$F$27),1)+Inputs!$F$188*MIN(MAX(MAX(0,(Time!N$6-(DATE(YEAR(Inputs!$F$144)+Inputs!$F$152,1,1)-1))/Inputs!$F$27)-1,0),Inputs!$F$190-1)+Inputs!$F$189*MAX(MAX(0,(Time!N$6-(DATE(YEAR(Inputs!$F$144)+Inputs!$F$152,1,1)-1))/Inputs!$F$27)-Inputs!$F$190,0))/100),0)</f>
        <v>0</v>
      </c>
      <c r="O284" s="20" t="n">
        <f aca="false">IF(Time!O$6&gt;=(DATE(YEAR(Inputs!$F$144)+Inputs!$F$151,1,1)-1),Inputs!$F$153/100*Inputs!$F$149*(1-(Inputs!$F$187*MIN(MAX(0,(Time!O$6-(DATE(YEAR(Inputs!$F$144)+Inputs!$F$151,1,1)-1))/Inputs!$F$27),1)+Inputs!$F$188*MIN(MAX(MAX(0,(Time!O$6-(DATE(YEAR(Inputs!$F$144)+Inputs!$F$151,1,1)-1))/Inputs!$F$27)-1,0),Inputs!$F$190-1)+Inputs!$F$189*MAX(MAX(0,(Time!O$6-(DATE(YEAR(Inputs!$F$144)+Inputs!$F$151,1,1)-1))/Inputs!$F$27)-Inputs!$F$190,0))/100),0)+IF(Time!O$6&gt;=(DATE(YEAR(Inputs!$F$144)+Inputs!$F$152,1,1)-1),Inputs!$F$153/100*Inputs!$F$149*(1-(Inputs!$F$187*MIN(MAX(0,(Time!O$6-(DATE(YEAR(Inputs!$F$144)+Inputs!$F$152,1,1)-1))/Inputs!$F$27),1)+Inputs!$F$188*MIN(MAX(MAX(0,(Time!O$6-(DATE(YEAR(Inputs!$F$144)+Inputs!$F$152,1,1)-1))/Inputs!$F$27)-1,0),Inputs!$F$190-1)+Inputs!$F$189*MAX(MAX(0,(Time!O$6-(DATE(YEAR(Inputs!$F$144)+Inputs!$F$152,1,1)-1))/Inputs!$F$27)-Inputs!$F$190,0))/100),0)</f>
        <v>12</v>
      </c>
      <c r="P284" s="20" t="n">
        <f aca="false">IF(Time!P$6&gt;=(DATE(YEAR(Inputs!$F$144)+Inputs!$F$151,1,1)-1),Inputs!$F$153/100*Inputs!$F$149*(1-(Inputs!$F$187*MIN(MAX(0,(Time!P$6-(DATE(YEAR(Inputs!$F$144)+Inputs!$F$151,1,1)-1))/Inputs!$F$27),1)+Inputs!$F$188*MIN(MAX(MAX(0,(Time!P$6-(DATE(YEAR(Inputs!$F$144)+Inputs!$F$151,1,1)-1))/Inputs!$F$27)-1,0),Inputs!$F$190-1)+Inputs!$F$189*MAX(MAX(0,(Time!P$6-(DATE(YEAR(Inputs!$F$144)+Inputs!$F$151,1,1)-1))/Inputs!$F$27)-Inputs!$F$190,0))/100),0)+IF(Time!P$6&gt;=(DATE(YEAR(Inputs!$F$144)+Inputs!$F$152,1,1)-1),Inputs!$F$153/100*Inputs!$F$149*(1-(Inputs!$F$187*MIN(MAX(0,(Time!P$6-(DATE(YEAR(Inputs!$F$144)+Inputs!$F$152,1,1)-1))/Inputs!$F$27),1)+Inputs!$F$188*MIN(MAX(MAX(0,(Time!P$6-(DATE(YEAR(Inputs!$F$144)+Inputs!$F$152,1,1)-1))/Inputs!$F$27)-1,0),Inputs!$F$190-1)+Inputs!$F$189*MAX(MAX(0,(Time!P$6-(DATE(YEAR(Inputs!$F$144)+Inputs!$F$152,1,1)-1))/Inputs!$F$27)-Inputs!$F$190,0))/100),0)</f>
        <v>11.7595068493151</v>
      </c>
      <c r="Q284" s="20" t="n">
        <f aca="false">IF(Time!Q$6&gt;=(DATE(YEAR(Inputs!$F$144)+Inputs!$F$151,1,1)-1),Inputs!$F$153/100*Inputs!$F$149*(1-(Inputs!$F$187*MIN(MAX(0,(Time!Q$6-(DATE(YEAR(Inputs!$F$144)+Inputs!$F$151,1,1)-1))/Inputs!$F$27),1)+Inputs!$F$188*MIN(MAX(MAX(0,(Time!Q$6-(DATE(YEAR(Inputs!$F$144)+Inputs!$F$151,1,1)-1))/Inputs!$F$27)-1,0),Inputs!$F$190-1)+Inputs!$F$189*MAX(MAX(0,(Time!Q$6-(DATE(YEAR(Inputs!$F$144)+Inputs!$F$151,1,1)-1))/Inputs!$F$27)-Inputs!$F$190,0))/100),0)+IF(Time!Q$6&gt;=(DATE(YEAR(Inputs!$F$144)+Inputs!$F$152,1,1)-1),Inputs!$F$153/100*Inputs!$F$149*(1-(Inputs!$F$187*MIN(MAX(0,(Time!Q$6-(DATE(YEAR(Inputs!$F$144)+Inputs!$F$152,1,1)-1))/Inputs!$F$27),1)+Inputs!$F$188*MIN(MAX(MAX(0,(Time!Q$6-(DATE(YEAR(Inputs!$F$144)+Inputs!$F$152,1,1)-1))/Inputs!$F$27)-1,0),Inputs!$F$190-1)+Inputs!$F$189*MAX(MAX(0,(Time!Q$6-(DATE(YEAR(Inputs!$F$144)+Inputs!$F$152,1,1)-1))/Inputs!$F$27)-Inputs!$F$190,0))/100),0)</f>
        <v>11.5795068493151</v>
      </c>
      <c r="R284" s="20" t="n">
        <f aca="false">IF(Time!R$6&gt;=(DATE(YEAR(Inputs!$F$144)+Inputs!$F$151,1,1)-1),Inputs!$F$153/100*Inputs!$F$149*(1-(Inputs!$F$187*MIN(MAX(0,(Time!R$6-(DATE(YEAR(Inputs!$F$144)+Inputs!$F$151,1,1)-1))/Inputs!$F$27),1)+Inputs!$F$188*MIN(MAX(MAX(0,(Time!R$6-(DATE(YEAR(Inputs!$F$144)+Inputs!$F$151,1,1)-1))/Inputs!$F$27)-1,0),Inputs!$F$190-1)+Inputs!$F$189*MAX(MAX(0,(Time!R$6-(DATE(YEAR(Inputs!$F$144)+Inputs!$F$151,1,1)-1))/Inputs!$F$27)-Inputs!$F$190,0))/100),0)+IF(Time!R$6&gt;=(DATE(YEAR(Inputs!$F$144)+Inputs!$F$152,1,1)-1),Inputs!$F$153/100*Inputs!$F$149*(1-(Inputs!$F$187*MIN(MAX(0,(Time!R$6-(DATE(YEAR(Inputs!$F$144)+Inputs!$F$152,1,1)-1))/Inputs!$F$27),1)+Inputs!$F$188*MIN(MAX(MAX(0,(Time!R$6-(DATE(YEAR(Inputs!$F$144)+Inputs!$F$152,1,1)-1))/Inputs!$F$27)-1,0),Inputs!$F$190-1)+Inputs!$F$189*MAX(MAX(0,(Time!R$6-(DATE(YEAR(Inputs!$F$144)+Inputs!$F$152,1,1)-1))/Inputs!$F$27)-Inputs!$F$190,0))/100),0)</f>
        <v>11.3995068493151</v>
      </c>
      <c r="S284" s="20" t="n">
        <f aca="false">IF(Time!S$6&gt;=(DATE(YEAR(Inputs!$F$144)+Inputs!$F$151,1,1)-1),Inputs!$F$153/100*Inputs!$F$149*(1-(Inputs!$F$187*MIN(MAX(0,(Time!S$6-(DATE(YEAR(Inputs!$F$144)+Inputs!$F$151,1,1)-1))/Inputs!$F$27),1)+Inputs!$F$188*MIN(MAX(MAX(0,(Time!S$6-(DATE(YEAR(Inputs!$F$144)+Inputs!$F$151,1,1)-1))/Inputs!$F$27)-1,0),Inputs!$F$190-1)+Inputs!$F$189*MAX(MAX(0,(Time!S$6-(DATE(YEAR(Inputs!$F$144)+Inputs!$F$151,1,1)-1))/Inputs!$F$27)-Inputs!$F$190,0))/100),0)+IF(Time!S$6&gt;=(DATE(YEAR(Inputs!$F$144)+Inputs!$F$152,1,1)-1),Inputs!$F$153/100*Inputs!$F$149*(1-(Inputs!$F$187*MIN(MAX(0,(Time!S$6-(DATE(YEAR(Inputs!$F$144)+Inputs!$F$152,1,1)-1))/Inputs!$F$27),1)+Inputs!$F$188*MIN(MAX(MAX(0,(Time!S$6-(DATE(YEAR(Inputs!$F$144)+Inputs!$F$152,1,1)-1))/Inputs!$F$27)-1,0),Inputs!$F$190-1)+Inputs!$F$189*MAX(MAX(0,(Time!S$6-(DATE(YEAR(Inputs!$F$144)+Inputs!$F$152,1,1)-1))/Inputs!$F$27)-Inputs!$F$190,0))/100),0)</f>
        <v>23.2195068493151</v>
      </c>
      <c r="T284" s="20" t="n">
        <f aca="false">IF(Time!T$6&gt;=(DATE(YEAR(Inputs!$F$144)+Inputs!$F$151,1,1)-1),Inputs!$F$153/100*Inputs!$F$149*(1-(Inputs!$F$187*MIN(MAX(0,(Time!T$6-(DATE(YEAR(Inputs!$F$144)+Inputs!$F$151,1,1)-1))/Inputs!$F$27),1)+Inputs!$F$188*MIN(MAX(MAX(0,(Time!T$6-(DATE(YEAR(Inputs!$F$144)+Inputs!$F$151,1,1)-1))/Inputs!$F$27)-1,0),Inputs!$F$190-1)+Inputs!$F$189*MAX(MAX(0,(Time!T$6-(DATE(YEAR(Inputs!$F$144)+Inputs!$F$151,1,1)-1))/Inputs!$F$27)-Inputs!$F$190,0))/100),0)+IF(Time!T$6&gt;=(DATE(YEAR(Inputs!$F$144)+Inputs!$F$152,1,1)-1),Inputs!$F$153/100*Inputs!$F$149*(1-(Inputs!$F$187*MIN(MAX(0,(Time!T$6-(DATE(YEAR(Inputs!$F$144)+Inputs!$F$152,1,1)-1))/Inputs!$F$27),1)+Inputs!$F$188*MIN(MAX(MAX(0,(Time!T$6-(DATE(YEAR(Inputs!$F$144)+Inputs!$F$152,1,1)-1))/Inputs!$F$27)-1,0),Inputs!$F$190-1)+Inputs!$F$189*MAX(MAX(0,(Time!T$6-(DATE(YEAR(Inputs!$F$144)+Inputs!$F$152,1,1)-1))/Inputs!$F$27)-Inputs!$F$190,0))/100),0)</f>
        <v>22.7985205479452</v>
      </c>
      <c r="U284" s="20" t="n">
        <f aca="false">IF(Time!U$6&gt;=(DATE(YEAR(Inputs!$F$144)+Inputs!$F$151,1,1)-1),Inputs!$F$153/100*Inputs!$F$149*(1-(Inputs!$F$187*MIN(MAX(0,(Time!U$6-(DATE(YEAR(Inputs!$F$144)+Inputs!$F$151,1,1)-1))/Inputs!$F$27),1)+Inputs!$F$188*MIN(MAX(MAX(0,(Time!U$6-(DATE(YEAR(Inputs!$F$144)+Inputs!$F$151,1,1)-1))/Inputs!$F$27)-1,0),Inputs!$F$190-1)+Inputs!$F$189*MAX(MAX(0,(Time!U$6-(DATE(YEAR(Inputs!$F$144)+Inputs!$F$151,1,1)-1))/Inputs!$F$27)-Inputs!$F$190,0))/100),0)+IF(Time!U$6&gt;=(DATE(YEAR(Inputs!$F$144)+Inputs!$F$152,1,1)-1),Inputs!$F$153/100*Inputs!$F$149*(1-(Inputs!$F$187*MIN(MAX(0,(Time!U$6-(DATE(YEAR(Inputs!$F$144)+Inputs!$F$152,1,1)-1))/Inputs!$F$27),1)+Inputs!$F$188*MIN(MAX(MAX(0,(Time!U$6-(DATE(YEAR(Inputs!$F$144)+Inputs!$F$152,1,1)-1))/Inputs!$F$27)-1,0),Inputs!$F$190-1)+Inputs!$F$189*MAX(MAX(0,(Time!U$6-(DATE(YEAR(Inputs!$F$144)+Inputs!$F$152,1,1)-1))/Inputs!$F$27)-Inputs!$F$190,0))/100),0)</f>
        <v>22.4385205479452</v>
      </c>
      <c r="V284" s="20" t="n">
        <f aca="false">IF(Time!V$6&gt;=(DATE(YEAR(Inputs!$F$144)+Inputs!$F$151,1,1)-1),Inputs!$F$153/100*Inputs!$F$149*(1-(Inputs!$F$187*MIN(MAX(0,(Time!V$6-(DATE(YEAR(Inputs!$F$144)+Inputs!$F$151,1,1)-1))/Inputs!$F$27),1)+Inputs!$F$188*MIN(MAX(MAX(0,(Time!V$6-(DATE(YEAR(Inputs!$F$144)+Inputs!$F$151,1,1)-1))/Inputs!$F$27)-1,0),Inputs!$F$190-1)+Inputs!$F$189*MAX(MAX(0,(Time!V$6-(DATE(YEAR(Inputs!$F$144)+Inputs!$F$151,1,1)-1))/Inputs!$F$27)-Inputs!$F$190,0))/100),0)+IF(Time!V$6&gt;=(DATE(YEAR(Inputs!$F$144)+Inputs!$F$152,1,1)-1),Inputs!$F$153/100*Inputs!$F$149*(1-(Inputs!$F$187*MIN(MAX(0,(Time!V$6-(DATE(YEAR(Inputs!$F$144)+Inputs!$F$152,1,1)-1))/Inputs!$F$27),1)+Inputs!$F$188*MIN(MAX(MAX(0,(Time!V$6-(DATE(YEAR(Inputs!$F$144)+Inputs!$F$152,1,1)-1))/Inputs!$F$27)-1,0),Inputs!$F$190-1)+Inputs!$F$189*MAX(MAX(0,(Time!V$6-(DATE(YEAR(Inputs!$F$144)+Inputs!$F$152,1,1)-1))/Inputs!$F$27)-Inputs!$F$190,0))/100),0)</f>
        <v>22.0785205479452</v>
      </c>
      <c r="W284" s="20" t="n">
        <f aca="false">IF(Time!W$6&gt;=(DATE(YEAR(Inputs!$F$144)+Inputs!$F$151,1,1)-1),Inputs!$F$153/100*Inputs!$F$149*(1-(Inputs!$F$187*MIN(MAX(0,(Time!W$6-(DATE(YEAR(Inputs!$F$144)+Inputs!$F$151,1,1)-1))/Inputs!$F$27),1)+Inputs!$F$188*MIN(MAX(MAX(0,(Time!W$6-(DATE(YEAR(Inputs!$F$144)+Inputs!$F$151,1,1)-1))/Inputs!$F$27)-1,0),Inputs!$F$190-1)+Inputs!$F$189*MAX(MAX(0,(Time!W$6-(DATE(YEAR(Inputs!$F$144)+Inputs!$F$151,1,1)-1))/Inputs!$F$27)-Inputs!$F$190,0))/100),0)+IF(Time!W$6&gt;=(DATE(YEAR(Inputs!$F$144)+Inputs!$F$152,1,1)-1),Inputs!$F$153/100*Inputs!$F$149*(1-(Inputs!$F$187*MIN(MAX(0,(Time!W$6-(DATE(YEAR(Inputs!$F$144)+Inputs!$F$152,1,1)-1))/Inputs!$F$27),1)+Inputs!$F$188*MIN(MAX(MAX(0,(Time!W$6-(DATE(YEAR(Inputs!$F$144)+Inputs!$F$152,1,1)-1))/Inputs!$F$27)-1,0),Inputs!$F$190-1)+Inputs!$F$189*MAX(MAX(0,(Time!W$6-(DATE(YEAR(Inputs!$F$144)+Inputs!$F$152,1,1)-1))/Inputs!$F$27)-Inputs!$F$190,0))/100),0)</f>
        <v>21.7185205479452</v>
      </c>
      <c r="X284" s="20" t="n">
        <f aca="false">IF(Time!X$6&gt;=(DATE(YEAR(Inputs!$F$144)+Inputs!$F$151,1,1)-1),Inputs!$F$153/100*Inputs!$F$149*(1-(Inputs!$F$187*MIN(MAX(0,(Time!X$6-(DATE(YEAR(Inputs!$F$144)+Inputs!$F$151,1,1)-1))/Inputs!$F$27),1)+Inputs!$F$188*MIN(MAX(MAX(0,(Time!X$6-(DATE(YEAR(Inputs!$F$144)+Inputs!$F$151,1,1)-1))/Inputs!$F$27)-1,0),Inputs!$F$190-1)+Inputs!$F$189*MAX(MAX(0,(Time!X$6-(DATE(YEAR(Inputs!$F$144)+Inputs!$F$151,1,1)-1))/Inputs!$F$27)-Inputs!$F$190,0))/100),0)+IF(Time!X$6&gt;=(DATE(YEAR(Inputs!$F$144)+Inputs!$F$152,1,1)-1),Inputs!$F$153/100*Inputs!$F$149*(1-(Inputs!$F$187*MIN(MAX(0,(Time!X$6-(DATE(YEAR(Inputs!$F$144)+Inputs!$F$152,1,1)-1))/Inputs!$F$27),1)+Inputs!$F$188*MIN(MAX(MAX(0,(Time!X$6-(DATE(YEAR(Inputs!$F$144)+Inputs!$F$152,1,1)-1))/Inputs!$F$27)-1,0),Inputs!$F$190-1)+Inputs!$F$189*MAX(MAX(0,(Time!X$6-(DATE(YEAR(Inputs!$F$144)+Inputs!$F$152,1,1)-1))/Inputs!$F$27)-Inputs!$F$190,0))/100),0)</f>
        <v>21.3575342465753</v>
      </c>
      <c r="Y284" s="20" t="n">
        <f aca="false">IF(Time!Y$6&gt;=(DATE(YEAR(Inputs!$F$144)+Inputs!$F$151,1,1)-1),Inputs!$F$153/100*Inputs!$F$149*(1-(Inputs!$F$187*MIN(MAX(0,(Time!Y$6-(DATE(YEAR(Inputs!$F$144)+Inputs!$F$151,1,1)-1))/Inputs!$F$27),1)+Inputs!$F$188*MIN(MAX(MAX(0,(Time!Y$6-(DATE(YEAR(Inputs!$F$144)+Inputs!$F$151,1,1)-1))/Inputs!$F$27)-1,0),Inputs!$F$190-1)+Inputs!$F$189*MAX(MAX(0,(Time!Y$6-(DATE(YEAR(Inputs!$F$144)+Inputs!$F$151,1,1)-1))/Inputs!$F$27)-Inputs!$F$190,0))/100),0)+IF(Time!Y$6&gt;=(DATE(YEAR(Inputs!$F$144)+Inputs!$F$152,1,1)-1),Inputs!$F$153/100*Inputs!$F$149*(1-(Inputs!$F$187*MIN(MAX(0,(Time!Y$6-(DATE(YEAR(Inputs!$F$144)+Inputs!$F$152,1,1)-1))/Inputs!$F$27),1)+Inputs!$F$188*MIN(MAX(MAX(0,(Time!Y$6-(DATE(YEAR(Inputs!$F$144)+Inputs!$F$152,1,1)-1))/Inputs!$F$27)-1,0),Inputs!$F$190-1)+Inputs!$F$189*MAX(MAX(0,(Time!Y$6-(DATE(YEAR(Inputs!$F$144)+Inputs!$F$152,1,1)-1))/Inputs!$F$27)-Inputs!$F$190,0))/100),0)</f>
        <v>20.9980273972603</v>
      </c>
      <c r="Z284" s="20" t="n">
        <f aca="false">IF(Time!Z$6&gt;=(DATE(YEAR(Inputs!$F$144)+Inputs!$F$151,1,1)-1),Inputs!$F$153/100*Inputs!$F$149*(1-(Inputs!$F$187*MIN(MAX(0,(Time!Z$6-(DATE(YEAR(Inputs!$F$144)+Inputs!$F$151,1,1)-1))/Inputs!$F$27),1)+Inputs!$F$188*MIN(MAX(MAX(0,(Time!Z$6-(DATE(YEAR(Inputs!$F$144)+Inputs!$F$151,1,1)-1))/Inputs!$F$27)-1,0),Inputs!$F$190-1)+Inputs!$F$189*MAX(MAX(0,(Time!Z$6-(DATE(YEAR(Inputs!$F$144)+Inputs!$F$151,1,1)-1))/Inputs!$F$27)-Inputs!$F$190,0))/100),0)+IF(Time!Z$6&gt;=(DATE(YEAR(Inputs!$F$144)+Inputs!$F$152,1,1)-1),Inputs!$F$153/100*Inputs!$F$149*(1-(Inputs!$F$187*MIN(MAX(0,(Time!Z$6-(DATE(YEAR(Inputs!$F$144)+Inputs!$F$152,1,1)-1))/Inputs!$F$27),1)+Inputs!$F$188*MIN(MAX(MAX(0,(Time!Z$6-(DATE(YEAR(Inputs!$F$144)+Inputs!$F$152,1,1)-1))/Inputs!$F$27)-1,0),Inputs!$F$190-1)+Inputs!$F$189*MAX(MAX(0,(Time!Z$6-(DATE(YEAR(Inputs!$F$144)+Inputs!$F$152,1,1)-1))/Inputs!$F$27)-Inputs!$F$190,0))/100),0)</f>
        <v>20.6980273972603</v>
      </c>
      <c r="AA284" s="20" t="n">
        <f aca="false">IF(Time!AA$6&gt;=(DATE(YEAR(Inputs!$F$144)+Inputs!$F$151,1,1)-1),Inputs!$F$153/100*Inputs!$F$149*(1-(Inputs!$F$187*MIN(MAX(0,(Time!AA$6-(DATE(YEAR(Inputs!$F$144)+Inputs!$F$151,1,1)-1))/Inputs!$F$27),1)+Inputs!$F$188*MIN(MAX(MAX(0,(Time!AA$6-(DATE(YEAR(Inputs!$F$144)+Inputs!$F$151,1,1)-1))/Inputs!$F$27)-1,0),Inputs!$F$190-1)+Inputs!$F$189*MAX(MAX(0,(Time!AA$6-(DATE(YEAR(Inputs!$F$144)+Inputs!$F$151,1,1)-1))/Inputs!$F$27)-Inputs!$F$190,0))/100),0)+IF(Time!AA$6&gt;=(DATE(YEAR(Inputs!$F$144)+Inputs!$F$152,1,1)-1),Inputs!$F$153/100*Inputs!$F$149*(1-(Inputs!$F$187*MIN(MAX(0,(Time!AA$6-(DATE(YEAR(Inputs!$F$144)+Inputs!$F$152,1,1)-1))/Inputs!$F$27),1)+Inputs!$F$188*MIN(MAX(MAX(0,(Time!AA$6-(DATE(YEAR(Inputs!$F$144)+Inputs!$F$152,1,1)-1))/Inputs!$F$27)-1,0),Inputs!$F$190-1)+Inputs!$F$189*MAX(MAX(0,(Time!AA$6-(DATE(YEAR(Inputs!$F$144)+Inputs!$F$152,1,1)-1))/Inputs!$F$27)-Inputs!$F$190,0))/100),0)</f>
        <v>20.3980273972603</v>
      </c>
      <c r="AB284" s="20" t="n">
        <f aca="false">IF(Time!AB$6&gt;=(DATE(YEAR(Inputs!$F$144)+Inputs!$F$151,1,1)-1),Inputs!$F$153/100*Inputs!$F$149*(1-(Inputs!$F$187*MIN(MAX(0,(Time!AB$6-(DATE(YEAR(Inputs!$F$144)+Inputs!$F$151,1,1)-1))/Inputs!$F$27),1)+Inputs!$F$188*MIN(MAX(MAX(0,(Time!AB$6-(DATE(YEAR(Inputs!$F$144)+Inputs!$F$151,1,1)-1))/Inputs!$F$27)-1,0),Inputs!$F$190-1)+Inputs!$F$189*MAX(MAX(0,(Time!AB$6-(DATE(YEAR(Inputs!$F$144)+Inputs!$F$151,1,1)-1))/Inputs!$F$27)-Inputs!$F$190,0))/100),0)+IF(Time!AB$6&gt;=(DATE(YEAR(Inputs!$F$144)+Inputs!$F$152,1,1)-1),Inputs!$F$153/100*Inputs!$F$149*(1-(Inputs!$F$187*MIN(MAX(0,(Time!AB$6-(DATE(YEAR(Inputs!$F$144)+Inputs!$F$152,1,1)-1))/Inputs!$F$27),1)+Inputs!$F$188*MIN(MAX(MAX(0,(Time!AB$6-(DATE(YEAR(Inputs!$F$144)+Inputs!$F$152,1,1)-1))/Inputs!$F$27)-1,0),Inputs!$F$190-1)+Inputs!$F$189*MAX(MAX(0,(Time!AB$6-(DATE(YEAR(Inputs!$F$144)+Inputs!$F$152,1,1)-1))/Inputs!$F$27)-Inputs!$F$190,0))/100),0)</f>
        <v>20.0972054794521</v>
      </c>
      <c r="AC284" s="20" t="n">
        <f aca="false">IF(Time!AC$6&gt;=(DATE(YEAR(Inputs!$F$144)+Inputs!$F$151,1,1)-1),Inputs!$F$153/100*Inputs!$F$149*(1-(Inputs!$F$187*MIN(MAX(0,(Time!AC$6-(DATE(YEAR(Inputs!$F$144)+Inputs!$F$151,1,1)-1))/Inputs!$F$27),1)+Inputs!$F$188*MIN(MAX(MAX(0,(Time!AC$6-(DATE(YEAR(Inputs!$F$144)+Inputs!$F$151,1,1)-1))/Inputs!$F$27)-1,0),Inputs!$F$190-1)+Inputs!$F$189*MAX(MAX(0,(Time!AC$6-(DATE(YEAR(Inputs!$F$144)+Inputs!$F$151,1,1)-1))/Inputs!$F$27)-Inputs!$F$190,0))/100),0)+IF(Time!AC$6&gt;=(DATE(YEAR(Inputs!$F$144)+Inputs!$F$152,1,1)-1),Inputs!$F$153/100*Inputs!$F$149*(1-(Inputs!$F$187*MIN(MAX(0,(Time!AC$6-(DATE(YEAR(Inputs!$F$144)+Inputs!$F$152,1,1)-1))/Inputs!$F$27),1)+Inputs!$F$188*MIN(MAX(MAX(0,(Time!AC$6-(DATE(YEAR(Inputs!$F$144)+Inputs!$F$152,1,1)-1))/Inputs!$F$27)-1,0),Inputs!$F$190-1)+Inputs!$F$189*MAX(MAX(0,(Time!AC$6-(DATE(YEAR(Inputs!$F$144)+Inputs!$F$152,1,1)-1))/Inputs!$F$27)-Inputs!$F$190,0))/100),0)</f>
        <v>19.797698630137</v>
      </c>
      <c r="AD284" s="20" t="n">
        <f aca="false">IF(Time!AD$6&gt;=(DATE(YEAR(Inputs!$F$144)+Inputs!$F$151,1,1)-1),Inputs!$F$153/100*Inputs!$F$149*(1-(Inputs!$F$187*MIN(MAX(0,(Time!AD$6-(DATE(YEAR(Inputs!$F$144)+Inputs!$F$151,1,1)-1))/Inputs!$F$27),1)+Inputs!$F$188*MIN(MAX(MAX(0,(Time!AD$6-(DATE(YEAR(Inputs!$F$144)+Inputs!$F$151,1,1)-1))/Inputs!$F$27)-1,0),Inputs!$F$190-1)+Inputs!$F$189*MAX(MAX(0,(Time!AD$6-(DATE(YEAR(Inputs!$F$144)+Inputs!$F$151,1,1)-1))/Inputs!$F$27)-Inputs!$F$190,0))/100),0)+IF(Time!AD$6&gt;=(DATE(YEAR(Inputs!$F$144)+Inputs!$F$152,1,1)-1),Inputs!$F$153/100*Inputs!$F$149*(1-(Inputs!$F$187*MIN(MAX(0,(Time!AD$6-(DATE(YEAR(Inputs!$F$144)+Inputs!$F$152,1,1)-1))/Inputs!$F$27),1)+Inputs!$F$188*MIN(MAX(MAX(0,(Time!AD$6-(DATE(YEAR(Inputs!$F$144)+Inputs!$F$152,1,1)-1))/Inputs!$F$27)-1,0),Inputs!$F$190-1)+Inputs!$F$189*MAX(MAX(0,(Time!AD$6-(DATE(YEAR(Inputs!$F$144)+Inputs!$F$152,1,1)-1))/Inputs!$F$27)-Inputs!$F$190,0))/100),0)</f>
        <v>19.557698630137</v>
      </c>
      <c r="AE284" s="20" t="n">
        <f aca="false">IF(Time!AE$6&gt;=(DATE(YEAR(Inputs!$F$144)+Inputs!$F$151,1,1)-1),Inputs!$F$153/100*Inputs!$F$149*(1-(Inputs!$F$187*MIN(MAX(0,(Time!AE$6-(DATE(YEAR(Inputs!$F$144)+Inputs!$F$151,1,1)-1))/Inputs!$F$27),1)+Inputs!$F$188*MIN(MAX(MAX(0,(Time!AE$6-(DATE(YEAR(Inputs!$F$144)+Inputs!$F$151,1,1)-1))/Inputs!$F$27)-1,0),Inputs!$F$190-1)+Inputs!$F$189*MAX(MAX(0,(Time!AE$6-(DATE(YEAR(Inputs!$F$144)+Inputs!$F$151,1,1)-1))/Inputs!$F$27)-Inputs!$F$190,0))/100),0)+IF(Time!AE$6&gt;=(DATE(YEAR(Inputs!$F$144)+Inputs!$F$152,1,1)-1),Inputs!$F$153/100*Inputs!$F$149*(1-(Inputs!$F$187*MIN(MAX(0,(Time!AE$6-(DATE(YEAR(Inputs!$F$144)+Inputs!$F$152,1,1)-1))/Inputs!$F$27),1)+Inputs!$F$188*MIN(MAX(MAX(0,(Time!AE$6-(DATE(YEAR(Inputs!$F$144)+Inputs!$F$152,1,1)-1))/Inputs!$F$27)-1,0),Inputs!$F$190-1)+Inputs!$F$189*MAX(MAX(0,(Time!AE$6-(DATE(YEAR(Inputs!$F$144)+Inputs!$F$152,1,1)-1))/Inputs!$F$27)-Inputs!$F$190,0))/100),0)</f>
        <v>19.317698630137</v>
      </c>
      <c r="AF284" s="20" t="n">
        <f aca="false">IF(Time!AF$6&gt;=(DATE(YEAR(Inputs!$F$144)+Inputs!$F$151,1,1)-1),Inputs!$F$153/100*Inputs!$F$149*(1-(Inputs!$F$187*MIN(MAX(0,(Time!AF$6-(DATE(YEAR(Inputs!$F$144)+Inputs!$F$151,1,1)-1))/Inputs!$F$27),1)+Inputs!$F$188*MIN(MAX(MAX(0,(Time!AF$6-(DATE(YEAR(Inputs!$F$144)+Inputs!$F$151,1,1)-1))/Inputs!$F$27)-1,0),Inputs!$F$190-1)+Inputs!$F$189*MAX(MAX(0,(Time!AF$6-(DATE(YEAR(Inputs!$F$144)+Inputs!$F$151,1,1)-1))/Inputs!$F$27)-Inputs!$F$190,0))/100),0)+IF(Time!AF$6&gt;=(DATE(YEAR(Inputs!$F$144)+Inputs!$F$152,1,1)-1),Inputs!$F$153/100*Inputs!$F$149*(1-(Inputs!$F$187*MIN(MAX(0,(Time!AF$6-(DATE(YEAR(Inputs!$F$144)+Inputs!$F$152,1,1)-1))/Inputs!$F$27),1)+Inputs!$F$188*MIN(MAX(MAX(0,(Time!AF$6-(DATE(YEAR(Inputs!$F$144)+Inputs!$F$152,1,1)-1))/Inputs!$F$27)-1,0),Inputs!$F$190-1)+Inputs!$F$189*MAX(MAX(0,(Time!AF$6-(DATE(YEAR(Inputs!$F$144)+Inputs!$F$152,1,1)-1))/Inputs!$F$27)-Inputs!$F$190,0))/100),0)</f>
        <v>19.0770410958904</v>
      </c>
      <c r="AG284" s="20" t="n">
        <f aca="false">IF(Time!AG$6&gt;=(DATE(YEAR(Inputs!$F$144)+Inputs!$F$151,1,1)-1),Inputs!$F$153/100*Inputs!$F$149*(1-(Inputs!$F$187*MIN(MAX(0,(Time!AG$6-(DATE(YEAR(Inputs!$F$144)+Inputs!$F$151,1,1)-1))/Inputs!$F$27),1)+Inputs!$F$188*MIN(MAX(MAX(0,(Time!AG$6-(DATE(YEAR(Inputs!$F$144)+Inputs!$F$151,1,1)-1))/Inputs!$F$27)-1,0),Inputs!$F$190-1)+Inputs!$F$189*MAX(MAX(0,(Time!AG$6-(DATE(YEAR(Inputs!$F$144)+Inputs!$F$151,1,1)-1))/Inputs!$F$27)-Inputs!$F$190,0))/100),0)+IF(Time!AG$6&gt;=(DATE(YEAR(Inputs!$F$144)+Inputs!$F$152,1,1)-1),Inputs!$F$153/100*Inputs!$F$149*(1-(Inputs!$F$187*MIN(MAX(0,(Time!AG$6-(DATE(YEAR(Inputs!$F$144)+Inputs!$F$152,1,1)-1))/Inputs!$F$27),1)+Inputs!$F$188*MIN(MAX(MAX(0,(Time!AG$6-(DATE(YEAR(Inputs!$F$144)+Inputs!$F$152,1,1)-1))/Inputs!$F$27)-1,0),Inputs!$F$190-1)+Inputs!$F$189*MAX(MAX(0,(Time!AG$6-(DATE(YEAR(Inputs!$F$144)+Inputs!$F$152,1,1)-1))/Inputs!$F$27)-Inputs!$F$190,0))/100),0)</f>
        <v>18.8370410958904</v>
      </c>
      <c r="AH284" s="20" t="n">
        <f aca="false">IF(Time!AH$6&gt;=(DATE(YEAR(Inputs!$F$144)+Inputs!$F$151,1,1)-1),Inputs!$F$153/100*Inputs!$F$149*(1-(Inputs!$F$187*MIN(MAX(0,(Time!AH$6-(DATE(YEAR(Inputs!$F$144)+Inputs!$F$151,1,1)-1))/Inputs!$F$27),1)+Inputs!$F$188*MIN(MAX(MAX(0,(Time!AH$6-(DATE(YEAR(Inputs!$F$144)+Inputs!$F$151,1,1)-1))/Inputs!$F$27)-1,0),Inputs!$F$190-1)+Inputs!$F$189*MAX(MAX(0,(Time!AH$6-(DATE(YEAR(Inputs!$F$144)+Inputs!$F$151,1,1)-1))/Inputs!$F$27)-Inputs!$F$190,0))/100),0)+IF(Time!AH$6&gt;=(DATE(YEAR(Inputs!$F$144)+Inputs!$F$152,1,1)-1),Inputs!$F$153/100*Inputs!$F$149*(1-(Inputs!$F$187*MIN(MAX(0,(Time!AH$6-(DATE(YEAR(Inputs!$F$144)+Inputs!$F$152,1,1)-1))/Inputs!$F$27),1)+Inputs!$F$188*MIN(MAX(MAX(0,(Time!AH$6-(DATE(YEAR(Inputs!$F$144)+Inputs!$F$152,1,1)-1))/Inputs!$F$27)-1,0),Inputs!$F$190-1)+Inputs!$F$189*MAX(MAX(0,(Time!AH$6-(DATE(YEAR(Inputs!$F$144)+Inputs!$F$152,1,1)-1))/Inputs!$F$27)-Inputs!$F$190,0))/100),0)</f>
        <v>18.5970410958904</v>
      </c>
      <c r="AI284" s="20" t="n">
        <f aca="false">IF(Time!AI$6&gt;=(DATE(YEAR(Inputs!$F$144)+Inputs!$F$151,1,1)-1),Inputs!$F$153/100*Inputs!$F$149*(1-(Inputs!$F$187*MIN(MAX(0,(Time!AI$6-(DATE(YEAR(Inputs!$F$144)+Inputs!$F$151,1,1)-1))/Inputs!$F$27),1)+Inputs!$F$188*MIN(MAX(MAX(0,(Time!AI$6-(DATE(YEAR(Inputs!$F$144)+Inputs!$F$151,1,1)-1))/Inputs!$F$27)-1,0),Inputs!$F$190-1)+Inputs!$F$189*MAX(MAX(0,(Time!AI$6-(DATE(YEAR(Inputs!$F$144)+Inputs!$F$151,1,1)-1))/Inputs!$F$27)-Inputs!$F$190,0))/100),0)+IF(Time!AI$6&gt;=(DATE(YEAR(Inputs!$F$144)+Inputs!$F$152,1,1)-1),Inputs!$F$153/100*Inputs!$F$149*(1-(Inputs!$F$187*MIN(MAX(0,(Time!AI$6-(DATE(YEAR(Inputs!$F$144)+Inputs!$F$152,1,1)-1))/Inputs!$F$27),1)+Inputs!$F$188*MIN(MAX(MAX(0,(Time!AI$6-(DATE(YEAR(Inputs!$F$144)+Inputs!$F$152,1,1)-1))/Inputs!$F$27)-1,0),Inputs!$F$190-1)+Inputs!$F$189*MAX(MAX(0,(Time!AI$6-(DATE(YEAR(Inputs!$F$144)+Inputs!$F$152,1,1)-1))/Inputs!$F$27)-Inputs!$F$190,0))/100),0)</f>
        <v>18.3570410958904</v>
      </c>
      <c r="AJ284" s="20" t="n">
        <f aca="false">IF(Time!AJ$6&gt;=(DATE(YEAR(Inputs!$F$144)+Inputs!$F$151,1,1)-1),Inputs!$F$153/100*Inputs!$F$149*(1-(Inputs!$F$187*MIN(MAX(0,(Time!AJ$6-(DATE(YEAR(Inputs!$F$144)+Inputs!$F$151,1,1)-1))/Inputs!$F$27),1)+Inputs!$F$188*MIN(MAX(MAX(0,(Time!AJ$6-(DATE(YEAR(Inputs!$F$144)+Inputs!$F$151,1,1)-1))/Inputs!$F$27)-1,0),Inputs!$F$190-1)+Inputs!$F$189*MAX(MAX(0,(Time!AJ$6-(DATE(YEAR(Inputs!$F$144)+Inputs!$F$151,1,1)-1))/Inputs!$F$27)-Inputs!$F$190,0))/100),0)+IF(Time!AJ$6&gt;=(DATE(YEAR(Inputs!$F$144)+Inputs!$F$152,1,1)-1),Inputs!$F$153/100*Inputs!$F$149*(1-(Inputs!$F$187*MIN(MAX(0,(Time!AJ$6-(DATE(YEAR(Inputs!$F$144)+Inputs!$F$152,1,1)-1))/Inputs!$F$27),1)+Inputs!$F$188*MIN(MAX(MAX(0,(Time!AJ$6-(DATE(YEAR(Inputs!$F$144)+Inputs!$F$152,1,1)-1))/Inputs!$F$27)-1,0),Inputs!$F$190-1)+Inputs!$F$189*MAX(MAX(0,(Time!AJ$6-(DATE(YEAR(Inputs!$F$144)+Inputs!$F$152,1,1)-1))/Inputs!$F$27)-Inputs!$F$190,0))/100),0)</f>
        <v>18.1163835616438</v>
      </c>
      <c r="AK284" s="20" t="n">
        <f aca="false">IF(Time!AK$6&gt;=(DATE(YEAR(Inputs!$F$144)+Inputs!$F$151,1,1)-1),Inputs!$F$153/100*Inputs!$F$149*(1-(Inputs!$F$187*MIN(MAX(0,(Time!AK$6-(DATE(YEAR(Inputs!$F$144)+Inputs!$F$151,1,1)-1))/Inputs!$F$27),1)+Inputs!$F$188*MIN(MAX(MAX(0,(Time!AK$6-(DATE(YEAR(Inputs!$F$144)+Inputs!$F$151,1,1)-1))/Inputs!$F$27)-1,0),Inputs!$F$190-1)+Inputs!$F$189*MAX(MAX(0,(Time!AK$6-(DATE(YEAR(Inputs!$F$144)+Inputs!$F$151,1,1)-1))/Inputs!$F$27)-Inputs!$F$190,0))/100),0)+IF(Time!AK$6&gt;=(DATE(YEAR(Inputs!$F$144)+Inputs!$F$152,1,1)-1),Inputs!$F$153/100*Inputs!$F$149*(1-(Inputs!$F$187*MIN(MAX(0,(Time!AK$6-(DATE(YEAR(Inputs!$F$144)+Inputs!$F$152,1,1)-1))/Inputs!$F$27),1)+Inputs!$F$188*MIN(MAX(MAX(0,(Time!AK$6-(DATE(YEAR(Inputs!$F$144)+Inputs!$F$152,1,1)-1))/Inputs!$F$27)-1,0),Inputs!$F$190-1)+Inputs!$F$189*MAX(MAX(0,(Time!AK$6-(DATE(YEAR(Inputs!$F$144)+Inputs!$F$152,1,1)-1))/Inputs!$F$27)-Inputs!$F$190,0))/100),0)</f>
        <v>17.8763835616438</v>
      </c>
      <c r="AL284" s="20" t="n">
        <f aca="false">IF(Time!AL$6&gt;=(DATE(YEAR(Inputs!$F$144)+Inputs!$F$151,1,1)-1),Inputs!$F$153/100*Inputs!$F$149*(1-(Inputs!$F$187*MIN(MAX(0,(Time!AL$6-(DATE(YEAR(Inputs!$F$144)+Inputs!$F$151,1,1)-1))/Inputs!$F$27),1)+Inputs!$F$188*MIN(MAX(MAX(0,(Time!AL$6-(DATE(YEAR(Inputs!$F$144)+Inputs!$F$151,1,1)-1))/Inputs!$F$27)-1,0),Inputs!$F$190-1)+Inputs!$F$189*MAX(MAX(0,(Time!AL$6-(DATE(YEAR(Inputs!$F$144)+Inputs!$F$151,1,1)-1))/Inputs!$F$27)-Inputs!$F$190,0))/100),0)+IF(Time!AL$6&gt;=(DATE(YEAR(Inputs!$F$144)+Inputs!$F$152,1,1)-1),Inputs!$F$153/100*Inputs!$F$149*(1-(Inputs!$F$187*MIN(MAX(0,(Time!AL$6-(DATE(YEAR(Inputs!$F$144)+Inputs!$F$152,1,1)-1))/Inputs!$F$27),1)+Inputs!$F$188*MIN(MAX(MAX(0,(Time!AL$6-(DATE(YEAR(Inputs!$F$144)+Inputs!$F$152,1,1)-1))/Inputs!$F$27)-1,0),Inputs!$F$190-1)+Inputs!$F$189*MAX(MAX(0,(Time!AL$6-(DATE(YEAR(Inputs!$F$144)+Inputs!$F$152,1,1)-1))/Inputs!$F$27)-Inputs!$F$190,0))/100),0)</f>
        <v>17.6363835616438</v>
      </c>
      <c r="AM284" s="20" t="n">
        <f aca="false">IF(Time!AM$6&gt;=(DATE(YEAR(Inputs!$F$144)+Inputs!$F$151,1,1)-1),Inputs!$F$153/100*Inputs!$F$149*(1-(Inputs!$F$187*MIN(MAX(0,(Time!AM$6-(DATE(YEAR(Inputs!$F$144)+Inputs!$F$151,1,1)-1))/Inputs!$F$27),1)+Inputs!$F$188*MIN(MAX(MAX(0,(Time!AM$6-(DATE(YEAR(Inputs!$F$144)+Inputs!$F$151,1,1)-1))/Inputs!$F$27)-1,0),Inputs!$F$190-1)+Inputs!$F$189*MAX(MAX(0,(Time!AM$6-(DATE(YEAR(Inputs!$F$144)+Inputs!$F$151,1,1)-1))/Inputs!$F$27)-Inputs!$F$190,0))/100),0)+IF(Time!AM$6&gt;=(DATE(YEAR(Inputs!$F$144)+Inputs!$F$152,1,1)-1),Inputs!$F$153/100*Inputs!$F$149*(1-(Inputs!$F$187*MIN(MAX(0,(Time!AM$6-(DATE(YEAR(Inputs!$F$144)+Inputs!$F$152,1,1)-1))/Inputs!$F$27),1)+Inputs!$F$188*MIN(MAX(MAX(0,(Time!AM$6-(DATE(YEAR(Inputs!$F$144)+Inputs!$F$152,1,1)-1))/Inputs!$F$27)-1,0),Inputs!$F$190-1)+Inputs!$F$189*MAX(MAX(0,(Time!AM$6-(DATE(YEAR(Inputs!$F$144)+Inputs!$F$152,1,1)-1))/Inputs!$F$27)-Inputs!$F$190,0))/100),0)</f>
        <v>17.3963835616438</v>
      </c>
      <c r="AN284" s="20" t="n">
        <f aca="false">IF(Time!AN$6&gt;=(DATE(YEAR(Inputs!$F$144)+Inputs!$F$151,1,1)-1),Inputs!$F$153/100*Inputs!$F$149*(1-(Inputs!$F$187*MIN(MAX(0,(Time!AN$6-(DATE(YEAR(Inputs!$F$144)+Inputs!$F$151,1,1)-1))/Inputs!$F$27),1)+Inputs!$F$188*MIN(MAX(MAX(0,(Time!AN$6-(DATE(YEAR(Inputs!$F$144)+Inputs!$F$151,1,1)-1))/Inputs!$F$27)-1,0),Inputs!$F$190-1)+Inputs!$F$189*MAX(MAX(0,(Time!AN$6-(DATE(YEAR(Inputs!$F$144)+Inputs!$F$151,1,1)-1))/Inputs!$F$27)-Inputs!$F$190,0))/100),0)+IF(Time!AN$6&gt;=(DATE(YEAR(Inputs!$F$144)+Inputs!$F$152,1,1)-1),Inputs!$F$153/100*Inputs!$F$149*(1-(Inputs!$F$187*MIN(MAX(0,(Time!AN$6-(DATE(YEAR(Inputs!$F$144)+Inputs!$F$152,1,1)-1))/Inputs!$F$27),1)+Inputs!$F$188*MIN(MAX(MAX(0,(Time!AN$6-(DATE(YEAR(Inputs!$F$144)+Inputs!$F$152,1,1)-1))/Inputs!$F$27)-1,0),Inputs!$F$190-1)+Inputs!$F$189*MAX(MAX(0,(Time!AN$6-(DATE(YEAR(Inputs!$F$144)+Inputs!$F$152,1,1)-1))/Inputs!$F$27)-Inputs!$F$190,0))/100),0)</f>
        <v>17.1557260273973</v>
      </c>
      <c r="AO284" s="20" t="n">
        <f aca="false">IF(Time!AO$6&gt;=(DATE(YEAR(Inputs!$F$144)+Inputs!$F$151,1,1)-1),Inputs!$F$153/100*Inputs!$F$149*(1-(Inputs!$F$187*MIN(MAX(0,(Time!AO$6-(DATE(YEAR(Inputs!$F$144)+Inputs!$F$151,1,1)-1))/Inputs!$F$27),1)+Inputs!$F$188*MIN(MAX(MAX(0,(Time!AO$6-(DATE(YEAR(Inputs!$F$144)+Inputs!$F$151,1,1)-1))/Inputs!$F$27)-1,0),Inputs!$F$190-1)+Inputs!$F$189*MAX(MAX(0,(Time!AO$6-(DATE(YEAR(Inputs!$F$144)+Inputs!$F$151,1,1)-1))/Inputs!$F$27)-Inputs!$F$190,0))/100),0)+IF(Time!AO$6&gt;=(DATE(YEAR(Inputs!$F$144)+Inputs!$F$152,1,1)-1),Inputs!$F$153/100*Inputs!$F$149*(1-(Inputs!$F$187*MIN(MAX(0,(Time!AO$6-(DATE(YEAR(Inputs!$F$144)+Inputs!$F$152,1,1)-1))/Inputs!$F$27),1)+Inputs!$F$188*MIN(MAX(MAX(0,(Time!AO$6-(DATE(YEAR(Inputs!$F$144)+Inputs!$F$152,1,1)-1))/Inputs!$F$27)-1,0),Inputs!$F$190-1)+Inputs!$F$189*MAX(MAX(0,(Time!AO$6-(DATE(YEAR(Inputs!$F$144)+Inputs!$F$152,1,1)-1))/Inputs!$F$27)-Inputs!$F$190,0))/100),0)</f>
        <v>16.9157260273973</v>
      </c>
      <c r="AP284" s="20" t="n">
        <f aca="false">IF(Time!AP$6&gt;=(DATE(YEAR(Inputs!$F$144)+Inputs!$F$151,1,1)-1),Inputs!$F$153/100*Inputs!$F$149*(1-(Inputs!$F$187*MIN(MAX(0,(Time!AP$6-(DATE(YEAR(Inputs!$F$144)+Inputs!$F$151,1,1)-1))/Inputs!$F$27),1)+Inputs!$F$188*MIN(MAX(MAX(0,(Time!AP$6-(DATE(YEAR(Inputs!$F$144)+Inputs!$F$151,1,1)-1))/Inputs!$F$27)-1,0),Inputs!$F$190-1)+Inputs!$F$189*MAX(MAX(0,(Time!AP$6-(DATE(YEAR(Inputs!$F$144)+Inputs!$F$151,1,1)-1))/Inputs!$F$27)-Inputs!$F$190,0))/100),0)+IF(Time!AP$6&gt;=(DATE(YEAR(Inputs!$F$144)+Inputs!$F$152,1,1)-1),Inputs!$F$153/100*Inputs!$F$149*(1-(Inputs!$F$187*MIN(MAX(0,(Time!AP$6-(DATE(YEAR(Inputs!$F$144)+Inputs!$F$152,1,1)-1))/Inputs!$F$27),1)+Inputs!$F$188*MIN(MAX(MAX(0,(Time!AP$6-(DATE(YEAR(Inputs!$F$144)+Inputs!$F$152,1,1)-1))/Inputs!$F$27)-1,0),Inputs!$F$190-1)+Inputs!$F$189*MAX(MAX(0,(Time!AP$6-(DATE(YEAR(Inputs!$F$144)+Inputs!$F$152,1,1)-1))/Inputs!$F$27)-Inputs!$F$190,0))/100),0)</f>
        <v>16.6757260273973</v>
      </c>
      <c r="AQ284" s="20" t="n">
        <f aca="false">IF(Time!AQ$6&gt;=(DATE(YEAR(Inputs!$F$144)+Inputs!$F$151,1,1)-1),Inputs!$F$153/100*Inputs!$F$149*(1-(Inputs!$F$187*MIN(MAX(0,(Time!AQ$6-(DATE(YEAR(Inputs!$F$144)+Inputs!$F$151,1,1)-1))/Inputs!$F$27),1)+Inputs!$F$188*MIN(MAX(MAX(0,(Time!AQ$6-(DATE(YEAR(Inputs!$F$144)+Inputs!$F$151,1,1)-1))/Inputs!$F$27)-1,0),Inputs!$F$190-1)+Inputs!$F$189*MAX(MAX(0,(Time!AQ$6-(DATE(YEAR(Inputs!$F$144)+Inputs!$F$151,1,1)-1))/Inputs!$F$27)-Inputs!$F$190,0))/100),0)+IF(Time!AQ$6&gt;=(DATE(YEAR(Inputs!$F$144)+Inputs!$F$152,1,1)-1),Inputs!$F$153/100*Inputs!$F$149*(1-(Inputs!$F$187*MIN(MAX(0,(Time!AQ$6-(DATE(YEAR(Inputs!$F$144)+Inputs!$F$152,1,1)-1))/Inputs!$F$27),1)+Inputs!$F$188*MIN(MAX(MAX(0,(Time!AQ$6-(DATE(YEAR(Inputs!$F$144)+Inputs!$F$152,1,1)-1))/Inputs!$F$27)-1,0),Inputs!$F$190-1)+Inputs!$F$189*MAX(MAX(0,(Time!AQ$6-(DATE(YEAR(Inputs!$F$144)+Inputs!$F$152,1,1)-1))/Inputs!$F$27)-Inputs!$F$190,0))/100),0)</f>
        <v>16.4357260273973</v>
      </c>
      <c r="AR284" s="20" t="n">
        <f aca="false">IF(Time!AR$6&gt;=(DATE(YEAR(Inputs!$F$144)+Inputs!$F$151,1,1)-1),Inputs!$F$153/100*Inputs!$F$149*(1-(Inputs!$F$187*MIN(MAX(0,(Time!AR$6-(DATE(YEAR(Inputs!$F$144)+Inputs!$F$151,1,1)-1))/Inputs!$F$27),1)+Inputs!$F$188*MIN(MAX(MAX(0,(Time!AR$6-(DATE(YEAR(Inputs!$F$144)+Inputs!$F$151,1,1)-1))/Inputs!$F$27)-1,0),Inputs!$F$190-1)+Inputs!$F$189*MAX(MAX(0,(Time!AR$6-(DATE(YEAR(Inputs!$F$144)+Inputs!$F$151,1,1)-1))/Inputs!$F$27)-Inputs!$F$190,0))/100),0)+IF(Time!AR$6&gt;=(DATE(YEAR(Inputs!$F$144)+Inputs!$F$152,1,1)-1),Inputs!$F$153/100*Inputs!$F$149*(1-(Inputs!$F$187*MIN(MAX(0,(Time!AR$6-(DATE(YEAR(Inputs!$F$144)+Inputs!$F$152,1,1)-1))/Inputs!$F$27),1)+Inputs!$F$188*MIN(MAX(MAX(0,(Time!AR$6-(DATE(YEAR(Inputs!$F$144)+Inputs!$F$152,1,1)-1))/Inputs!$F$27)-1,0),Inputs!$F$190-1)+Inputs!$F$189*MAX(MAX(0,(Time!AR$6-(DATE(YEAR(Inputs!$F$144)+Inputs!$F$152,1,1)-1))/Inputs!$F$27)-Inputs!$F$190,0))/100),0)</f>
        <v>16.1950684931507</v>
      </c>
      <c r="AS284" s="20" t="n">
        <f aca="false">IF(Time!AS$6&gt;=(DATE(YEAR(Inputs!$F$144)+Inputs!$F$151,1,1)-1),Inputs!$F$153/100*Inputs!$F$149*(1-(Inputs!$F$187*MIN(MAX(0,(Time!AS$6-(DATE(YEAR(Inputs!$F$144)+Inputs!$F$151,1,1)-1))/Inputs!$F$27),1)+Inputs!$F$188*MIN(MAX(MAX(0,(Time!AS$6-(DATE(YEAR(Inputs!$F$144)+Inputs!$F$151,1,1)-1))/Inputs!$F$27)-1,0),Inputs!$F$190-1)+Inputs!$F$189*MAX(MAX(0,(Time!AS$6-(DATE(YEAR(Inputs!$F$144)+Inputs!$F$151,1,1)-1))/Inputs!$F$27)-Inputs!$F$190,0))/100),0)+IF(Time!AS$6&gt;=(DATE(YEAR(Inputs!$F$144)+Inputs!$F$152,1,1)-1),Inputs!$F$153/100*Inputs!$F$149*(1-(Inputs!$F$187*MIN(MAX(0,(Time!AS$6-(DATE(YEAR(Inputs!$F$144)+Inputs!$F$152,1,1)-1))/Inputs!$F$27),1)+Inputs!$F$188*MIN(MAX(MAX(0,(Time!AS$6-(DATE(YEAR(Inputs!$F$144)+Inputs!$F$152,1,1)-1))/Inputs!$F$27)-1,0),Inputs!$F$190-1)+Inputs!$F$189*MAX(MAX(0,(Time!AS$6-(DATE(YEAR(Inputs!$F$144)+Inputs!$F$152,1,1)-1))/Inputs!$F$27)-Inputs!$F$190,0))/100),0)</f>
        <v>15.9550684931507</v>
      </c>
      <c r="AT284" s="20" t="n">
        <f aca="false">IF(Time!AT$6&gt;=(DATE(YEAR(Inputs!$F$144)+Inputs!$F$151,1,1)-1),Inputs!$F$153/100*Inputs!$F$149*(1-(Inputs!$F$187*MIN(MAX(0,(Time!AT$6-(DATE(YEAR(Inputs!$F$144)+Inputs!$F$151,1,1)-1))/Inputs!$F$27),1)+Inputs!$F$188*MIN(MAX(MAX(0,(Time!AT$6-(DATE(YEAR(Inputs!$F$144)+Inputs!$F$151,1,1)-1))/Inputs!$F$27)-1,0),Inputs!$F$190-1)+Inputs!$F$189*MAX(MAX(0,(Time!AT$6-(DATE(YEAR(Inputs!$F$144)+Inputs!$F$151,1,1)-1))/Inputs!$F$27)-Inputs!$F$190,0))/100),0)+IF(Time!AT$6&gt;=(DATE(YEAR(Inputs!$F$144)+Inputs!$F$152,1,1)-1),Inputs!$F$153/100*Inputs!$F$149*(1-(Inputs!$F$187*MIN(MAX(0,(Time!AT$6-(DATE(YEAR(Inputs!$F$144)+Inputs!$F$152,1,1)-1))/Inputs!$F$27),1)+Inputs!$F$188*MIN(MAX(MAX(0,(Time!AT$6-(DATE(YEAR(Inputs!$F$144)+Inputs!$F$152,1,1)-1))/Inputs!$F$27)-1,0),Inputs!$F$190-1)+Inputs!$F$189*MAX(MAX(0,(Time!AT$6-(DATE(YEAR(Inputs!$F$144)+Inputs!$F$152,1,1)-1))/Inputs!$F$27)-Inputs!$F$190,0))/100),0)</f>
        <v>15.7150684931507</v>
      </c>
      <c r="AU284" s="20" t="n">
        <f aca="false">IF(Time!AU$6&gt;=(DATE(YEAR(Inputs!$F$144)+Inputs!$F$151,1,1)-1),Inputs!$F$153/100*Inputs!$F$149*(1-(Inputs!$F$187*MIN(MAX(0,(Time!AU$6-(DATE(YEAR(Inputs!$F$144)+Inputs!$F$151,1,1)-1))/Inputs!$F$27),1)+Inputs!$F$188*MIN(MAX(MAX(0,(Time!AU$6-(DATE(YEAR(Inputs!$F$144)+Inputs!$F$151,1,1)-1))/Inputs!$F$27)-1,0),Inputs!$F$190-1)+Inputs!$F$189*MAX(MAX(0,(Time!AU$6-(DATE(YEAR(Inputs!$F$144)+Inputs!$F$151,1,1)-1))/Inputs!$F$27)-Inputs!$F$190,0))/100),0)+IF(Time!AU$6&gt;=(DATE(YEAR(Inputs!$F$144)+Inputs!$F$152,1,1)-1),Inputs!$F$153/100*Inputs!$F$149*(1-(Inputs!$F$187*MIN(MAX(0,(Time!AU$6-(DATE(YEAR(Inputs!$F$144)+Inputs!$F$152,1,1)-1))/Inputs!$F$27),1)+Inputs!$F$188*MIN(MAX(MAX(0,(Time!AU$6-(DATE(YEAR(Inputs!$F$144)+Inputs!$F$152,1,1)-1))/Inputs!$F$27)-1,0),Inputs!$F$190-1)+Inputs!$F$189*MAX(MAX(0,(Time!AU$6-(DATE(YEAR(Inputs!$F$144)+Inputs!$F$152,1,1)-1))/Inputs!$F$27)-Inputs!$F$190,0))/100),0)</f>
        <v>15.4750684931507</v>
      </c>
    </row>
    <row r="285" customFormat="false" ht="15" hidden="false" customHeight="false" outlineLevel="0" collapsed="false">
      <c r="D285" s="0" t="s">
        <v>680</v>
      </c>
      <c r="E285" s="0" t="s">
        <v>176</v>
      </c>
      <c r="J285" s="20" t="n">
        <f aca="false">Operations!J283+Operations!J284</f>
        <v>216</v>
      </c>
      <c r="K285" s="20" t="n">
        <f aca="false">Operations!K283+Operations!K284</f>
        <v>213.987945205479</v>
      </c>
      <c r="L285" s="20" t="n">
        <f aca="false">Operations!L283+Operations!L284</f>
        <v>210.162082191781</v>
      </c>
      <c r="M285" s="20" t="n">
        <f aca="false">Operations!M283+Operations!M284</f>
        <v>206.922082191781</v>
      </c>
      <c r="N285" s="20" t="n">
        <f aca="false">Operations!N283+Operations!N284</f>
        <v>203.682082191781</v>
      </c>
      <c r="O285" s="20" t="n">
        <f aca="false">Operations!O283+Operations!O284</f>
        <v>212.442082191781</v>
      </c>
      <c r="P285" s="20" t="n">
        <f aca="false">Operations!P283+Operations!P284</f>
        <v>208.952712328767</v>
      </c>
      <c r="Q285" s="20" t="n">
        <f aca="false">Operations!Q283+Operations!Q284</f>
        <v>205.532712328767</v>
      </c>
      <c r="R285" s="20" t="n">
        <f aca="false">Operations!R283+Operations!R284</f>
        <v>202.112712328767</v>
      </c>
      <c r="S285" s="20" t="n">
        <f aca="false">Operations!S283+Operations!S284</f>
        <v>210.692712328767</v>
      </c>
      <c r="T285" s="20" t="n">
        <f aca="false">Operations!T283+Operations!T284</f>
        <v>207.022849315069</v>
      </c>
      <c r="U285" s="20" t="n">
        <f aca="false">Operations!U283+Operations!U284</f>
        <v>203.934739726027</v>
      </c>
      <c r="V285" s="20" t="n">
        <f aca="false">Operations!V283+Operations!V284</f>
        <v>201.414739726027</v>
      </c>
      <c r="W285" s="20" t="n">
        <f aca="false">Operations!W283+Operations!W284</f>
        <v>198.894739726027</v>
      </c>
      <c r="X285" s="20" t="n">
        <f aca="false">Operations!X283+Operations!X284</f>
        <v>196.367835616438</v>
      </c>
      <c r="Y285" s="20" t="n">
        <f aca="false">Operations!Y283+Operations!Y284</f>
        <v>193.848328767123</v>
      </c>
      <c r="Z285" s="20" t="n">
        <f aca="false">Operations!Z283+Operations!Z284</f>
        <v>191.388328767123</v>
      </c>
      <c r="AA285" s="20" t="n">
        <f aca="false">Operations!AA283+Operations!AA284</f>
        <v>188.928328767123</v>
      </c>
      <c r="AB285" s="20" t="n">
        <f aca="false">Operations!AB283+Operations!AB284</f>
        <v>186.461589041096</v>
      </c>
      <c r="AC285" s="20" t="n">
        <f aca="false">Operations!AC283+Operations!AC284</f>
        <v>184.002082191781</v>
      </c>
      <c r="AD285" s="20" t="n">
        <f aca="false">Operations!AD283+Operations!AD284</f>
        <v>181.602082191781</v>
      </c>
      <c r="AE285" s="20" t="n">
        <f aca="false">Operations!AE283+Operations!AE284</f>
        <v>179.202082191781</v>
      </c>
      <c r="AF285" s="20" t="n">
        <f aca="false">Operations!AF283+Operations!AF284</f>
        <v>176.795506849315</v>
      </c>
      <c r="AG285" s="20" t="n">
        <f aca="false">Operations!AG283+Operations!AG284</f>
        <v>174.395506849315</v>
      </c>
      <c r="AH285" s="20" t="n">
        <f aca="false">Operations!AH283+Operations!AH284</f>
        <v>171.995506849315</v>
      </c>
      <c r="AI285" s="20" t="n">
        <f aca="false">Operations!AI283+Operations!AI284</f>
        <v>169.595506849315</v>
      </c>
      <c r="AJ285" s="20" t="n">
        <f aca="false">Operations!AJ283+Operations!AJ284</f>
        <v>167.188931506849</v>
      </c>
      <c r="AK285" s="20" t="n">
        <f aca="false">Operations!AK283+Operations!AK284</f>
        <v>164.788931506849</v>
      </c>
      <c r="AL285" s="20" t="n">
        <f aca="false">Operations!AL283+Operations!AL284</f>
        <v>162.388931506849</v>
      </c>
      <c r="AM285" s="20" t="n">
        <f aca="false">Operations!AM283+Operations!AM284</f>
        <v>159.988931506849</v>
      </c>
      <c r="AN285" s="20" t="n">
        <f aca="false">Operations!AN283+Operations!AN284</f>
        <v>157.582356164384</v>
      </c>
      <c r="AO285" s="20" t="n">
        <f aca="false">Operations!AO283+Operations!AO284</f>
        <v>155.182356164384</v>
      </c>
      <c r="AP285" s="20" t="n">
        <f aca="false">Operations!AP283+Operations!AP284</f>
        <v>152.782356164384</v>
      </c>
      <c r="AQ285" s="20" t="n">
        <f aca="false">Operations!AQ283+Operations!AQ284</f>
        <v>150.382356164384</v>
      </c>
      <c r="AR285" s="20" t="n">
        <f aca="false">Operations!AR283+Operations!AR284</f>
        <v>147.975780821918</v>
      </c>
      <c r="AS285" s="20" t="n">
        <f aca="false">Operations!AS283+Operations!AS284</f>
        <v>145.575780821918</v>
      </c>
      <c r="AT285" s="20" t="n">
        <f aca="false">Operations!AT283+Operations!AT284</f>
        <v>143.175780821918</v>
      </c>
      <c r="AU285" s="20" t="n">
        <f aca="false">Operations!AU283+Operations!AU284</f>
        <v>140.775780821918</v>
      </c>
    </row>
    <row r="286" customFormat="false" ht="15" hidden="false" customHeight="false" outlineLevel="0" collapsed="false">
      <c r="D286" s="0" t="s">
        <v>681</v>
      </c>
      <c r="E286" s="0" t="s">
        <v>176</v>
      </c>
      <c r="J286" s="20" t="n">
        <f aca="false">(Operations!J282+Operations!J285)/2</f>
        <v>216</v>
      </c>
      <c r="K286" s="20" t="n">
        <f aca="false">(Operations!K282+Operations!K285)/2</f>
        <v>214.99397260274</v>
      </c>
      <c r="L286" s="20" t="n">
        <f aca="false">(Operations!L282+Operations!L285)/2</f>
        <v>212.07501369863</v>
      </c>
      <c r="M286" s="20" t="n">
        <f aca="false">(Operations!M282+Operations!M285)/2</f>
        <v>208.542082191781</v>
      </c>
      <c r="N286" s="20" t="n">
        <f aca="false">(Operations!N282+Operations!N285)/2</f>
        <v>205.302082191781</v>
      </c>
      <c r="O286" s="20" t="n">
        <f aca="false">(Operations!O282+Operations!O285)/2</f>
        <v>208.062082191781</v>
      </c>
      <c r="P286" s="20" t="n">
        <f aca="false">(Operations!P282+Operations!P285)/2</f>
        <v>210.697397260274</v>
      </c>
      <c r="Q286" s="20" t="n">
        <f aca="false">(Operations!Q282+Operations!Q285)/2</f>
        <v>207.242712328767</v>
      </c>
      <c r="R286" s="20" t="n">
        <f aca="false">(Operations!R282+Operations!R285)/2</f>
        <v>203.822712328767</v>
      </c>
      <c r="S286" s="20" t="n">
        <f aca="false">(Operations!S282+Operations!S285)/2</f>
        <v>206.402712328767</v>
      </c>
      <c r="T286" s="20" t="n">
        <f aca="false">(Operations!T282+Operations!T285)/2</f>
        <v>208.857780821918</v>
      </c>
      <c r="U286" s="20" t="n">
        <f aca="false">(Operations!U282+Operations!U285)/2</f>
        <v>205.478794520548</v>
      </c>
      <c r="V286" s="20" t="n">
        <f aca="false">(Operations!V282+Operations!V285)/2</f>
        <v>202.674739726027</v>
      </c>
      <c r="W286" s="20" t="n">
        <f aca="false">(Operations!W282+Operations!W285)/2</f>
        <v>200.154739726027</v>
      </c>
      <c r="X286" s="20" t="n">
        <f aca="false">(Operations!X282+Operations!X285)/2</f>
        <v>197.631287671233</v>
      </c>
      <c r="Y286" s="20" t="n">
        <f aca="false">(Operations!Y282+Operations!Y285)/2</f>
        <v>195.108082191781</v>
      </c>
      <c r="Z286" s="20" t="n">
        <f aca="false">(Operations!Z282+Operations!Z285)/2</f>
        <v>192.618328767123</v>
      </c>
      <c r="AA286" s="20" t="n">
        <f aca="false">(Operations!AA282+Operations!AA285)/2</f>
        <v>190.158328767123</v>
      </c>
      <c r="AB286" s="20" t="n">
        <f aca="false">(Operations!AB282+Operations!AB285)/2</f>
        <v>187.69495890411</v>
      </c>
      <c r="AC286" s="20" t="n">
        <f aca="false">(Operations!AC282+Operations!AC285)/2</f>
        <v>185.231835616438</v>
      </c>
      <c r="AD286" s="20" t="n">
        <f aca="false">(Operations!AD282+Operations!AD285)/2</f>
        <v>182.802082191781</v>
      </c>
      <c r="AE286" s="20" t="n">
        <f aca="false">(Operations!AE282+Operations!AE285)/2</f>
        <v>180.402082191781</v>
      </c>
      <c r="AF286" s="20" t="n">
        <f aca="false">(Operations!AF282+Operations!AF285)/2</f>
        <v>177.998794520548</v>
      </c>
      <c r="AG286" s="20" t="n">
        <f aca="false">(Operations!AG282+Operations!AG285)/2</f>
        <v>175.595506849315</v>
      </c>
      <c r="AH286" s="20" t="n">
        <f aca="false">(Operations!AH282+Operations!AH285)/2</f>
        <v>173.195506849315</v>
      </c>
      <c r="AI286" s="20" t="n">
        <f aca="false">(Operations!AI282+Operations!AI285)/2</f>
        <v>170.795506849315</v>
      </c>
      <c r="AJ286" s="20" t="n">
        <f aca="false">(Operations!AJ282+Operations!AJ285)/2</f>
        <v>168.392219178082</v>
      </c>
      <c r="AK286" s="20" t="n">
        <f aca="false">(Operations!AK282+Operations!AK285)/2</f>
        <v>165.988931506849</v>
      </c>
      <c r="AL286" s="20" t="n">
        <f aca="false">(Operations!AL282+Operations!AL285)/2</f>
        <v>163.588931506849</v>
      </c>
      <c r="AM286" s="20" t="n">
        <f aca="false">(Operations!AM282+Operations!AM285)/2</f>
        <v>161.188931506849</v>
      </c>
      <c r="AN286" s="20" t="n">
        <f aca="false">(Operations!AN282+Operations!AN285)/2</f>
        <v>158.785643835616</v>
      </c>
      <c r="AO286" s="20" t="n">
        <f aca="false">(Operations!AO282+Operations!AO285)/2</f>
        <v>156.382356164384</v>
      </c>
      <c r="AP286" s="20" t="n">
        <f aca="false">(Operations!AP282+Operations!AP285)/2</f>
        <v>153.982356164384</v>
      </c>
      <c r="AQ286" s="20" t="n">
        <f aca="false">(Operations!AQ282+Operations!AQ285)/2</f>
        <v>151.582356164384</v>
      </c>
      <c r="AR286" s="20" t="n">
        <f aca="false">(Operations!AR282+Operations!AR285)/2</f>
        <v>149.179068493151</v>
      </c>
      <c r="AS286" s="20" t="n">
        <f aca="false">(Operations!AS282+Operations!AS285)/2</f>
        <v>146.775780821918</v>
      </c>
      <c r="AT286" s="20" t="n">
        <f aca="false">(Operations!AT282+Operations!AT285)/2</f>
        <v>144.375780821918</v>
      </c>
      <c r="AU286" s="20" t="n">
        <f aca="false">(Operations!AU282+Operations!AU285)/2</f>
        <v>141.975780821918</v>
      </c>
    </row>
    <row r="287" customFormat="false" ht="15" hidden="false" customHeight="false" outlineLevel="0" collapsed="false">
      <c r="D287" s="0" t="s">
        <v>682</v>
      </c>
      <c r="E287" s="0" t="s">
        <v>27</v>
      </c>
      <c r="J287" s="14" t="n">
        <f aca="false">MIN(1,Operations!J286/Inputs!$F$149)</f>
        <v>1</v>
      </c>
      <c r="K287" s="14" t="n">
        <f aca="false">MIN(1,Operations!K286/Inputs!$F$149)</f>
        <v>1</v>
      </c>
      <c r="L287" s="14" t="n">
        <f aca="false">MIN(1,Operations!L286/Inputs!$F$149)</f>
        <v>1</v>
      </c>
      <c r="M287" s="14" t="n">
        <f aca="false">MIN(1,Operations!M286/Inputs!$F$149)</f>
        <v>1</v>
      </c>
      <c r="N287" s="14" t="n">
        <f aca="false">MIN(1,Operations!N286/Inputs!$F$149)</f>
        <v>1</v>
      </c>
      <c r="O287" s="14" t="n">
        <f aca="false">MIN(1,Operations!O286/Inputs!$F$149)</f>
        <v>1</v>
      </c>
      <c r="P287" s="14" t="n">
        <f aca="false">MIN(1,Operations!P286/Inputs!$F$149)</f>
        <v>1</v>
      </c>
      <c r="Q287" s="14" t="n">
        <f aca="false">MIN(1,Operations!Q286/Inputs!$F$149)</f>
        <v>1</v>
      </c>
      <c r="R287" s="14" t="n">
        <f aca="false">MIN(1,Operations!R286/Inputs!$F$149)</f>
        <v>1</v>
      </c>
      <c r="S287" s="14" t="n">
        <f aca="false">MIN(1,Operations!S286/Inputs!$F$149)</f>
        <v>1</v>
      </c>
      <c r="T287" s="14" t="n">
        <f aca="false">MIN(1,Operations!T286/Inputs!$F$149)</f>
        <v>1</v>
      </c>
      <c r="U287" s="14" t="n">
        <f aca="false">MIN(1,Operations!U286/Inputs!$F$149)</f>
        <v>1</v>
      </c>
      <c r="V287" s="14" t="n">
        <f aca="false">MIN(1,Operations!V286/Inputs!$F$149)</f>
        <v>1</v>
      </c>
      <c r="W287" s="14" t="n">
        <f aca="false">MIN(1,Operations!W286/Inputs!$F$149)</f>
        <v>1</v>
      </c>
      <c r="X287" s="14" t="n">
        <f aca="false">MIN(1,Operations!X286/Inputs!$F$149)</f>
        <v>0.988156438356164</v>
      </c>
      <c r="Y287" s="14" t="n">
        <f aca="false">MIN(1,Operations!Y286/Inputs!$F$149)</f>
        <v>0.975540410958904</v>
      </c>
      <c r="Z287" s="14" t="n">
        <f aca="false">MIN(1,Operations!Z286/Inputs!$F$149)</f>
        <v>0.963091643835616</v>
      </c>
      <c r="AA287" s="14" t="n">
        <f aca="false">MIN(1,Operations!AA286/Inputs!$F$149)</f>
        <v>0.950791643835616</v>
      </c>
      <c r="AB287" s="14" t="n">
        <f aca="false">MIN(1,Operations!AB286/Inputs!$F$149)</f>
        <v>0.938474794520548</v>
      </c>
      <c r="AC287" s="14" t="n">
        <f aca="false">MIN(1,Operations!AC286/Inputs!$F$149)</f>
        <v>0.926159178082192</v>
      </c>
      <c r="AD287" s="14" t="n">
        <f aca="false">MIN(1,Operations!AD286/Inputs!$F$149)</f>
        <v>0.914010410958904</v>
      </c>
      <c r="AE287" s="14" t="n">
        <f aca="false">MIN(1,Operations!AE286/Inputs!$F$149)</f>
        <v>0.902010410958904</v>
      </c>
      <c r="AF287" s="14" t="n">
        <f aca="false">MIN(1,Operations!AF286/Inputs!$F$149)</f>
        <v>0.88999397260274</v>
      </c>
      <c r="AG287" s="14" t="n">
        <f aca="false">MIN(1,Operations!AG286/Inputs!$F$149)</f>
        <v>0.877977534246575</v>
      </c>
      <c r="AH287" s="14" t="n">
        <f aca="false">MIN(1,Operations!AH286/Inputs!$F$149)</f>
        <v>0.865977534246575</v>
      </c>
      <c r="AI287" s="14" t="n">
        <f aca="false">MIN(1,Operations!AI286/Inputs!$F$149)</f>
        <v>0.853977534246575</v>
      </c>
      <c r="AJ287" s="14" t="n">
        <f aca="false">MIN(1,Operations!AJ286/Inputs!$F$149)</f>
        <v>0.841961095890411</v>
      </c>
      <c r="AK287" s="14" t="n">
        <f aca="false">MIN(1,Operations!AK286/Inputs!$F$149)</f>
        <v>0.829944657534247</v>
      </c>
      <c r="AL287" s="14" t="n">
        <f aca="false">MIN(1,Operations!AL286/Inputs!$F$149)</f>
        <v>0.817944657534247</v>
      </c>
      <c r="AM287" s="14" t="n">
        <f aca="false">MIN(1,Operations!AM286/Inputs!$F$149)</f>
        <v>0.805944657534247</v>
      </c>
      <c r="AN287" s="14" t="n">
        <f aca="false">MIN(1,Operations!AN286/Inputs!$F$149)</f>
        <v>0.793928219178082</v>
      </c>
      <c r="AO287" s="14" t="n">
        <f aca="false">MIN(1,Operations!AO286/Inputs!$F$149)</f>
        <v>0.781911780821918</v>
      </c>
      <c r="AP287" s="14" t="n">
        <f aca="false">MIN(1,Operations!AP286/Inputs!$F$149)</f>
        <v>0.769911780821918</v>
      </c>
      <c r="AQ287" s="14" t="n">
        <f aca="false">MIN(1,Operations!AQ286/Inputs!$F$149)</f>
        <v>0.757911780821918</v>
      </c>
      <c r="AR287" s="14" t="n">
        <f aca="false">MIN(1,Operations!AR286/Inputs!$F$149)</f>
        <v>0.745895342465753</v>
      </c>
      <c r="AS287" s="14" t="n">
        <f aca="false">MIN(1,Operations!AS286/Inputs!$F$149)</f>
        <v>0.733878904109589</v>
      </c>
      <c r="AT287" s="14" t="n">
        <f aca="false">MIN(1,Operations!AT286/Inputs!$F$149)</f>
        <v>0.721878904109589</v>
      </c>
      <c r="AU287" s="14" t="n">
        <f aca="false">MIN(1,Operations!AU286/Inputs!$F$149)</f>
        <v>0.709878904109589</v>
      </c>
    </row>
    <row r="288" customFormat="false" ht="15" hidden="false" customHeight="false" outlineLevel="0" collapsed="false">
      <c r="D288" s="0" t="s">
        <v>683</v>
      </c>
      <c r="E288" s="0" t="s">
        <v>176</v>
      </c>
      <c r="J288" s="20" t="n">
        <f aca="false">IF(OR(Time!J$4=YEAR(Inputs!$F$144)+Inputs!$F$151,Time!J$4=YEAR(Inputs!$F$144)+Inputs!$F$152),Inputs!$F$153/100*Inputs!$F$149,0)</f>
        <v>0</v>
      </c>
      <c r="K288" s="20" t="n">
        <f aca="false">IF(OR(Time!K$4=YEAR(Inputs!$F$144)+Inputs!$F$151,Time!K$4=YEAR(Inputs!$F$144)+Inputs!$F$152),Inputs!$F$153/100*Inputs!$F$149,0)</f>
        <v>0</v>
      </c>
      <c r="L288" s="20" t="n">
        <f aca="false">IF(OR(Time!L$4=YEAR(Inputs!$F$144)+Inputs!$F$151,Time!L$4=YEAR(Inputs!$F$144)+Inputs!$F$152),Inputs!$F$153/100*Inputs!$F$149,0)</f>
        <v>0</v>
      </c>
      <c r="M288" s="20" t="n">
        <f aca="false">IF(OR(Time!M$4=YEAR(Inputs!$F$144)+Inputs!$F$151,Time!M$4=YEAR(Inputs!$F$144)+Inputs!$F$152),Inputs!$F$153/100*Inputs!$F$149,0)</f>
        <v>0</v>
      </c>
      <c r="N288" s="20" t="n">
        <f aca="false">IF(OR(Time!N$4=YEAR(Inputs!$F$144)+Inputs!$F$151,Time!N$4=YEAR(Inputs!$F$144)+Inputs!$F$152),Inputs!$F$153/100*Inputs!$F$149,0)</f>
        <v>0</v>
      </c>
      <c r="O288" s="20" t="n">
        <f aca="false">IF(OR(Time!O$4=YEAR(Inputs!$F$144)+Inputs!$F$151,Time!O$4=YEAR(Inputs!$F$144)+Inputs!$F$152),Inputs!$F$153/100*Inputs!$F$149,0)</f>
        <v>0</v>
      </c>
      <c r="P288" s="20" t="n">
        <f aca="false">IF(OR(Time!P$4=YEAR(Inputs!$F$144)+Inputs!$F$151,Time!P$4=YEAR(Inputs!$F$144)+Inputs!$F$152),Inputs!$F$153/100*Inputs!$F$149,0)</f>
        <v>12</v>
      </c>
      <c r="Q288" s="20" t="n">
        <f aca="false">IF(OR(Time!Q$4=YEAR(Inputs!$F$144)+Inputs!$F$151,Time!Q$4=YEAR(Inputs!$F$144)+Inputs!$F$152),Inputs!$F$153/100*Inputs!$F$149,0)</f>
        <v>0</v>
      </c>
      <c r="R288" s="20" t="n">
        <f aca="false">IF(OR(Time!R$4=YEAR(Inputs!$F$144)+Inputs!$F$151,Time!R$4=YEAR(Inputs!$F$144)+Inputs!$F$152),Inputs!$F$153/100*Inputs!$F$149,0)</f>
        <v>0</v>
      </c>
      <c r="S288" s="20" t="n">
        <f aca="false">IF(OR(Time!S$4=YEAR(Inputs!$F$144)+Inputs!$F$151,Time!S$4=YEAR(Inputs!$F$144)+Inputs!$F$152),Inputs!$F$153/100*Inputs!$F$149,0)</f>
        <v>0</v>
      </c>
      <c r="T288" s="20" t="n">
        <f aca="false">IF(OR(Time!T$4=YEAR(Inputs!$F$144)+Inputs!$F$151,Time!T$4=YEAR(Inputs!$F$144)+Inputs!$F$152),Inputs!$F$153/100*Inputs!$F$149,0)</f>
        <v>12</v>
      </c>
      <c r="U288" s="20" t="n">
        <f aca="false">IF(OR(Time!U$4=YEAR(Inputs!$F$144)+Inputs!$F$151,Time!U$4=YEAR(Inputs!$F$144)+Inputs!$F$152),Inputs!$F$153/100*Inputs!$F$149,0)</f>
        <v>0</v>
      </c>
      <c r="V288" s="20" t="n">
        <f aca="false">IF(OR(Time!V$4=YEAR(Inputs!$F$144)+Inputs!$F$151,Time!V$4=YEAR(Inputs!$F$144)+Inputs!$F$152),Inputs!$F$153/100*Inputs!$F$149,0)</f>
        <v>0</v>
      </c>
      <c r="W288" s="20" t="n">
        <f aca="false">IF(OR(Time!W$4=YEAR(Inputs!$F$144)+Inputs!$F$151,Time!W$4=YEAR(Inputs!$F$144)+Inputs!$F$152),Inputs!$F$153/100*Inputs!$F$149,0)</f>
        <v>0</v>
      </c>
      <c r="X288" s="20" t="n">
        <f aca="false">IF(OR(Time!X$4=YEAR(Inputs!$F$144)+Inputs!$F$151,Time!X$4=YEAR(Inputs!$F$144)+Inputs!$F$152),Inputs!$F$153/100*Inputs!$F$149,0)</f>
        <v>0</v>
      </c>
      <c r="Y288" s="20" t="n">
        <f aca="false">IF(OR(Time!Y$4=YEAR(Inputs!$F$144)+Inputs!$F$151,Time!Y$4=YEAR(Inputs!$F$144)+Inputs!$F$152),Inputs!$F$153/100*Inputs!$F$149,0)</f>
        <v>0</v>
      </c>
      <c r="Z288" s="20" t="n">
        <f aca="false">IF(OR(Time!Z$4=YEAR(Inputs!$F$144)+Inputs!$F$151,Time!Z$4=YEAR(Inputs!$F$144)+Inputs!$F$152),Inputs!$F$153/100*Inputs!$F$149,0)</f>
        <v>0</v>
      </c>
      <c r="AA288" s="20" t="n">
        <f aca="false">IF(OR(Time!AA$4=YEAR(Inputs!$F$144)+Inputs!$F$151,Time!AA$4=YEAR(Inputs!$F$144)+Inputs!$F$152),Inputs!$F$153/100*Inputs!$F$149,0)</f>
        <v>0</v>
      </c>
      <c r="AB288" s="20" t="n">
        <f aca="false">IF(OR(Time!AB$4=YEAR(Inputs!$F$144)+Inputs!$F$151,Time!AB$4=YEAR(Inputs!$F$144)+Inputs!$F$152),Inputs!$F$153/100*Inputs!$F$149,0)</f>
        <v>0</v>
      </c>
      <c r="AC288" s="20" t="n">
        <f aca="false">IF(OR(Time!AC$4=YEAR(Inputs!$F$144)+Inputs!$F$151,Time!AC$4=YEAR(Inputs!$F$144)+Inputs!$F$152),Inputs!$F$153/100*Inputs!$F$149,0)</f>
        <v>0</v>
      </c>
      <c r="AD288" s="20" t="n">
        <f aca="false">IF(OR(Time!AD$4=YEAR(Inputs!$F$144)+Inputs!$F$151,Time!AD$4=YEAR(Inputs!$F$144)+Inputs!$F$152),Inputs!$F$153/100*Inputs!$F$149,0)</f>
        <v>0</v>
      </c>
      <c r="AE288" s="20" t="n">
        <f aca="false">IF(OR(Time!AE$4=YEAR(Inputs!$F$144)+Inputs!$F$151,Time!AE$4=YEAR(Inputs!$F$144)+Inputs!$F$152),Inputs!$F$153/100*Inputs!$F$149,0)</f>
        <v>0</v>
      </c>
      <c r="AF288" s="20" t="n">
        <f aca="false">IF(OR(Time!AF$4=YEAR(Inputs!$F$144)+Inputs!$F$151,Time!AF$4=YEAR(Inputs!$F$144)+Inputs!$F$152),Inputs!$F$153/100*Inputs!$F$149,0)</f>
        <v>0</v>
      </c>
      <c r="AG288" s="20" t="n">
        <f aca="false">IF(OR(Time!AG$4=YEAR(Inputs!$F$144)+Inputs!$F$151,Time!AG$4=YEAR(Inputs!$F$144)+Inputs!$F$152),Inputs!$F$153/100*Inputs!$F$149,0)</f>
        <v>0</v>
      </c>
      <c r="AH288" s="20" t="n">
        <f aca="false">IF(OR(Time!AH$4=YEAR(Inputs!$F$144)+Inputs!$F$151,Time!AH$4=YEAR(Inputs!$F$144)+Inputs!$F$152),Inputs!$F$153/100*Inputs!$F$149,0)</f>
        <v>0</v>
      </c>
      <c r="AI288" s="20" t="n">
        <f aca="false">IF(OR(Time!AI$4=YEAR(Inputs!$F$144)+Inputs!$F$151,Time!AI$4=YEAR(Inputs!$F$144)+Inputs!$F$152),Inputs!$F$153/100*Inputs!$F$149,0)</f>
        <v>0</v>
      </c>
      <c r="AJ288" s="20" t="n">
        <f aca="false">IF(OR(Time!AJ$4=YEAR(Inputs!$F$144)+Inputs!$F$151,Time!AJ$4=YEAR(Inputs!$F$144)+Inputs!$F$152),Inputs!$F$153/100*Inputs!$F$149,0)</f>
        <v>0</v>
      </c>
      <c r="AK288" s="20" t="n">
        <f aca="false">IF(OR(Time!AK$4=YEAR(Inputs!$F$144)+Inputs!$F$151,Time!AK$4=YEAR(Inputs!$F$144)+Inputs!$F$152),Inputs!$F$153/100*Inputs!$F$149,0)</f>
        <v>0</v>
      </c>
      <c r="AL288" s="20" t="n">
        <f aca="false">IF(OR(Time!AL$4=YEAR(Inputs!$F$144)+Inputs!$F$151,Time!AL$4=YEAR(Inputs!$F$144)+Inputs!$F$152),Inputs!$F$153/100*Inputs!$F$149,0)</f>
        <v>0</v>
      </c>
      <c r="AM288" s="20" t="n">
        <f aca="false">IF(OR(Time!AM$4=YEAR(Inputs!$F$144)+Inputs!$F$151,Time!AM$4=YEAR(Inputs!$F$144)+Inputs!$F$152),Inputs!$F$153/100*Inputs!$F$149,0)</f>
        <v>0</v>
      </c>
      <c r="AN288" s="20" t="n">
        <f aca="false">IF(OR(Time!AN$4=YEAR(Inputs!$F$144)+Inputs!$F$151,Time!AN$4=YEAR(Inputs!$F$144)+Inputs!$F$152),Inputs!$F$153/100*Inputs!$F$149,0)</f>
        <v>0</v>
      </c>
      <c r="AO288" s="20" t="n">
        <f aca="false">IF(OR(Time!AO$4=YEAR(Inputs!$F$144)+Inputs!$F$151,Time!AO$4=YEAR(Inputs!$F$144)+Inputs!$F$152),Inputs!$F$153/100*Inputs!$F$149,0)</f>
        <v>0</v>
      </c>
      <c r="AP288" s="20" t="n">
        <f aca="false">IF(OR(Time!AP$4=YEAR(Inputs!$F$144)+Inputs!$F$151,Time!AP$4=YEAR(Inputs!$F$144)+Inputs!$F$152),Inputs!$F$153/100*Inputs!$F$149,0)</f>
        <v>0</v>
      </c>
      <c r="AQ288" s="20" t="n">
        <f aca="false">IF(OR(Time!AQ$4=YEAR(Inputs!$F$144)+Inputs!$F$151,Time!AQ$4=YEAR(Inputs!$F$144)+Inputs!$F$152),Inputs!$F$153/100*Inputs!$F$149,0)</f>
        <v>0</v>
      </c>
      <c r="AR288" s="20" t="n">
        <f aca="false">IF(OR(Time!AR$4=YEAR(Inputs!$F$144)+Inputs!$F$151,Time!AR$4=YEAR(Inputs!$F$144)+Inputs!$F$152),Inputs!$F$153/100*Inputs!$F$149,0)</f>
        <v>0</v>
      </c>
      <c r="AS288" s="20" t="n">
        <f aca="false">IF(OR(Time!AS$4=YEAR(Inputs!$F$144)+Inputs!$F$151,Time!AS$4=YEAR(Inputs!$F$144)+Inputs!$F$152),Inputs!$F$153/100*Inputs!$F$149,0)</f>
        <v>0</v>
      </c>
      <c r="AT288" s="20" t="n">
        <f aca="false">IF(OR(Time!AT$4=YEAR(Inputs!$F$144)+Inputs!$F$151,Time!AT$4=YEAR(Inputs!$F$144)+Inputs!$F$152),Inputs!$F$153/100*Inputs!$F$149,0)</f>
        <v>0</v>
      </c>
      <c r="AU288" s="20" t="n">
        <f aca="false">IF(OR(Time!AU$4=YEAR(Inputs!$F$144)+Inputs!$F$151,Time!AU$4=YEAR(Inputs!$F$144)+Inputs!$F$152),Inputs!$F$153/100*Inputs!$F$149,0)</f>
        <v>0</v>
      </c>
    </row>
    <row r="289" customFormat="false" ht="15" hidden="false" customHeight="false" outlineLevel="0" collapsed="false">
      <c r="D289" s="0" t="s">
        <v>684</v>
      </c>
      <c r="E289" s="0" t="s">
        <v>458</v>
      </c>
      <c r="J289" s="14" t="n">
        <f aca="false">MAX(0,MIN(Inputs!$F$216,Time!J$6)-MAX(Inputs!$F$215,Time!J$5))/Time!J$7</f>
        <v>0</v>
      </c>
      <c r="K289" s="14" t="n">
        <f aca="false">MAX(0,MIN(Inputs!$F$216,Time!K$6)-MAX(Inputs!$F$215,Time!K$5))/Time!K$7</f>
        <v>0.465753424657534</v>
      </c>
      <c r="L289" s="14" t="n">
        <f aca="false">MAX(0,MIN(Inputs!$F$216,Time!L$6)-MAX(Inputs!$F$215,Time!L$5))/Time!L$7</f>
        <v>1</v>
      </c>
      <c r="M289" s="14" t="n">
        <f aca="false">MAX(0,MIN(Inputs!$F$216,Time!M$6)-MAX(Inputs!$F$215,Time!M$5))/Time!M$7</f>
        <v>1</v>
      </c>
      <c r="N289" s="14" t="n">
        <f aca="false">MAX(0,MIN(Inputs!$F$216,Time!N$6)-MAX(Inputs!$F$215,Time!N$5))/Time!N$7</f>
        <v>1</v>
      </c>
      <c r="O289" s="14" t="n">
        <f aca="false">MAX(0,MIN(Inputs!$F$216,Time!O$6)-MAX(Inputs!$F$215,Time!O$5))/Time!O$7</f>
        <v>1</v>
      </c>
      <c r="P289" s="14" t="n">
        <f aca="false">MAX(0,MIN(Inputs!$F$216,Time!P$6)-MAX(Inputs!$F$215,Time!P$5))/Time!P$7</f>
        <v>1</v>
      </c>
      <c r="Q289" s="14" t="n">
        <f aca="false">MAX(0,MIN(Inputs!$F$216,Time!Q$6)-MAX(Inputs!$F$215,Time!Q$5))/Time!Q$7</f>
        <v>1</v>
      </c>
      <c r="R289" s="14" t="n">
        <f aca="false">MAX(0,MIN(Inputs!$F$216,Time!R$6)-MAX(Inputs!$F$215,Time!R$5))/Time!R$7</f>
        <v>0.531506849315069</v>
      </c>
      <c r="S289" s="14" t="n">
        <f aca="false">MAX(0,MIN(Inputs!$F$216,Time!S$6)-MAX(Inputs!$F$215,Time!S$5))/Time!S$7</f>
        <v>0</v>
      </c>
      <c r="T289" s="14" t="n">
        <f aca="false">MAX(0,MIN(Inputs!$F$216,Time!T$6)-MAX(Inputs!$F$215,Time!T$5))/Time!T$7</f>
        <v>0</v>
      </c>
      <c r="U289" s="14" t="n">
        <f aca="false">MAX(0,MIN(Inputs!$F$216,Time!U$6)-MAX(Inputs!$F$215,Time!U$5))/Time!U$7</f>
        <v>0</v>
      </c>
      <c r="V289" s="14" t="n">
        <f aca="false">MAX(0,MIN(Inputs!$F$216,Time!V$6)-MAX(Inputs!$F$215,Time!V$5))/Time!V$7</f>
        <v>0</v>
      </c>
      <c r="W289" s="14" t="n">
        <f aca="false">MAX(0,MIN(Inputs!$F$216,Time!W$6)-MAX(Inputs!$F$215,Time!W$5))/Time!W$7</f>
        <v>0</v>
      </c>
      <c r="X289" s="14" t="n">
        <f aca="false">MAX(0,MIN(Inputs!$F$216,Time!X$6)-MAX(Inputs!$F$215,Time!X$5))/Time!X$7</f>
        <v>0</v>
      </c>
      <c r="Y289" s="14" t="n">
        <f aca="false">MAX(0,MIN(Inputs!$F$216,Time!Y$6)-MAX(Inputs!$F$215,Time!Y$5))/Time!Y$7</f>
        <v>0</v>
      </c>
      <c r="Z289" s="14" t="n">
        <f aca="false">MAX(0,MIN(Inputs!$F$216,Time!Z$6)-MAX(Inputs!$F$215,Time!Z$5))/Time!Z$7</f>
        <v>0</v>
      </c>
      <c r="AA289" s="14" t="n">
        <f aca="false">MAX(0,MIN(Inputs!$F$216,Time!AA$6)-MAX(Inputs!$F$215,Time!AA$5))/Time!AA$7</f>
        <v>0</v>
      </c>
      <c r="AB289" s="14" t="n">
        <f aca="false">MAX(0,MIN(Inputs!$F$216,Time!AB$6)-MAX(Inputs!$F$215,Time!AB$5))/Time!AB$7</f>
        <v>0</v>
      </c>
      <c r="AC289" s="14" t="n">
        <f aca="false">MAX(0,MIN(Inputs!$F$216,Time!AC$6)-MAX(Inputs!$F$215,Time!AC$5))/Time!AC$7</f>
        <v>0</v>
      </c>
      <c r="AD289" s="14" t="n">
        <f aca="false">MAX(0,MIN(Inputs!$F$216,Time!AD$6)-MAX(Inputs!$F$215,Time!AD$5))/Time!AD$7</f>
        <v>0</v>
      </c>
      <c r="AE289" s="14" t="n">
        <f aca="false">MAX(0,MIN(Inputs!$F$216,Time!AE$6)-MAX(Inputs!$F$215,Time!AE$5))/Time!AE$7</f>
        <v>0</v>
      </c>
      <c r="AF289" s="14" t="n">
        <f aca="false">MAX(0,MIN(Inputs!$F$216,Time!AF$6)-MAX(Inputs!$F$215,Time!AF$5))/Time!AF$7</f>
        <v>0</v>
      </c>
      <c r="AG289" s="14" t="n">
        <f aca="false">MAX(0,MIN(Inputs!$F$216,Time!AG$6)-MAX(Inputs!$F$215,Time!AG$5))/Time!AG$7</f>
        <v>0</v>
      </c>
      <c r="AH289" s="14" t="n">
        <f aca="false">MAX(0,MIN(Inputs!$F$216,Time!AH$6)-MAX(Inputs!$F$215,Time!AH$5))/Time!AH$7</f>
        <v>0</v>
      </c>
      <c r="AI289" s="14" t="n">
        <f aca="false">MAX(0,MIN(Inputs!$F$216,Time!AI$6)-MAX(Inputs!$F$215,Time!AI$5))/Time!AI$7</f>
        <v>0</v>
      </c>
      <c r="AJ289" s="14" t="n">
        <f aca="false">MAX(0,MIN(Inputs!$F$216,Time!AJ$6)-MAX(Inputs!$F$215,Time!AJ$5))/Time!AJ$7</f>
        <v>0</v>
      </c>
      <c r="AK289" s="14" t="n">
        <f aca="false">MAX(0,MIN(Inputs!$F$216,Time!AK$6)-MAX(Inputs!$F$215,Time!AK$5))/Time!AK$7</f>
        <v>0</v>
      </c>
      <c r="AL289" s="14" t="n">
        <f aca="false">MAX(0,MIN(Inputs!$F$216,Time!AL$6)-MAX(Inputs!$F$215,Time!AL$5))/Time!AL$7</f>
        <v>0</v>
      </c>
      <c r="AM289" s="14" t="n">
        <f aca="false">MAX(0,MIN(Inputs!$F$216,Time!AM$6)-MAX(Inputs!$F$215,Time!AM$5))/Time!AM$7</f>
        <v>0</v>
      </c>
      <c r="AN289" s="14" t="n">
        <f aca="false">MAX(0,MIN(Inputs!$F$216,Time!AN$6)-MAX(Inputs!$F$215,Time!AN$5))/Time!AN$7</f>
        <v>0</v>
      </c>
      <c r="AO289" s="14" t="n">
        <f aca="false">MAX(0,MIN(Inputs!$F$216,Time!AO$6)-MAX(Inputs!$F$215,Time!AO$5))/Time!AO$7</f>
        <v>0</v>
      </c>
      <c r="AP289" s="14" t="n">
        <f aca="false">MAX(0,MIN(Inputs!$F$216,Time!AP$6)-MAX(Inputs!$F$215,Time!AP$5))/Time!AP$7</f>
        <v>0</v>
      </c>
      <c r="AQ289" s="14" t="n">
        <f aca="false">MAX(0,MIN(Inputs!$F$216,Time!AQ$6)-MAX(Inputs!$F$215,Time!AQ$5))/Time!AQ$7</f>
        <v>0</v>
      </c>
      <c r="AR289" s="14" t="n">
        <f aca="false">MAX(0,MIN(Inputs!$F$216,Time!AR$6)-MAX(Inputs!$F$215,Time!AR$5))/Time!AR$7</f>
        <v>0</v>
      </c>
      <c r="AS289" s="14" t="n">
        <f aca="false">MAX(0,MIN(Inputs!$F$216,Time!AS$6)-MAX(Inputs!$F$215,Time!AS$5))/Time!AS$7</f>
        <v>0</v>
      </c>
      <c r="AT289" s="14" t="n">
        <f aca="false">MAX(0,MIN(Inputs!$F$216,Time!AT$6)-MAX(Inputs!$F$215,Time!AT$5))/Time!AT$7</f>
        <v>0</v>
      </c>
      <c r="AU289" s="14" t="n">
        <f aca="false">MAX(0,MIN(Inputs!$F$216,Time!AU$6)-MAX(Inputs!$F$215,Time!AU$5))/Time!AU$7</f>
        <v>0</v>
      </c>
    </row>
    <row r="290" customFormat="false" ht="15" hidden="false" customHeight="false" outlineLevel="0" collapsed="false">
      <c r="D290" s="0" t="s">
        <v>685</v>
      </c>
      <c r="E290" s="0" t="s">
        <v>47</v>
      </c>
      <c r="G290" s="20" t="n">
        <f aca="false">SUM(J290:AU290)</f>
        <v>76.8299178082192</v>
      </c>
      <c r="J290" s="20" t="n">
        <f aca="false">Inputs!$F$213*Inputs!$F$214*Inputs!$F$143/1000*Operations!J289*(1-MAX(0,Inputs!$F$217-Inputs!$F$150)/100)</f>
        <v>0</v>
      </c>
      <c r="K290" s="20" t="n">
        <f aca="false">Inputs!$F$213*Inputs!$F$214*Inputs!$F$143/1000*Operations!K289*(1-MAX(0,Inputs!$F$217-Inputs!$F$150)/100)</f>
        <v>5.11397260273973</v>
      </c>
      <c r="L290" s="20" t="n">
        <f aca="false">Inputs!$F$213*Inputs!$F$214*Inputs!$F$143/1000*Operations!L289*(1-MAX(0,Inputs!$F$217-Inputs!$F$150)/100)</f>
        <v>10.98</v>
      </c>
      <c r="M290" s="20" t="n">
        <f aca="false">Inputs!$F$213*Inputs!$F$214*Inputs!$F$143/1000*Operations!M289*(1-MAX(0,Inputs!$F$217-Inputs!$F$150)/100)</f>
        <v>10.98</v>
      </c>
      <c r="N290" s="20" t="n">
        <f aca="false">Inputs!$F$213*Inputs!$F$214*Inputs!$F$143/1000*Operations!N289*(1-MAX(0,Inputs!$F$217-Inputs!$F$150)/100)</f>
        <v>10.98</v>
      </c>
      <c r="O290" s="20" t="n">
        <f aca="false">Inputs!$F$213*Inputs!$F$214*Inputs!$F$143/1000*Operations!O289*(1-MAX(0,Inputs!$F$217-Inputs!$F$150)/100)</f>
        <v>10.98</v>
      </c>
      <c r="P290" s="20" t="n">
        <f aca="false">Inputs!$F$213*Inputs!$F$214*Inputs!$F$143/1000*Operations!P289*(1-MAX(0,Inputs!$F$217-Inputs!$F$150)/100)</f>
        <v>10.98</v>
      </c>
      <c r="Q290" s="20" t="n">
        <f aca="false">Inputs!$F$213*Inputs!$F$214*Inputs!$F$143/1000*Operations!Q289*(1-MAX(0,Inputs!$F$217-Inputs!$F$150)/100)</f>
        <v>10.98</v>
      </c>
      <c r="R290" s="20" t="n">
        <f aca="false">Inputs!$F$213*Inputs!$F$214*Inputs!$F$143/1000*Operations!R289*(1-MAX(0,Inputs!$F$217-Inputs!$F$150)/100)</f>
        <v>5.83594520547945</v>
      </c>
      <c r="S290" s="20" t="n">
        <f aca="false">Inputs!$F$213*Inputs!$F$214*Inputs!$F$143/1000*Operations!S289*(1-MAX(0,Inputs!$F$217-Inputs!$F$150)/100)</f>
        <v>0</v>
      </c>
      <c r="T290" s="20" t="n">
        <f aca="false">Inputs!$F$213*Inputs!$F$214*Inputs!$F$143/1000*Operations!T289*(1-MAX(0,Inputs!$F$217-Inputs!$F$150)/100)</f>
        <v>0</v>
      </c>
      <c r="U290" s="20" t="n">
        <f aca="false">Inputs!$F$213*Inputs!$F$214*Inputs!$F$143/1000*Operations!U289*(1-MAX(0,Inputs!$F$217-Inputs!$F$150)/100)</f>
        <v>0</v>
      </c>
      <c r="V290" s="20" t="n">
        <f aca="false">Inputs!$F$213*Inputs!$F$214*Inputs!$F$143/1000*Operations!V289*(1-MAX(0,Inputs!$F$217-Inputs!$F$150)/100)</f>
        <v>0</v>
      </c>
      <c r="W290" s="20" t="n">
        <f aca="false">Inputs!$F$213*Inputs!$F$214*Inputs!$F$143/1000*Operations!W289*(1-MAX(0,Inputs!$F$217-Inputs!$F$150)/100)</f>
        <v>0</v>
      </c>
      <c r="X290" s="20" t="n">
        <f aca="false">Inputs!$F$213*Inputs!$F$214*Inputs!$F$143/1000*Operations!X289*(1-MAX(0,Inputs!$F$217-Inputs!$F$150)/100)</f>
        <v>0</v>
      </c>
      <c r="Y290" s="20" t="n">
        <f aca="false">Inputs!$F$213*Inputs!$F$214*Inputs!$F$143/1000*Operations!Y289*(1-MAX(0,Inputs!$F$217-Inputs!$F$150)/100)</f>
        <v>0</v>
      </c>
      <c r="Z290" s="20" t="n">
        <f aca="false">Inputs!$F$213*Inputs!$F$214*Inputs!$F$143/1000*Operations!Z289*(1-MAX(0,Inputs!$F$217-Inputs!$F$150)/100)</f>
        <v>0</v>
      </c>
      <c r="AA290" s="20" t="n">
        <f aca="false">Inputs!$F$213*Inputs!$F$214*Inputs!$F$143/1000*Operations!AA289*(1-MAX(0,Inputs!$F$217-Inputs!$F$150)/100)</f>
        <v>0</v>
      </c>
      <c r="AB290" s="20" t="n">
        <f aca="false">Inputs!$F$213*Inputs!$F$214*Inputs!$F$143/1000*Operations!AB289*(1-MAX(0,Inputs!$F$217-Inputs!$F$150)/100)</f>
        <v>0</v>
      </c>
      <c r="AC290" s="20" t="n">
        <f aca="false">Inputs!$F$213*Inputs!$F$214*Inputs!$F$143/1000*Operations!AC289*(1-MAX(0,Inputs!$F$217-Inputs!$F$150)/100)</f>
        <v>0</v>
      </c>
      <c r="AD290" s="20" t="n">
        <f aca="false">Inputs!$F$213*Inputs!$F$214*Inputs!$F$143/1000*Operations!AD289*(1-MAX(0,Inputs!$F$217-Inputs!$F$150)/100)</f>
        <v>0</v>
      </c>
      <c r="AE290" s="20" t="n">
        <f aca="false">Inputs!$F$213*Inputs!$F$214*Inputs!$F$143/1000*Operations!AE289*(1-MAX(0,Inputs!$F$217-Inputs!$F$150)/100)</f>
        <v>0</v>
      </c>
      <c r="AF290" s="20" t="n">
        <f aca="false">Inputs!$F$213*Inputs!$F$214*Inputs!$F$143/1000*Operations!AF289*(1-MAX(0,Inputs!$F$217-Inputs!$F$150)/100)</f>
        <v>0</v>
      </c>
      <c r="AG290" s="20" t="n">
        <f aca="false">Inputs!$F$213*Inputs!$F$214*Inputs!$F$143/1000*Operations!AG289*(1-MAX(0,Inputs!$F$217-Inputs!$F$150)/100)</f>
        <v>0</v>
      </c>
      <c r="AH290" s="20" t="n">
        <f aca="false">Inputs!$F$213*Inputs!$F$214*Inputs!$F$143/1000*Operations!AH289*(1-MAX(0,Inputs!$F$217-Inputs!$F$150)/100)</f>
        <v>0</v>
      </c>
      <c r="AI290" s="20" t="n">
        <f aca="false">Inputs!$F$213*Inputs!$F$214*Inputs!$F$143/1000*Operations!AI289*(1-MAX(0,Inputs!$F$217-Inputs!$F$150)/100)</f>
        <v>0</v>
      </c>
      <c r="AJ290" s="20" t="n">
        <f aca="false">Inputs!$F$213*Inputs!$F$214*Inputs!$F$143/1000*Operations!AJ289*(1-MAX(0,Inputs!$F$217-Inputs!$F$150)/100)</f>
        <v>0</v>
      </c>
      <c r="AK290" s="20" t="n">
        <f aca="false">Inputs!$F$213*Inputs!$F$214*Inputs!$F$143/1000*Operations!AK289*(1-MAX(0,Inputs!$F$217-Inputs!$F$150)/100)</f>
        <v>0</v>
      </c>
      <c r="AL290" s="20" t="n">
        <f aca="false">Inputs!$F$213*Inputs!$F$214*Inputs!$F$143/1000*Operations!AL289*(1-MAX(0,Inputs!$F$217-Inputs!$F$150)/100)</f>
        <v>0</v>
      </c>
      <c r="AM290" s="20" t="n">
        <f aca="false">Inputs!$F$213*Inputs!$F$214*Inputs!$F$143/1000*Operations!AM289*(1-MAX(0,Inputs!$F$217-Inputs!$F$150)/100)</f>
        <v>0</v>
      </c>
      <c r="AN290" s="20" t="n">
        <f aca="false">Inputs!$F$213*Inputs!$F$214*Inputs!$F$143/1000*Operations!AN289*(1-MAX(0,Inputs!$F$217-Inputs!$F$150)/100)</f>
        <v>0</v>
      </c>
      <c r="AO290" s="20" t="n">
        <f aca="false">Inputs!$F$213*Inputs!$F$214*Inputs!$F$143/1000*Operations!AO289*(1-MAX(0,Inputs!$F$217-Inputs!$F$150)/100)</f>
        <v>0</v>
      </c>
      <c r="AP290" s="20" t="n">
        <f aca="false">Inputs!$F$213*Inputs!$F$214*Inputs!$F$143/1000*Operations!AP289*(1-MAX(0,Inputs!$F$217-Inputs!$F$150)/100)</f>
        <v>0</v>
      </c>
      <c r="AQ290" s="20" t="n">
        <f aca="false">Inputs!$F$213*Inputs!$F$214*Inputs!$F$143/1000*Operations!AQ289*(1-MAX(0,Inputs!$F$217-Inputs!$F$150)/100)</f>
        <v>0</v>
      </c>
      <c r="AR290" s="20" t="n">
        <f aca="false">Inputs!$F$213*Inputs!$F$214*Inputs!$F$143/1000*Operations!AR289*(1-MAX(0,Inputs!$F$217-Inputs!$F$150)/100)</f>
        <v>0</v>
      </c>
      <c r="AS290" s="20" t="n">
        <f aca="false">Inputs!$F$213*Inputs!$F$214*Inputs!$F$143/1000*Operations!AS289*(1-MAX(0,Inputs!$F$217-Inputs!$F$150)/100)</f>
        <v>0</v>
      </c>
      <c r="AT290" s="20" t="n">
        <f aca="false">Inputs!$F$213*Inputs!$F$214*Inputs!$F$143/1000*Operations!AT289*(1-MAX(0,Inputs!$F$217-Inputs!$F$150)/100)</f>
        <v>0</v>
      </c>
      <c r="AU290" s="20" t="n">
        <f aca="false">Inputs!$F$213*Inputs!$F$214*Inputs!$F$143/1000*Operations!AU289*(1-MAX(0,Inputs!$F$217-Inputs!$F$150)/100)</f>
        <v>0</v>
      </c>
    </row>
    <row r="291" customFormat="false" ht="15" hidden="false" customHeight="false" outlineLevel="0" collapsed="false">
      <c r="D291" s="0" t="s">
        <v>686</v>
      </c>
      <c r="E291" s="0" t="s">
        <v>47</v>
      </c>
      <c r="G291" s="20" t="n">
        <f aca="false">SUM(J291:AU291)</f>
        <v>83.5302951191792</v>
      </c>
      <c r="J291" s="20" t="n">
        <f aca="false">Operations!J56*Inputs!$F$143/1000*Inputs!$F$150/100*Operations!J287*(Operations!J276-Operations!J289)</f>
        <v>0</v>
      </c>
      <c r="K291" s="20" t="n">
        <f aca="false">Operations!K56*Inputs!$F$143/1000*Inputs!$F$150/100*Operations!K287*(Operations!K276-Operations!K289)</f>
        <v>0</v>
      </c>
      <c r="L291" s="20" t="n">
        <f aca="false">Operations!L56*Inputs!$F$143/1000*Inputs!$F$150/100*Operations!L287*(Operations!L276-Operations!L289)</f>
        <v>0</v>
      </c>
      <c r="M291" s="20" t="n">
        <f aca="false">Operations!M56*Inputs!$F$143/1000*Inputs!$F$150/100*Operations!M287*(Operations!M276-Operations!M289)</f>
        <v>0</v>
      </c>
      <c r="N291" s="20" t="n">
        <f aca="false">Operations!N56*Inputs!$F$143/1000*Inputs!$F$150/100*Operations!N287*(Operations!N276-Operations!N289)</f>
        <v>0</v>
      </c>
      <c r="O291" s="20" t="n">
        <f aca="false">Operations!O56*Inputs!$F$143/1000*Inputs!$F$150/100*Operations!O287*(Operations!O276-Operations!O289)</f>
        <v>0</v>
      </c>
      <c r="P291" s="20" t="n">
        <f aca="false">Operations!P56*Inputs!$F$143/1000*Inputs!$F$150/100*Operations!P287*(Operations!P276-Operations!P289)</f>
        <v>0</v>
      </c>
      <c r="Q291" s="20" t="n">
        <f aca="false">Operations!Q56*Inputs!$F$143/1000*Inputs!$F$150/100*Operations!Q287*(Operations!Q276-Operations!Q289)</f>
        <v>0</v>
      </c>
      <c r="R291" s="20" t="n">
        <f aca="false">Operations!R56*Inputs!$F$143/1000*Inputs!$F$150/100*Operations!R287*(Operations!R276-Operations!R289)</f>
        <v>2.80691815068493</v>
      </c>
      <c r="S291" s="20" t="n">
        <f aca="false">Operations!S56*Inputs!$F$143/1000*Inputs!$F$150/100*Operations!S287*(Operations!S276-Operations!S289)</f>
        <v>6.081075</v>
      </c>
      <c r="T291" s="20" t="n">
        <f aca="false">Operations!T56*Inputs!$F$143/1000*Inputs!$F$150/100*Operations!T287*(Operations!T276-Operations!T289)</f>
        <v>6.172725</v>
      </c>
      <c r="U291" s="20" t="n">
        <f aca="false">Operations!U56*Inputs!$F$143/1000*Inputs!$F$150/100*Operations!U287*(Operations!U276-Operations!U289)</f>
        <v>6.26535</v>
      </c>
      <c r="V291" s="20" t="n">
        <f aca="false">Operations!V56*Inputs!$F$143/1000*Inputs!$F$150/100*Operations!V287*(Operations!V276-Operations!V289)</f>
        <v>6.35895</v>
      </c>
      <c r="W291" s="20" t="n">
        <f aca="false">Operations!W56*Inputs!$F$143/1000*Inputs!$F$150/100*Operations!W287*(Operations!W276-Operations!W289)</f>
        <v>6.4545</v>
      </c>
      <c r="X291" s="20" t="n">
        <f aca="false">Operations!X56*Inputs!$F$143/1000*Inputs!$F$150/100*Operations!X287*(Operations!X276-Operations!X289)</f>
        <v>6.47343753158219</v>
      </c>
      <c r="Y291" s="20" t="n">
        <f aca="false">Operations!Y56*Inputs!$F$143/1000*Inputs!$F$150/100*Operations!Y287*(Operations!Y276-Operations!Y289)</f>
        <v>6.48685596267123</v>
      </c>
      <c r="Z291" s="20" t="n">
        <f aca="false">Operations!Z56*Inputs!$F$143/1000*Inputs!$F$150/100*Operations!Z287*(Operations!Z276-Operations!Z289)</f>
        <v>6.49985734966438</v>
      </c>
      <c r="AA291" s="20" t="n">
        <f aca="false">Operations!AA56*Inputs!$F$143/1000*Inputs!$F$150/100*Operations!AA287*(Operations!AA276-Operations!AA289)</f>
        <v>6.51325553734932</v>
      </c>
      <c r="AB291" s="20" t="n">
        <f aca="false">Operations!AB56*Inputs!$F$143/1000*Inputs!$F$150/100*Operations!AB287*(Operations!AB276-Operations!AB289)</f>
        <v>6.52495716573288</v>
      </c>
      <c r="AC291" s="20" t="n">
        <f aca="false">Operations!AC56*Inputs!$F$143/1000*Inputs!$F$150/100*Operations!AC287*(Operations!AC276-Operations!AC289)</f>
        <v>6.53595162768493</v>
      </c>
      <c r="AD291" s="20" t="n">
        <f aca="false">Operations!AD56*Inputs!$F$143/1000*Inputs!$F$150/100*Operations!AD287*(Operations!AD276-Operations!AD289)</f>
        <v>6.54735362708219</v>
      </c>
      <c r="AE291" s="20" t="n">
        <f aca="false">Operations!AE56*Inputs!$F$143/1000*Inputs!$F$150/100*Operations!AE287*(Operations!AE276-Operations!AE289)</f>
        <v>3.80910816672712</v>
      </c>
      <c r="AF291" s="20" t="n">
        <f aca="false">Operations!AF56*Inputs!$F$143/1000*Inputs!$F$150/100*Operations!AF287*(Operations!AF276-Operations!AF289)</f>
        <v>0</v>
      </c>
      <c r="AG291" s="20" t="n">
        <f aca="false">Operations!AG56*Inputs!$F$143/1000*Inputs!$F$150/100*Operations!AG287*(Operations!AG276-Operations!AG289)</f>
        <v>0</v>
      </c>
      <c r="AH291" s="20" t="n">
        <f aca="false">Operations!AH56*Inputs!$F$143/1000*Inputs!$F$150/100*Operations!AH287*(Operations!AH276-Operations!AH289)</f>
        <v>0</v>
      </c>
      <c r="AI291" s="20" t="n">
        <f aca="false">Operations!AI56*Inputs!$F$143/1000*Inputs!$F$150/100*Operations!AI287*(Operations!AI276-Operations!AI289)</f>
        <v>0</v>
      </c>
      <c r="AJ291" s="20" t="n">
        <f aca="false">Operations!AJ56*Inputs!$F$143/1000*Inputs!$F$150/100*Operations!AJ287*(Operations!AJ276-Operations!AJ289)</f>
        <v>0</v>
      </c>
      <c r="AK291" s="20" t="n">
        <f aca="false">Operations!AK56*Inputs!$F$143/1000*Inputs!$F$150/100*Operations!AK287*(Operations!AK276-Operations!AK289)</f>
        <v>0</v>
      </c>
      <c r="AL291" s="20" t="n">
        <f aca="false">Operations!AL56*Inputs!$F$143/1000*Inputs!$F$150/100*Operations!AL287*(Operations!AL276-Operations!AL289)</f>
        <v>0</v>
      </c>
      <c r="AM291" s="20" t="n">
        <f aca="false">Operations!AM56*Inputs!$F$143/1000*Inputs!$F$150/100*Operations!AM287*(Operations!AM276-Operations!AM289)</f>
        <v>0</v>
      </c>
      <c r="AN291" s="20" t="n">
        <f aca="false">Operations!AN56*Inputs!$F$143/1000*Inputs!$F$150/100*Operations!AN287*(Operations!AN276-Operations!AN289)</f>
        <v>0</v>
      </c>
      <c r="AO291" s="20" t="n">
        <f aca="false">Operations!AO56*Inputs!$F$143/1000*Inputs!$F$150/100*Operations!AO287*(Operations!AO276-Operations!AO289)</f>
        <v>0</v>
      </c>
      <c r="AP291" s="20" t="n">
        <f aca="false">Operations!AP56*Inputs!$F$143/1000*Inputs!$F$150/100*Operations!AP287*(Operations!AP276-Operations!AP289)</f>
        <v>0</v>
      </c>
      <c r="AQ291" s="20" t="n">
        <f aca="false">Operations!AQ56*Inputs!$F$143/1000*Inputs!$F$150/100*Operations!AQ287*(Operations!AQ276-Operations!AQ289)</f>
        <v>0</v>
      </c>
      <c r="AR291" s="20" t="n">
        <f aca="false">Operations!AR56*Inputs!$F$143/1000*Inputs!$F$150/100*Operations!AR287*(Operations!AR276-Operations!AR289)</f>
        <v>0</v>
      </c>
      <c r="AS291" s="20" t="n">
        <f aca="false">Operations!AS56*Inputs!$F$143/1000*Inputs!$F$150/100*Operations!AS287*(Operations!AS276-Operations!AS289)</f>
        <v>0</v>
      </c>
      <c r="AT291" s="20" t="n">
        <f aca="false">Operations!AT56*Inputs!$F$143/1000*Inputs!$F$150/100*Operations!AT287*(Operations!AT276-Operations!AT289)</f>
        <v>0</v>
      </c>
      <c r="AU291" s="20" t="n">
        <f aca="false">Operations!AU56*Inputs!$F$143/1000*Inputs!$F$150/100*Operations!AU287*(Operations!AU276-Operations!AU289)</f>
        <v>0</v>
      </c>
    </row>
    <row r="292" customFormat="false" ht="15" hidden="false" customHeight="false" outlineLevel="0" collapsed="false">
      <c r="D292" s="0" t="s">
        <v>687</v>
      </c>
      <c r="E292" s="0" t="s">
        <v>176</v>
      </c>
      <c r="J292" s="20" t="str">
        <f aca="false">IF(Operations!J289&gt;0,MIN(Operations!J282,Operations!J285),"")</f>
        <v/>
      </c>
      <c r="K292" s="20" t="n">
        <f aca="false">IF(Operations!K289&gt;0,MIN(Operations!K282,Operations!K285),"")</f>
        <v>213.987945205479</v>
      </c>
      <c r="L292" s="20" t="n">
        <f aca="false">IF(Operations!L289&gt;0,MIN(Operations!L282,Operations!L285),"")</f>
        <v>210.162082191781</v>
      </c>
      <c r="M292" s="20" t="n">
        <f aca="false">IF(Operations!M289&gt;0,MIN(Operations!M282,Operations!M285),"")</f>
        <v>206.922082191781</v>
      </c>
      <c r="N292" s="20" t="n">
        <f aca="false">IF(Operations!N289&gt;0,MIN(Operations!N282,Operations!N285),"")</f>
        <v>203.682082191781</v>
      </c>
      <c r="O292" s="20" t="n">
        <f aca="false">IF(Operations!O289&gt;0,MIN(Operations!O282,Operations!O285),"")</f>
        <v>203.682082191781</v>
      </c>
      <c r="P292" s="20" t="n">
        <f aca="false">IF(Operations!P289&gt;0,MIN(Operations!P282,Operations!P285),"")</f>
        <v>208.952712328767</v>
      </c>
      <c r="Q292" s="20" t="n">
        <f aca="false">IF(Operations!Q289&gt;0,MIN(Operations!Q282,Operations!Q285),"")</f>
        <v>205.532712328767</v>
      </c>
      <c r="R292" s="20" t="n">
        <f aca="false">IF(Operations!R289&gt;0,MIN(Operations!R282,Operations!R285),"")</f>
        <v>202.112712328767</v>
      </c>
      <c r="S292" s="20" t="str">
        <f aca="false">IF(Operations!S289&gt;0,MIN(Operations!S282,Operations!S285),"")</f>
        <v/>
      </c>
      <c r="T292" s="20" t="str">
        <f aca="false">IF(Operations!T289&gt;0,MIN(Operations!T282,Operations!T285),"")</f>
        <v/>
      </c>
      <c r="U292" s="20" t="str">
        <f aca="false">IF(Operations!U289&gt;0,MIN(Operations!U282,Operations!U285),"")</f>
        <v/>
      </c>
      <c r="V292" s="20" t="str">
        <f aca="false">IF(Operations!V289&gt;0,MIN(Operations!V282,Operations!V285),"")</f>
        <v/>
      </c>
      <c r="W292" s="20" t="str">
        <f aca="false">IF(Operations!W289&gt;0,MIN(Operations!W282,Operations!W285),"")</f>
        <v/>
      </c>
      <c r="X292" s="20" t="str">
        <f aca="false">IF(Operations!X289&gt;0,MIN(Operations!X282,Operations!X285),"")</f>
        <v/>
      </c>
      <c r="Y292" s="20" t="str">
        <f aca="false">IF(Operations!Y289&gt;0,MIN(Operations!Y282,Operations!Y285),"")</f>
        <v/>
      </c>
      <c r="Z292" s="20" t="str">
        <f aca="false">IF(Operations!Z289&gt;0,MIN(Operations!Z282,Operations!Z285),"")</f>
        <v/>
      </c>
      <c r="AA292" s="20" t="str">
        <f aca="false">IF(Operations!AA289&gt;0,MIN(Operations!AA282,Operations!AA285),"")</f>
        <v/>
      </c>
      <c r="AB292" s="20" t="str">
        <f aca="false">IF(Operations!AB289&gt;0,MIN(Operations!AB282,Operations!AB285),"")</f>
        <v/>
      </c>
      <c r="AC292" s="20" t="str">
        <f aca="false">IF(Operations!AC289&gt;0,MIN(Operations!AC282,Operations!AC285),"")</f>
        <v/>
      </c>
      <c r="AD292" s="20" t="str">
        <f aca="false">IF(Operations!AD289&gt;0,MIN(Operations!AD282,Operations!AD285),"")</f>
        <v/>
      </c>
      <c r="AE292" s="20" t="str">
        <f aca="false">IF(Operations!AE289&gt;0,MIN(Operations!AE282,Operations!AE285),"")</f>
        <v/>
      </c>
      <c r="AF292" s="20" t="str">
        <f aca="false">IF(Operations!AF289&gt;0,MIN(Operations!AF282,Operations!AF285),"")</f>
        <v/>
      </c>
      <c r="AG292" s="20" t="str">
        <f aca="false">IF(Operations!AG289&gt;0,MIN(Operations!AG282,Operations!AG285),"")</f>
        <v/>
      </c>
      <c r="AH292" s="20" t="str">
        <f aca="false">IF(Operations!AH289&gt;0,MIN(Operations!AH282,Operations!AH285),"")</f>
        <v/>
      </c>
      <c r="AI292" s="20" t="str">
        <f aca="false">IF(Operations!AI289&gt;0,MIN(Operations!AI282,Operations!AI285),"")</f>
        <v/>
      </c>
      <c r="AJ292" s="20" t="str">
        <f aca="false">IF(Operations!AJ289&gt;0,MIN(Operations!AJ282,Operations!AJ285),"")</f>
        <v/>
      </c>
      <c r="AK292" s="20" t="str">
        <f aca="false">IF(Operations!AK289&gt;0,MIN(Operations!AK282,Operations!AK285),"")</f>
        <v/>
      </c>
      <c r="AL292" s="20" t="str">
        <f aca="false">IF(Operations!AL289&gt;0,MIN(Operations!AL282,Operations!AL285),"")</f>
        <v/>
      </c>
      <c r="AM292" s="20" t="str">
        <f aca="false">IF(Operations!AM289&gt;0,MIN(Operations!AM282,Operations!AM285),"")</f>
        <v/>
      </c>
      <c r="AN292" s="20" t="str">
        <f aca="false">IF(Operations!AN289&gt;0,MIN(Operations!AN282,Operations!AN285),"")</f>
        <v/>
      </c>
      <c r="AO292" s="20" t="str">
        <f aca="false">IF(Operations!AO289&gt;0,MIN(Operations!AO282,Operations!AO285),"")</f>
        <v/>
      </c>
      <c r="AP292" s="20" t="str">
        <f aca="false">IF(Operations!AP289&gt;0,MIN(Operations!AP282,Operations!AP285),"")</f>
        <v/>
      </c>
      <c r="AQ292" s="20" t="str">
        <f aca="false">IF(Operations!AQ289&gt;0,MIN(Operations!AQ282,Operations!AQ285),"")</f>
        <v/>
      </c>
      <c r="AR292" s="20" t="str">
        <f aca="false">IF(Operations!AR289&gt;0,MIN(Operations!AR282,Operations!AR285),"")</f>
        <v/>
      </c>
      <c r="AS292" s="20" t="str">
        <f aca="false">IF(Operations!AS289&gt;0,MIN(Operations!AS282,Operations!AS285),"")</f>
        <v/>
      </c>
      <c r="AT292" s="20" t="str">
        <f aca="false">IF(Operations!AT289&gt;0,MIN(Operations!AT282,Operations!AT285),"")</f>
        <v/>
      </c>
      <c r="AU292" s="20" t="str">
        <f aca="false">IF(Operations!AU289&gt;0,MIN(Operations!AU282,Operations!AU285),"")</f>
        <v/>
      </c>
    </row>
    <row r="293" customFormat="false" ht="15" hidden="false" customHeight="false" outlineLevel="0" collapsed="false">
      <c r="D293" s="0" t="s">
        <v>688</v>
      </c>
      <c r="E293" s="0" t="s">
        <v>47</v>
      </c>
      <c r="J293" s="20" t="n">
        <f aca="false">Operations!J290</f>
        <v>0</v>
      </c>
      <c r="K293" s="20" t="n">
        <f aca="false">Operations!K290</f>
        <v>5.11397260273973</v>
      </c>
      <c r="L293" s="20" t="n">
        <f aca="false">Operations!L290</f>
        <v>10.98</v>
      </c>
      <c r="M293" s="20" t="n">
        <f aca="false">Operations!M290</f>
        <v>10.98</v>
      </c>
      <c r="N293" s="20" t="n">
        <f aca="false">Operations!N290</f>
        <v>10.98</v>
      </c>
      <c r="O293" s="20" t="n">
        <f aca="false">Operations!O290</f>
        <v>10.98</v>
      </c>
      <c r="P293" s="20" t="n">
        <f aca="false">Operations!P290</f>
        <v>10.98</v>
      </c>
      <c r="Q293" s="20" t="n">
        <f aca="false">Operations!Q290</f>
        <v>10.98</v>
      </c>
      <c r="R293" s="20" t="n">
        <f aca="false">Operations!R290</f>
        <v>5.83594520547945</v>
      </c>
      <c r="S293" s="20" t="n">
        <f aca="false">Operations!S290</f>
        <v>0</v>
      </c>
      <c r="T293" s="20" t="n">
        <f aca="false">Operations!T290</f>
        <v>0</v>
      </c>
      <c r="U293" s="20" t="n">
        <f aca="false">Operations!U290</f>
        <v>0</v>
      </c>
      <c r="V293" s="20" t="n">
        <f aca="false">Operations!V290</f>
        <v>0</v>
      </c>
      <c r="W293" s="20" t="n">
        <f aca="false">Operations!W290</f>
        <v>0</v>
      </c>
      <c r="X293" s="20" t="n">
        <f aca="false">Operations!X290</f>
        <v>0</v>
      </c>
      <c r="Y293" s="20" t="n">
        <f aca="false">Operations!Y290</f>
        <v>0</v>
      </c>
      <c r="Z293" s="20" t="n">
        <f aca="false">Operations!Z290</f>
        <v>0</v>
      </c>
      <c r="AA293" s="20" t="n">
        <f aca="false">Operations!AA290</f>
        <v>0</v>
      </c>
      <c r="AB293" s="20" t="n">
        <f aca="false">Operations!AB290</f>
        <v>0</v>
      </c>
      <c r="AC293" s="20" t="n">
        <f aca="false">Operations!AC290</f>
        <v>0</v>
      </c>
      <c r="AD293" s="20" t="n">
        <f aca="false">Operations!AD290</f>
        <v>0</v>
      </c>
      <c r="AE293" s="20" t="n">
        <f aca="false">Operations!AE290</f>
        <v>0</v>
      </c>
      <c r="AF293" s="20" t="n">
        <f aca="false">Operations!AF290</f>
        <v>0</v>
      </c>
      <c r="AG293" s="20" t="n">
        <f aca="false">Operations!AG290</f>
        <v>0</v>
      </c>
      <c r="AH293" s="20" t="n">
        <f aca="false">Operations!AH290</f>
        <v>0</v>
      </c>
      <c r="AI293" s="20" t="n">
        <f aca="false">Operations!AI290</f>
        <v>0</v>
      </c>
      <c r="AJ293" s="20" t="n">
        <f aca="false">Operations!AJ290</f>
        <v>0</v>
      </c>
      <c r="AK293" s="20" t="n">
        <f aca="false">Operations!AK290</f>
        <v>0</v>
      </c>
      <c r="AL293" s="20" t="n">
        <f aca="false">Operations!AL290</f>
        <v>0</v>
      </c>
      <c r="AM293" s="20" t="n">
        <f aca="false">Operations!AM290</f>
        <v>0</v>
      </c>
      <c r="AN293" s="20" t="n">
        <f aca="false">Operations!AN290</f>
        <v>0</v>
      </c>
      <c r="AO293" s="20" t="n">
        <f aca="false">Operations!AO290</f>
        <v>0</v>
      </c>
      <c r="AP293" s="20" t="n">
        <f aca="false">Operations!AP290</f>
        <v>0</v>
      </c>
      <c r="AQ293" s="20" t="n">
        <f aca="false">Operations!AQ290</f>
        <v>0</v>
      </c>
      <c r="AR293" s="20" t="n">
        <f aca="false">Operations!AR290</f>
        <v>0</v>
      </c>
      <c r="AS293" s="20" t="n">
        <f aca="false">Operations!AS290</f>
        <v>0</v>
      </c>
      <c r="AT293" s="20" t="n">
        <f aca="false">Operations!AT290</f>
        <v>0</v>
      </c>
      <c r="AU293" s="20" t="n">
        <f aca="false">Operations!AU290</f>
        <v>0</v>
      </c>
    </row>
    <row r="294" customFormat="false" ht="15" hidden="false" customHeight="false" outlineLevel="0" collapsed="false">
      <c r="D294" s="0" t="s">
        <v>689</v>
      </c>
      <c r="E294" s="0" t="s">
        <v>47</v>
      </c>
      <c r="J294" s="20" t="n">
        <f aca="false">0</f>
        <v>0</v>
      </c>
      <c r="K294" s="20" t="n">
        <f aca="false">0</f>
        <v>0</v>
      </c>
      <c r="L294" s="20" t="n">
        <f aca="false">0</f>
        <v>0</v>
      </c>
      <c r="M294" s="20" t="n">
        <f aca="false">0</f>
        <v>0</v>
      </c>
      <c r="N294" s="20" t="n">
        <f aca="false">0</f>
        <v>0</v>
      </c>
      <c r="O294" s="20" t="n">
        <f aca="false">0</f>
        <v>0</v>
      </c>
      <c r="P294" s="20" t="n">
        <f aca="false">0</f>
        <v>0</v>
      </c>
      <c r="Q294" s="20" t="n">
        <f aca="false">0</f>
        <v>0</v>
      </c>
      <c r="R294" s="20" t="n">
        <f aca="false">0</f>
        <v>0</v>
      </c>
      <c r="S294" s="20" t="n">
        <f aca="false">0</f>
        <v>0</v>
      </c>
      <c r="T294" s="20" t="n">
        <f aca="false">0</f>
        <v>0</v>
      </c>
      <c r="U294" s="20" t="n">
        <f aca="false">0</f>
        <v>0</v>
      </c>
      <c r="V294" s="20" t="n">
        <f aca="false">0</f>
        <v>0</v>
      </c>
      <c r="W294" s="20" t="n">
        <f aca="false">0</f>
        <v>0</v>
      </c>
      <c r="X294" s="20" t="n">
        <f aca="false">0</f>
        <v>0</v>
      </c>
      <c r="Y294" s="20" t="n">
        <f aca="false">0</f>
        <v>0</v>
      </c>
      <c r="Z294" s="20" t="n">
        <f aca="false">0</f>
        <v>0</v>
      </c>
      <c r="AA294" s="20" t="n">
        <f aca="false">0</f>
        <v>0</v>
      </c>
      <c r="AB294" s="20" t="n">
        <f aca="false">0</f>
        <v>0</v>
      </c>
      <c r="AC294" s="20" t="n">
        <f aca="false">0</f>
        <v>0</v>
      </c>
      <c r="AD294" s="20" t="n">
        <f aca="false">0</f>
        <v>0</v>
      </c>
      <c r="AE294" s="20" t="n">
        <f aca="false">0</f>
        <v>0</v>
      </c>
      <c r="AF294" s="20" t="n">
        <f aca="false">0</f>
        <v>0</v>
      </c>
      <c r="AG294" s="20" t="n">
        <f aca="false">0</f>
        <v>0</v>
      </c>
      <c r="AH294" s="20" t="n">
        <f aca="false">0</f>
        <v>0</v>
      </c>
      <c r="AI294" s="20" t="n">
        <f aca="false">0</f>
        <v>0</v>
      </c>
      <c r="AJ294" s="20" t="n">
        <f aca="false">0</f>
        <v>0</v>
      </c>
      <c r="AK294" s="20" t="n">
        <f aca="false">0</f>
        <v>0</v>
      </c>
      <c r="AL294" s="20" t="n">
        <f aca="false">0</f>
        <v>0</v>
      </c>
      <c r="AM294" s="20" t="n">
        <f aca="false">0</f>
        <v>0</v>
      </c>
      <c r="AN294" s="20" t="n">
        <f aca="false">0</f>
        <v>0</v>
      </c>
      <c r="AO294" s="20" t="n">
        <f aca="false">0</f>
        <v>0</v>
      </c>
      <c r="AP294" s="20" t="n">
        <f aca="false">0</f>
        <v>0</v>
      </c>
      <c r="AQ294" s="20" t="n">
        <f aca="false">0</f>
        <v>0</v>
      </c>
      <c r="AR294" s="20" t="n">
        <f aca="false">0</f>
        <v>0</v>
      </c>
      <c r="AS294" s="20" t="n">
        <f aca="false">0</f>
        <v>0</v>
      </c>
      <c r="AT294" s="20" t="n">
        <f aca="false">0</f>
        <v>0</v>
      </c>
      <c r="AU294" s="20" t="n">
        <f aca="false">0</f>
        <v>0</v>
      </c>
    </row>
    <row r="295" customFormat="false" ht="15" hidden="false" customHeight="false" outlineLevel="0" collapsed="false">
      <c r="D295" s="0" t="s">
        <v>690</v>
      </c>
      <c r="E295" s="0" t="s">
        <v>47</v>
      </c>
      <c r="G295" s="20" t="n">
        <f aca="false">SUM(J295:AU295)</f>
        <v>160.360212927398</v>
      </c>
      <c r="J295" s="20" t="n">
        <f aca="false">Operations!J290+Operations!J291</f>
        <v>0</v>
      </c>
      <c r="K295" s="20" t="n">
        <f aca="false">Operations!K290+Operations!K291</f>
        <v>5.11397260273973</v>
      </c>
      <c r="L295" s="20" t="n">
        <f aca="false">Operations!L290+Operations!L291</f>
        <v>10.98</v>
      </c>
      <c r="M295" s="20" t="n">
        <f aca="false">Operations!M290+Operations!M291</f>
        <v>10.98</v>
      </c>
      <c r="N295" s="20" t="n">
        <f aca="false">Operations!N290+Operations!N291</f>
        <v>10.98</v>
      </c>
      <c r="O295" s="20" t="n">
        <f aca="false">Operations!O290+Operations!O291</f>
        <v>10.98</v>
      </c>
      <c r="P295" s="20" t="n">
        <f aca="false">Operations!P290+Operations!P291</f>
        <v>10.98</v>
      </c>
      <c r="Q295" s="20" t="n">
        <f aca="false">Operations!Q290+Operations!Q291</f>
        <v>10.98</v>
      </c>
      <c r="R295" s="20" t="n">
        <f aca="false">Operations!R290+Operations!R291</f>
        <v>8.64286335616439</v>
      </c>
      <c r="S295" s="20" t="n">
        <f aca="false">Operations!S290+Operations!S291</f>
        <v>6.081075</v>
      </c>
      <c r="T295" s="20" t="n">
        <f aca="false">Operations!T290+Operations!T291</f>
        <v>6.172725</v>
      </c>
      <c r="U295" s="20" t="n">
        <f aca="false">Operations!U290+Operations!U291</f>
        <v>6.26535</v>
      </c>
      <c r="V295" s="20" t="n">
        <f aca="false">Operations!V290+Operations!V291</f>
        <v>6.35895</v>
      </c>
      <c r="W295" s="20" t="n">
        <f aca="false">Operations!W290+Operations!W291</f>
        <v>6.4545</v>
      </c>
      <c r="X295" s="20" t="n">
        <f aca="false">Operations!X290+Operations!X291</f>
        <v>6.47343753158219</v>
      </c>
      <c r="Y295" s="20" t="n">
        <f aca="false">Operations!Y290+Operations!Y291</f>
        <v>6.48685596267123</v>
      </c>
      <c r="Z295" s="20" t="n">
        <f aca="false">Operations!Z290+Operations!Z291</f>
        <v>6.49985734966438</v>
      </c>
      <c r="AA295" s="20" t="n">
        <f aca="false">Operations!AA290+Operations!AA291</f>
        <v>6.51325553734932</v>
      </c>
      <c r="AB295" s="20" t="n">
        <f aca="false">Operations!AB290+Operations!AB291</f>
        <v>6.52495716573288</v>
      </c>
      <c r="AC295" s="20" t="n">
        <f aca="false">Operations!AC290+Operations!AC291</f>
        <v>6.53595162768493</v>
      </c>
      <c r="AD295" s="20" t="n">
        <f aca="false">Operations!AD290+Operations!AD291</f>
        <v>6.54735362708219</v>
      </c>
      <c r="AE295" s="20" t="n">
        <f aca="false">Operations!AE290+Operations!AE291</f>
        <v>3.80910816672712</v>
      </c>
      <c r="AF295" s="20" t="n">
        <f aca="false">Operations!AF290+Operations!AF291</f>
        <v>0</v>
      </c>
      <c r="AG295" s="20" t="n">
        <f aca="false">Operations!AG290+Operations!AG291</f>
        <v>0</v>
      </c>
      <c r="AH295" s="20" t="n">
        <f aca="false">Operations!AH290+Operations!AH291</f>
        <v>0</v>
      </c>
      <c r="AI295" s="20" t="n">
        <f aca="false">Operations!AI290+Operations!AI291</f>
        <v>0</v>
      </c>
      <c r="AJ295" s="20" t="n">
        <f aca="false">Operations!AJ290+Operations!AJ291</f>
        <v>0</v>
      </c>
      <c r="AK295" s="20" t="n">
        <f aca="false">Operations!AK290+Operations!AK291</f>
        <v>0</v>
      </c>
      <c r="AL295" s="20" t="n">
        <f aca="false">Operations!AL290+Operations!AL291</f>
        <v>0</v>
      </c>
      <c r="AM295" s="20" t="n">
        <f aca="false">Operations!AM290+Operations!AM291</f>
        <v>0</v>
      </c>
      <c r="AN295" s="20" t="n">
        <f aca="false">Operations!AN290+Operations!AN291</f>
        <v>0</v>
      </c>
      <c r="AO295" s="20" t="n">
        <f aca="false">Operations!AO290+Operations!AO291</f>
        <v>0</v>
      </c>
      <c r="AP295" s="20" t="n">
        <f aca="false">Operations!AP290+Operations!AP291</f>
        <v>0</v>
      </c>
      <c r="AQ295" s="20" t="n">
        <f aca="false">Operations!AQ290+Operations!AQ291</f>
        <v>0</v>
      </c>
      <c r="AR295" s="20" t="n">
        <f aca="false">Operations!AR290+Operations!AR291</f>
        <v>0</v>
      </c>
      <c r="AS295" s="20" t="n">
        <f aca="false">Operations!AS290+Operations!AS291</f>
        <v>0</v>
      </c>
      <c r="AT295" s="20" t="n">
        <f aca="false">Operations!AT290+Operations!AT291</f>
        <v>0</v>
      </c>
      <c r="AU295" s="20" t="n">
        <f aca="false">Operations!AU290+Operations!AU291</f>
        <v>0</v>
      </c>
    </row>
    <row r="296" customFormat="false" ht="15" hidden="false" customHeight="false" outlineLevel="0" collapsed="false">
      <c r="D296" s="0" t="s">
        <v>691</v>
      </c>
      <c r="E296" s="0" t="s">
        <v>47</v>
      </c>
      <c r="J296" s="20" t="n">
        <f aca="false">Operations!J295-Operations!J293-Operations!J294</f>
        <v>0</v>
      </c>
      <c r="K296" s="20" t="n">
        <f aca="false">Operations!K295-Operations!K293-Operations!K294</f>
        <v>0</v>
      </c>
      <c r="L296" s="20" t="n">
        <f aca="false">Operations!L295-Operations!L293-Operations!L294</f>
        <v>0</v>
      </c>
      <c r="M296" s="20" t="n">
        <f aca="false">Operations!M295-Operations!M293-Operations!M294</f>
        <v>0</v>
      </c>
      <c r="N296" s="20" t="n">
        <f aca="false">Operations!N295-Operations!N293-Operations!N294</f>
        <v>0</v>
      </c>
      <c r="O296" s="20" t="n">
        <f aca="false">Operations!O295-Operations!O293-Operations!O294</f>
        <v>0</v>
      </c>
      <c r="P296" s="20" t="n">
        <f aca="false">Operations!P295-Operations!P293-Operations!P294</f>
        <v>0</v>
      </c>
      <c r="Q296" s="20" t="n">
        <f aca="false">Operations!Q295-Operations!Q293-Operations!Q294</f>
        <v>0</v>
      </c>
      <c r="R296" s="20" t="n">
        <f aca="false">Operations!R295-Operations!R293-Operations!R294</f>
        <v>2.80691815068493</v>
      </c>
      <c r="S296" s="20" t="n">
        <f aca="false">Operations!S295-Operations!S293-Operations!S294</f>
        <v>6.081075</v>
      </c>
      <c r="T296" s="20" t="n">
        <f aca="false">Operations!T295-Operations!T293-Operations!T294</f>
        <v>6.172725</v>
      </c>
      <c r="U296" s="20" t="n">
        <f aca="false">Operations!U295-Operations!U293-Operations!U294</f>
        <v>6.26535</v>
      </c>
      <c r="V296" s="20" t="n">
        <f aca="false">Operations!V295-Operations!V293-Operations!V294</f>
        <v>6.35895</v>
      </c>
      <c r="W296" s="20" t="n">
        <f aca="false">Operations!W295-Operations!W293-Operations!W294</f>
        <v>6.4545</v>
      </c>
      <c r="X296" s="20" t="n">
        <f aca="false">Operations!X295-Operations!X293-Operations!X294</f>
        <v>6.47343753158219</v>
      </c>
      <c r="Y296" s="20" t="n">
        <f aca="false">Operations!Y295-Operations!Y293-Operations!Y294</f>
        <v>6.48685596267123</v>
      </c>
      <c r="Z296" s="20" t="n">
        <f aca="false">Operations!Z295-Operations!Z293-Operations!Z294</f>
        <v>6.49985734966438</v>
      </c>
      <c r="AA296" s="20" t="n">
        <f aca="false">Operations!AA295-Operations!AA293-Operations!AA294</f>
        <v>6.51325553734932</v>
      </c>
      <c r="AB296" s="20" t="n">
        <f aca="false">Operations!AB295-Operations!AB293-Operations!AB294</f>
        <v>6.52495716573288</v>
      </c>
      <c r="AC296" s="20" t="n">
        <f aca="false">Operations!AC295-Operations!AC293-Operations!AC294</f>
        <v>6.53595162768493</v>
      </c>
      <c r="AD296" s="20" t="n">
        <f aca="false">Operations!AD295-Operations!AD293-Operations!AD294</f>
        <v>6.54735362708219</v>
      </c>
      <c r="AE296" s="20" t="n">
        <f aca="false">Operations!AE295-Operations!AE293-Operations!AE294</f>
        <v>3.80910816672712</v>
      </c>
      <c r="AF296" s="20" t="n">
        <f aca="false">Operations!AF295-Operations!AF293-Operations!AF294</f>
        <v>0</v>
      </c>
      <c r="AG296" s="20" t="n">
        <f aca="false">Operations!AG295-Operations!AG293-Operations!AG294</f>
        <v>0</v>
      </c>
      <c r="AH296" s="20" t="n">
        <f aca="false">Operations!AH295-Operations!AH293-Operations!AH294</f>
        <v>0</v>
      </c>
      <c r="AI296" s="20" t="n">
        <f aca="false">Operations!AI295-Operations!AI293-Operations!AI294</f>
        <v>0</v>
      </c>
      <c r="AJ296" s="20" t="n">
        <f aca="false">Operations!AJ295-Operations!AJ293-Operations!AJ294</f>
        <v>0</v>
      </c>
      <c r="AK296" s="20" t="n">
        <f aca="false">Operations!AK295-Operations!AK293-Operations!AK294</f>
        <v>0</v>
      </c>
      <c r="AL296" s="20" t="n">
        <f aca="false">Operations!AL295-Operations!AL293-Operations!AL294</f>
        <v>0</v>
      </c>
      <c r="AM296" s="20" t="n">
        <f aca="false">Operations!AM295-Operations!AM293-Operations!AM294</f>
        <v>0</v>
      </c>
      <c r="AN296" s="20" t="n">
        <f aca="false">Operations!AN295-Operations!AN293-Operations!AN294</f>
        <v>0</v>
      </c>
      <c r="AO296" s="20" t="n">
        <f aca="false">Operations!AO295-Operations!AO293-Operations!AO294</f>
        <v>0</v>
      </c>
      <c r="AP296" s="20" t="n">
        <f aca="false">Operations!AP295-Operations!AP293-Operations!AP294</f>
        <v>0</v>
      </c>
      <c r="AQ296" s="20" t="n">
        <f aca="false">Operations!AQ295-Operations!AQ293-Operations!AQ294</f>
        <v>0</v>
      </c>
      <c r="AR296" s="20" t="n">
        <f aca="false">Operations!AR295-Operations!AR293-Operations!AR294</f>
        <v>0</v>
      </c>
      <c r="AS296" s="20" t="n">
        <f aca="false">Operations!AS295-Operations!AS293-Operations!AS294</f>
        <v>0</v>
      </c>
      <c r="AT296" s="20" t="n">
        <f aca="false">Operations!AT295-Operations!AT293-Operations!AT294</f>
        <v>0</v>
      </c>
      <c r="AU296" s="20" t="n">
        <f aca="false">Operations!AU295-Operations!AU293-Operations!AU294</f>
        <v>0</v>
      </c>
    </row>
    <row r="297" customFormat="false" ht="15" hidden="false" customHeight="false" outlineLevel="0" collapsed="false">
      <c r="D297" s="0" t="s">
        <v>692</v>
      </c>
      <c r="E297" s="0" t="s">
        <v>47</v>
      </c>
      <c r="J297" s="20" t="n">
        <f aca="false">Inputs!$F$147*Inputs!$F$143/1000*Time!J$9*Time!J$10*Operations!J276*Operations!$F$50</f>
        <v>0</v>
      </c>
      <c r="K297" s="20" t="n">
        <f aca="false">Inputs!$F$147*Inputs!$F$143/1000*Time!K$9*Time!K$10*Operations!K276*Operations!$F$50</f>
        <v>0.720001</v>
      </c>
      <c r="L297" s="20" t="n">
        <f aca="false">Inputs!$F$147*Inputs!$F$143/1000*Time!L$9*Time!L$10*Operations!L276*Operations!$F$50</f>
        <v>1.5845316125</v>
      </c>
      <c r="M297" s="20" t="n">
        <f aca="false">Inputs!$F$147*Inputs!$F$143/1000*Time!M$9*Time!M$10*Operations!M276*Operations!$F$50</f>
        <v>1.6241449028125</v>
      </c>
      <c r="N297" s="20" t="n">
        <f aca="false">Inputs!$F$147*Inputs!$F$143/1000*Time!N$9*Time!N$10*Operations!N276*Operations!$F$50</f>
        <v>1.66474852538281</v>
      </c>
      <c r="O297" s="20" t="n">
        <f aca="false">Inputs!$F$147*Inputs!$F$143/1000*Time!O$9*Time!O$10*Operations!O276*Operations!$F$50</f>
        <v>1.70636723851738</v>
      </c>
      <c r="P297" s="20" t="n">
        <f aca="false">Inputs!$F$147*Inputs!$F$143/1000*Time!P$9*Time!P$10*Operations!P276*Operations!$F$50</f>
        <v>1.74902641948032</v>
      </c>
      <c r="Q297" s="20" t="n">
        <f aca="false">Inputs!$F$147*Inputs!$F$143/1000*Time!Q$9*Time!Q$10*Operations!Q276*Operations!$F$50</f>
        <v>1.79275207996732</v>
      </c>
      <c r="R297" s="20" t="n">
        <f aca="false">Inputs!$F$147*Inputs!$F$143/1000*Time!R$9*Time!R$10*Operations!R276*Operations!$F$50</f>
        <v>1.83757088196651</v>
      </c>
      <c r="S297" s="20" t="n">
        <f aca="false">Inputs!$F$147*Inputs!$F$143/1000*Time!S$9*Time!S$10*Operations!S276*Operations!$F$50</f>
        <v>1.88351015401567</v>
      </c>
      <c r="T297" s="20" t="n">
        <f aca="false">Inputs!$F$147*Inputs!$F$143/1000*Time!T$9*Time!T$10*Operations!T276*Operations!$F$50</f>
        <v>1.93059790786606</v>
      </c>
      <c r="U297" s="20" t="n">
        <f aca="false">Inputs!$F$147*Inputs!$F$143/1000*Time!U$9*Time!U$10*Operations!U276*Operations!$F$50</f>
        <v>1.97886285556271</v>
      </c>
      <c r="V297" s="20" t="n">
        <f aca="false">Inputs!$F$147*Inputs!$F$143/1000*Time!V$9*Time!V$10*Operations!V276*Operations!$F$50</f>
        <v>2.02833442695178</v>
      </c>
      <c r="W297" s="20" t="n">
        <f aca="false">Inputs!$F$147*Inputs!$F$143/1000*Time!W$9*Time!W$10*Operations!W276*Operations!$F$50</f>
        <v>2.07904278762557</v>
      </c>
      <c r="X297" s="20" t="n">
        <f aca="false">Inputs!$F$147*Inputs!$F$143/1000*Time!X$9*Time!X$10*Operations!X276*Operations!$F$50</f>
        <v>2.13101885731621</v>
      </c>
      <c r="Y297" s="20" t="n">
        <f aca="false">Inputs!$F$147*Inputs!$F$143/1000*Time!Y$9*Time!Y$10*Operations!Y276*Operations!$F$50</f>
        <v>2.18429432874912</v>
      </c>
      <c r="Z297" s="20" t="n">
        <f aca="false">Inputs!$F$147*Inputs!$F$143/1000*Time!Z$9*Time!Z$10*Operations!Z276*Operations!$F$50</f>
        <v>2.23890168696785</v>
      </c>
      <c r="AA297" s="20" t="n">
        <f aca="false">Inputs!$F$147*Inputs!$F$143/1000*Time!AA$9*Time!AA$10*Operations!AA276*Operations!$F$50</f>
        <v>2.29487422914204</v>
      </c>
      <c r="AB297" s="20" t="n">
        <f aca="false">Inputs!$F$147*Inputs!$F$143/1000*Time!AB$9*Time!AB$10*Operations!AB276*Operations!$F$50</f>
        <v>2.35224608487059</v>
      </c>
      <c r="AC297" s="20" t="n">
        <f aca="false">Inputs!$F$147*Inputs!$F$143/1000*Time!AC$9*Time!AC$10*Operations!AC276*Operations!$F$50</f>
        <v>2.41105223699236</v>
      </c>
      <c r="AD297" s="20" t="n">
        <f aca="false">Inputs!$F$147*Inputs!$F$143/1000*Time!AD$9*Time!AD$10*Operations!AD276*Operations!$F$50</f>
        <v>2.47132854291717</v>
      </c>
      <c r="AE297" s="20" t="n">
        <f aca="false">Inputs!$F$147*Inputs!$F$143/1000*Time!AE$9*Time!AE$10*Operations!AE276*Operations!$F$50</f>
        <v>1.47128682842712</v>
      </c>
      <c r="AF297" s="20" t="n">
        <f aca="false">Inputs!$F$147*Inputs!$F$143/1000*Time!AF$9*Time!AF$10*Operations!AF276*Operations!$F$50</f>
        <v>0</v>
      </c>
      <c r="AG297" s="20" t="n">
        <f aca="false">Inputs!$F$147*Inputs!$F$143/1000*Time!AG$9*Time!AG$10*Operations!AG276*Operations!$F$50</f>
        <v>0</v>
      </c>
      <c r="AH297" s="20" t="n">
        <f aca="false">Inputs!$F$147*Inputs!$F$143/1000*Time!AH$9*Time!AH$10*Operations!AH276*Operations!$F$50</f>
        <v>0</v>
      </c>
      <c r="AI297" s="20" t="n">
        <f aca="false">Inputs!$F$147*Inputs!$F$143/1000*Time!AI$9*Time!AI$10*Operations!AI276*Operations!$F$50</f>
        <v>0</v>
      </c>
      <c r="AJ297" s="20" t="n">
        <f aca="false">Inputs!$F$147*Inputs!$F$143/1000*Time!AJ$9*Time!AJ$10*Operations!AJ276*Operations!$F$50</f>
        <v>0</v>
      </c>
      <c r="AK297" s="20" t="n">
        <f aca="false">Inputs!$F$147*Inputs!$F$143/1000*Time!AK$9*Time!AK$10*Operations!AK276*Operations!$F$50</f>
        <v>0</v>
      </c>
      <c r="AL297" s="20" t="n">
        <f aca="false">Inputs!$F$147*Inputs!$F$143/1000*Time!AL$9*Time!AL$10*Operations!AL276*Operations!$F$50</f>
        <v>0</v>
      </c>
      <c r="AM297" s="20" t="n">
        <f aca="false">Inputs!$F$147*Inputs!$F$143/1000*Time!AM$9*Time!AM$10*Operations!AM276*Operations!$F$50</f>
        <v>0</v>
      </c>
      <c r="AN297" s="20" t="n">
        <f aca="false">Inputs!$F$147*Inputs!$F$143/1000*Time!AN$9*Time!AN$10*Operations!AN276*Operations!$F$50</f>
        <v>0</v>
      </c>
      <c r="AO297" s="20" t="n">
        <f aca="false">Inputs!$F$147*Inputs!$F$143/1000*Time!AO$9*Time!AO$10*Operations!AO276*Operations!$F$50</f>
        <v>0</v>
      </c>
      <c r="AP297" s="20" t="n">
        <f aca="false">Inputs!$F$147*Inputs!$F$143/1000*Time!AP$9*Time!AP$10*Operations!AP276*Operations!$F$50</f>
        <v>0</v>
      </c>
      <c r="AQ297" s="20" t="n">
        <f aca="false">Inputs!$F$147*Inputs!$F$143/1000*Time!AQ$9*Time!AQ$10*Operations!AQ276*Operations!$F$50</f>
        <v>0</v>
      </c>
      <c r="AR297" s="20" t="n">
        <f aca="false">Inputs!$F$147*Inputs!$F$143/1000*Time!AR$9*Time!AR$10*Operations!AR276*Operations!$F$50</f>
        <v>0</v>
      </c>
      <c r="AS297" s="20" t="n">
        <f aca="false">Inputs!$F$147*Inputs!$F$143/1000*Time!AS$9*Time!AS$10*Operations!AS276*Operations!$F$50</f>
        <v>0</v>
      </c>
      <c r="AT297" s="20" t="n">
        <f aca="false">Inputs!$F$147*Inputs!$F$143/1000*Time!AT$9*Time!AT$10*Operations!AT276*Operations!$F$50</f>
        <v>0</v>
      </c>
      <c r="AU297" s="20" t="n">
        <f aca="false">Inputs!$F$147*Inputs!$F$143/1000*Time!AU$9*Time!AU$10*Operations!AU276*Operations!$F$50</f>
        <v>0</v>
      </c>
    </row>
    <row r="298" customFormat="false" ht="15" hidden="false" customHeight="false" outlineLevel="0" collapsed="false">
      <c r="D298" s="0" t="s">
        <v>693</v>
      </c>
      <c r="E298" s="0" t="s">
        <v>47</v>
      </c>
      <c r="J298" s="20" t="n">
        <f aca="false">0</f>
        <v>0</v>
      </c>
      <c r="K298" s="20" t="n">
        <f aca="false">0</f>
        <v>0</v>
      </c>
      <c r="L298" s="20" t="n">
        <f aca="false">0</f>
        <v>0</v>
      </c>
      <c r="M298" s="20" t="n">
        <f aca="false">0</f>
        <v>0</v>
      </c>
      <c r="N298" s="20" t="n">
        <f aca="false">0</f>
        <v>0</v>
      </c>
      <c r="O298" s="20" t="n">
        <f aca="false">0</f>
        <v>0</v>
      </c>
      <c r="P298" s="20" t="n">
        <f aca="false">0</f>
        <v>0</v>
      </c>
      <c r="Q298" s="20" t="n">
        <f aca="false">0</f>
        <v>0</v>
      </c>
      <c r="R298" s="20" t="n">
        <f aca="false">0</f>
        <v>0</v>
      </c>
      <c r="S298" s="20" t="n">
        <f aca="false">0</f>
        <v>0</v>
      </c>
      <c r="T298" s="20" t="n">
        <f aca="false">0</f>
        <v>0</v>
      </c>
      <c r="U298" s="20" t="n">
        <f aca="false">0</f>
        <v>0</v>
      </c>
      <c r="V298" s="20" t="n">
        <f aca="false">0</f>
        <v>0</v>
      </c>
      <c r="W298" s="20" t="n">
        <f aca="false">0</f>
        <v>0</v>
      </c>
      <c r="X298" s="20" t="n">
        <f aca="false">0</f>
        <v>0</v>
      </c>
      <c r="Y298" s="20" t="n">
        <f aca="false">0</f>
        <v>0</v>
      </c>
      <c r="Z298" s="20" t="n">
        <f aca="false">0</f>
        <v>0</v>
      </c>
      <c r="AA298" s="20" t="n">
        <f aca="false">0</f>
        <v>0</v>
      </c>
      <c r="AB298" s="20" t="n">
        <f aca="false">0</f>
        <v>0</v>
      </c>
      <c r="AC298" s="20" t="n">
        <f aca="false">0</f>
        <v>0</v>
      </c>
      <c r="AD298" s="20" t="n">
        <f aca="false">0</f>
        <v>0</v>
      </c>
      <c r="AE298" s="20" t="n">
        <f aca="false">0</f>
        <v>0</v>
      </c>
      <c r="AF298" s="20" t="n">
        <f aca="false">0</f>
        <v>0</v>
      </c>
      <c r="AG298" s="20" t="n">
        <f aca="false">0</f>
        <v>0</v>
      </c>
      <c r="AH298" s="20" t="n">
        <f aca="false">0</f>
        <v>0</v>
      </c>
      <c r="AI298" s="20" t="n">
        <f aca="false">0</f>
        <v>0</v>
      </c>
      <c r="AJ298" s="20" t="n">
        <f aca="false">0</f>
        <v>0</v>
      </c>
      <c r="AK298" s="20" t="n">
        <f aca="false">0</f>
        <v>0</v>
      </c>
      <c r="AL298" s="20" t="n">
        <f aca="false">0</f>
        <v>0</v>
      </c>
      <c r="AM298" s="20" t="n">
        <f aca="false">0</f>
        <v>0</v>
      </c>
      <c r="AN298" s="20" t="n">
        <f aca="false">0</f>
        <v>0</v>
      </c>
      <c r="AO298" s="20" t="n">
        <f aca="false">0</f>
        <v>0</v>
      </c>
      <c r="AP298" s="20" t="n">
        <f aca="false">0</f>
        <v>0</v>
      </c>
      <c r="AQ298" s="20" t="n">
        <f aca="false">0</f>
        <v>0</v>
      </c>
      <c r="AR298" s="20" t="n">
        <f aca="false">0</f>
        <v>0</v>
      </c>
      <c r="AS298" s="20" t="n">
        <f aca="false">0</f>
        <v>0</v>
      </c>
      <c r="AT298" s="20" t="n">
        <f aca="false">0</f>
        <v>0</v>
      </c>
      <c r="AU298" s="20" t="n">
        <f aca="false">0</f>
        <v>0</v>
      </c>
    </row>
    <row r="299" customFormat="false" ht="15" hidden="false" customHeight="false" outlineLevel="0" collapsed="false">
      <c r="D299" s="0" t="s">
        <v>694</v>
      </c>
      <c r="E299" s="0" t="s">
        <v>47</v>
      </c>
      <c r="J299" s="20" t="n">
        <f aca="false">Inputs!$F$243/100*Inputs!$F$148*Inputs!$F$143/1000*Time!J$9*Operations!J276</f>
        <v>0</v>
      </c>
      <c r="K299" s="20" t="n">
        <f aca="false">Inputs!$F$243/100*Inputs!$F$148*Inputs!$F$143/1000*Time!K$9*Operations!K276</f>
        <v>0.00601520547945205</v>
      </c>
      <c r="L299" s="20" t="n">
        <f aca="false">Inputs!$F$243/100*Inputs!$F$148*Inputs!$F$143/1000*Time!L$9*Operations!L276</f>
        <v>0.013237875</v>
      </c>
      <c r="M299" s="20" t="n">
        <f aca="false">Inputs!$F$243/100*Inputs!$F$148*Inputs!$F$143/1000*Time!M$9*Operations!M276</f>
        <v>0.013568821875</v>
      </c>
      <c r="N299" s="20" t="n">
        <f aca="false">Inputs!$F$243/100*Inputs!$F$148*Inputs!$F$143/1000*Time!N$9*Operations!N276</f>
        <v>0.013908042421875</v>
      </c>
      <c r="O299" s="20" t="n">
        <f aca="false">Inputs!$F$243/100*Inputs!$F$148*Inputs!$F$143/1000*Time!O$9*Operations!O276</f>
        <v>0.0142557434824219</v>
      </c>
      <c r="P299" s="20" t="n">
        <f aca="false">Inputs!$F$243/100*Inputs!$F$148*Inputs!$F$143/1000*Time!P$9*Operations!P276</f>
        <v>0.0146121370694824</v>
      </c>
      <c r="Q299" s="20" t="n">
        <f aca="false">Inputs!$F$243/100*Inputs!$F$148*Inputs!$F$143/1000*Time!Q$9*Operations!Q276</f>
        <v>0.0149774404962195</v>
      </c>
      <c r="R299" s="20" t="n">
        <f aca="false">Inputs!$F$243/100*Inputs!$F$148*Inputs!$F$143/1000*Time!R$9*Operations!R276</f>
        <v>0.015351876508625</v>
      </c>
      <c r="S299" s="20" t="n">
        <f aca="false">Inputs!$F$243/100*Inputs!$F$148*Inputs!$F$143/1000*Time!S$9*Operations!S276</f>
        <v>0.0157356734213406</v>
      </c>
      <c r="T299" s="20" t="n">
        <f aca="false">Inputs!$F$243/100*Inputs!$F$148*Inputs!$F$143/1000*Time!T$9*Operations!T276</f>
        <v>0.0161290652568741</v>
      </c>
      <c r="U299" s="20" t="n">
        <f aca="false">Inputs!$F$243/100*Inputs!$F$148*Inputs!$F$143/1000*Time!U$9*Operations!U276</f>
        <v>0.0165322918882959</v>
      </c>
      <c r="V299" s="20" t="n">
        <f aca="false">Inputs!$F$243/100*Inputs!$F$148*Inputs!$F$143/1000*Time!V$9*Operations!V276</f>
        <v>0.0169455991855033</v>
      </c>
      <c r="W299" s="20" t="n">
        <f aca="false">Inputs!$F$243/100*Inputs!$F$148*Inputs!$F$143/1000*Time!W$9*Operations!W276</f>
        <v>0.0173692391651409</v>
      </c>
      <c r="X299" s="20" t="n">
        <f aca="false">Inputs!$F$243/100*Inputs!$F$148*Inputs!$F$143/1000*Time!X$9*Operations!X276</f>
        <v>0.0178034701442695</v>
      </c>
      <c r="Y299" s="20" t="n">
        <f aca="false">Inputs!$F$243/100*Inputs!$F$148*Inputs!$F$143/1000*Time!Y$9*Operations!Y276</f>
        <v>0.0182485568978762</v>
      </c>
      <c r="Z299" s="20" t="n">
        <f aca="false">Inputs!$F$243/100*Inputs!$F$148*Inputs!$F$143/1000*Time!Z$9*Operations!Z276</f>
        <v>0.0187047708203231</v>
      </c>
      <c r="AA299" s="20" t="n">
        <f aca="false">Inputs!$F$243/100*Inputs!$F$148*Inputs!$F$143/1000*Time!AA$9*Operations!AA276</f>
        <v>0.0191723900908312</v>
      </c>
      <c r="AB299" s="20" t="n">
        <f aca="false">Inputs!$F$243/100*Inputs!$F$148*Inputs!$F$143/1000*Time!AB$9*Operations!AB276</f>
        <v>0.0196516998431019</v>
      </c>
      <c r="AC299" s="20" t="n">
        <f aca="false">Inputs!$F$243/100*Inputs!$F$148*Inputs!$F$143/1000*Time!AC$9*Operations!AC276</f>
        <v>0.0201429923391795</v>
      </c>
      <c r="AD299" s="20" t="n">
        <f aca="false">Inputs!$F$243/100*Inputs!$F$148*Inputs!$F$143/1000*Time!AD$9*Operations!AD276</f>
        <v>0.020646567147659</v>
      </c>
      <c r="AE299" s="20" t="n">
        <f aca="false">Inputs!$F$243/100*Inputs!$F$148*Inputs!$F$143/1000*Time!AE$9*Operations!AE276</f>
        <v>0.0122917781950309</v>
      </c>
      <c r="AF299" s="20" t="n">
        <f aca="false">Inputs!$F$243/100*Inputs!$F$148*Inputs!$F$143/1000*Time!AF$9*Operations!AF276</f>
        <v>0</v>
      </c>
      <c r="AG299" s="20" t="n">
        <f aca="false">Inputs!$F$243/100*Inputs!$F$148*Inputs!$F$143/1000*Time!AG$9*Operations!AG276</f>
        <v>0</v>
      </c>
      <c r="AH299" s="20" t="n">
        <f aca="false">Inputs!$F$243/100*Inputs!$F$148*Inputs!$F$143/1000*Time!AH$9*Operations!AH276</f>
        <v>0</v>
      </c>
      <c r="AI299" s="20" t="n">
        <f aca="false">Inputs!$F$243/100*Inputs!$F$148*Inputs!$F$143/1000*Time!AI$9*Operations!AI276</f>
        <v>0</v>
      </c>
      <c r="AJ299" s="20" t="n">
        <f aca="false">Inputs!$F$243/100*Inputs!$F$148*Inputs!$F$143/1000*Time!AJ$9*Operations!AJ276</f>
        <v>0</v>
      </c>
      <c r="AK299" s="20" t="n">
        <f aca="false">Inputs!$F$243/100*Inputs!$F$148*Inputs!$F$143/1000*Time!AK$9*Operations!AK276</f>
        <v>0</v>
      </c>
      <c r="AL299" s="20" t="n">
        <f aca="false">Inputs!$F$243/100*Inputs!$F$148*Inputs!$F$143/1000*Time!AL$9*Operations!AL276</f>
        <v>0</v>
      </c>
      <c r="AM299" s="20" t="n">
        <f aca="false">Inputs!$F$243/100*Inputs!$F$148*Inputs!$F$143/1000*Time!AM$9*Operations!AM276</f>
        <v>0</v>
      </c>
      <c r="AN299" s="20" t="n">
        <f aca="false">Inputs!$F$243/100*Inputs!$F$148*Inputs!$F$143/1000*Time!AN$9*Operations!AN276</f>
        <v>0</v>
      </c>
      <c r="AO299" s="20" t="n">
        <f aca="false">Inputs!$F$243/100*Inputs!$F$148*Inputs!$F$143/1000*Time!AO$9*Operations!AO276</f>
        <v>0</v>
      </c>
      <c r="AP299" s="20" t="n">
        <f aca="false">Inputs!$F$243/100*Inputs!$F$148*Inputs!$F$143/1000*Time!AP$9*Operations!AP276</f>
        <v>0</v>
      </c>
      <c r="AQ299" s="20" t="n">
        <f aca="false">Inputs!$F$243/100*Inputs!$F$148*Inputs!$F$143/1000*Time!AQ$9*Operations!AQ276</f>
        <v>0</v>
      </c>
      <c r="AR299" s="20" t="n">
        <f aca="false">Inputs!$F$243/100*Inputs!$F$148*Inputs!$F$143/1000*Time!AR$9*Operations!AR276</f>
        <v>0</v>
      </c>
      <c r="AS299" s="20" t="n">
        <f aca="false">Inputs!$F$243/100*Inputs!$F$148*Inputs!$F$143/1000*Time!AS$9*Operations!AS276</f>
        <v>0</v>
      </c>
      <c r="AT299" s="20" t="n">
        <f aca="false">Inputs!$F$243/100*Inputs!$F$148*Inputs!$F$143/1000*Time!AT$9*Operations!AT276</f>
        <v>0</v>
      </c>
      <c r="AU299" s="20" t="n">
        <f aca="false">Inputs!$F$243/100*Inputs!$F$148*Inputs!$F$143/1000*Time!AU$9*Operations!AU276</f>
        <v>0</v>
      </c>
    </row>
    <row r="300" customFormat="false" ht="15" hidden="false" customHeight="false" outlineLevel="0" collapsed="false">
      <c r="D300" s="0" t="s">
        <v>695</v>
      </c>
      <c r="E300" s="0" t="s">
        <v>47</v>
      </c>
      <c r="J300" s="20" t="n">
        <f aca="false">Inputs!$F$244/100*Inputs!$F$245/100*Operations!J295</f>
        <v>0</v>
      </c>
      <c r="K300" s="20" t="n">
        <f aca="false">Inputs!$F$244/100*Inputs!$F$245/100*Operations!K295</f>
        <v>0.0268483561643836</v>
      </c>
      <c r="L300" s="20" t="n">
        <f aca="false">Inputs!$F$244/100*Inputs!$F$245/100*Operations!L295</f>
        <v>0.057645</v>
      </c>
      <c r="M300" s="20" t="n">
        <f aca="false">Inputs!$F$244/100*Inputs!$F$245/100*Operations!M295</f>
        <v>0.057645</v>
      </c>
      <c r="N300" s="20" t="n">
        <f aca="false">Inputs!$F$244/100*Inputs!$F$245/100*Operations!N295</f>
        <v>0.057645</v>
      </c>
      <c r="O300" s="20" t="n">
        <f aca="false">Inputs!$F$244/100*Inputs!$F$245/100*Operations!O295</f>
        <v>0.057645</v>
      </c>
      <c r="P300" s="20" t="n">
        <f aca="false">Inputs!$F$244/100*Inputs!$F$245/100*Operations!P295</f>
        <v>0.057645</v>
      </c>
      <c r="Q300" s="20" t="n">
        <f aca="false">Inputs!$F$244/100*Inputs!$F$245/100*Operations!Q295</f>
        <v>0.057645</v>
      </c>
      <c r="R300" s="20" t="n">
        <f aca="false">Inputs!$F$244/100*Inputs!$F$245/100*Operations!R295</f>
        <v>0.045375032619863</v>
      </c>
      <c r="S300" s="20" t="n">
        <f aca="false">Inputs!$F$244/100*Inputs!$F$245/100*Operations!S295</f>
        <v>0.03192564375</v>
      </c>
      <c r="T300" s="20" t="n">
        <f aca="false">Inputs!$F$244/100*Inputs!$F$245/100*Operations!T295</f>
        <v>0.03240680625</v>
      </c>
      <c r="U300" s="20" t="n">
        <f aca="false">Inputs!$F$244/100*Inputs!$F$245/100*Operations!U295</f>
        <v>0.0328930875</v>
      </c>
      <c r="V300" s="20" t="n">
        <f aca="false">Inputs!$F$244/100*Inputs!$F$245/100*Operations!V295</f>
        <v>0.0333844875</v>
      </c>
      <c r="W300" s="20" t="n">
        <f aca="false">Inputs!$F$244/100*Inputs!$F$245/100*Operations!W295</f>
        <v>0.033886125</v>
      </c>
      <c r="X300" s="20" t="n">
        <f aca="false">Inputs!$F$244/100*Inputs!$F$245/100*Operations!X295</f>
        <v>0.0339855470408065</v>
      </c>
      <c r="Y300" s="20" t="n">
        <f aca="false">Inputs!$F$244/100*Inputs!$F$245/100*Operations!Y295</f>
        <v>0.034055993804024</v>
      </c>
      <c r="Z300" s="20" t="n">
        <f aca="false">Inputs!$F$244/100*Inputs!$F$245/100*Operations!Z295</f>
        <v>0.034124251085738</v>
      </c>
      <c r="AA300" s="20" t="n">
        <f aca="false">Inputs!$F$244/100*Inputs!$F$245/100*Operations!AA295</f>
        <v>0.0341945915710839</v>
      </c>
      <c r="AB300" s="20" t="n">
        <f aca="false">Inputs!$F$244/100*Inputs!$F$245/100*Operations!AB295</f>
        <v>0.0342560251200976</v>
      </c>
      <c r="AC300" s="20" t="n">
        <f aca="false">Inputs!$F$244/100*Inputs!$F$245/100*Operations!AC295</f>
        <v>0.0343137460453459</v>
      </c>
      <c r="AD300" s="20" t="n">
        <f aca="false">Inputs!$F$244/100*Inputs!$F$245/100*Operations!AD295</f>
        <v>0.0343736065421815</v>
      </c>
      <c r="AE300" s="20" t="n">
        <f aca="false">Inputs!$F$244/100*Inputs!$F$245/100*Operations!AE295</f>
        <v>0.0199978178753174</v>
      </c>
      <c r="AF300" s="20" t="n">
        <f aca="false">Inputs!$F$244/100*Inputs!$F$245/100*Operations!AF295</f>
        <v>0</v>
      </c>
      <c r="AG300" s="20" t="n">
        <f aca="false">Inputs!$F$244/100*Inputs!$F$245/100*Operations!AG295</f>
        <v>0</v>
      </c>
      <c r="AH300" s="20" t="n">
        <f aca="false">Inputs!$F$244/100*Inputs!$F$245/100*Operations!AH295</f>
        <v>0</v>
      </c>
      <c r="AI300" s="20" t="n">
        <f aca="false">Inputs!$F$244/100*Inputs!$F$245/100*Operations!AI295</f>
        <v>0</v>
      </c>
      <c r="AJ300" s="20" t="n">
        <f aca="false">Inputs!$F$244/100*Inputs!$F$245/100*Operations!AJ295</f>
        <v>0</v>
      </c>
      <c r="AK300" s="20" t="n">
        <f aca="false">Inputs!$F$244/100*Inputs!$F$245/100*Operations!AK295</f>
        <v>0</v>
      </c>
      <c r="AL300" s="20" t="n">
        <f aca="false">Inputs!$F$244/100*Inputs!$F$245/100*Operations!AL295</f>
        <v>0</v>
      </c>
      <c r="AM300" s="20" t="n">
        <f aca="false">Inputs!$F$244/100*Inputs!$F$245/100*Operations!AM295</f>
        <v>0</v>
      </c>
      <c r="AN300" s="20" t="n">
        <f aca="false">Inputs!$F$244/100*Inputs!$F$245/100*Operations!AN295</f>
        <v>0</v>
      </c>
      <c r="AO300" s="20" t="n">
        <f aca="false">Inputs!$F$244/100*Inputs!$F$245/100*Operations!AO295</f>
        <v>0</v>
      </c>
      <c r="AP300" s="20" t="n">
        <f aca="false">Inputs!$F$244/100*Inputs!$F$245/100*Operations!AP295</f>
        <v>0</v>
      </c>
      <c r="AQ300" s="20" t="n">
        <f aca="false">Inputs!$F$244/100*Inputs!$F$245/100*Operations!AQ295</f>
        <v>0</v>
      </c>
      <c r="AR300" s="20" t="n">
        <f aca="false">Inputs!$F$244/100*Inputs!$F$245/100*Operations!AR295</f>
        <v>0</v>
      </c>
      <c r="AS300" s="20" t="n">
        <f aca="false">Inputs!$F$244/100*Inputs!$F$245/100*Operations!AS295</f>
        <v>0</v>
      </c>
      <c r="AT300" s="20" t="n">
        <f aca="false">Inputs!$F$244/100*Inputs!$F$245/100*Operations!AT295</f>
        <v>0</v>
      </c>
      <c r="AU300" s="20" t="n">
        <f aca="false">Inputs!$F$244/100*Inputs!$F$245/100*Operations!AU295</f>
        <v>0</v>
      </c>
    </row>
    <row r="301" customFormat="false" ht="15" hidden="false" customHeight="false" outlineLevel="0" collapsed="false">
      <c r="D301" s="0" t="s">
        <v>696</v>
      </c>
      <c r="E301" s="0" t="s">
        <v>47</v>
      </c>
      <c r="G301" s="20" t="n">
        <f aca="false">SUM(J301:AU301)</f>
        <v>119.04852698477</v>
      </c>
      <c r="J301" s="20" t="n">
        <f aca="false">Operations!J295-Operations!J297-Operations!J298-Operations!J299-Operations!J300</f>
        <v>0</v>
      </c>
      <c r="K301" s="20" t="n">
        <f aca="false">Operations!K295-Operations!K297-Operations!K298-Operations!K299-Operations!K300</f>
        <v>4.36110804109589</v>
      </c>
      <c r="L301" s="20" t="n">
        <f aca="false">Operations!L295-Operations!L297-Operations!L298-Operations!L299-Operations!L300</f>
        <v>9.3245855125</v>
      </c>
      <c r="M301" s="20" t="n">
        <f aca="false">Operations!M295-Operations!M297-Operations!M298-Operations!M299-Operations!M300</f>
        <v>9.2846412753125</v>
      </c>
      <c r="N301" s="20" t="n">
        <f aca="false">Operations!N295-Operations!N297-Operations!N298-Operations!N299-Operations!N300</f>
        <v>9.24369843219531</v>
      </c>
      <c r="O301" s="20" t="n">
        <f aca="false">Operations!O295-Operations!O297-Operations!O298-Operations!O299-Operations!O300</f>
        <v>9.2017320180002</v>
      </c>
      <c r="P301" s="20" t="n">
        <f aca="false">Operations!P295-Operations!P297-Operations!P298-Operations!P299-Operations!P300</f>
        <v>9.1587164434502</v>
      </c>
      <c r="Q301" s="20" t="n">
        <f aca="false">Operations!Q295-Operations!Q297-Operations!Q298-Operations!Q299-Operations!Q300</f>
        <v>9.11462547953646</v>
      </c>
      <c r="R301" s="20" t="n">
        <f aca="false">Operations!R295-Operations!R297-Operations!R298-Operations!R299-Operations!R300</f>
        <v>6.74456556506939</v>
      </c>
      <c r="S301" s="20" t="n">
        <f aca="false">Operations!S295-Operations!S297-Operations!S298-Operations!S299-Operations!S300</f>
        <v>4.14990352881299</v>
      </c>
      <c r="T301" s="20" t="n">
        <f aca="false">Operations!T295-Operations!T297-Operations!T298-Operations!T299-Operations!T300</f>
        <v>4.19359122062707</v>
      </c>
      <c r="U301" s="20" t="n">
        <f aca="false">Operations!U295-Operations!U297-Operations!U298-Operations!U299-Operations!U300</f>
        <v>4.23706176504899</v>
      </c>
      <c r="V301" s="20" t="n">
        <f aca="false">Operations!V295-Operations!V297-Operations!V298-Operations!V299-Operations!V300</f>
        <v>4.28028548636272</v>
      </c>
      <c r="W301" s="20" t="n">
        <f aca="false">Operations!W295-Operations!W297-Operations!W298-Operations!W299-Operations!W300</f>
        <v>4.32420184820929</v>
      </c>
      <c r="X301" s="20" t="n">
        <f aca="false">Operations!X295-Operations!X297-Operations!X298-Operations!X299-Operations!X300</f>
        <v>4.2906296570809</v>
      </c>
      <c r="Y301" s="20" t="n">
        <f aca="false">Operations!Y295-Operations!Y297-Operations!Y298-Operations!Y299-Operations!Y300</f>
        <v>4.25025708322022</v>
      </c>
      <c r="Z301" s="20" t="n">
        <f aca="false">Operations!Z295-Operations!Z297-Operations!Z298-Operations!Z299-Operations!Z300</f>
        <v>4.20812664079048</v>
      </c>
      <c r="AA301" s="20" t="n">
        <f aca="false">Operations!AA295-Operations!AA297-Operations!AA298-Operations!AA299-Operations!AA300</f>
        <v>4.16501432654536</v>
      </c>
      <c r="AB301" s="20" t="n">
        <f aca="false">Operations!AB295-Operations!AB297-Operations!AB298-Operations!AB299-Operations!AB300</f>
        <v>4.11880335589908</v>
      </c>
      <c r="AC301" s="20" t="n">
        <f aca="false">Operations!AC295-Operations!AC297-Operations!AC298-Operations!AC299-Operations!AC300</f>
        <v>4.07044265230805</v>
      </c>
      <c r="AD301" s="20" t="n">
        <f aca="false">Operations!AD295-Operations!AD297-Operations!AD298-Operations!AD299-Operations!AD300</f>
        <v>4.02100491047519</v>
      </c>
      <c r="AE301" s="20" t="n">
        <f aca="false">Operations!AE295-Operations!AE297-Operations!AE298-Operations!AE299-Operations!AE300</f>
        <v>2.30553174222964</v>
      </c>
      <c r="AF301" s="20" t="n">
        <f aca="false">Operations!AF295-Operations!AF297-Operations!AF298-Operations!AF299-Operations!AF300</f>
        <v>0</v>
      </c>
      <c r="AG301" s="20" t="n">
        <f aca="false">Operations!AG295-Operations!AG297-Operations!AG298-Operations!AG299-Operations!AG300</f>
        <v>0</v>
      </c>
      <c r="AH301" s="20" t="n">
        <f aca="false">Operations!AH295-Operations!AH297-Operations!AH298-Operations!AH299-Operations!AH300</f>
        <v>0</v>
      </c>
      <c r="AI301" s="20" t="n">
        <f aca="false">Operations!AI295-Operations!AI297-Operations!AI298-Operations!AI299-Operations!AI300</f>
        <v>0</v>
      </c>
      <c r="AJ301" s="20" t="n">
        <f aca="false">Operations!AJ295-Operations!AJ297-Operations!AJ298-Operations!AJ299-Operations!AJ300</f>
        <v>0</v>
      </c>
      <c r="AK301" s="20" t="n">
        <f aca="false">Operations!AK295-Operations!AK297-Operations!AK298-Operations!AK299-Operations!AK300</f>
        <v>0</v>
      </c>
      <c r="AL301" s="20" t="n">
        <f aca="false">Operations!AL295-Operations!AL297-Operations!AL298-Operations!AL299-Operations!AL300</f>
        <v>0</v>
      </c>
      <c r="AM301" s="20" t="n">
        <f aca="false">Operations!AM295-Operations!AM297-Operations!AM298-Operations!AM299-Operations!AM300</f>
        <v>0</v>
      </c>
      <c r="AN301" s="20" t="n">
        <f aca="false">Operations!AN295-Operations!AN297-Operations!AN298-Operations!AN299-Operations!AN300</f>
        <v>0</v>
      </c>
      <c r="AO301" s="20" t="n">
        <f aca="false">Operations!AO295-Operations!AO297-Operations!AO298-Operations!AO299-Operations!AO300</f>
        <v>0</v>
      </c>
      <c r="AP301" s="20" t="n">
        <f aca="false">Operations!AP295-Operations!AP297-Operations!AP298-Operations!AP299-Operations!AP300</f>
        <v>0</v>
      </c>
      <c r="AQ301" s="20" t="n">
        <f aca="false">Operations!AQ295-Operations!AQ297-Operations!AQ298-Operations!AQ299-Operations!AQ300</f>
        <v>0</v>
      </c>
      <c r="AR301" s="20" t="n">
        <f aca="false">Operations!AR295-Operations!AR297-Operations!AR298-Operations!AR299-Operations!AR300</f>
        <v>0</v>
      </c>
      <c r="AS301" s="20" t="n">
        <f aca="false">Operations!AS295-Operations!AS297-Operations!AS298-Operations!AS299-Operations!AS300</f>
        <v>0</v>
      </c>
      <c r="AT301" s="20" t="n">
        <f aca="false">Operations!AT295-Operations!AT297-Operations!AT298-Operations!AT299-Operations!AT300</f>
        <v>0</v>
      </c>
      <c r="AU301" s="20" t="n">
        <f aca="false">Operations!AU295-Operations!AU297-Operations!AU298-Operations!AU299-Operations!AU300</f>
        <v>0</v>
      </c>
    </row>
    <row r="302" customFormat="false" ht="15" hidden="false" customHeight="false" outlineLevel="0" collapsed="false">
      <c r="D302" s="0" t="s">
        <v>697</v>
      </c>
      <c r="E302" s="0" t="s">
        <v>47</v>
      </c>
      <c r="J302" s="20" t="n">
        <f aca="false">IF(OR(Time!J$4=YEAR(Inputs!$F$144)+Inputs!$F$151,Time!J$4=YEAR(Inputs!$F$144)+Inputs!$F$152),Inputs!$F$153/100*Inputs!$F$149*Inputs!$F$154/1000*(1+Inputs!$F$194/100)^(Time!J$4-Inputs!$F$193),0)</f>
        <v>0</v>
      </c>
      <c r="K302" s="20" t="n">
        <f aca="false">IF(OR(Time!K$4=YEAR(Inputs!$F$144)+Inputs!$F$151,Time!K$4=YEAR(Inputs!$F$144)+Inputs!$F$152),Inputs!$F$153/100*Inputs!$F$149*Inputs!$F$154/1000*(1+Inputs!$F$194/100)^(Time!K$4-Inputs!$F$193),0)</f>
        <v>0</v>
      </c>
      <c r="L302" s="20" t="n">
        <f aca="false">IF(OR(Time!L$4=YEAR(Inputs!$F$144)+Inputs!$F$151,Time!L$4=YEAR(Inputs!$F$144)+Inputs!$F$152),Inputs!$F$153/100*Inputs!$F$149*Inputs!$F$154/1000*(1+Inputs!$F$194/100)^(Time!L$4-Inputs!$F$193),0)</f>
        <v>0</v>
      </c>
      <c r="M302" s="20" t="n">
        <f aca="false">IF(OR(Time!M$4=YEAR(Inputs!$F$144)+Inputs!$F$151,Time!M$4=YEAR(Inputs!$F$144)+Inputs!$F$152),Inputs!$F$153/100*Inputs!$F$149*Inputs!$F$154/1000*(1+Inputs!$F$194/100)^(Time!M$4-Inputs!$F$193),0)</f>
        <v>0</v>
      </c>
      <c r="N302" s="20" t="n">
        <f aca="false">IF(OR(Time!N$4=YEAR(Inputs!$F$144)+Inputs!$F$151,Time!N$4=YEAR(Inputs!$F$144)+Inputs!$F$152),Inputs!$F$153/100*Inputs!$F$149*Inputs!$F$154/1000*(1+Inputs!$F$194/100)^(Time!N$4-Inputs!$F$193),0)</f>
        <v>0</v>
      </c>
      <c r="O302" s="20" t="n">
        <f aca="false">IF(OR(Time!O$4=YEAR(Inputs!$F$144)+Inputs!$F$151,Time!O$4=YEAR(Inputs!$F$144)+Inputs!$F$152),Inputs!$F$153/100*Inputs!$F$149*Inputs!$F$154/1000*(1+Inputs!$F$194/100)^(Time!O$4-Inputs!$F$193),0)</f>
        <v>0</v>
      </c>
      <c r="P302" s="20" t="n">
        <f aca="false">IF(OR(Time!P$4=YEAR(Inputs!$F$144)+Inputs!$F$151,Time!P$4=YEAR(Inputs!$F$144)+Inputs!$F$152),Inputs!$F$153/100*Inputs!$F$149*Inputs!$F$154/1000*(1+Inputs!$F$194/100)^(Time!P$4-Inputs!$F$193),0)</f>
        <v>0.5298301875</v>
      </c>
      <c r="Q302" s="20" t="n">
        <f aca="false">IF(OR(Time!Q$4=YEAR(Inputs!$F$144)+Inputs!$F$151,Time!Q$4=YEAR(Inputs!$F$144)+Inputs!$F$152),Inputs!$F$153/100*Inputs!$F$149*Inputs!$F$154/1000*(1+Inputs!$F$194/100)^(Time!Q$4-Inputs!$F$193),0)</f>
        <v>0</v>
      </c>
      <c r="R302" s="20" t="n">
        <f aca="false">IF(OR(Time!R$4=YEAR(Inputs!$F$144)+Inputs!$F$151,Time!R$4=YEAR(Inputs!$F$144)+Inputs!$F$152),Inputs!$F$153/100*Inputs!$F$149*Inputs!$F$154/1000*(1+Inputs!$F$194/100)^(Time!R$4-Inputs!$F$193),0)</f>
        <v>0</v>
      </c>
      <c r="S302" s="20" t="n">
        <f aca="false">IF(OR(Time!S$4=YEAR(Inputs!$F$144)+Inputs!$F$151,Time!S$4=YEAR(Inputs!$F$144)+Inputs!$F$152),Inputs!$F$153/100*Inputs!$F$149*Inputs!$F$154/1000*(1+Inputs!$F$194/100)^(Time!S$4-Inputs!$F$193),0)</f>
        <v>0</v>
      </c>
      <c r="T302" s="20" t="n">
        <f aca="false">IF(OR(Time!T$4=YEAR(Inputs!$F$144)+Inputs!$F$151,Time!T$4=YEAR(Inputs!$F$144)+Inputs!$F$152),Inputs!$F$153/100*Inputs!$F$149*Inputs!$F$154/1000*(1+Inputs!$F$194/100)^(Time!T$4-Inputs!$F$193),0)</f>
        <v>0.58483339080476</v>
      </c>
      <c r="U302" s="20" t="n">
        <f aca="false">IF(OR(Time!U$4=YEAR(Inputs!$F$144)+Inputs!$F$151,Time!U$4=YEAR(Inputs!$F$144)+Inputs!$F$152),Inputs!$F$153/100*Inputs!$F$149*Inputs!$F$154/1000*(1+Inputs!$F$194/100)^(Time!U$4-Inputs!$F$193),0)</f>
        <v>0</v>
      </c>
      <c r="V302" s="20" t="n">
        <f aca="false">IF(OR(Time!V$4=YEAR(Inputs!$F$144)+Inputs!$F$151,Time!V$4=YEAR(Inputs!$F$144)+Inputs!$F$152),Inputs!$F$153/100*Inputs!$F$149*Inputs!$F$154/1000*(1+Inputs!$F$194/100)^(Time!V$4-Inputs!$F$193),0)</f>
        <v>0</v>
      </c>
      <c r="W302" s="20" t="n">
        <f aca="false">IF(OR(Time!W$4=YEAR(Inputs!$F$144)+Inputs!$F$151,Time!W$4=YEAR(Inputs!$F$144)+Inputs!$F$152),Inputs!$F$153/100*Inputs!$F$149*Inputs!$F$154/1000*(1+Inputs!$F$194/100)^(Time!W$4-Inputs!$F$193),0)</f>
        <v>0</v>
      </c>
      <c r="X302" s="20" t="n">
        <f aca="false">IF(OR(Time!X$4=YEAR(Inputs!$F$144)+Inputs!$F$151,Time!X$4=YEAR(Inputs!$F$144)+Inputs!$F$152),Inputs!$F$153/100*Inputs!$F$149*Inputs!$F$154/1000*(1+Inputs!$F$194/100)^(Time!X$4-Inputs!$F$193),0)</f>
        <v>0</v>
      </c>
      <c r="Y302" s="20" t="n">
        <f aca="false">IF(OR(Time!Y$4=YEAR(Inputs!$F$144)+Inputs!$F$151,Time!Y$4=YEAR(Inputs!$F$144)+Inputs!$F$152),Inputs!$F$153/100*Inputs!$F$149*Inputs!$F$154/1000*(1+Inputs!$F$194/100)^(Time!Y$4-Inputs!$F$193),0)</f>
        <v>0</v>
      </c>
      <c r="Z302" s="20" t="n">
        <f aca="false">IF(OR(Time!Z$4=YEAR(Inputs!$F$144)+Inputs!$F$151,Time!Z$4=YEAR(Inputs!$F$144)+Inputs!$F$152),Inputs!$F$153/100*Inputs!$F$149*Inputs!$F$154/1000*(1+Inputs!$F$194/100)^(Time!Z$4-Inputs!$F$193),0)</f>
        <v>0</v>
      </c>
      <c r="AA302" s="20" t="n">
        <f aca="false">IF(OR(Time!AA$4=YEAR(Inputs!$F$144)+Inputs!$F$151,Time!AA$4=YEAR(Inputs!$F$144)+Inputs!$F$152),Inputs!$F$153/100*Inputs!$F$149*Inputs!$F$154/1000*(1+Inputs!$F$194/100)^(Time!AA$4-Inputs!$F$193),0)</f>
        <v>0</v>
      </c>
      <c r="AB302" s="20" t="n">
        <f aca="false">IF(OR(Time!AB$4=YEAR(Inputs!$F$144)+Inputs!$F$151,Time!AB$4=YEAR(Inputs!$F$144)+Inputs!$F$152),Inputs!$F$153/100*Inputs!$F$149*Inputs!$F$154/1000*(1+Inputs!$F$194/100)^(Time!AB$4-Inputs!$F$193),0)</f>
        <v>0</v>
      </c>
      <c r="AC302" s="20" t="n">
        <f aca="false">IF(OR(Time!AC$4=YEAR(Inputs!$F$144)+Inputs!$F$151,Time!AC$4=YEAR(Inputs!$F$144)+Inputs!$F$152),Inputs!$F$153/100*Inputs!$F$149*Inputs!$F$154/1000*(1+Inputs!$F$194/100)^(Time!AC$4-Inputs!$F$193),0)</f>
        <v>0</v>
      </c>
      <c r="AD302" s="20" t="n">
        <f aca="false">IF(OR(Time!AD$4=YEAR(Inputs!$F$144)+Inputs!$F$151,Time!AD$4=YEAR(Inputs!$F$144)+Inputs!$F$152),Inputs!$F$153/100*Inputs!$F$149*Inputs!$F$154/1000*(1+Inputs!$F$194/100)^(Time!AD$4-Inputs!$F$193),0)</f>
        <v>0</v>
      </c>
      <c r="AE302" s="20" t="n">
        <f aca="false">IF(OR(Time!AE$4=YEAR(Inputs!$F$144)+Inputs!$F$151,Time!AE$4=YEAR(Inputs!$F$144)+Inputs!$F$152),Inputs!$F$153/100*Inputs!$F$149*Inputs!$F$154/1000*(1+Inputs!$F$194/100)^(Time!AE$4-Inputs!$F$193),0)</f>
        <v>0</v>
      </c>
      <c r="AF302" s="20" t="n">
        <f aca="false">IF(OR(Time!AF$4=YEAR(Inputs!$F$144)+Inputs!$F$151,Time!AF$4=YEAR(Inputs!$F$144)+Inputs!$F$152),Inputs!$F$153/100*Inputs!$F$149*Inputs!$F$154/1000*(1+Inputs!$F$194/100)^(Time!AF$4-Inputs!$F$193),0)</f>
        <v>0</v>
      </c>
      <c r="AG302" s="20" t="n">
        <f aca="false">IF(OR(Time!AG$4=YEAR(Inputs!$F$144)+Inputs!$F$151,Time!AG$4=YEAR(Inputs!$F$144)+Inputs!$F$152),Inputs!$F$153/100*Inputs!$F$149*Inputs!$F$154/1000*(1+Inputs!$F$194/100)^(Time!AG$4-Inputs!$F$193),0)</f>
        <v>0</v>
      </c>
      <c r="AH302" s="20" t="n">
        <f aca="false">IF(OR(Time!AH$4=YEAR(Inputs!$F$144)+Inputs!$F$151,Time!AH$4=YEAR(Inputs!$F$144)+Inputs!$F$152),Inputs!$F$153/100*Inputs!$F$149*Inputs!$F$154/1000*(1+Inputs!$F$194/100)^(Time!AH$4-Inputs!$F$193),0)</f>
        <v>0</v>
      </c>
      <c r="AI302" s="20" t="n">
        <f aca="false">IF(OR(Time!AI$4=YEAR(Inputs!$F$144)+Inputs!$F$151,Time!AI$4=YEAR(Inputs!$F$144)+Inputs!$F$152),Inputs!$F$153/100*Inputs!$F$149*Inputs!$F$154/1000*(1+Inputs!$F$194/100)^(Time!AI$4-Inputs!$F$193),0)</f>
        <v>0</v>
      </c>
      <c r="AJ302" s="20" t="n">
        <f aca="false">IF(OR(Time!AJ$4=YEAR(Inputs!$F$144)+Inputs!$F$151,Time!AJ$4=YEAR(Inputs!$F$144)+Inputs!$F$152),Inputs!$F$153/100*Inputs!$F$149*Inputs!$F$154/1000*(1+Inputs!$F$194/100)^(Time!AJ$4-Inputs!$F$193),0)</f>
        <v>0</v>
      </c>
      <c r="AK302" s="20" t="n">
        <f aca="false">IF(OR(Time!AK$4=YEAR(Inputs!$F$144)+Inputs!$F$151,Time!AK$4=YEAR(Inputs!$F$144)+Inputs!$F$152),Inputs!$F$153/100*Inputs!$F$149*Inputs!$F$154/1000*(1+Inputs!$F$194/100)^(Time!AK$4-Inputs!$F$193),0)</f>
        <v>0</v>
      </c>
      <c r="AL302" s="20" t="n">
        <f aca="false">IF(OR(Time!AL$4=YEAR(Inputs!$F$144)+Inputs!$F$151,Time!AL$4=YEAR(Inputs!$F$144)+Inputs!$F$152),Inputs!$F$153/100*Inputs!$F$149*Inputs!$F$154/1000*(1+Inputs!$F$194/100)^(Time!AL$4-Inputs!$F$193),0)</f>
        <v>0</v>
      </c>
      <c r="AM302" s="20" t="n">
        <f aca="false">IF(OR(Time!AM$4=YEAR(Inputs!$F$144)+Inputs!$F$151,Time!AM$4=YEAR(Inputs!$F$144)+Inputs!$F$152),Inputs!$F$153/100*Inputs!$F$149*Inputs!$F$154/1000*(1+Inputs!$F$194/100)^(Time!AM$4-Inputs!$F$193),0)</f>
        <v>0</v>
      </c>
      <c r="AN302" s="20" t="n">
        <f aca="false">IF(OR(Time!AN$4=YEAR(Inputs!$F$144)+Inputs!$F$151,Time!AN$4=YEAR(Inputs!$F$144)+Inputs!$F$152),Inputs!$F$153/100*Inputs!$F$149*Inputs!$F$154/1000*(1+Inputs!$F$194/100)^(Time!AN$4-Inputs!$F$193),0)</f>
        <v>0</v>
      </c>
      <c r="AO302" s="20" t="n">
        <f aca="false">IF(OR(Time!AO$4=YEAR(Inputs!$F$144)+Inputs!$F$151,Time!AO$4=YEAR(Inputs!$F$144)+Inputs!$F$152),Inputs!$F$153/100*Inputs!$F$149*Inputs!$F$154/1000*(1+Inputs!$F$194/100)^(Time!AO$4-Inputs!$F$193),0)</f>
        <v>0</v>
      </c>
      <c r="AP302" s="20" t="n">
        <f aca="false">IF(OR(Time!AP$4=YEAR(Inputs!$F$144)+Inputs!$F$151,Time!AP$4=YEAR(Inputs!$F$144)+Inputs!$F$152),Inputs!$F$153/100*Inputs!$F$149*Inputs!$F$154/1000*(1+Inputs!$F$194/100)^(Time!AP$4-Inputs!$F$193),0)</f>
        <v>0</v>
      </c>
      <c r="AQ302" s="20" t="n">
        <f aca="false">IF(OR(Time!AQ$4=YEAR(Inputs!$F$144)+Inputs!$F$151,Time!AQ$4=YEAR(Inputs!$F$144)+Inputs!$F$152),Inputs!$F$153/100*Inputs!$F$149*Inputs!$F$154/1000*(1+Inputs!$F$194/100)^(Time!AQ$4-Inputs!$F$193),0)</f>
        <v>0</v>
      </c>
      <c r="AR302" s="20" t="n">
        <f aca="false">IF(OR(Time!AR$4=YEAR(Inputs!$F$144)+Inputs!$F$151,Time!AR$4=YEAR(Inputs!$F$144)+Inputs!$F$152),Inputs!$F$153/100*Inputs!$F$149*Inputs!$F$154/1000*(1+Inputs!$F$194/100)^(Time!AR$4-Inputs!$F$193),0)</f>
        <v>0</v>
      </c>
      <c r="AS302" s="20" t="n">
        <f aca="false">IF(OR(Time!AS$4=YEAR(Inputs!$F$144)+Inputs!$F$151,Time!AS$4=YEAR(Inputs!$F$144)+Inputs!$F$152),Inputs!$F$153/100*Inputs!$F$149*Inputs!$F$154/1000*(1+Inputs!$F$194/100)^(Time!AS$4-Inputs!$F$193),0)</f>
        <v>0</v>
      </c>
      <c r="AT302" s="20" t="n">
        <f aca="false">IF(OR(Time!AT$4=YEAR(Inputs!$F$144)+Inputs!$F$151,Time!AT$4=YEAR(Inputs!$F$144)+Inputs!$F$152),Inputs!$F$153/100*Inputs!$F$149*Inputs!$F$154/1000*(1+Inputs!$F$194/100)^(Time!AT$4-Inputs!$F$193),0)</f>
        <v>0</v>
      </c>
      <c r="AU302" s="20" t="n">
        <f aca="false">IF(OR(Time!AU$4=YEAR(Inputs!$F$144)+Inputs!$F$151,Time!AU$4=YEAR(Inputs!$F$144)+Inputs!$F$152),Inputs!$F$153/100*Inputs!$F$149*Inputs!$F$154/1000*(1+Inputs!$F$194/100)^(Time!AU$4-Inputs!$F$193),0)</f>
        <v>0</v>
      </c>
    </row>
    <row r="303" customFormat="false" ht="15" hidden="false" customHeight="false" outlineLevel="0" collapsed="false">
      <c r="D303" s="0" t="s">
        <v>698</v>
      </c>
      <c r="E303" s="0" t="s">
        <v>47</v>
      </c>
      <c r="J303" s="20" t="n">
        <f aca="false">IF(Time!J$4=YEAR(Inputs!$F$145),Inputs!$F$148*Inputs!$F$143/1000*Time!J$9,0)</f>
        <v>0</v>
      </c>
      <c r="K303" s="20" t="n">
        <f aca="false">IF(Time!K$4=YEAR(Inputs!$F$145),Inputs!$F$148*Inputs!$F$143/1000*Time!K$9,0)</f>
        <v>0</v>
      </c>
      <c r="L303" s="20" t="n">
        <f aca="false">IF(Time!L$4=YEAR(Inputs!$F$145),Inputs!$F$148*Inputs!$F$143/1000*Time!L$9,0)</f>
        <v>0</v>
      </c>
      <c r="M303" s="20" t="n">
        <f aca="false">IF(Time!M$4=YEAR(Inputs!$F$145),Inputs!$F$148*Inputs!$F$143/1000*Time!M$9,0)</f>
        <v>0</v>
      </c>
      <c r="N303" s="20" t="n">
        <f aca="false">IF(Time!N$4=YEAR(Inputs!$F$145),Inputs!$F$148*Inputs!$F$143/1000*Time!N$9,0)</f>
        <v>0</v>
      </c>
      <c r="O303" s="20" t="n">
        <f aca="false">IF(Time!O$4=YEAR(Inputs!$F$145),Inputs!$F$148*Inputs!$F$143/1000*Time!O$9,0)</f>
        <v>0</v>
      </c>
      <c r="P303" s="20" t="n">
        <f aca="false">IF(Time!P$4=YEAR(Inputs!$F$145),Inputs!$F$148*Inputs!$F$143/1000*Time!P$9,0)</f>
        <v>0</v>
      </c>
      <c r="Q303" s="20" t="n">
        <f aca="false">IF(Time!Q$4=YEAR(Inputs!$F$145),Inputs!$F$148*Inputs!$F$143/1000*Time!Q$9,0)</f>
        <v>0</v>
      </c>
      <c r="R303" s="20" t="n">
        <f aca="false">IF(Time!R$4=YEAR(Inputs!$F$145),Inputs!$F$148*Inputs!$F$143/1000*Time!R$9,0)</f>
        <v>0</v>
      </c>
      <c r="S303" s="20" t="n">
        <f aca="false">IF(Time!S$4=YEAR(Inputs!$F$145),Inputs!$F$148*Inputs!$F$143/1000*Time!S$9,0)</f>
        <v>0</v>
      </c>
      <c r="T303" s="20" t="n">
        <f aca="false">IF(Time!T$4=YEAR(Inputs!$F$145),Inputs!$F$148*Inputs!$F$143/1000*Time!T$9,0)</f>
        <v>0</v>
      </c>
      <c r="U303" s="20" t="n">
        <f aca="false">IF(Time!U$4=YEAR(Inputs!$F$145),Inputs!$F$148*Inputs!$F$143/1000*Time!U$9,0)</f>
        <v>0</v>
      </c>
      <c r="V303" s="20" t="n">
        <f aca="false">IF(Time!V$4=YEAR(Inputs!$F$145),Inputs!$F$148*Inputs!$F$143/1000*Time!V$9,0)</f>
        <v>0</v>
      </c>
      <c r="W303" s="20" t="n">
        <f aca="false">IF(Time!W$4=YEAR(Inputs!$F$145),Inputs!$F$148*Inputs!$F$143/1000*Time!W$9,0)</f>
        <v>0</v>
      </c>
      <c r="X303" s="20" t="n">
        <f aca="false">IF(Time!X$4=YEAR(Inputs!$F$145),Inputs!$F$148*Inputs!$F$143/1000*Time!X$9,0)</f>
        <v>0</v>
      </c>
      <c r="Y303" s="20" t="n">
        <f aca="false">IF(Time!Y$4=YEAR(Inputs!$F$145),Inputs!$F$148*Inputs!$F$143/1000*Time!Y$9,0)</f>
        <v>0</v>
      </c>
      <c r="Z303" s="20" t="n">
        <f aca="false">IF(Time!Z$4=YEAR(Inputs!$F$145),Inputs!$F$148*Inputs!$F$143/1000*Time!Z$9,0)</f>
        <v>0</v>
      </c>
      <c r="AA303" s="20" t="n">
        <f aca="false">IF(Time!AA$4=YEAR(Inputs!$F$145),Inputs!$F$148*Inputs!$F$143/1000*Time!AA$9,0)</f>
        <v>0</v>
      </c>
      <c r="AB303" s="20" t="n">
        <f aca="false">IF(Time!AB$4=YEAR(Inputs!$F$145),Inputs!$F$148*Inputs!$F$143/1000*Time!AB$9,0)</f>
        <v>0</v>
      </c>
      <c r="AC303" s="20" t="n">
        <f aca="false">IF(Time!AC$4=YEAR(Inputs!$F$145),Inputs!$F$148*Inputs!$F$143/1000*Time!AC$9,0)</f>
        <v>0</v>
      </c>
      <c r="AD303" s="20" t="n">
        <f aca="false">IF(Time!AD$4=YEAR(Inputs!$F$145),Inputs!$F$148*Inputs!$F$143/1000*Time!AD$9,0)</f>
        <v>0</v>
      </c>
      <c r="AE303" s="20" t="n">
        <f aca="false">IF(Time!AE$4=YEAR(Inputs!$F$145),Inputs!$F$148*Inputs!$F$143/1000*Time!AE$9,0)</f>
        <v>3.52712188772507</v>
      </c>
      <c r="AF303" s="20" t="n">
        <f aca="false">IF(Time!AF$4=YEAR(Inputs!$F$145),Inputs!$F$148*Inputs!$F$143/1000*Time!AF$9,0)</f>
        <v>0</v>
      </c>
      <c r="AG303" s="20" t="n">
        <f aca="false">IF(Time!AG$4=YEAR(Inputs!$F$145),Inputs!$F$148*Inputs!$F$143/1000*Time!AG$9,0)</f>
        <v>0</v>
      </c>
      <c r="AH303" s="20" t="n">
        <f aca="false">IF(Time!AH$4=YEAR(Inputs!$F$145),Inputs!$F$148*Inputs!$F$143/1000*Time!AH$9,0)</f>
        <v>0</v>
      </c>
      <c r="AI303" s="20" t="n">
        <f aca="false">IF(Time!AI$4=YEAR(Inputs!$F$145),Inputs!$F$148*Inputs!$F$143/1000*Time!AI$9,0)</f>
        <v>0</v>
      </c>
      <c r="AJ303" s="20" t="n">
        <f aca="false">IF(Time!AJ$4=YEAR(Inputs!$F$145),Inputs!$F$148*Inputs!$F$143/1000*Time!AJ$9,0)</f>
        <v>0</v>
      </c>
      <c r="AK303" s="20" t="n">
        <f aca="false">IF(Time!AK$4=YEAR(Inputs!$F$145),Inputs!$F$148*Inputs!$F$143/1000*Time!AK$9,0)</f>
        <v>0</v>
      </c>
      <c r="AL303" s="20" t="n">
        <f aca="false">IF(Time!AL$4=YEAR(Inputs!$F$145),Inputs!$F$148*Inputs!$F$143/1000*Time!AL$9,0)</f>
        <v>0</v>
      </c>
      <c r="AM303" s="20" t="n">
        <f aca="false">IF(Time!AM$4=YEAR(Inputs!$F$145),Inputs!$F$148*Inputs!$F$143/1000*Time!AM$9,0)</f>
        <v>0</v>
      </c>
      <c r="AN303" s="20" t="n">
        <f aca="false">IF(Time!AN$4=YEAR(Inputs!$F$145),Inputs!$F$148*Inputs!$F$143/1000*Time!AN$9,0)</f>
        <v>0</v>
      </c>
      <c r="AO303" s="20" t="n">
        <f aca="false">IF(Time!AO$4=YEAR(Inputs!$F$145),Inputs!$F$148*Inputs!$F$143/1000*Time!AO$9,0)</f>
        <v>0</v>
      </c>
      <c r="AP303" s="20" t="n">
        <f aca="false">IF(Time!AP$4=YEAR(Inputs!$F$145),Inputs!$F$148*Inputs!$F$143/1000*Time!AP$9,0)</f>
        <v>0</v>
      </c>
      <c r="AQ303" s="20" t="n">
        <f aca="false">IF(Time!AQ$4=YEAR(Inputs!$F$145),Inputs!$F$148*Inputs!$F$143/1000*Time!AQ$9,0)</f>
        <v>0</v>
      </c>
      <c r="AR303" s="20" t="n">
        <f aca="false">IF(Time!AR$4=YEAR(Inputs!$F$145),Inputs!$F$148*Inputs!$F$143/1000*Time!AR$9,0)</f>
        <v>0</v>
      </c>
      <c r="AS303" s="20" t="n">
        <f aca="false">IF(Time!AS$4=YEAR(Inputs!$F$145),Inputs!$F$148*Inputs!$F$143/1000*Time!AS$9,0)</f>
        <v>0</v>
      </c>
      <c r="AT303" s="20" t="n">
        <f aca="false">IF(Time!AT$4=YEAR(Inputs!$F$145),Inputs!$F$148*Inputs!$F$143/1000*Time!AT$9,0)</f>
        <v>0</v>
      </c>
      <c r="AU303" s="20" t="n">
        <f aca="false">IF(Time!AU$4=YEAR(Inputs!$F$145),Inputs!$F$148*Inputs!$F$143/1000*Time!AU$9,0)</f>
        <v>0</v>
      </c>
    </row>
    <row r="304" customFormat="false" ht="15" hidden="false" customHeight="false" outlineLevel="0" collapsed="false">
      <c r="D304" s="0" t="s">
        <v>699</v>
      </c>
      <c r="E304" s="0" t="s">
        <v>47</v>
      </c>
      <c r="G304" s="20" t="n">
        <f aca="false">SUM(J304:AU304)</f>
        <v>114.40674151874</v>
      </c>
      <c r="J304" s="20" t="n">
        <f aca="false">Operations!J301-Operations!J302-Operations!J303</f>
        <v>0</v>
      </c>
      <c r="K304" s="20" t="n">
        <f aca="false">Operations!K301-Operations!K302-Operations!K303</f>
        <v>4.36110804109589</v>
      </c>
      <c r="L304" s="20" t="n">
        <f aca="false">Operations!L301-Operations!L302-Operations!L303</f>
        <v>9.3245855125</v>
      </c>
      <c r="M304" s="20" t="n">
        <f aca="false">Operations!M301-Operations!M302-Operations!M303</f>
        <v>9.2846412753125</v>
      </c>
      <c r="N304" s="20" t="n">
        <f aca="false">Operations!N301-Operations!N302-Operations!N303</f>
        <v>9.24369843219531</v>
      </c>
      <c r="O304" s="20" t="n">
        <f aca="false">Operations!O301-Operations!O302-Operations!O303</f>
        <v>9.2017320180002</v>
      </c>
      <c r="P304" s="20" t="n">
        <f aca="false">Operations!P301-Operations!P302-Operations!P303</f>
        <v>8.6288862559502</v>
      </c>
      <c r="Q304" s="20" t="n">
        <f aca="false">Operations!Q301-Operations!Q302-Operations!Q303</f>
        <v>9.11462547953646</v>
      </c>
      <c r="R304" s="20" t="n">
        <f aca="false">Operations!R301-Operations!R302-Operations!R303</f>
        <v>6.74456556506939</v>
      </c>
      <c r="S304" s="20" t="n">
        <f aca="false">Operations!S301-Operations!S302-Operations!S303</f>
        <v>4.14990352881299</v>
      </c>
      <c r="T304" s="20" t="n">
        <f aca="false">Operations!T301-Operations!T302-Operations!T303</f>
        <v>3.60875782982231</v>
      </c>
      <c r="U304" s="20" t="n">
        <f aca="false">Operations!U301-Operations!U302-Operations!U303</f>
        <v>4.23706176504899</v>
      </c>
      <c r="V304" s="20" t="n">
        <f aca="false">Operations!V301-Operations!V302-Operations!V303</f>
        <v>4.28028548636272</v>
      </c>
      <c r="W304" s="20" t="n">
        <f aca="false">Operations!W301-Operations!W302-Operations!W303</f>
        <v>4.32420184820929</v>
      </c>
      <c r="X304" s="20" t="n">
        <f aca="false">Operations!X301-Operations!X302-Operations!X303</f>
        <v>4.2906296570809</v>
      </c>
      <c r="Y304" s="20" t="n">
        <f aca="false">Operations!Y301-Operations!Y302-Operations!Y303</f>
        <v>4.25025708322022</v>
      </c>
      <c r="Z304" s="20" t="n">
        <f aca="false">Operations!Z301-Operations!Z302-Operations!Z303</f>
        <v>4.20812664079048</v>
      </c>
      <c r="AA304" s="20" t="n">
        <f aca="false">Operations!AA301-Operations!AA302-Operations!AA303</f>
        <v>4.16501432654536</v>
      </c>
      <c r="AB304" s="20" t="n">
        <f aca="false">Operations!AB301-Operations!AB302-Operations!AB303</f>
        <v>4.11880335589908</v>
      </c>
      <c r="AC304" s="20" t="n">
        <f aca="false">Operations!AC301-Operations!AC302-Operations!AC303</f>
        <v>4.07044265230805</v>
      </c>
      <c r="AD304" s="20" t="n">
        <f aca="false">Operations!AD301-Operations!AD302-Operations!AD303</f>
        <v>4.02100491047519</v>
      </c>
      <c r="AE304" s="20" t="n">
        <f aca="false">Operations!AE301-Operations!AE302-Operations!AE303</f>
        <v>-1.22159014549543</v>
      </c>
      <c r="AF304" s="20" t="n">
        <f aca="false">Operations!AF301-Operations!AF302-Operations!AF303</f>
        <v>0</v>
      </c>
      <c r="AG304" s="20" t="n">
        <f aca="false">Operations!AG301-Operations!AG302-Operations!AG303</f>
        <v>0</v>
      </c>
      <c r="AH304" s="20" t="n">
        <f aca="false">Operations!AH301-Operations!AH302-Operations!AH303</f>
        <v>0</v>
      </c>
      <c r="AI304" s="20" t="n">
        <f aca="false">Operations!AI301-Operations!AI302-Operations!AI303</f>
        <v>0</v>
      </c>
      <c r="AJ304" s="20" t="n">
        <f aca="false">Operations!AJ301-Operations!AJ302-Operations!AJ303</f>
        <v>0</v>
      </c>
      <c r="AK304" s="20" t="n">
        <f aca="false">Operations!AK301-Operations!AK302-Operations!AK303</f>
        <v>0</v>
      </c>
      <c r="AL304" s="20" t="n">
        <f aca="false">Operations!AL301-Operations!AL302-Operations!AL303</f>
        <v>0</v>
      </c>
      <c r="AM304" s="20" t="n">
        <f aca="false">Operations!AM301-Operations!AM302-Operations!AM303</f>
        <v>0</v>
      </c>
      <c r="AN304" s="20" t="n">
        <f aca="false">Operations!AN301-Operations!AN302-Operations!AN303</f>
        <v>0</v>
      </c>
      <c r="AO304" s="20" t="n">
        <f aca="false">Operations!AO301-Operations!AO302-Operations!AO303</f>
        <v>0</v>
      </c>
      <c r="AP304" s="20" t="n">
        <f aca="false">Operations!AP301-Operations!AP302-Operations!AP303</f>
        <v>0</v>
      </c>
      <c r="AQ304" s="20" t="n">
        <f aca="false">Operations!AQ301-Operations!AQ302-Operations!AQ303</f>
        <v>0</v>
      </c>
      <c r="AR304" s="20" t="n">
        <f aca="false">Operations!AR301-Operations!AR302-Operations!AR303</f>
        <v>0</v>
      </c>
      <c r="AS304" s="20" t="n">
        <f aca="false">Operations!AS301-Operations!AS302-Operations!AS303</f>
        <v>0</v>
      </c>
      <c r="AT304" s="20" t="n">
        <f aca="false">Operations!AT301-Operations!AT302-Operations!AT303</f>
        <v>0</v>
      </c>
      <c r="AU304" s="20" t="n">
        <f aca="false">Operations!AU301-Operations!AU302-Operations!AU303</f>
        <v>0</v>
      </c>
    </row>
    <row r="305" customFormat="false" ht="15" hidden="false" customHeight="false" outlineLevel="0" collapsed="false">
      <c r="D305" s="0" t="s">
        <v>700</v>
      </c>
      <c r="E305" s="0" t="s">
        <v>458</v>
      </c>
      <c r="J305" s="14" t="n">
        <f aca="false">0</f>
        <v>0</v>
      </c>
      <c r="K305" s="14" t="n">
        <f aca="false">0</f>
        <v>0</v>
      </c>
      <c r="L305" s="14" t="n">
        <f aca="false">0</f>
        <v>0</v>
      </c>
      <c r="M305" s="14" t="n">
        <f aca="false">0</f>
        <v>0</v>
      </c>
      <c r="N305" s="14" t="n">
        <f aca="false">0</f>
        <v>0</v>
      </c>
      <c r="O305" s="14" t="n">
        <f aca="false">0</f>
        <v>0</v>
      </c>
      <c r="P305" s="14" t="n">
        <f aca="false">0</f>
        <v>0</v>
      </c>
      <c r="Q305" s="14" t="n">
        <f aca="false">0</f>
        <v>0</v>
      </c>
      <c r="R305" s="14" t="n">
        <f aca="false">0</f>
        <v>0</v>
      </c>
      <c r="S305" s="14" t="n">
        <f aca="false">0</f>
        <v>0</v>
      </c>
      <c r="T305" s="14" t="n">
        <f aca="false">0</f>
        <v>0</v>
      </c>
      <c r="U305" s="14" t="n">
        <f aca="false">0</f>
        <v>0</v>
      </c>
      <c r="V305" s="14" t="n">
        <f aca="false">0</f>
        <v>0</v>
      </c>
      <c r="W305" s="14" t="n">
        <f aca="false">0</f>
        <v>0</v>
      </c>
      <c r="X305" s="14" t="n">
        <f aca="false">0</f>
        <v>0</v>
      </c>
      <c r="Y305" s="14" t="n">
        <f aca="false">0</f>
        <v>0</v>
      </c>
      <c r="Z305" s="14" t="n">
        <f aca="false">0</f>
        <v>0</v>
      </c>
      <c r="AA305" s="14" t="n">
        <f aca="false">0</f>
        <v>0</v>
      </c>
      <c r="AB305" s="14" t="n">
        <f aca="false">0</f>
        <v>0</v>
      </c>
      <c r="AC305" s="14" t="n">
        <f aca="false">0</f>
        <v>0</v>
      </c>
      <c r="AD305" s="14" t="n">
        <f aca="false">0</f>
        <v>0</v>
      </c>
      <c r="AE305" s="14" t="n">
        <f aca="false">0</f>
        <v>0</v>
      </c>
      <c r="AF305" s="14" t="n">
        <f aca="false">0</f>
        <v>0</v>
      </c>
      <c r="AG305" s="14" t="n">
        <f aca="false">0</f>
        <v>0</v>
      </c>
      <c r="AH305" s="14" t="n">
        <f aca="false">0</f>
        <v>0</v>
      </c>
      <c r="AI305" s="14" t="n">
        <f aca="false">0</f>
        <v>0</v>
      </c>
      <c r="AJ305" s="14" t="n">
        <f aca="false">0</f>
        <v>0</v>
      </c>
      <c r="AK305" s="14" t="n">
        <f aca="false">0</f>
        <v>0</v>
      </c>
      <c r="AL305" s="14" t="n">
        <f aca="false">0</f>
        <v>0</v>
      </c>
      <c r="AM305" s="14" t="n">
        <f aca="false">0</f>
        <v>0</v>
      </c>
      <c r="AN305" s="14" t="n">
        <f aca="false">0</f>
        <v>0</v>
      </c>
      <c r="AO305" s="14" t="n">
        <f aca="false">0</f>
        <v>0</v>
      </c>
      <c r="AP305" s="14" t="n">
        <f aca="false">0</f>
        <v>0</v>
      </c>
      <c r="AQ305" s="14" t="n">
        <f aca="false">0</f>
        <v>0</v>
      </c>
      <c r="AR305" s="14" t="n">
        <f aca="false">0</f>
        <v>0</v>
      </c>
      <c r="AS305" s="14" t="n">
        <f aca="false">0</f>
        <v>0</v>
      </c>
      <c r="AT305" s="14" t="n">
        <f aca="false">0</f>
        <v>0</v>
      </c>
      <c r="AU305" s="14" t="n">
        <f aca="false">0</f>
        <v>0</v>
      </c>
    </row>
    <row r="306" customFormat="false" ht="15" hidden="false" customHeight="false" outlineLevel="0" collapsed="false">
      <c r="D306" s="0" t="s">
        <v>701</v>
      </c>
      <c r="E306" s="0" t="s">
        <v>458</v>
      </c>
      <c r="J306" s="14" t="n">
        <f aca="false">1</f>
        <v>1</v>
      </c>
      <c r="K306" s="14" t="n">
        <f aca="false">1</f>
        <v>1</v>
      </c>
      <c r="L306" s="14" t="n">
        <f aca="false">1</f>
        <v>1</v>
      </c>
      <c r="M306" s="14" t="n">
        <f aca="false">1</f>
        <v>1</v>
      </c>
      <c r="N306" s="14" t="n">
        <f aca="false">1</f>
        <v>1</v>
      </c>
      <c r="O306" s="14" t="n">
        <f aca="false">1</f>
        <v>1</v>
      </c>
      <c r="P306" s="14" t="n">
        <f aca="false">1</f>
        <v>1</v>
      </c>
      <c r="Q306" s="14" t="n">
        <f aca="false">1</f>
        <v>1</v>
      </c>
      <c r="R306" s="14" t="n">
        <f aca="false">1</f>
        <v>1</v>
      </c>
      <c r="S306" s="14" t="n">
        <f aca="false">1</f>
        <v>1</v>
      </c>
      <c r="T306" s="14" t="n">
        <f aca="false">1</f>
        <v>1</v>
      </c>
      <c r="U306" s="14" t="n">
        <f aca="false">1</f>
        <v>1</v>
      </c>
      <c r="V306" s="14" t="n">
        <f aca="false">1</f>
        <v>1</v>
      </c>
      <c r="W306" s="14" t="n">
        <f aca="false">1</f>
        <v>1</v>
      </c>
      <c r="X306" s="14" t="n">
        <f aca="false">1</f>
        <v>1</v>
      </c>
      <c r="Y306" s="14" t="n">
        <f aca="false">1</f>
        <v>1</v>
      </c>
      <c r="Z306" s="14" t="n">
        <f aca="false">1</f>
        <v>1</v>
      </c>
      <c r="AA306" s="14" t="n">
        <f aca="false">1</f>
        <v>1</v>
      </c>
      <c r="AB306" s="14" t="n">
        <f aca="false">1</f>
        <v>1</v>
      </c>
      <c r="AC306" s="14" t="n">
        <f aca="false">1</f>
        <v>1</v>
      </c>
      <c r="AD306" s="14" t="n">
        <f aca="false">1</f>
        <v>1</v>
      </c>
      <c r="AE306" s="14" t="n">
        <f aca="false">1</f>
        <v>1</v>
      </c>
      <c r="AF306" s="14" t="n">
        <f aca="false">1</f>
        <v>1</v>
      </c>
      <c r="AG306" s="14" t="n">
        <f aca="false">1</f>
        <v>1</v>
      </c>
      <c r="AH306" s="14" t="n">
        <f aca="false">1</f>
        <v>1</v>
      </c>
      <c r="AI306" s="14" t="n">
        <f aca="false">1</f>
        <v>1</v>
      </c>
      <c r="AJ306" s="14" t="n">
        <f aca="false">1</f>
        <v>1</v>
      </c>
      <c r="AK306" s="14" t="n">
        <f aca="false">1</f>
        <v>1</v>
      </c>
      <c r="AL306" s="14" t="n">
        <f aca="false">1</f>
        <v>1</v>
      </c>
      <c r="AM306" s="14" t="n">
        <f aca="false">1</f>
        <v>1</v>
      </c>
      <c r="AN306" s="14" t="n">
        <f aca="false">1</f>
        <v>1</v>
      </c>
      <c r="AO306" s="14" t="n">
        <f aca="false">1</f>
        <v>1</v>
      </c>
      <c r="AP306" s="14" t="n">
        <f aca="false">1</f>
        <v>1</v>
      </c>
      <c r="AQ306" s="14" t="n">
        <f aca="false">1</f>
        <v>1</v>
      </c>
      <c r="AR306" s="14" t="n">
        <f aca="false">1</f>
        <v>1</v>
      </c>
      <c r="AS306" s="14" t="n">
        <f aca="false">1</f>
        <v>1</v>
      </c>
      <c r="AT306" s="14" t="n">
        <f aca="false">1</f>
        <v>1</v>
      </c>
      <c r="AU306" s="14" t="n">
        <f aca="false">1</f>
        <v>1</v>
      </c>
    </row>
    <row r="307" customFormat="false" ht="15" hidden="false" customHeight="false" outlineLevel="0" collapsed="false">
      <c r="D307" s="0" t="s">
        <v>702</v>
      </c>
      <c r="E307" s="0" t="s">
        <v>47</v>
      </c>
      <c r="G307" s="20" t="n">
        <f aca="false">SUM(J307:AU307)</f>
        <v>113.175369836548</v>
      </c>
      <c r="J307" s="20" t="n">
        <f aca="false">Operations!J304*(1-Operations!J305)*Operations!J278</f>
        <v>0</v>
      </c>
      <c r="K307" s="20" t="n">
        <f aca="false">Operations!K304*(1-Operations!K305)*Operations!K278</f>
        <v>3.12973635890411</v>
      </c>
      <c r="L307" s="20" t="n">
        <f aca="false">Operations!L304*(1-Operations!L305)*Operations!L278</f>
        <v>9.3245855125</v>
      </c>
      <c r="M307" s="20" t="n">
        <f aca="false">Operations!M304*(1-Operations!M305)*Operations!M278</f>
        <v>9.2846412753125</v>
      </c>
      <c r="N307" s="20" t="n">
        <f aca="false">Operations!N304*(1-Operations!N305)*Operations!N278</f>
        <v>9.24369843219531</v>
      </c>
      <c r="O307" s="20" t="n">
        <f aca="false">Operations!O304*(1-Operations!O305)*Operations!O278</f>
        <v>9.2017320180002</v>
      </c>
      <c r="P307" s="20" t="n">
        <f aca="false">Operations!P304*(1-Operations!P305)*Operations!P278</f>
        <v>8.6288862559502</v>
      </c>
      <c r="Q307" s="20" t="n">
        <f aca="false">Operations!Q304*(1-Operations!Q305)*Operations!Q278</f>
        <v>9.11462547953646</v>
      </c>
      <c r="R307" s="20" t="n">
        <f aca="false">Operations!R304*(1-Operations!R305)*Operations!R278</f>
        <v>6.74456556506939</v>
      </c>
      <c r="S307" s="20" t="n">
        <f aca="false">Operations!S304*(1-Operations!S305)*Operations!S278</f>
        <v>4.14990352881299</v>
      </c>
      <c r="T307" s="20" t="n">
        <f aca="false">Operations!T304*(1-Operations!T305)*Operations!T278</f>
        <v>3.60875782982231</v>
      </c>
      <c r="U307" s="20" t="n">
        <f aca="false">Operations!U304*(1-Operations!U305)*Operations!U278</f>
        <v>4.23706176504899</v>
      </c>
      <c r="V307" s="20" t="n">
        <f aca="false">Operations!V304*(1-Operations!V305)*Operations!V278</f>
        <v>4.28028548636272</v>
      </c>
      <c r="W307" s="20" t="n">
        <f aca="false">Operations!W304*(1-Operations!W305)*Operations!W278</f>
        <v>4.32420184820929</v>
      </c>
      <c r="X307" s="20" t="n">
        <f aca="false">Operations!X304*(1-Operations!X305)*Operations!X278</f>
        <v>4.2906296570809</v>
      </c>
      <c r="Y307" s="20" t="n">
        <f aca="false">Operations!Y304*(1-Operations!Y305)*Operations!Y278</f>
        <v>4.25025708322022</v>
      </c>
      <c r="Z307" s="20" t="n">
        <f aca="false">Operations!Z304*(1-Operations!Z305)*Operations!Z278</f>
        <v>4.20812664079048</v>
      </c>
      <c r="AA307" s="20" t="n">
        <f aca="false">Operations!AA304*(1-Operations!AA305)*Operations!AA278</f>
        <v>4.16501432654536</v>
      </c>
      <c r="AB307" s="20" t="n">
        <f aca="false">Operations!AB304*(1-Operations!AB305)*Operations!AB278</f>
        <v>4.11880335589908</v>
      </c>
      <c r="AC307" s="20" t="n">
        <f aca="false">Operations!AC304*(1-Operations!AC305)*Operations!AC278</f>
        <v>4.07044265230805</v>
      </c>
      <c r="AD307" s="20" t="n">
        <f aca="false">Operations!AD304*(1-Operations!AD305)*Operations!AD278</f>
        <v>4.02100491047519</v>
      </c>
      <c r="AE307" s="20" t="n">
        <f aca="false">Operations!AE304*(1-Operations!AE305)*Operations!AE278</f>
        <v>-1.22159014549543</v>
      </c>
      <c r="AF307" s="20" t="n">
        <f aca="false">Operations!AF304*(1-Operations!AF305)*Operations!AF278</f>
        <v>0</v>
      </c>
      <c r="AG307" s="20" t="n">
        <f aca="false">Operations!AG304*(1-Operations!AG305)*Operations!AG278</f>
        <v>0</v>
      </c>
      <c r="AH307" s="20" t="n">
        <f aca="false">Operations!AH304*(1-Operations!AH305)*Operations!AH278</f>
        <v>0</v>
      </c>
      <c r="AI307" s="20" t="n">
        <f aca="false">Operations!AI304*(1-Operations!AI305)*Operations!AI278</f>
        <v>0</v>
      </c>
      <c r="AJ307" s="20" t="n">
        <f aca="false">Operations!AJ304*(1-Operations!AJ305)*Operations!AJ278</f>
        <v>0</v>
      </c>
      <c r="AK307" s="20" t="n">
        <f aca="false">Operations!AK304*(1-Operations!AK305)*Operations!AK278</f>
        <v>0</v>
      </c>
      <c r="AL307" s="20" t="n">
        <f aca="false">Operations!AL304*(1-Operations!AL305)*Operations!AL278</f>
        <v>0</v>
      </c>
      <c r="AM307" s="20" t="n">
        <f aca="false">Operations!AM304*(1-Operations!AM305)*Operations!AM278</f>
        <v>0</v>
      </c>
      <c r="AN307" s="20" t="n">
        <f aca="false">Operations!AN304*(1-Operations!AN305)*Operations!AN278</f>
        <v>0</v>
      </c>
      <c r="AO307" s="20" t="n">
        <f aca="false">Operations!AO304*(1-Operations!AO305)*Operations!AO278</f>
        <v>0</v>
      </c>
      <c r="AP307" s="20" t="n">
        <f aca="false">Operations!AP304*(1-Operations!AP305)*Operations!AP278</f>
        <v>0</v>
      </c>
      <c r="AQ307" s="20" t="n">
        <f aca="false">Operations!AQ304*(1-Operations!AQ305)*Operations!AQ278</f>
        <v>0</v>
      </c>
      <c r="AR307" s="20" t="n">
        <f aca="false">Operations!AR304*(1-Operations!AR305)*Operations!AR278</f>
        <v>0</v>
      </c>
      <c r="AS307" s="20" t="n">
        <f aca="false">Operations!AS304*(1-Operations!AS305)*Operations!AS278</f>
        <v>0</v>
      </c>
      <c r="AT307" s="20" t="n">
        <f aca="false">Operations!AT304*(1-Operations!AT305)*Operations!AT278</f>
        <v>0</v>
      </c>
      <c r="AU307" s="20" t="n">
        <f aca="false">Operations!AU304*(1-Operations!AU305)*Operations!AU278</f>
        <v>0</v>
      </c>
    </row>
    <row r="308" customFormat="false" ht="15" hidden="false" customHeight="false" outlineLevel="0" collapsed="false">
      <c r="D308" s="0" t="s">
        <v>703</v>
      </c>
      <c r="E308" s="0" t="s">
        <v>47</v>
      </c>
      <c r="J308" s="20" t="n">
        <f aca="false">Operations!J304*Operations!J306*Operations!J278</f>
        <v>0</v>
      </c>
      <c r="K308" s="20" t="n">
        <f aca="false">Operations!K304*Operations!K306*Operations!K278</f>
        <v>3.12973635890411</v>
      </c>
      <c r="L308" s="20" t="n">
        <f aca="false">Operations!L304*Operations!L306*Operations!L278</f>
        <v>9.3245855125</v>
      </c>
      <c r="M308" s="20" t="n">
        <f aca="false">Operations!M304*Operations!M306*Operations!M278</f>
        <v>9.2846412753125</v>
      </c>
      <c r="N308" s="20" t="n">
        <f aca="false">Operations!N304*Operations!N306*Operations!N278</f>
        <v>9.24369843219531</v>
      </c>
      <c r="O308" s="20" t="n">
        <f aca="false">Operations!O304*Operations!O306*Operations!O278</f>
        <v>9.2017320180002</v>
      </c>
      <c r="P308" s="20" t="n">
        <f aca="false">Operations!P304*Operations!P306*Operations!P278</f>
        <v>8.6288862559502</v>
      </c>
      <c r="Q308" s="20" t="n">
        <f aca="false">Operations!Q304*Operations!Q306*Operations!Q278</f>
        <v>9.11462547953646</v>
      </c>
      <c r="R308" s="20" t="n">
        <f aca="false">Operations!R304*Operations!R306*Operations!R278</f>
        <v>6.74456556506939</v>
      </c>
      <c r="S308" s="20" t="n">
        <f aca="false">Operations!S304*Operations!S306*Operations!S278</f>
        <v>4.14990352881299</v>
      </c>
      <c r="T308" s="20" t="n">
        <f aca="false">Operations!T304*Operations!T306*Operations!T278</f>
        <v>3.60875782982231</v>
      </c>
      <c r="U308" s="20" t="n">
        <f aca="false">Operations!U304*Operations!U306*Operations!U278</f>
        <v>4.23706176504899</v>
      </c>
      <c r="V308" s="20" t="n">
        <f aca="false">Operations!V304*Operations!V306*Operations!V278</f>
        <v>4.28028548636272</v>
      </c>
      <c r="W308" s="20" t="n">
        <f aca="false">Operations!W304*Operations!W306*Operations!W278</f>
        <v>4.32420184820929</v>
      </c>
      <c r="X308" s="20" t="n">
        <f aca="false">Operations!X304*Operations!X306*Operations!X278</f>
        <v>4.2906296570809</v>
      </c>
      <c r="Y308" s="20" t="n">
        <f aca="false">Operations!Y304*Operations!Y306*Operations!Y278</f>
        <v>4.25025708322022</v>
      </c>
      <c r="Z308" s="20" t="n">
        <f aca="false">Operations!Z304*Operations!Z306*Operations!Z278</f>
        <v>4.20812664079048</v>
      </c>
      <c r="AA308" s="20" t="n">
        <f aca="false">Operations!AA304*Operations!AA306*Operations!AA278</f>
        <v>4.16501432654536</v>
      </c>
      <c r="AB308" s="20" t="n">
        <f aca="false">Operations!AB304*Operations!AB306*Operations!AB278</f>
        <v>4.11880335589908</v>
      </c>
      <c r="AC308" s="20" t="n">
        <f aca="false">Operations!AC304*Operations!AC306*Operations!AC278</f>
        <v>4.07044265230805</v>
      </c>
      <c r="AD308" s="20" t="n">
        <f aca="false">Operations!AD304*Operations!AD306*Operations!AD278</f>
        <v>4.02100491047519</v>
      </c>
      <c r="AE308" s="20" t="n">
        <f aca="false">Operations!AE304*Operations!AE306*Operations!AE278</f>
        <v>-1.22159014549543</v>
      </c>
      <c r="AF308" s="20" t="n">
        <f aca="false">Operations!AF304*Operations!AF306*Operations!AF278</f>
        <v>0</v>
      </c>
      <c r="AG308" s="20" t="n">
        <f aca="false">Operations!AG304*Operations!AG306*Operations!AG278</f>
        <v>0</v>
      </c>
      <c r="AH308" s="20" t="n">
        <f aca="false">Operations!AH304*Operations!AH306*Operations!AH278</f>
        <v>0</v>
      </c>
      <c r="AI308" s="20" t="n">
        <f aca="false">Operations!AI304*Operations!AI306*Operations!AI278</f>
        <v>0</v>
      </c>
      <c r="AJ308" s="20" t="n">
        <f aca="false">Operations!AJ304*Operations!AJ306*Operations!AJ278</f>
        <v>0</v>
      </c>
      <c r="AK308" s="20" t="n">
        <f aca="false">Operations!AK304*Operations!AK306*Operations!AK278</f>
        <v>0</v>
      </c>
      <c r="AL308" s="20" t="n">
        <f aca="false">Operations!AL304*Operations!AL306*Operations!AL278</f>
        <v>0</v>
      </c>
      <c r="AM308" s="20" t="n">
        <f aca="false">Operations!AM304*Operations!AM306*Operations!AM278</f>
        <v>0</v>
      </c>
      <c r="AN308" s="20" t="n">
        <f aca="false">Operations!AN304*Operations!AN306*Operations!AN278</f>
        <v>0</v>
      </c>
      <c r="AO308" s="20" t="n">
        <f aca="false">Operations!AO304*Operations!AO306*Operations!AO278</f>
        <v>0</v>
      </c>
      <c r="AP308" s="20" t="n">
        <f aca="false">Operations!AP304*Operations!AP306*Operations!AP278</f>
        <v>0</v>
      </c>
      <c r="AQ308" s="20" t="n">
        <f aca="false">Operations!AQ304*Operations!AQ306*Operations!AQ278</f>
        <v>0</v>
      </c>
      <c r="AR308" s="20" t="n">
        <f aca="false">Operations!AR304*Operations!AR306*Operations!AR278</f>
        <v>0</v>
      </c>
      <c r="AS308" s="20" t="n">
        <f aca="false">Operations!AS304*Operations!AS306*Operations!AS278</f>
        <v>0</v>
      </c>
      <c r="AT308" s="20" t="n">
        <f aca="false">Operations!AT304*Operations!AT306*Operations!AT278</f>
        <v>0</v>
      </c>
      <c r="AU308" s="20" t="n">
        <f aca="false">Operations!AU304*Operations!AU306*Operations!AU278</f>
        <v>0</v>
      </c>
    </row>
    <row r="309" customFormat="false" ht="15" hidden="false" customHeight="false" outlineLevel="0" collapsed="false">
      <c r="D309" s="0" t="s">
        <v>704</v>
      </c>
      <c r="E309" s="0" t="s">
        <v>47</v>
      </c>
      <c r="J309" s="20" t="n">
        <f aca="false">Operations!J307-Inputs!$F$248/100*Operations!J308</f>
        <v>0</v>
      </c>
      <c r="K309" s="20" t="n">
        <f aca="false">Operations!K307-Inputs!$F$248/100*Operations!K308</f>
        <v>2.47249172353425</v>
      </c>
      <c r="L309" s="20" t="n">
        <f aca="false">Operations!L307-Inputs!$F$248/100*Operations!L308</f>
        <v>7.366422554875</v>
      </c>
      <c r="M309" s="20" t="n">
        <f aca="false">Operations!M307-Inputs!$F$248/100*Operations!M308</f>
        <v>7.33486660749688</v>
      </c>
      <c r="N309" s="20" t="n">
        <f aca="false">Operations!N307-Inputs!$F$248/100*Operations!N308</f>
        <v>7.3025217614343</v>
      </c>
      <c r="O309" s="20" t="n">
        <f aca="false">Operations!O307-Inputs!$F$248/100*Operations!O308</f>
        <v>7.26936829422016</v>
      </c>
      <c r="P309" s="20" t="n">
        <f aca="false">Operations!P307-Inputs!$F$248/100*Operations!P308</f>
        <v>6.81682014220066</v>
      </c>
      <c r="Q309" s="20" t="n">
        <f aca="false">Operations!Q307-Inputs!$F$248/100*Operations!Q308</f>
        <v>7.2005541288338</v>
      </c>
      <c r="R309" s="20" t="n">
        <f aca="false">Operations!R307-Inputs!$F$248/100*Operations!R308</f>
        <v>5.32820679640482</v>
      </c>
      <c r="S309" s="20" t="n">
        <f aca="false">Operations!S307-Inputs!$F$248/100*Operations!S308</f>
        <v>3.27842378776226</v>
      </c>
      <c r="T309" s="20" t="n">
        <f aca="false">Operations!T307-Inputs!$F$248/100*Operations!T308</f>
        <v>2.85091868555962</v>
      </c>
      <c r="U309" s="20" t="n">
        <f aca="false">Operations!U307-Inputs!$F$248/100*Operations!U308</f>
        <v>3.3472787943887</v>
      </c>
      <c r="V309" s="20" t="n">
        <f aca="false">Operations!V307-Inputs!$F$248/100*Operations!V308</f>
        <v>3.38142553422655</v>
      </c>
      <c r="W309" s="20" t="n">
        <f aca="false">Operations!W307-Inputs!$F$248/100*Operations!W308</f>
        <v>3.41611946008534</v>
      </c>
      <c r="X309" s="20" t="n">
        <f aca="false">Operations!X307-Inputs!$F$248/100*Operations!X308</f>
        <v>3.38959742909391</v>
      </c>
      <c r="Y309" s="20" t="n">
        <f aca="false">Operations!Y307-Inputs!$F$248/100*Operations!Y308</f>
        <v>3.35770309574397</v>
      </c>
      <c r="Z309" s="20" t="n">
        <f aca="false">Operations!Z307-Inputs!$F$248/100*Operations!Z308</f>
        <v>3.32442004622448</v>
      </c>
      <c r="AA309" s="20" t="n">
        <f aca="false">Operations!AA307-Inputs!$F$248/100*Operations!AA308</f>
        <v>3.29036131797083</v>
      </c>
      <c r="AB309" s="20" t="n">
        <f aca="false">Operations!AB307-Inputs!$F$248/100*Operations!AB308</f>
        <v>3.25385465116028</v>
      </c>
      <c r="AC309" s="20" t="n">
        <f aca="false">Operations!AC307-Inputs!$F$248/100*Operations!AC308</f>
        <v>3.21564969532336</v>
      </c>
      <c r="AD309" s="20" t="n">
        <f aca="false">Operations!AD307-Inputs!$F$248/100*Operations!AD308</f>
        <v>3.1765938792754</v>
      </c>
      <c r="AE309" s="20" t="n">
        <f aca="false">Operations!AE307-Inputs!$F$248/100*Operations!AE308</f>
        <v>-0.96505621494139</v>
      </c>
      <c r="AF309" s="20" t="n">
        <f aca="false">Operations!AF307-Inputs!$F$248/100*Operations!AF308</f>
        <v>0</v>
      </c>
      <c r="AG309" s="20" t="n">
        <f aca="false">Operations!AG307-Inputs!$F$248/100*Operations!AG308</f>
        <v>0</v>
      </c>
      <c r="AH309" s="20" t="n">
        <f aca="false">Operations!AH307-Inputs!$F$248/100*Operations!AH308</f>
        <v>0</v>
      </c>
      <c r="AI309" s="20" t="n">
        <f aca="false">Operations!AI307-Inputs!$F$248/100*Operations!AI308</f>
        <v>0</v>
      </c>
      <c r="AJ309" s="20" t="n">
        <f aca="false">Operations!AJ307-Inputs!$F$248/100*Operations!AJ308</f>
        <v>0</v>
      </c>
      <c r="AK309" s="20" t="n">
        <f aca="false">Operations!AK307-Inputs!$F$248/100*Operations!AK308</f>
        <v>0</v>
      </c>
      <c r="AL309" s="20" t="n">
        <f aca="false">Operations!AL307-Inputs!$F$248/100*Operations!AL308</f>
        <v>0</v>
      </c>
      <c r="AM309" s="20" t="n">
        <f aca="false">Operations!AM307-Inputs!$F$248/100*Operations!AM308</f>
        <v>0</v>
      </c>
      <c r="AN309" s="20" t="n">
        <f aca="false">Operations!AN307-Inputs!$F$248/100*Operations!AN308</f>
        <v>0</v>
      </c>
      <c r="AO309" s="20" t="n">
        <f aca="false">Operations!AO307-Inputs!$F$248/100*Operations!AO308</f>
        <v>0</v>
      </c>
      <c r="AP309" s="20" t="n">
        <f aca="false">Operations!AP307-Inputs!$F$248/100*Operations!AP308</f>
        <v>0</v>
      </c>
      <c r="AQ309" s="20" t="n">
        <f aca="false">Operations!AQ307-Inputs!$F$248/100*Operations!AQ308</f>
        <v>0</v>
      </c>
      <c r="AR309" s="20" t="n">
        <f aca="false">Operations!AR307-Inputs!$F$248/100*Operations!AR308</f>
        <v>0</v>
      </c>
      <c r="AS309" s="20" t="n">
        <f aca="false">Operations!AS307-Inputs!$F$248/100*Operations!AS308</f>
        <v>0</v>
      </c>
      <c r="AT309" s="20" t="n">
        <f aca="false">Operations!AT307-Inputs!$F$248/100*Operations!AT308</f>
        <v>0</v>
      </c>
      <c r="AU309" s="20" t="n">
        <f aca="false">Operations!AU307-Inputs!$F$248/100*Operations!AU308</f>
        <v>0</v>
      </c>
    </row>
    <row r="310" customFormat="false" ht="15" hidden="false" customHeight="false" outlineLevel="0" collapsed="false">
      <c r="D310" s="0" t="s">
        <v>705</v>
      </c>
      <c r="E310" s="0" t="s">
        <v>458</v>
      </c>
      <c r="J310" s="14" t="n">
        <f aca="false">IF(Operations!J295=0,0,Operations!J293/Operations!J295)</f>
        <v>0</v>
      </c>
      <c r="K310" s="14" t="n">
        <f aca="false">IF(Operations!K295=0,0,Operations!K293/Operations!K295)</f>
        <v>1</v>
      </c>
      <c r="L310" s="14" t="n">
        <f aca="false">IF(Operations!L295=0,0,Operations!L293/Operations!L295)</f>
        <v>1</v>
      </c>
      <c r="M310" s="14" t="n">
        <f aca="false">IF(Operations!M295=0,0,Operations!M293/Operations!M295)</f>
        <v>1</v>
      </c>
      <c r="N310" s="14" t="n">
        <f aca="false">IF(Operations!N295=0,0,Operations!N293/Operations!N295)</f>
        <v>1</v>
      </c>
      <c r="O310" s="14" t="n">
        <f aca="false">IF(Operations!O295=0,0,Operations!O293/Operations!O295)</f>
        <v>1</v>
      </c>
      <c r="P310" s="14" t="n">
        <f aca="false">IF(Operations!P295=0,0,Operations!P293/Operations!P295)</f>
        <v>1</v>
      </c>
      <c r="Q310" s="14" t="n">
        <f aca="false">IF(Operations!Q295=0,0,Operations!Q293/Operations!Q295)</f>
        <v>1</v>
      </c>
      <c r="R310" s="14" t="n">
        <f aca="false">IF(Operations!R295=0,0,Operations!R293/Operations!R295)</f>
        <v>0.675232844138055</v>
      </c>
      <c r="S310" s="14" t="n">
        <f aca="false">IF(Operations!S295=0,0,Operations!S293/Operations!S295)</f>
        <v>0</v>
      </c>
      <c r="T310" s="14" t="n">
        <f aca="false">IF(Operations!T295=0,0,Operations!T293/Operations!T295)</f>
        <v>0</v>
      </c>
      <c r="U310" s="14" t="n">
        <f aca="false">IF(Operations!U295=0,0,Operations!U293/Operations!U295)</f>
        <v>0</v>
      </c>
      <c r="V310" s="14" t="n">
        <f aca="false">IF(Operations!V295=0,0,Operations!V293/Operations!V295)</f>
        <v>0</v>
      </c>
      <c r="W310" s="14" t="n">
        <f aca="false">IF(Operations!W295=0,0,Operations!W293/Operations!W295)</f>
        <v>0</v>
      </c>
      <c r="X310" s="14" t="n">
        <f aca="false">IF(Operations!X295=0,0,Operations!X293/Operations!X295)</f>
        <v>0</v>
      </c>
      <c r="Y310" s="14" t="n">
        <f aca="false">IF(Operations!Y295=0,0,Operations!Y293/Operations!Y295)</f>
        <v>0</v>
      </c>
      <c r="Z310" s="14" t="n">
        <f aca="false">IF(Operations!Z295=0,0,Operations!Z293/Operations!Z295)</f>
        <v>0</v>
      </c>
      <c r="AA310" s="14" t="n">
        <f aca="false">IF(Operations!AA295=0,0,Operations!AA293/Operations!AA295)</f>
        <v>0</v>
      </c>
      <c r="AB310" s="14" t="n">
        <f aca="false">IF(Operations!AB295=0,0,Operations!AB293/Operations!AB295)</f>
        <v>0</v>
      </c>
      <c r="AC310" s="14" t="n">
        <f aca="false">IF(Operations!AC295=0,0,Operations!AC293/Operations!AC295)</f>
        <v>0</v>
      </c>
      <c r="AD310" s="14" t="n">
        <f aca="false">IF(Operations!AD295=0,0,Operations!AD293/Operations!AD295)</f>
        <v>0</v>
      </c>
      <c r="AE310" s="14" t="n">
        <f aca="false">IF(Operations!AE295=0,0,Operations!AE293/Operations!AE295)</f>
        <v>0</v>
      </c>
      <c r="AF310" s="14" t="n">
        <f aca="false">IF(Operations!AF295=0,0,Operations!AF293/Operations!AF295)</f>
        <v>0</v>
      </c>
      <c r="AG310" s="14" t="n">
        <f aca="false">IF(Operations!AG295=0,0,Operations!AG293/Operations!AG295)</f>
        <v>0</v>
      </c>
      <c r="AH310" s="14" t="n">
        <f aca="false">IF(Operations!AH295=0,0,Operations!AH293/Operations!AH295)</f>
        <v>0</v>
      </c>
      <c r="AI310" s="14" t="n">
        <f aca="false">IF(Operations!AI295=0,0,Operations!AI293/Operations!AI295)</f>
        <v>0</v>
      </c>
      <c r="AJ310" s="14" t="n">
        <f aca="false">IF(Operations!AJ295=0,0,Operations!AJ293/Operations!AJ295)</f>
        <v>0</v>
      </c>
      <c r="AK310" s="14" t="n">
        <f aca="false">IF(Operations!AK295=0,0,Operations!AK293/Operations!AK295)</f>
        <v>0</v>
      </c>
      <c r="AL310" s="14" t="n">
        <f aca="false">IF(Operations!AL295=0,0,Operations!AL293/Operations!AL295)</f>
        <v>0</v>
      </c>
      <c r="AM310" s="14" t="n">
        <f aca="false">IF(Operations!AM295=0,0,Operations!AM293/Operations!AM295)</f>
        <v>0</v>
      </c>
      <c r="AN310" s="14" t="n">
        <f aca="false">IF(Operations!AN295=0,0,Operations!AN293/Operations!AN295)</f>
        <v>0</v>
      </c>
      <c r="AO310" s="14" t="n">
        <f aca="false">IF(Operations!AO295=0,0,Operations!AO293/Operations!AO295)</f>
        <v>0</v>
      </c>
      <c r="AP310" s="14" t="n">
        <f aca="false">IF(Operations!AP295=0,0,Operations!AP293/Operations!AP295)</f>
        <v>0</v>
      </c>
      <c r="AQ310" s="14" t="n">
        <f aca="false">IF(Operations!AQ295=0,0,Operations!AQ293/Operations!AQ295)</f>
        <v>0</v>
      </c>
      <c r="AR310" s="14" t="n">
        <f aca="false">IF(Operations!AR295=0,0,Operations!AR293/Operations!AR295)</f>
        <v>0</v>
      </c>
      <c r="AS310" s="14" t="n">
        <f aca="false">IF(Operations!AS295=0,0,Operations!AS293/Operations!AS295)</f>
        <v>0</v>
      </c>
      <c r="AT310" s="14" t="n">
        <f aca="false">IF(Operations!AT295=0,0,Operations!AT293/Operations!AT295)</f>
        <v>0</v>
      </c>
      <c r="AU310" s="14" t="n">
        <f aca="false">IF(Operations!AU295=0,0,Operations!AU293/Operations!AU295)</f>
        <v>0</v>
      </c>
    </row>
    <row r="311" customFormat="false" ht="15" hidden="false" customHeight="false" outlineLevel="0" collapsed="false">
      <c r="D311" s="0" t="s">
        <v>706</v>
      </c>
      <c r="E311" s="0" t="s">
        <v>458</v>
      </c>
      <c r="J311" s="14" t="n">
        <f aca="false">IF(Operations!J295=0,0,Operations!J294/Operations!J295)</f>
        <v>0</v>
      </c>
      <c r="K311" s="14" t="n">
        <f aca="false">IF(Operations!K295=0,0,Operations!K294/Operations!K295)</f>
        <v>0</v>
      </c>
      <c r="L311" s="14" t="n">
        <f aca="false">IF(Operations!L295=0,0,Operations!L294/Operations!L295)</f>
        <v>0</v>
      </c>
      <c r="M311" s="14" t="n">
        <f aca="false">IF(Operations!M295=0,0,Operations!M294/Operations!M295)</f>
        <v>0</v>
      </c>
      <c r="N311" s="14" t="n">
        <f aca="false">IF(Operations!N295=0,0,Operations!N294/Operations!N295)</f>
        <v>0</v>
      </c>
      <c r="O311" s="14" t="n">
        <f aca="false">IF(Operations!O295=0,0,Operations!O294/Operations!O295)</f>
        <v>0</v>
      </c>
      <c r="P311" s="14" t="n">
        <f aca="false">IF(Operations!P295=0,0,Operations!P294/Operations!P295)</f>
        <v>0</v>
      </c>
      <c r="Q311" s="14" t="n">
        <f aca="false">IF(Operations!Q295=0,0,Operations!Q294/Operations!Q295)</f>
        <v>0</v>
      </c>
      <c r="R311" s="14" t="n">
        <f aca="false">IF(Operations!R295=0,0,Operations!R294/Operations!R295)</f>
        <v>0</v>
      </c>
      <c r="S311" s="14" t="n">
        <f aca="false">IF(Operations!S295=0,0,Operations!S294/Operations!S295)</f>
        <v>0</v>
      </c>
      <c r="T311" s="14" t="n">
        <f aca="false">IF(Operations!T295=0,0,Operations!T294/Operations!T295)</f>
        <v>0</v>
      </c>
      <c r="U311" s="14" t="n">
        <f aca="false">IF(Operations!U295=0,0,Operations!U294/Operations!U295)</f>
        <v>0</v>
      </c>
      <c r="V311" s="14" t="n">
        <f aca="false">IF(Operations!V295=0,0,Operations!V294/Operations!V295)</f>
        <v>0</v>
      </c>
      <c r="W311" s="14" t="n">
        <f aca="false">IF(Operations!W295=0,0,Operations!W294/Operations!W295)</f>
        <v>0</v>
      </c>
      <c r="X311" s="14" t="n">
        <f aca="false">IF(Operations!X295=0,0,Operations!X294/Operations!X295)</f>
        <v>0</v>
      </c>
      <c r="Y311" s="14" t="n">
        <f aca="false">IF(Operations!Y295=0,0,Operations!Y294/Operations!Y295)</f>
        <v>0</v>
      </c>
      <c r="Z311" s="14" t="n">
        <f aca="false">IF(Operations!Z295=0,0,Operations!Z294/Operations!Z295)</f>
        <v>0</v>
      </c>
      <c r="AA311" s="14" t="n">
        <f aca="false">IF(Operations!AA295=0,0,Operations!AA294/Operations!AA295)</f>
        <v>0</v>
      </c>
      <c r="AB311" s="14" t="n">
        <f aca="false">IF(Operations!AB295=0,0,Operations!AB294/Operations!AB295)</f>
        <v>0</v>
      </c>
      <c r="AC311" s="14" t="n">
        <f aca="false">IF(Operations!AC295=0,0,Operations!AC294/Operations!AC295)</f>
        <v>0</v>
      </c>
      <c r="AD311" s="14" t="n">
        <f aca="false">IF(Operations!AD295=0,0,Operations!AD294/Operations!AD295)</f>
        <v>0</v>
      </c>
      <c r="AE311" s="14" t="n">
        <f aca="false">IF(Operations!AE295=0,0,Operations!AE294/Operations!AE295)</f>
        <v>0</v>
      </c>
      <c r="AF311" s="14" t="n">
        <f aca="false">IF(Operations!AF295=0,0,Operations!AF294/Operations!AF295)</f>
        <v>0</v>
      </c>
      <c r="AG311" s="14" t="n">
        <f aca="false">IF(Operations!AG295=0,0,Operations!AG294/Operations!AG295)</f>
        <v>0</v>
      </c>
      <c r="AH311" s="14" t="n">
        <f aca="false">IF(Operations!AH295=0,0,Operations!AH294/Operations!AH295)</f>
        <v>0</v>
      </c>
      <c r="AI311" s="14" t="n">
        <f aca="false">IF(Operations!AI295=0,0,Operations!AI294/Operations!AI295)</f>
        <v>0</v>
      </c>
      <c r="AJ311" s="14" t="n">
        <f aca="false">IF(Operations!AJ295=0,0,Operations!AJ294/Operations!AJ295)</f>
        <v>0</v>
      </c>
      <c r="AK311" s="14" t="n">
        <f aca="false">IF(Operations!AK295=0,0,Operations!AK294/Operations!AK295)</f>
        <v>0</v>
      </c>
      <c r="AL311" s="14" t="n">
        <f aca="false">IF(Operations!AL295=0,0,Operations!AL294/Operations!AL295)</f>
        <v>0</v>
      </c>
      <c r="AM311" s="14" t="n">
        <f aca="false">IF(Operations!AM295=0,0,Operations!AM294/Operations!AM295)</f>
        <v>0</v>
      </c>
      <c r="AN311" s="14" t="n">
        <f aca="false">IF(Operations!AN295=0,0,Operations!AN294/Operations!AN295)</f>
        <v>0</v>
      </c>
      <c r="AO311" s="14" t="n">
        <f aca="false">IF(Operations!AO295=0,0,Operations!AO294/Operations!AO295)</f>
        <v>0</v>
      </c>
      <c r="AP311" s="14" t="n">
        <f aca="false">IF(Operations!AP295=0,0,Operations!AP294/Operations!AP295)</f>
        <v>0</v>
      </c>
      <c r="AQ311" s="14" t="n">
        <f aca="false">IF(Operations!AQ295=0,0,Operations!AQ294/Operations!AQ295)</f>
        <v>0</v>
      </c>
      <c r="AR311" s="14" t="n">
        <f aca="false">IF(Operations!AR295=0,0,Operations!AR294/Operations!AR295)</f>
        <v>0</v>
      </c>
      <c r="AS311" s="14" t="n">
        <f aca="false">IF(Operations!AS295=0,0,Operations!AS294/Operations!AS295)</f>
        <v>0</v>
      </c>
      <c r="AT311" s="14" t="n">
        <f aca="false">IF(Operations!AT295=0,0,Operations!AT294/Operations!AT295)</f>
        <v>0</v>
      </c>
      <c r="AU311" s="14" t="n">
        <f aca="false">IF(Operations!AU295=0,0,Operations!AU294/Operations!AU295)</f>
        <v>0</v>
      </c>
    </row>
    <row r="312" customFormat="false" ht="15" hidden="false" customHeight="false" outlineLevel="0" collapsed="false">
      <c r="D312" s="0" t="s">
        <v>707</v>
      </c>
      <c r="E312" s="0" t="s">
        <v>458</v>
      </c>
      <c r="J312" s="14" t="n">
        <f aca="false">1-Operations!J310-Operations!J311</f>
        <v>1</v>
      </c>
      <c r="K312" s="14" t="n">
        <f aca="false">1-Operations!K310-Operations!K311</f>
        <v>0</v>
      </c>
      <c r="L312" s="14" t="n">
        <f aca="false">1-Operations!L310-Operations!L311</f>
        <v>0</v>
      </c>
      <c r="M312" s="14" t="n">
        <f aca="false">1-Operations!M310-Operations!M311</f>
        <v>0</v>
      </c>
      <c r="N312" s="14" t="n">
        <f aca="false">1-Operations!N310-Operations!N311</f>
        <v>0</v>
      </c>
      <c r="O312" s="14" t="n">
        <f aca="false">1-Operations!O310-Operations!O311</f>
        <v>0</v>
      </c>
      <c r="P312" s="14" t="n">
        <f aca="false">1-Operations!P310-Operations!P311</f>
        <v>0</v>
      </c>
      <c r="Q312" s="14" t="n">
        <f aca="false">1-Operations!Q310-Operations!Q311</f>
        <v>0</v>
      </c>
      <c r="R312" s="14" t="n">
        <f aca="false">1-Operations!R310-Operations!R311</f>
        <v>0.324767155861945</v>
      </c>
      <c r="S312" s="14" t="n">
        <f aca="false">1-Operations!S310-Operations!S311</f>
        <v>1</v>
      </c>
      <c r="T312" s="14" t="n">
        <f aca="false">1-Operations!T310-Operations!T311</f>
        <v>1</v>
      </c>
      <c r="U312" s="14" t="n">
        <f aca="false">1-Operations!U310-Operations!U311</f>
        <v>1</v>
      </c>
      <c r="V312" s="14" t="n">
        <f aca="false">1-Operations!V310-Operations!V311</f>
        <v>1</v>
      </c>
      <c r="W312" s="14" t="n">
        <f aca="false">1-Operations!W310-Operations!W311</f>
        <v>1</v>
      </c>
      <c r="X312" s="14" t="n">
        <f aca="false">1-Operations!X310-Operations!X311</f>
        <v>1</v>
      </c>
      <c r="Y312" s="14" t="n">
        <f aca="false">1-Operations!Y310-Operations!Y311</f>
        <v>1</v>
      </c>
      <c r="Z312" s="14" t="n">
        <f aca="false">1-Operations!Z310-Operations!Z311</f>
        <v>1</v>
      </c>
      <c r="AA312" s="14" t="n">
        <f aca="false">1-Operations!AA310-Operations!AA311</f>
        <v>1</v>
      </c>
      <c r="AB312" s="14" t="n">
        <f aca="false">1-Operations!AB310-Operations!AB311</f>
        <v>1</v>
      </c>
      <c r="AC312" s="14" t="n">
        <f aca="false">1-Operations!AC310-Operations!AC311</f>
        <v>1</v>
      </c>
      <c r="AD312" s="14" t="n">
        <f aca="false">1-Operations!AD310-Operations!AD311</f>
        <v>1</v>
      </c>
      <c r="AE312" s="14" t="n">
        <f aca="false">1-Operations!AE310-Operations!AE311</f>
        <v>1</v>
      </c>
      <c r="AF312" s="14" t="n">
        <f aca="false">1-Operations!AF310-Operations!AF311</f>
        <v>1</v>
      </c>
      <c r="AG312" s="14" t="n">
        <f aca="false">1-Operations!AG310-Operations!AG311</f>
        <v>1</v>
      </c>
      <c r="AH312" s="14" t="n">
        <f aca="false">1-Operations!AH310-Operations!AH311</f>
        <v>1</v>
      </c>
      <c r="AI312" s="14" t="n">
        <f aca="false">1-Operations!AI310-Operations!AI311</f>
        <v>1</v>
      </c>
      <c r="AJ312" s="14" t="n">
        <f aca="false">1-Operations!AJ310-Operations!AJ311</f>
        <v>1</v>
      </c>
      <c r="AK312" s="14" t="n">
        <f aca="false">1-Operations!AK310-Operations!AK311</f>
        <v>1</v>
      </c>
      <c r="AL312" s="14" t="n">
        <f aca="false">1-Operations!AL310-Operations!AL311</f>
        <v>1</v>
      </c>
      <c r="AM312" s="14" t="n">
        <f aca="false">1-Operations!AM310-Operations!AM311</f>
        <v>1</v>
      </c>
      <c r="AN312" s="14" t="n">
        <f aca="false">1-Operations!AN310-Operations!AN311</f>
        <v>1</v>
      </c>
      <c r="AO312" s="14" t="n">
        <f aca="false">1-Operations!AO310-Operations!AO311</f>
        <v>1</v>
      </c>
      <c r="AP312" s="14" t="n">
        <f aca="false">1-Operations!AP310-Operations!AP311</f>
        <v>1</v>
      </c>
      <c r="AQ312" s="14" t="n">
        <f aca="false">1-Operations!AQ310-Operations!AQ311</f>
        <v>1</v>
      </c>
      <c r="AR312" s="14" t="n">
        <f aca="false">1-Operations!AR310-Operations!AR311</f>
        <v>1</v>
      </c>
      <c r="AS312" s="14" t="n">
        <f aca="false">1-Operations!AS310-Operations!AS311</f>
        <v>1</v>
      </c>
      <c r="AT312" s="14" t="n">
        <f aca="false">1-Operations!AT310-Operations!AT311</f>
        <v>1</v>
      </c>
      <c r="AU312" s="14" t="n">
        <f aca="false">1-Operations!AU310-Operations!AU311</f>
        <v>1</v>
      </c>
    </row>
    <row r="313" customFormat="false" ht="15" hidden="false" customHeight="false" outlineLevel="0" collapsed="false">
      <c r="D313" s="0" t="s">
        <v>708</v>
      </c>
      <c r="E313" s="0" t="s">
        <v>47</v>
      </c>
      <c r="J313" s="20" t="n">
        <f aca="false">Operations!J293*Operations!J278*(1-Operations!J305)</f>
        <v>0</v>
      </c>
      <c r="K313" s="20" t="n">
        <f aca="false">Operations!K293*Operations!K278*(1-Operations!K305)</f>
        <v>3.67002739726028</v>
      </c>
      <c r="L313" s="20" t="n">
        <f aca="false">Operations!L293*Operations!L278*(1-Operations!L305)</f>
        <v>10.98</v>
      </c>
      <c r="M313" s="20" t="n">
        <f aca="false">Operations!M293*Operations!M278*(1-Operations!M305)</f>
        <v>10.98</v>
      </c>
      <c r="N313" s="20" t="n">
        <f aca="false">Operations!N293*Operations!N278*(1-Operations!N305)</f>
        <v>10.98</v>
      </c>
      <c r="O313" s="20" t="n">
        <f aca="false">Operations!O293*Operations!O278*(1-Operations!O305)</f>
        <v>10.98</v>
      </c>
      <c r="P313" s="20" t="n">
        <f aca="false">Operations!P293*Operations!P278*(1-Operations!P305)</f>
        <v>10.98</v>
      </c>
      <c r="Q313" s="20" t="n">
        <f aca="false">Operations!Q293*Operations!Q278*(1-Operations!Q305)</f>
        <v>10.98</v>
      </c>
      <c r="R313" s="20" t="n">
        <f aca="false">Operations!R293*Operations!R278*(1-Operations!R305)</f>
        <v>5.83594520547945</v>
      </c>
      <c r="S313" s="20" t="n">
        <f aca="false">Operations!S293*Operations!S278*(1-Operations!S305)</f>
        <v>0</v>
      </c>
      <c r="T313" s="20" t="n">
        <f aca="false">Operations!T293*Operations!T278*(1-Operations!T305)</f>
        <v>0</v>
      </c>
      <c r="U313" s="20" t="n">
        <f aca="false">Operations!U293*Operations!U278*(1-Operations!U305)</f>
        <v>0</v>
      </c>
      <c r="V313" s="20" t="n">
        <f aca="false">Operations!V293*Operations!V278*(1-Operations!V305)</f>
        <v>0</v>
      </c>
      <c r="W313" s="20" t="n">
        <f aca="false">Operations!W293*Operations!W278*(1-Operations!W305)</f>
        <v>0</v>
      </c>
      <c r="X313" s="20" t="n">
        <f aca="false">Operations!X293*Operations!X278*(1-Operations!X305)</f>
        <v>0</v>
      </c>
      <c r="Y313" s="20" t="n">
        <f aca="false">Operations!Y293*Operations!Y278*(1-Operations!Y305)</f>
        <v>0</v>
      </c>
      <c r="Z313" s="20" t="n">
        <f aca="false">Operations!Z293*Operations!Z278*(1-Operations!Z305)</f>
        <v>0</v>
      </c>
      <c r="AA313" s="20" t="n">
        <f aca="false">Operations!AA293*Operations!AA278*(1-Operations!AA305)</f>
        <v>0</v>
      </c>
      <c r="AB313" s="20" t="n">
        <f aca="false">Operations!AB293*Operations!AB278*(1-Operations!AB305)</f>
        <v>0</v>
      </c>
      <c r="AC313" s="20" t="n">
        <f aca="false">Operations!AC293*Operations!AC278*(1-Operations!AC305)</f>
        <v>0</v>
      </c>
      <c r="AD313" s="20" t="n">
        <f aca="false">Operations!AD293*Operations!AD278*(1-Operations!AD305)</f>
        <v>0</v>
      </c>
      <c r="AE313" s="20" t="n">
        <f aca="false">Operations!AE293*Operations!AE278*(1-Operations!AE305)</f>
        <v>0</v>
      </c>
      <c r="AF313" s="20" t="n">
        <f aca="false">Operations!AF293*Operations!AF278*(1-Operations!AF305)</f>
        <v>0</v>
      </c>
      <c r="AG313" s="20" t="n">
        <f aca="false">Operations!AG293*Operations!AG278*(1-Operations!AG305)</f>
        <v>0</v>
      </c>
      <c r="AH313" s="20" t="n">
        <f aca="false">Operations!AH293*Operations!AH278*(1-Operations!AH305)</f>
        <v>0</v>
      </c>
      <c r="AI313" s="20" t="n">
        <f aca="false">Operations!AI293*Operations!AI278*(1-Operations!AI305)</f>
        <v>0</v>
      </c>
      <c r="AJ313" s="20" t="n">
        <f aca="false">Operations!AJ293*Operations!AJ278*(1-Operations!AJ305)</f>
        <v>0</v>
      </c>
      <c r="AK313" s="20" t="n">
        <f aca="false">Operations!AK293*Operations!AK278*(1-Operations!AK305)</f>
        <v>0</v>
      </c>
      <c r="AL313" s="20" t="n">
        <f aca="false">Operations!AL293*Operations!AL278*(1-Operations!AL305)</f>
        <v>0</v>
      </c>
      <c r="AM313" s="20" t="n">
        <f aca="false">Operations!AM293*Operations!AM278*(1-Operations!AM305)</f>
        <v>0</v>
      </c>
      <c r="AN313" s="20" t="n">
        <f aca="false">Operations!AN293*Operations!AN278*(1-Operations!AN305)</f>
        <v>0</v>
      </c>
      <c r="AO313" s="20" t="n">
        <f aca="false">Operations!AO293*Operations!AO278*(1-Operations!AO305)</f>
        <v>0</v>
      </c>
      <c r="AP313" s="20" t="n">
        <f aca="false">Operations!AP293*Operations!AP278*(1-Operations!AP305)</f>
        <v>0</v>
      </c>
      <c r="AQ313" s="20" t="n">
        <f aca="false">Operations!AQ293*Operations!AQ278*(1-Operations!AQ305)</f>
        <v>0</v>
      </c>
      <c r="AR313" s="20" t="n">
        <f aca="false">Operations!AR293*Operations!AR278*(1-Operations!AR305)</f>
        <v>0</v>
      </c>
      <c r="AS313" s="20" t="n">
        <f aca="false">Operations!AS293*Operations!AS278*(1-Operations!AS305)</f>
        <v>0</v>
      </c>
      <c r="AT313" s="20" t="n">
        <f aca="false">Operations!AT293*Operations!AT278*(1-Operations!AT305)</f>
        <v>0</v>
      </c>
      <c r="AU313" s="20" t="n">
        <f aca="false">Operations!AU293*Operations!AU278*(1-Operations!AU305)</f>
        <v>0</v>
      </c>
    </row>
    <row r="314" customFormat="false" ht="15" hidden="false" customHeight="false" outlineLevel="0" collapsed="false">
      <c r="D314" s="0" t="s">
        <v>709</v>
      </c>
      <c r="E314" s="0" t="s">
        <v>47</v>
      </c>
      <c r="J314" s="20" t="n">
        <f aca="false">Operations!J294*Operations!J278*(1-Operations!J305)</f>
        <v>0</v>
      </c>
      <c r="K314" s="20" t="n">
        <f aca="false">Operations!K294*Operations!K278*(1-Operations!K305)</f>
        <v>0</v>
      </c>
      <c r="L314" s="20" t="n">
        <f aca="false">Operations!L294*Operations!L278*(1-Operations!L305)</f>
        <v>0</v>
      </c>
      <c r="M314" s="20" t="n">
        <f aca="false">Operations!M294*Operations!M278*(1-Operations!M305)</f>
        <v>0</v>
      </c>
      <c r="N314" s="20" t="n">
        <f aca="false">Operations!N294*Operations!N278*(1-Operations!N305)</f>
        <v>0</v>
      </c>
      <c r="O314" s="20" t="n">
        <f aca="false">Operations!O294*Operations!O278*(1-Operations!O305)</f>
        <v>0</v>
      </c>
      <c r="P314" s="20" t="n">
        <f aca="false">Operations!P294*Operations!P278*(1-Operations!P305)</f>
        <v>0</v>
      </c>
      <c r="Q314" s="20" t="n">
        <f aca="false">Operations!Q294*Operations!Q278*(1-Operations!Q305)</f>
        <v>0</v>
      </c>
      <c r="R314" s="20" t="n">
        <f aca="false">Operations!R294*Operations!R278*(1-Operations!R305)</f>
        <v>0</v>
      </c>
      <c r="S314" s="20" t="n">
        <f aca="false">Operations!S294*Operations!S278*(1-Operations!S305)</f>
        <v>0</v>
      </c>
      <c r="T314" s="20" t="n">
        <f aca="false">Operations!T294*Operations!T278*(1-Operations!T305)</f>
        <v>0</v>
      </c>
      <c r="U314" s="20" t="n">
        <f aca="false">Operations!U294*Operations!U278*(1-Operations!U305)</f>
        <v>0</v>
      </c>
      <c r="V314" s="20" t="n">
        <f aca="false">Operations!V294*Operations!V278*(1-Operations!V305)</f>
        <v>0</v>
      </c>
      <c r="W314" s="20" t="n">
        <f aca="false">Operations!W294*Operations!W278*(1-Operations!W305)</f>
        <v>0</v>
      </c>
      <c r="X314" s="20" t="n">
        <f aca="false">Operations!X294*Operations!X278*(1-Operations!X305)</f>
        <v>0</v>
      </c>
      <c r="Y314" s="20" t="n">
        <f aca="false">Operations!Y294*Operations!Y278*(1-Operations!Y305)</f>
        <v>0</v>
      </c>
      <c r="Z314" s="20" t="n">
        <f aca="false">Operations!Z294*Operations!Z278*(1-Operations!Z305)</f>
        <v>0</v>
      </c>
      <c r="AA314" s="20" t="n">
        <f aca="false">Operations!AA294*Operations!AA278*(1-Operations!AA305)</f>
        <v>0</v>
      </c>
      <c r="AB314" s="20" t="n">
        <f aca="false">Operations!AB294*Operations!AB278*(1-Operations!AB305)</f>
        <v>0</v>
      </c>
      <c r="AC314" s="20" t="n">
        <f aca="false">Operations!AC294*Operations!AC278*(1-Operations!AC305)</f>
        <v>0</v>
      </c>
      <c r="AD314" s="20" t="n">
        <f aca="false">Operations!AD294*Operations!AD278*(1-Operations!AD305)</f>
        <v>0</v>
      </c>
      <c r="AE314" s="20" t="n">
        <f aca="false">Operations!AE294*Operations!AE278*(1-Operations!AE305)</f>
        <v>0</v>
      </c>
      <c r="AF314" s="20" t="n">
        <f aca="false">Operations!AF294*Operations!AF278*(1-Operations!AF305)</f>
        <v>0</v>
      </c>
      <c r="AG314" s="20" t="n">
        <f aca="false">Operations!AG294*Operations!AG278*(1-Operations!AG305)</f>
        <v>0</v>
      </c>
      <c r="AH314" s="20" t="n">
        <f aca="false">Operations!AH294*Operations!AH278*(1-Operations!AH305)</f>
        <v>0</v>
      </c>
      <c r="AI314" s="20" t="n">
        <f aca="false">Operations!AI294*Operations!AI278*(1-Operations!AI305)</f>
        <v>0</v>
      </c>
      <c r="AJ314" s="20" t="n">
        <f aca="false">Operations!AJ294*Operations!AJ278*(1-Operations!AJ305)</f>
        <v>0</v>
      </c>
      <c r="AK314" s="20" t="n">
        <f aca="false">Operations!AK294*Operations!AK278*(1-Operations!AK305)</f>
        <v>0</v>
      </c>
      <c r="AL314" s="20" t="n">
        <f aca="false">Operations!AL294*Operations!AL278*(1-Operations!AL305)</f>
        <v>0</v>
      </c>
      <c r="AM314" s="20" t="n">
        <f aca="false">Operations!AM294*Operations!AM278*(1-Operations!AM305)</f>
        <v>0</v>
      </c>
      <c r="AN314" s="20" t="n">
        <f aca="false">Operations!AN294*Operations!AN278*(1-Operations!AN305)</f>
        <v>0</v>
      </c>
      <c r="AO314" s="20" t="n">
        <f aca="false">Operations!AO294*Operations!AO278*(1-Operations!AO305)</f>
        <v>0</v>
      </c>
      <c r="AP314" s="20" t="n">
        <f aca="false">Operations!AP294*Operations!AP278*(1-Operations!AP305)</f>
        <v>0</v>
      </c>
      <c r="AQ314" s="20" t="n">
        <f aca="false">Operations!AQ294*Operations!AQ278*(1-Operations!AQ305)</f>
        <v>0</v>
      </c>
      <c r="AR314" s="20" t="n">
        <f aca="false">Operations!AR294*Operations!AR278*(1-Operations!AR305)</f>
        <v>0</v>
      </c>
      <c r="AS314" s="20" t="n">
        <f aca="false">Operations!AS294*Operations!AS278*(1-Operations!AS305)</f>
        <v>0</v>
      </c>
      <c r="AT314" s="20" t="n">
        <f aca="false">Operations!AT294*Operations!AT278*(1-Operations!AT305)</f>
        <v>0</v>
      </c>
      <c r="AU314" s="20" t="n">
        <f aca="false">Operations!AU294*Operations!AU278*(1-Operations!AU305)</f>
        <v>0</v>
      </c>
    </row>
    <row r="315" customFormat="false" ht="15" hidden="false" customHeight="false" outlineLevel="0" collapsed="false">
      <c r="D315" s="0" t="s">
        <v>710</v>
      </c>
      <c r="E315" s="0" t="s">
        <v>47</v>
      </c>
      <c r="J315" s="20" t="n">
        <f aca="false">Operations!J296*Operations!J278*(1-Operations!J305)</f>
        <v>0</v>
      </c>
      <c r="K315" s="20" t="n">
        <f aca="false">Operations!K296*Operations!K278*(1-Operations!K305)</f>
        <v>0</v>
      </c>
      <c r="L315" s="20" t="n">
        <f aca="false">Operations!L296*Operations!L278*(1-Operations!L305)</f>
        <v>0</v>
      </c>
      <c r="M315" s="20" t="n">
        <f aca="false">Operations!M296*Operations!M278*(1-Operations!M305)</f>
        <v>0</v>
      </c>
      <c r="N315" s="20" t="n">
        <f aca="false">Operations!N296*Operations!N278*(1-Operations!N305)</f>
        <v>0</v>
      </c>
      <c r="O315" s="20" t="n">
        <f aca="false">Operations!O296*Operations!O278*(1-Operations!O305)</f>
        <v>0</v>
      </c>
      <c r="P315" s="20" t="n">
        <f aca="false">Operations!P296*Operations!P278*(1-Operations!P305)</f>
        <v>0</v>
      </c>
      <c r="Q315" s="20" t="n">
        <f aca="false">Operations!Q296*Operations!Q278*(1-Operations!Q305)</f>
        <v>0</v>
      </c>
      <c r="R315" s="20" t="n">
        <f aca="false">Operations!R296*Operations!R278*(1-Operations!R305)</f>
        <v>2.80691815068493</v>
      </c>
      <c r="S315" s="20" t="n">
        <f aca="false">Operations!S296*Operations!S278*(1-Operations!S305)</f>
        <v>6.081075</v>
      </c>
      <c r="T315" s="20" t="n">
        <f aca="false">Operations!T296*Operations!T278*(1-Operations!T305)</f>
        <v>6.172725</v>
      </c>
      <c r="U315" s="20" t="n">
        <f aca="false">Operations!U296*Operations!U278*(1-Operations!U305)</f>
        <v>6.26535</v>
      </c>
      <c r="V315" s="20" t="n">
        <f aca="false">Operations!V296*Operations!V278*(1-Operations!V305)</f>
        <v>6.35895</v>
      </c>
      <c r="W315" s="20" t="n">
        <f aca="false">Operations!W296*Operations!W278*(1-Operations!W305)</f>
        <v>6.4545</v>
      </c>
      <c r="X315" s="20" t="n">
        <f aca="false">Operations!X296*Operations!X278*(1-Operations!X305)</f>
        <v>6.47343753158219</v>
      </c>
      <c r="Y315" s="20" t="n">
        <f aca="false">Operations!Y296*Operations!Y278*(1-Operations!Y305)</f>
        <v>6.48685596267123</v>
      </c>
      <c r="Z315" s="20" t="n">
        <f aca="false">Operations!Z296*Operations!Z278*(1-Operations!Z305)</f>
        <v>6.49985734966438</v>
      </c>
      <c r="AA315" s="20" t="n">
        <f aca="false">Operations!AA296*Operations!AA278*(1-Operations!AA305)</f>
        <v>6.51325553734932</v>
      </c>
      <c r="AB315" s="20" t="n">
        <f aca="false">Operations!AB296*Operations!AB278*(1-Operations!AB305)</f>
        <v>6.52495716573288</v>
      </c>
      <c r="AC315" s="20" t="n">
        <f aca="false">Operations!AC296*Operations!AC278*(1-Operations!AC305)</f>
        <v>6.53595162768493</v>
      </c>
      <c r="AD315" s="20" t="n">
        <f aca="false">Operations!AD296*Operations!AD278*(1-Operations!AD305)</f>
        <v>6.54735362708219</v>
      </c>
      <c r="AE315" s="20" t="n">
        <f aca="false">Operations!AE296*Operations!AE278*(1-Operations!AE305)</f>
        <v>3.80910816672712</v>
      </c>
      <c r="AF315" s="20" t="n">
        <f aca="false">Operations!AF296*Operations!AF278*(1-Operations!AF305)</f>
        <v>0</v>
      </c>
      <c r="AG315" s="20" t="n">
        <f aca="false">Operations!AG296*Operations!AG278*(1-Operations!AG305)</f>
        <v>0</v>
      </c>
      <c r="AH315" s="20" t="n">
        <f aca="false">Operations!AH296*Operations!AH278*(1-Operations!AH305)</f>
        <v>0</v>
      </c>
      <c r="AI315" s="20" t="n">
        <f aca="false">Operations!AI296*Operations!AI278*(1-Operations!AI305)</f>
        <v>0</v>
      </c>
      <c r="AJ315" s="20" t="n">
        <f aca="false">Operations!AJ296*Operations!AJ278*(1-Operations!AJ305)</f>
        <v>0</v>
      </c>
      <c r="AK315" s="20" t="n">
        <f aca="false">Operations!AK296*Operations!AK278*(1-Operations!AK305)</f>
        <v>0</v>
      </c>
      <c r="AL315" s="20" t="n">
        <f aca="false">Operations!AL296*Operations!AL278*(1-Operations!AL305)</f>
        <v>0</v>
      </c>
      <c r="AM315" s="20" t="n">
        <f aca="false">Operations!AM296*Operations!AM278*(1-Operations!AM305)</f>
        <v>0</v>
      </c>
      <c r="AN315" s="20" t="n">
        <f aca="false">Operations!AN296*Operations!AN278*(1-Operations!AN305)</f>
        <v>0</v>
      </c>
      <c r="AO315" s="20" t="n">
        <f aca="false">Operations!AO296*Operations!AO278*(1-Operations!AO305)</f>
        <v>0</v>
      </c>
      <c r="AP315" s="20" t="n">
        <f aca="false">Operations!AP296*Operations!AP278*(1-Operations!AP305)</f>
        <v>0</v>
      </c>
      <c r="AQ315" s="20" t="n">
        <f aca="false">Operations!AQ296*Operations!AQ278*(1-Operations!AQ305)</f>
        <v>0</v>
      </c>
      <c r="AR315" s="20" t="n">
        <f aca="false">Operations!AR296*Operations!AR278*(1-Operations!AR305)</f>
        <v>0</v>
      </c>
      <c r="AS315" s="20" t="n">
        <f aca="false">Operations!AS296*Operations!AS278*(1-Operations!AS305)</f>
        <v>0</v>
      </c>
      <c r="AT315" s="20" t="n">
        <f aca="false">Operations!AT296*Operations!AT278*(1-Operations!AT305)</f>
        <v>0</v>
      </c>
      <c r="AU315" s="20" t="n">
        <f aca="false">Operations!AU296*Operations!AU278*(1-Operations!AU305)</f>
        <v>0</v>
      </c>
    </row>
    <row r="316" customFormat="false" ht="15" hidden="false" customHeight="false" outlineLevel="0" collapsed="false">
      <c r="D316" s="0" t="s">
        <v>711</v>
      </c>
      <c r="E316" s="0" t="s">
        <v>47</v>
      </c>
      <c r="J316" s="20" t="n">
        <f aca="false">Operations!J295*Operations!J278*(1-Operations!J305)</f>
        <v>0</v>
      </c>
      <c r="K316" s="20" t="n">
        <f aca="false">Operations!K295*Operations!K278*(1-Operations!K305)</f>
        <v>3.67002739726028</v>
      </c>
      <c r="L316" s="20" t="n">
        <f aca="false">Operations!L295*Operations!L278*(1-Operations!L305)</f>
        <v>10.98</v>
      </c>
      <c r="M316" s="20" t="n">
        <f aca="false">Operations!M295*Operations!M278*(1-Operations!M305)</f>
        <v>10.98</v>
      </c>
      <c r="N316" s="20" t="n">
        <f aca="false">Operations!N295*Operations!N278*(1-Operations!N305)</f>
        <v>10.98</v>
      </c>
      <c r="O316" s="20" t="n">
        <f aca="false">Operations!O295*Operations!O278*(1-Operations!O305)</f>
        <v>10.98</v>
      </c>
      <c r="P316" s="20" t="n">
        <f aca="false">Operations!P295*Operations!P278*(1-Operations!P305)</f>
        <v>10.98</v>
      </c>
      <c r="Q316" s="20" t="n">
        <f aca="false">Operations!Q295*Operations!Q278*(1-Operations!Q305)</f>
        <v>10.98</v>
      </c>
      <c r="R316" s="20" t="n">
        <f aca="false">Operations!R295*Operations!R278*(1-Operations!R305)</f>
        <v>8.64286335616439</v>
      </c>
      <c r="S316" s="20" t="n">
        <f aca="false">Operations!S295*Operations!S278*(1-Operations!S305)</f>
        <v>6.081075</v>
      </c>
      <c r="T316" s="20" t="n">
        <f aca="false">Operations!T295*Operations!T278*(1-Operations!T305)</f>
        <v>6.172725</v>
      </c>
      <c r="U316" s="20" t="n">
        <f aca="false">Operations!U295*Operations!U278*(1-Operations!U305)</f>
        <v>6.26535</v>
      </c>
      <c r="V316" s="20" t="n">
        <f aca="false">Operations!V295*Operations!V278*(1-Operations!V305)</f>
        <v>6.35895</v>
      </c>
      <c r="W316" s="20" t="n">
        <f aca="false">Operations!W295*Operations!W278*(1-Operations!W305)</f>
        <v>6.4545</v>
      </c>
      <c r="X316" s="20" t="n">
        <f aca="false">Operations!X295*Operations!X278*(1-Operations!X305)</f>
        <v>6.47343753158219</v>
      </c>
      <c r="Y316" s="20" t="n">
        <f aca="false">Operations!Y295*Operations!Y278*(1-Operations!Y305)</f>
        <v>6.48685596267123</v>
      </c>
      <c r="Z316" s="20" t="n">
        <f aca="false">Operations!Z295*Operations!Z278*(1-Operations!Z305)</f>
        <v>6.49985734966438</v>
      </c>
      <c r="AA316" s="20" t="n">
        <f aca="false">Operations!AA295*Operations!AA278*(1-Operations!AA305)</f>
        <v>6.51325553734932</v>
      </c>
      <c r="AB316" s="20" t="n">
        <f aca="false">Operations!AB295*Operations!AB278*(1-Operations!AB305)</f>
        <v>6.52495716573288</v>
      </c>
      <c r="AC316" s="20" t="n">
        <f aca="false">Operations!AC295*Operations!AC278*(1-Operations!AC305)</f>
        <v>6.53595162768493</v>
      </c>
      <c r="AD316" s="20" t="n">
        <f aca="false">Operations!AD295*Operations!AD278*(1-Operations!AD305)</f>
        <v>6.54735362708219</v>
      </c>
      <c r="AE316" s="20" t="n">
        <f aca="false">Operations!AE295*Operations!AE278*(1-Operations!AE305)</f>
        <v>3.80910816672712</v>
      </c>
      <c r="AF316" s="20" t="n">
        <f aca="false">Operations!AF295*Operations!AF278*(1-Operations!AF305)</f>
        <v>0</v>
      </c>
      <c r="AG316" s="20" t="n">
        <f aca="false">Operations!AG295*Operations!AG278*(1-Operations!AG305)</f>
        <v>0</v>
      </c>
      <c r="AH316" s="20" t="n">
        <f aca="false">Operations!AH295*Operations!AH278*(1-Operations!AH305)</f>
        <v>0</v>
      </c>
      <c r="AI316" s="20" t="n">
        <f aca="false">Operations!AI295*Operations!AI278*(1-Operations!AI305)</f>
        <v>0</v>
      </c>
      <c r="AJ316" s="20" t="n">
        <f aca="false">Operations!AJ295*Operations!AJ278*(1-Operations!AJ305)</f>
        <v>0</v>
      </c>
      <c r="AK316" s="20" t="n">
        <f aca="false">Operations!AK295*Operations!AK278*(1-Operations!AK305)</f>
        <v>0</v>
      </c>
      <c r="AL316" s="20" t="n">
        <f aca="false">Operations!AL295*Operations!AL278*(1-Operations!AL305)</f>
        <v>0</v>
      </c>
      <c r="AM316" s="20" t="n">
        <f aca="false">Operations!AM295*Operations!AM278*(1-Operations!AM305)</f>
        <v>0</v>
      </c>
      <c r="AN316" s="20" t="n">
        <f aca="false">Operations!AN295*Operations!AN278*(1-Operations!AN305)</f>
        <v>0</v>
      </c>
      <c r="AO316" s="20" t="n">
        <f aca="false">Operations!AO295*Operations!AO278*(1-Operations!AO305)</f>
        <v>0</v>
      </c>
      <c r="AP316" s="20" t="n">
        <f aca="false">Operations!AP295*Operations!AP278*(1-Operations!AP305)</f>
        <v>0</v>
      </c>
      <c r="AQ316" s="20" t="n">
        <f aca="false">Operations!AQ295*Operations!AQ278*(1-Operations!AQ305)</f>
        <v>0</v>
      </c>
      <c r="AR316" s="20" t="n">
        <f aca="false">Operations!AR295*Operations!AR278*(1-Operations!AR305)</f>
        <v>0</v>
      </c>
      <c r="AS316" s="20" t="n">
        <f aca="false">Operations!AS295*Operations!AS278*(1-Operations!AS305)</f>
        <v>0</v>
      </c>
      <c r="AT316" s="20" t="n">
        <f aca="false">Operations!AT295*Operations!AT278*(1-Operations!AT305)</f>
        <v>0</v>
      </c>
      <c r="AU316" s="20" t="n">
        <f aca="false">Operations!AU295*Operations!AU278*(1-Operations!AU305)</f>
        <v>0</v>
      </c>
    </row>
    <row r="317" customFormat="false" ht="15" hidden="false" customHeight="false" outlineLevel="0" collapsed="false">
      <c r="D317" s="19" t="s">
        <v>712</v>
      </c>
    </row>
    <row r="318" customFormat="false" ht="15" hidden="false" customHeight="false" outlineLevel="0" collapsed="false">
      <c r="D318" s="0" t="s">
        <v>713</v>
      </c>
      <c r="E318" s="0" t="s">
        <v>458</v>
      </c>
      <c r="J318" s="14" t="n">
        <f aca="false">MAX(0,MIN(Inputs!$F$158,Time!J$6)-MAX(Inputs!$F$157,Time!J$5))/Time!J$7</f>
        <v>0</v>
      </c>
      <c r="K318" s="14" t="n">
        <f aca="false">MAX(0,MIN(Inputs!$F$158,Time!K$6)-MAX(Inputs!$F$157,Time!K$5))/Time!K$7</f>
        <v>0</v>
      </c>
      <c r="L318" s="14" t="n">
        <f aca="false">MAX(0,MIN(Inputs!$F$158,Time!L$6)-MAX(Inputs!$F$157,Time!L$5))/Time!L$7</f>
        <v>0.745901639344262</v>
      </c>
      <c r="M318" s="14" t="n">
        <f aca="false">MAX(0,MIN(Inputs!$F$158,Time!M$6)-MAX(Inputs!$F$157,Time!M$5))/Time!M$7</f>
        <v>1</v>
      </c>
      <c r="N318" s="14" t="n">
        <f aca="false">MAX(0,MIN(Inputs!$F$158,Time!N$6)-MAX(Inputs!$F$157,Time!N$5))/Time!N$7</f>
        <v>1</v>
      </c>
      <c r="O318" s="14" t="n">
        <f aca="false">MAX(0,MIN(Inputs!$F$158,Time!O$6)-MAX(Inputs!$F$157,Time!O$5))/Time!O$7</f>
        <v>1</v>
      </c>
      <c r="P318" s="14" t="n">
        <f aca="false">MAX(0,MIN(Inputs!$F$158,Time!P$6)-MAX(Inputs!$F$157,Time!P$5))/Time!P$7</f>
        <v>1</v>
      </c>
      <c r="Q318" s="14" t="n">
        <f aca="false">MAX(0,MIN(Inputs!$F$158,Time!Q$6)-MAX(Inputs!$F$157,Time!Q$5))/Time!Q$7</f>
        <v>1</v>
      </c>
      <c r="R318" s="14" t="n">
        <f aca="false">MAX(0,MIN(Inputs!$F$158,Time!R$6)-MAX(Inputs!$F$157,Time!R$5))/Time!R$7</f>
        <v>1</v>
      </c>
      <c r="S318" s="14" t="n">
        <f aca="false">MAX(0,MIN(Inputs!$F$158,Time!S$6)-MAX(Inputs!$F$157,Time!S$5))/Time!S$7</f>
        <v>1</v>
      </c>
      <c r="T318" s="14" t="n">
        <f aca="false">MAX(0,MIN(Inputs!$F$158,Time!T$6)-MAX(Inputs!$F$157,Time!T$5))/Time!T$7</f>
        <v>1</v>
      </c>
      <c r="U318" s="14" t="n">
        <f aca="false">MAX(0,MIN(Inputs!$F$158,Time!U$6)-MAX(Inputs!$F$157,Time!U$5))/Time!U$7</f>
        <v>1</v>
      </c>
      <c r="V318" s="14" t="n">
        <f aca="false">MAX(0,MIN(Inputs!$F$158,Time!V$6)-MAX(Inputs!$F$157,Time!V$5))/Time!V$7</f>
        <v>1</v>
      </c>
      <c r="W318" s="14" t="n">
        <f aca="false">MAX(0,MIN(Inputs!$F$158,Time!W$6)-MAX(Inputs!$F$157,Time!W$5))/Time!W$7</f>
        <v>1</v>
      </c>
      <c r="X318" s="14" t="n">
        <f aca="false">MAX(0,MIN(Inputs!$F$158,Time!X$6)-MAX(Inputs!$F$157,Time!X$5))/Time!X$7</f>
        <v>1</v>
      </c>
      <c r="Y318" s="14" t="n">
        <f aca="false">MAX(0,MIN(Inputs!$F$158,Time!Y$6)-MAX(Inputs!$F$157,Time!Y$5))/Time!Y$7</f>
        <v>1</v>
      </c>
      <c r="Z318" s="14" t="n">
        <f aca="false">MAX(0,MIN(Inputs!$F$158,Time!Z$6)-MAX(Inputs!$F$157,Time!Z$5))/Time!Z$7</f>
        <v>1</v>
      </c>
      <c r="AA318" s="14" t="n">
        <f aca="false">MAX(0,MIN(Inputs!$F$158,Time!AA$6)-MAX(Inputs!$F$157,Time!AA$5))/Time!AA$7</f>
        <v>1</v>
      </c>
      <c r="AB318" s="14" t="n">
        <f aca="false">MAX(0,MIN(Inputs!$F$158,Time!AB$6)-MAX(Inputs!$F$157,Time!AB$5))/Time!AB$7</f>
        <v>1</v>
      </c>
      <c r="AC318" s="14" t="n">
        <f aca="false">MAX(0,MIN(Inputs!$F$158,Time!AC$6)-MAX(Inputs!$F$157,Time!AC$5))/Time!AC$7</f>
        <v>1</v>
      </c>
      <c r="AD318" s="14" t="n">
        <f aca="false">MAX(0,MIN(Inputs!$F$158,Time!AD$6)-MAX(Inputs!$F$157,Time!AD$5))/Time!AD$7</f>
        <v>1</v>
      </c>
      <c r="AE318" s="14" t="n">
        <f aca="false">MAX(0,MIN(Inputs!$F$158,Time!AE$6)-MAX(Inputs!$F$157,Time!AE$5))/Time!AE$7</f>
        <v>1</v>
      </c>
      <c r="AF318" s="14" t="n">
        <f aca="false">MAX(0,MIN(Inputs!$F$158,Time!AF$6)-MAX(Inputs!$F$157,Time!AF$5))/Time!AF$7</f>
        <v>0.248633879781421</v>
      </c>
      <c r="AG318" s="14" t="n">
        <f aca="false">MAX(0,MIN(Inputs!$F$158,Time!AG$6)-MAX(Inputs!$F$157,Time!AG$5))/Time!AG$7</f>
        <v>0</v>
      </c>
      <c r="AH318" s="14" t="n">
        <f aca="false">MAX(0,MIN(Inputs!$F$158,Time!AH$6)-MAX(Inputs!$F$157,Time!AH$5))/Time!AH$7</f>
        <v>0</v>
      </c>
      <c r="AI318" s="14" t="n">
        <f aca="false">MAX(0,MIN(Inputs!$F$158,Time!AI$6)-MAX(Inputs!$F$157,Time!AI$5))/Time!AI$7</f>
        <v>0</v>
      </c>
      <c r="AJ318" s="14" t="n">
        <f aca="false">MAX(0,MIN(Inputs!$F$158,Time!AJ$6)-MAX(Inputs!$F$157,Time!AJ$5))/Time!AJ$7</f>
        <v>0</v>
      </c>
      <c r="AK318" s="14" t="n">
        <f aca="false">MAX(0,MIN(Inputs!$F$158,Time!AK$6)-MAX(Inputs!$F$157,Time!AK$5))/Time!AK$7</f>
        <v>0</v>
      </c>
      <c r="AL318" s="14" t="n">
        <f aca="false">MAX(0,MIN(Inputs!$F$158,Time!AL$6)-MAX(Inputs!$F$157,Time!AL$5))/Time!AL$7</f>
        <v>0</v>
      </c>
      <c r="AM318" s="14" t="n">
        <f aca="false">MAX(0,MIN(Inputs!$F$158,Time!AM$6)-MAX(Inputs!$F$157,Time!AM$5))/Time!AM$7</f>
        <v>0</v>
      </c>
      <c r="AN318" s="14" t="n">
        <f aca="false">MAX(0,MIN(Inputs!$F$158,Time!AN$6)-MAX(Inputs!$F$157,Time!AN$5))/Time!AN$7</f>
        <v>0</v>
      </c>
      <c r="AO318" s="14" t="n">
        <f aca="false">MAX(0,MIN(Inputs!$F$158,Time!AO$6)-MAX(Inputs!$F$157,Time!AO$5))/Time!AO$7</f>
        <v>0</v>
      </c>
      <c r="AP318" s="14" t="n">
        <f aca="false">MAX(0,MIN(Inputs!$F$158,Time!AP$6)-MAX(Inputs!$F$157,Time!AP$5))/Time!AP$7</f>
        <v>0</v>
      </c>
      <c r="AQ318" s="14" t="n">
        <f aca="false">MAX(0,MIN(Inputs!$F$158,Time!AQ$6)-MAX(Inputs!$F$157,Time!AQ$5))/Time!AQ$7</f>
        <v>0</v>
      </c>
      <c r="AR318" s="14" t="n">
        <f aca="false">MAX(0,MIN(Inputs!$F$158,Time!AR$6)-MAX(Inputs!$F$157,Time!AR$5))/Time!AR$7</f>
        <v>0</v>
      </c>
      <c r="AS318" s="14" t="n">
        <f aca="false">MAX(0,MIN(Inputs!$F$158,Time!AS$6)-MAX(Inputs!$F$157,Time!AS$5))/Time!AS$7</f>
        <v>0</v>
      </c>
      <c r="AT318" s="14" t="n">
        <f aca="false">MAX(0,MIN(Inputs!$F$158,Time!AT$6)-MAX(Inputs!$F$157,Time!AT$5))/Time!AT$7</f>
        <v>0</v>
      </c>
      <c r="AU318" s="14" t="n">
        <f aca="false">MAX(0,MIN(Inputs!$F$158,Time!AU$6)-MAX(Inputs!$F$157,Time!AU$5))/Time!AU$7</f>
        <v>0</v>
      </c>
    </row>
    <row r="319" customFormat="false" ht="15" hidden="false" customHeight="false" outlineLevel="0" collapsed="false">
      <c r="D319" s="0" t="s">
        <v>714</v>
      </c>
      <c r="E319" s="0" t="s">
        <v>458</v>
      </c>
      <c r="J319" s="14" t="n">
        <f aca="false">MAX(0,MIN(Inputs!$F$158,Time!J$6)-MAX(MAX(Inputs!$F$159,Inputs!$F$157),Time!J$5))/Time!J$7</f>
        <v>0</v>
      </c>
      <c r="K319" s="14" t="n">
        <f aca="false">MAX(0,MIN(Inputs!$F$158,Time!K$6)-MAX(MAX(Inputs!$F$159,Inputs!$F$157),Time!K$5))/Time!K$7</f>
        <v>0</v>
      </c>
      <c r="L319" s="14" t="n">
        <f aca="false">MAX(0,MIN(Inputs!$F$158,Time!L$6)-MAX(MAX(Inputs!$F$159,Inputs!$F$157),Time!L$5))/Time!L$7</f>
        <v>0.745901639344262</v>
      </c>
      <c r="M319" s="14" t="n">
        <f aca="false">MAX(0,MIN(Inputs!$F$158,Time!M$6)-MAX(MAX(Inputs!$F$159,Inputs!$F$157),Time!M$5))/Time!M$7</f>
        <v>1</v>
      </c>
      <c r="N319" s="14" t="n">
        <f aca="false">MAX(0,MIN(Inputs!$F$158,Time!N$6)-MAX(MAX(Inputs!$F$159,Inputs!$F$157),Time!N$5))/Time!N$7</f>
        <v>1</v>
      </c>
      <c r="O319" s="14" t="n">
        <f aca="false">MAX(0,MIN(Inputs!$F$158,Time!O$6)-MAX(MAX(Inputs!$F$159,Inputs!$F$157),Time!O$5))/Time!O$7</f>
        <v>1</v>
      </c>
      <c r="P319" s="14" t="n">
        <f aca="false">MAX(0,MIN(Inputs!$F$158,Time!P$6)-MAX(MAX(Inputs!$F$159,Inputs!$F$157),Time!P$5))/Time!P$7</f>
        <v>1</v>
      </c>
      <c r="Q319" s="14" t="n">
        <f aca="false">MAX(0,MIN(Inputs!$F$158,Time!Q$6)-MAX(MAX(Inputs!$F$159,Inputs!$F$157),Time!Q$5))/Time!Q$7</f>
        <v>1</v>
      </c>
      <c r="R319" s="14" t="n">
        <f aca="false">MAX(0,MIN(Inputs!$F$158,Time!R$6)-MAX(MAX(Inputs!$F$159,Inputs!$F$157),Time!R$5))/Time!R$7</f>
        <v>1</v>
      </c>
      <c r="S319" s="14" t="n">
        <f aca="false">MAX(0,MIN(Inputs!$F$158,Time!S$6)-MAX(MAX(Inputs!$F$159,Inputs!$F$157),Time!S$5))/Time!S$7</f>
        <v>1</v>
      </c>
      <c r="T319" s="14" t="n">
        <f aca="false">MAX(0,MIN(Inputs!$F$158,Time!T$6)-MAX(MAX(Inputs!$F$159,Inputs!$F$157),Time!T$5))/Time!T$7</f>
        <v>1</v>
      </c>
      <c r="U319" s="14" t="n">
        <f aca="false">MAX(0,MIN(Inputs!$F$158,Time!U$6)-MAX(MAX(Inputs!$F$159,Inputs!$F$157),Time!U$5))/Time!U$7</f>
        <v>1</v>
      </c>
      <c r="V319" s="14" t="n">
        <f aca="false">MAX(0,MIN(Inputs!$F$158,Time!V$6)-MAX(MAX(Inputs!$F$159,Inputs!$F$157),Time!V$5))/Time!V$7</f>
        <v>1</v>
      </c>
      <c r="W319" s="14" t="n">
        <f aca="false">MAX(0,MIN(Inputs!$F$158,Time!W$6)-MAX(MAX(Inputs!$F$159,Inputs!$F$157),Time!W$5))/Time!W$7</f>
        <v>1</v>
      </c>
      <c r="X319" s="14" t="n">
        <f aca="false">MAX(0,MIN(Inputs!$F$158,Time!X$6)-MAX(MAX(Inputs!$F$159,Inputs!$F$157),Time!X$5))/Time!X$7</f>
        <v>1</v>
      </c>
      <c r="Y319" s="14" t="n">
        <f aca="false">MAX(0,MIN(Inputs!$F$158,Time!Y$6)-MAX(MAX(Inputs!$F$159,Inputs!$F$157),Time!Y$5))/Time!Y$7</f>
        <v>1</v>
      </c>
      <c r="Z319" s="14" t="n">
        <f aca="false">MAX(0,MIN(Inputs!$F$158,Time!Z$6)-MAX(MAX(Inputs!$F$159,Inputs!$F$157),Time!Z$5))/Time!Z$7</f>
        <v>1</v>
      </c>
      <c r="AA319" s="14" t="n">
        <f aca="false">MAX(0,MIN(Inputs!$F$158,Time!AA$6)-MAX(MAX(Inputs!$F$159,Inputs!$F$157),Time!AA$5))/Time!AA$7</f>
        <v>1</v>
      </c>
      <c r="AB319" s="14" t="n">
        <f aca="false">MAX(0,MIN(Inputs!$F$158,Time!AB$6)-MAX(MAX(Inputs!$F$159,Inputs!$F$157),Time!AB$5))/Time!AB$7</f>
        <v>1</v>
      </c>
      <c r="AC319" s="14" t="n">
        <f aca="false">MAX(0,MIN(Inputs!$F$158,Time!AC$6)-MAX(MAX(Inputs!$F$159,Inputs!$F$157),Time!AC$5))/Time!AC$7</f>
        <v>1</v>
      </c>
      <c r="AD319" s="14" t="n">
        <f aca="false">MAX(0,MIN(Inputs!$F$158,Time!AD$6)-MAX(MAX(Inputs!$F$159,Inputs!$F$157),Time!AD$5))/Time!AD$7</f>
        <v>1</v>
      </c>
      <c r="AE319" s="14" t="n">
        <f aca="false">MAX(0,MIN(Inputs!$F$158,Time!AE$6)-MAX(MAX(Inputs!$F$159,Inputs!$F$157),Time!AE$5))/Time!AE$7</f>
        <v>1</v>
      </c>
      <c r="AF319" s="14" t="n">
        <f aca="false">MAX(0,MIN(Inputs!$F$158,Time!AF$6)-MAX(MAX(Inputs!$F$159,Inputs!$F$157),Time!AF$5))/Time!AF$7</f>
        <v>0.248633879781421</v>
      </c>
      <c r="AG319" s="14" t="n">
        <f aca="false">MAX(0,MIN(Inputs!$F$158,Time!AG$6)-MAX(MAX(Inputs!$F$159,Inputs!$F$157),Time!AG$5))/Time!AG$7</f>
        <v>0</v>
      </c>
      <c r="AH319" s="14" t="n">
        <f aca="false">MAX(0,MIN(Inputs!$F$158,Time!AH$6)-MAX(MAX(Inputs!$F$159,Inputs!$F$157),Time!AH$5))/Time!AH$7</f>
        <v>0</v>
      </c>
      <c r="AI319" s="14" t="n">
        <f aca="false">MAX(0,MIN(Inputs!$F$158,Time!AI$6)-MAX(MAX(Inputs!$F$159,Inputs!$F$157),Time!AI$5))/Time!AI$7</f>
        <v>0</v>
      </c>
      <c r="AJ319" s="14" t="n">
        <f aca="false">MAX(0,MIN(Inputs!$F$158,Time!AJ$6)-MAX(MAX(Inputs!$F$159,Inputs!$F$157),Time!AJ$5))/Time!AJ$7</f>
        <v>0</v>
      </c>
      <c r="AK319" s="14" t="n">
        <f aca="false">MAX(0,MIN(Inputs!$F$158,Time!AK$6)-MAX(MAX(Inputs!$F$159,Inputs!$F$157),Time!AK$5))/Time!AK$7</f>
        <v>0</v>
      </c>
      <c r="AL319" s="14" t="n">
        <f aca="false">MAX(0,MIN(Inputs!$F$158,Time!AL$6)-MAX(MAX(Inputs!$F$159,Inputs!$F$157),Time!AL$5))/Time!AL$7</f>
        <v>0</v>
      </c>
      <c r="AM319" s="14" t="n">
        <f aca="false">MAX(0,MIN(Inputs!$F$158,Time!AM$6)-MAX(MAX(Inputs!$F$159,Inputs!$F$157),Time!AM$5))/Time!AM$7</f>
        <v>0</v>
      </c>
      <c r="AN319" s="14" t="n">
        <f aca="false">MAX(0,MIN(Inputs!$F$158,Time!AN$6)-MAX(MAX(Inputs!$F$159,Inputs!$F$157),Time!AN$5))/Time!AN$7</f>
        <v>0</v>
      </c>
      <c r="AO319" s="14" t="n">
        <f aca="false">MAX(0,MIN(Inputs!$F$158,Time!AO$6)-MAX(MAX(Inputs!$F$159,Inputs!$F$157),Time!AO$5))/Time!AO$7</f>
        <v>0</v>
      </c>
      <c r="AP319" s="14" t="n">
        <f aca="false">MAX(0,MIN(Inputs!$F$158,Time!AP$6)-MAX(MAX(Inputs!$F$159,Inputs!$F$157),Time!AP$5))/Time!AP$7</f>
        <v>0</v>
      </c>
      <c r="AQ319" s="14" t="n">
        <f aca="false">MAX(0,MIN(Inputs!$F$158,Time!AQ$6)-MAX(MAX(Inputs!$F$159,Inputs!$F$157),Time!AQ$5))/Time!AQ$7</f>
        <v>0</v>
      </c>
      <c r="AR319" s="14" t="n">
        <f aca="false">MAX(0,MIN(Inputs!$F$158,Time!AR$6)-MAX(MAX(Inputs!$F$159,Inputs!$F$157),Time!AR$5))/Time!AR$7</f>
        <v>0</v>
      </c>
      <c r="AS319" s="14" t="n">
        <f aca="false">MAX(0,MIN(Inputs!$F$158,Time!AS$6)-MAX(MAX(Inputs!$F$159,Inputs!$F$157),Time!AS$5))/Time!AS$7</f>
        <v>0</v>
      </c>
      <c r="AT319" s="14" t="n">
        <f aca="false">MAX(0,MIN(Inputs!$F$158,Time!AT$6)-MAX(MAX(Inputs!$F$159,Inputs!$F$157),Time!AT$5))/Time!AT$7</f>
        <v>0</v>
      </c>
      <c r="AU319" s="14" t="n">
        <f aca="false">MAX(0,MIN(Inputs!$F$158,Time!AU$6)-MAX(MAX(Inputs!$F$159,Inputs!$F$157),Time!AU$5))/Time!AU$7</f>
        <v>0</v>
      </c>
    </row>
    <row r="320" customFormat="false" ht="15" hidden="false" customHeight="false" outlineLevel="0" collapsed="false">
      <c r="D320" s="0" t="s">
        <v>715</v>
      </c>
      <c r="E320" s="0" t="s">
        <v>458</v>
      </c>
      <c r="J320" s="14" t="n">
        <f aca="false">IF(Operations!J318&gt;0,Operations!J319/Operations!J318,0)</f>
        <v>0</v>
      </c>
      <c r="K320" s="14" t="n">
        <f aca="false">IF(Operations!K318&gt;0,Operations!K319/Operations!K318,0)</f>
        <v>0</v>
      </c>
      <c r="L320" s="14" t="n">
        <f aca="false">IF(Operations!L318&gt;0,Operations!L319/Operations!L318,0)</f>
        <v>1</v>
      </c>
      <c r="M320" s="14" t="n">
        <f aca="false">IF(Operations!M318&gt;0,Operations!M319/Operations!M318,0)</f>
        <v>1</v>
      </c>
      <c r="N320" s="14" t="n">
        <f aca="false">IF(Operations!N318&gt;0,Operations!N319/Operations!N318,0)</f>
        <v>1</v>
      </c>
      <c r="O320" s="14" t="n">
        <f aca="false">IF(Operations!O318&gt;0,Operations!O319/Operations!O318,0)</f>
        <v>1</v>
      </c>
      <c r="P320" s="14" t="n">
        <f aca="false">IF(Operations!P318&gt;0,Operations!P319/Operations!P318,0)</f>
        <v>1</v>
      </c>
      <c r="Q320" s="14" t="n">
        <f aca="false">IF(Operations!Q318&gt;0,Operations!Q319/Operations!Q318,0)</f>
        <v>1</v>
      </c>
      <c r="R320" s="14" t="n">
        <f aca="false">IF(Operations!R318&gt;0,Operations!R319/Operations!R318,0)</f>
        <v>1</v>
      </c>
      <c r="S320" s="14" t="n">
        <f aca="false">IF(Operations!S318&gt;0,Operations!S319/Operations!S318,0)</f>
        <v>1</v>
      </c>
      <c r="T320" s="14" t="n">
        <f aca="false">IF(Operations!T318&gt;0,Operations!T319/Operations!T318,0)</f>
        <v>1</v>
      </c>
      <c r="U320" s="14" t="n">
        <f aca="false">IF(Operations!U318&gt;0,Operations!U319/Operations!U318,0)</f>
        <v>1</v>
      </c>
      <c r="V320" s="14" t="n">
        <f aca="false">IF(Operations!V318&gt;0,Operations!V319/Operations!V318,0)</f>
        <v>1</v>
      </c>
      <c r="W320" s="14" t="n">
        <f aca="false">IF(Operations!W318&gt;0,Operations!W319/Operations!W318,0)</f>
        <v>1</v>
      </c>
      <c r="X320" s="14" t="n">
        <f aca="false">IF(Operations!X318&gt;0,Operations!X319/Operations!X318,0)</f>
        <v>1</v>
      </c>
      <c r="Y320" s="14" t="n">
        <f aca="false">IF(Operations!Y318&gt;0,Operations!Y319/Operations!Y318,0)</f>
        <v>1</v>
      </c>
      <c r="Z320" s="14" t="n">
        <f aca="false">IF(Operations!Z318&gt;0,Operations!Z319/Operations!Z318,0)</f>
        <v>1</v>
      </c>
      <c r="AA320" s="14" t="n">
        <f aca="false">IF(Operations!AA318&gt;0,Operations!AA319/Operations!AA318,0)</f>
        <v>1</v>
      </c>
      <c r="AB320" s="14" t="n">
        <f aca="false">IF(Operations!AB318&gt;0,Operations!AB319/Operations!AB318,0)</f>
        <v>1</v>
      </c>
      <c r="AC320" s="14" t="n">
        <f aca="false">IF(Operations!AC318&gt;0,Operations!AC319/Operations!AC318,0)</f>
        <v>1</v>
      </c>
      <c r="AD320" s="14" t="n">
        <f aca="false">IF(Operations!AD318&gt;0,Operations!AD319/Operations!AD318,0)</f>
        <v>1</v>
      </c>
      <c r="AE320" s="14" t="n">
        <f aca="false">IF(Operations!AE318&gt;0,Operations!AE319/Operations!AE318,0)</f>
        <v>1</v>
      </c>
      <c r="AF320" s="14" t="n">
        <f aca="false">IF(Operations!AF318&gt;0,Operations!AF319/Operations!AF318,0)</f>
        <v>1</v>
      </c>
      <c r="AG320" s="14" t="n">
        <f aca="false">IF(Operations!AG318&gt;0,Operations!AG319/Operations!AG318,0)</f>
        <v>0</v>
      </c>
      <c r="AH320" s="14" t="n">
        <f aca="false">IF(Operations!AH318&gt;0,Operations!AH319/Operations!AH318,0)</f>
        <v>0</v>
      </c>
      <c r="AI320" s="14" t="n">
        <f aca="false">IF(Operations!AI318&gt;0,Operations!AI319/Operations!AI318,0)</f>
        <v>0</v>
      </c>
      <c r="AJ320" s="14" t="n">
        <f aca="false">IF(Operations!AJ318&gt;0,Operations!AJ319/Operations!AJ318,0)</f>
        <v>0</v>
      </c>
      <c r="AK320" s="14" t="n">
        <f aca="false">IF(Operations!AK318&gt;0,Operations!AK319/Operations!AK318,0)</f>
        <v>0</v>
      </c>
      <c r="AL320" s="14" t="n">
        <f aca="false">IF(Operations!AL318&gt;0,Operations!AL319/Operations!AL318,0)</f>
        <v>0</v>
      </c>
      <c r="AM320" s="14" t="n">
        <f aca="false">IF(Operations!AM318&gt;0,Operations!AM319/Operations!AM318,0)</f>
        <v>0</v>
      </c>
      <c r="AN320" s="14" t="n">
        <f aca="false">IF(Operations!AN318&gt;0,Operations!AN319/Operations!AN318,0)</f>
        <v>0</v>
      </c>
      <c r="AO320" s="14" t="n">
        <f aca="false">IF(Operations!AO318&gt;0,Operations!AO319/Operations!AO318,0)</f>
        <v>0</v>
      </c>
      <c r="AP320" s="14" t="n">
        <f aca="false">IF(Operations!AP318&gt;0,Operations!AP319/Operations!AP318,0)</f>
        <v>0</v>
      </c>
      <c r="AQ320" s="14" t="n">
        <f aca="false">IF(Operations!AQ318&gt;0,Operations!AQ319/Operations!AQ318,0)</f>
        <v>0</v>
      </c>
      <c r="AR320" s="14" t="n">
        <f aca="false">IF(Operations!AR318&gt;0,Operations!AR319/Operations!AR318,0)</f>
        <v>0</v>
      </c>
      <c r="AS320" s="14" t="n">
        <f aca="false">IF(Operations!AS318&gt;0,Operations!AS319/Operations!AS318,0)</f>
        <v>0</v>
      </c>
      <c r="AT320" s="14" t="n">
        <f aca="false">IF(Operations!AT318&gt;0,Operations!AT319/Operations!AT318,0)</f>
        <v>0</v>
      </c>
      <c r="AU320" s="14" t="n">
        <f aca="false">IF(Operations!AU318&gt;0,Operations!AU319/Operations!AU318,0)</f>
        <v>0</v>
      </c>
    </row>
    <row r="321" customFormat="false" ht="15" hidden="false" customHeight="false" outlineLevel="0" collapsed="false">
      <c r="D321" s="0" t="s">
        <v>716</v>
      </c>
      <c r="E321" s="0" t="s">
        <v>96</v>
      </c>
      <c r="J321" s="18" t="n">
        <f aca="false">Operations!J55</f>
        <v>75.4952</v>
      </c>
      <c r="K321" s="18" t="n">
        <f aca="false">Operations!K55</f>
        <v>61.9344</v>
      </c>
      <c r="L321" s="18" t="n">
        <f aca="false">Operations!L55</f>
        <v>30.4612</v>
      </c>
      <c r="M321" s="18" t="n">
        <f aca="false">Operations!M55</f>
        <v>40.2776</v>
      </c>
      <c r="N321" s="18" t="n">
        <f aca="false">Operations!N55</f>
        <v>45.1352</v>
      </c>
      <c r="O321" s="18" t="n">
        <f aca="false">Operations!O55</f>
        <v>47.8676</v>
      </c>
      <c r="P321" s="18" t="n">
        <f aca="false">Operations!P55</f>
        <v>49.6892</v>
      </c>
      <c r="Q321" s="18" t="n">
        <f aca="false">Operations!Q55</f>
        <v>51.0048</v>
      </c>
      <c r="R321" s="18" t="n">
        <f aca="false">Operations!R55</f>
        <v>52.4216</v>
      </c>
      <c r="S321" s="18" t="n">
        <f aca="false">Operations!S55</f>
        <v>53.47408</v>
      </c>
      <c r="T321" s="18" t="n">
        <f aca="false">Operations!T55</f>
        <v>54.5468</v>
      </c>
      <c r="U321" s="18" t="n">
        <f aca="false">Operations!U55</f>
        <v>55.63976</v>
      </c>
      <c r="V321" s="18" t="n">
        <f aca="false">Operations!V55</f>
        <v>56.75296</v>
      </c>
      <c r="W321" s="18" t="n">
        <f aca="false">Operations!W55</f>
        <v>57.8864</v>
      </c>
      <c r="X321" s="18" t="n">
        <f aca="false">Operations!X55</f>
        <v>59.04008</v>
      </c>
      <c r="Y321" s="18" t="n">
        <f aca="false">Operations!Y55</f>
        <v>60.22412</v>
      </c>
      <c r="Z321" s="18" t="n">
        <f aca="false">Operations!Z55</f>
        <v>61.4284</v>
      </c>
      <c r="AA321" s="18" t="n">
        <f aca="false">Operations!AA55</f>
        <v>62.65292</v>
      </c>
      <c r="AB321" s="18" t="n">
        <f aca="false">Operations!AB55</f>
        <v>63.9078</v>
      </c>
      <c r="AC321" s="18" t="n">
        <f aca="false">Operations!AC55</f>
        <v>65.18292</v>
      </c>
      <c r="AD321" s="18" t="n">
        <f aca="false">Operations!AD55</f>
        <v>66.4884</v>
      </c>
      <c r="AE321" s="18" t="n">
        <f aca="false">Operations!AE55</f>
        <v>67.81412</v>
      </c>
      <c r="AF321" s="18" t="n">
        <f aca="false">Operations!AF55</f>
        <v>69.1702</v>
      </c>
      <c r="AG321" s="18" t="n">
        <f aca="false">Operations!AG55</f>
        <v>70.55664</v>
      </c>
      <c r="AH321" s="18" t="n">
        <f aca="false">Operations!AH55</f>
        <v>71.96332</v>
      </c>
      <c r="AI321" s="18" t="n">
        <f aca="false">Operations!AI55</f>
        <v>73.40036</v>
      </c>
      <c r="AJ321" s="18" t="n">
        <f aca="false">Operations!AJ55</f>
        <v>74.86776</v>
      </c>
      <c r="AK321" s="18" t="n">
        <f aca="false">Operations!AK55</f>
        <v>76.36552</v>
      </c>
      <c r="AL321" s="18" t="n">
        <f aca="false">Operations!AL55</f>
        <v>77.89364</v>
      </c>
      <c r="AM321" s="18" t="n">
        <f aca="false">Operations!AM55</f>
        <v>79.45212</v>
      </c>
      <c r="AN321" s="18" t="n">
        <f aca="false">Operations!AN55</f>
        <v>81.04096</v>
      </c>
      <c r="AO321" s="18" t="n">
        <f aca="false">Operations!AO55</f>
        <v>82.66016</v>
      </c>
      <c r="AP321" s="18" t="n">
        <f aca="false">Operations!AP55</f>
        <v>84.30972</v>
      </c>
      <c r="AQ321" s="18" t="n">
        <f aca="false">Operations!AQ55</f>
        <v>85.99976</v>
      </c>
      <c r="AR321" s="18" t="n">
        <f aca="false">Operations!AR55</f>
        <v>87.72016</v>
      </c>
      <c r="AS321" s="18" t="n">
        <f aca="false">Operations!AS55</f>
        <v>89.47092</v>
      </c>
      <c r="AT321" s="18" t="n">
        <f aca="false">Operations!AT55</f>
        <v>91.26216</v>
      </c>
      <c r="AU321" s="18" t="n">
        <f aca="false">Operations!AU55</f>
        <v>93.08376</v>
      </c>
    </row>
    <row r="322" customFormat="false" ht="15" hidden="false" customHeight="false" outlineLevel="0" collapsed="false">
      <c r="D322" s="0" t="s">
        <v>717</v>
      </c>
      <c r="E322" s="0" t="s">
        <v>176</v>
      </c>
      <c r="J322" s="20" t="n">
        <f aca="false">Inputs!$F$162*(1+Inputs!$F$168/100)*(1-(Inputs!$F$187*MIN(MAX(0,(Time!J$5-Inputs!$F$157)/Inputs!$F$27),1)+Inputs!$F$188*MIN(MAX(MAX(0,(Time!J$5-Inputs!$F$157)/Inputs!$F$27)-1,0),Inputs!$F$190-1)+Inputs!$F$189*MAX(MAX(0,(Time!J$5-Inputs!$F$157)/Inputs!$F$27)-Inputs!$F$190,0))/100)</f>
        <v>324</v>
      </c>
      <c r="K322" s="20" t="n">
        <f aca="false">Inputs!$F$162*(1+Inputs!$F$168/100)*(1-(Inputs!$F$187*MIN(MAX(0,(Time!K$5-Inputs!$F$157)/Inputs!$F$27),1)+Inputs!$F$188*MIN(MAX(MAX(0,(Time!K$5-Inputs!$F$157)/Inputs!$F$27)-1,0),Inputs!$F$190-1)+Inputs!$F$189*MAX(MAX(0,(Time!K$5-Inputs!$F$157)/Inputs!$F$27)-Inputs!$F$190,0))/100)</f>
        <v>324</v>
      </c>
      <c r="L322" s="20" t="n">
        <f aca="false">Inputs!$F$162*(1+Inputs!$F$168/100)*(1-(Inputs!$F$187*MIN(MAX(0,(Time!L$5-Inputs!$F$157)/Inputs!$F$27),1)+Inputs!$F$188*MIN(MAX(MAX(0,(Time!L$5-Inputs!$F$157)/Inputs!$F$27)-1,0),Inputs!$F$190-1)+Inputs!$F$189*MAX(MAX(0,(Time!L$5-Inputs!$F$157)/Inputs!$F$27)-Inputs!$F$190,0))/100)</f>
        <v>324</v>
      </c>
      <c r="M322" s="20" t="n">
        <f aca="false">Inputs!$F$162*(1+Inputs!$F$168/100)*(1-(Inputs!$F$187*MIN(MAX(0,(Time!M$5-Inputs!$F$157)/Inputs!$F$27),1)+Inputs!$F$188*MIN(MAX(MAX(0,(Time!M$5-Inputs!$F$157)/Inputs!$F$27)-1,0),Inputs!$F$190-1)+Inputs!$F$189*MAX(MAX(0,(Time!M$5-Inputs!$F$157)/Inputs!$F$27)-Inputs!$F$190,0))/100)</f>
        <v>319.153315068493</v>
      </c>
      <c r="N322" s="20" t="n">
        <f aca="false">Inputs!$F$162*(1+Inputs!$F$168/100)*(1-(Inputs!$F$187*MIN(MAX(0,(Time!N$5-Inputs!$F$157)/Inputs!$F$27),1)+Inputs!$F$188*MIN(MAX(MAX(0,(Time!N$5-Inputs!$F$157)/Inputs!$F$27)-1,0),Inputs!$F$190-1)+Inputs!$F$189*MAX(MAX(0,(Time!N$5-Inputs!$F$157)/Inputs!$F$27)-Inputs!$F$190,0))/100)</f>
        <v>313.88498630137</v>
      </c>
      <c r="O322" s="20" t="n">
        <f aca="false">Inputs!$F$162*(1+Inputs!$F$168/100)*(1-(Inputs!$F$187*MIN(MAX(0,(Time!O$5-Inputs!$F$157)/Inputs!$F$27),1)+Inputs!$F$188*MIN(MAX(MAX(0,(Time!O$5-Inputs!$F$157)/Inputs!$F$27)-1,0),Inputs!$F$190-1)+Inputs!$F$189*MAX(MAX(0,(Time!O$5-Inputs!$F$157)/Inputs!$F$27)-Inputs!$F$190,0))/100)</f>
        <v>309.02498630137</v>
      </c>
      <c r="P322" s="20" t="n">
        <f aca="false">Inputs!$F$162*(1+Inputs!$F$168/100)*(1-(Inputs!$F$187*MIN(MAX(0,(Time!P$5-Inputs!$F$157)/Inputs!$F$27),1)+Inputs!$F$188*MIN(MAX(MAX(0,(Time!P$5-Inputs!$F$157)/Inputs!$F$27)-1,0),Inputs!$F$190-1)+Inputs!$F$189*MAX(MAX(0,(Time!P$5-Inputs!$F$157)/Inputs!$F$27)-Inputs!$F$190,0))/100)</f>
        <v>304.16498630137</v>
      </c>
      <c r="Q322" s="20" t="n">
        <f aca="false">Inputs!$F$162*(1+Inputs!$F$168/100)*(1-(Inputs!$F$187*MIN(MAX(0,(Time!Q$5-Inputs!$F$157)/Inputs!$F$27),1)+Inputs!$F$188*MIN(MAX(MAX(0,(Time!Q$5-Inputs!$F$157)/Inputs!$F$27)-1,0),Inputs!$F$190-1)+Inputs!$F$189*MAX(MAX(0,(Time!Q$5-Inputs!$F$157)/Inputs!$F$27)-Inputs!$F$190,0))/100)</f>
        <v>299.291671232877</v>
      </c>
      <c r="R322" s="20" t="n">
        <f aca="false">Inputs!$F$162*(1+Inputs!$F$168/100)*(1-(Inputs!$F$187*MIN(MAX(0,(Time!R$5-Inputs!$F$157)/Inputs!$F$27),1)+Inputs!$F$188*MIN(MAX(MAX(0,(Time!R$5-Inputs!$F$157)/Inputs!$F$27)-1,0),Inputs!$F$190-1)+Inputs!$F$189*MAX(MAX(0,(Time!R$5-Inputs!$F$157)/Inputs!$F$27)-Inputs!$F$190,0))/100)</f>
        <v>294.431671232877</v>
      </c>
      <c r="S322" s="20" t="n">
        <f aca="false">Inputs!$F$162*(1+Inputs!$F$168/100)*(1-(Inputs!$F$187*MIN(MAX(0,(Time!S$5-Inputs!$F$157)/Inputs!$F$27),1)+Inputs!$F$188*MIN(MAX(MAX(0,(Time!S$5-Inputs!$F$157)/Inputs!$F$27)-1,0),Inputs!$F$190-1)+Inputs!$F$189*MAX(MAX(0,(Time!S$5-Inputs!$F$157)/Inputs!$F$27)-Inputs!$F$190,0))/100)</f>
        <v>289.571671232877</v>
      </c>
      <c r="T322" s="20" t="n">
        <f aca="false">Inputs!$F$162*(1+Inputs!$F$168/100)*(1-(Inputs!$F$187*MIN(MAX(0,(Time!T$5-Inputs!$F$157)/Inputs!$F$27),1)+Inputs!$F$188*MIN(MAX(MAX(0,(Time!T$5-Inputs!$F$157)/Inputs!$F$27)-1,0),Inputs!$F$190-1)+Inputs!$F$189*MAX(MAX(0,(Time!T$5-Inputs!$F$157)/Inputs!$F$27)-Inputs!$F$190,0))/100)</f>
        <v>284.711671232877</v>
      </c>
      <c r="U322" s="20" t="n">
        <f aca="false">Inputs!$F$162*(1+Inputs!$F$168/100)*(1-(Inputs!$F$187*MIN(MAX(0,(Time!U$5-Inputs!$F$157)/Inputs!$F$27),1)+Inputs!$F$188*MIN(MAX(MAX(0,(Time!U$5-Inputs!$F$157)/Inputs!$F$27)-1,0),Inputs!$F$190-1)+Inputs!$F$189*MAX(MAX(0,(Time!U$5-Inputs!$F$157)/Inputs!$F$27)-Inputs!$F$190,0))/100)</f>
        <v>279.838356164384</v>
      </c>
      <c r="V322" s="20" t="n">
        <f aca="false">Inputs!$F$162*(1+Inputs!$F$168/100)*(1-(Inputs!$F$187*MIN(MAX(0,(Time!V$5-Inputs!$F$157)/Inputs!$F$27),1)+Inputs!$F$188*MIN(MAX(MAX(0,(Time!V$5-Inputs!$F$157)/Inputs!$F$27)-1,0),Inputs!$F$190-1)+Inputs!$F$189*MAX(MAX(0,(Time!V$5-Inputs!$F$157)/Inputs!$F$27)-Inputs!$F$190,0))/100)</f>
        <v>274.978356164384</v>
      </c>
      <c r="W322" s="20" t="n">
        <f aca="false">Inputs!$F$162*(1+Inputs!$F$168/100)*(1-(Inputs!$F$187*MIN(MAX(0,(Time!W$5-Inputs!$F$157)/Inputs!$F$27),1)+Inputs!$F$188*MIN(MAX(MAX(0,(Time!W$5-Inputs!$F$157)/Inputs!$F$27)-1,0),Inputs!$F$190-1)+Inputs!$F$189*MAX(MAX(0,(Time!W$5-Inputs!$F$157)/Inputs!$F$27)-Inputs!$F$190,0))/100)</f>
        <v>271.338904109589</v>
      </c>
      <c r="X322" s="20" t="n">
        <f aca="false">Inputs!$F$162*(1+Inputs!$F$168/100)*(1-(Inputs!$F$187*MIN(MAX(0,(Time!X$5-Inputs!$F$157)/Inputs!$F$27),1)+Inputs!$F$188*MIN(MAX(MAX(0,(Time!X$5-Inputs!$F$157)/Inputs!$F$27)-1,0),Inputs!$F$190-1)+Inputs!$F$189*MAX(MAX(0,(Time!X$5-Inputs!$F$157)/Inputs!$F$27)-Inputs!$F$190,0))/100)</f>
        <v>268.098904109589</v>
      </c>
      <c r="Y322" s="20" t="n">
        <f aca="false">Inputs!$F$162*(1+Inputs!$F$168/100)*(1-(Inputs!$F$187*MIN(MAX(0,(Time!Y$5-Inputs!$F$157)/Inputs!$F$27),1)+Inputs!$F$188*MIN(MAX(MAX(0,(Time!Y$5-Inputs!$F$157)/Inputs!$F$27)-1,0),Inputs!$F$190-1)+Inputs!$F$189*MAX(MAX(0,(Time!Y$5-Inputs!$F$157)/Inputs!$F$27)-Inputs!$F$190,0))/100)</f>
        <v>264.85002739726</v>
      </c>
      <c r="Z322" s="20" t="n">
        <f aca="false">Inputs!$F$162*(1+Inputs!$F$168/100)*(1-(Inputs!$F$187*MIN(MAX(0,(Time!Z$5-Inputs!$F$157)/Inputs!$F$27),1)+Inputs!$F$188*MIN(MAX(MAX(0,(Time!Z$5-Inputs!$F$157)/Inputs!$F$27)-1,0),Inputs!$F$190-1)+Inputs!$F$189*MAX(MAX(0,(Time!Z$5-Inputs!$F$157)/Inputs!$F$27)-Inputs!$F$190,0))/100)</f>
        <v>261.61002739726</v>
      </c>
      <c r="AA322" s="20" t="n">
        <f aca="false">Inputs!$F$162*(1+Inputs!$F$168/100)*(1-(Inputs!$F$187*MIN(MAX(0,(Time!AA$5-Inputs!$F$157)/Inputs!$F$27),1)+Inputs!$F$188*MIN(MAX(MAX(0,(Time!AA$5-Inputs!$F$157)/Inputs!$F$27)-1,0),Inputs!$F$190-1)+Inputs!$F$189*MAX(MAX(0,(Time!AA$5-Inputs!$F$157)/Inputs!$F$27)-Inputs!$F$190,0))/100)</f>
        <v>258.37002739726</v>
      </c>
      <c r="AB322" s="20" t="n">
        <f aca="false">Inputs!$F$162*(1+Inputs!$F$168/100)*(1-(Inputs!$F$187*MIN(MAX(0,(Time!AB$5-Inputs!$F$157)/Inputs!$F$27),1)+Inputs!$F$188*MIN(MAX(MAX(0,(Time!AB$5-Inputs!$F$157)/Inputs!$F$27)-1,0),Inputs!$F$190-1)+Inputs!$F$189*MAX(MAX(0,(Time!AB$5-Inputs!$F$157)/Inputs!$F$27)-Inputs!$F$190,0))/100)</f>
        <v>255.13002739726</v>
      </c>
      <c r="AC322" s="20" t="n">
        <f aca="false">Inputs!$F$162*(1+Inputs!$F$168/100)*(1-(Inputs!$F$187*MIN(MAX(0,(Time!AC$5-Inputs!$F$157)/Inputs!$F$27),1)+Inputs!$F$188*MIN(MAX(MAX(0,(Time!AC$5-Inputs!$F$157)/Inputs!$F$27)-1,0),Inputs!$F$190-1)+Inputs!$F$189*MAX(MAX(0,(Time!AC$5-Inputs!$F$157)/Inputs!$F$27)-Inputs!$F$190,0))/100)</f>
        <v>251.881150684932</v>
      </c>
      <c r="AD322" s="20" t="n">
        <f aca="false">Inputs!$F$162*(1+Inputs!$F$168/100)*(1-(Inputs!$F$187*MIN(MAX(0,(Time!AD$5-Inputs!$F$157)/Inputs!$F$27),1)+Inputs!$F$188*MIN(MAX(MAX(0,(Time!AD$5-Inputs!$F$157)/Inputs!$F$27)-1,0),Inputs!$F$190-1)+Inputs!$F$189*MAX(MAX(0,(Time!AD$5-Inputs!$F$157)/Inputs!$F$27)-Inputs!$F$190,0))/100)</f>
        <v>248.641150684932</v>
      </c>
      <c r="AE322" s="20" t="n">
        <f aca="false">Inputs!$F$162*(1+Inputs!$F$168/100)*(1-(Inputs!$F$187*MIN(MAX(0,(Time!AE$5-Inputs!$F$157)/Inputs!$F$27),1)+Inputs!$F$188*MIN(MAX(MAX(0,(Time!AE$5-Inputs!$F$157)/Inputs!$F$27)-1,0),Inputs!$F$190-1)+Inputs!$F$189*MAX(MAX(0,(Time!AE$5-Inputs!$F$157)/Inputs!$F$27)-Inputs!$F$190,0))/100)</f>
        <v>245.401150684932</v>
      </c>
      <c r="AF322" s="20" t="n">
        <f aca="false">Inputs!$F$162*(1+Inputs!$F$168/100)*(1-(Inputs!$F$187*MIN(MAX(0,(Time!AF$5-Inputs!$F$157)/Inputs!$F$27),1)+Inputs!$F$188*MIN(MAX(MAX(0,(Time!AF$5-Inputs!$F$157)/Inputs!$F$27)-1,0),Inputs!$F$190-1)+Inputs!$F$189*MAX(MAX(0,(Time!AF$5-Inputs!$F$157)/Inputs!$F$27)-Inputs!$F$190,0))/100)</f>
        <v>242.161150684932</v>
      </c>
      <c r="AG322" s="20" t="n">
        <f aca="false">Inputs!$F$162*(1+Inputs!$F$168/100)*(1-(Inputs!$F$187*MIN(MAX(0,(Time!AG$5-Inputs!$F$157)/Inputs!$F$27),1)+Inputs!$F$188*MIN(MAX(MAX(0,(Time!AG$5-Inputs!$F$157)/Inputs!$F$27)-1,0),Inputs!$F$190-1)+Inputs!$F$189*MAX(MAX(0,(Time!AG$5-Inputs!$F$157)/Inputs!$F$27)-Inputs!$F$190,0))/100)</f>
        <v>238.912273972603</v>
      </c>
      <c r="AH322" s="20" t="n">
        <f aca="false">Inputs!$F$162*(1+Inputs!$F$168/100)*(1-(Inputs!$F$187*MIN(MAX(0,(Time!AH$5-Inputs!$F$157)/Inputs!$F$27),1)+Inputs!$F$188*MIN(MAX(MAX(0,(Time!AH$5-Inputs!$F$157)/Inputs!$F$27)-1,0),Inputs!$F$190-1)+Inputs!$F$189*MAX(MAX(0,(Time!AH$5-Inputs!$F$157)/Inputs!$F$27)-Inputs!$F$190,0))/100)</f>
        <v>235.672273972603</v>
      </c>
      <c r="AI322" s="20" t="n">
        <f aca="false">Inputs!$F$162*(1+Inputs!$F$168/100)*(1-(Inputs!$F$187*MIN(MAX(0,(Time!AI$5-Inputs!$F$157)/Inputs!$F$27),1)+Inputs!$F$188*MIN(MAX(MAX(0,(Time!AI$5-Inputs!$F$157)/Inputs!$F$27)-1,0),Inputs!$F$190-1)+Inputs!$F$189*MAX(MAX(0,(Time!AI$5-Inputs!$F$157)/Inputs!$F$27)-Inputs!$F$190,0))/100)</f>
        <v>232.432273972603</v>
      </c>
      <c r="AJ322" s="20" t="n">
        <f aca="false">Inputs!$F$162*(1+Inputs!$F$168/100)*(1-(Inputs!$F$187*MIN(MAX(0,(Time!AJ$5-Inputs!$F$157)/Inputs!$F$27),1)+Inputs!$F$188*MIN(MAX(MAX(0,(Time!AJ$5-Inputs!$F$157)/Inputs!$F$27)-1,0),Inputs!$F$190-1)+Inputs!$F$189*MAX(MAX(0,(Time!AJ$5-Inputs!$F$157)/Inputs!$F$27)-Inputs!$F$190,0))/100)</f>
        <v>229.192273972603</v>
      </c>
      <c r="AK322" s="20" t="n">
        <f aca="false">Inputs!$F$162*(1+Inputs!$F$168/100)*(1-(Inputs!$F$187*MIN(MAX(0,(Time!AK$5-Inputs!$F$157)/Inputs!$F$27),1)+Inputs!$F$188*MIN(MAX(MAX(0,(Time!AK$5-Inputs!$F$157)/Inputs!$F$27)-1,0),Inputs!$F$190-1)+Inputs!$F$189*MAX(MAX(0,(Time!AK$5-Inputs!$F$157)/Inputs!$F$27)-Inputs!$F$190,0))/100)</f>
        <v>225.943397260274</v>
      </c>
      <c r="AL322" s="20" t="n">
        <f aca="false">Inputs!$F$162*(1+Inputs!$F$168/100)*(1-(Inputs!$F$187*MIN(MAX(0,(Time!AL$5-Inputs!$F$157)/Inputs!$F$27),1)+Inputs!$F$188*MIN(MAX(MAX(0,(Time!AL$5-Inputs!$F$157)/Inputs!$F$27)-1,0),Inputs!$F$190-1)+Inputs!$F$189*MAX(MAX(0,(Time!AL$5-Inputs!$F$157)/Inputs!$F$27)-Inputs!$F$190,0))/100)</f>
        <v>222.703397260274</v>
      </c>
      <c r="AM322" s="20" t="n">
        <f aca="false">Inputs!$F$162*(1+Inputs!$F$168/100)*(1-(Inputs!$F$187*MIN(MAX(0,(Time!AM$5-Inputs!$F$157)/Inputs!$F$27),1)+Inputs!$F$188*MIN(MAX(MAX(0,(Time!AM$5-Inputs!$F$157)/Inputs!$F$27)-1,0),Inputs!$F$190-1)+Inputs!$F$189*MAX(MAX(0,(Time!AM$5-Inputs!$F$157)/Inputs!$F$27)-Inputs!$F$190,0))/100)</f>
        <v>219.463397260274</v>
      </c>
      <c r="AN322" s="20" t="n">
        <f aca="false">Inputs!$F$162*(1+Inputs!$F$168/100)*(1-(Inputs!$F$187*MIN(MAX(0,(Time!AN$5-Inputs!$F$157)/Inputs!$F$27),1)+Inputs!$F$188*MIN(MAX(MAX(0,(Time!AN$5-Inputs!$F$157)/Inputs!$F$27)-1,0),Inputs!$F$190-1)+Inputs!$F$189*MAX(MAX(0,(Time!AN$5-Inputs!$F$157)/Inputs!$F$27)-Inputs!$F$190,0))/100)</f>
        <v>216.223397260274</v>
      </c>
      <c r="AO322" s="20" t="n">
        <f aca="false">Inputs!$F$162*(1+Inputs!$F$168/100)*(1-(Inputs!$F$187*MIN(MAX(0,(Time!AO$5-Inputs!$F$157)/Inputs!$F$27),1)+Inputs!$F$188*MIN(MAX(MAX(0,(Time!AO$5-Inputs!$F$157)/Inputs!$F$27)-1,0),Inputs!$F$190-1)+Inputs!$F$189*MAX(MAX(0,(Time!AO$5-Inputs!$F$157)/Inputs!$F$27)-Inputs!$F$190,0))/100)</f>
        <v>212.974520547945</v>
      </c>
      <c r="AP322" s="20" t="n">
        <f aca="false">Inputs!$F$162*(1+Inputs!$F$168/100)*(1-(Inputs!$F$187*MIN(MAX(0,(Time!AP$5-Inputs!$F$157)/Inputs!$F$27),1)+Inputs!$F$188*MIN(MAX(MAX(0,(Time!AP$5-Inputs!$F$157)/Inputs!$F$27)-1,0),Inputs!$F$190-1)+Inputs!$F$189*MAX(MAX(0,(Time!AP$5-Inputs!$F$157)/Inputs!$F$27)-Inputs!$F$190,0))/100)</f>
        <v>209.734520547945</v>
      </c>
      <c r="AQ322" s="20" t="n">
        <f aca="false">Inputs!$F$162*(1+Inputs!$F$168/100)*(1-(Inputs!$F$187*MIN(MAX(0,(Time!AQ$5-Inputs!$F$157)/Inputs!$F$27),1)+Inputs!$F$188*MIN(MAX(MAX(0,(Time!AQ$5-Inputs!$F$157)/Inputs!$F$27)-1,0),Inputs!$F$190-1)+Inputs!$F$189*MAX(MAX(0,(Time!AQ$5-Inputs!$F$157)/Inputs!$F$27)-Inputs!$F$190,0))/100)</f>
        <v>206.494520547945</v>
      </c>
      <c r="AR322" s="20" t="n">
        <f aca="false">Inputs!$F$162*(1+Inputs!$F$168/100)*(1-(Inputs!$F$187*MIN(MAX(0,(Time!AR$5-Inputs!$F$157)/Inputs!$F$27),1)+Inputs!$F$188*MIN(MAX(MAX(0,(Time!AR$5-Inputs!$F$157)/Inputs!$F$27)-1,0),Inputs!$F$190-1)+Inputs!$F$189*MAX(MAX(0,(Time!AR$5-Inputs!$F$157)/Inputs!$F$27)-Inputs!$F$190,0))/100)</f>
        <v>203.254520547945</v>
      </c>
      <c r="AS322" s="20" t="n">
        <f aca="false">Inputs!$F$162*(1+Inputs!$F$168/100)*(1-(Inputs!$F$187*MIN(MAX(0,(Time!AS$5-Inputs!$F$157)/Inputs!$F$27),1)+Inputs!$F$188*MIN(MAX(MAX(0,(Time!AS$5-Inputs!$F$157)/Inputs!$F$27)-1,0),Inputs!$F$190-1)+Inputs!$F$189*MAX(MAX(0,(Time!AS$5-Inputs!$F$157)/Inputs!$F$27)-Inputs!$F$190,0))/100)</f>
        <v>200.005643835616</v>
      </c>
      <c r="AT322" s="20" t="n">
        <f aca="false">Inputs!$F$162*(1+Inputs!$F$168/100)*(1-(Inputs!$F$187*MIN(MAX(0,(Time!AT$5-Inputs!$F$157)/Inputs!$F$27),1)+Inputs!$F$188*MIN(MAX(MAX(0,(Time!AT$5-Inputs!$F$157)/Inputs!$F$27)-1,0),Inputs!$F$190-1)+Inputs!$F$189*MAX(MAX(0,(Time!AT$5-Inputs!$F$157)/Inputs!$F$27)-Inputs!$F$190,0))/100)</f>
        <v>196.765643835616</v>
      </c>
      <c r="AU322" s="20" t="n">
        <f aca="false">Inputs!$F$162*(1+Inputs!$F$168/100)*(1-(Inputs!$F$187*MIN(MAX(0,(Time!AU$5-Inputs!$F$157)/Inputs!$F$27),1)+Inputs!$F$188*MIN(MAX(MAX(0,(Time!AU$5-Inputs!$F$157)/Inputs!$F$27)-1,0),Inputs!$F$190-1)+Inputs!$F$189*MAX(MAX(0,(Time!AU$5-Inputs!$F$157)/Inputs!$F$27)-Inputs!$F$190,0))/100)</f>
        <v>193.525643835616</v>
      </c>
    </row>
    <row r="323" customFormat="false" ht="15" hidden="false" customHeight="false" outlineLevel="0" collapsed="false">
      <c r="D323" s="0" t="s">
        <v>718</v>
      </c>
      <c r="E323" s="0" t="s">
        <v>176</v>
      </c>
      <c r="J323" s="20" t="n">
        <f aca="false">IF(Time!J$5&gt;=(DATE(YEAR(Inputs!$F$157)+Inputs!$F$164,1,1)-1),Inputs!$F$166/100*Inputs!$F$162*(1-(Inputs!$F$187*MIN(MAX(0,(Time!J$5-(DATE(YEAR(Inputs!$F$157)+Inputs!$F$164,1,1)-1))/Inputs!$F$27),1)+Inputs!$F$188*MIN(MAX(MAX(0,(Time!J$5-(DATE(YEAR(Inputs!$F$157)+Inputs!$F$164,1,1)-1))/Inputs!$F$27)-1,0),Inputs!$F$190-1)+Inputs!$F$189*MAX(MAX(0,(Time!J$5-(DATE(YEAR(Inputs!$F$157)+Inputs!$F$164,1,1)-1))/Inputs!$F$27)-Inputs!$F$190,0))/100),0)+IF(Time!J$5&gt;=(DATE(YEAR(Inputs!$F$157)+Inputs!$F$165,1,1)-1),Inputs!$F$166/100*Inputs!$F$162*(1-(Inputs!$F$187*MIN(MAX(0,(Time!J$5-(DATE(YEAR(Inputs!$F$157)+Inputs!$F$165,1,1)-1))/Inputs!$F$27),1)+Inputs!$F$188*MIN(MAX(MAX(0,(Time!J$5-(DATE(YEAR(Inputs!$F$157)+Inputs!$F$165,1,1)-1))/Inputs!$F$27)-1,0),Inputs!$F$190-1)+Inputs!$F$189*MAX(MAX(0,(Time!J$5-(DATE(YEAR(Inputs!$F$157)+Inputs!$F$165,1,1)-1))/Inputs!$F$27)-Inputs!$F$190,0))/100),0)</f>
        <v>0</v>
      </c>
      <c r="K323" s="20" t="n">
        <f aca="false">IF(Time!K$5&gt;=(DATE(YEAR(Inputs!$F$157)+Inputs!$F$164,1,1)-1),Inputs!$F$166/100*Inputs!$F$162*(1-(Inputs!$F$187*MIN(MAX(0,(Time!K$5-(DATE(YEAR(Inputs!$F$157)+Inputs!$F$164,1,1)-1))/Inputs!$F$27),1)+Inputs!$F$188*MIN(MAX(MAX(0,(Time!K$5-(DATE(YEAR(Inputs!$F$157)+Inputs!$F$164,1,1)-1))/Inputs!$F$27)-1,0),Inputs!$F$190-1)+Inputs!$F$189*MAX(MAX(0,(Time!K$5-(DATE(YEAR(Inputs!$F$157)+Inputs!$F$164,1,1)-1))/Inputs!$F$27)-Inputs!$F$190,0))/100),0)+IF(Time!K$5&gt;=(DATE(YEAR(Inputs!$F$157)+Inputs!$F$165,1,1)-1),Inputs!$F$166/100*Inputs!$F$162*(1-(Inputs!$F$187*MIN(MAX(0,(Time!K$5-(DATE(YEAR(Inputs!$F$157)+Inputs!$F$165,1,1)-1))/Inputs!$F$27),1)+Inputs!$F$188*MIN(MAX(MAX(0,(Time!K$5-(DATE(YEAR(Inputs!$F$157)+Inputs!$F$165,1,1)-1))/Inputs!$F$27)-1,0),Inputs!$F$190-1)+Inputs!$F$189*MAX(MAX(0,(Time!K$5-(DATE(YEAR(Inputs!$F$157)+Inputs!$F$165,1,1)-1))/Inputs!$F$27)-Inputs!$F$190,0))/100),0)</f>
        <v>0</v>
      </c>
      <c r="L323" s="20" t="n">
        <f aca="false">IF(Time!L$5&gt;=(DATE(YEAR(Inputs!$F$157)+Inputs!$F$164,1,1)-1),Inputs!$F$166/100*Inputs!$F$162*(1-(Inputs!$F$187*MIN(MAX(0,(Time!L$5-(DATE(YEAR(Inputs!$F$157)+Inputs!$F$164,1,1)-1))/Inputs!$F$27),1)+Inputs!$F$188*MIN(MAX(MAX(0,(Time!L$5-(DATE(YEAR(Inputs!$F$157)+Inputs!$F$164,1,1)-1))/Inputs!$F$27)-1,0),Inputs!$F$190-1)+Inputs!$F$189*MAX(MAX(0,(Time!L$5-(DATE(YEAR(Inputs!$F$157)+Inputs!$F$164,1,1)-1))/Inputs!$F$27)-Inputs!$F$190,0))/100),0)+IF(Time!L$5&gt;=(DATE(YEAR(Inputs!$F$157)+Inputs!$F$165,1,1)-1),Inputs!$F$166/100*Inputs!$F$162*(1-(Inputs!$F$187*MIN(MAX(0,(Time!L$5-(DATE(YEAR(Inputs!$F$157)+Inputs!$F$165,1,1)-1))/Inputs!$F$27),1)+Inputs!$F$188*MIN(MAX(MAX(0,(Time!L$5-(DATE(YEAR(Inputs!$F$157)+Inputs!$F$165,1,1)-1))/Inputs!$F$27)-1,0),Inputs!$F$190-1)+Inputs!$F$189*MAX(MAX(0,(Time!L$5-(DATE(YEAR(Inputs!$F$157)+Inputs!$F$165,1,1)-1))/Inputs!$F$27)-Inputs!$F$190,0))/100),0)</f>
        <v>0</v>
      </c>
      <c r="M323" s="20" t="n">
        <f aca="false">IF(Time!M$5&gt;=(DATE(YEAR(Inputs!$F$157)+Inputs!$F$164,1,1)-1),Inputs!$F$166/100*Inputs!$F$162*(1-(Inputs!$F$187*MIN(MAX(0,(Time!M$5-(DATE(YEAR(Inputs!$F$157)+Inputs!$F$164,1,1)-1))/Inputs!$F$27),1)+Inputs!$F$188*MIN(MAX(MAX(0,(Time!M$5-(DATE(YEAR(Inputs!$F$157)+Inputs!$F$164,1,1)-1))/Inputs!$F$27)-1,0),Inputs!$F$190-1)+Inputs!$F$189*MAX(MAX(0,(Time!M$5-(DATE(YEAR(Inputs!$F$157)+Inputs!$F$164,1,1)-1))/Inputs!$F$27)-Inputs!$F$190,0))/100),0)+IF(Time!M$5&gt;=(DATE(YEAR(Inputs!$F$157)+Inputs!$F$165,1,1)-1),Inputs!$F$166/100*Inputs!$F$162*(1-(Inputs!$F$187*MIN(MAX(0,(Time!M$5-(DATE(YEAR(Inputs!$F$157)+Inputs!$F$165,1,1)-1))/Inputs!$F$27),1)+Inputs!$F$188*MIN(MAX(MAX(0,(Time!M$5-(DATE(YEAR(Inputs!$F$157)+Inputs!$F$165,1,1)-1))/Inputs!$F$27)-1,0),Inputs!$F$190-1)+Inputs!$F$189*MAX(MAX(0,(Time!M$5-(DATE(YEAR(Inputs!$F$157)+Inputs!$F$165,1,1)-1))/Inputs!$F$27)-Inputs!$F$190,0))/100),0)</f>
        <v>0</v>
      </c>
      <c r="N323" s="20" t="n">
        <f aca="false">IF(Time!N$5&gt;=(DATE(YEAR(Inputs!$F$157)+Inputs!$F$164,1,1)-1),Inputs!$F$166/100*Inputs!$F$162*(1-(Inputs!$F$187*MIN(MAX(0,(Time!N$5-(DATE(YEAR(Inputs!$F$157)+Inputs!$F$164,1,1)-1))/Inputs!$F$27),1)+Inputs!$F$188*MIN(MAX(MAX(0,(Time!N$5-(DATE(YEAR(Inputs!$F$157)+Inputs!$F$164,1,1)-1))/Inputs!$F$27)-1,0),Inputs!$F$190-1)+Inputs!$F$189*MAX(MAX(0,(Time!N$5-(DATE(YEAR(Inputs!$F$157)+Inputs!$F$164,1,1)-1))/Inputs!$F$27)-Inputs!$F$190,0))/100),0)+IF(Time!N$5&gt;=(DATE(YEAR(Inputs!$F$157)+Inputs!$F$165,1,1)-1),Inputs!$F$166/100*Inputs!$F$162*(1-(Inputs!$F$187*MIN(MAX(0,(Time!N$5-(DATE(YEAR(Inputs!$F$157)+Inputs!$F$165,1,1)-1))/Inputs!$F$27),1)+Inputs!$F$188*MIN(MAX(MAX(0,(Time!N$5-(DATE(YEAR(Inputs!$F$157)+Inputs!$F$165,1,1)-1))/Inputs!$F$27)-1,0),Inputs!$F$190-1)+Inputs!$F$189*MAX(MAX(0,(Time!N$5-(DATE(YEAR(Inputs!$F$157)+Inputs!$F$165,1,1)-1))/Inputs!$F$27)-Inputs!$F$190,0))/100),0)</f>
        <v>0</v>
      </c>
      <c r="O323" s="20" t="n">
        <f aca="false">IF(Time!O$5&gt;=(DATE(YEAR(Inputs!$F$157)+Inputs!$F$164,1,1)-1),Inputs!$F$166/100*Inputs!$F$162*(1-(Inputs!$F$187*MIN(MAX(0,(Time!O$5-(DATE(YEAR(Inputs!$F$157)+Inputs!$F$164,1,1)-1))/Inputs!$F$27),1)+Inputs!$F$188*MIN(MAX(MAX(0,(Time!O$5-(DATE(YEAR(Inputs!$F$157)+Inputs!$F$164,1,1)-1))/Inputs!$F$27)-1,0),Inputs!$F$190-1)+Inputs!$F$189*MAX(MAX(0,(Time!O$5-(DATE(YEAR(Inputs!$F$157)+Inputs!$F$164,1,1)-1))/Inputs!$F$27)-Inputs!$F$190,0))/100),0)+IF(Time!O$5&gt;=(DATE(YEAR(Inputs!$F$157)+Inputs!$F$165,1,1)-1),Inputs!$F$166/100*Inputs!$F$162*(1-(Inputs!$F$187*MIN(MAX(0,(Time!O$5-(DATE(YEAR(Inputs!$F$157)+Inputs!$F$165,1,1)-1))/Inputs!$F$27),1)+Inputs!$F$188*MIN(MAX(MAX(0,(Time!O$5-(DATE(YEAR(Inputs!$F$157)+Inputs!$F$165,1,1)-1))/Inputs!$F$27)-1,0),Inputs!$F$190-1)+Inputs!$F$189*MAX(MAX(0,(Time!O$5-(DATE(YEAR(Inputs!$F$157)+Inputs!$F$165,1,1)-1))/Inputs!$F$27)-Inputs!$F$190,0))/100),0)</f>
        <v>0</v>
      </c>
      <c r="P323" s="20" t="n">
        <f aca="false">IF(Time!P$5&gt;=(DATE(YEAR(Inputs!$F$157)+Inputs!$F$164,1,1)-1),Inputs!$F$166/100*Inputs!$F$162*(1-(Inputs!$F$187*MIN(MAX(0,(Time!P$5-(DATE(YEAR(Inputs!$F$157)+Inputs!$F$164,1,1)-1))/Inputs!$F$27),1)+Inputs!$F$188*MIN(MAX(MAX(0,(Time!P$5-(DATE(YEAR(Inputs!$F$157)+Inputs!$F$164,1,1)-1))/Inputs!$F$27)-1,0),Inputs!$F$190-1)+Inputs!$F$189*MAX(MAX(0,(Time!P$5-(DATE(YEAR(Inputs!$F$157)+Inputs!$F$164,1,1)-1))/Inputs!$F$27)-Inputs!$F$190,0))/100),0)+IF(Time!P$5&gt;=(DATE(YEAR(Inputs!$F$157)+Inputs!$F$165,1,1)-1),Inputs!$F$166/100*Inputs!$F$162*(1-(Inputs!$F$187*MIN(MAX(0,(Time!P$5-(DATE(YEAR(Inputs!$F$157)+Inputs!$F$165,1,1)-1))/Inputs!$F$27),1)+Inputs!$F$188*MIN(MAX(MAX(0,(Time!P$5-(DATE(YEAR(Inputs!$F$157)+Inputs!$F$165,1,1)-1))/Inputs!$F$27)-1,0),Inputs!$F$190-1)+Inputs!$F$189*MAX(MAX(0,(Time!P$5-(DATE(YEAR(Inputs!$F$157)+Inputs!$F$165,1,1)-1))/Inputs!$F$27)-Inputs!$F$190,0))/100),0)</f>
        <v>0</v>
      </c>
      <c r="Q323" s="20" t="n">
        <f aca="false">IF(Time!Q$5&gt;=(DATE(YEAR(Inputs!$F$157)+Inputs!$F$164,1,1)-1),Inputs!$F$166/100*Inputs!$F$162*(1-(Inputs!$F$187*MIN(MAX(0,(Time!Q$5-(DATE(YEAR(Inputs!$F$157)+Inputs!$F$164,1,1)-1))/Inputs!$F$27),1)+Inputs!$F$188*MIN(MAX(MAX(0,(Time!Q$5-(DATE(YEAR(Inputs!$F$157)+Inputs!$F$164,1,1)-1))/Inputs!$F$27)-1,0),Inputs!$F$190-1)+Inputs!$F$189*MAX(MAX(0,(Time!Q$5-(DATE(YEAR(Inputs!$F$157)+Inputs!$F$164,1,1)-1))/Inputs!$F$27)-Inputs!$F$190,0))/100),0)+IF(Time!Q$5&gt;=(DATE(YEAR(Inputs!$F$157)+Inputs!$F$165,1,1)-1),Inputs!$F$166/100*Inputs!$F$162*(1-(Inputs!$F$187*MIN(MAX(0,(Time!Q$5-(DATE(YEAR(Inputs!$F$157)+Inputs!$F$165,1,1)-1))/Inputs!$F$27),1)+Inputs!$F$188*MIN(MAX(MAX(0,(Time!Q$5-(DATE(YEAR(Inputs!$F$157)+Inputs!$F$165,1,1)-1))/Inputs!$F$27)-1,0),Inputs!$F$190-1)+Inputs!$F$189*MAX(MAX(0,(Time!Q$5-(DATE(YEAR(Inputs!$F$157)+Inputs!$F$165,1,1)-1))/Inputs!$F$27)-Inputs!$F$190,0))/100),0)</f>
        <v>18</v>
      </c>
      <c r="R323" s="20" t="n">
        <f aca="false">IF(Time!R$5&gt;=(DATE(YEAR(Inputs!$F$157)+Inputs!$F$164,1,1)-1),Inputs!$F$166/100*Inputs!$F$162*(1-(Inputs!$F$187*MIN(MAX(0,(Time!R$5-(DATE(YEAR(Inputs!$F$157)+Inputs!$F$164,1,1)-1))/Inputs!$F$27),1)+Inputs!$F$188*MIN(MAX(MAX(0,(Time!R$5-(DATE(YEAR(Inputs!$F$157)+Inputs!$F$164,1,1)-1))/Inputs!$F$27)-1,0),Inputs!$F$190-1)+Inputs!$F$189*MAX(MAX(0,(Time!R$5-(DATE(YEAR(Inputs!$F$157)+Inputs!$F$164,1,1)-1))/Inputs!$F$27)-Inputs!$F$190,0))/100),0)+IF(Time!R$5&gt;=(DATE(YEAR(Inputs!$F$157)+Inputs!$F$165,1,1)-1),Inputs!$F$166/100*Inputs!$F$162*(1-(Inputs!$F$187*MIN(MAX(0,(Time!R$5-(DATE(YEAR(Inputs!$F$157)+Inputs!$F$165,1,1)-1))/Inputs!$F$27),1)+Inputs!$F$188*MIN(MAX(MAX(0,(Time!R$5-(DATE(YEAR(Inputs!$F$157)+Inputs!$F$165,1,1)-1))/Inputs!$F$27)-1,0),Inputs!$F$190-1)+Inputs!$F$189*MAX(MAX(0,(Time!R$5-(DATE(YEAR(Inputs!$F$157)+Inputs!$F$165,1,1)-1))/Inputs!$F$27)-Inputs!$F$190,0))/100),0)</f>
        <v>17.64</v>
      </c>
      <c r="S323" s="20" t="n">
        <f aca="false">IF(Time!S$5&gt;=(DATE(YEAR(Inputs!$F$157)+Inputs!$F$164,1,1)-1),Inputs!$F$166/100*Inputs!$F$162*(1-(Inputs!$F$187*MIN(MAX(0,(Time!S$5-(DATE(YEAR(Inputs!$F$157)+Inputs!$F$164,1,1)-1))/Inputs!$F$27),1)+Inputs!$F$188*MIN(MAX(MAX(0,(Time!S$5-(DATE(YEAR(Inputs!$F$157)+Inputs!$F$164,1,1)-1))/Inputs!$F$27)-1,0),Inputs!$F$190-1)+Inputs!$F$189*MAX(MAX(0,(Time!S$5-(DATE(YEAR(Inputs!$F$157)+Inputs!$F$164,1,1)-1))/Inputs!$F$27)-Inputs!$F$190,0))/100),0)+IF(Time!S$5&gt;=(DATE(YEAR(Inputs!$F$157)+Inputs!$F$165,1,1)-1),Inputs!$F$166/100*Inputs!$F$162*(1-(Inputs!$F$187*MIN(MAX(0,(Time!S$5-(DATE(YEAR(Inputs!$F$157)+Inputs!$F$165,1,1)-1))/Inputs!$F$27),1)+Inputs!$F$188*MIN(MAX(MAX(0,(Time!S$5-(DATE(YEAR(Inputs!$F$157)+Inputs!$F$165,1,1)-1))/Inputs!$F$27)-1,0),Inputs!$F$190-1)+Inputs!$F$189*MAX(MAX(0,(Time!S$5-(DATE(YEAR(Inputs!$F$157)+Inputs!$F$165,1,1)-1))/Inputs!$F$27)-Inputs!$F$190,0))/100),0)</f>
        <v>17.37</v>
      </c>
      <c r="T323" s="20" t="n">
        <f aca="false">IF(Time!T$5&gt;=(DATE(YEAR(Inputs!$F$157)+Inputs!$F$164,1,1)-1),Inputs!$F$166/100*Inputs!$F$162*(1-(Inputs!$F$187*MIN(MAX(0,(Time!T$5-(DATE(YEAR(Inputs!$F$157)+Inputs!$F$164,1,1)-1))/Inputs!$F$27),1)+Inputs!$F$188*MIN(MAX(MAX(0,(Time!T$5-(DATE(YEAR(Inputs!$F$157)+Inputs!$F$164,1,1)-1))/Inputs!$F$27)-1,0),Inputs!$F$190-1)+Inputs!$F$189*MAX(MAX(0,(Time!T$5-(DATE(YEAR(Inputs!$F$157)+Inputs!$F$164,1,1)-1))/Inputs!$F$27)-Inputs!$F$190,0))/100),0)+IF(Time!T$5&gt;=(DATE(YEAR(Inputs!$F$157)+Inputs!$F$165,1,1)-1),Inputs!$F$166/100*Inputs!$F$162*(1-(Inputs!$F$187*MIN(MAX(0,(Time!T$5-(DATE(YEAR(Inputs!$F$157)+Inputs!$F$165,1,1)-1))/Inputs!$F$27),1)+Inputs!$F$188*MIN(MAX(MAX(0,(Time!T$5-(DATE(YEAR(Inputs!$F$157)+Inputs!$F$165,1,1)-1))/Inputs!$F$27)-1,0),Inputs!$F$190-1)+Inputs!$F$189*MAX(MAX(0,(Time!T$5-(DATE(YEAR(Inputs!$F$157)+Inputs!$F$165,1,1)-1))/Inputs!$F$27)-Inputs!$F$190,0))/100),0)</f>
        <v>17.1</v>
      </c>
      <c r="U323" s="20" t="n">
        <f aca="false">IF(Time!U$5&gt;=(DATE(YEAR(Inputs!$F$157)+Inputs!$F$164,1,1)-1),Inputs!$F$166/100*Inputs!$F$162*(1-(Inputs!$F$187*MIN(MAX(0,(Time!U$5-(DATE(YEAR(Inputs!$F$157)+Inputs!$F$164,1,1)-1))/Inputs!$F$27),1)+Inputs!$F$188*MIN(MAX(MAX(0,(Time!U$5-(DATE(YEAR(Inputs!$F$157)+Inputs!$F$164,1,1)-1))/Inputs!$F$27)-1,0),Inputs!$F$190-1)+Inputs!$F$189*MAX(MAX(0,(Time!U$5-(DATE(YEAR(Inputs!$F$157)+Inputs!$F$164,1,1)-1))/Inputs!$F$27)-Inputs!$F$190,0))/100),0)+IF(Time!U$5&gt;=(DATE(YEAR(Inputs!$F$157)+Inputs!$F$165,1,1)-1),Inputs!$F$166/100*Inputs!$F$162*(1-(Inputs!$F$187*MIN(MAX(0,(Time!U$5-(DATE(YEAR(Inputs!$F$157)+Inputs!$F$165,1,1)-1))/Inputs!$F$27),1)+Inputs!$F$188*MIN(MAX(MAX(0,(Time!U$5-(DATE(YEAR(Inputs!$F$157)+Inputs!$F$165,1,1)-1))/Inputs!$F$27)-1,0),Inputs!$F$190-1)+Inputs!$F$189*MAX(MAX(0,(Time!U$5-(DATE(YEAR(Inputs!$F$157)+Inputs!$F$165,1,1)-1))/Inputs!$F$27)-Inputs!$F$190,0))/100),0)</f>
        <v>34.8292602739726</v>
      </c>
      <c r="V323" s="20" t="n">
        <f aca="false">IF(Time!V$5&gt;=(DATE(YEAR(Inputs!$F$157)+Inputs!$F$164,1,1)-1),Inputs!$F$166/100*Inputs!$F$162*(1-(Inputs!$F$187*MIN(MAX(0,(Time!V$5-(DATE(YEAR(Inputs!$F$157)+Inputs!$F$164,1,1)-1))/Inputs!$F$27),1)+Inputs!$F$188*MIN(MAX(MAX(0,(Time!V$5-(DATE(YEAR(Inputs!$F$157)+Inputs!$F$164,1,1)-1))/Inputs!$F$27)-1,0),Inputs!$F$190-1)+Inputs!$F$189*MAX(MAX(0,(Time!V$5-(DATE(YEAR(Inputs!$F$157)+Inputs!$F$164,1,1)-1))/Inputs!$F$27)-Inputs!$F$190,0))/100),0)+IF(Time!V$5&gt;=(DATE(YEAR(Inputs!$F$157)+Inputs!$F$165,1,1)-1),Inputs!$F$166/100*Inputs!$F$162*(1-(Inputs!$F$187*MIN(MAX(0,(Time!V$5-(DATE(YEAR(Inputs!$F$157)+Inputs!$F$165,1,1)-1))/Inputs!$F$27),1)+Inputs!$F$188*MIN(MAX(MAX(0,(Time!V$5-(DATE(YEAR(Inputs!$F$157)+Inputs!$F$165,1,1)-1))/Inputs!$F$27)-1,0),Inputs!$F$190-1)+Inputs!$F$189*MAX(MAX(0,(Time!V$5-(DATE(YEAR(Inputs!$F$157)+Inputs!$F$165,1,1)-1))/Inputs!$F$27)-Inputs!$F$190,0))/100),0)</f>
        <v>34.1992602739726</v>
      </c>
      <c r="W323" s="20" t="n">
        <f aca="false">IF(Time!W$5&gt;=(DATE(YEAR(Inputs!$F$157)+Inputs!$F$164,1,1)-1),Inputs!$F$166/100*Inputs!$F$162*(1-(Inputs!$F$187*MIN(MAX(0,(Time!W$5-(DATE(YEAR(Inputs!$F$157)+Inputs!$F$164,1,1)-1))/Inputs!$F$27),1)+Inputs!$F$188*MIN(MAX(MAX(0,(Time!W$5-(DATE(YEAR(Inputs!$F$157)+Inputs!$F$164,1,1)-1))/Inputs!$F$27)-1,0),Inputs!$F$190-1)+Inputs!$F$189*MAX(MAX(0,(Time!W$5-(DATE(YEAR(Inputs!$F$157)+Inputs!$F$164,1,1)-1))/Inputs!$F$27)-Inputs!$F$190,0))/100),0)+IF(Time!W$5&gt;=(DATE(YEAR(Inputs!$F$157)+Inputs!$F$165,1,1)-1),Inputs!$F$166/100*Inputs!$F$162*(1-(Inputs!$F$187*MIN(MAX(0,(Time!W$5-(DATE(YEAR(Inputs!$F$157)+Inputs!$F$165,1,1)-1))/Inputs!$F$27),1)+Inputs!$F$188*MIN(MAX(MAX(0,(Time!W$5-(DATE(YEAR(Inputs!$F$157)+Inputs!$F$165,1,1)-1))/Inputs!$F$27)-1,0),Inputs!$F$190-1)+Inputs!$F$189*MAX(MAX(0,(Time!W$5-(DATE(YEAR(Inputs!$F$157)+Inputs!$F$165,1,1)-1))/Inputs!$F$27)-Inputs!$F$190,0))/100),0)</f>
        <v>33.6592602739726</v>
      </c>
      <c r="X323" s="20" t="n">
        <f aca="false">IF(Time!X$5&gt;=(DATE(YEAR(Inputs!$F$157)+Inputs!$F$164,1,1)-1),Inputs!$F$166/100*Inputs!$F$162*(1-(Inputs!$F$187*MIN(MAX(0,(Time!X$5-(DATE(YEAR(Inputs!$F$157)+Inputs!$F$164,1,1)-1))/Inputs!$F$27),1)+Inputs!$F$188*MIN(MAX(MAX(0,(Time!X$5-(DATE(YEAR(Inputs!$F$157)+Inputs!$F$164,1,1)-1))/Inputs!$F$27)-1,0),Inputs!$F$190-1)+Inputs!$F$189*MAX(MAX(0,(Time!X$5-(DATE(YEAR(Inputs!$F$157)+Inputs!$F$164,1,1)-1))/Inputs!$F$27)-Inputs!$F$190,0))/100),0)+IF(Time!X$5&gt;=(DATE(YEAR(Inputs!$F$157)+Inputs!$F$165,1,1)-1),Inputs!$F$166/100*Inputs!$F$162*(1-(Inputs!$F$187*MIN(MAX(0,(Time!X$5-(DATE(YEAR(Inputs!$F$157)+Inputs!$F$165,1,1)-1))/Inputs!$F$27),1)+Inputs!$F$188*MIN(MAX(MAX(0,(Time!X$5-(DATE(YEAR(Inputs!$F$157)+Inputs!$F$165,1,1)-1))/Inputs!$F$27)-1,0),Inputs!$F$190-1)+Inputs!$F$189*MAX(MAX(0,(Time!X$5-(DATE(YEAR(Inputs!$F$157)+Inputs!$F$165,1,1)-1))/Inputs!$F$27)-Inputs!$F$190,0))/100),0)</f>
        <v>33.1192602739726</v>
      </c>
      <c r="Y323" s="20" t="n">
        <f aca="false">IF(Time!Y$5&gt;=(DATE(YEAR(Inputs!$F$157)+Inputs!$F$164,1,1)-1),Inputs!$F$166/100*Inputs!$F$162*(1-(Inputs!$F$187*MIN(MAX(0,(Time!Y$5-(DATE(YEAR(Inputs!$F$157)+Inputs!$F$164,1,1)-1))/Inputs!$F$27),1)+Inputs!$F$188*MIN(MAX(MAX(0,(Time!Y$5-(DATE(YEAR(Inputs!$F$157)+Inputs!$F$164,1,1)-1))/Inputs!$F$27)-1,0),Inputs!$F$190-1)+Inputs!$F$189*MAX(MAX(0,(Time!Y$5-(DATE(YEAR(Inputs!$F$157)+Inputs!$F$164,1,1)-1))/Inputs!$F$27)-Inputs!$F$190,0))/100),0)+IF(Time!Y$5&gt;=(DATE(YEAR(Inputs!$F$157)+Inputs!$F$165,1,1)-1),Inputs!$F$166/100*Inputs!$F$162*(1-(Inputs!$F$187*MIN(MAX(0,(Time!Y$5-(DATE(YEAR(Inputs!$F$157)+Inputs!$F$165,1,1)-1))/Inputs!$F$27),1)+Inputs!$F$188*MIN(MAX(MAX(0,(Time!Y$5-(DATE(YEAR(Inputs!$F$157)+Inputs!$F$165,1,1)-1))/Inputs!$F$27)-1,0),Inputs!$F$190-1)+Inputs!$F$189*MAX(MAX(0,(Time!Y$5-(DATE(YEAR(Inputs!$F$157)+Inputs!$F$165,1,1)-1))/Inputs!$F$27)-Inputs!$F$190,0))/100),0)</f>
        <v>32.5777808219178</v>
      </c>
      <c r="Z323" s="20" t="n">
        <f aca="false">IF(Time!Z$5&gt;=(DATE(YEAR(Inputs!$F$157)+Inputs!$F$164,1,1)-1),Inputs!$F$166/100*Inputs!$F$162*(1-(Inputs!$F$187*MIN(MAX(0,(Time!Z$5-(DATE(YEAR(Inputs!$F$157)+Inputs!$F$164,1,1)-1))/Inputs!$F$27),1)+Inputs!$F$188*MIN(MAX(MAX(0,(Time!Z$5-(DATE(YEAR(Inputs!$F$157)+Inputs!$F$164,1,1)-1))/Inputs!$F$27)-1,0),Inputs!$F$190-1)+Inputs!$F$189*MAX(MAX(0,(Time!Z$5-(DATE(YEAR(Inputs!$F$157)+Inputs!$F$164,1,1)-1))/Inputs!$F$27)-Inputs!$F$190,0))/100),0)+IF(Time!Z$5&gt;=(DATE(YEAR(Inputs!$F$157)+Inputs!$F$165,1,1)-1),Inputs!$F$166/100*Inputs!$F$162*(1-(Inputs!$F$187*MIN(MAX(0,(Time!Z$5-(DATE(YEAR(Inputs!$F$157)+Inputs!$F$165,1,1)-1))/Inputs!$F$27),1)+Inputs!$F$188*MIN(MAX(MAX(0,(Time!Z$5-(DATE(YEAR(Inputs!$F$157)+Inputs!$F$165,1,1)-1))/Inputs!$F$27)-1,0),Inputs!$F$190-1)+Inputs!$F$189*MAX(MAX(0,(Time!Z$5-(DATE(YEAR(Inputs!$F$157)+Inputs!$F$165,1,1)-1))/Inputs!$F$27)-Inputs!$F$190,0))/100),0)</f>
        <v>32.0377808219178</v>
      </c>
      <c r="AA323" s="20" t="n">
        <f aca="false">IF(Time!AA$5&gt;=(DATE(YEAR(Inputs!$F$157)+Inputs!$F$164,1,1)-1),Inputs!$F$166/100*Inputs!$F$162*(1-(Inputs!$F$187*MIN(MAX(0,(Time!AA$5-(DATE(YEAR(Inputs!$F$157)+Inputs!$F$164,1,1)-1))/Inputs!$F$27),1)+Inputs!$F$188*MIN(MAX(MAX(0,(Time!AA$5-(DATE(YEAR(Inputs!$F$157)+Inputs!$F$164,1,1)-1))/Inputs!$F$27)-1,0),Inputs!$F$190-1)+Inputs!$F$189*MAX(MAX(0,(Time!AA$5-(DATE(YEAR(Inputs!$F$157)+Inputs!$F$164,1,1)-1))/Inputs!$F$27)-Inputs!$F$190,0))/100),0)+IF(Time!AA$5&gt;=(DATE(YEAR(Inputs!$F$157)+Inputs!$F$165,1,1)-1),Inputs!$F$166/100*Inputs!$F$162*(1-(Inputs!$F$187*MIN(MAX(0,(Time!AA$5-(DATE(YEAR(Inputs!$F$157)+Inputs!$F$165,1,1)-1))/Inputs!$F$27),1)+Inputs!$F$188*MIN(MAX(MAX(0,(Time!AA$5-(DATE(YEAR(Inputs!$F$157)+Inputs!$F$165,1,1)-1))/Inputs!$F$27)-1,0),Inputs!$F$190-1)+Inputs!$F$189*MAX(MAX(0,(Time!AA$5-(DATE(YEAR(Inputs!$F$157)+Inputs!$F$165,1,1)-1))/Inputs!$F$27)-Inputs!$F$190,0))/100),0)</f>
        <v>31.4982739726027</v>
      </c>
      <c r="AB323" s="20" t="n">
        <f aca="false">IF(Time!AB$5&gt;=(DATE(YEAR(Inputs!$F$157)+Inputs!$F$164,1,1)-1),Inputs!$F$166/100*Inputs!$F$162*(1-(Inputs!$F$187*MIN(MAX(0,(Time!AB$5-(DATE(YEAR(Inputs!$F$157)+Inputs!$F$164,1,1)-1))/Inputs!$F$27),1)+Inputs!$F$188*MIN(MAX(MAX(0,(Time!AB$5-(DATE(YEAR(Inputs!$F$157)+Inputs!$F$164,1,1)-1))/Inputs!$F$27)-1,0),Inputs!$F$190-1)+Inputs!$F$189*MAX(MAX(0,(Time!AB$5-(DATE(YEAR(Inputs!$F$157)+Inputs!$F$164,1,1)-1))/Inputs!$F$27)-Inputs!$F$190,0))/100),0)+IF(Time!AB$5&gt;=(DATE(YEAR(Inputs!$F$157)+Inputs!$F$165,1,1)-1),Inputs!$F$166/100*Inputs!$F$162*(1-(Inputs!$F$187*MIN(MAX(0,(Time!AB$5-(DATE(YEAR(Inputs!$F$157)+Inputs!$F$165,1,1)-1))/Inputs!$F$27),1)+Inputs!$F$188*MIN(MAX(MAX(0,(Time!AB$5-(DATE(YEAR(Inputs!$F$157)+Inputs!$F$165,1,1)-1))/Inputs!$F$27)-1,0),Inputs!$F$190-1)+Inputs!$F$189*MAX(MAX(0,(Time!AB$5-(DATE(YEAR(Inputs!$F$157)+Inputs!$F$165,1,1)-1))/Inputs!$F$27)-Inputs!$F$190,0))/100),0)</f>
        <v>31.0482739726027</v>
      </c>
      <c r="AC323" s="20" t="n">
        <f aca="false">IF(Time!AC$5&gt;=(DATE(YEAR(Inputs!$F$157)+Inputs!$F$164,1,1)-1),Inputs!$F$166/100*Inputs!$F$162*(1-(Inputs!$F$187*MIN(MAX(0,(Time!AC$5-(DATE(YEAR(Inputs!$F$157)+Inputs!$F$164,1,1)-1))/Inputs!$F$27),1)+Inputs!$F$188*MIN(MAX(MAX(0,(Time!AC$5-(DATE(YEAR(Inputs!$F$157)+Inputs!$F$164,1,1)-1))/Inputs!$F$27)-1,0),Inputs!$F$190-1)+Inputs!$F$189*MAX(MAX(0,(Time!AC$5-(DATE(YEAR(Inputs!$F$157)+Inputs!$F$164,1,1)-1))/Inputs!$F$27)-Inputs!$F$190,0))/100),0)+IF(Time!AC$5&gt;=(DATE(YEAR(Inputs!$F$157)+Inputs!$F$165,1,1)-1),Inputs!$F$166/100*Inputs!$F$162*(1-(Inputs!$F$187*MIN(MAX(0,(Time!AC$5-(DATE(YEAR(Inputs!$F$157)+Inputs!$F$165,1,1)-1))/Inputs!$F$27),1)+Inputs!$F$188*MIN(MAX(MAX(0,(Time!AC$5-(DATE(YEAR(Inputs!$F$157)+Inputs!$F$165,1,1)-1))/Inputs!$F$27)-1,0),Inputs!$F$190-1)+Inputs!$F$189*MAX(MAX(0,(Time!AC$5-(DATE(YEAR(Inputs!$F$157)+Inputs!$F$165,1,1)-1))/Inputs!$F$27)-Inputs!$F$190,0))/100),0)</f>
        <v>30.5970410958904</v>
      </c>
      <c r="AD323" s="20" t="n">
        <f aca="false">IF(Time!AD$5&gt;=(DATE(YEAR(Inputs!$F$157)+Inputs!$F$164,1,1)-1),Inputs!$F$166/100*Inputs!$F$162*(1-(Inputs!$F$187*MIN(MAX(0,(Time!AD$5-(DATE(YEAR(Inputs!$F$157)+Inputs!$F$164,1,1)-1))/Inputs!$F$27),1)+Inputs!$F$188*MIN(MAX(MAX(0,(Time!AD$5-(DATE(YEAR(Inputs!$F$157)+Inputs!$F$164,1,1)-1))/Inputs!$F$27)-1,0),Inputs!$F$190-1)+Inputs!$F$189*MAX(MAX(0,(Time!AD$5-(DATE(YEAR(Inputs!$F$157)+Inputs!$F$164,1,1)-1))/Inputs!$F$27)-Inputs!$F$190,0))/100),0)+IF(Time!AD$5&gt;=(DATE(YEAR(Inputs!$F$157)+Inputs!$F$165,1,1)-1),Inputs!$F$166/100*Inputs!$F$162*(1-(Inputs!$F$187*MIN(MAX(0,(Time!AD$5-(DATE(YEAR(Inputs!$F$157)+Inputs!$F$165,1,1)-1))/Inputs!$F$27),1)+Inputs!$F$188*MIN(MAX(MAX(0,(Time!AD$5-(DATE(YEAR(Inputs!$F$157)+Inputs!$F$165,1,1)-1))/Inputs!$F$27)-1,0),Inputs!$F$190-1)+Inputs!$F$189*MAX(MAX(0,(Time!AD$5-(DATE(YEAR(Inputs!$F$157)+Inputs!$F$165,1,1)-1))/Inputs!$F$27)-Inputs!$F$190,0))/100),0)</f>
        <v>30.1470410958904</v>
      </c>
      <c r="AE323" s="20" t="n">
        <f aca="false">IF(Time!AE$5&gt;=(DATE(YEAR(Inputs!$F$157)+Inputs!$F$164,1,1)-1),Inputs!$F$166/100*Inputs!$F$162*(1-(Inputs!$F$187*MIN(MAX(0,(Time!AE$5-(DATE(YEAR(Inputs!$F$157)+Inputs!$F$164,1,1)-1))/Inputs!$F$27),1)+Inputs!$F$188*MIN(MAX(MAX(0,(Time!AE$5-(DATE(YEAR(Inputs!$F$157)+Inputs!$F$164,1,1)-1))/Inputs!$F$27)-1,0),Inputs!$F$190-1)+Inputs!$F$189*MAX(MAX(0,(Time!AE$5-(DATE(YEAR(Inputs!$F$157)+Inputs!$F$164,1,1)-1))/Inputs!$F$27)-Inputs!$F$190,0))/100),0)+IF(Time!AE$5&gt;=(DATE(YEAR(Inputs!$F$157)+Inputs!$F$165,1,1)-1),Inputs!$F$166/100*Inputs!$F$162*(1-(Inputs!$F$187*MIN(MAX(0,(Time!AE$5-(DATE(YEAR(Inputs!$F$157)+Inputs!$F$165,1,1)-1))/Inputs!$F$27),1)+Inputs!$F$188*MIN(MAX(MAX(0,(Time!AE$5-(DATE(YEAR(Inputs!$F$157)+Inputs!$F$165,1,1)-1))/Inputs!$F$27)-1,0),Inputs!$F$190-1)+Inputs!$F$189*MAX(MAX(0,(Time!AE$5-(DATE(YEAR(Inputs!$F$157)+Inputs!$F$165,1,1)-1))/Inputs!$F$27)-Inputs!$F$190,0))/100),0)</f>
        <v>29.6975342465753</v>
      </c>
      <c r="AF323" s="20" t="n">
        <f aca="false">IF(Time!AF$5&gt;=(DATE(YEAR(Inputs!$F$157)+Inputs!$F$164,1,1)-1),Inputs!$F$166/100*Inputs!$F$162*(1-(Inputs!$F$187*MIN(MAX(0,(Time!AF$5-(DATE(YEAR(Inputs!$F$157)+Inputs!$F$164,1,1)-1))/Inputs!$F$27),1)+Inputs!$F$188*MIN(MAX(MAX(0,(Time!AF$5-(DATE(YEAR(Inputs!$F$157)+Inputs!$F$164,1,1)-1))/Inputs!$F$27)-1,0),Inputs!$F$190-1)+Inputs!$F$189*MAX(MAX(0,(Time!AF$5-(DATE(YEAR(Inputs!$F$157)+Inputs!$F$164,1,1)-1))/Inputs!$F$27)-Inputs!$F$190,0))/100),0)+IF(Time!AF$5&gt;=(DATE(YEAR(Inputs!$F$157)+Inputs!$F$165,1,1)-1),Inputs!$F$166/100*Inputs!$F$162*(1-(Inputs!$F$187*MIN(MAX(0,(Time!AF$5-(DATE(YEAR(Inputs!$F$157)+Inputs!$F$165,1,1)-1))/Inputs!$F$27),1)+Inputs!$F$188*MIN(MAX(MAX(0,(Time!AF$5-(DATE(YEAR(Inputs!$F$157)+Inputs!$F$165,1,1)-1))/Inputs!$F$27)-1,0),Inputs!$F$190-1)+Inputs!$F$189*MAX(MAX(0,(Time!AF$5-(DATE(YEAR(Inputs!$F$157)+Inputs!$F$165,1,1)-1))/Inputs!$F$27)-Inputs!$F$190,0))/100),0)</f>
        <v>29.3375342465753</v>
      </c>
      <c r="AG323" s="20" t="n">
        <f aca="false">IF(Time!AG$5&gt;=(DATE(YEAR(Inputs!$F$157)+Inputs!$F$164,1,1)-1),Inputs!$F$166/100*Inputs!$F$162*(1-(Inputs!$F$187*MIN(MAX(0,(Time!AG$5-(DATE(YEAR(Inputs!$F$157)+Inputs!$F$164,1,1)-1))/Inputs!$F$27),1)+Inputs!$F$188*MIN(MAX(MAX(0,(Time!AG$5-(DATE(YEAR(Inputs!$F$157)+Inputs!$F$164,1,1)-1))/Inputs!$F$27)-1,0),Inputs!$F$190-1)+Inputs!$F$189*MAX(MAX(0,(Time!AG$5-(DATE(YEAR(Inputs!$F$157)+Inputs!$F$164,1,1)-1))/Inputs!$F$27)-Inputs!$F$190,0))/100),0)+IF(Time!AG$5&gt;=(DATE(YEAR(Inputs!$F$157)+Inputs!$F$165,1,1)-1),Inputs!$F$166/100*Inputs!$F$162*(1-(Inputs!$F$187*MIN(MAX(0,(Time!AG$5-(DATE(YEAR(Inputs!$F$157)+Inputs!$F$165,1,1)-1))/Inputs!$F$27),1)+Inputs!$F$188*MIN(MAX(MAX(0,(Time!AG$5-(DATE(YEAR(Inputs!$F$157)+Inputs!$F$165,1,1)-1))/Inputs!$F$27)-1,0),Inputs!$F$190-1)+Inputs!$F$189*MAX(MAX(0,(Time!AG$5-(DATE(YEAR(Inputs!$F$157)+Inputs!$F$165,1,1)-1))/Inputs!$F$27)-Inputs!$F$190,0))/100),0)</f>
        <v>28.9765479452055</v>
      </c>
      <c r="AH323" s="20" t="n">
        <f aca="false">IF(Time!AH$5&gt;=(DATE(YEAR(Inputs!$F$157)+Inputs!$F$164,1,1)-1),Inputs!$F$166/100*Inputs!$F$162*(1-(Inputs!$F$187*MIN(MAX(0,(Time!AH$5-(DATE(YEAR(Inputs!$F$157)+Inputs!$F$164,1,1)-1))/Inputs!$F$27),1)+Inputs!$F$188*MIN(MAX(MAX(0,(Time!AH$5-(DATE(YEAR(Inputs!$F$157)+Inputs!$F$164,1,1)-1))/Inputs!$F$27)-1,0),Inputs!$F$190-1)+Inputs!$F$189*MAX(MAX(0,(Time!AH$5-(DATE(YEAR(Inputs!$F$157)+Inputs!$F$164,1,1)-1))/Inputs!$F$27)-Inputs!$F$190,0))/100),0)+IF(Time!AH$5&gt;=(DATE(YEAR(Inputs!$F$157)+Inputs!$F$165,1,1)-1),Inputs!$F$166/100*Inputs!$F$162*(1-(Inputs!$F$187*MIN(MAX(0,(Time!AH$5-(DATE(YEAR(Inputs!$F$157)+Inputs!$F$165,1,1)-1))/Inputs!$F$27),1)+Inputs!$F$188*MIN(MAX(MAX(0,(Time!AH$5-(DATE(YEAR(Inputs!$F$157)+Inputs!$F$165,1,1)-1))/Inputs!$F$27)-1,0),Inputs!$F$190-1)+Inputs!$F$189*MAX(MAX(0,(Time!AH$5-(DATE(YEAR(Inputs!$F$157)+Inputs!$F$165,1,1)-1))/Inputs!$F$27)-Inputs!$F$190,0))/100),0)</f>
        <v>28.6165479452055</v>
      </c>
      <c r="AI323" s="20" t="n">
        <f aca="false">IF(Time!AI$5&gt;=(DATE(YEAR(Inputs!$F$157)+Inputs!$F$164,1,1)-1),Inputs!$F$166/100*Inputs!$F$162*(1-(Inputs!$F$187*MIN(MAX(0,(Time!AI$5-(DATE(YEAR(Inputs!$F$157)+Inputs!$F$164,1,1)-1))/Inputs!$F$27),1)+Inputs!$F$188*MIN(MAX(MAX(0,(Time!AI$5-(DATE(YEAR(Inputs!$F$157)+Inputs!$F$164,1,1)-1))/Inputs!$F$27)-1,0),Inputs!$F$190-1)+Inputs!$F$189*MAX(MAX(0,(Time!AI$5-(DATE(YEAR(Inputs!$F$157)+Inputs!$F$164,1,1)-1))/Inputs!$F$27)-Inputs!$F$190,0))/100),0)+IF(Time!AI$5&gt;=(DATE(YEAR(Inputs!$F$157)+Inputs!$F$165,1,1)-1),Inputs!$F$166/100*Inputs!$F$162*(1-(Inputs!$F$187*MIN(MAX(0,(Time!AI$5-(DATE(YEAR(Inputs!$F$157)+Inputs!$F$165,1,1)-1))/Inputs!$F$27),1)+Inputs!$F$188*MIN(MAX(MAX(0,(Time!AI$5-(DATE(YEAR(Inputs!$F$157)+Inputs!$F$165,1,1)-1))/Inputs!$F$27)-1,0),Inputs!$F$190-1)+Inputs!$F$189*MAX(MAX(0,(Time!AI$5-(DATE(YEAR(Inputs!$F$157)+Inputs!$F$165,1,1)-1))/Inputs!$F$27)-Inputs!$F$190,0))/100),0)</f>
        <v>28.2565479452055</v>
      </c>
      <c r="AJ323" s="20" t="n">
        <f aca="false">IF(Time!AJ$5&gt;=(DATE(YEAR(Inputs!$F$157)+Inputs!$F$164,1,1)-1),Inputs!$F$166/100*Inputs!$F$162*(1-(Inputs!$F$187*MIN(MAX(0,(Time!AJ$5-(DATE(YEAR(Inputs!$F$157)+Inputs!$F$164,1,1)-1))/Inputs!$F$27),1)+Inputs!$F$188*MIN(MAX(MAX(0,(Time!AJ$5-(DATE(YEAR(Inputs!$F$157)+Inputs!$F$164,1,1)-1))/Inputs!$F$27)-1,0),Inputs!$F$190-1)+Inputs!$F$189*MAX(MAX(0,(Time!AJ$5-(DATE(YEAR(Inputs!$F$157)+Inputs!$F$164,1,1)-1))/Inputs!$F$27)-Inputs!$F$190,0))/100),0)+IF(Time!AJ$5&gt;=(DATE(YEAR(Inputs!$F$157)+Inputs!$F$165,1,1)-1),Inputs!$F$166/100*Inputs!$F$162*(1-(Inputs!$F$187*MIN(MAX(0,(Time!AJ$5-(DATE(YEAR(Inputs!$F$157)+Inputs!$F$165,1,1)-1))/Inputs!$F$27),1)+Inputs!$F$188*MIN(MAX(MAX(0,(Time!AJ$5-(DATE(YEAR(Inputs!$F$157)+Inputs!$F$165,1,1)-1))/Inputs!$F$27)-1,0),Inputs!$F$190-1)+Inputs!$F$189*MAX(MAX(0,(Time!AJ$5-(DATE(YEAR(Inputs!$F$157)+Inputs!$F$165,1,1)-1))/Inputs!$F$27)-Inputs!$F$190,0))/100),0)</f>
        <v>27.8965479452055</v>
      </c>
      <c r="AK323" s="20" t="n">
        <f aca="false">IF(Time!AK$5&gt;=(DATE(YEAR(Inputs!$F$157)+Inputs!$F$164,1,1)-1),Inputs!$F$166/100*Inputs!$F$162*(1-(Inputs!$F$187*MIN(MAX(0,(Time!AK$5-(DATE(YEAR(Inputs!$F$157)+Inputs!$F$164,1,1)-1))/Inputs!$F$27),1)+Inputs!$F$188*MIN(MAX(MAX(0,(Time!AK$5-(DATE(YEAR(Inputs!$F$157)+Inputs!$F$164,1,1)-1))/Inputs!$F$27)-1,0),Inputs!$F$190-1)+Inputs!$F$189*MAX(MAX(0,(Time!AK$5-(DATE(YEAR(Inputs!$F$157)+Inputs!$F$164,1,1)-1))/Inputs!$F$27)-Inputs!$F$190,0))/100),0)+IF(Time!AK$5&gt;=(DATE(YEAR(Inputs!$F$157)+Inputs!$F$165,1,1)-1),Inputs!$F$166/100*Inputs!$F$162*(1-(Inputs!$F$187*MIN(MAX(0,(Time!AK$5-(DATE(YEAR(Inputs!$F$157)+Inputs!$F$165,1,1)-1))/Inputs!$F$27),1)+Inputs!$F$188*MIN(MAX(MAX(0,(Time!AK$5-(DATE(YEAR(Inputs!$F$157)+Inputs!$F$165,1,1)-1))/Inputs!$F$27)-1,0),Inputs!$F$190-1)+Inputs!$F$189*MAX(MAX(0,(Time!AK$5-(DATE(YEAR(Inputs!$F$157)+Inputs!$F$165,1,1)-1))/Inputs!$F$27)-Inputs!$F$190,0))/100),0)</f>
        <v>27.5355616438356</v>
      </c>
      <c r="AL323" s="20" t="n">
        <f aca="false">IF(Time!AL$5&gt;=(DATE(YEAR(Inputs!$F$157)+Inputs!$F$164,1,1)-1),Inputs!$F$166/100*Inputs!$F$162*(1-(Inputs!$F$187*MIN(MAX(0,(Time!AL$5-(DATE(YEAR(Inputs!$F$157)+Inputs!$F$164,1,1)-1))/Inputs!$F$27),1)+Inputs!$F$188*MIN(MAX(MAX(0,(Time!AL$5-(DATE(YEAR(Inputs!$F$157)+Inputs!$F$164,1,1)-1))/Inputs!$F$27)-1,0),Inputs!$F$190-1)+Inputs!$F$189*MAX(MAX(0,(Time!AL$5-(DATE(YEAR(Inputs!$F$157)+Inputs!$F$164,1,1)-1))/Inputs!$F$27)-Inputs!$F$190,0))/100),0)+IF(Time!AL$5&gt;=(DATE(YEAR(Inputs!$F$157)+Inputs!$F$165,1,1)-1),Inputs!$F$166/100*Inputs!$F$162*(1-(Inputs!$F$187*MIN(MAX(0,(Time!AL$5-(DATE(YEAR(Inputs!$F$157)+Inputs!$F$165,1,1)-1))/Inputs!$F$27),1)+Inputs!$F$188*MIN(MAX(MAX(0,(Time!AL$5-(DATE(YEAR(Inputs!$F$157)+Inputs!$F$165,1,1)-1))/Inputs!$F$27)-1,0),Inputs!$F$190-1)+Inputs!$F$189*MAX(MAX(0,(Time!AL$5-(DATE(YEAR(Inputs!$F$157)+Inputs!$F$165,1,1)-1))/Inputs!$F$27)-Inputs!$F$190,0))/100),0)</f>
        <v>27.1755616438356</v>
      </c>
      <c r="AM323" s="20" t="n">
        <f aca="false">IF(Time!AM$5&gt;=(DATE(YEAR(Inputs!$F$157)+Inputs!$F$164,1,1)-1),Inputs!$F$166/100*Inputs!$F$162*(1-(Inputs!$F$187*MIN(MAX(0,(Time!AM$5-(DATE(YEAR(Inputs!$F$157)+Inputs!$F$164,1,1)-1))/Inputs!$F$27),1)+Inputs!$F$188*MIN(MAX(MAX(0,(Time!AM$5-(DATE(YEAR(Inputs!$F$157)+Inputs!$F$164,1,1)-1))/Inputs!$F$27)-1,0),Inputs!$F$190-1)+Inputs!$F$189*MAX(MAX(0,(Time!AM$5-(DATE(YEAR(Inputs!$F$157)+Inputs!$F$164,1,1)-1))/Inputs!$F$27)-Inputs!$F$190,0))/100),0)+IF(Time!AM$5&gt;=(DATE(YEAR(Inputs!$F$157)+Inputs!$F$165,1,1)-1),Inputs!$F$166/100*Inputs!$F$162*(1-(Inputs!$F$187*MIN(MAX(0,(Time!AM$5-(DATE(YEAR(Inputs!$F$157)+Inputs!$F$165,1,1)-1))/Inputs!$F$27),1)+Inputs!$F$188*MIN(MAX(MAX(0,(Time!AM$5-(DATE(YEAR(Inputs!$F$157)+Inputs!$F$165,1,1)-1))/Inputs!$F$27)-1,0),Inputs!$F$190-1)+Inputs!$F$189*MAX(MAX(0,(Time!AM$5-(DATE(YEAR(Inputs!$F$157)+Inputs!$F$165,1,1)-1))/Inputs!$F$27)-Inputs!$F$190,0))/100),0)</f>
        <v>26.8155616438356</v>
      </c>
      <c r="AN323" s="20" t="n">
        <f aca="false">IF(Time!AN$5&gt;=(DATE(YEAR(Inputs!$F$157)+Inputs!$F$164,1,1)-1),Inputs!$F$166/100*Inputs!$F$162*(1-(Inputs!$F$187*MIN(MAX(0,(Time!AN$5-(DATE(YEAR(Inputs!$F$157)+Inputs!$F$164,1,1)-1))/Inputs!$F$27),1)+Inputs!$F$188*MIN(MAX(MAX(0,(Time!AN$5-(DATE(YEAR(Inputs!$F$157)+Inputs!$F$164,1,1)-1))/Inputs!$F$27)-1,0),Inputs!$F$190-1)+Inputs!$F$189*MAX(MAX(0,(Time!AN$5-(DATE(YEAR(Inputs!$F$157)+Inputs!$F$164,1,1)-1))/Inputs!$F$27)-Inputs!$F$190,0))/100),0)+IF(Time!AN$5&gt;=(DATE(YEAR(Inputs!$F$157)+Inputs!$F$165,1,1)-1),Inputs!$F$166/100*Inputs!$F$162*(1-(Inputs!$F$187*MIN(MAX(0,(Time!AN$5-(DATE(YEAR(Inputs!$F$157)+Inputs!$F$165,1,1)-1))/Inputs!$F$27),1)+Inputs!$F$188*MIN(MAX(MAX(0,(Time!AN$5-(DATE(YEAR(Inputs!$F$157)+Inputs!$F$165,1,1)-1))/Inputs!$F$27)-1,0),Inputs!$F$190-1)+Inputs!$F$189*MAX(MAX(0,(Time!AN$5-(DATE(YEAR(Inputs!$F$157)+Inputs!$F$165,1,1)-1))/Inputs!$F$27)-Inputs!$F$190,0))/100),0)</f>
        <v>26.4555616438356</v>
      </c>
      <c r="AO323" s="20" t="n">
        <f aca="false">IF(Time!AO$5&gt;=(DATE(YEAR(Inputs!$F$157)+Inputs!$F$164,1,1)-1),Inputs!$F$166/100*Inputs!$F$162*(1-(Inputs!$F$187*MIN(MAX(0,(Time!AO$5-(DATE(YEAR(Inputs!$F$157)+Inputs!$F$164,1,1)-1))/Inputs!$F$27),1)+Inputs!$F$188*MIN(MAX(MAX(0,(Time!AO$5-(DATE(YEAR(Inputs!$F$157)+Inputs!$F$164,1,1)-1))/Inputs!$F$27)-1,0),Inputs!$F$190-1)+Inputs!$F$189*MAX(MAX(0,(Time!AO$5-(DATE(YEAR(Inputs!$F$157)+Inputs!$F$164,1,1)-1))/Inputs!$F$27)-Inputs!$F$190,0))/100),0)+IF(Time!AO$5&gt;=(DATE(YEAR(Inputs!$F$157)+Inputs!$F$165,1,1)-1),Inputs!$F$166/100*Inputs!$F$162*(1-(Inputs!$F$187*MIN(MAX(0,(Time!AO$5-(DATE(YEAR(Inputs!$F$157)+Inputs!$F$165,1,1)-1))/Inputs!$F$27),1)+Inputs!$F$188*MIN(MAX(MAX(0,(Time!AO$5-(DATE(YEAR(Inputs!$F$157)+Inputs!$F$165,1,1)-1))/Inputs!$F$27)-1,0),Inputs!$F$190-1)+Inputs!$F$189*MAX(MAX(0,(Time!AO$5-(DATE(YEAR(Inputs!$F$157)+Inputs!$F$165,1,1)-1))/Inputs!$F$27)-Inputs!$F$190,0))/100),0)</f>
        <v>26.0945753424658</v>
      </c>
      <c r="AP323" s="20" t="n">
        <f aca="false">IF(Time!AP$5&gt;=(DATE(YEAR(Inputs!$F$157)+Inputs!$F$164,1,1)-1),Inputs!$F$166/100*Inputs!$F$162*(1-(Inputs!$F$187*MIN(MAX(0,(Time!AP$5-(DATE(YEAR(Inputs!$F$157)+Inputs!$F$164,1,1)-1))/Inputs!$F$27),1)+Inputs!$F$188*MIN(MAX(MAX(0,(Time!AP$5-(DATE(YEAR(Inputs!$F$157)+Inputs!$F$164,1,1)-1))/Inputs!$F$27)-1,0),Inputs!$F$190-1)+Inputs!$F$189*MAX(MAX(0,(Time!AP$5-(DATE(YEAR(Inputs!$F$157)+Inputs!$F$164,1,1)-1))/Inputs!$F$27)-Inputs!$F$190,0))/100),0)+IF(Time!AP$5&gt;=(DATE(YEAR(Inputs!$F$157)+Inputs!$F$165,1,1)-1),Inputs!$F$166/100*Inputs!$F$162*(1-(Inputs!$F$187*MIN(MAX(0,(Time!AP$5-(DATE(YEAR(Inputs!$F$157)+Inputs!$F$165,1,1)-1))/Inputs!$F$27),1)+Inputs!$F$188*MIN(MAX(MAX(0,(Time!AP$5-(DATE(YEAR(Inputs!$F$157)+Inputs!$F$165,1,1)-1))/Inputs!$F$27)-1,0),Inputs!$F$190-1)+Inputs!$F$189*MAX(MAX(0,(Time!AP$5-(DATE(YEAR(Inputs!$F$157)+Inputs!$F$165,1,1)-1))/Inputs!$F$27)-Inputs!$F$190,0))/100),0)</f>
        <v>25.7345753424658</v>
      </c>
      <c r="AQ323" s="20" t="n">
        <f aca="false">IF(Time!AQ$5&gt;=(DATE(YEAR(Inputs!$F$157)+Inputs!$F$164,1,1)-1),Inputs!$F$166/100*Inputs!$F$162*(1-(Inputs!$F$187*MIN(MAX(0,(Time!AQ$5-(DATE(YEAR(Inputs!$F$157)+Inputs!$F$164,1,1)-1))/Inputs!$F$27),1)+Inputs!$F$188*MIN(MAX(MAX(0,(Time!AQ$5-(DATE(YEAR(Inputs!$F$157)+Inputs!$F$164,1,1)-1))/Inputs!$F$27)-1,0),Inputs!$F$190-1)+Inputs!$F$189*MAX(MAX(0,(Time!AQ$5-(DATE(YEAR(Inputs!$F$157)+Inputs!$F$164,1,1)-1))/Inputs!$F$27)-Inputs!$F$190,0))/100),0)+IF(Time!AQ$5&gt;=(DATE(YEAR(Inputs!$F$157)+Inputs!$F$165,1,1)-1),Inputs!$F$166/100*Inputs!$F$162*(1-(Inputs!$F$187*MIN(MAX(0,(Time!AQ$5-(DATE(YEAR(Inputs!$F$157)+Inputs!$F$165,1,1)-1))/Inputs!$F$27),1)+Inputs!$F$188*MIN(MAX(MAX(0,(Time!AQ$5-(DATE(YEAR(Inputs!$F$157)+Inputs!$F$165,1,1)-1))/Inputs!$F$27)-1,0),Inputs!$F$190-1)+Inputs!$F$189*MAX(MAX(0,(Time!AQ$5-(DATE(YEAR(Inputs!$F$157)+Inputs!$F$165,1,1)-1))/Inputs!$F$27)-Inputs!$F$190,0))/100),0)</f>
        <v>25.3745753424658</v>
      </c>
      <c r="AR323" s="20" t="n">
        <f aca="false">IF(Time!AR$5&gt;=(DATE(YEAR(Inputs!$F$157)+Inputs!$F$164,1,1)-1),Inputs!$F$166/100*Inputs!$F$162*(1-(Inputs!$F$187*MIN(MAX(0,(Time!AR$5-(DATE(YEAR(Inputs!$F$157)+Inputs!$F$164,1,1)-1))/Inputs!$F$27),1)+Inputs!$F$188*MIN(MAX(MAX(0,(Time!AR$5-(DATE(YEAR(Inputs!$F$157)+Inputs!$F$164,1,1)-1))/Inputs!$F$27)-1,0),Inputs!$F$190-1)+Inputs!$F$189*MAX(MAX(0,(Time!AR$5-(DATE(YEAR(Inputs!$F$157)+Inputs!$F$164,1,1)-1))/Inputs!$F$27)-Inputs!$F$190,0))/100),0)+IF(Time!AR$5&gt;=(DATE(YEAR(Inputs!$F$157)+Inputs!$F$165,1,1)-1),Inputs!$F$166/100*Inputs!$F$162*(1-(Inputs!$F$187*MIN(MAX(0,(Time!AR$5-(DATE(YEAR(Inputs!$F$157)+Inputs!$F$165,1,1)-1))/Inputs!$F$27),1)+Inputs!$F$188*MIN(MAX(MAX(0,(Time!AR$5-(DATE(YEAR(Inputs!$F$157)+Inputs!$F$165,1,1)-1))/Inputs!$F$27)-1,0),Inputs!$F$190-1)+Inputs!$F$189*MAX(MAX(0,(Time!AR$5-(DATE(YEAR(Inputs!$F$157)+Inputs!$F$165,1,1)-1))/Inputs!$F$27)-Inputs!$F$190,0))/100),0)</f>
        <v>25.0145753424658</v>
      </c>
      <c r="AS323" s="20" t="n">
        <f aca="false">IF(Time!AS$5&gt;=(DATE(YEAR(Inputs!$F$157)+Inputs!$F$164,1,1)-1),Inputs!$F$166/100*Inputs!$F$162*(1-(Inputs!$F$187*MIN(MAX(0,(Time!AS$5-(DATE(YEAR(Inputs!$F$157)+Inputs!$F$164,1,1)-1))/Inputs!$F$27),1)+Inputs!$F$188*MIN(MAX(MAX(0,(Time!AS$5-(DATE(YEAR(Inputs!$F$157)+Inputs!$F$164,1,1)-1))/Inputs!$F$27)-1,0),Inputs!$F$190-1)+Inputs!$F$189*MAX(MAX(0,(Time!AS$5-(DATE(YEAR(Inputs!$F$157)+Inputs!$F$164,1,1)-1))/Inputs!$F$27)-Inputs!$F$190,0))/100),0)+IF(Time!AS$5&gt;=(DATE(YEAR(Inputs!$F$157)+Inputs!$F$165,1,1)-1),Inputs!$F$166/100*Inputs!$F$162*(1-(Inputs!$F$187*MIN(MAX(0,(Time!AS$5-(DATE(YEAR(Inputs!$F$157)+Inputs!$F$165,1,1)-1))/Inputs!$F$27),1)+Inputs!$F$188*MIN(MAX(MAX(0,(Time!AS$5-(DATE(YEAR(Inputs!$F$157)+Inputs!$F$165,1,1)-1))/Inputs!$F$27)-1,0),Inputs!$F$190-1)+Inputs!$F$189*MAX(MAX(0,(Time!AS$5-(DATE(YEAR(Inputs!$F$157)+Inputs!$F$165,1,1)-1))/Inputs!$F$27)-Inputs!$F$190,0))/100),0)</f>
        <v>24.6535890410959</v>
      </c>
      <c r="AT323" s="20" t="n">
        <f aca="false">IF(Time!AT$5&gt;=(DATE(YEAR(Inputs!$F$157)+Inputs!$F$164,1,1)-1),Inputs!$F$166/100*Inputs!$F$162*(1-(Inputs!$F$187*MIN(MAX(0,(Time!AT$5-(DATE(YEAR(Inputs!$F$157)+Inputs!$F$164,1,1)-1))/Inputs!$F$27),1)+Inputs!$F$188*MIN(MAX(MAX(0,(Time!AT$5-(DATE(YEAR(Inputs!$F$157)+Inputs!$F$164,1,1)-1))/Inputs!$F$27)-1,0),Inputs!$F$190-1)+Inputs!$F$189*MAX(MAX(0,(Time!AT$5-(DATE(YEAR(Inputs!$F$157)+Inputs!$F$164,1,1)-1))/Inputs!$F$27)-Inputs!$F$190,0))/100),0)+IF(Time!AT$5&gt;=(DATE(YEAR(Inputs!$F$157)+Inputs!$F$165,1,1)-1),Inputs!$F$166/100*Inputs!$F$162*(1-(Inputs!$F$187*MIN(MAX(0,(Time!AT$5-(DATE(YEAR(Inputs!$F$157)+Inputs!$F$165,1,1)-1))/Inputs!$F$27),1)+Inputs!$F$188*MIN(MAX(MAX(0,(Time!AT$5-(DATE(YEAR(Inputs!$F$157)+Inputs!$F$165,1,1)-1))/Inputs!$F$27)-1,0),Inputs!$F$190-1)+Inputs!$F$189*MAX(MAX(0,(Time!AT$5-(DATE(YEAR(Inputs!$F$157)+Inputs!$F$165,1,1)-1))/Inputs!$F$27)-Inputs!$F$190,0))/100),0)</f>
        <v>24.2935890410959</v>
      </c>
      <c r="AU323" s="20" t="n">
        <f aca="false">IF(Time!AU$5&gt;=(DATE(YEAR(Inputs!$F$157)+Inputs!$F$164,1,1)-1),Inputs!$F$166/100*Inputs!$F$162*(1-(Inputs!$F$187*MIN(MAX(0,(Time!AU$5-(DATE(YEAR(Inputs!$F$157)+Inputs!$F$164,1,1)-1))/Inputs!$F$27),1)+Inputs!$F$188*MIN(MAX(MAX(0,(Time!AU$5-(DATE(YEAR(Inputs!$F$157)+Inputs!$F$164,1,1)-1))/Inputs!$F$27)-1,0),Inputs!$F$190-1)+Inputs!$F$189*MAX(MAX(0,(Time!AU$5-(DATE(YEAR(Inputs!$F$157)+Inputs!$F$164,1,1)-1))/Inputs!$F$27)-Inputs!$F$190,0))/100),0)+IF(Time!AU$5&gt;=(DATE(YEAR(Inputs!$F$157)+Inputs!$F$165,1,1)-1),Inputs!$F$166/100*Inputs!$F$162*(1-(Inputs!$F$187*MIN(MAX(0,(Time!AU$5-(DATE(YEAR(Inputs!$F$157)+Inputs!$F$165,1,1)-1))/Inputs!$F$27),1)+Inputs!$F$188*MIN(MAX(MAX(0,(Time!AU$5-(DATE(YEAR(Inputs!$F$157)+Inputs!$F$165,1,1)-1))/Inputs!$F$27)-1,0),Inputs!$F$190-1)+Inputs!$F$189*MAX(MAX(0,(Time!AU$5-(DATE(YEAR(Inputs!$F$157)+Inputs!$F$165,1,1)-1))/Inputs!$F$27)-Inputs!$F$190,0))/100),0)</f>
        <v>23.9335890410959</v>
      </c>
    </row>
    <row r="324" customFormat="false" ht="15" hidden="false" customHeight="false" outlineLevel="0" collapsed="false">
      <c r="D324" s="0" t="s">
        <v>719</v>
      </c>
      <c r="E324" s="0" t="s">
        <v>176</v>
      </c>
      <c r="J324" s="20" t="n">
        <f aca="false">Operations!J322+Operations!J323</f>
        <v>324</v>
      </c>
      <c r="K324" s="20" t="n">
        <f aca="false">Operations!K322+Operations!K323</f>
        <v>324</v>
      </c>
      <c r="L324" s="20" t="n">
        <f aca="false">Operations!L322+Operations!L323</f>
        <v>324</v>
      </c>
      <c r="M324" s="20" t="n">
        <f aca="false">Operations!M322+Operations!M323</f>
        <v>319.153315068493</v>
      </c>
      <c r="N324" s="20" t="n">
        <f aca="false">Operations!N322+Operations!N323</f>
        <v>313.88498630137</v>
      </c>
      <c r="O324" s="20" t="n">
        <f aca="false">Operations!O322+Operations!O323</f>
        <v>309.02498630137</v>
      </c>
      <c r="P324" s="20" t="n">
        <f aca="false">Operations!P322+Operations!P323</f>
        <v>304.16498630137</v>
      </c>
      <c r="Q324" s="20" t="n">
        <f aca="false">Operations!Q322+Operations!Q323</f>
        <v>317.291671232877</v>
      </c>
      <c r="R324" s="20" t="n">
        <f aca="false">Operations!R322+Operations!R323</f>
        <v>312.071671232877</v>
      </c>
      <c r="S324" s="20" t="n">
        <f aca="false">Operations!S322+Operations!S323</f>
        <v>306.941671232877</v>
      </c>
      <c r="T324" s="20" t="n">
        <f aca="false">Operations!T322+Operations!T323</f>
        <v>301.811671232877</v>
      </c>
      <c r="U324" s="20" t="n">
        <f aca="false">Operations!U322+Operations!U323</f>
        <v>314.667616438356</v>
      </c>
      <c r="V324" s="20" t="n">
        <f aca="false">Operations!V322+Operations!V323</f>
        <v>309.177616438356</v>
      </c>
      <c r="W324" s="20" t="n">
        <f aca="false">Operations!W322+Operations!W323</f>
        <v>304.998164383562</v>
      </c>
      <c r="X324" s="20" t="n">
        <f aca="false">Operations!X322+Operations!X323</f>
        <v>301.218164383562</v>
      </c>
      <c r="Y324" s="20" t="n">
        <f aca="false">Operations!Y322+Operations!Y323</f>
        <v>297.427808219178</v>
      </c>
      <c r="Z324" s="20" t="n">
        <f aca="false">Operations!Z322+Operations!Z323</f>
        <v>293.647808219178</v>
      </c>
      <c r="AA324" s="20" t="n">
        <f aca="false">Operations!AA322+Operations!AA323</f>
        <v>289.868301369863</v>
      </c>
      <c r="AB324" s="20" t="n">
        <f aca="false">Operations!AB322+Operations!AB323</f>
        <v>286.178301369863</v>
      </c>
      <c r="AC324" s="20" t="n">
        <f aca="false">Operations!AC322+Operations!AC323</f>
        <v>282.478191780822</v>
      </c>
      <c r="AD324" s="20" t="n">
        <f aca="false">Operations!AD322+Operations!AD323</f>
        <v>278.788191780822</v>
      </c>
      <c r="AE324" s="20" t="n">
        <f aca="false">Operations!AE322+Operations!AE323</f>
        <v>275.098684931507</v>
      </c>
      <c r="AF324" s="20" t="n">
        <f aca="false">Operations!AF322+Operations!AF323</f>
        <v>271.498684931507</v>
      </c>
      <c r="AG324" s="20" t="n">
        <f aca="false">Operations!AG322+Operations!AG323</f>
        <v>267.888821917808</v>
      </c>
      <c r="AH324" s="20" t="n">
        <f aca="false">Operations!AH322+Operations!AH323</f>
        <v>264.288821917808</v>
      </c>
      <c r="AI324" s="20" t="n">
        <f aca="false">Operations!AI322+Operations!AI323</f>
        <v>260.688821917808</v>
      </c>
      <c r="AJ324" s="20" t="n">
        <f aca="false">Operations!AJ322+Operations!AJ323</f>
        <v>257.088821917808</v>
      </c>
      <c r="AK324" s="20" t="n">
        <f aca="false">Operations!AK322+Operations!AK323</f>
        <v>253.47895890411</v>
      </c>
      <c r="AL324" s="20" t="n">
        <f aca="false">Operations!AL322+Operations!AL323</f>
        <v>249.87895890411</v>
      </c>
      <c r="AM324" s="20" t="n">
        <f aca="false">Operations!AM322+Operations!AM323</f>
        <v>246.27895890411</v>
      </c>
      <c r="AN324" s="20" t="n">
        <f aca="false">Operations!AN322+Operations!AN323</f>
        <v>242.67895890411</v>
      </c>
      <c r="AO324" s="20" t="n">
        <f aca="false">Operations!AO322+Operations!AO323</f>
        <v>239.069095890411</v>
      </c>
      <c r="AP324" s="20" t="n">
        <f aca="false">Operations!AP322+Operations!AP323</f>
        <v>235.469095890411</v>
      </c>
      <c r="AQ324" s="20" t="n">
        <f aca="false">Operations!AQ322+Operations!AQ323</f>
        <v>231.869095890411</v>
      </c>
      <c r="AR324" s="20" t="n">
        <f aca="false">Operations!AR322+Operations!AR323</f>
        <v>228.269095890411</v>
      </c>
      <c r="AS324" s="20" t="n">
        <f aca="false">Operations!AS322+Operations!AS323</f>
        <v>224.659232876712</v>
      </c>
      <c r="AT324" s="20" t="n">
        <f aca="false">Operations!AT322+Operations!AT323</f>
        <v>221.059232876712</v>
      </c>
      <c r="AU324" s="20" t="n">
        <f aca="false">Operations!AU322+Operations!AU323</f>
        <v>217.459232876712</v>
      </c>
    </row>
    <row r="325" customFormat="false" ht="15" hidden="false" customHeight="false" outlineLevel="0" collapsed="false">
      <c r="D325" s="0" t="s">
        <v>720</v>
      </c>
      <c r="E325" s="0" t="s">
        <v>176</v>
      </c>
      <c r="J325" s="20" t="n">
        <f aca="false">Inputs!$F$162*(1+Inputs!$F$168/100)*(1-(Inputs!$F$187*MIN(MAX(0,(Time!J$6-Inputs!$F$157)/Inputs!$F$27),1)+Inputs!$F$188*MIN(MAX(MAX(0,(Time!J$6-Inputs!$F$157)/Inputs!$F$27)-1,0),Inputs!$F$190-1)+Inputs!$F$189*MAX(MAX(0,(Time!J$6-Inputs!$F$157)/Inputs!$F$27)-Inputs!$F$190,0))/100)</f>
        <v>324</v>
      </c>
      <c r="K325" s="20" t="n">
        <f aca="false">Inputs!$F$162*(1+Inputs!$F$168/100)*(1-(Inputs!$F$187*MIN(MAX(0,(Time!K$6-Inputs!$F$157)/Inputs!$F$27),1)+Inputs!$F$188*MIN(MAX(MAX(0,(Time!K$6-Inputs!$F$157)/Inputs!$F$27)-1,0),Inputs!$F$190-1)+Inputs!$F$189*MAX(MAX(0,(Time!K$6-Inputs!$F$157)/Inputs!$F$27)-Inputs!$F$190,0))/100)</f>
        <v>324</v>
      </c>
      <c r="L325" s="20" t="n">
        <f aca="false">Inputs!$F$162*(1+Inputs!$F$168/100)*(1-(Inputs!$F$187*MIN(MAX(0,(Time!L$6-Inputs!$F$157)/Inputs!$F$27),1)+Inputs!$F$188*MIN(MAX(MAX(0,(Time!L$6-Inputs!$F$157)/Inputs!$F$27)-1,0),Inputs!$F$190-1)+Inputs!$F$189*MAX(MAX(0,(Time!L$6-Inputs!$F$157)/Inputs!$F$27)-Inputs!$F$190,0))/100)</f>
        <v>319.153315068493</v>
      </c>
      <c r="M325" s="20" t="n">
        <f aca="false">Inputs!$F$162*(1+Inputs!$F$168/100)*(1-(Inputs!$F$187*MIN(MAX(0,(Time!M$6-Inputs!$F$157)/Inputs!$F$27),1)+Inputs!$F$188*MIN(MAX(MAX(0,(Time!M$6-Inputs!$F$157)/Inputs!$F$27)-1,0),Inputs!$F$190-1)+Inputs!$F$189*MAX(MAX(0,(Time!M$6-Inputs!$F$157)/Inputs!$F$27)-Inputs!$F$190,0))/100)</f>
        <v>313.88498630137</v>
      </c>
      <c r="N325" s="20" t="n">
        <f aca="false">Inputs!$F$162*(1+Inputs!$F$168/100)*(1-(Inputs!$F$187*MIN(MAX(0,(Time!N$6-Inputs!$F$157)/Inputs!$F$27),1)+Inputs!$F$188*MIN(MAX(MAX(0,(Time!N$6-Inputs!$F$157)/Inputs!$F$27)-1,0),Inputs!$F$190-1)+Inputs!$F$189*MAX(MAX(0,(Time!N$6-Inputs!$F$157)/Inputs!$F$27)-Inputs!$F$190,0))/100)</f>
        <v>309.02498630137</v>
      </c>
      <c r="O325" s="20" t="n">
        <f aca="false">Inputs!$F$162*(1+Inputs!$F$168/100)*(1-(Inputs!$F$187*MIN(MAX(0,(Time!O$6-Inputs!$F$157)/Inputs!$F$27),1)+Inputs!$F$188*MIN(MAX(MAX(0,(Time!O$6-Inputs!$F$157)/Inputs!$F$27)-1,0),Inputs!$F$190-1)+Inputs!$F$189*MAX(MAX(0,(Time!O$6-Inputs!$F$157)/Inputs!$F$27)-Inputs!$F$190,0))/100)</f>
        <v>304.16498630137</v>
      </c>
      <c r="P325" s="20" t="n">
        <f aca="false">Inputs!$F$162*(1+Inputs!$F$168/100)*(1-(Inputs!$F$187*MIN(MAX(0,(Time!P$6-Inputs!$F$157)/Inputs!$F$27),1)+Inputs!$F$188*MIN(MAX(MAX(0,(Time!P$6-Inputs!$F$157)/Inputs!$F$27)-1,0),Inputs!$F$190-1)+Inputs!$F$189*MAX(MAX(0,(Time!P$6-Inputs!$F$157)/Inputs!$F$27)-Inputs!$F$190,0))/100)</f>
        <v>299.291671232877</v>
      </c>
      <c r="Q325" s="20" t="n">
        <f aca="false">Inputs!$F$162*(1+Inputs!$F$168/100)*(1-(Inputs!$F$187*MIN(MAX(0,(Time!Q$6-Inputs!$F$157)/Inputs!$F$27),1)+Inputs!$F$188*MIN(MAX(MAX(0,(Time!Q$6-Inputs!$F$157)/Inputs!$F$27)-1,0),Inputs!$F$190-1)+Inputs!$F$189*MAX(MAX(0,(Time!Q$6-Inputs!$F$157)/Inputs!$F$27)-Inputs!$F$190,0))/100)</f>
        <v>294.431671232877</v>
      </c>
      <c r="R325" s="20" t="n">
        <f aca="false">Inputs!$F$162*(1+Inputs!$F$168/100)*(1-(Inputs!$F$187*MIN(MAX(0,(Time!R$6-Inputs!$F$157)/Inputs!$F$27),1)+Inputs!$F$188*MIN(MAX(MAX(0,(Time!R$6-Inputs!$F$157)/Inputs!$F$27)-1,0),Inputs!$F$190-1)+Inputs!$F$189*MAX(MAX(0,(Time!R$6-Inputs!$F$157)/Inputs!$F$27)-Inputs!$F$190,0))/100)</f>
        <v>289.571671232877</v>
      </c>
      <c r="S325" s="20" t="n">
        <f aca="false">Inputs!$F$162*(1+Inputs!$F$168/100)*(1-(Inputs!$F$187*MIN(MAX(0,(Time!S$6-Inputs!$F$157)/Inputs!$F$27),1)+Inputs!$F$188*MIN(MAX(MAX(0,(Time!S$6-Inputs!$F$157)/Inputs!$F$27)-1,0),Inputs!$F$190-1)+Inputs!$F$189*MAX(MAX(0,(Time!S$6-Inputs!$F$157)/Inputs!$F$27)-Inputs!$F$190,0))/100)</f>
        <v>284.711671232877</v>
      </c>
      <c r="T325" s="20" t="n">
        <f aca="false">Inputs!$F$162*(1+Inputs!$F$168/100)*(1-(Inputs!$F$187*MIN(MAX(0,(Time!T$6-Inputs!$F$157)/Inputs!$F$27),1)+Inputs!$F$188*MIN(MAX(MAX(0,(Time!T$6-Inputs!$F$157)/Inputs!$F$27)-1,0),Inputs!$F$190-1)+Inputs!$F$189*MAX(MAX(0,(Time!T$6-Inputs!$F$157)/Inputs!$F$27)-Inputs!$F$190,0))/100)</f>
        <v>279.838356164384</v>
      </c>
      <c r="U325" s="20" t="n">
        <f aca="false">Inputs!$F$162*(1+Inputs!$F$168/100)*(1-(Inputs!$F$187*MIN(MAX(0,(Time!U$6-Inputs!$F$157)/Inputs!$F$27),1)+Inputs!$F$188*MIN(MAX(MAX(0,(Time!U$6-Inputs!$F$157)/Inputs!$F$27)-1,0),Inputs!$F$190-1)+Inputs!$F$189*MAX(MAX(0,(Time!U$6-Inputs!$F$157)/Inputs!$F$27)-Inputs!$F$190,0))/100)</f>
        <v>274.978356164384</v>
      </c>
      <c r="V325" s="20" t="n">
        <f aca="false">Inputs!$F$162*(1+Inputs!$F$168/100)*(1-(Inputs!$F$187*MIN(MAX(0,(Time!V$6-Inputs!$F$157)/Inputs!$F$27),1)+Inputs!$F$188*MIN(MAX(MAX(0,(Time!V$6-Inputs!$F$157)/Inputs!$F$27)-1,0),Inputs!$F$190-1)+Inputs!$F$189*MAX(MAX(0,(Time!V$6-Inputs!$F$157)/Inputs!$F$27)-Inputs!$F$190,0))/100)</f>
        <v>271.338904109589</v>
      </c>
      <c r="W325" s="20" t="n">
        <f aca="false">Inputs!$F$162*(1+Inputs!$F$168/100)*(1-(Inputs!$F$187*MIN(MAX(0,(Time!W$6-Inputs!$F$157)/Inputs!$F$27),1)+Inputs!$F$188*MIN(MAX(MAX(0,(Time!W$6-Inputs!$F$157)/Inputs!$F$27)-1,0),Inputs!$F$190-1)+Inputs!$F$189*MAX(MAX(0,(Time!W$6-Inputs!$F$157)/Inputs!$F$27)-Inputs!$F$190,0))/100)</f>
        <v>268.098904109589</v>
      </c>
      <c r="X325" s="20" t="n">
        <f aca="false">Inputs!$F$162*(1+Inputs!$F$168/100)*(1-(Inputs!$F$187*MIN(MAX(0,(Time!X$6-Inputs!$F$157)/Inputs!$F$27),1)+Inputs!$F$188*MIN(MAX(MAX(0,(Time!X$6-Inputs!$F$157)/Inputs!$F$27)-1,0),Inputs!$F$190-1)+Inputs!$F$189*MAX(MAX(0,(Time!X$6-Inputs!$F$157)/Inputs!$F$27)-Inputs!$F$190,0))/100)</f>
        <v>264.85002739726</v>
      </c>
      <c r="Y325" s="20" t="n">
        <f aca="false">Inputs!$F$162*(1+Inputs!$F$168/100)*(1-(Inputs!$F$187*MIN(MAX(0,(Time!Y$6-Inputs!$F$157)/Inputs!$F$27),1)+Inputs!$F$188*MIN(MAX(MAX(0,(Time!Y$6-Inputs!$F$157)/Inputs!$F$27)-1,0),Inputs!$F$190-1)+Inputs!$F$189*MAX(MAX(0,(Time!Y$6-Inputs!$F$157)/Inputs!$F$27)-Inputs!$F$190,0))/100)</f>
        <v>261.61002739726</v>
      </c>
      <c r="Z325" s="20" t="n">
        <f aca="false">Inputs!$F$162*(1+Inputs!$F$168/100)*(1-(Inputs!$F$187*MIN(MAX(0,(Time!Z$6-Inputs!$F$157)/Inputs!$F$27),1)+Inputs!$F$188*MIN(MAX(MAX(0,(Time!Z$6-Inputs!$F$157)/Inputs!$F$27)-1,0),Inputs!$F$190-1)+Inputs!$F$189*MAX(MAX(0,(Time!Z$6-Inputs!$F$157)/Inputs!$F$27)-Inputs!$F$190,0))/100)</f>
        <v>258.37002739726</v>
      </c>
      <c r="AA325" s="20" t="n">
        <f aca="false">Inputs!$F$162*(1+Inputs!$F$168/100)*(1-(Inputs!$F$187*MIN(MAX(0,(Time!AA$6-Inputs!$F$157)/Inputs!$F$27),1)+Inputs!$F$188*MIN(MAX(MAX(0,(Time!AA$6-Inputs!$F$157)/Inputs!$F$27)-1,0),Inputs!$F$190-1)+Inputs!$F$189*MAX(MAX(0,(Time!AA$6-Inputs!$F$157)/Inputs!$F$27)-Inputs!$F$190,0))/100)</f>
        <v>255.13002739726</v>
      </c>
      <c r="AB325" s="20" t="n">
        <f aca="false">Inputs!$F$162*(1+Inputs!$F$168/100)*(1-(Inputs!$F$187*MIN(MAX(0,(Time!AB$6-Inputs!$F$157)/Inputs!$F$27),1)+Inputs!$F$188*MIN(MAX(MAX(0,(Time!AB$6-Inputs!$F$157)/Inputs!$F$27)-1,0),Inputs!$F$190-1)+Inputs!$F$189*MAX(MAX(0,(Time!AB$6-Inputs!$F$157)/Inputs!$F$27)-Inputs!$F$190,0))/100)</f>
        <v>251.881150684932</v>
      </c>
      <c r="AC325" s="20" t="n">
        <f aca="false">Inputs!$F$162*(1+Inputs!$F$168/100)*(1-(Inputs!$F$187*MIN(MAX(0,(Time!AC$6-Inputs!$F$157)/Inputs!$F$27),1)+Inputs!$F$188*MIN(MAX(MAX(0,(Time!AC$6-Inputs!$F$157)/Inputs!$F$27)-1,0),Inputs!$F$190-1)+Inputs!$F$189*MAX(MAX(0,(Time!AC$6-Inputs!$F$157)/Inputs!$F$27)-Inputs!$F$190,0))/100)</f>
        <v>248.641150684932</v>
      </c>
      <c r="AD325" s="20" t="n">
        <f aca="false">Inputs!$F$162*(1+Inputs!$F$168/100)*(1-(Inputs!$F$187*MIN(MAX(0,(Time!AD$6-Inputs!$F$157)/Inputs!$F$27),1)+Inputs!$F$188*MIN(MAX(MAX(0,(Time!AD$6-Inputs!$F$157)/Inputs!$F$27)-1,0),Inputs!$F$190-1)+Inputs!$F$189*MAX(MAX(0,(Time!AD$6-Inputs!$F$157)/Inputs!$F$27)-Inputs!$F$190,0))/100)</f>
        <v>245.401150684932</v>
      </c>
      <c r="AE325" s="20" t="n">
        <f aca="false">Inputs!$F$162*(1+Inputs!$F$168/100)*(1-(Inputs!$F$187*MIN(MAX(0,(Time!AE$6-Inputs!$F$157)/Inputs!$F$27),1)+Inputs!$F$188*MIN(MAX(MAX(0,(Time!AE$6-Inputs!$F$157)/Inputs!$F$27)-1,0),Inputs!$F$190-1)+Inputs!$F$189*MAX(MAX(0,(Time!AE$6-Inputs!$F$157)/Inputs!$F$27)-Inputs!$F$190,0))/100)</f>
        <v>242.161150684932</v>
      </c>
      <c r="AF325" s="20" t="n">
        <f aca="false">Inputs!$F$162*(1+Inputs!$F$168/100)*(1-(Inputs!$F$187*MIN(MAX(0,(Time!AF$6-Inputs!$F$157)/Inputs!$F$27),1)+Inputs!$F$188*MIN(MAX(MAX(0,(Time!AF$6-Inputs!$F$157)/Inputs!$F$27)-1,0),Inputs!$F$190-1)+Inputs!$F$189*MAX(MAX(0,(Time!AF$6-Inputs!$F$157)/Inputs!$F$27)-Inputs!$F$190,0))/100)</f>
        <v>238.912273972603</v>
      </c>
      <c r="AG325" s="20" t="n">
        <f aca="false">Inputs!$F$162*(1+Inputs!$F$168/100)*(1-(Inputs!$F$187*MIN(MAX(0,(Time!AG$6-Inputs!$F$157)/Inputs!$F$27),1)+Inputs!$F$188*MIN(MAX(MAX(0,(Time!AG$6-Inputs!$F$157)/Inputs!$F$27)-1,0),Inputs!$F$190-1)+Inputs!$F$189*MAX(MAX(0,(Time!AG$6-Inputs!$F$157)/Inputs!$F$27)-Inputs!$F$190,0))/100)</f>
        <v>235.672273972603</v>
      </c>
      <c r="AH325" s="20" t="n">
        <f aca="false">Inputs!$F$162*(1+Inputs!$F$168/100)*(1-(Inputs!$F$187*MIN(MAX(0,(Time!AH$6-Inputs!$F$157)/Inputs!$F$27),1)+Inputs!$F$188*MIN(MAX(MAX(0,(Time!AH$6-Inputs!$F$157)/Inputs!$F$27)-1,0),Inputs!$F$190-1)+Inputs!$F$189*MAX(MAX(0,(Time!AH$6-Inputs!$F$157)/Inputs!$F$27)-Inputs!$F$190,0))/100)</f>
        <v>232.432273972603</v>
      </c>
      <c r="AI325" s="20" t="n">
        <f aca="false">Inputs!$F$162*(1+Inputs!$F$168/100)*(1-(Inputs!$F$187*MIN(MAX(0,(Time!AI$6-Inputs!$F$157)/Inputs!$F$27),1)+Inputs!$F$188*MIN(MAX(MAX(0,(Time!AI$6-Inputs!$F$157)/Inputs!$F$27)-1,0),Inputs!$F$190-1)+Inputs!$F$189*MAX(MAX(0,(Time!AI$6-Inputs!$F$157)/Inputs!$F$27)-Inputs!$F$190,0))/100)</f>
        <v>229.192273972603</v>
      </c>
      <c r="AJ325" s="20" t="n">
        <f aca="false">Inputs!$F$162*(1+Inputs!$F$168/100)*(1-(Inputs!$F$187*MIN(MAX(0,(Time!AJ$6-Inputs!$F$157)/Inputs!$F$27),1)+Inputs!$F$188*MIN(MAX(MAX(0,(Time!AJ$6-Inputs!$F$157)/Inputs!$F$27)-1,0),Inputs!$F$190-1)+Inputs!$F$189*MAX(MAX(0,(Time!AJ$6-Inputs!$F$157)/Inputs!$F$27)-Inputs!$F$190,0))/100)</f>
        <v>225.943397260274</v>
      </c>
      <c r="AK325" s="20" t="n">
        <f aca="false">Inputs!$F$162*(1+Inputs!$F$168/100)*(1-(Inputs!$F$187*MIN(MAX(0,(Time!AK$6-Inputs!$F$157)/Inputs!$F$27),1)+Inputs!$F$188*MIN(MAX(MAX(0,(Time!AK$6-Inputs!$F$157)/Inputs!$F$27)-1,0),Inputs!$F$190-1)+Inputs!$F$189*MAX(MAX(0,(Time!AK$6-Inputs!$F$157)/Inputs!$F$27)-Inputs!$F$190,0))/100)</f>
        <v>222.703397260274</v>
      </c>
      <c r="AL325" s="20" t="n">
        <f aca="false">Inputs!$F$162*(1+Inputs!$F$168/100)*(1-(Inputs!$F$187*MIN(MAX(0,(Time!AL$6-Inputs!$F$157)/Inputs!$F$27),1)+Inputs!$F$188*MIN(MAX(MAX(0,(Time!AL$6-Inputs!$F$157)/Inputs!$F$27)-1,0),Inputs!$F$190-1)+Inputs!$F$189*MAX(MAX(0,(Time!AL$6-Inputs!$F$157)/Inputs!$F$27)-Inputs!$F$190,0))/100)</f>
        <v>219.463397260274</v>
      </c>
      <c r="AM325" s="20" t="n">
        <f aca="false">Inputs!$F$162*(1+Inputs!$F$168/100)*(1-(Inputs!$F$187*MIN(MAX(0,(Time!AM$6-Inputs!$F$157)/Inputs!$F$27),1)+Inputs!$F$188*MIN(MAX(MAX(0,(Time!AM$6-Inputs!$F$157)/Inputs!$F$27)-1,0),Inputs!$F$190-1)+Inputs!$F$189*MAX(MAX(0,(Time!AM$6-Inputs!$F$157)/Inputs!$F$27)-Inputs!$F$190,0))/100)</f>
        <v>216.223397260274</v>
      </c>
      <c r="AN325" s="20" t="n">
        <f aca="false">Inputs!$F$162*(1+Inputs!$F$168/100)*(1-(Inputs!$F$187*MIN(MAX(0,(Time!AN$6-Inputs!$F$157)/Inputs!$F$27),1)+Inputs!$F$188*MIN(MAX(MAX(0,(Time!AN$6-Inputs!$F$157)/Inputs!$F$27)-1,0),Inputs!$F$190-1)+Inputs!$F$189*MAX(MAX(0,(Time!AN$6-Inputs!$F$157)/Inputs!$F$27)-Inputs!$F$190,0))/100)</f>
        <v>212.974520547945</v>
      </c>
      <c r="AO325" s="20" t="n">
        <f aca="false">Inputs!$F$162*(1+Inputs!$F$168/100)*(1-(Inputs!$F$187*MIN(MAX(0,(Time!AO$6-Inputs!$F$157)/Inputs!$F$27),1)+Inputs!$F$188*MIN(MAX(MAX(0,(Time!AO$6-Inputs!$F$157)/Inputs!$F$27)-1,0),Inputs!$F$190-1)+Inputs!$F$189*MAX(MAX(0,(Time!AO$6-Inputs!$F$157)/Inputs!$F$27)-Inputs!$F$190,0))/100)</f>
        <v>209.734520547945</v>
      </c>
      <c r="AP325" s="20" t="n">
        <f aca="false">Inputs!$F$162*(1+Inputs!$F$168/100)*(1-(Inputs!$F$187*MIN(MAX(0,(Time!AP$6-Inputs!$F$157)/Inputs!$F$27),1)+Inputs!$F$188*MIN(MAX(MAX(0,(Time!AP$6-Inputs!$F$157)/Inputs!$F$27)-1,0),Inputs!$F$190-1)+Inputs!$F$189*MAX(MAX(0,(Time!AP$6-Inputs!$F$157)/Inputs!$F$27)-Inputs!$F$190,0))/100)</f>
        <v>206.494520547945</v>
      </c>
      <c r="AQ325" s="20" t="n">
        <f aca="false">Inputs!$F$162*(1+Inputs!$F$168/100)*(1-(Inputs!$F$187*MIN(MAX(0,(Time!AQ$6-Inputs!$F$157)/Inputs!$F$27),1)+Inputs!$F$188*MIN(MAX(MAX(0,(Time!AQ$6-Inputs!$F$157)/Inputs!$F$27)-1,0),Inputs!$F$190-1)+Inputs!$F$189*MAX(MAX(0,(Time!AQ$6-Inputs!$F$157)/Inputs!$F$27)-Inputs!$F$190,0))/100)</f>
        <v>203.254520547945</v>
      </c>
      <c r="AR325" s="20" t="n">
        <f aca="false">Inputs!$F$162*(1+Inputs!$F$168/100)*(1-(Inputs!$F$187*MIN(MAX(0,(Time!AR$6-Inputs!$F$157)/Inputs!$F$27),1)+Inputs!$F$188*MIN(MAX(MAX(0,(Time!AR$6-Inputs!$F$157)/Inputs!$F$27)-1,0),Inputs!$F$190-1)+Inputs!$F$189*MAX(MAX(0,(Time!AR$6-Inputs!$F$157)/Inputs!$F$27)-Inputs!$F$190,0))/100)</f>
        <v>200.005643835616</v>
      </c>
      <c r="AS325" s="20" t="n">
        <f aca="false">Inputs!$F$162*(1+Inputs!$F$168/100)*(1-(Inputs!$F$187*MIN(MAX(0,(Time!AS$6-Inputs!$F$157)/Inputs!$F$27),1)+Inputs!$F$188*MIN(MAX(MAX(0,(Time!AS$6-Inputs!$F$157)/Inputs!$F$27)-1,0),Inputs!$F$190-1)+Inputs!$F$189*MAX(MAX(0,(Time!AS$6-Inputs!$F$157)/Inputs!$F$27)-Inputs!$F$190,0))/100)</f>
        <v>196.765643835616</v>
      </c>
      <c r="AT325" s="20" t="n">
        <f aca="false">Inputs!$F$162*(1+Inputs!$F$168/100)*(1-(Inputs!$F$187*MIN(MAX(0,(Time!AT$6-Inputs!$F$157)/Inputs!$F$27),1)+Inputs!$F$188*MIN(MAX(MAX(0,(Time!AT$6-Inputs!$F$157)/Inputs!$F$27)-1,0),Inputs!$F$190-1)+Inputs!$F$189*MAX(MAX(0,(Time!AT$6-Inputs!$F$157)/Inputs!$F$27)-Inputs!$F$190,0))/100)</f>
        <v>193.525643835616</v>
      </c>
      <c r="AU325" s="20" t="n">
        <f aca="false">Inputs!$F$162*(1+Inputs!$F$168/100)*(1-(Inputs!$F$187*MIN(MAX(0,(Time!AU$6-Inputs!$F$157)/Inputs!$F$27),1)+Inputs!$F$188*MIN(MAX(MAX(0,(Time!AU$6-Inputs!$F$157)/Inputs!$F$27)-1,0),Inputs!$F$190-1)+Inputs!$F$189*MAX(MAX(0,(Time!AU$6-Inputs!$F$157)/Inputs!$F$27)-Inputs!$F$190,0))/100)</f>
        <v>190.285643835616</v>
      </c>
    </row>
    <row r="326" customFormat="false" ht="15" hidden="false" customHeight="false" outlineLevel="0" collapsed="false">
      <c r="D326" s="0" t="s">
        <v>721</v>
      </c>
      <c r="E326" s="0" t="s">
        <v>176</v>
      </c>
      <c r="J326" s="20" t="n">
        <f aca="false">IF(Time!J$6&gt;=(DATE(YEAR(Inputs!$F$157)+Inputs!$F$164,1,1)-1),Inputs!$F$166/100*Inputs!$F$162*(1-(Inputs!$F$187*MIN(MAX(0,(Time!J$6-(DATE(YEAR(Inputs!$F$157)+Inputs!$F$164,1,1)-1))/Inputs!$F$27),1)+Inputs!$F$188*MIN(MAX(MAX(0,(Time!J$6-(DATE(YEAR(Inputs!$F$157)+Inputs!$F$164,1,1)-1))/Inputs!$F$27)-1,0),Inputs!$F$190-1)+Inputs!$F$189*MAX(MAX(0,(Time!J$6-(DATE(YEAR(Inputs!$F$157)+Inputs!$F$164,1,1)-1))/Inputs!$F$27)-Inputs!$F$190,0))/100),0)+IF(Time!J$6&gt;=(DATE(YEAR(Inputs!$F$157)+Inputs!$F$165,1,1)-1),Inputs!$F$166/100*Inputs!$F$162*(1-(Inputs!$F$187*MIN(MAX(0,(Time!J$6-(DATE(YEAR(Inputs!$F$157)+Inputs!$F$165,1,1)-1))/Inputs!$F$27),1)+Inputs!$F$188*MIN(MAX(MAX(0,(Time!J$6-(DATE(YEAR(Inputs!$F$157)+Inputs!$F$165,1,1)-1))/Inputs!$F$27)-1,0),Inputs!$F$190-1)+Inputs!$F$189*MAX(MAX(0,(Time!J$6-(DATE(YEAR(Inputs!$F$157)+Inputs!$F$165,1,1)-1))/Inputs!$F$27)-Inputs!$F$190,0))/100),0)</f>
        <v>0</v>
      </c>
      <c r="K326" s="20" t="n">
        <f aca="false">IF(Time!K$6&gt;=(DATE(YEAR(Inputs!$F$157)+Inputs!$F$164,1,1)-1),Inputs!$F$166/100*Inputs!$F$162*(1-(Inputs!$F$187*MIN(MAX(0,(Time!K$6-(DATE(YEAR(Inputs!$F$157)+Inputs!$F$164,1,1)-1))/Inputs!$F$27),1)+Inputs!$F$188*MIN(MAX(MAX(0,(Time!K$6-(DATE(YEAR(Inputs!$F$157)+Inputs!$F$164,1,1)-1))/Inputs!$F$27)-1,0),Inputs!$F$190-1)+Inputs!$F$189*MAX(MAX(0,(Time!K$6-(DATE(YEAR(Inputs!$F$157)+Inputs!$F$164,1,1)-1))/Inputs!$F$27)-Inputs!$F$190,0))/100),0)+IF(Time!K$6&gt;=(DATE(YEAR(Inputs!$F$157)+Inputs!$F$165,1,1)-1),Inputs!$F$166/100*Inputs!$F$162*(1-(Inputs!$F$187*MIN(MAX(0,(Time!K$6-(DATE(YEAR(Inputs!$F$157)+Inputs!$F$165,1,1)-1))/Inputs!$F$27),1)+Inputs!$F$188*MIN(MAX(MAX(0,(Time!K$6-(DATE(YEAR(Inputs!$F$157)+Inputs!$F$165,1,1)-1))/Inputs!$F$27)-1,0),Inputs!$F$190-1)+Inputs!$F$189*MAX(MAX(0,(Time!K$6-(DATE(YEAR(Inputs!$F$157)+Inputs!$F$165,1,1)-1))/Inputs!$F$27)-Inputs!$F$190,0))/100),0)</f>
        <v>0</v>
      </c>
      <c r="L326" s="20" t="n">
        <f aca="false">IF(Time!L$6&gt;=(DATE(YEAR(Inputs!$F$157)+Inputs!$F$164,1,1)-1),Inputs!$F$166/100*Inputs!$F$162*(1-(Inputs!$F$187*MIN(MAX(0,(Time!L$6-(DATE(YEAR(Inputs!$F$157)+Inputs!$F$164,1,1)-1))/Inputs!$F$27),1)+Inputs!$F$188*MIN(MAX(MAX(0,(Time!L$6-(DATE(YEAR(Inputs!$F$157)+Inputs!$F$164,1,1)-1))/Inputs!$F$27)-1,0),Inputs!$F$190-1)+Inputs!$F$189*MAX(MAX(0,(Time!L$6-(DATE(YEAR(Inputs!$F$157)+Inputs!$F$164,1,1)-1))/Inputs!$F$27)-Inputs!$F$190,0))/100),0)+IF(Time!L$6&gt;=(DATE(YEAR(Inputs!$F$157)+Inputs!$F$165,1,1)-1),Inputs!$F$166/100*Inputs!$F$162*(1-(Inputs!$F$187*MIN(MAX(0,(Time!L$6-(DATE(YEAR(Inputs!$F$157)+Inputs!$F$165,1,1)-1))/Inputs!$F$27),1)+Inputs!$F$188*MIN(MAX(MAX(0,(Time!L$6-(DATE(YEAR(Inputs!$F$157)+Inputs!$F$165,1,1)-1))/Inputs!$F$27)-1,0),Inputs!$F$190-1)+Inputs!$F$189*MAX(MAX(0,(Time!L$6-(DATE(YEAR(Inputs!$F$157)+Inputs!$F$165,1,1)-1))/Inputs!$F$27)-Inputs!$F$190,0))/100),0)</f>
        <v>0</v>
      </c>
      <c r="M326" s="20" t="n">
        <f aca="false">IF(Time!M$6&gt;=(DATE(YEAR(Inputs!$F$157)+Inputs!$F$164,1,1)-1),Inputs!$F$166/100*Inputs!$F$162*(1-(Inputs!$F$187*MIN(MAX(0,(Time!M$6-(DATE(YEAR(Inputs!$F$157)+Inputs!$F$164,1,1)-1))/Inputs!$F$27),1)+Inputs!$F$188*MIN(MAX(MAX(0,(Time!M$6-(DATE(YEAR(Inputs!$F$157)+Inputs!$F$164,1,1)-1))/Inputs!$F$27)-1,0),Inputs!$F$190-1)+Inputs!$F$189*MAX(MAX(0,(Time!M$6-(DATE(YEAR(Inputs!$F$157)+Inputs!$F$164,1,1)-1))/Inputs!$F$27)-Inputs!$F$190,0))/100),0)+IF(Time!M$6&gt;=(DATE(YEAR(Inputs!$F$157)+Inputs!$F$165,1,1)-1),Inputs!$F$166/100*Inputs!$F$162*(1-(Inputs!$F$187*MIN(MAX(0,(Time!M$6-(DATE(YEAR(Inputs!$F$157)+Inputs!$F$165,1,1)-1))/Inputs!$F$27),1)+Inputs!$F$188*MIN(MAX(MAX(0,(Time!M$6-(DATE(YEAR(Inputs!$F$157)+Inputs!$F$165,1,1)-1))/Inputs!$F$27)-1,0),Inputs!$F$190-1)+Inputs!$F$189*MAX(MAX(0,(Time!M$6-(DATE(YEAR(Inputs!$F$157)+Inputs!$F$165,1,1)-1))/Inputs!$F$27)-Inputs!$F$190,0))/100),0)</f>
        <v>0</v>
      </c>
      <c r="N326" s="20" t="n">
        <f aca="false">IF(Time!N$6&gt;=(DATE(YEAR(Inputs!$F$157)+Inputs!$F$164,1,1)-1),Inputs!$F$166/100*Inputs!$F$162*(1-(Inputs!$F$187*MIN(MAX(0,(Time!N$6-(DATE(YEAR(Inputs!$F$157)+Inputs!$F$164,1,1)-1))/Inputs!$F$27),1)+Inputs!$F$188*MIN(MAX(MAX(0,(Time!N$6-(DATE(YEAR(Inputs!$F$157)+Inputs!$F$164,1,1)-1))/Inputs!$F$27)-1,0),Inputs!$F$190-1)+Inputs!$F$189*MAX(MAX(0,(Time!N$6-(DATE(YEAR(Inputs!$F$157)+Inputs!$F$164,1,1)-1))/Inputs!$F$27)-Inputs!$F$190,0))/100),0)+IF(Time!N$6&gt;=(DATE(YEAR(Inputs!$F$157)+Inputs!$F$165,1,1)-1),Inputs!$F$166/100*Inputs!$F$162*(1-(Inputs!$F$187*MIN(MAX(0,(Time!N$6-(DATE(YEAR(Inputs!$F$157)+Inputs!$F$165,1,1)-1))/Inputs!$F$27),1)+Inputs!$F$188*MIN(MAX(MAX(0,(Time!N$6-(DATE(YEAR(Inputs!$F$157)+Inputs!$F$165,1,1)-1))/Inputs!$F$27)-1,0),Inputs!$F$190-1)+Inputs!$F$189*MAX(MAX(0,(Time!N$6-(DATE(YEAR(Inputs!$F$157)+Inputs!$F$165,1,1)-1))/Inputs!$F$27)-Inputs!$F$190,0))/100),0)</f>
        <v>0</v>
      </c>
      <c r="O326" s="20" t="n">
        <f aca="false">IF(Time!O$6&gt;=(DATE(YEAR(Inputs!$F$157)+Inputs!$F$164,1,1)-1),Inputs!$F$166/100*Inputs!$F$162*(1-(Inputs!$F$187*MIN(MAX(0,(Time!O$6-(DATE(YEAR(Inputs!$F$157)+Inputs!$F$164,1,1)-1))/Inputs!$F$27),1)+Inputs!$F$188*MIN(MAX(MAX(0,(Time!O$6-(DATE(YEAR(Inputs!$F$157)+Inputs!$F$164,1,1)-1))/Inputs!$F$27)-1,0),Inputs!$F$190-1)+Inputs!$F$189*MAX(MAX(0,(Time!O$6-(DATE(YEAR(Inputs!$F$157)+Inputs!$F$164,1,1)-1))/Inputs!$F$27)-Inputs!$F$190,0))/100),0)+IF(Time!O$6&gt;=(DATE(YEAR(Inputs!$F$157)+Inputs!$F$165,1,1)-1),Inputs!$F$166/100*Inputs!$F$162*(1-(Inputs!$F$187*MIN(MAX(0,(Time!O$6-(DATE(YEAR(Inputs!$F$157)+Inputs!$F$165,1,1)-1))/Inputs!$F$27),1)+Inputs!$F$188*MIN(MAX(MAX(0,(Time!O$6-(DATE(YEAR(Inputs!$F$157)+Inputs!$F$165,1,1)-1))/Inputs!$F$27)-1,0),Inputs!$F$190-1)+Inputs!$F$189*MAX(MAX(0,(Time!O$6-(DATE(YEAR(Inputs!$F$157)+Inputs!$F$165,1,1)-1))/Inputs!$F$27)-Inputs!$F$190,0))/100),0)</f>
        <v>0</v>
      </c>
      <c r="P326" s="20" t="n">
        <f aca="false">IF(Time!P$6&gt;=(DATE(YEAR(Inputs!$F$157)+Inputs!$F$164,1,1)-1),Inputs!$F$166/100*Inputs!$F$162*(1-(Inputs!$F$187*MIN(MAX(0,(Time!P$6-(DATE(YEAR(Inputs!$F$157)+Inputs!$F$164,1,1)-1))/Inputs!$F$27),1)+Inputs!$F$188*MIN(MAX(MAX(0,(Time!P$6-(DATE(YEAR(Inputs!$F$157)+Inputs!$F$164,1,1)-1))/Inputs!$F$27)-1,0),Inputs!$F$190-1)+Inputs!$F$189*MAX(MAX(0,(Time!P$6-(DATE(YEAR(Inputs!$F$157)+Inputs!$F$164,1,1)-1))/Inputs!$F$27)-Inputs!$F$190,0))/100),0)+IF(Time!P$6&gt;=(DATE(YEAR(Inputs!$F$157)+Inputs!$F$165,1,1)-1),Inputs!$F$166/100*Inputs!$F$162*(1-(Inputs!$F$187*MIN(MAX(0,(Time!P$6-(DATE(YEAR(Inputs!$F$157)+Inputs!$F$165,1,1)-1))/Inputs!$F$27),1)+Inputs!$F$188*MIN(MAX(MAX(0,(Time!P$6-(DATE(YEAR(Inputs!$F$157)+Inputs!$F$165,1,1)-1))/Inputs!$F$27)-1,0),Inputs!$F$190-1)+Inputs!$F$189*MAX(MAX(0,(Time!P$6-(DATE(YEAR(Inputs!$F$157)+Inputs!$F$165,1,1)-1))/Inputs!$F$27)-Inputs!$F$190,0))/100),0)</f>
        <v>18</v>
      </c>
      <c r="Q326" s="20" t="n">
        <f aca="false">IF(Time!Q$6&gt;=(DATE(YEAR(Inputs!$F$157)+Inputs!$F$164,1,1)-1),Inputs!$F$166/100*Inputs!$F$162*(1-(Inputs!$F$187*MIN(MAX(0,(Time!Q$6-(DATE(YEAR(Inputs!$F$157)+Inputs!$F$164,1,1)-1))/Inputs!$F$27),1)+Inputs!$F$188*MIN(MAX(MAX(0,(Time!Q$6-(DATE(YEAR(Inputs!$F$157)+Inputs!$F$164,1,1)-1))/Inputs!$F$27)-1,0),Inputs!$F$190-1)+Inputs!$F$189*MAX(MAX(0,(Time!Q$6-(DATE(YEAR(Inputs!$F$157)+Inputs!$F$164,1,1)-1))/Inputs!$F$27)-Inputs!$F$190,0))/100),0)+IF(Time!Q$6&gt;=(DATE(YEAR(Inputs!$F$157)+Inputs!$F$165,1,1)-1),Inputs!$F$166/100*Inputs!$F$162*(1-(Inputs!$F$187*MIN(MAX(0,(Time!Q$6-(DATE(YEAR(Inputs!$F$157)+Inputs!$F$165,1,1)-1))/Inputs!$F$27),1)+Inputs!$F$188*MIN(MAX(MAX(0,(Time!Q$6-(DATE(YEAR(Inputs!$F$157)+Inputs!$F$165,1,1)-1))/Inputs!$F$27)-1,0),Inputs!$F$190-1)+Inputs!$F$189*MAX(MAX(0,(Time!Q$6-(DATE(YEAR(Inputs!$F$157)+Inputs!$F$165,1,1)-1))/Inputs!$F$27)-Inputs!$F$190,0))/100),0)</f>
        <v>17.64</v>
      </c>
      <c r="R326" s="20" t="n">
        <f aca="false">IF(Time!R$6&gt;=(DATE(YEAR(Inputs!$F$157)+Inputs!$F$164,1,1)-1),Inputs!$F$166/100*Inputs!$F$162*(1-(Inputs!$F$187*MIN(MAX(0,(Time!R$6-(DATE(YEAR(Inputs!$F$157)+Inputs!$F$164,1,1)-1))/Inputs!$F$27),1)+Inputs!$F$188*MIN(MAX(MAX(0,(Time!R$6-(DATE(YEAR(Inputs!$F$157)+Inputs!$F$164,1,1)-1))/Inputs!$F$27)-1,0),Inputs!$F$190-1)+Inputs!$F$189*MAX(MAX(0,(Time!R$6-(DATE(YEAR(Inputs!$F$157)+Inputs!$F$164,1,1)-1))/Inputs!$F$27)-Inputs!$F$190,0))/100),0)+IF(Time!R$6&gt;=(DATE(YEAR(Inputs!$F$157)+Inputs!$F$165,1,1)-1),Inputs!$F$166/100*Inputs!$F$162*(1-(Inputs!$F$187*MIN(MAX(0,(Time!R$6-(DATE(YEAR(Inputs!$F$157)+Inputs!$F$165,1,1)-1))/Inputs!$F$27),1)+Inputs!$F$188*MIN(MAX(MAX(0,(Time!R$6-(DATE(YEAR(Inputs!$F$157)+Inputs!$F$165,1,1)-1))/Inputs!$F$27)-1,0),Inputs!$F$190-1)+Inputs!$F$189*MAX(MAX(0,(Time!R$6-(DATE(YEAR(Inputs!$F$157)+Inputs!$F$165,1,1)-1))/Inputs!$F$27)-Inputs!$F$190,0))/100),0)</f>
        <v>17.37</v>
      </c>
      <c r="S326" s="20" t="n">
        <f aca="false">IF(Time!S$6&gt;=(DATE(YEAR(Inputs!$F$157)+Inputs!$F$164,1,1)-1),Inputs!$F$166/100*Inputs!$F$162*(1-(Inputs!$F$187*MIN(MAX(0,(Time!S$6-(DATE(YEAR(Inputs!$F$157)+Inputs!$F$164,1,1)-1))/Inputs!$F$27),1)+Inputs!$F$188*MIN(MAX(MAX(0,(Time!S$6-(DATE(YEAR(Inputs!$F$157)+Inputs!$F$164,1,1)-1))/Inputs!$F$27)-1,0),Inputs!$F$190-1)+Inputs!$F$189*MAX(MAX(0,(Time!S$6-(DATE(YEAR(Inputs!$F$157)+Inputs!$F$164,1,1)-1))/Inputs!$F$27)-Inputs!$F$190,0))/100),0)+IF(Time!S$6&gt;=(DATE(YEAR(Inputs!$F$157)+Inputs!$F$165,1,1)-1),Inputs!$F$166/100*Inputs!$F$162*(1-(Inputs!$F$187*MIN(MAX(0,(Time!S$6-(DATE(YEAR(Inputs!$F$157)+Inputs!$F$165,1,1)-1))/Inputs!$F$27),1)+Inputs!$F$188*MIN(MAX(MAX(0,(Time!S$6-(DATE(YEAR(Inputs!$F$157)+Inputs!$F$165,1,1)-1))/Inputs!$F$27)-1,0),Inputs!$F$190-1)+Inputs!$F$189*MAX(MAX(0,(Time!S$6-(DATE(YEAR(Inputs!$F$157)+Inputs!$F$165,1,1)-1))/Inputs!$F$27)-Inputs!$F$190,0))/100),0)</f>
        <v>17.1</v>
      </c>
      <c r="T326" s="20" t="n">
        <f aca="false">IF(Time!T$6&gt;=(DATE(YEAR(Inputs!$F$157)+Inputs!$F$164,1,1)-1),Inputs!$F$166/100*Inputs!$F$162*(1-(Inputs!$F$187*MIN(MAX(0,(Time!T$6-(DATE(YEAR(Inputs!$F$157)+Inputs!$F$164,1,1)-1))/Inputs!$F$27),1)+Inputs!$F$188*MIN(MAX(MAX(0,(Time!T$6-(DATE(YEAR(Inputs!$F$157)+Inputs!$F$164,1,1)-1))/Inputs!$F$27)-1,0),Inputs!$F$190-1)+Inputs!$F$189*MAX(MAX(0,(Time!T$6-(DATE(YEAR(Inputs!$F$157)+Inputs!$F$164,1,1)-1))/Inputs!$F$27)-Inputs!$F$190,0))/100),0)+IF(Time!T$6&gt;=(DATE(YEAR(Inputs!$F$157)+Inputs!$F$165,1,1)-1),Inputs!$F$166/100*Inputs!$F$162*(1-(Inputs!$F$187*MIN(MAX(0,(Time!T$6-(DATE(YEAR(Inputs!$F$157)+Inputs!$F$165,1,1)-1))/Inputs!$F$27),1)+Inputs!$F$188*MIN(MAX(MAX(0,(Time!T$6-(DATE(YEAR(Inputs!$F$157)+Inputs!$F$165,1,1)-1))/Inputs!$F$27)-1,0),Inputs!$F$190-1)+Inputs!$F$189*MAX(MAX(0,(Time!T$6-(DATE(YEAR(Inputs!$F$157)+Inputs!$F$165,1,1)-1))/Inputs!$F$27)-Inputs!$F$190,0))/100),0)</f>
        <v>34.8292602739726</v>
      </c>
      <c r="U326" s="20" t="n">
        <f aca="false">IF(Time!U$6&gt;=(DATE(YEAR(Inputs!$F$157)+Inputs!$F$164,1,1)-1),Inputs!$F$166/100*Inputs!$F$162*(1-(Inputs!$F$187*MIN(MAX(0,(Time!U$6-(DATE(YEAR(Inputs!$F$157)+Inputs!$F$164,1,1)-1))/Inputs!$F$27),1)+Inputs!$F$188*MIN(MAX(MAX(0,(Time!U$6-(DATE(YEAR(Inputs!$F$157)+Inputs!$F$164,1,1)-1))/Inputs!$F$27)-1,0),Inputs!$F$190-1)+Inputs!$F$189*MAX(MAX(0,(Time!U$6-(DATE(YEAR(Inputs!$F$157)+Inputs!$F$164,1,1)-1))/Inputs!$F$27)-Inputs!$F$190,0))/100),0)+IF(Time!U$6&gt;=(DATE(YEAR(Inputs!$F$157)+Inputs!$F$165,1,1)-1),Inputs!$F$166/100*Inputs!$F$162*(1-(Inputs!$F$187*MIN(MAX(0,(Time!U$6-(DATE(YEAR(Inputs!$F$157)+Inputs!$F$165,1,1)-1))/Inputs!$F$27),1)+Inputs!$F$188*MIN(MAX(MAX(0,(Time!U$6-(DATE(YEAR(Inputs!$F$157)+Inputs!$F$165,1,1)-1))/Inputs!$F$27)-1,0),Inputs!$F$190-1)+Inputs!$F$189*MAX(MAX(0,(Time!U$6-(DATE(YEAR(Inputs!$F$157)+Inputs!$F$165,1,1)-1))/Inputs!$F$27)-Inputs!$F$190,0))/100),0)</f>
        <v>34.1992602739726</v>
      </c>
      <c r="V326" s="20" t="n">
        <f aca="false">IF(Time!V$6&gt;=(DATE(YEAR(Inputs!$F$157)+Inputs!$F$164,1,1)-1),Inputs!$F$166/100*Inputs!$F$162*(1-(Inputs!$F$187*MIN(MAX(0,(Time!V$6-(DATE(YEAR(Inputs!$F$157)+Inputs!$F$164,1,1)-1))/Inputs!$F$27),1)+Inputs!$F$188*MIN(MAX(MAX(0,(Time!V$6-(DATE(YEAR(Inputs!$F$157)+Inputs!$F$164,1,1)-1))/Inputs!$F$27)-1,0),Inputs!$F$190-1)+Inputs!$F$189*MAX(MAX(0,(Time!V$6-(DATE(YEAR(Inputs!$F$157)+Inputs!$F$164,1,1)-1))/Inputs!$F$27)-Inputs!$F$190,0))/100),0)+IF(Time!V$6&gt;=(DATE(YEAR(Inputs!$F$157)+Inputs!$F$165,1,1)-1),Inputs!$F$166/100*Inputs!$F$162*(1-(Inputs!$F$187*MIN(MAX(0,(Time!V$6-(DATE(YEAR(Inputs!$F$157)+Inputs!$F$165,1,1)-1))/Inputs!$F$27),1)+Inputs!$F$188*MIN(MAX(MAX(0,(Time!V$6-(DATE(YEAR(Inputs!$F$157)+Inputs!$F$165,1,1)-1))/Inputs!$F$27)-1,0),Inputs!$F$190-1)+Inputs!$F$189*MAX(MAX(0,(Time!V$6-(DATE(YEAR(Inputs!$F$157)+Inputs!$F$165,1,1)-1))/Inputs!$F$27)-Inputs!$F$190,0))/100),0)</f>
        <v>33.6592602739726</v>
      </c>
      <c r="W326" s="20" t="n">
        <f aca="false">IF(Time!W$6&gt;=(DATE(YEAR(Inputs!$F$157)+Inputs!$F$164,1,1)-1),Inputs!$F$166/100*Inputs!$F$162*(1-(Inputs!$F$187*MIN(MAX(0,(Time!W$6-(DATE(YEAR(Inputs!$F$157)+Inputs!$F$164,1,1)-1))/Inputs!$F$27),1)+Inputs!$F$188*MIN(MAX(MAX(0,(Time!W$6-(DATE(YEAR(Inputs!$F$157)+Inputs!$F$164,1,1)-1))/Inputs!$F$27)-1,0),Inputs!$F$190-1)+Inputs!$F$189*MAX(MAX(0,(Time!W$6-(DATE(YEAR(Inputs!$F$157)+Inputs!$F$164,1,1)-1))/Inputs!$F$27)-Inputs!$F$190,0))/100),0)+IF(Time!W$6&gt;=(DATE(YEAR(Inputs!$F$157)+Inputs!$F$165,1,1)-1),Inputs!$F$166/100*Inputs!$F$162*(1-(Inputs!$F$187*MIN(MAX(0,(Time!W$6-(DATE(YEAR(Inputs!$F$157)+Inputs!$F$165,1,1)-1))/Inputs!$F$27),1)+Inputs!$F$188*MIN(MAX(MAX(0,(Time!W$6-(DATE(YEAR(Inputs!$F$157)+Inputs!$F$165,1,1)-1))/Inputs!$F$27)-1,0),Inputs!$F$190-1)+Inputs!$F$189*MAX(MAX(0,(Time!W$6-(DATE(YEAR(Inputs!$F$157)+Inputs!$F$165,1,1)-1))/Inputs!$F$27)-Inputs!$F$190,0))/100),0)</f>
        <v>33.1192602739726</v>
      </c>
      <c r="X326" s="20" t="n">
        <f aca="false">IF(Time!X$6&gt;=(DATE(YEAR(Inputs!$F$157)+Inputs!$F$164,1,1)-1),Inputs!$F$166/100*Inputs!$F$162*(1-(Inputs!$F$187*MIN(MAX(0,(Time!X$6-(DATE(YEAR(Inputs!$F$157)+Inputs!$F$164,1,1)-1))/Inputs!$F$27),1)+Inputs!$F$188*MIN(MAX(MAX(0,(Time!X$6-(DATE(YEAR(Inputs!$F$157)+Inputs!$F$164,1,1)-1))/Inputs!$F$27)-1,0),Inputs!$F$190-1)+Inputs!$F$189*MAX(MAX(0,(Time!X$6-(DATE(YEAR(Inputs!$F$157)+Inputs!$F$164,1,1)-1))/Inputs!$F$27)-Inputs!$F$190,0))/100),0)+IF(Time!X$6&gt;=(DATE(YEAR(Inputs!$F$157)+Inputs!$F$165,1,1)-1),Inputs!$F$166/100*Inputs!$F$162*(1-(Inputs!$F$187*MIN(MAX(0,(Time!X$6-(DATE(YEAR(Inputs!$F$157)+Inputs!$F$165,1,1)-1))/Inputs!$F$27),1)+Inputs!$F$188*MIN(MAX(MAX(0,(Time!X$6-(DATE(YEAR(Inputs!$F$157)+Inputs!$F$165,1,1)-1))/Inputs!$F$27)-1,0),Inputs!$F$190-1)+Inputs!$F$189*MAX(MAX(0,(Time!X$6-(DATE(YEAR(Inputs!$F$157)+Inputs!$F$165,1,1)-1))/Inputs!$F$27)-Inputs!$F$190,0))/100),0)</f>
        <v>32.5777808219178</v>
      </c>
      <c r="Y326" s="20" t="n">
        <f aca="false">IF(Time!Y$6&gt;=(DATE(YEAR(Inputs!$F$157)+Inputs!$F$164,1,1)-1),Inputs!$F$166/100*Inputs!$F$162*(1-(Inputs!$F$187*MIN(MAX(0,(Time!Y$6-(DATE(YEAR(Inputs!$F$157)+Inputs!$F$164,1,1)-1))/Inputs!$F$27),1)+Inputs!$F$188*MIN(MAX(MAX(0,(Time!Y$6-(DATE(YEAR(Inputs!$F$157)+Inputs!$F$164,1,1)-1))/Inputs!$F$27)-1,0),Inputs!$F$190-1)+Inputs!$F$189*MAX(MAX(0,(Time!Y$6-(DATE(YEAR(Inputs!$F$157)+Inputs!$F$164,1,1)-1))/Inputs!$F$27)-Inputs!$F$190,0))/100),0)+IF(Time!Y$6&gt;=(DATE(YEAR(Inputs!$F$157)+Inputs!$F$165,1,1)-1),Inputs!$F$166/100*Inputs!$F$162*(1-(Inputs!$F$187*MIN(MAX(0,(Time!Y$6-(DATE(YEAR(Inputs!$F$157)+Inputs!$F$165,1,1)-1))/Inputs!$F$27),1)+Inputs!$F$188*MIN(MAX(MAX(0,(Time!Y$6-(DATE(YEAR(Inputs!$F$157)+Inputs!$F$165,1,1)-1))/Inputs!$F$27)-1,0),Inputs!$F$190-1)+Inputs!$F$189*MAX(MAX(0,(Time!Y$6-(DATE(YEAR(Inputs!$F$157)+Inputs!$F$165,1,1)-1))/Inputs!$F$27)-Inputs!$F$190,0))/100),0)</f>
        <v>32.0377808219178</v>
      </c>
      <c r="Z326" s="20" t="n">
        <f aca="false">IF(Time!Z$6&gt;=(DATE(YEAR(Inputs!$F$157)+Inputs!$F$164,1,1)-1),Inputs!$F$166/100*Inputs!$F$162*(1-(Inputs!$F$187*MIN(MAX(0,(Time!Z$6-(DATE(YEAR(Inputs!$F$157)+Inputs!$F$164,1,1)-1))/Inputs!$F$27),1)+Inputs!$F$188*MIN(MAX(MAX(0,(Time!Z$6-(DATE(YEAR(Inputs!$F$157)+Inputs!$F$164,1,1)-1))/Inputs!$F$27)-1,0),Inputs!$F$190-1)+Inputs!$F$189*MAX(MAX(0,(Time!Z$6-(DATE(YEAR(Inputs!$F$157)+Inputs!$F$164,1,1)-1))/Inputs!$F$27)-Inputs!$F$190,0))/100),0)+IF(Time!Z$6&gt;=(DATE(YEAR(Inputs!$F$157)+Inputs!$F$165,1,1)-1),Inputs!$F$166/100*Inputs!$F$162*(1-(Inputs!$F$187*MIN(MAX(0,(Time!Z$6-(DATE(YEAR(Inputs!$F$157)+Inputs!$F$165,1,1)-1))/Inputs!$F$27),1)+Inputs!$F$188*MIN(MAX(MAX(0,(Time!Z$6-(DATE(YEAR(Inputs!$F$157)+Inputs!$F$165,1,1)-1))/Inputs!$F$27)-1,0),Inputs!$F$190-1)+Inputs!$F$189*MAX(MAX(0,(Time!Z$6-(DATE(YEAR(Inputs!$F$157)+Inputs!$F$165,1,1)-1))/Inputs!$F$27)-Inputs!$F$190,0))/100),0)</f>
        <v>31.4982739726027</v>
      </c>
      <c r="AA326" s="20" t="n">
        <f aca="false">IF(Time!AA$6&gt;=(DATE(YEAR(Inputs!$F$157)+Inputs!$F$164,1,1)-1),Inputs!$F$166/100*Inputs!$F$162*(1-(Inputs!$F$187*MIN(MAX(0,(Time!AA$6-(DATE(YEAR(Inputs!$F$157)+Inputs!$F$164,1,1)-1))/Inputs!$F$27),1)+Inputs!$F$188*MIN(MAX(MAX(0,(Time!AA$6-(DATE(YEAR(Inputs!$F$157)+Inputs!$F$164,1,1)-1))/Inputs!$F$27)-1,0),Inputs!$F$190-1)+Inputs!$F$189*MAX(MAX(0,(Time!AA$6-(DATE(YEAR(Inputs!$F$157)+Inputs!$F$164,1,1)-1))/Inputs!$F$27)-Inputs!$F$190,0))/100),0)+IF(Time!AA$6&gt;=(DATE(YEAR(Inputs!$F$157)+Inputs!$F$165,1,1)-1),Inputs!$F$166/100*Inputs!$F$162*(1-(Inputs!$F$187*MIN(MAX(0,(Time!AA$6-(DATE(YEAR(Inputs!$F$157)+Inputs!$F$165,1,1)-1))/Inputs!$F$27),1)+Inputs!$F$188*MIN(MAX(MAX(0,(Time!AA$6-(DATE(YEAR(Inputs!$F$157)+Inputs!$F$165,1,1)-1))/Inputs!$F$27)-1,0),Inputs!$F$190-1)+Inputs!$F$189*MAX(MAX(0,(Time!AA$6-(DATE(YEAR(Inputs!$F$157)+Inputs!$F$165,1,1)-1))/Inputs!$F$27)-Inputs!$F$190,0))/100),0)</f>
        <v>31.0482739726027</v>
      </c>
      <c r="AB326" s="20" t="n">
        <f aca="false">IF(Time!AB$6&gt;=(DATE(YEAR(Inputs!$F$157)+Inputs!$F$164,1,1)-1),Inputs!$F$166/100*Inputs!$F$162*(1-(Inputs!$F$187*MIN(MAX(0,(Time!AB$6-(DATE(YEAR(Inputs!$F$157)+Inputs!$F$164,1,1)-1))/Inputs!$F$27),1)+Inputs!$F$188*MIN(MAX(MAX(0,(Time!AB$6-(DATE(YEAR(Inputs!$F$157)+Inputs!$F$164,1,1)-1))/Inputs!$F$27)-1,0),Inputs!$F$190-1)+Inputs!$F$189*MAX(MAX(0,(Time!AB$6-(DATE(YEAR(Inputs!$F$157)+Inputs!$F$164,1,1)-1))/Inputs!$F$27)-Inputs!$F$190,0))/100),0)+IF(Time!AB$6&gt;=(DATE(YEAR(Inputs!$F$157)+Inputs!$F$165,1,1)-1),Inputs!$F$166/100*Inputs!$F$162*(1-(Inputs!$F$187*MIN(MAX(0,(Time!AB$6-(DATE(YEAR(Inputs!$F$157)+Inputs!$F$165,1,1)-1))/Inputs!$F$27),1)+Inputs!$F$188*MIN(MAX(MAX(0,(Time!AB$6-(DATE(YEAR(Inputs!$F$157)+Inputs!$F$165,1,1)-1))/Inputs!$F$27)-1,0),Inputs!$F$190-1)+Inputs!$F$189*MAX(MAX(0,(Time!AB$6-(DATE(YEAR(Inputs!$F$157)+Inputs!$F$165,1,1)-1))/Inputs!$F$27)-Inputs!$F$190,0))/100),0)</f>
        <v>30.5970410958904</v>
      </c>
      <c r="AC326" s="20" t="n">
        <f aca="false">IF(Time!AC$6&gt;=(DATE(YEAR(Inputs!$F$157)+Inputs!$F$164,1,1)-1),Inputs!$F$166/100*Inputs!$F$162*(1-(Inputs!$F$187*MIN(MAX(0,(Time!AC$6-(DATE(YEAR(Inputs!$F$157)+Inputs!$F$164,1,1)-1))/Inputs!$F$27),1)+Inputs!$F$188*MIN(MAX(MAX(0,(Time!AC$6-(DATE(YEAR(Inputs!$F$157)+Inputs!$F$164,1,1)-1))/Inputs!$F$27)-1,0),Inputs!$F$190-1)+Inputs!$F$189*MAX(MAX(0,(Time!AC$6-(DATE(YEAR(Inputs!$F$157)+Inputs!$F$164,1,1)-1))/Inputs!$F$27)-Inputs!$F$190,0))/100),0)+IF(Time!AC$6&gt;=(DATE(YEAR(Inputs!$F$157)+Inputs!$F$165,1,1)-1),Inputs!$F$166/100*Inputs!$F$162*(1-(Inputs!$F$187*MIN(MAX(0,(Time!AC$6-(DATE(YEAR(Inputs!$F$157)+Inputs!$F$165,1,1)-1))/Inputs!$F$27),1)+Inputs!$F$188*MIN(MAX(MAX(0,(Time!AC$6-(DATE(YEAR(Inputs!$F$157)+Inputs!$F$165,1,1)-1))/Inputs!$F$27)-1,0),Inputs!$F$190-1)+Inputs!$F$189*MAX(MAX(0,(Time!AC$6-(DATE(YEAR(Inputs!$F$157)+Inputs!$F$165,1,1)-1))/Inputs!$F$27)-Inputs!$F$190,0))/100),0)</f>
        <v>30.1470410958904</v>
      </c>
      <c r="AD326" s="20" t="n">
        <f aca="false">IF(Time!AD$6&gt;=(DATE(YEAR(Inputs!$F$157)+Inputs!$F$164,1,1)-1),Inputs!$F$166/100*Inputs!$F$162*(1-(Inputs!$F$187*MIN(MAX(0,(Time!AD$6-(DATE(YEAR(Inputs!$F$157)+Inputs!$F$164,1,1)-1))/Inputs!$F$27),1)+Inputs!$F$188*MIN(MAX(MAX(0,(Time!AD$6-(DATE(YEAR(Inputs!$F$157)+Inputs!$F$164,1,1)-1))/Inputs!$F$27)-1,0),Inputs!$F$190-1)+Inputs!$F$189*MAX(MAX(0,(Time!AD$6-(DATE(YEAR(Inputs!$F$157)+Inputs!$F$164,1,1)-1))/Inputs!$F$27)-Inputs!$F$190,0))/100),0)+IF(Time!AD$6&gt;=(DATE(YEAR(Inputs!$F$157)+Inputs!$F$165,1,1)-1),Inputs!$F$166/100*Inputs!$F$162*(1-(Inputs!$F$187*MIN(MAX(0,(Time!AD$6-(DATE(YEAR(Inputs!$F$157)+Inputs!$F$165,1,1)-1))/Inputs!$F$27),1)+Inputs!$F$188*MIN(MAX(MAX(0,(Time!AD$6-(DATE(YEAR(Inputs!$F$157)+Inputs!$F$165,1,1)-1))/Inputs!$F$27)-1,0),Inputs!$F$190-1)+Inputs!$F$189*MAX(MAX(0,(Time!AD$6-(DATE(YEAR(Inputs!$F$157)+Inputs!$F$165,1,1)-1))/Inputs!$F$27)-Inputs!$F$190,0))/100),0)</f>
        <v>29.6975342465753</v>
      </c>
      <c r="AE326" s="20" t="n">
        <f aca="false">IF(Time!AE$6&gt;=(DATE(YEAR(Inputs!$F$157)+Inputs!$F$164,1,1)-1),Inputs!$F$166/100*Inputs!$F$162*(1-(Inputs!$F$187*MIN(MAX(0,(Time!AE$6-(DATE(YEAR(Inputs!$F$157)+Inputs!$F$164,1,1)-1))/Inputs!$F$27),1)+Inputs!$F$188*MIN(MAX(MAX(0,(Time!AE$6-(DATE(YEAR(Inputs!$F$157)+Inputs!$F$164,1,1)-1))/Inputs!$F$27)-1,0),Inputs!$F$190-1)+Inputs!$F$189*MAX(MAX(0,(Time!AE$6-(DATE(YEAR(Inputs!$F$157)+Inputs!$F$164,1,1)-1))/Inputs!$F$27)-Inputs!$F$190,0))/100),0)+IF(Time!AE$6&gt;=(DATE(YEAR(Inputs!$F$157)+Inputs!$F$165,1,1)-1),Inputs!$F$166/100*Inputs!$F$162*(1-(Inputs!$F$187*MIN(MAX(0,(Time!AE$6-(DATE(YEAR(Inputs!$F$157)+Inputs!$F$165,1,1)-1))/Inputs!$F$27),1)+Inputs!$F$188*MIN(MAX(MAX(0,(Time!AE$6-(DATE(YEAR(Inputs!$F$157)+Inputs!$F$165,1,1)-1))/Inputs!$F$27)-1,0),Inputs!$F$190-1)+Inputs!$F$189*MAX(MAX(0,(Time!AE$6-(DATE(YEAR(Inputs!$F$157)+Inputs!$F$165,1,1)-1))/Inputs!$F$27)-Inputs!$F$190,0))/100),0)</f>
        <v>29.3375342465753</v>
      </c>
      <c r="AF326" s="20" t="n">
        <f aca="false">IF(Time!AF$6&gt;=(DATE(YEAR(Inputs!$F$157)+Inputs!$F$164,1,1)-1),Inputs!$F$166/100*Inputs!$F$162*(1-(Inputs!$F$187*MIN(MAX(0,(Time!AF$6-(DATE(YEAR(Inputs!$F$157)+Inputs!$F$164,1,1)-1))/Inputs!$F$27),1)+Inputs!$F$188*MIN(MAX(MAX(0,(Time!AF$6-(DATE(YEAR(Inputs!$F$157)+Inputs!$F$164,1,1)-1))/Inputs!$F$27)-1,0),Inputs!$F$190-1)+Inputs!$F$189*MAX(MAX(0,(Time!AF$6-(DATE(YEAR(Inputs!$F$157)+Inputs!$F$164,1,1)-1))/Inputs!$F$27)-Inputs!$F$190,0))/100),0)+IF(Time!AF$6&gt;=(DATE(YEAR(Inputs!$F$157)+Inputs!$F$165,1,1)-1),Inputs!$F$166/100*Inputs!$F$162*(1-(Inputs!$F$187*MIN(MAX(0,(Time!AF$6-(DATE(YEAR(Inputs!$F$157)+Inputs!$F$165,1,1)-1))/Inputs!$F$27),1)+Inputs!$F$188*MIN(MAX(MAX(0,(Time!AF$6-(DATE(YEAR(Inputs!$F$157)+Inputs!$F$165,1,1)-1))/Inputs!$F$27)-1,0),Inputs!$F$190-1)+Inputs!$F$189*MAX(MAX(0,(Time!AF$6-(DATE(YEAR(Inputs!$F$157)+Inputs!$F$165,1,1)-1))/Inputs!$F$27)-Inputs!$F$190,0))/100),0)</f>
        <v>28.9765479452055</v>
      </c>
      <c r="AG326" s="20" t="n">
        <f aca="false">IF(Time!AG$6&gt;=(DATE(YEAR(Inputs!$F$157)+Inputs!$F$164,1,1)-1),Inputs!$F$166/100*Inputs!$F$162*(1-(Inputs!$F$187*MIN(MAX(0,(Time!AG$6-(DATE(YEAR(Inputs!$F$157)+Inputs!$F$164,1,1)-1))/Inputs!$F$27),1)+Inputs!$F$188*MIN(MAX(MAX(0,(Time!AG$6-(DATE(YEAR(Inputs!$F$157)+Inputs!$F$164,1,1)-1))/Inputs!$F$27)-1,0),Inputs!$F$190-1)+Inputs!$F$189*MAX(MAX(0,(Time!AG$6-(DATE(YEAR(Inputs!$F$157)+Inputs!$F$164,1,1)-1))/Inputs!$F$27)-Inputs!$F$190,0))/100),0)+IF(Time!AG$6&gt;=(DATE(YEAR(Inputs!$F$157)+Inputs!$F$165,1,1)-1),Inputs!$F$166/100*Inputs!$F$162*(1-(Inputs!$F$187*MIN(MAX(0,(Time!AG$6-(DATE(YEAR(Inputs!$F$157)+Inputs!$F$165,1,1)-1))/Inputs!$F$27),1)+Inputs!$F$188*MIN(MAX(MAX(0,(Time!AG$6-(DATE(YEAR(Inputs!$F$157)+Inputs!$F$165,1,1)-1))/Inputs!$F$27)-1,0),Inputs!$F$190-1)+Inputs!$F$189*MAX(MAX(0,(Time!AG$6-(DATE(YEAR(Inputs!$F$157)+Inputs!$F$165,1,1)-1))/Inputs!$F$27)-Inputs!$F$190,0))/100),0)</f>
        <v>28.6165479452055</v>
      </c>
      <c r="AH326" s="20" t="n">
        <f aca="false">IF(Time!AH$6&gt;=(DATE(YEAR(Inputs!$F$157)+Inputs!$F$164,1,1)-1),Inputs!$F$166/100*Inputs!$F$162*(1-(Inputs!$F$187*MIN(MAX(0,(Time!AH$6-(DATE(YEAR(Inputs!$F$157)+Inputs!$F$164,1,1)-1))/Inputs!$F$27),1)+Inputs!$F$188*MIN(MAX(MAX(0,(Time!AH$6-(DATE(YEAR(Inputs!$F$157)+Inputs!$F$164,1,1)-1))/Inputs!$F$27)-1,0),Inputs!$F$190-1)+Inputs!$F$189*MAX(MAX(0,(Time!AH$6-(DATE(YEAR(Inputs!$F$157)+Inputs!$F$164,1,1)-1))/Inputs!$F$27)-Inputs!$F$190,0))/100),0)+IF(Time!AH$6&gt;=(DATE(YEAR(Inputs!$F$157)+Inputs!$F$165,1,1)-1),Inputs!$F$166/100*Inputs!$F$162*(1-(Inputs!$F$187*MIN(MAX(0,(Time!AH$6-(DATE(YEAR(Inputs!$F$157)+Inputs!$F$165,1,1)-1))/Inputs!$F$27),1)+Inputs!$F$188*MIN(MAX(MAX(0,(Time!AH$6-(DATE(YEAR(Inputs!$F$157)+Inputs!$F$165,1,1)-1))/Inputs!$F$27)-1,0),Inputs!$F$190-1)+Inputs!$F$189*MAX(MAX(0,(Time!AH$6-(DATE(YEAR(Inputs!$F$157)+Inputs!$F$165,1,1)-1))/Inputs!$F$27)-Inputs!$F$190,0))/100),0)</f>
        <v>28.2565479452055</v>
      </c>
      <c r="AI326" s="20" t="n">
        <f aca="false">IF(Time!AI$6&gt;=(DATE(YEAR(Inputs!$F$157)+Inputs!$F$164,1,1)-1),Inputs!$F$166/100*Inputs!$F$162*(1-(Inputs!$F$187*MIN(MAX(0,(Time!AI$6-(DATE(YEAR(Inputs!$F$157)+Inputs!$F$164,1,1)-1))/Inputs!$F$27),1)+Inputs!$F$188*MIN(MAX(MAX(0,(Time!AI$6-(DATE(YEAR(Inputs!$F$157)+Inputs!$F$164,1,1)-1))/Inputs!$F$27)-1,0),Inputs!$F$190-1)+Inputs!$F$189*MAX(MAX(0,(Time!AI$6-(DATE(YEAR(Inputs!$F$157)+Inputs!$F$164,1,1)-1))/Inputs!$F$27)-Inputs!$F$190,0))/100),0)+IF(Time!AI$6&gt;=(DATE(YEAR(Inputs!$F$157)+Inputs!$F$165,1,1)-1),Inputs!$F$166/100*Inputs!$F$162*(1-(Inputs!$F$187*MIN(MAX(0,(Time!AI$6-(DATE(YEAR(Inputs!$F$157)+Inputs!$F$165,1,1)-1))/Inputs!$F$27),1)+Inputs!$F$188*MIN(MAX(MAX(0,(Time!AI$6-(DATE(YEAR(Inputs!$F$157)+Inputs!$F$165,1,1)-1))/Inputs!$F$27)-1,0),Inputs!$F$190-1)+Inputs!$F$189*MAX(MAX(0,(Time!AI$6-(DATE(YEAR(Inputs!$F$157)+Inputs!$F$165,1,1)-1))/Inputs!$F$27)-Inputs!$F$190,0))/100),0)</f>
        <v>27.8965479452055</v>
      </c>
      <c r="AJ326" s="20" t="n">
        <f aca="false">IF(Time!AJ$6&gt;=(DATE(YEAR(Inputs!$F$157)+Inputs!$F$164,1,1)-1),Inputs!$F$166/100*Inputs!$F$162*(1-(Inputs!$F$187*MIN(MAX(0,(Time!AJ$6-(DATE(YEAR(Inputs!$F$157)+Inputs!$F$164,1,1)-1))/Inputs!$F$27),1)+Inputs!$F$188*MIN(MAX(MAX(0,(Time!AJ$6-(DATE(YEAR(Inputs!$F$157)+Inputs!$F$164,1,1)-1))/Inputs!$F$27)-1,0),Inputs!$F$190-1)+Inputs!$F$189*MAX(MAX(0,(Time!AJ$6-(DATE(YEAR(Inputs!$F$157)+Inputs!$F$164,1,1)-1))/Inputs!$F$27)-Inputs!$F$190,0))/100),0)+IF(Time!AJ$6&gt;=(DATE(YEAR(Inputs!$F$157)+Inputs!$F$165,1,1)-1),Inputs!$F$166/100*Inputs!$F$162*(1-(Inputs!$F$187*MIN(MAX(0,(Time!AJ$6-(DATE(YEAR(Inputs!$F$157)+Inputs!$F$165,1,1)-1))/Inputs!$F$27),1)+Inputs!$F$188*MIN(MAX(MAX(0,(Time!AJ$6-(DATE(YEAR(Inputs!$F$157)+Inputs!$F$165,1,1)-1))/Inputs!$F$27)-1,0),Inputs!$F$190-1)+Inputs!$F$189*MAX(MAX(0,(Time!AJ$6-(DATE(YEAR(Inputs!$F$157)+Inputs!$F$165,1,1)-1))/Inputs!$F$27)-Inputs!$F$190,0))/100),0)</f>
        <v>27.5355616438356</v>
      </c>
      <c r="AK326" s="20" t="n">
        <f aca="false">IF(Time!AK$6&gt;=(DATE(YEAR(Inputs!$F$157)+Inputs!$F$164,1,1)-1),Inputs!$F$166/100*Inputs!$F$162*(1-(Inputs!$F$187*MIN(MAX(0,(Time!AK$6-(DATE(YEAR(Inputs!$F$157)+Inputs!$F$164,1,1)-1))/Inputs!$F$27),1)+Inputs!$F$188*MIN(MAX(MAX(0,(Time!AK$6-(DATE(YEAR(Inputs!$F$157)+Inputs!$F$164,1,1)-1))/Inputs!$F$27)-1,0),Inputs!$F$190-1)+Inputs!$F$189*MAX(MAX(0,(Time!AK$6-(DATE(YEAR(Inputs!$F$157)+Inputs!$F$164,1,1)-1))/Inputs!$F$27)-Inputs!$F$190,0))/100),0)+IF(Time!AK$6&gt;=(DATE(YEAR(Inputs!$F$157)+Inputs!$F$165,1,1)-1),Inputs!$F$166/100*Inputs!$F$162*(1-(Inputs!$F$187*MIN(MAX(0,(Time!AK$6-(DATE(YEAR(Inputs!$F$157)+Inputs!$F$165,1,1)-1))/Inputs!$F$27),1)+Inputs!$F$188*MIN(MAX(MAX(0,(Time!AK$6-(DATE(YEAR(Inputs!$F$157)+Inputs!$F$165,1,1)-1))/Inputs!$F$27)-1,0),Inputs!$F$190-1)+Inputs!$F$189*MAX(MAX(0,(Time!AK$6-(DATE(YEAR(Inputs!$F$157)+Inputs!$F$165,1,1)-1))/Inputs!$F$27)-Inputs!$F$190,0))/100),0)</f>
        <v>27.1755616438356</v>
      </c>
      <c r="AL326" s="20" t="n">
        <f aca="false">IF(Time!AL$6&gt;=(DATE(YEAR(Inputs!$F$157)+Inputs!$F$164,1,1)-1),Inputs!$F$166/100*Inputs!$F$162*(1-(Inputs!$F$187*MIN(MAX(0,(Time!AL$6-(DATE(YEAR(Inputs!$F$157)+Inputs!$F$164,1,1)-1))/Inputs!$F$27),1)+Inputs!$F$188*MIN(MAX(MAX(0,(Time!AL$6-(DATE(YEAR(Inputs!$F$157)+Inputs!$F$164,1,1)-1))/Inputs!$F$27)-1,0),Inputs!$F$190-1)+Inputs!$F$189*MAX(MAX(0,(Time!AL$6-(DATE(YEAR(Inputs!$F$157)+Inputs!$F$164,1,1)-1))/Inputs!$F$27)-Inputs!$F$190,0))/100),0)+IF(Time!AL$6&gt;=(DATE(YEAR(Inputs!$F$157)+Inputs!$F$165,1,1)-1),Inputs!$F$166/100*Inputs!$F$162*(1-(Inputs!$F$187*MIN(MAX(0,(Time!AL$6-(DATE(YEAR(Inputs!$F$157)+Inputs!$F$165,1,1)-1))/Inputs!$F$27),1)+Inputs!$F$188*MIN(MAX(MAX(0,(Time!AL$6-(DATE(YEAR(Inputs!$F$157)+Inputs!$F$165,1,1)-1))/Inputs!$F$27)-1,0),Inputs!$F$190-1)+Inputs!$F$189*MAX(MAX(0,(Time!AL$6-(DATE(YEAR(Inputs!$F$157)+Inputs!$F$165,1,1)-1))/Inputs!$F$27)-Inputs!$F$190,0))/100),0)</f>
        <v>26.8155616438356</v>
      </c>
      <c r="AM326" s="20" t="n">
        <f aca="false">IF(Time!AM$6&gt;=(DATE(YEAR(Inputs!$F$157)+Inputs!$F$164,1,1)-1),Inputs!$F$166/100*Inputs!$F$162*(1-(Inputs!$F$187*MIN(MAX(0,(Time!AM$6-(DATE(YEAR(Inputs!$F$157)+Inputs!$F$164,1,1)-1))/Inputs!$F$27),1)+Inputs!$F$188*MIN(MAX(MAX(0,(Time!AM$6-(DATE(YEAR(Inputs!$F$157)+Inputs!$F$164,1,1)-1))/Inputs!$F$27)-1,0),Inputs!$F$190-1)+Inputs!$F$189*MAX(MAX(0,(Time!AM$6-(DATE(YEAR(Inputs!$F$157)+Inputs!$F$164,1,1)-1))/Inputs!$F$27)-Inputs!$F$190,0))/100),0)+IF(Time!AM$6&gt;=(DATE(YEAR(Inputs!$F$157)+Inputs!$F$165,1,1)-1),Inputs!$F$166/100*Inputs!$F$162*(1-(Inputs!$F$187*MIN(MAX(0,(Time!AM$6-(DATE(YEAR(Inputs!$F$157)+Inputs!$F$165,1,1)-1))/Inputs!$F$27),1)+Inputs!$F$188*MIN(MAX(MAX(0,(Time!AM$6-(DATE(YEAR(Inputs!$F$157)+Inputs!$F$165,1,1)-1))/Inputs!$F$27)-1,0),Inputs!$F$190-1)+Inputs!$F$189*MAX(MAX(0,(Time!AM$6-(DATE(YEAR(Inputs!$F$157)+Inputs!$F$165,1,1)-1))/Inputs!$F$27)-Inputs!$F$190,0))/100),0)</f>
        <v>26.4555616438356</v>
      </c>
      <c r="AN326" s="20" t="n">
        <f aca="false">IF(Time!AN$6&gt;=(DATE(YEAR(Inputs!$F$157)+Inputs!$F$164,1,1)-1),Inputs!$F$166/100*Inputs!$F$162*(1-(Inputs!$F$187*MIN(MAX(0,(Time!AN$6-(DATE(YEAR(Inputs!$F$157)+Inputs!$F$164,1,1)-1))/Inputs!$F$27),1)+Inputs!$F$188*MIN(MAX(MAX(0,(Time!AN$6-(DATE(YEAR(Inputs!$F$157)+Inputs!$F$164,1,1)-1))/Inputs!$F$27)-1,0),Inputs!$F$190-1)+Inputs!$F$189*MAX(MAX(0,(Time!AN$6-(DATE(YEAR(Inputs!$F$157)+Inputs!$F$164,1,1)-1))/Inputs!$F$27)-Inputs!$F$190,0))/100),0)+IF(Time!AN$6&gt;=(DATE(YEAR(Inputs!$F$157)+Inputs!$F$165,1,1)-1),Inputs!$F$166/100*Inputs!$F$162*(1-(Inputs!$F$187*MIN(MAX(0,(Time!AN$6-(DATE(YEAR(Inputs!$F$157)+Inputs!$F$165,1,1)-1))/Inputs!$F$27),1)+Inputs!$F$188*MIN(MAX(MAX(0,(Time!AN$6-(DATE(YEAR(Inputs!$F$157)+Inputs!$F$165,1,1)-1))/Inputs!$F$27)-1,0),Inputs!$F$190-1)+Inputs!$F$189*MAX(MAX(0,(Time!AN$6-(DATE(YEAR(Inputs!$F$157)+Inputs!$F$165,1,1)-1))/Inputs!$F$27)-Inputs!$F$190,0))/100),0)</f>
        <v>26.0945753424658</v>
      </c>
      <c r="AO326" s="20" t="n">
        <f aca="false">IF(Time!AO$6&gt;=(DATE(YEAR(Inputs!$F$157)+Inputs!$F$164,1,1)-1),Inputs!$F$166/100*Inputs!$F$162*(1-(Inputs!$F$187*MIN(MAX(0,(Time!AO$6-(DATE(YEAR(Inputs!$F$157)+Inputs!$F$164,1,1)-1))/Inputs!$F$27),1)+Inputs!$F$188*MIN(MAX(MAX(0,(Time!AO$6-(DATE(YEAR(Inputs!$F$157)+Inputs!$F$164,1,1)-1))/Inputs!$F$27)-1,0),Inputs!$F$190-1)+Inputs!$F$189*MAX(MAX(0,(Time!AO$6-(DATE(YEAR(Inputs!$F$157)+Inputs!$F$164,1,1)-1))/Inputs!$F$27)-Inputs!$F$190,0))/100),0)+IF(Time!AO$6&gt;=(DATE(YEAR(Inputs!$F$157)+Inputs!$F$165,1,1)-1),Inputs!$F$166/100*Inputs!$F$162*(1-(Inputs!$F$187*MIN(MAX(0,(Time!AO$6-(DATE(YEAR(Inputs!$F$157)+Inputs!$F$165,1,1)-1))/Inputs!$F$27),1)+Inputs!$F$188*MIN(MAX(MAX(0,(Time!AO$6-(DATE(YEAR(Inputs!$F$157)+Inputs!$F$165,1,1)-1))/Inputs!$F$27)-1,0),Inputs!$F$190-1)+Inputs!$F$189*MAX(MAX(0,(Time!AO$6-(DATE(YEAR(Inputs!$F$157)+Inputs!$F$165,1,1)-1))/Inputs!$F$27)-Inputs!$F$190,0))/100),0)</f>
        <v>25.7345753424658</v>
      </c>
      <c r="AP326" s="20" t="n">
        <f aca="false">IF(Time!AP$6&gt;=(DATE(YEAR(Inputs!$F$157)+Inputs!$F$164,1,1)-1),Inputs!$F$166/100*Inputs!$F$162*(1-(Inputs!$F$187*MIN(MAX(0,(Time!AP$6-(DATE(YEAR(Inputs!$F$157)+Inputs!$F$164,1,1)-1))/Inputs!$F$27),1)+Inputs!$F$188*MIN(MAX(MAX(0,(Time!AP$6-(DATE(YEAR(Inputs!$F$157)+Inputs!$F$164,1,1)-1))/Inputs!$F$27)-1,0),Inputs!$F$190-1)+Inputs!$F$189*MAX(MAX(0,(Time!AP$6-(DATE(YEAR(Inputs!$F$157)+Inputs!$F$164,1,1)-1))/Inputs!$F$27)-Inputs!$F$190,0))/100),0)+IF(Time!AP$6&gt;=(DATE(YEAR(Inputs!$F$157)+Inputs!$F$165,1,1)-1),Inputs!$F$166/100*Inputs!$F$162*(1-(Inputs!$F$187*MIN(MAX(0,(Time!AP$6-(DATE(YEAR(Inputs!$F$157)+Inputs!$F$165,1,1)-1))/Inputs!$F$27),1)+Inputs!$F$188*MIN(MAX(MAX(0,(Time!AP$6-(DATE(YEAR(Inputs!$F$157)+Inputs!$F$165,1,1)-1))/Inputs!$F$27)-1,0),Inputs!$F$190-1)+Inputs!$F$189*MAX(MAX(0,(Time!AP$6-(DATE(YEAR(Inputs!$F$157)+Inputs!$F$165,1,1)-1))/Inputs!$F$27)-Inputs!$F$190,0))/100),0)</f>
        <v>25.3745753424658</v>
      </c>
      <c r="AQ326" s="20" t="n">
        <f aca="false">IF(Time!AQ$6&gt;=(DATE(YEAR(Inputs!$F$157)+Inputs!$F$164,1,1)-1),Inputs!$F$166/100*Inputs!$F$162*(1-(Inputs!$F$187*MIN(MAX(0,(Time!AQ$6-(DATE(YEAR(Inputs!$F$157)+Inputs!$F$164,1,1)-1))/Inputs!$F$27),1)+Inputs!$F$188*MIN(MAX(MAX(0,(Time!AQ$6-(DATE(YEAR(Inputs!$F$157)+Inputs!$F$164,1,1)-1))/Inputs!$F$27)-1,0),Inputs!$F$190-1)+Inputs!$F$189*MAX(MAX(0,(Time!AQ$6-(DATE(YEAR(Inputs!$F$157)+Inputs!$F$164,1,1)-1))/Inputs!$F$27)-Inputs!$F$190,0))/100),0)+IF(Time!AQ$6&gt;=(DATE(YEAR(Inputs!$F$157)+Inputs!$F$165,1,1)-1),Inputs!$F$166/100*Inputs!$F$162*(1-(Inputs!$F$187*MIN(MAX(0,(Time!AQ$6-(DATE(YEAR(Inputs!$F$157)+Inputs!$F$165,1,1)-1))/Inputs!$F$27),1)+Inputs!$F$188*MIN(MAX(MAX(0,(Time!AQ$6-(DATE(YEAR(Inputs!$F$157)+Inputs!$F$165,1,1)-1))/Inputs!$F$27)-1,0),Inputs!$F$190-1)+Inputs!$F$189*MAX(MAX(0,(Time!AQ$6-(DATE(YEAR(Inputs!$F$157)+Inputs!$F$165,1,1)-1))/Inputs!$F$27)-Inputs!$F$190,0))/100),0)</f>
        <v>25.0145753424658</v>
      </c>
      <c r="AR326" s="20" t="n">
        <f aca="false">IF(Time!AR$6&gt;=(DATE(YEAR(Inputs!$F$157)+Inputs!$F$164,1,1)-1),Inputs!$F$166/100*Inputs!$F$162*(1-(Inputs!$F$187*MIN(MAX(0,(Time!AR$6-(DATE(YEAR(Inputs!$F$157)+Inputs!$F$164,1,1)-1))/Inputs!$F$27),1)+Inputs!$F$188*MIN(MAX(MAX(0,(Time!AR$6-(DATE(YEAR(Inputs!$F$157)+Inputs!$F$164,1,1)-1))/Inputs!$F$27)-1,0),Inputs!$F$190-1)+Inputs!$F$189*MAX(MAX(0,(Time!AR$6-(DATE(YEAR(Inputs!$F$157)+Inputs!$F$164,1,1)-1))/Inputs!$F$27)-Inputs!$F$190,0))/100),0)+IF(Time!AR$6&gt;=(DATE(YEAR(Inputs!$F$157)+Inputs!$F$165,1,1)-1),Inputs!$F$166/100*Inputs!$F$162*(1-(Inputs!$F$187*MIN(MAX(0,(Time!AR$6-(DATE(YEAR(Inputs!$F$157)+Inputs!$F$165,1,1)-1))/Inputs!$F$27),1)+Inputs!$F$188*MIN(MAX(MAX(0,(Time!AR$6-(DATE(YEAR(Inputs!$F$157)+Inputs!$F$165,1,1)-1))/Inputs!$F$27)-1,0),Inputs!$F$190-1)+Inputs!$F$189*MAX(MAX(0,(Time!AR$6-(DATE(YEAR(Inputs!$F$157)+Inputs!$F$165,1,1)-1))/Inputs!$F$27)-Inputs!$F$190,0))/100),0)</f>
        <v>24.6535890410959</v>
      </c>
      <c r="AS326" s="20" t="n">
        <f aca="false">IF(Time!AS$6&gt;=(DATE(YEAR(Inputs!$F$157)+Inputs!$F$164,1,1)-1),Inputs!$F$166/100*Inputs!$F$162*(1-(Inputs!$F$187*MIN(MAX(0,(Time!AS$6-(DATE(YEAR(Inputs!$F$157)+Inputs!$F$164,1,1)-1))/Inputs!$F$27),1)+Inputs!$F$188*MIN(MAX(MAX(0,(Time!AS$6-(DATE(YEAR(Inputs!$F$157)+Inputs!$F$164,1,1)-1))/Inputs!$F$27)-1,0),Inputs!$F$190-1)+Inputs!$F$189*MAX(MAX(0,(Time!AS$6-(DATE(YEAR(Inputs!$F$157)+Inputs!$F$164,1,1)-1))/Inputs!$F$27)-Inputs!$F$190,0))/100),0)+IF(Time!AS$6&gt;=(DATE(YEAR(Inputs!$F$157)+Inputs!$F$165,1,1)-1),Inputs!$F$166/100*Inputs!$F$162*(1-(Inputs!$F$187*MIN(MAX(0,(Time!AS$6-(DATE(YEAR(Inputs!$F$157)+Inputs!$F$165,1,1)-1))/Inputs!$F$27),1)+Inputs!$F$188*MIN(MAX(MAX(0,(Time!AS$6-(DATE(YEAR(Inputs!$F$157)+Inputs!$F$165,1,1)-1))/Inputs!$F$27)-1,0),Inputs!$F$190-1)+Inputs!$F$189*MAX(MAX(0,(Time!AS$6-(DATE(YEAR(Inputs!$F$157)+Inputs!$F$165,1,1)-1))/Inputs!$F$27)-Inputs!$F$190,0))/100),0)</f>
        <v>24.2935890410959</v>
      </c>
      <c r="AT326" s="20" t="n">
        <f aca="false">IF(Time!AT$6&gt;=(DATE(YEAR(Inputs!$F$157)+Inputs!$F$164,1,1)-1),Inputs!$F$166/100*Inputs!$F$162*(1-(Inputs!$F$187*MIN(MAX(0,(Time!AT$6-(DATE(YEAR(Inputs!$F$157)+Inputs!$F$164,1,1)-1))/Inputs!$F$27),1)+Inputs!$F$188*MIN(MAX(MAX(0,(Time!AT$6-(DATE(YEAR(Inputs!$F$157)+Inputs!$F$164,1,1)-1))/Inputs!$F$27)-1,0),Inputs!$F$190-1)+Inputs!$F$189*MAX(MAX(0,(Time!AT$6-(DATE(YEAR(Inputs!$F$157)+Inputs!$F$164,1,1)-1))/Inputs!$F$27)-Inputs!$F$190,0))/100),0)+IF(Time!AT$6&gt;=(DATE(YEAR(Inputs!$F$157)+Inputs!$F$165,1,1)-1),Inputs!$F$166/100*Inputs!$F$162*(1-(Inputs!$F$187*MIN(MAX(0,(Time!AT$6-(DATE(YEAR(Inputs!$F$157)+Inputs!$F$165,1,1)-1))/Inputs!$F$27),1)+Inputs!$F$188*MIN(MAX(MAX(0,(Time!AT$6-(DATE(YEAR(Inputs!$F$157)+Inputs!$F$165,1,1)-1))/Inputs!$F$27)-1,0),Inputs!$F$190-1)+Inputs!$F$189*MAX(MAX(0,(Time!AT$6-(DATE(YEAR(Inputs!$F$157)+Inputs!$F$165,1,1)-1))/Inputs!$F$27)-Inputs!$F$190,0))/100),0)</f>
        <v>23.9335890410959</v>
      </c>
      <c r="AU326" s="20" t="n">
        <f aca="false">IF(Time!AU$6&gt;=(DATE(YEAR(Inputs!$F$157)+Inputs!$F$164,1,1)-1),Inputs!$F$166/100*Inputs!$F$162*(1-(Inputs!$F$187*MIN(MAX(0,(Time!AU$6-(DATE(YEAR(Inputs!$F$157)+Inputs!$F$164,1,1)-1))/Inputs!$F$27),1)+Inputs!$F$188*MIN(MAX(MAX(0,(Time!AU$6-(DATE(YEAR(Inputs!$F$157)+Inputs!$F$164,1,1)-1))/Inputs!$F$27)-1,0),Inputs!$F$190-1)+Inputs!$F$189*MAX(MAX(0,(Time!AU$6-(DATE(YEAR(Inputs!$F$157)+Inputs!$F$164,1,1)-1))/Inputs!$F$27)-Inputs!$F$190,0))/100),0)+IF(Time!AU$6&gt;=(DATE(YEAR(Inputs!$F$157)+Inputs!$F$165,1,1)-1),Inputs!$F$166/100*Inputs!$F$162*(1-(Inputs!$F$187*MIN(MAX(0,(Time!AU$6-(DATE(YEAR(Inputs!$F$157)+Inputs!$F$165,1,1)-1))/Inputs!$F$27),1)+Inputs!$F$188*MIN(MAX(MAX(0,(Time!AU$6-(DATE(YEAR(Inputs!$F$157)+Inputs!$F$165,1,1)-1))/Inputs!$F$27)-1,0),Inputs!$F$190-1)+Inputs!$F$189*MAX(MAX(0,(Time!AU$6-(DATE(YEAR(Inputs!$F$157)+Inputs!$F$165,1,1)-1))/Inputs!$F$27)-Inputs!$F$190,0))/100),0)</f>
        <v>23.5735890410959</v>
      </c>
    </row>
    <row r="327" customFormat="false" ht="15" hidden="false" customHeight="false" outlineLevel="0" collapsed="false">
      <c r="D327" s="0" t="s">
        <v>722</v>
      </c>
      <c r="E327" s="0" t="s">
        <v>176</v>
      </c>
      <c r="J327" s="20" t="n">
        <f aca="false">Operations!J325+Operations!J326</f>
        <v>324</v>
      </c>
      <c r="K327" s="20" t="n">
        <f aca="false">Operations!K325+Operations!K326</f>
        <v>324</v>
      </c>
      <c r="L327" s="20" t="n">
        <f aca="false">Operations!L325+Operations!L326</f>
        <v>319.153315068493</v>
      </c>
      <c r="M327" s="20" t="n">
        <f aca="false">Operations!M325+Operations!M326</f>
        <v>313.88498630137</v>
      </c>
      <c r="N327" s="20" t="n">
        <f aca="false">Operations!N325+Operations!N326</f>
        <v>309.02498630137</v>
      </c>
      <c r="O327" s="20" t="n">
        <f aca="false">Operations!O325+Operations!O326</f>
        <v>304.16498630137</v>
      </c>
      <c r="P327" s="20" t="n">
        <f aca="false">Operations!P325+Operations!P326</f>
        <v>317.291671232877</v>
      </c>
      <c r="Q327" s="20" t="n">
        <f aca="false">Operations!Q325+Operations!Q326</f>
        <v>312.071671232877</v>
      </c>
      <c r="R327" s="20" t="n">
        <f aca="false">Operations!R325+Operations!R326</f>
        <v>306.941671232877</v>
      </c>
      <c r="S327" s="20" t="n">
        <f aca="false">Operations!S325+Operations!S326</f>
        <v>301.811671232877</v>
      </c>
      <c r="T327" s="20" t="n">
        <f aca="false">Operations!T325+Operations!T326</f>
        <v>314.667616438356</v>
      </c>
      <c r="U327" s="20" t="n">
        <f aca="false">Operations!U325+Operations!U326</f>
        <v>309.177616438356</v>
      </c>
      <c r="V327" s="20" t="n">
        <f aca="false">Operations!V325+Operations!V326</f>
        <v>304.998164383562</v>
      </c>
      <c r="W327" s="20" t="n">
        <f aca="false">Operations!W325+Operations!W326</f>
        <v>301.218164383562</v>
      </c>
      <c r="X327" s="20" t="n">
        <f aca="false">Operations!X325+Operations!X326</f>
        <v>297.427808219178</v>
      </c>
      <c r="Y327" s="20" t="n">
        <f aca="false">Operations!Y325+Operations!Y326</f>
        <v>293.647808219178</v>
      </c>
      <c r="Z327" s="20" t="n">
        <f aca="false">Operations!Z325+Operations!Z326</f>
        <v>289.868301369863</v>
      </c>
      <c r="AA327" s="20" t="n">
        <f aca="false">Operations!AA325+Operations!AA326</f>
        <v>286.178301369863</v>
      </c>
      <c r="AB327" s="20" t="n">
        <f aca="false">Operations!AB325+Operations!AB326</f>
        <v>282.478191780822</v>
      </c>
      <c r="AC327" s="20" t="n">
        <f aca="false">Operations!AC325+Operations!AC326</f>
        <v>278.788191780822</v>
      </c>
      <c r="AD327" s="20" t="n">
        <f aca="false">Operations!AD325+Operations!AD326</f>
        <v>275.098684931507</v>
      </c>
      <c r="AE327" s="20" t="n">
        <f aca="false">Operations!AE325+Operations!AE326</f>
        <v>271.498684931507</v>
      </c>
      <c r="AF327" s="20" t="n">
        <f aca="false">Operations!AF325+Operations!AF326</f>
        <v>267.888821917808</v>
      </c>
      <c r="AG327" s="20" t="n">
        <f aca="false">Operations!AG325+Operations!AG326</f>
        <v>264.288821917808</v>
      </c>
      <c r="AH327" s="20" t="n">
        <f aca="false">Operations!AH325+Operations!AH326</f>
        <v>260.688821917808</v>
      </c>
      <c r="AI327" s="20" t="n">
        <f aca="false">Operations!AI325+Operations!AI326</f>
        <v>257.088821917808</v>
      </c>
      <c r="AJ327" s="20" t="n">
        <f aca="false">Operations!AJ325+Operations!AJ326</f>
        <v>253.47895890411</v>
      </c>
      <c r="AK327" s="20" t="n">
        <f aca="false">Operations!AK325+Operations!AK326</f>
        <v>249.87895890411</v>
      </c>
      <c r="AL327" s="20" t="n">
        <f aca="false">Operations!AL325+Operations!AL326</f>
        <v>246.27895890411</v>
      </c>
      <c r="AM327" s="20" t="n">
        <f aca="false">Operations!AM325+Operations!AM326</f>
        <v>242.67895890411</v>
      </c>
      <c r="AN327" s="20" t="n">
        <f aca="false">Operations!AN325+Operations!AN326</f>
        <v>239.069095890411</v>
      </c>
      <c r="AO327" s="20" t="n">
        <f aca="false">Operations!AO325+Operations!AO326</f>
        <v>235.469095890411</v>
      </c>
      <c r="AP327" s="20" t="n">
        <f aca="false">Operations!AP325+Operations!AP326</f>
        <v>231.869095890411</v>
      </c>
      <c r="AQ327" s="20" t="n">
        <f aca="false">Operations!AQ325+Operations!AQ326</f>
        <v>228.269095890411</v>
      </c>
      <c r="AR327" s="20" t="n">
        <f aca="false">Operations!AR325+Operations!AR326</f>
        <v>224.659232876712</v>
      </c>
      <c r="AS327" s="20" t="n">
        <f aca="false">Operations!AS325+Operations!AS326</f>
        <v>221.059232876712</v>
      </c>
      <c r="AT327" s="20" t="n">
        <f aca="false">Operations!AT325+Operations!AT326</f>
        <v>217.459232876712</v>
      </c>
      <c r="AU327" s="20" t="n">
        <f aca="false">Operations!AU325+Operations!AU326</f>
        <v>213.859232876712</v>
      </c>
    </row>
    <row r="328" customFormat="false" ht="15" hidden="false" customHeight="false" outlineLevel="0" collapsed="false">
      <c r="D328" s="0" t="s">
        <v>723</v>
      </c>
      <c r="E328" s="0" t="s">
        <v>176</v>
      </c>
      <c r="J328" s="20" t="n">
        <f aca="false">(Operations!J324+Operations!J327)/2</f>
        <v>324</v>
      </c>
      <c r="K328" s="20" t="n">
        <f aca="false">(Operations!K324+Operations!K327)/2</f>
        <v>324</v>
      </c>
      <c r="L328" s="20" t="n">
        <f aca="false">(Operations!L324+Operations!L327)/2</f>
        <v>321.576657534247</v>
      </c>
      <c r="M328" s="20" t="n">
        <f aca="false">(Operations!M324+Operations!M327)/2</f>
        <v>316.519150684932</v>
      </c>
      <c r="N328" s="20" t="n">
        <f aca="false">(Operations!N324+Operations!N327)/2</f>
        <v>311.45498630137</v>
      </c>
      <c r="O328" s="20" t="n">
        <f aca="false">(Operations!O324+Operations!O327)/2</f>
        <v>306.59498630137</v>
      </c>
      <c r="P328" s="20" t="n">
        <f aca="false">(Operations!P324+Operations!P327)/2</f>
        <v>310.728328767123</v>
      </c>
      <c r="Q328" s="20" t="n">
        <f aca="false">(Operations!Q324+Operations!Q327)/2</f>
        <v>314.681671232877</v>
      </c>
      <c r="R328" s="20" t="n">
        <f aca="false">(Operations!R324+Operations!R327)/2</f>
        <v>309.506671232877</v>
      </c>
      <c r="S328" s="20" t="n">
        <f aca="false">(Operations!S324+Operations!S327)/2</f>
        <v>304.376671232877</v>
      </c>
      <c r="T328" s="20" t="n">
        <f aca="false">(Operations!T324+Operations!T327)/2</f>
        <v>308.239643835616</v>
      </c>
      <c r="U328" s="20" t="n">
        <f aca="false">(Operations!U324+Operations!U327)/2</f>
        <v>311.922616438356</v>
      </c>
      <c r="V328" s="20" t="n">
        <f aca="false">(Operations!V324+Operations!V327)/2</f>
        <v>307.087890410959</v>
      </c>
      <c r="W328" s="20" t="n">
        <f aca="false">(Operations!W324+Operations!W327)/2</f>
        <v>303.108164383562</v>
      </c>
      <c r="X328" s="20" t="n">
        <f aca="false">(Operations!X324+Operations!X327)/2</f>
        <v>299.32298630137</v>
      </c>
      <c r="Y328" s="20" t="n">
        <f aca="false">(Operations!Y324+Operations!Y327)/2</f>
        <v>295.537808219178</v>
      </c>
      <c r="Z328" s="20" t="n">
        <f aca="false">(Operations!Z324+Operations!Z327)/2</f>
        <v>291.758054794521</v>
      </c>
      <c r="AA328" s="20" t="n">
        <f aca="false">(Operations!AA324+Operations!AA327)/2</f>
        <v>288.023301369863</v>
      </c>
      <c r="AB328" s="20" t="n">
        <f aca="false">(Operations!AB324+Operations!AB327)/2</f>
        <v>284.328246575343</v>
      </c>
      <c r="AC328" s="20" t="n">
        <f aca="false">(Operations!AC324+Operations!AC327)/2</f>
        <v>280.633191780822</v>
      </c>
      <c r="AD328" s="20" t="n">
        <f aca="false">(Operations!AD324+Operations!AD327)/2</f>
        <v>276.943438356164</v>
      </c>
      <c r="AE328" s="20" t="n">
        <f aca="false">(Operations!AE324+Operations!AE327)/2</f>
        <v>273.298684931507</v>
      </c>
      <c r="AF328" s="20" t="n">
        <f aca="false">(Operations!AF324+Operations!AF327)/2</f>
        <v>269.693753424658</v>
      </c>
      <c r="AG328" s="20" t="n">
        <f aca="false">(Operations!AG324+Operations!AG327)/2</f>
        <v>266.088821917808</v>
      </c>
      <c r="AH328" s="20" t="n">
        <f aca="false">(Operations!AH324+Operations!AH327)/2</f>
        <v>262.488821917808</v>
      </c>
      <c r="AI328" s="20" t="n">
        <f aca="false">(Operations!AI324+Operations!AI327)/2</f>
        <v>258.888821917808</v>
      </c>
      <c r="AJ328" s="20" t="n">
        <f aca="false">(Operations!AJ324+Operations!AJ327)/2</f>
        <v>255.283890410959</v>
      </c>
      <c r="AK328" s="20" t="n">
        <f aca="false">(Operations!AK324+Operations!AK327)/2</f>
        <v>251.67895890411</v>
      </c>
      <c r="AL328" s="20" t="n">
        <f aca="false">(Operations!AL324+Operations!AL327)/2</f>
        <v>248.07895890411</v>
      </c>
      <c r="AM328" s="20" t="n">
        <f aca="false">(Operations!AM324+Operations!AM327)/2</f>
        <v>244.47895890411</v>
      </c>
      <c r="AN328" s="20" t="n">
        <f aca="false">(Operations!AN324+Operations!AN327)/2</f>
        <v>240.87402739726</v>
      </c>
      <c r="AO328" s="20" t="n">
        <f aca="false">(Operations!AO324+Operations!AO327)/2</f>
        <v>237.269095890411</v>
      </c>
      <c r="AP328" s="20" t="n">
        <f aca="false">(Operations!AP324+Operations!AP327)/2</f>
        <v>233.669095890411</v>
      </c>
      <c r="AQ328" s="20" t="n">
        <f aca="false">(Operations!AQ324+Operations!AQ327)/2</f>
        <v>230.069095890411</v>
      </c>
      <c r="AR328" s="20" t="n">
        <f aca="false">(Operations!AR324+Operations!AR327)/2</f>
        <v>226.464164383562</v>
      </c>
      <c r="AS328" s="20" t="n">
        <f aca="false">(Operations!AS324+Operations!AS327)/2</f>
        <v>222.859232876712</v>
      </c>
      <c r="AT328" s="20" t="n">
        <f aca="false">(Operations!AT324+Operations!AT327)/2</f>
        <v>219.259232876712</v>
      </c>
      <c r="AU328" s="20" t="n">
        <f aca="false">(Operations!AU324+Operations!AU327)/2</f>
        <v>215.659232876712</v>
      </c>
    </row>
    <row r="329" customFormat="false" ht="15" hidden="false" customHeight="false" outlineLevel="0" collapsed="false">
      <c r="D329" s="0" t="s">
        <v>724</v>
      </c>
      <c r="E329" s="0" t="s">
        <v>27</v>
      </c>
      <c r="J329" s="14" t="n">
        <f aca="false">MIN(1,Operations!J328/Inputs!$F$162)</f>
        <v>1</v>
      </c>
      <c r="K329" s="14" t="n">
        <f aca="false">MIN(1,Operations!K328/Inputs!$F$162)</f>
        <v>1</v>
      </c>
      <c r="L329" s="14" t="n">
        <f aca="false">MIN(1,Operations!L328/Inputs!$F$162)</f>
        <v>1</v>
      </c>
      <c r="M329" s="14" t="n">
        <f aca="false">MIN(1,Operations!M328/Inputs!$F$162)</f>
        <v>1</v>
      </c>
      <c r="N329" s="14" t="n">
        <f aca="false">MIN(1,Operations!N328/Inputs!$F$162)</f>
        <v>1</v>
      </c>
      <c r="O329" s="14" t="n">
        <f aca="false">MIN(1,Operations!O328/Inputs!$F$162)</f>
        <v>1</v>
      </c>
      <c r="P329" s="14" t="n">
        <f aca="false">MIN(1,Operations!P328/Inputs!$F$162)</f>
        <v>1</v>
      </c>
      <c r="Q329" s="14" t="n">
        <f aca="false">MIN(1,Operations!Q328/Inputs!$F$162)</f>
        <v>1</v>
      </c>
      <c r="R329" s="14" t="n">
        <f aca="false">MIN(1,Operations!R328/Inputs!$F$162)</f>
        <v>1</v>
      </c>
      <c r="S329" s="14" t="n">
        <f aca="false">MIN(1,Operations!S328/Inputs!$F$162)</f>
        <v>1</v>
      </c>
      <c r="T329" s="14" t="n">
        <f aca="false">MIN(1,Operations!T328/Inputs!$F$162)</f>
        <v>1</v>
      </c>
      <c r="U329" s="14" t="n">
        <f aca="false">MIN(1,Operations!U328/Inputs!$F$162)</f>
        <v>1</v>
      </c>
      <c r="V329" s="14" t="n">
        <f aca="false">MIN(1,Operations!V328/Inputs!$F$162)</f>
        <v>1</v>
      </c>
      <c r="W329" s="14" t="n">
        <f aca="false">MIN(1,Operations!W328/Inputs!$F$162)</f>
        <v>1</v>
      </c>
      <c r="X329" s="14" t="n">
        <f aca="false">MIN(1,Operations!X328/Inputs!$F$162)</f>
        <v>0.997743287671233</v>
      </c>
      <c r="Y329" s="14" t="n">
        <f aca="false">MIN(1,Operations!Y328/Inputs!$F$162)</f>
        <v>0.98512602739726</v>
      </c>
      <c r="Z329" s="14" t="n">
        <f aca="false">MIN(1,Operations!Z328/Inputs!$F$162)</f>
        <v>0.972526849315069</v>
      </c>
      <c r="AA329" s="14" t="n">
        <f aca="false">MIN(1,Operations!AA328/Inputs!$F$162)</f>
        <v>0.960077671232877</v>
      </c>
      <c r="AB329" s="14" t="n">
        <f aca="false">MIN(1,Operations!AB328/Inputs!$F$162)</f>
        <v>0.947760821917808</v>
      </c>
      <c r="AC329" s="14" t="n">
        <f aca="false">MIN(1,Operations!AC328/Inputs!$F$162)</f>
        <v>0.93544397260274</v>
      </c>
      <c r="AD329" s="14" t="n">
        <f aca="false">MIN(1,Operations!AD328/Inputs!$F$162)</f>
        <v>0.923144794520548</v>
      </c>
      <c r="AE329" s="14" t="n">
        <f aca="false">MIN(1,Operations!AE328/Inputs!$F$162)</f>
        <v>0.910995616438356</v>
      </c>
      <c r="AF329" s="14" t="n">
        <f aca="false">MIN(1,Operations!AF328/Inputs!$F$162)</f>
        <v>0.898979178082192</v>
      </c>
      <c r="AG329" s="14" t="n">
        <f aca="false">MIN(1,Operations!AG328/Inputs!$F$162)</f>
        <v>0.886962739726027</v>
      </c>
      <c r="AH329" s="14" t="n">
        <f aca="false">MIN(1,Operations!AH328/Inputs!$F$162)</f>
        <v>0.874962739726027</v>
      </c>
      <c r="AI329" s="14" t="n">
        <f aca="false">MIN(1,Operations!AI328/Inputs!$F$162)</f>
        <v>0.862962739726027</v>
      </c>
      <c r="AJ329" s="14" t="n">
        <f aca="false">MIN(1,Operations!AJ328/Inputs!$F$162)</f>
        <v>0.850946301369863</v>
      </c>
      <c r="AK329" s="14" t="n">
        <f aca="false">MIN(1,Operations!AK328/Inputs!$F$162)</f>
        <v>0.838929863013699</v>
      </c>
      <c r="AL329" s="14" t="n">
        <f aca="false">MIN(1,Operations!AL328/Inputs!$F$162)</f>
        <v>0.826929863013699</v>
      </c>
      <c r="AM329" s="14" t="n">
        <f aca="false">MIN(1,Operations!AM328/Inputs!$F$162)</f>
        <v>0.814929863013699</v>
      </c>
      <c r="AN329" s="14" t="n">
        <f aca="false">MIN(1,Operations!AN328/Inputs!$F$162)</f>
        <v>0.802913424657534</v>
      </c>
      <c r="AO329" s="14" t="n">
        <f aca="false">MIN(1,Operations!AO328/Inputs!$F$162)</f>
        <v>0.79089698630137</v>
      </c>
      <c r="AP329" s="14" t="n">
        <f aca="false">MIN(1,Operations!AP328/Inputs!$F$162)</f>
        <v>0.77889698630137</v>
      </c>
      <c r="AQ329" s="14" t="n">
        <f aca="false">MIN(1,Operations!AQ328/Inputs!$F$162)</f>
        <v>0.76689698630137</v>
      </c>
      <c r="AR329" s="14" t="n">
        <f aca="false">MIN(1,Operations!AR328/Inputs!$F$162)</f>
        <v>0.754880547945205</v>
      </c>
      <c r="AS329" s="14" t="n">
        <f aca="false">MIN(1,Operations!AS328/Inputs!$F$162)</f>
        <v>0.742864109589041</v>
      </c>
      <c r="AT329" s="14" t="n">
        <f aca="false">MIN(1,Operations!AT328/Inputs!$F$162)</f>
        <v>0.730864109589041</v>
      </c>
      <c r="AU329" s="14" t="n">
        <f aca="false">MIN(1,Operations!AU328/Inputs!$F$162)</f>
        <v>0.718864109589041</v>
      </c>
    </row>
    <row r="330" customFormat="false" ht="15" hidden="false" customHeight="false" outlineLevel="0" collapsed="false">
      <c r="D330" s="0" t="s">
        <v>725</v>
      </c>
      <c r="E330" s="0" t="s">
        <v>176</v>
      </c>
      <c r="J330" s="20" t="n">
        <f aca="false">IF(OR(Time!J$4=YEAR(Inputs!$F$157)+Inputs!$F$164,Time!J$4=YEAR(Inputs!$F$157)+Inputs!$F$165),Inputs!$F$166/100*Inputs!$F$162,0)</f>
        <v>0</v>
      </c>
      <c r="K330" s="20" t="n">
        <f aca="false">IF(OR(Time!K$4=YEAR(Inputs!$F$157)+Inputs!$F$164,Time!K$4=YEAR(Inputs!$F$157)+Inputs!$F$165),Inputs!$F$166/100*Inputs!$F$162,0)</f>
        <v>0</v>
      </c>
      <c r="L330" s="20" t="n">
        <f aca="false">IF(OR(Time!L$4=YEAR(Inputs!$F$157)+Inputs!$F$164,Time!L$4=YEAR(Inputs!$F$157)+Inputs!$F$165),Inputs!$F$166/100*Inputs!$F$162,0)</f>
        <v>0</v>
      </c>
      <c r="M330" s="20" t="n">
        <f aca="false">IF(OR(Time!M$4=YEAR(Inputs!$F$157)+Inputs!$F$164,Time!M$4=YEAR(Inputs!$F$157)+Inputs!$F$165),Inputs!$F$166/100*Inputs!$F$162,0)</f>
        <v>0</v>
      </c>
      <c r="N330" s="20" t="n">
        <f aca="false">IF(OR(Time!N$4=YEAR(Inputs!$F$157)+Inputs!$F$164,Time!N$4=YEAR(Inputs!$F$157)+Inputs!$F$165),Inputs!$F$166/100*Inputs!$F$162,0)</f>
        <v>0</v>
      </c>
      <c r="O330" s="20" t="n">
        <f aca="false">IF(OR(Time!O$4=YEAR(Inputs!$F$157)+Inputs!$F$164,Time!O$4=YEAR(Inputs!$F$157)+Inputs!$F$165),Inputs!$F$166/100*Inputs!$F$162,0)</f>
        <v>0</v>
      </c>
      <c r="P330" s="20" t="n">
        <f aca="false">IF(OR(Time!P$4=YEAR(Inputs!$F$157)+Inputs!$F$164,Time!P$4=YEAR(Inputs!$F$157)+Inputs!$F$165),Inputs!$F$166/100*Inputs!$F$162,0)</f>
        <v>0</v>
      </c>
      <c r="Q330" s="20" t="n">
        <f aca="false">IF(OR(Time!Q$4=YEAR(Inputs!$F$157)+Inputs!$F$164,Time!Q$4=YEAR(Inputs!$F$157)+Inputs!$F$165),Inputs!$F$166/100*Inputs!$F$162,0)</f>
        <v>18</v>
      </c>
      <c r="R330" s="20" t="n">
        <f aca="false">IF(OR(Time!R$4=YEAR(Inputs!$F$157)+Inputs!$F$164,Time!R$4=YEAR(Inputs!$F$157)+Inputs!$F$165),Inputs!$F$166/100*Inputs!$F$162,0)</f>
        <v>0</v>
      </c>
      <c r="S330" s="20" t="n">
        <f aca="false">IF(OR(Time!S$4=YEAR(Inputs!$F$157)+Inputs!$F$164,Time!S$4=YEAR(Inputs!$F$157)+Inputs!$F$165),Inputs!$F$166/100*Inputs!$F$162,0)</f>
        <v>0</v>
      </c>
      <c r="T330" s="20" t="n">
        <f aca="false">IF(OR(Time!T$4=YEAR(Inputs!$F$157)+Inputs!$F$164,Time!T$4=YEAR(Inputs!$F$157)+Inputs!$F$165),Inputs!$F$166/100*Inputs!$F$162,0)</f>
        <v>0</v>
      </c>
      <c r="U330" s="20" t="n">
        <f aca="false">IF(OR(Time!U$4=YEAR(Inputs!$F$157)+Inputs!$F$164,Time!U$4=YEAR(Inputs!$F$157)+Inputs!$F$165),Inputs!$F$166/100*Inputs!$F$162,0)</f>
        <v>18</v>
      </c>
      <c r="V330" s="20" t="n">
        <f aca="false">IF(OR(Time!V$4=YEAR(Inputs!$F$157)+Inputs!$F$164,Time!V$4=YEAR(Inputs!$F$157)+Inputs!$F$165),Inputs!$F$166/100*Inputs!$F$162,0)</f>
        <v>0</v>
      </c>
      <c r="W330" s="20" t="n">
        <f aca="false">IF(OR(Time!W$4=YEAR(Inputs!$F$157)+Inputs!$F$164,Time!W$4=YEAR(Inputs!$F$157)+Inputs!$F$165),Inputs!$F$166/100*Inputs!$F$162,0)</f>
        <v>0</v>
      </c>
      <c r="X330" s="20" t="n">
        <f aca="false">IF(OR(Time!X$4=YEAR(Inputs!$F$157)+Inputs!$F$164,Time!X$4=YEAR(Inputs!$F$157)+Inputs!$F$165),Inputs!$F$166/100*Inputs!$F$162,0)</f>
        <v>0</v>
      </c>
      <c r="Y330" s="20" t="n">
        <f aca="false">IF(OR(Time!Y$4=YEAR(Inputs!$F$157)+Inputs!$F$164,Time!Y$4=YEAR(Inputs!$F$157)+Inputs!$F$165),Inputs!$F$166/100*Inputs!$F$162,0)</f>
        <v>0</v>
      </c>
      <c r="Z330" s="20" t="n">
        <f aca="false">IF(OR(Time!Z$4=YEAR(Inputs!$F$157)+Inputs!$F$164,Time!Z$4=YEAR(Inputs!$F$157)+Inputs!$F$165),Inputs!$F$166/100*Inputs!$F$162,0)</f>
        <v>0</v>
      </c>
      <c r="AA330" s="20" t="n">
        <f aca="false">IF(OR(Time!AA$4=YEAR(Inputs!$F$157)+Inputs!$F$164,Time!AA$4=YEAR(Inputs!$F$157)+Inputs!$F$165),Inputs!$F$166/100*Inputs!$F$162,0)</f>
        <v>0</v>
      </c>
      <c r="AB330" s="20" t="n">
        <f aca="false">IF(OR(Time!AB$4=YEAR(Inputs!$F$157)+Inputs!$F$164,Time!AB$4=YEAR(Inputs!$F$157)+Inputs!$F$165),Inputs!$F$166/100*Inputs!$F$162,0)</f>
        <v>0</v>
      </c>
      <c r="AC330" s="20" t="n">
        <f aca="false">IF(OR(Time!AC$4=YEAR(Inputs!$F$157)+Inputs!$F$164,Time!AC$4=YEAR(Inputs!$F$157)+Inputs!$F$165),Inputs!$F$166/100*Inputs!$F$162,0)</f>
        <v>0</v>
      </c>
      <c r="AD330" s="20" t="n">
        <f aca="false">IF(OR(Time!AD$4=YEAR(Inputs!$F$157)+Inputs!$F$164,Time!AD$4=YEAR(Inputs!$F$157)+Inputs!$F$165),Inputs!$F$166/100*Inputs!$F$162,0)</f>
        <v>0</v>
      </c>
      <c r="AE330" s="20" t="n">
        <f aca="false">IF(OR(Time!AE$4=YEAR(Inputs!$F$157)+Inputs!$F$164,Time!AE$4=YEAR(Inputs!$F$157)+Inputs!$F$165),Inputs!$F$166/100*Inputs!$F$162,0)</f>
        <v>0</v>
      </c>
      <c r="AF330" s="20" t="n">
        <f aca="false">IF(OR(Time!AF$4=YEAR(Inputs!$F$157)+Inputs!$F$164,Time!AF$4=YEAR(Inputs!$F$157)+Inputs!$F$165),Inputs!$F$166/100*Inputs!$F$162,0)</f>
        <v>0</v>
      </c>
      <c r="AG330" s="20" t="n">
        <f aca="false">IF(OR(Time!AG$4=YEAR(Inputs!$F$157)+Inputs!$F$164,Time!AG$4=YEAR(Inputs!$F$157)+Inputs!$F$165),Inputs!$F$166/100*Inputs!$F$162,0)</f>
        <v>0</v>
      </c>
      <c r="AH330" s="20" t="n">
        <f aca="false">IF(OR(Time!AH$4=YEAR(Inputs!$F$157)+Inputs!$F$164,Time!AH$4=YEAR(Inputs!$F$157)+Inputs!$F$165),Inputs!$F$166/100*Inputs!$F$162,0)</f>
        <v>0</v>
      </c>
      <c r="AI330" s="20" t="n">
        <f aca="false">IF(OR(Time!AI$4=YEAR(Inputs!$F$157)+Inputs!$F$164,Time!AI$4=YEAR(Inputs!$F$157)+Inputs!$F$165),Inputs!$F$166/100*Inputs!$F$162,0)</f>
        <v>0</v>
      </c>
      <c r="AJ330" s="20" t="n">
        <f aca="false">IF(OR(Time!AJ$4=YEAR(Inputs!$F$157)+Inputs!$F$164,Time!AJ$4=YEAR(Inputs!$F$157)+Inputs!$F$165),Inputs!$F$166/100*Inputs!$F$162,0)</f>
        <v>0</v>
      </c>
      <c r="AK330" s="20" t="n">
        <f aca="false">IF(OR(Time!AK$4=YEAR(Inputs!$F$157)+Inputs!$F$164,Time!AK$4=YEAR(Inputs!$F$157)+Inputs!$F$165),Inputs!$F$166/100*Inputs!$F$162,0)</f>
        <v>0</v>
      </c>
      <c r="AL330" s="20" t="n">
        <f aca="false">IF(OR(Time!AL$4=YEAR(Inputs!$F$157)+Inputs!$F$164,Time!AL$4=YEAR(Inputs!$F$157)+Inputs!$F$165),Inputs!$F$166/100*Inputs!$F$162,0)</f>
        <v>0</v>
      </c>
      <c r="AM330" s="20" t="n">
        <f aca="false">IF(OR(Time!AM$4=YEAR(Inputs!$F$157)+Inputs!$F$164,Time!AM$4=YEAR(Inputs!$F$157)+Inputs!$F$165),Inputs!$F$166/100*Inputs!$F$162,0)</f>
        <v>0</v>
      </c>
      <c r="AN330" s="20" t="n">
        <f aca="false">IF(OR(Time!AN$4=YEAR(Inputs!$F$157)+Inputs!$F$164,Time!AN$4=YEAR(Inputs!$F$157)+Inputs!$F$165),Inputs!$F$166/100*Inputs!$F$162,0)</f>
        <v>0</v>
      </c>
      <c r="AO330" s="20" t="n">
        <f aca="false">IF(OR(Time!AO$4=YEAR(Inputs!$F$157)+Inputs!$F$164,Time!AO$4=YEAR(Inputs!$F$157)+Inputs!$F$165),Inputs!$F$166/100*Inputs!$F$162,0)</f>
        <v>0</v>
      </c>
      <c r="AP330" s="20" t="n">
        <f aca="false">IF(OR(Time!AP$4=YEAR(Inputs!$F$157)+Inputs!$F$164,Time!AP$4=YEAR(Inputs!$F$157)+Inputs!$F$165),Inputs!$F$166/100*Inputs!$F$162,0)</f>
        <v>0</v>
      </c>
      <c r="AQ330" s="20" t="n">
        <f aca="false">IF(OR(Time!AQ$4=YEAR(Inputs!$F$157)+Inputs!$F$164,Time!AQ$4=YEAR(Inputs!$F$157)+Inputs!$F$165),Inputs!$F$166/100*Inputs!$F$162,0)</f>
        <v>0</v>
      </c>
      <c r="AR330" s="20" t="n">
        <f aca="false">IF(OR(Time!AR$4=YEAR(Inputs!$F$157)+Inputs!$F$164,Time!AR$4=YEAR(Inputs!$F$157)+Inputs!$F$165),Inputs!$F$166/100*Inputs!$F$162,0)</f>
        <v>0</v>
      </c>
      <c r="AS330" s="20" t="n">
        <f aca="false">IF(OR(Time!AS$4=YEAR(Inputs!$F$157)+Inputs!$F$164,Time!AS$4=YEAR(Inputs!$F$157)+Inputs!$F$165),Inputs!$F$166/100*Inputs!$F$162,0)</f>
        <v>0</v>
      </c>
      <c r="AT330" s="20" t="n">
        <f aca="false">IF(OR(Time!AT$4=YEAR(Inputs!$F$157)+Inputs!$F$164,Time!AT$4=YEAR(Inputs!$F$157)+Inputs!$F$165),Inputs!$F$166/100*Inputs!$F$162,0)</f>
        <v>0</v>
      </c>
      <c r="AU330" s="20" t="n">
        <f aca="false">IF(OR(Time!AU$4=YEAR(Inputs!$F$157)+Inputs!$F$164,Time!AU$4=YEAR(Inputs!$F$157)+Inputs!$F$165),Inputs!$F$166/100*Inputs!$F$162,0)</f>
        <v>0</v>
      </c>
    </row>
    <row r="331" customFormat="false" ht="15" hidden="false" customHeight="false" outlineLevel="0" collapsed="false">
      <c r="D331" s="0" t="s">
        <v>726</v>
      </c>
      <c r="E331" s="0" t="s">
        <v>458</v>
      </c>
      <c r="J331" s="14" t="n">
        <f aca="false">MAX(0,MIN(Inputs!$F$223,Time!J$6)-MAX(Inputs!$F$222,Time!J$5))/Time!J$7</f>
        <v>0</v>
      </c>
      <c r="K331" s="14" t="n">
        <f aca="false">MAX(0,MIN(Inputs!$F$223,Time!K$6)-MAX(Inputs!$F$222,Time!K$5))/Time!K$7</f>
        <v>0</v>
      </c>
      <c r="L331" s="14" t="n">
        <f aca="false">MAX(0,MIN(Inputs!$F$223,Time!L$6)-MAX(Inputs!$F$222,Time!L$5))/Time!L$7</f>
        <v>0.745901639344262</v>
      </c>
      <c r="M331" s="14" t="n">
        <f aca="false">MAX(0,MIN(Inputs!$F$223,Time!M$6)-MAX(Inputs!$F$222,Time!M$5))/Time!M$7</f>
        <v>1</v>
      </c>
      <c r="N331" s="14" t="n">
        <f aca="false">MAX(0,MIN(Inputs!$F$223,Time!N$6)-MAX(Inputs!$F$222,Time!N$5))/Time!N$7</f>
        <v>1</v>
      </c>
      <c r="O331" s="14" t="n">
        <f aca="false">MAX(0,MIN(Inputs!$F$223,Time!O$6)-MAX(Inputs!$F$222,Time!O$5))/Time!O$7</f>
        <v>1</v>
      </c>
      <c r="P331" s="14" t="n">
        <f aca="false">MAX(0,MIN(Inputs!$F$223,Time!P$6)-MAX(Inputs!$F$222,Time!P$5))/Time!P$7</f>
        <v>1</v>
      </c>
      <c r="Q331" s="14" t="n">
        <f aca="false">MAX(0,MIN(Inputs!$F$223,Time!Q$6)-MAX(Inputs!$F$222,Time!Q$5))/Time!Q$7</f>
        <v>1</v>
      </c>
      <c r="R331" s="14" t="n">
        <f aca="false">MAX(0,MIN(Inputs!$F$223,Time!R$6)-MAX(Inputs!$F$222,Time!R$5))/Time!R$7</f>
        <v>1</v>
      </c>
      <c r="S331" s="14" t="n">
        <f aca="false">MAX(0,MIN(Inputs!$F$223,Time!S$6)-MAX(Inputs!$F$222,Time!S$5))/Time!S$7</f>
        <v>1</v>
      </c>
      <c r="T331" s="14" t="n">
        <f aca="false">MAX(0,MIN(Inputs!$F$223,Time!T$6)-MAX(Inputs!$F$222,Time!T$5))/Time!T$7</f>
        <v>0.251366120218579</v>
      </c>
      <c r="U331" s="14" t="n">
        <f aca="false">MAX(0,MIN(Inputs!$F$223,Time!U$6)-MAX(Inputs!$F$222,Time!U$5))/Time!U$7</f>
        <v>0</v>
      </c>
      <c r="V331" s="14" t="n">
        <f aca="false">MAX(0,MIN(Inputs!$F$223,Time!V$6)-MAX(Inputs!$F$222,Time!V$5))/Time!V$7</f>
        <v>0</v>
      </c>
      <c r="W331" s="14" t="n">
        <f aca="false">MAX(0,MIN(Inputs!$F$223,Time!W$6)-MAX(Inputs!$F$222,Time!W$5))/Time!W$7</f>
        <v>0</v>
      </c>
      <c r="X331" s="14" t="n">
        <f aca="false">MAX(0,MIN(Inputs!$F$223,Time!X$6)-MAX(Inputs!$F$222,Time!X$5))/Time!X$7</f>
        <v>0</v>
      </c>
      <c r="Y331" s="14" t="n">
        <f aca="false">MAX(0,MIN(Inputs!$F$223,Time!Y$6)-MAX(Inputs!$F$222,Time!Y$5))/Time!Y$7</f>
        <v>0</v>
      </c>
      <c r="Z331" s="14" t="n">
        <f aca="false">MAX(0,MIN(Inputs!$F$223,Time!Z$6)-MAX(Inputs!$F$222,Time!Z$5))/Time!Z$7</f>
        <v>0</v>
      </c>
      <c r="AA331" s="14" t="n">
        <f aca="false">MAX(0,MIN(Inputs!$F$223,Time!AA$6)-MAX(Inputs!$F$222,Time!AA$5))/Time!AA$7</f>
        <v>0</v>
      </c>
      <c r="AB331" s="14" t="n">
        <f aca="false">MAX(0,MIN(Inputs!$F$223,Time!AB$6)-MAX(Inputs!$F$222,Time!AB$5))/Time!AB$7</f>
        <v>0</v>
      </c>
      <c r="AC331" s="14" t="n">
        <f aca="false">MAX(0,MIN(Inputs!$F$223,Time!AC$6)-MAX(Inputs!$F$222,Time!AC$5))/Time!AC$7</f>
        <v>0</v>
      </c>
      <c r="AD331" s="14" t="n">
        <f aca="false">MAX(0,MIN(Inputs!$F$223,Time!AD$6)-MAX(Inputs!$F$222,Time!AD$5))/Time!AD$7</f>
        <v>0</v>
      </c>
      <c r="AE331" s="14" t="n">
        <f aca="false">MAX(0,MIN(Inputs!$F$223,Time!AE$6)-MAX(Inputs!$F$222,Time!AE$5))/Time!AE$7</f>
        <v>0</v>
      </c>
      <c r="AF331" s="14" t="n">
        <f aca="false">MAX(0,MIN(Inputs!$F$223,Time!AF$6)-MAX(Inputs!$F$222,Time!AF$5))/Time!AF$7</f>
        <v>0</v>
      </c>
      <c r="AG331" s="14" t="n">
        <f aca="false">MAX(0,MIN(Inputs!$F$223,Time!AG$6)-MAX(Inputs!$F$222,Time!AG$5))/Time!AG$7</f>
        <v>0</v>
      </c>
      <c r="AH331" s="14" t="n">
        <f aca="false">MAX(0,MIN(Inputs!$F$223,Time!AH$6)-MAX(Inputs!$F$222,Time!AH$5))/Time!AH$7</f>
        <v>0</v>
      </c>
      <c r="AI331" s="14" t="n">
        <f aca="false">MAX(0,MIN(Inputs!$F$223,Time!AI$6)-MAX(Inputs!$F$222,Time!AI$5))/Time!AI$7</f>
        <v>0</v>
      </c>
      <c r="AJ331" s="14" t="n">
        <f aca="false">MAX(0,MIN(Inputs!$F$223,Time!AJ$6)-MAX(Inputs!$F$222,Time!AJ$5))/Time!AJ$7</f>
        <v>0</v>
      </c>
      <c r="AK331" s="14" t="n">
        <f aca="false">MAX(0,MIN(Inputs!$F$223,Time!AK$6)-MAX(Inputs!$F$222,Time!AK$5))/Time!AK$7</f>
        <v>0</v>
      </c>
      <c r="AL331" s="14" t="n">
        <f aca="false">MAX(0,MIN(Inputs!$F$223,Time!AL$6)-MAX(Inputs!$F$222,Time!AL$5))/Time!AL$7</f>
        <v>0</v>
      </c>
      <c r="AM331" s="14" t="n">
        <f aca="false">MAX(0,MIN(Inputs!$F$223,Time!AM$6)-MAX(Inputs!$F$222,Time!AM$5))/Time!AM$7</f>
        <v>0</v>
      </c>
      <c r="AN331" s="14" t="n">
        <f aca="false">MAX(0,MIN(Inputs!$F$223,Time!AN$6)-MAX(Inputs!$F$222,Time!AN$5))/Time!AN$7</f>
        <v>0</v>
      </c>
      <c r="AO331" s="14" t="n">
        <f aca="false">MAX(0,MIN(Inputs!$F$223,Time!AO$6)-MAX(Inputs!$F$222,Time!AO$5))/Time!AO$7</f>
        <v>0</v>
      </c>
      <c r="AP331" s="14" t="n">
        <f aca="false">MAX(0,MIN(Inputs!$F$223,Time!AP$6)-MAX(Inputs!$F$222,Time!AP$5))/Time!AP$7</f>
        <v>0</v>
      </c>
      <c r="AQ331" s="14" t="n">
        <f aca="false">MAX(0,MIN(Inputs!$F$223,Time!AQ$6)-MAX(Inputs!$F$222,Time!AQ$5))/Time!AQ$7</f>
        <v>0</v>
      </c>
      <c r="AR331" s="14" t="n">
        <f aca="false">MAX(0,MIN(Inputs!$F$223,Time!AR$6)-MAX(Inputs!$F$222,Time!AR$5))/Time!AR$7</f>
        <v>0</v>
      </c>
      <c r="AS331" s="14" t="n">
        <f aca="false">MAX(0,MIN(Inputs!$F$223,Time!AS$6)-MAX(Inputs!$F$222,Time!AS$5))/Time!AS$7</f>
        <v>0</v>
      </c>
      <c r="AT331" s="14" t="n">
        <f aca="false">MAX(0,MIN(Inputs!$F$223,Time!AT$6)-MAX(Inputs!$F$222,Time!AT$5))/Time!AT$7</f>
        <v>0</v>
      </c>
      <c r="AU331" s="14" t="n">
        <f aca="false">MAX(0,MIN(Inputs!$F$223,Time!AU$6)-MAX(Inputs!$F$222,Time!AU$5))/Time!AU$7</f>
        <v>0</v>
      </c>
    </row>
    <row r="332" customFormat="false" ht="15" hidden="false" customHeight="false" outlineLevel="0" collapsed="false">
      <c r="D332" s="0" t="s">
        <v>727</v>
      </c>
      <c r="E332" s="0" t="s">
        <v>100</v>
      </c>
      <c r="J332" s="18" t="n">
        <f aca="false">Operations!J56*Inputs!$F$163/100*Operations!J329</f>
        <v>0</v>
      </c>
      <c r="K332" s="18" t="n">
        <f aca="false">Operations!K56*Inputs!$F$163/100*Operations!K329</f>
        <v>138.9375</v>
      </c>
      <c r="L332" s="18" t="n">
        <f aca="false">Operations!L56*Inputs!$F$163/100*Operations!L329</f>
        <v>60.255</v>
      </c>
      <c r="M332" s="18" t="n">
        <f aca="false">Operations!M56*Inputs!$F$163/100*Operations!M329</f>
        <v>51.09</v>
      </c>
      <c r="N332" s="18" t="n">
        <f aca="false">Operations!N56*Inputs!$F$163/100*Operations!N329</f>
        <v>56.4525</v>
      </c>
      <c r="O332" s="18" t="n">
        <f aca="false">Operations!O56*Inputs!$F$163/100*Operations!O329</f>
        <v>57.30075</v>
      </c>
      <c r="P332" s="18" t="n">
        <f aca="false">Operations!P56*Inputs!$F$163/100*Operations!P329</f>
        <v>58.15875</v>
      </c>
      <c r="Q332" s="18" t="n">
        <f aca="false">Operations!Q56*Inputs!$F$163/100*Operations!Q329</f>
        <v>59.0265</v>
      </c>
      <c r="R332" s="18" t="n">
        <f aca="false">Operations!R56*Inputs!$F$163/100*Operations!R329</f>
        <v>59.91375</v>
      </c>
      <c r="S332" s="18" t="n">
        <f aca="false">Operations!S56*Inputs!$F$163/100*Operations!S329</f>
        <v>60.81075</v>
      </c>
      <c r="T332" s="18" t="n">
        <f aca="false">Operations!T56*Inputs!$F$163/100*Operations!T329</f>
        <v>61.72725</v>
      </c>
      <c r="U332" s="18" t="n">
        <f aca="false">Operations!U56*Inputs!$F$163/100*Operations!U329</f>
        <v>62.6535</v>
      </c>
      <c r="V332" s="18" t="n">
        <f aca="false">Operations!V56*Inputs!$F$163/100*Operations!V329</f>
        <v>63.5895</v>
      </c>
      <c r="W332" s="18" t="n">
        <f aca="false">Operations!W56*Inputs!$F$163/100*Operations!W329</f>
        <v>64.545</v>
      </c>
      <c r="X332" s="18" t="n">
        <f aca="false">Operations!X56*Inputs!$F$163/100*Operations!X329</f>
        <v>65.3624122111644</v>
      </c>
      <c r="Y332" s="18" t="n">
        <f aca="false">Operations!Y56*Inputs!$F$163/100*Operations!Y329</f>
        <v>65.5059551917808</v>
      </c>
      <c r="Z332" s="18" t="n">
        <f aca="false">Operations!Z56*Inputs!$F$163/100*Operations!Z329</f>
        <v>65.6353507968493</v>
      </c>
      <c r="AA332" s="18" t="n">
        <f aca="false">Operations!AA56*Inputs!$F$163/100*Operations!AA329</f>
        <v>65.7686807513014</v>
      </c>
      <c r="AB332" s="18" t="n">
        <f aca="false">Operations!AB56*Inputs!$F$163/100*Operations!AB329</f>
        <v>65.895203605685</v>
      </c>
      <c r="AC332" s="18" t="n">
        <f aca="false">Operations!AC56*Inputs!$F$163/100*Operations!AC329</f>
        <v>66.0147488685616</v>
      </c>
      <c r="AD332" s="18" t="n">
        <f aca="false">Operations!AD56*Inputs!$F$163/100*Operations!AD329</f>
        <v>66.127861852089</v>
      </c>
      <c r="AE332" s="18" t="n">
        <f aca="false">Operations!AE56*Inputs!$F$163/100*Operations!AE329</f>
        <v>66.234619539863</v>
      </c>
      <c r="AF332" s="18" t="n">
        <f aca="false">Operations!AF56*Inputs!$F$163/100*Operations!AF329</f>
        <v>66.3426406393151</v>
      </c>
      <c r="AG332" s="18" t="n">
        <f aca="false">Operations!AG56*Inputs!$F$163/100*Operations!AG329</f>
        <v>66.4417136108219</v>
      </c>
      <c r="AH332" s="18" t="n">
        <f aca="false">Operations!AH56*Inputs!$F$163/100*Operations!AH329</f>
        <v>66.5238545827397</v>
      </c>
      <c r="AI332" s="18" t="n">
        <f aca="false">Operations!AI56*Inputs!$F$163/100*Operations!AI329</f>
        <v>66.5959133280822</v>
      </c>
      <c r="AJ332" s="18" t="n">
        <f aca="false">Operations!AJ56*Inputs!$F$163/100*Operations!AJ329</f>
        <v>66.6559002057534</v>
      </c>
      <c r="AK332" s="18" t="n">
        <f aca="false">Operations!AK56*Inputs!$F$163/100*Operations!AK329</f>
        <v>66.7043620705479</v>
      </c>
      <c r="AL332" s="18" t="n">
        <f aca="false">Operations!AL56*Inputs!$F$163/100*Operations!AL329</f>
        <v>66.7338601426027</v>
      </c>
      <c r="AM332" s="18" t="n">
        <f aca="false">Operations!AM56*Inputs!$F$163/100*Operations!AM329</f>
        <v>66.7507013469863</v>
      </c>
      <c r="AN332" s="18" t="n">
        <f aca="false">Operations!AN56*Inputs!$F$163/100*Operations!AN329</f>
        <v>66.7528170275342</v>
      </c>
      <c r="AO332" s="18" t="n">
        <f aca="false">Operations!AO56*Inputs!$F$163/100*Operations!AO329</f>
        <v>66.740830810274</v>
      </c>
      <c r="AP332" s="18" t="n">
        <f aca="false">Operations!AP56*Inputs!$F$163/100*Operations!AP329</f>
        <v>66.715447740411</v>
      </c>
      <c r="AQ332" s="18" t="n">
        <f aca="false">Operations!AQ56*Inputs!$F$163/100*Operations!AQ329</f>
        <v>66.6745991617808</v>
      </c>
      <c r="AR332" s="18" t="n">
        <f aca="false">Operations!AR56*Inputs!$F$163/100*Operations!AR329</f>
        <v>66.6161324346575</v>
      </c>
      <c r="AS332" s="18" t="n">
        <f aca="false">Operations!AS56*Inputs!$F$163/100*Operations!AS329</f>
        <v>66.5407526042466</v>
      </c>
      <c r="AT332" s="18" t="n">
        <f aca="false">Operations!AT56*Inputs!$F$163/100*Operations!AT329</f>
        <v>66.4492512636986</v>
      </c>
      <c r="AU332" s="18" t="n">
        <f aca="false">Operations!AU56*Inputs!$F$163/100*Operations!AU329</f>
        <v>66.3394757732877</v>
      </c>
    </row>
    <row r="333" customFormat="false" ht="15" hidden="false" customHeight="false" outlineLevel="0" collapsed="false">
      <c r="D333" s="0" t="s">
        <v>728</v>
      </c>
      <c r="E333" s="0" t="s">
        <v>100</v>
      </c>
      <c r="J333" s="18" t="n">
        <f aca="false">Operations!J332*(Operations!J318&gt;0)</f>
        <v>0</v>
      </c>
      <c r="K333" s="18" t="n">
        <f aca="false">Operations!K332*(Operations!K318&gt;0)</f>
        <v>0</v>
      </c>
      <c r="L333" s="18" t="n">
        <f aca="false">Operations!L332*(Operations!L318&gt;0)</f>
        <v>60.255</v>
      </c>
      <c r="M333" s="18" t="n">
        <f aca="false">Operations!M332*(Operations!M318&gt;0)</f>
        <v>51.09</v>
      </c>
      <c r="N333" s="18" t="n">
        <f aca="false">Operations!N332*(Operations!N318&gt;0)</f>
        <v>56.4525</v>
      </c>
      <c r="O333" s="18" t="n">
        <f aca="false">Operations!O332*(Operations!O318&gt;0)</f>
        <v>57.30075</v>
      </c>
      <c r="P333" s="18" t="n">
        <f aca="false">Operations!P332*(Operations!P318&gt;0)</f>
        <v>58.15875</v>
      </c>
      <c r="Q333" s="18" t="n">
        <f aca="false">Operations!Q332*(Operations!Q318&gt;0)</f>
        <v>59.0265</v>
      </c>
      <c r="R333" s="18" t="n">
        <f aca="false">Operations!R332*(Operations!R318&gt;0)</f>
        <v>59.91375</v>
      </c>
      <c r="S333" s="18" t="n">
        <f aca="false">Operations!S332*(Operations!S318&gt;0)</f>
        <v>60.81075</v>
      </c>
      <c r="T333" s="18" t="n">
        <f aca="false">Operations!T332*(Operations!T318&gt;0)</f>
        <v>61.72725</v>
      </c>
      <c r="U333" s="18" t="n">
        <f aca="false">Operations!U332*(Operations!U318&gt;0)</f>
        <v>62.6535</v>
      </c>
      <c r="V333" s="18" t="n">
        <f aca="false">Operations!V332*(Operations!V318&gt;0)</f>
        <v>63.5895</v>
      </c>
      <c r="W333" s="18" t="n">
        <f aca="false">Operations!W332*(Operations!W318&gt;0)</f>
        <v>64.545</v>
      </c>
      <c r="X333" s="18" t="n">
        <f aca="false">Operations!X332*(Operations!X318&gt;0)</f>
        <v>65.3624122111644</v>
      </c>
      <c r="Y333" s="18" t="n">
        <f aca="false">Operations!Y332*(Operations!Y318&gt;0)</f>
        <v>65.5059551917808</v>
      </c>
      <c r="Z333" s="18" t="n">
        <f aca="false">Operations!Z332*(Operations!Z318&gt;0)</f>
        <v>65.6353507968493</v>
      </c>
      <c r="AA333" s="18" t="n">
        <f aca="false">Operations!AA332*(Operations!AA318&gt;0)</f>
        <v>65.7686807513014</v>
      </c>
      <c r="AB333" s="18" t="n">
        <f aca="false">Operations!AB332*(Operations!AB318&gt;0)</f>
        <v>65.895203605685</v>
      </c>
      <c r="AC333" s="18" t="n">
        <f aca="false">Operations!AC332*(Operations!AC318&gt;0)</f>
        <v>66.0147488685616</v>
      </c>
      <c r="AD333" s="18" t="n">
        <f aca="false">Operations!AD332*(Operations!AD318&gt;0)</f>
        <v>66.127861852089</v>
      </c>
      <c r="AE333" s="18" t="n">
        <f aca="false">Operations!AE332*(Operations!AE318&gt;0)</f>
        <v>66.234619539863</v>
      </c>
      <c r="AF333" s="18" t="n">
        <f aca="false">Operations!AF332*(Operations!AF318&gt;0)</f>
        <v>66.3426406393151</v>
      </c>
      <c r="AG333" s="18" t="n">
        <f aca="false">Operations!AG332*(Operations!AG318&gt;0)</f>
        <v>0</v>
      </c>
      <c r="AH333" s="18" t="n">
        <f aca="false">Operations!AH332*(Operations!AH318&gt;0)</f>
        <v>0</v>
      </c>
      <c r="AI333" s="18" t="n">
        <f aca="false">Operations!AI332*(Operations!AI318&gt;0)</f>
        <v>0</v>
      </c>
      <c r="AJ333" s="18" t="n">
        <f aca="false">Operations!AJ332*(Operations!AJ318&gt;0)</f>
        <v>0</v>
      </c>
      <c r="AK333" s="18" t="n">
        <f aca="false">Operations!AK332*(Operations!AK318&gt;0)</f>
        <v>0</v>
      </c>
      <c r="AL333" s="18" t="n">
        <f aca="false">Operations!AL332*(Operations!AL318&gt;0)</f>
        <v>0</v>
      </c>
      <c r="AM333" s="18" t="n">
        <f aca="false">Operations!AM332*(Operations!AM318&gt;0)</f>
        <v>0</v>
      </c>
      <c r="AN333" s="18" t="n">
        <f aca="false">Operations!AN332*(Operations!AN318&gt;0)</f>
        <v>0</v>
      </c>
      <c r="AO333" s="18" t="n">
        <f aca="false">Operations!AO332*(Operations!AO318&gt;0)</f>
        <v>0</v>
      </c>
      <c r="AP333" s="18" t="n">
        <f aca="false">Operations!AP332*(Operations!AP318&gt;0)</f>
        <v>0</v>
      </c>
      <c r="AQ333" s="18" t="n">
        <f aca="false">Operations!AQ332*(Operations!AQ318&gt;0)</f>
        <v>0</v>
      </c>
      <c r="AR333" s="18" t="n">
        <f aca="false">Operations!AR332*(Operations!AR318&gt;0)</f>
        <v>0</v>
      </c>
      <c r="AS333" s="18" t="n">
        <f aca="false">Operations!AS332*(Operations!AS318&gt;0)</f>
        <v>0</v>
      </c>
      <c r="AT333" s="18" t="n">
        <f aca="false">Operations!AT332*(Operations!AT318&gt;0)</f>
        <v>0</v>
      </c>
      <c r="AU333" s="18" t="n">
        <f aca="false">Operations!AU332*(Operations!AU318&gt;0)</f>
        <v>0</v>
      </c>
    </row>
    <row r="334" customFormat="false" ht="15" hidden="false" customHeight="false" outlineLevel="0" collapsed="false">
      <c r="D334" s="0" t="s">
        <v>729</v>
      </c>
      <c r="E334" s="0" t="s">
        <v>47</v>
      </c>
      <c r="G334" s="20" t="n">
        <f aca="false">SUM(J334:AU334)</f>
        <v>19.2876557377049</v>
      </c>
      <c r="J334" s="20" t="n">
        <f aca="false">MAX(0,Inputs!$F$218-Operations!J332)*Inputs!$F$156/1000*Operations!J331</f>
        <v>0</v>
      </c>
      <c r="K334" s="20" t="n">
        <f aca="false">MAX(0,Inputs!$F$218-Operations!K332)*Inputs!$F$156/1000*Operations!K331</f>
        <v>0</v>
      </c>
      <c r="L334" s="20" t="n">
        <f aca="false">MAX(0,Inputs!$F$218-Operations!L332)*Inputs!$F$156/1000*Operations!L331</f>
        <v>1.53786270491803</v>
      </c>
      <c r="M334" s="20" t="n">
        <f aca="false">MAX(0,Inputs!$F$218-Operations!M332)*Inputs!$F$156/1000*Operations!M331</f>
        <v>3.4365</v>
      </c>
      <c r="N334" s="20" t="n">
        <f aca="false">MAX(0,Inputs!$F$218-Operations!N332)*Inputs!$F$156/1000*Operations!N331</f>
        <v>2.632125</v>
      </c>
      <c r="O334" s="20" t="n">
        <f aca="false">MAX(0,Inputs!$F$218-Operations!O332)*Inputs!$F$156/1000*Operations!O331</f>
        <v>2.5048875</v>
      </c>
      <c r="P334" s="20" t="n">
        <f aca="false">MAX(0,Inputs!$F$218-Operations!P332)*Inputs!$F$156/1000*Operations!P331</f>
        <v>2.3761875</v>
      </c>
      <c r="Q334" s="20" t="n">
        <f aca="false">MAX(0,Inputs!$F$218-Operations!Q332)*Inputs!$F$156/1000*Operations!Q331</f>
        <v>2.246025</v>
      </c>
      <c r="R334" s="20" t="n">
        <f aca="false">MAX(0,Inputs!$F$218-Operations!R332)*Inputs!$F$156/1000*Operations!R331</f>
        <v>2.1129375</v>
      </c>
      <c r="S334" s="20" t="n">
        <f aca="false">MAX(0,Inputs!$F$218-Operations!S332)*Inputs!$F$156/1000*Operations!S331</f>
        <v>1.9783875</v>
      </c>
      <c r="T334" s="20" t="n">
        <f aca="false">MAX(0,Inputs!$F$218-Operations!T332)*Inputs!$F$156/1000*Operations!T331</f>
        <v>0.462743032786885</v>
      </c>
      <c r="U334" s="20" t="n">
        <f aca="false">MAX(0,Inputs!$F$218-Operations!U332)*Inputs!$F$156/1000*Operations!U331</f>
        <v>0</v>
      </c>
      <c r="V334" s="20" t="n">
        <f aca="false">MAX(0,Inputs!$F$218-Operations!V332)*Inputs!$F$156/1000*Operations!V331</f>
        <v>0</v>
      </c>
      <c r="W334" s="20" t="n">
        <f aca="false">MAX(0,Inputs!$F$218-Operations!W332)*Inputs!$F$156/1000*Operations!W331</f>
        <v>0</v>
      </c>
      <c r="X334" s="20" t="n">
        <f aca="false">MAX(0,Inputs!$F$218-Operations!X332)*Inputs!$F$156/1000*Operations!X331</f>
        <v>0</v>
      </c>
      <c r="Y334" s="20" t="n">
        <f aca="false">MAX(0,Inputs!$F$218-Operations!Y332)*Inputs!$F$156/1000*Operations!Y331</f>
        <v>0</v>
      </c>
      <c r="Z334" s="20" t="n">
        <f aca="false">MAX(0,Inputs!$F$218-Operations!Z332)*Inputs!$F$156/1000*Operations!Z331</f>
        <v>0</v>
      </c>
      <c r="AA334" s="20" t="n">
        <f aca="false">MAX(0,Inputs!$F$218-Operations!AA332)*Inputs!$F$156/1000*Operations!AA331</f>
        <v>0</v>
      </c>
      <c r="AB334" s="20" t="n">
        <f aca="false">MAX(0,Inputs!$F$218-Operations!AB332)*Inputs!$F$156/1000*Operations!AB331</f>
        <v>0</v>
      </c>
      <c r="AC334" s="20" t="n">
        <f aca="false">MAX(0,Inputs!$F$218-Operations!AC332)*Inputs!$F$156/1000*Operations!AC331</f>
        <v>0</v>
      </c>
      <c r="AD334" s="20" t="n">
        <f aca="false">MAX(0,Inputs!$F$218-Operations!AD332)*Inputs!$F$156/1000*Operations!AD331</f>
        <v>0</v>
      </c>
      <c r="AE334" s="20" t="n">
        <f aca="false">MAX(0,Inputs!$F$218-Operations!AE332)*Inputs!$F$156/1000*Operations!AE331</f>
        <v>0</v>
      </c>
      <c r="AF334" s="20" t="n">
        <f aca="false">MAX(0,Inputs!$F$218-Operations!AF332)*Inputs!$F$156/1000*Operations!AF331</f>
        <v>0</v>
      </c>
      <c r="AG334" s="20" t="n">
        <f aca="false">MAX(0,Inputs!$F$218-Operations!AG332)*Inputs!$F$156/1000*Operations!AG331</f>
        <v>0</v>
      </c>
      <c r="AH334" s="20" t="n">
        <f aca="false">MAX(0,Inputs!$F$218-Operations!AH332)*Inputs!$F$156/1000*Operations!AH331</f>
        <v>0</v>
      </c>
      <c r="AI334" s="20" t="n">
        <f aca="false">MAX(0,Inputs!$F$218-Operations!AI332)*Inputs!$F$156/1000*Operations!AI331</f>
        <v>0</v>
      </c>
      <c r="AJ334" s="20" t="n">
        <f aca="false">MAX(0,Inputs!$F$218-Operations!AJ332)*Inputs!$F$156/1000*Operations!AJ331</f>
        <v>0</v>
      </c>
      <c r="AK334" s="20" t="n">
        <f aca="false">MAX(0,Inputs!$F$218-Operations!AK332)*Inputs!$F$156/1000*Operations!AK331</f>
        <v>0</v>
      </c>
      <c r="AL334" s="20" t="n">
        <f aca="false">MAX(0,Inputs!$F$218-Operations!AL332)*Inputs!$F$156/1000*Operations!AL331</f>
        <v>0</v>
      </c>
      <c r="AM334" s="20" t="n">
        <f aca="false">MAX(0,Inputs!$F$218-Operations!AM332)*Inputs!$F$156/1000*Operations!AM331</f>
        <v>0</v>
      </c>
      <c r="AN334" s="20" t="n">
        <f aca="false">MAX(0,Inputs!$F$218-Operations!AN332)*Inputs!$F$156/1000*Operations!AN331</f>
        <v>0</v>
      </c>
      <c r="AO334" s="20" t="n">
        <f aca="false">MAX(0,Inputs!$F$218-Operations!AO332)*Inputs!$F$156/1000*Operations!AO331</f>
        <v>0</v>
      </c>
      <c r="AP334" s="20" t="n">
        <f aca="false">MAX(0,Inputs!$F$218-Operations!AP332)*Inputs!$F$156/1000*Operations!AP331</f>
        <v>0</v>
      </c>
      <c r="AQ334" s="20" t="n">
        <f aca="false">MAX(0,Inputs!$F$218-Operations!AQ332)*Inputs!$F$156/1000*Operations!AQ331</f>
        <v>0</v>
      </c>
      <c r="AR334" s="20" t="n">
        <f aca="false">MAX(0,Inputs!$F$218-Operations!AR332)*Inputs!$F$156/1000*Operations!AR331</f>
        <v>0</v>
      </c>
      <c r="AS334" s="20" t="n">
        <f aca="false">MAX(0,Inputs!$F$218-Operations!AS332)*Inputs!$F$156/1000*Operations!AS331</f>
        <v>0</v>
      </c>
      <c r="AT334" s="20" t="n">
        <f aca="false">MAX(0,Inputs!$F$218-Operations!AT332)*Inputs!$F$156/1000*Operations!AT331</f>
        <v>0</v>
      </c>
      <c r="AU334" s="20" t="n">
        <f aca="false">MAX(0,Inputs!$F$218-Operations!AU332)*Inputs!$F$156/1000*Operations!AU331</f>
        <v>0</v>
      </c>
    </row>
    <row r="335" customFormat="false" ht="15" hidden="false" customHeight="false" outlineLevel="0" collapsed="false">
      <c r="D335" s="0" t="s">
        <v>255</v>
      </c>
      <c r="E335" s="0" t="s">
        <v>47</v>
      </c>
      <c r="G335" s="20" t="n">
        <f aca="false">SUM(J335:AU335)</f>
        <v>6.95762295081967</v>
      </c>
      <c r="J335" s="20" t="n">
        <f aca="false">Inputs!$F$219*Inputs!$F$156/1000*Operations!J331</f>
        <v>0</v>
      </c>
      <c r="K335" s="20" t="n">
        <f aca="false">Inputs!$F$219*Inputs!$F$156/1000*Operations!K331</f>
        <v>0</v>
      </c>
      <c r="L335" s="20" t="n">
        <f aca="false">Inputs!$F$219*Inputs!$F$156/1000*Operations!L331</f>
        <v>0.648934426229508</v>
      </c>
      <c r="M335" s="20" t="n">
        <f aca="false">Inputs!$F$219*Inputs!$F$156/1000*Operations!M331</f>
        <v>0.87</v>
      </c>
      <c r="N335" s="20" t="n">
        <f aca="false">Inputs!$F$219*Inputs!$F$156/1000*Operations!N331</f>
        <v>0.87</v>
      </c>
      <c r="O335" s="20" t="n">
        <f aca="false">Inputs!$F$219*Inputs!$F$156/1000*Operations!O331</f>
        <v>0.87</v>
      </c>
      <c r="P335" s="20" t="n">
        <f aca="false">Inputs!$F$219*Inputs!$F$156/1000*Operations!P331</f>
        <v>0.87</v>
      </c>
      <c r="Q335" s="20" t="n">
        <f aca="false">Inputs!$F$219*Inputs!$F$156/1000*Operations!Q331</f>
        <v>0.87</v>
      </c>
      <c r="R335" s="20" t="n">
        <f aca="false">Inputs!$F$219*Inputs!$F$156/1000*Operations!R331</f>
        <v>0.87</v>
      </c>
      <c r="S335" s="20" t="n">
        <f aca="false">Inputs!$F$219*Inputs!$F$156/1000*Operations!S331</f>
        <v>0.87</v>
      </c>
      <c r="T335" s="20" t="n">
        <f aca="false">Inputs!$F$219*Inputs!$F$156/1000*Operations!T331</f>
        <v>0.218688524590164</v>
      </c>
      <c r="U335" s="20" t="n">
        <f aca="false">Inputs!$F$219*Inputs!$F$156/1000*Operations!U331</f>
        <v>0</v>
      </c>
      <c r="V335" s="20" t="n">
        <f aca="false">Inputs!$F$219*Inputs!$F$156/1000*Operations!V331</f>
        <v>0</v>
      </c>
      <c r="W335" s="20" t="n">
        <f aca="false">Inputs!$F$219*Inputs!$F$156/1000*Operations!W331</f>
        <v>0</v>
      </c>
      <c r="X335" s="20" t="n">
        <f aca="false">Inputs!$F$219*Inputs!$F$156/1000*Operations!X331</f>
        <v>0</v>
      </c>
      <c r="Y335" s="20" t="n">
        <f aca="false">Inputs!$F$219*Inputs!$F$156/1000*Operations!Y331</f>
        <v>0</v>
      </c>
      <c r="Z335" s="20" t="n">
        <f aca="false">Inputs!$F$219*Inputs!$F$156/1000*Operations!Z331</f>
        <v>0</v>
      </c>
      <c r="AA335" s="20" t="n">
        <f aca="false">Inputs!$F$219*Inputs!$F$156/1000*Operations!AA331</f>
        <v>0</v>
      </c>
      <c r="AB335" s="20" t="n">
        <f aca="false">Inputs!$F$219*Inputs!$F$156/1000*Operations!AB331</f>
        <v>0</v>
      </c>
      <c r="AC335" s="20" t="n">
        <f aca="false">Inputs!$F$219*Inputs!$F$156/1000*Operations!AC331</f>
        <v>0</v>
      </c>
      <c r="AD335" s="20" t="n">
        <f aca="false">Inputs!$F$219*Inputs!$F$156/1000*Operations!AD331</f>
        <v>0</v>
      </c>
      <c r="AE335" s="20" t="n">
        <f aca="false">Inputs!$F$219*Inputs!$F$156/1000*Operations!AE331</f>
        <v>0</v>
      </c>
      <c r="AF335" s="20" t="n">
        <f aca="false">Inputs!$F$219*Inputs!$F$156/1000*Operations!AF331</f>
        <v>0</v>
      </c>
      <c r="AG335" s="20" t="n">
        <f aca="false">Inputs!$F$219*Inputs!$F$156/1000*Operations!AG331</f>
        <v>0</v>
      </c>
      <c r="AH335" s="20" t="n">
        <f aca="false">Inputs!$F$219*Inputs!$F$156/1000*Operations!AH331</f>
        <v>0</v>
      </c>
      <c r="AI335" s="20" t="n">
        <f aca="false">Inputs!$F$219*Inputs!$F$156/1000*Operations!AI331</f>
        <v>0</v>
      </c>
      <c r="AJ335" s="20" t="n">
        <f aca="false">Inputs!$F$219*Inputs!$F$156/1000*Operations!AJ331</f>
        <v>0</v>
      </c>
      <c r="AK335" s="20" t="n">
        <f aca="false">Inputs!$F$219*Inputs!$F$156/1000*Operations!AK331</f>
        <v>0</v>
      </c>
      <c r="AL335" s="20" t="n">
        <f aca="false">Inputs!$F$219*Inputs!$F$156/1000*Operations!AL331</f>
        <v>0</v>
      </c>
      <c r="AM335" s="20" t="n">
        <f aca="false">Inputs!$F$219*Inputs!$F$156/1000*Operations!AM331</f>
        <v>0</v>
      </c>
      <c r="AN335" s="20" t="n">
        <f aca="false">Inputs!$F$219*Inputs!$F$156/1000*Operations!AN331</f>
        <v>0</v>
      </c>
      <c r="AO335" s="20" t="n">
        <f aca="false">Inputs!$F$219*Inputs!$F$156/1000*Operations!AO331</f>
        <v>0</v>
      </c>
      <c r="AP335" s="20" t="n">
        <f aca="false">Inputs!$F$219*Inputs!$F$156/1000*Operations!AP331</f>
        <v>0</v>
      </c>
      <c r="AQ335" s="20" t="n">
        <f aca="false">Inputs!$F$219*Inputs!$F$156/1000*Operations!AQ331</f>
        <v>0</v>
      </c>
      <c r="AR335" s="20" t="n">
        <f aca="false">Inputs!$F$219*Inputs!$F$156/1000*Operations!AR331</f>
        <v>0</v>
      </c>
      <c r="AS335" s="20" t="n">
        <f aca="false">Inputs!$F$219*Inputs!$F$156/1000*Operations!AS331</f>
        <v>0</v>
      </c>
      <c r="AT335" s="20" t="n">
        <f aca="false">Inputs!$F$219*Inputs!$F$156/1000*Operations!AT331</f>
        <v>0</v>
      </c>
      <c r="AU335" s="20" t="n">
        <f aca="false">Inputs!$F$219*Inputs!$F$156/1000*Operations!AU331</f>
        <v>0</v>
      </c>
    </row>
    <row r="336" customFormat="false" ht="15" hidden="false" customHeight="false" outlineLevel="0" collapsed="false">
      <c r="D336" s="0" t="s">
        <v>730</v>
      </c>
      <c r="E336" s="0" t="s">
        <v>47</v>
      </c>
      <c r="G336" s="20" t="n">
        <f aca="false">SUM(J336:AU336)</f>
        <v>0</v>
      </c>
      <c r="J336" s="20" t="n">
        <f aca="false">Inputs!$F$220/100*MAX(0,Operations!J332-Inputs!$F$221)*Inputs!$F$156/1000*Operations!J331</f>
        <v>0</v>
      </c>
      <c r="K336" s="20" t="n">
        <f aca="false">Inputs!$F$220/100*MAX(0,Operations!K332-Inputs!$F$221)*Inputs!$F$156/1000*Operations!K331</f>
        <v>0</v>
      </c>
      <c r="L336" s="20" t="n">
        <f aca="false">Inputs!$F$220/100*MAX(0,Operations!L332-Inputs!$F$221)*Inputs!$F$156/1000*Operations!L331</f>
        <v>0</v>
      </c>
      <c r="M336" s="20" t="n">
        <f aca="false">Inputs!$F$220/100*MAX(0,Operations!M332-Inputs!$F$221)*Inputs!$F$156/1000*Operations!M331</f>
        <v>0</v>
      </c>
      <c r="N336" s="20" t="n">
        <f aca="false">Inputs!$F$220/100*MAX(0,Operations!N332-Inputs!$F$221)*Inputs!$F$156/1000*Operations!N331</f>
        <v>0</v>
      </c>
      <c r="O336" s="20" t="n">
        <f aca="false">Inputs!$F$220/100*MAX(0,Operations!O332-Inputs!$F$221)*Inputs!$F$156/1000*Operations!O331</f>
        <v>0</v>
      </c>
      <c r="P336" s="20" t="n">
        <f aca="false">Inputs!$F$220/100*MAX(0,Operations!P332-Inputs!$F$221)*Inputs!$F$156/1000*Operations!P331</f>
        <v>0</v>
      </c>
      <c r="Q336" s="20" t="n">
        <f aca="false">Inputs!$F$220/100*MAX(0,Operations!Q332-Inputs!$F$221)*Inputs!$F$156/1000*Operations!Q331</f>
        <v>0</v>
      </c>
      <c r="R336" s="20" t="n">
        <f aca="false">Inputs!$F$220/100*MAX(0,Operations!R332-Inputs!$F$221)*Inputs!$F$156/1000*Operations!R331</f>
        <v>0</v>
      </c>
      <c r="S336" s="20" t="n">
        <f aca="false">Inputs!$F$220/100*MAX(0,Operations!S332-Inputs!$F$221)*Inputs!$F$156/1000*Operations!S331</f>
        <v>0</v>
      </c>
      <c r="T336" s="20" t="n">
        <f aca="false">Inputs!$F$220/100*MAX(0,Operations!T332-Inputs!$F$221)*Inputs!$F$156/1000*Operations!T331</f>
        <v>0</v>
      </c>
      <c r="U336" s="20" t="n">
        <f aca="false">Inputs!$F$220/100*MAX(0,Operations!U332-Inputs!$F$221)*Inputs!$F$156/1000*Operations!U331</f>
        <v>0</v>
      </c>
      <c r="V336" s="20" t="n">
        <f aca="false">Inputs!$F$220/100*MAX(0,Operations!V332-Inputs!$F$221)*Inputs!$F$156/1000*Operations!V331</f>
        <v>0</v>
      </c>
      <c r="W336" s="20" t="n">
        <f aca="false">Inputs!$F$220/100*MAX(0,Operations!W332-Inputs!$F$221)*Inputs!$F$156/1000*Operations!W331</f>
        <v>0</v>
      </c>
      <c r="X336" s="20" t="n">
        <f aca="false">Inputs!$F$220/100*MAX(0,Operations!X332-Inputs!$F$221)*Inputs!$F$156/1000*Operations!X331</f>
        <v>0</v>
      </c>
      <c r="Y336" s="20" t="n">
        <f aca="false">Inputs!$F$220/100*MAX(0,Operations!Y332-Inputs!$F$221)*Inputs!$F$156/1000*Operations!Y331</f>
        <v>0</v>
      </c>
      <c r="Z336" s="20" t="n">
        <f aca="false">Inputs!$F$220/100*MAX(0,Operations!Z332-Inputs!$F$221)*Inputs!$F$156/1000*Operations!Z331</f>
        <v>0</v>
      </c>
      <c r="AA336" s="20" t="n">
        <f aca="false">Inputs!$F$220/100*MAX(0,Operations!AA332-Inputs!$F$221)*Inputs!$F$156/1000*Operations!AA331</f>
        <v>0</v>
      </c>
      <c r="AB336" s="20" t="n">
        <f aca="false">Inputs!$F$220/100*MAX(0,Operations!AB332-Inputs!$F$221)*Inputs!$F$156/1000*Operations!AB331</f>
        <v>0</v>
      </c>
      <c r="AC336" s="20" t="n">
        <f aca="false">Inputs!$F$220/100*MAX(0,Operations!AC332-Inputs!$F$221)*Inputs!$F$156/1000*Operations!AC331</f>
        <v>0</v>
      </c>
      <c r="AD336" s="20" t="n">
        <f aca="false">Inputs!$F$220/100*MAX(0,Operations!AD332-Inputs!$F$221)*Inputs!$F$156/1000*Operations!AD331</f>
        <v>0</v>
      </c>
      <c r="AE336" s="20" t="n">
        <f aca="false">Inputs!$F$220/100*MAX(0,Operations!AE332-Inputs!$F$221)*Inputs!$F$156/1000*Operations!AE331</f>
        <v>0</v>
      </c>
      <c r="AF336" s="20" t="n">
        <f aca="false">Inputs!$F$220/100*MAX(0,Operations!AF332-Inputs!$F$221)*Inputs!$F$156/1000*Operations!AF331</f>
        <v>0</v>
      </c>
      <c r="AG336" s="20" t="n">
        <f aca="false">Inputs!$F$220/100*MAX(0,Operations!AG332-Inputs!$F$221)*Inputs!$F$156/1000*Operations!AG331</f>
        <v>0</v>
      </c>
      <c r="AH336" s="20" t="n">
        <f aca="false">Inputs!$F$220/100*MAX(0,Operations!AH332-Inputs!$F$221)*Inputs!$F$156/1000*Operations!AH331</f>
        <v>0</v>
      </c>
      <c r="AI336" s="20" t="n">
        <f aca="false">Inputs!$F$220/100*MAX(0,Operations!AI332-Inputs!$F$221)*Inputs!$F$156/1000*Operations!AI331</f>
        <v>0</v>
      </c>
      <c r="AJ336" s="20" t="n">
        <f aca="false">Inputs!$F$220/100*MAX(0,Operations!AJ332-Inputs!$F$221)*Inputs!$F$156/1000*Operations!AJ331</f>
        <v>0</v>
      </c>
      <c r="AK336" s="20" t="n">
        <f aca="false">Inputs!$F$220/100*MAX(0,Operations!AK332-Inputs!$F$221)*Inputs!$F$156/1000*Operations!AK331</f>
        <v>0</v>
      </c>
      <c r="AL336" s="20" t="n">
        <f aca="false">Inputs!$F$220/100*MAX(0,Operations!AL332-Inputs!$F$221)*Inputs!$F$156/1000*Operations!AL331</f>
        <v>0</v>
      </c>
      <c r="AM336" s="20" t="n">
        <f aca="false">Inputs!$F$220/100*MAX(0,Operations!AM332-Inputs!$F$221)*Inputs!$F$156/1000*Operations!AM331</f>
        <v>0</v>
      </c>
      <c r="AN336" s="20" t="n">
        <f aca="false">Inputs!$F$220/100*MAX(0,Operations!AN332-Inputs!$F$221)*Inputs!$F$156/1000*Operations!AN331</f>
        <v>0</v>
      </c>
      <c r="AO336" s="20" t="n">
        <f aca="false">Inputs!$F$220/100*MAX(0,Operations!AO332-Inputs!$F$221)*Inputs!$F$156/1000*Operations!AO331</f>
        <v>0</v>
      </c>
      <c r="AP336" s="20" t="n">
        <f aca="false">Inputs!$F$220/100*MAX(0,Operations!AP332-Inputs!$F$221)*Inputs!$F$156/1000*Operations!AP331</f>
        <v>0</v>
      </c>
      <c r="AQ336" s="20" t="n">
        <f aca="false">Inputs!$F$220/100*MAX(0,Operations!AQ332-Inputs!$F$221)*Inputs!$F$156/1000*Operations!AQ331</f>
        <v>0</v>
      </c>
      <c r="AR336" s="20" t="n">
        <f aca="false">Inputs!$F$220/100*MAX(0,Operations!AR332-Inputs!$F$221)*Inputs!$F$156/1000*Operations!AR331</f>
        <v>0</v>
      </c>
      <c r="AS336" s="20" t="n">
        <f aca="false">Inputs!$F$220/100*MAX(0,Operations!AS332-Inputs!$F$221)*Inputs!$F$156/1000*Operations!AS331</f>
        <v>0</v>
      </c>
      <c r="AT336" s="20" t="n">
        <f aca="false">Inputs!$F$220/100*MAX(0,Operations!AT332-Inputs!$F$221)*Inputs!$F$156/1000*Operations!AT331</f>
        <v>0</v>
      </c>
      <c r="AU336" s="20" t="n">
        <f aca="false">Inputs!$F$220/100*MAX(0,Operations!AU332-Inputs!$F$221)*Inputs!$F$156/1000*Operations!AU331</f>
        <v>0</v>
      </c>
    </row>
    <row r="337" customFormat="false" ht="15" hidden="false" customHeight="false" outlineLevel="0" collapsed="false">
      <c r="D337" s="0" t="s">
        <v>731</v>
      </c>
      <c r="E337" s="0" t="s">
        <v>47</v>
      </c>
      <c r="G337" s="20" t="n">
        <f aca="false">SUM(J337:AU337)</f>
        <v>12.3300327868852</v>
      </c>
      <c r="J337" s="20" t="n">
        <f aca="false">Operations!J334-Operations!J335-Operations!J336</f>
        <v>0</v>
      </c>
      <c r="K337" s="20" t="n">
        <f aca="false">Operations!K334-Operations!K335-Operations!K336</f>
        <v>0</v>
      </c>
      <c r="L337" s="20" t="n">
        <f aca="false">Operations!L334-Operations!L335-Operations!L336</f>
        <v>0.888928278688524</v>
      </c>
      <c r="M337" s="20" t="n">
        <f aca="false">Operations!M334-Operations!M335-Operations!M336</f>
        <v>2.5665</v>
      </c>
      <c r="N337" s="20" t="n">
        <f aca="false">Operations!N334-Operations!N335-Operations!N336</f>
        <v>1.762125</v>
      </c>
      <c r="O337" s="20" t="n">
        <f aca="false">Operations!O334-Operations!O335-Operations!O336</f>
        <v>1.6348875</v>
      </c>
      <c r="P337" s="20" t="n">
        <f aca="false">Operations!P334-Operations!P335-Operations!P336</f>
        <v>1.5061875</v>
      </c>
      <c r="Q337" s="20" t="n">
        <f aca="false">Operations!Q334-Operations!Q335-Operations!Q336</f>
        <v>1.376025</v>
      </c>
      <c r="R337" s="20" t="n">
        <f aca="false">Operations!R334-Operations!R335-Operations!R336</f>
        <v>1.2429375</v>
      </c>
      <c r="S337" s="20" t="n">
        <f aca="false">Operations!S334-Operations!S335-Operations!S336</f>
        <v>1.1083875</v>
      </c>
      <c r="T337" s="20" t="n">
        <f aca="false">Operations!T334-Operations!T335-Operations!T336</f>
        <v>0.244054508196721</v>
      </c>
      <c r="U337" s="20" t="n">
        <f aca="false">Operations!U334-Operations!U335-Operations!U336</f>
        <v>0</v>
      </c>
      <c r="V337" s="20" t="n">
        <f aca="false">Operations!V334-Operations!V335-Operations!V336</f>
        <v>0</v>
      </c>
      <c r="W337" s="20" t="n">
        <f aca="false">Operations!W334-Operations!W335-Operations!W336</f>
        <v>0</v>
      </c>
      <c r="X337" s="20" t="n">
        <f aca="false">Operations!X334-Operations!X335-Operations!X336</f>
        <v>0</v>
      </c>
      <c r="Y337" s="20" t="n">
        <f aca="false">Operations!Y334-Operations!Y335-Operations!Y336</f>
        <v>0</v>
      </c>
      <c r="Z337" s="20" t="n">
        <f aca="false">Operations!Z334-Operations!Z335-Operations!Z336</f>
        <v>0</v>
      </c>
      <c r="AA337" s="20" t="n">
        <f aca="false">Operations!AA334-Operations!AA335-Operations!AA336</f>
        <v>0</v>
      </c>
      <c r="AB337" s="20" t="n">
        <f aca="false">Operations!AB334-Operations!AB335-Operations!AB336</f>
        <v>0</v>
      </c>
      <c r="AC337" s="20" t="n">
        <f aca="false">Operations!AC334-Operations!AC335-Operations!AC336</f>
        <v>0</v>
      </c>
      <c r="AD337" s="20" t="n">
        <f aca="false">Operations!AD334-Operations!AD335-Operations!AD336</f>
        <v>0</v>
      </c>
      <c r="AE337" s="20" t="n">
        <f aca="false">Operations!AE334-Operations!AE335-Operations!AE336</f>
        <v>0</v>
      </c>
      <c r="AF337" s="20" t="n">
        <f aca="false">Operations!AF334-Operations!AF335-Operations!AF336</f>
        <v>0</v>
      </c>
      <c r="AG337" s="20" t="n">
        <f aca="false">Operations!AG334-Operations!AG335-Operations!AG336</f>
        <v>0</v>
      </c>
      <c r="AH337" s="20" t="n">
        <f aca="false">Operations!AH334-Operations!AH335-Operations!AH336</f>
        <v>0</v>
      </c>
      <c r="AI337" s="20" t="n">
        <f aca="false">Operations!AI334-Operations!AI335-Operations!AI336</f>
        <v>0</v>
      </c>
      <c r="AJ337" s="20" t="n">
        <f aca="false">Operations!AJ334-Operations!AJ335-Operations!AJ336</f>
        <v>0</v>
      </c>
      <c r="AK337" s="20" t="n">
        <f aca="false">Operations!AK334-Operations!AK335-Operations!AK336</f>
        <v>0</v>
      </c>
      <c r="AL337" s="20" t="n">
        <f aca="false">Operations!AL334-Operations!AL335-Operations!AL336</f>
        <v>0</v>
      </c>
      <c r="AM337" s="20" t="n">
        <f aca="false">Operations!AM334-Operations!AM335-Operations!AM336</f>
        <v>0</v>
      </c>
      <c r="AN337" s="20" t="n">
        <f aca="false">Operations!AN334-Operations!AN335-Operations!AN336</f>
        <v>0</v>
      </c>
      <c r="AO337" s="20" t="n">
        <f aca="false">Operations!AO334-Operations!AO335-Operations!AO336</f>
        <v>0</v>
      </c>
      <c r="AP337" s="20" t="n">
        <f aca="false">Operations!AP334-Operations!AP335-Operations!AP336</f>
        <v>0</v>
      </c>
      <c r="AQ337" s="20" t="n">
        <f aca="false">Operations!AQ334-Operations!AQ335-Operations!AQ336</f>
        <v>0</v>
      </c>
      <c r="AR337" s="20" t="n">
        <f aca="false">Operations!AR334-Operations!AR335-Operations!AR336</f>
        <v>0</v>
      </c>
      <c r="AS337" s="20" t="n">
        <f aca="false">Operations!AS334-Operations!AS335-Operations!AS336</f>
        <v>0</v>
      </c>
      <c r="AT337" s="20" t="n">
        <f aca="false">Operations!AT334-Operations!AT335-Operations!AT336</f>
        <v>0</v>
      </c>
      <c r="AU337" s="20" t="n">
        <f aca="false">Operations!AU334-Operations!AU335-Operations!AU336</f>
        <v>0</v>
      </c>
    </row>
    <row r="338" customFormat="false" ht="15" hidden="false" customHeight="false" outlineLevel="0" collapsed="false">
      <c r="D338" s="0" t="s">
        <v>732</v>
      </c>
      <c r="E338" s="0" t="s">
        <v>47</v>
      </c>
      <c r="G338" s="20" t="n">
        <f aca="false">SUM(J338:AU338)</f>
        <v>81.8120491803279</v>
      </c>
      <c r="J338" s="20" t="n">
        <f aca="false">(MAX(Operations!J332,Inputs!$F$218)-Inputs!$F$219-Inputs!$F$220/100*MAX(0,Operations!J332-Inputs!$F$221))*Inputs!$F$156/1000*Operations!J331</f>
        <v>0</v>
      </c>
      <c r="K338" s="20" t="n">
        <f aca="false">(MAX(Operations!K332,Inputs!$F$218)-Inputs!$F$219-Inputs!$F$220/100*MAX(0,Operations!K332-Inputs!$F$221))*Inputs!$F$156/1000*Operations!K331</f>
        <v>0</v>
      </c>
      <c r="L338" s="20" t="n">
        <f aca="false">(MAX(Operations!L332,Inputs!$F$218)-Inputs!$F$219-Inputs!$F$220/100*MAX(0,Operations!L332-Inputs!$F$221))*Inputs!$F$156/1000*Operations!L331</f>
        <v>7.6305737704918</v>
      </c>
      <c r="M338" s="20" t="n">
        <f aca="false">(MAX(Operations!M332,Inputs!$F$218)-Inputs!$F$219-Inputs!$F$220/100*MAX(0,Operations!M332-Inputs!$F$221))*Inputs!$F$156/1000*Operations!M331</f>
        <v>10.23</v>
      </c>
      <c r="N338" s="20" t="n">
        <f aca="false">(MAX(Operations!N332,Inputs!$F$218)-Inputs!$F$219-Inputs!$F$220/100*MAX(0,Operations!N332-Inputs!$F$221))*Inputs!$F$156/1000*Operations!N331</f>
        <v>10.23</v>
      </c>
      <c r="O338" s="20" t="n">
        <f aca="false">(MAX(Operations!O332,Inputs!$F$218)-Inputs!$F$219-Inputs!$F$220/100*MAX(0,Operations!O332-Inputs!$F$221))*Inputs!$F$156/1000*Operations!O331</f>
        <v>10.23</v>
      </c>
      <c r="P338" s="20" t="n">
        <f aca="false">(MAX(Operations!P332,Inputs!$F$218)-Inputs!$F$219-Inputs!$F$220/100*MAX(0,Operations!P332-Inputs!$F$221))*Inputs!$F$156/1000*Operations!P331</f>
        <v>10.23</v>
      </c>
      <c r="Q338" s="20" t="n">
        <f aca="false">(MAX(Operations!Q332,Inputs!$F$218)-Inputs!$F$219-Inputs!$F$220/100*MAX(0,Operations!Q332-Inputs!$F$221))*Inputs!$F$156/1000*Operations!Q331</f>
        <v>10.23</v>
      </c>
      <c r="R338" s="20" t="n">
        <f aca="false">(MAX(Operations!R332,Inputs!$F$218)-Inputs!$F$219-Inputs!$F$220/100*MAX(0,Operations!R332-Inputs!$F$221))*Inputs!$F$156/1000*Operations!R331</f>
        <v>10.23</v>
      </c>
      <c r="S338" s="20" t="n">
        <f aca="false">(MAX(Operations!S332,Inputs!$F$218)-Inputs!$F$219-Inputs!$F$220/100*MAX(0,Operations!S332-Inputs!$F$221))*Inputs!$F$156/1000*Operations!S331</f>
        <v>10.23</v>
      </c>
      <c r="T338" s="20" t="n">
        <f aca="false">(MAX(Operations!T332,Inputs!$F$218)-Inputs!$F$219-Inputs!$F$220/100*MAX(0,Operations!T332-Inputs!$F$221))*Inputs!$F$156/1000*Operations!T331</f>
        <v>2.57147540983607</v>
      </c>
      <c r="U338" s="20" t="n">
        <f aca="false">(MAX(Operations!U332,Inputs!$F$218)-Inputs!$F$219-Inputs!$F$220/100*MAX(0,Operations!U332-Inputs!$F$221))*Inputs!$F$156/1000*Operations!U331</f>
        <v>0</v>
      </c>
      <c r="V338" s="20" t="n">
        <f aca="false">(MAX(Operations!V332,Inputs!$F$218)-Inputs!$F$219-Inputs!$F$220/100*MAX(0,Operations!V332-Inputs!$F$221))*Inputs!$F$156/1000*Operations!V331</f>
        <v>0</v>
      </c>
      <c r="W338" s="20" t="n">
        <f aca="false">(MAX(Operations!W332,Inputs!$F$218)-Inputs!$F$219-Inputs!$F$220/100*MAX(0,Operations!W332-Inputs!$F$221))*Inputs!$F$156/1000*Operations!W331</f>
        <v>0</v>
      </c>
      <c r="X338" s="20" t="n">
        <f aca="false">(MAX(Operations!X332,Inputs!$F$218)-Inputs!$F$219-Inputs!$F$220/100*MAX(0,Operations!X332-Inputs!$F$221))*Inputs!$F$156/1000*Operations!X331</f>
        <v>0</v>
      </c>
      <c r="Y338" s="20" t="n">
        <f aca="false">(MAX(Operations!Y332,Inputs!$F$218)-Inputs!$F$219-Inputs!$F$220/100*MAX(0,Operations!Y332-Inputs!$F$221))*Inputs!$F$156/1000*Operations!Y331</f>
        <v>0</v>
      </c>
      <c r="Z338" s="20" t="n">
        <f aca="false">(MAX(Operations!Z332,Inputs!$F$218)-Inputs!$F$219-Inputs!$F$220/100*MAX(0,Operations!Z332-Inputs!$F$221))*Inputs!$F$156/1000*Operations!Z331</f>
        <v>0</v>
      </c>
      <c r="AA338" s="20" t="n">
        <f aca="false">(MAX(Operations!AA332,Inputs!$F$218)-Inputs!$F$219-Inputs!$F$220/100*MAX(0,Operations!AA332-Inputs!$F$221))*Inputs!$F$156/1000*Operations!AA331</f>
        <v>0</v>
      </c>
      <c r="AB338" s="20" t="n">
        <f aca="false">(MAX(Operations!AB332,Inputs!$F$218)-Inputs!$F$219-Inputs!$F$220/100*MAX(0,Operations!AB332-Inputs!$F$221))*Inputs!$F$156/1000*Operations!AB331</f>
        <v>0</v>
      </c>
      <c r="AC338" s="20" t="n">
        <f aca="false">(MAX(Operations!AC332,Inputs!$F$218)-Inputs!$F$219-Inputs!$F$220/100*MAX(0,Operations!AC332-Inputs!$F$221))*Inputs!$F$156/1000*Operations!AC331</f>
        <v>0</v>
      </c>
      <c r="AD338" s="20" t="n">
        <f aca="false">(MAX(Operations!AD332,Inputs!$F$218)-Inputs!$F$219-Inputs!$F$220/100*MAX(0,Operations!AD332-Inputs!$F$221))*Inputs!$F$156/1000*Operations!AD331</f>
        <v>0</v>
      </c>
      <c r="AE338" s="20" t="n">
        <f aca="false">(MAX(Operations!AE332,Inputs!$F$218)-Inputs!$F$219-Inputs!$F$220/100*MAX(0,Operations!AE332-Inputs!$F$221))*Inputs!$F$156/1000*Operations!AE331</f>
        <v>0</v>
      </c>
      <c r="AF338" s="20" t="n">
        <f aca="false">(MAX(Operations!AF332,Inputs!$F$218)-Inputs!$F$219-Inputs!$F$220/100*MAX(0,Operations!AF332-Inputs!$F$221))*Inputs!$F$156/1000*Operations!AF331</f>
        <v>0</v>
      </c>
      <c r="AG338" s="20" t="n">
        <f aca="false">(MAX(Operations!AG332,Inputs!$F$218)-Inputs!$F$219-Inputs!$F$220/100*MAX(0,Operations!AG332-Inputs!$F$221))*Inputs!$F$156/1000*Operations!AG331</f>
        <v>0</v>
      </c>
      <c r="AH338" s="20" t="n">
        <f aca="false">(MAX(Operations!AH332,Inputs!$F$218)-Inputs!$F$219-Inputs!$F$220/100*MAX(0,Operations!AH332-Inputs!$F$221))*Inputs!$F$156/1000*Operations!AH331</f>
        <v>0</v>
      </c>
      <c r="AI338" s="20" t="n">
        <f aca="false">(MAX(Operations!AI332,Inputs!$F$218)-Inputs!$F$219-Inputs!$F$220/100*MAX(0,Operations!AI332-Inputs!$F$221))*Inputs!$F$156/1000*Operations!AI331</f>
        <v>0</v>
      </c>
      <c r="AJ338" s="20" t="n">
        <f aca="false">(MAX(Operations!AJ332,Inputs!$F$218)-Inputs!$F$219-Inputs!$F$220/100*MAX(0,Operations!AJ332-Inputs!$F$221))*Inputs!$F$156/1000*Operations!AJ331</f>
        <v>0</v>
      </c>
      <c r="AK338" s="20" t="n">
        <f aca="false">(MAX(Operations!AK332,Inputs!$F$218)-Inputs!$F$219-Inputs!$F$220/100*MAX(0,Operations!AK332-Inputs!$F$221))*Inputs!$F$156/1000*Operations!AK331</f>
        <v>0</v>
      </c>
      <c r="AL338" s="20" t="n">
        <f aca="false">(MAX(Operations!AL332,Inputs!$F$218)-Inputs!$F$219-Inputs!$F$220/100*MAX(0,Operations!AL332-Inputs!$F$221))*Inputs!$F$156/1000*Operations!AL331</f>
        <v>0</v>
      </c>
      <c r="AM338" s="20" t="n">
        <f aca="false">(MAX(Operations!AM332,Inputs!$F$218)-Inputs!$F$219-Inputs!$F$220/100*MAX(0,Operations!AM332-Inputs!$F$221))*Inputs!$F$156/1000*Operations!AM331</f>
        <v>0</v>
      </c>
      <c r="AN338" s="20" t="n">
        <f aca="false">(MAX(Operations!AN332,Inputs!$F$218)-Inputs!$F$219-Inputs!$F$220/100*MAX(0,Operations!AN332-Inputs!$F$221))*Inputs!$F$156/1000*Operations!AN331</f>
        <v>0</v>
      </c>
      <c r="AO338" s="20" t="n">
        <f aca="false">(MAX(Operations!AO332,Inputs!$F$218)-Inputs!$F$219-Inputs!$F$220/100*MAX(0,Operations!AO332-Inputs!$F$221))*Inputs!$F$156/1000*Operations!AO331</f>
        <v>0</v>
      </c>
      <c r="AP338" s="20" t="n">
        <f aca="false">(MAX(Operations!AP332,Inputs!$F$218)-Inputs!$F$219-Inputs!$F$220/100*MAX(0,Operations!AP332-Inputs!$F$221))*Inputs!$F$156/1000*Operations!AP331</f>
        <v>0</v>
      </c>
      <c r="AQ338" s="20" t="n">
        <f aca="false">(MAX(Operations!AQ332,Inputs!$F$218)-Inputs!$F$219-Inputs!$F$220/100*MAX(0,Operations!AQ332-Inputs!$F$221))*Inputs!$F$156/1000*Operations!AQ331</f>
        <v>0</v>
      </c>
      <c r="AR338" s="20" t="n">
        <f aca="false">(MAX(Operations!AR332,Inputs!$F$218)-Inputs!$F$219-Inputs!$F$220/100*MAX(0,Operations!AR332-Inputs!$F$221))*Inputs!$F$156/1000*Operations!AR331</f>
        <v>0</v>
      </c>
      <c r="AS338" s="20" t="n">
        <f aca="false">(MAX(Operations!AS332,Inputs!$F$218)-Inputs!$F$219-Inputs!$F$220/100*MAX(0,Operations!AS332-Inputs!$F$221))*Inputs!$F$156/1000*Operations!AS331</f>
        <v>0</v>
      </c>
      <c r="AT338" s="20" t="n">
        <f aca="false">(MAX(Operations!AT332,Inputs!$F$218)-Inputs!$F$219-Inputs!$F$220/100*MAX(0,Operations!AT332-Inputs!$F$221))*Inputs!$F$156/1000*Operations!AT331</f>
        <v>0</v>
      </c>
      <c r="AU338" s="20" t="n">
        <f aca="false">(MAX(Operations!AU332,Inputs!$F$218)-Inputs!$F$219-Inputs!$F$220/100*MAX(0,Operations!AU332-Inputs!$F$221))*Inputs!$F$156/1000*Operations!AU331</f>
        <v>0</v>
      </c>
    </row>
    <row r="339" customFormat="false" ht="15" hidden="false" customHeight="false" outlineLevel="0" collapsed="false">
      <c r="D339" s="0" t="s">
        <v>733</v>
      </c>
      <c r="E339" s="0" t="s">
        <v>47</v>
      </c>
      <c r="G339" s="20" t="n">
        <f aca="false">SUM(J339:AU339)</f>
        <v>117.005845741519</v>
      </c>
      <c r="J339" s="20" t="n">
        <f aca="false">Operations!J332*Inputs!$F$156/1000*(Operations!J318-Operations!J331)</f>
        <v>0</v>
      </c>
      <c r="K339" s="20" t="n">
        <f aca="false">Operations!K332*Inputs!$F$156/1000*(Operations!K318-Operations!K331)</f>
        <v>0</v>
      </c>
      <c r="L339" s="20" t="n">
        <f aca="false">Operations!L332*Inputs!$F$156/1000*(Operations!L318-Operations!L331)</f>
        <v>0</v>
      </c>
      <c r="M339" s="20" t="n">
        <f aca="false">Operations!M332*Inputs!$F$156/1000*(Operations!M318-Operations!M331)</f>
        <v>0</v>
      </c>
      <c r="N339" s="20" t="n">
        <f aca="false">Operations!N332*Inputs!$F$156/1000*(Operations!N318-Operations!N331)</f>
        <v>0</v>
      </c>
      <c r="O339" s="20" t="n">
        <f aca="false">Operations!O332*Inputs!$F$156/1000*(Operations!O318-Operations!O331)</f>
        <v>0</v>
      </c>
      <c r="P339" s="20" t="n">
        <f aca="false">Operations!P332*Inputs!$F$156/1000*(Operations!P318-Operations!P331)</f>
        <v>0</v>
      </c>
      <c r="Q339" s="20" t="n">
        <f aca="false">Operations!Q332*Inputs!$F$156/1000*(Operations!Q318-Operations!Q331)</f>
        <v>0</v>
      </c>
      <c r="R339" s="20" t="n">
        <f aca="false">Operations!R332*Inputs!$F$156/1000*(Operations!R318-Operations!R331)</f>
        <v>0</v>
      </c>
      <c r="S339" s="20" t="n">
        <f aca="false">Operations!S332*Inputs!$F$156/1000*(Operations!S318-Operations!S331)</f>
        <v>0</v>
      </c>
      <c r="T339" s="20" t="n">
        <f aca="false">Operations!T332*Inputs!$F$156/1000*(Operations!T318-Operations!T331)</f>
        <v>6.93166659836066</v>
      </c>
      <c r="U339" s="20" t="n">
        <f aca="false">Operations!U332*Inputs!$F$156/1000*(Operations!U318-Operations!U331)</f>
        <v>9.398025</v>
      </c>
      <c r="V339" s="20" t="n">
        <f aca="false">Operations!V332*Inputs!$F$156/1000*(Operations!V318-Operations!V331)</f>
        <v>9.538425</v>
      </c>
      <c r="W339" s="20" t="n">
        <f aca="false">Operations!W332*Inputs!$F$156/1000*(Operations!W318-Operations!W331)</f>
        <v>9.68175</v>
      </c>
      <c r="X339" s="20" t="n">
        <f aca="false">Operations!X332*Inputs!$F$156/1000*(Operations!X318-Operations!X331)</f>
        <v>9.80436183167466</v>
      </c>
      <c r="Y339" s="20" t="n">
        <f aca="false">Operations!Y332*Inputs!$F$156/1000*(Operations!Y318-Operations!Y331)</f>
        <v>9.82589327876712</v>
      </c>
      <c r="Z339" s="20" t="n">
        <f aca="false">Operations!Z332*Inputs!$F$156/1000*(Operations!Z318-Operations!Z331)</f>
        <v>9.8453026195274</v>
      </c>
      <c r="AA339" s="20" t="n">
        <f aca="false">Operations!AA332*Inputs!$F$156/1000*(Operations!AA318-Operations!AA331)</f>
        <v>9.86530211269521</v>
      </c>
      <c r="AB339" s="20" t="n">
        <f aca="false">Operations!AB332*Inputs!$F$156/1000*(Operations!AB318-Operations!AB331)</f>
        <v>9.88428054085274</v>
      </c>
      <c r="AC339" s="20" t="n">
        <f aca="false">Operations!AC332*Inputs!$F$156/1000*(Operations!AC318-Operations!AC331)</f>
        <v>9.90221233028425</v>
      </c>
      <c r="AD339" s="20" t="n">
        <f aca="false">Operations!AD332*Inputs!$F$156/1000*(Operations!AD318-Operations!AD331)</f>
        <v>9.91917927781336</v>
      </c>
      <c r="AE339" s="20" t="n">
        <f aca="false">Operations!AE332*Inputs!$F$156/1000*(Operations!AE318-Operations!AE331)</f>
        <v>9.93519293097945</v>
      </c>
      <c r="AF339" s="20" t="n">
        <f aca="false">Operations!AF332*Inputs!$F$156/1000*(Operations!AF318-Operations!AF331)</f>
        <v>2.47425422056462</v>
      </c>
      <c r="AG339" s="20" t="n">
        <f aca="false">Operations!AG332*Inputs!$F$156/1000*(Operations!AG318-Operations!AG331)</f>
        <v>0</v>
      </c>
      <c r="AH339" s="20" t="n">
        <f aca="false">Operations!AH332*Inputs!$F$156/1000*(Operations!AH318-Operations!AH331)</f>
        <v>0</v>
      </c>
      <c r="AI339" s="20" t="n">
        <f aca="false">Operations!AI332*Inputs!$F$156/1000*(Operations!AI318-Operations!AI331)</f>
        <v>0</v>
      </c>
      <c r="AJ339" s="20" t="n">
        <f aca="false">Operations!AJ332*Inputs!$F$156/1000*(Operations!AJ318-Operations!AJ331)</f>
        <v>0</v>
      </c>
      <c r="AK339" s="20" t="n">
        <f aca="false">Operations!AK332*Inputs!$F$156/1000*(Operations!AK318-Operations!AK331)</f>
        <v>0</v>
      </c>
      <c r="AL339" s="20" t="n">
        <f aca="false">Operations!AL332*Inputs!$F$156/1000*(Operations!AL318-Operations!AL331)</f>
        <v>0</v>
      </c>
      <c r="AM339" s="20" t="n">
        <f aca="false">Operations!AM332*Inputs!$F$156/1000*(Operations!AM318-Operations!AM331)</f>
        <v>0</v>
      </c>
      <c r="AN339" s="20" t="n">
        <f aca="false">Operations!AN332*Inputs!$F$156/1000*(Operations!AN318-Operations!AN331)</f>
        <v>0</v>
      </c>
      <c r="AO339" s="20" t="n">
        <f aca="false">Operations!AO332*Inputs!$F$156/1000*(Operations!AO318-Operations!AO331)</f>
        <v>0</v>
      </c>
      <c r="AP339" s="20" t="n">
        <f aca="false">Operations!AP332*Inputs!$F$156/1000*(Operations!AP318-Operations!AP331)</f>
        <v>0</v>
      </c>
      <c r="AQ339" s="20" t="n">
        <f aca="false">Operations!AQ332*Inputs!$F$156/1000*(Operations!AQ318-Operations!AQ331)</f>
        <v>0</v>
      </c>
      <c r="AR339" s="20" t="n">
        <f aca="false">Operations!AR332*Inputs!$F$156/1000*(Operations!AR318-Operations!AR331)</f>
        <v>0</v>
      </c>
      <c r="AS339" s="20" t="n">
        <f aca="false">Operations!AS332*Inputs!$F$156/1000*(Operations!AS318-Operations!AS331)</f>
        <v>0</v>
      </c>
      <c r="AT339" s="20" t="n">
        <f aca="false">Operations!AT332*Inputs!$F$156/1000*(Operations!AT318-Operations!AT331)</f>
        <v>0</v>
      </c>
      <c r="AU339" s="20" t="n">
        <f aca="false">Operations!AU332*Inputs!$F$156/1000*(Operations!AU318-Operations!AU331)</f>
        <v>0</v>
      </c>
    </row>
    <row r="340" customFormat="false" ht="15" hidden="false" customHeight="false" outlineLevel="0" collapsed="false">
      <c r="D340" s="0" t="s">
        <v>734</v>
      </c>
      <c r="E340" s="0" t="s">
        <v>47</v>
      </c>
      <c r="J340" s="20" t="n">
        <f aca="false">(Inputs!$F$218-Inputs!$F$219)*Inputs!$F$156/1000*Operations!J331</f>
        <v>0</v>
      </c>
      <c r="K340" s="20" t="n">
        <f aca="false">(Inputs!$F$218-Inputs!$F$219)*Inputs!$F$156/1000*Operations!K331</f>
        <v>0</v>
      </c>
      <c r="L340" s="20" t="n">
        <f aca="false">(Inputs!$F$218-Inputs!$F$219)*Inputs!$F$156/1000*Operations!L331</f>
        <v>7.6305737704918</v>
      </c>
      <c r="M340" s="20" t="n">
        <f aca="false">(Inputs!$F$218-Inputs!$F$219)*Inputs!$F$156/1000*Operations!M331</f>
        <v>10.23</v>
      </c>
      <c r="N340" s="20" t="n">
        <f aca="false">(Inputs!$F$218-Inputs!$F$219)*Inputs!$F$156/1000*Operations!N331</f>
        <v>10.23</v>
      </c>
      <c r="O340" s="20" t="n">
        <f aca="false">(Inputs!$F$218-Inputs!$F$219)*Inputs!$F$156/1000*Operations!O331</f>
        <v>10.23</v>
      </c>
      <c r="P340" s="20" t="n">
        <f aca="false">(Inputs!$F$218-Inputs!$F$219)*Inputs!$F$156/1000*Operations!P331</f>
        <v>10.23</v>
      </c>
      <c r="Q340" s="20" t="n">
        <f aca="false">(Inputs!$F$218-Inputs!$F$219)*Inputs!$F$156/1000*Operations!Q331</f>
        <v>10.23</v>
      </c>
      <c r="R340" s="20" t="n">
        <f aca="false">(Inputs!$F$218-Inputs!$F$219)*Inputs!$F$156/1000*Operations!R331</f>
        <v>10.23</v>
      </c>
      <c r="S340" s="20" t="n">
        <f aca="false">(Inputs!$F$218-Inputs!$F$219)*Inputs!$F$156/1000*Operations!S331</f>
        <v>10.23</v>
      </c>
      <c r="T340" s="20" t="n">
        <f aca="false">(Inputs!$F$218-Inputs!$F$219)*Inputs!$F$156/1000*Operations!T331</f>
        <v>2.57147540983607</v>
      </c>
      <c r="U340" s="20" t="n">
        <f aca="false">(Inputs!$F$218-Inputs!$F$219)*Inputs!$F$156/1000*Operations!U331</f>
        <v>0</v>
      </c>
      <c r="V340" s="20" t="n">
        <f aca="false">(Inputs!$F$218-Inputs!$F$219)*Inputs!$F$156/1000*Operations!V331</f>
        <v>0</v>
      </c>
      <c r="W340" s="20" t="n">
        <f aca="false">(Inputs!$F$218-Inputs!$F$219)*Inputs!$F$156/1000*Operations!W331</f>
        <v>0</v>
      </c>
      <c r="X340" s="20" t="n">
        <f aca="false">(Inputs!$F$218-Inputs!$F$219)*Inputs!$F$156/1000*Operations!X331</f>
        <v>0</v>
      </c>
      <c r="Y340" s="20" t="n">
        <f aca="false">(Inputs!$F$218-Inputs!$F$219)*Inputs!$F$156/1000*Operations!Y331</f>
        <v>0</v>
      </c>
      <c r="Z340" s="20" t="n">
        <f aca="false">(Inputs!$F$218-Inputs!$F$219)*Inputs!$F$156/1000*Operations!Z331</f>
        <v>0</v>
      </c>
      <c r="AA340" s="20" t="n">
        <f aca="false">(Inputs!$F$218-Inputs!$F$219)*Inputs!$F$156/1000*Operations!AA331</f>
        <v>0</v>
      </c>
      <c r="AB340" s="20" t="n">
        <f aca="false">(Inputs!$F$218-Inputs!$F$219)*Inputs!$F$156/1000*Operations!AB331</f>
        <v>0</v>
      </c>
      <c r="AC340" s="20" t="n">
        <f aca="false">(Inputs!$F$218-Inputs!$F$219)*Inputs!$F$156/1000*Operations!AC331</f>
        <v>0</v>
      </c>
      <c r="AD340" s="20" t="n">
        <f aca="false">(Inputs!$F$218-Inputs!$F$219)*Inputs!$F$156/1000*Operations!AD331</f>
        <v>0</v>
      </c>
      <c r="AE340" s="20" t="n">
        <f aca="false">(Inputs!$F$218-Inputs!$F$219)*Inputs!$F$156/1000*Operations!AE331</f>
        <v>0</v>
      </c>
      <c r="AF340" s="20" t="n">
        <f aca="false">(Inputs!$F$218-Inputs!$F$219)*Inputs!$F$156/1000*Operations!AF331</f>
        <v>0</v>
      </c>
      <c r="AG340" s="20" t="n">
        <f aca="false">(Inputs!$F$218-Inputs!$F$219)*Inputs!$F$156/1000*Operations!AG331</f>
        <v>0</v>
      </c>
      <c r="AH340" s="20" t="n">
        <f aca="false">(Inputs!$F$218-Inputs!$F$219)*Inputs!$F$156/1000*Operations!AH331</f>
        <v>0</v>
      </c>
      <c r="AI340" s="20" t="n">
        <f aca="false">(Inputs!$F$218-Inputs!$F$219)*Inputs!$F$156/1000*Operations!AI331</f>
        <v>0</v>
      </c>
      <c r="AJ340" s="20" t="n">
        <f aca="false">(Inputs!$F$218-Inputs!$F$219)*Inputs!$F$156/1000*Operations!AJ331</f>
        <v>0</v>
      </c>
      <c r="AK340" s="20" t="n">
        <f aca="false">(Inputs!$F$218-Inputs!$F$219)*Inputs!$F$156/1000*Operations!AK331</f>
        <v>0</v>
      </c>
      <c r="AL340" s="20" t="n">
        <f aca="false">(Inputs!$F$218-Inputs!$F$219)*Inputs!$F$156/1000*Operations!AL331</f>
        <v>0</v>
      </c>
      <c r="AM340" s="20" t="n">
        <f aca="false">(Inputs!$F$218-Inputs!$F$219)*Inputs!$F$156/1000*Operations!AM331</f>
        <v>0</v>
      </c>
      <c r="AN340" s="20" t="n">
        <f aca="false">(Inputs!$F$218-Inputs!$F$219)*Inputs!$F$156/1000*Operations!AN331</f>
        <v>0</v>
      </c>
      <c r="AO340" s="20" t="n">
        <f aca="false">(Inputs!$F$218-Inputs!$F$219)*Inputs!$F$156/1000*Operations!AO331</f>
        <v>0</v>
      </c>
      <c r="AP340" s="20" t="n">
        <f aca="false">(Inputs!$F$218-Inputs!$F$219)*Inputs!$F$156/1000*Operations!AP331</f>
        <v>0</v>
      </c>
      <c r="AQ340" s="20" t="n">
        <f aca="false">(Inputs!$F$218-Inputs!$F$219)*Inputs!$F$156/1000*Operations!AQ331</f>
        <v>0</v>
      </c>
      <c r="AR340" s="20" t="n">
        <f aca="false">(Inputs!$F$218-Inputs!$F$219)*Inputs!$F$156/1000*Operations!AR331</f>
        <v>0</v>
      </c>
      <c r="AS340" s="20" t="n">
        <f aca="false">(Inputs!$F$218-Inputs!$F$219)*Inputs!$F$156/1000*Operations!AS331</f>
        <v>0</v>
      </c>
      <c r="AT340" s="20" t="n">
        <f aca="false">(Inputs!$F$218-Inputs!$F$219)*Inputs!$F$156/1000*Operations!AT331</f>
        <v>0</v>
      </c>
      <c r="AU340" s="20" t="n">
        <f aca="false">(Inputs!$F$218-Inputs!$F$219)*Inputs!$F$156/1000*Operations!AU331</f>
        <v>0</v>
      </c>
    </row>
    <row r="341" customFormat="false" ht="15" hidden="false" customHeight="false" outlineLevel="0" collapsed="false">
      <c r="D341" s="0" t="s">
        <v>735</v>
      </c>
      <c r="E341" s="0" t="s">
        <v>47</v>
      </c>
      <c r="J341" s="20" t="n">
        <f aca="false">0</f>
        <v>0</v>
      </c>
      <c r="K341" s="20" t="n">
        <f aca="false">0</f>
        <v>0</v>
      </c>
      <c r="L341" s="20" t="n">
        <f aca="false">0</f>
        <v>0</v>
      </c>
      <c r="M341" s="20" t="n">
        <f aca="false">0</f>
        <v>0</v>
      </c>
      <c r="N341" s="20" t="n">
        <f aca="false">0</f>
        <v>0</v>
      </c>
      <c r="O341" s="20" t="n">
        <f aca="false">0</f>
        <v>0</v>
      </c>
      <c r="P341" s="20" t="n">
        <f aca="false">0</f>
        <v>0</v>
      </c>
      <c r="Q341" s="20" t="n">
        <f aca="false">0</f>
        <v>0</v>
      </c>
      <c r="R341" s="20" t="n">
        <f aca="false">0</f>
        <v>0</v>
      </c>
      <c r="S341" s="20" t="n">
        <f aca="false">0</f>
        <v>0</v>
      </c>
      <c r="T341" s="20" t="n">
        <f aca="false">0</f>
        <v>0</v>
      </c>
      <c r="U341" s="20" t="n">
        <f aca="false">0</f>
        <v>0</v>
      </c>
      <c r="V341" s="20" t="n">
        <f aca="false">0</f>
        <v>0</v>
      </c>
      <c r="W341" s="20" t="n">
        <f aca="false">0</f>
        <v>0</v>
      </c>
      <c r="X341" s="20" t="n">
        <f aca="false">0</f>
        <v>0</v>
      </c>
      <c r="Y341" s="20" t="n">
        <f aca="false">0</f>
        <v>0</v>
      </c>
      <c r="Z341" s="20" t="n">
        <f aca="false">0</f>
        <v>0</v>
      </c>
      <c r="AA341" s="20" t="n">
        <f aca="false">0</f>
        <v>0</v>
      </c>
      <c r="AB341" s="20" t="n">
        <f aca="false">0</f>
        <v>0</v>
      </c>
      <c r="AC341" s="20" t="n">
        <f aca="false">0</f>
        <v>0</v>
      </c>
      <c r="AD341" s="20" t="n">
        <f aca="false">0</f>
        <v>0</v>
      </c>
      <c r="AE341" s="20" t="n">
        <f aca="false">0</f>
        <v>0</v>
      </c>
      <c r="AF341" s="20" t="n">
        <f aca="false">0</f>
        <v>0</v>
      </c>
      <c r="AG341" s="20" t="n">
        <f aca="false">0</f>
        <v>0</v>
      </c>
      <c r="AH341" s="20" t="n">
        <f aca="false">0</f>
        <v>0</v>
      </c>
      <c r="AI341" s="20" t="n">
        <f aca="false">0</f>
        <v>0</v>
      </c>
      <c r="AJ341" s="20" t="n">
        <f aca="false">0</f>
        <v>0</v>
      </c>
      <c r="AK341" s="20" t="n">
        <f aca="false">0</f>
        <v>0</v>
      </c>
      <c r="AL341" s="20" t="n">
        <f aca="false">0</f>
        <v>0</v>
      </c>
      <c r="AM341" s="20" t="n">
        <f aca="false">0</f>
        <v>0</v>
      </c>
      <c r="AN341" s="20" t="n">
        <f aca="false">0</f>
        <v>0</v>
      </c>
      <c r="AO341" s="20" t="n">
        <f aca="false">0</f>
        <v>0</v>
      </c>
      <c r="AP341" s="20" t="n">
        <f aca="false">0</f>
        <v>0</v>
      </c>
      <c r="AQ341" s="20" t="n">
        <f aca="false">0</f>
        <v>0</v>
      </c>
      <c r="AR341" s="20" t="n">
        <f aca="false">0</f>
        <v>0</v>
      </c>
      <c r="AS341" s="20" t="n">
        <f aca="false">0</f>
        <v>0</v>
      </c>
      <c r="AT341" s="20" t="n">
        <f aca="false">0</f>
        <v>0</v>
      </c>
      <c r="AU341" s="20" t="n">
        <f aca="false">0</f>
        <v>0</v>
      </c>
    </row>
    <row r="342" customFormat="false" ht="15" hidden="false" customHeight="false" outlineLevel="0" collapsed="false">
      <c r="D342" s="0" t="s">
        <v>736</v>
      </c>
      <c r="E342" s="0" t="s">
        <v>47</v>
      </c>
      <c r="G342" s="20" t="n">
        <f aca="false">SUM(J342:AU342)</f>
        <v>198.817894921847</v>
      </c>
      <c r="J342" s="20" t="n">
        <f aca="false">Operations!J338+Operations!J339</f>
        <v>0</v>
      </c>
      <c r="K342" s="20" t="n">
        <f aca="false">Operations!K338+Operations!K339</f>
        <v>0</v>
      </c>
      <c r="L342" s="20" t="n">
        <f aca="false">Operations!L338+Operations!L339</f>
        <v>7.6305737704918</v>
      </c>
      <c r="M342" s="20" t="n">
        <f aca="false">Operations!M338+Operations!M339</f>
        <v>10.23</v>
      </c>
      <c r="N342" s="20" t="n">
        <f aca="false">Operations!N338+Operations!N339</f>
        <v>10.23</v>
      </c>
      <c r="O342" s="20" t="n">
        <f aca="false">Operations!O338+Operations!O339</f>
        <v>10.23</v>
      </c>
      <c r="P342" s="20" t="n">
        <f aca="false">Operations!P338+Operations!P339</f>
        <v>10.23</v>
      </c>
      <c r="Q342" s="20" t="n">
        <f aca="false">Operations!Q338+Operations!Q339</f>
        <v>10.23</v>
      </c>
      <c r="R342" s="20" t="n">
        <f aca="false">Operations!R338+Operations!R339</f>
        <v>10.23</v>
      </c>
      <c r="S342" s="20" t="n">
        <f aca="false">Operations!S338+Operations!S339</f>
        <v>10.23</v>
      </c>
      <c r="T342" s="20" t="n">
        <f aca="false">Operations!T338+Operations!T339</f>
        <v>9.50314200819672</v>
      </c>
      <c r="U342" s="20" t="n">
        <f aca="false">Operations!U338+Operations!U339</f>
        <v>9.398025</v>
      </c>
      <c r="V342" s="20" t="n">
        <f aca="false">Operations!V338+Operations!V339</f>
        <v>9.538425</v>
      </c>
      <c r="W342" s="20" t="n">
        <f aca="false">Operations!W338+Operations!W339</f>
        <v>9.68175</v>
      </c>
      <c r="X342" s="20" t="n">
        <f aca="false">Operations!X338+Operations!X339</f>
        <v>9.80436183167466</v>
      </c>
      <c r="Y342" s="20" t="n">
        <f aca="false">Operations!Y338+Operations!Y339</f>
        <v>9.82589327876712</v>
      </c>
      <c r="Z342" s="20" t="n">
        <f aca="false">Operations!Z338+Operations!Z339</f>
        <v>9.8453026195274</v>
      </c>
      <c r="AA342" s="20" t="n">
        <f aca="false">Operations!AA338+Operations!AA339</f>
        <v>9.86530211269521</v>
      </c>
      <c r="AB342" s="20" t="n">
        <f aca="false">Operations!AB338+Operations!AB339</f>
        <v>9.88428054085274</v>
      </c>
      <c r="AC342" s="20" t="n">
        <f aca="false">Operations!AC338+Operations!AC339</f>
        <v>9.90221233028425</v>
      </c>
      <c r="AD342" s="20" t="n">
        <f aca="false">Operations!AD338+Operations!AD339</f>
        <v>9.91917927781336</v>
      </c>
      <c r="AE342" s="20" t="n">
        <f aca="false">Operations!AE338+Operations!AE339</f>
        <v>9.93519293097945</v>
      </c>
      <c r="AF342" s="20" t="n">
        <f aca="false">Operations!AF338+Operations!AF339</f>
        <v>2.47425422056462</v>
      </c>
      <c r="AG342" s="20" t="n">
        <f aca="false">Operations!AG338+Operations!AG339</f>
        <v>0</v>
      </c>
      <c r="AH342" s="20" t="n">
        <f aca="false">Operations!AH338+Operations!AH339</f>
        <v>0</v>
      </c>
      <c r="AI342" s="20" t="n">
        <f aca="false">Operations!AI338+Operations!AI339</f>
        <v>0</v>
      </c>
      <c r="AJ342" s="20" t="n">
        <f aca="false">Operations!AJ338+Operations!AJ339</f>
        <v>0</v>
      </c>
      <c r="AK342" s="20" t="n">
        <f aca="false">Operations!AK338+Operations!AK339</f>
        <v>0</v>
      </c>
      <c r="AL342" s="20" t="n">
        <f aca="false">Operations!AL338+Operations!AL339</f>
        <v>0</v>
      </c>
      <c r="AM342" s="20" t="n">
        <f aca="false">Operations!AM338+Operations!AM339</f>
        <v>0</v>
      </c>
      <c r="AN342" s="20" t="n">
        <f aca="false">Operations!AN338+Operations!AN339</f>
        <v>0</v>
      </c>
      <c r="AO342" s="20" t="n">
        <f aca="false">Operations!AO338+Operations!AO339</f>
        <v>0</v>
      </c>
      <c r="AP342" s="20" t="n">
        <f aca="false">Operations!AP338+Operations!AP339</f>
        <v>0</v>
      </c>
      <c r="AQ342" s="20" t="n">
        <f aca="false">Operations!AQ338+Operations!AQ339</f>
        <v>0</v>
      </c>
      <c r="AR342" s="20" t="n">
        <f aca="false">Operations!AR338+Operations!AR339</f>
        <v>0</v>
      </c>
      <c r="AS342" s="20" t="n">
        <f aca="false">Operations!AS338+Operations!AS339</f>
        <v>0</v>
      </c>
      <c r="AT342" s="20" t="n">
        <f aca="false">Operations!AT338+Operations!AT339</f>
        <v>0</v>
      </c>
      <c r="AU342" s="20" t="n">
        <f aca="false">Operations!AU338+Operations!AU339</f>
        <v>0</v>
      </c>
    </row>
    <row r="343" customFormat="false" ht="15" hidden="false" customHeight="false" outlineLevel="0" collapsed="false">
      <c r="D343" s="0" t="s">
        <v>737</v>
      </c>
      <c r="E343" s="0" t="s">
        <v>47</v>
      </c>
      <c r="J343" s="20" t="n">
        <f aca="false">Operations!J342-Operations!J340-Operations!J341</f>
        <v>0</v>
      </c>
      <c r="K343" s="20" t="n">
        <f aca="false">Operations!K342-Operations!K340-Operations!K341</f>
        <v>0</v>
      </c>
      <c r="L343" s="20" t="n">
        <f aca="false">Operations!L342-Operations!L340-Operations!L341</f>
        <v>0</v>
      </c>
      <c r="M343" s="20" t="n">
        <f aca="false">Operations!M342-Operations!M340-Operations!M341</f>
        <v>0</v>
      </c>
      <c r="N343" s="20" t="n">
        <f aca="false">Operations!N342-Operations!N340-Operations!N341</f>
        <v>0</v>
      </c>
      <c r="O343" s="20" t="n">
        <f aca="false">Operations!O342-Operations!O340-Operations!O341</f>
        <v>0</v>
      </c>
      <c r="P343" s="20" t="n">
        <f aca="false">Operations!P342-Operations!P340-Operations!P341</f>
        <v>0</v>
      </c>
      <c r="Q343" s="20" t="n">
        <f aca="false">Operations!Q342-Operations!Q340-Operations!Q341</f>
        <v>0</v>
      </c>
      <c r="R343" s="20" t="n">
        <f aca="false">Operations!R342-Operations!R340-Operations!R341</f>
        <v>0</v>
      </c>
      <c r="S343" s="20" t="n">
        <f aca="false">Operations!S342-Operations!S340-Operations!S341</f>
        <v>0</v>
      </c>
      <c r="T343" s="20" t="n">
        <f aca="false">Operations!T342-Operations!T340-Operations!T341</f>
        <v>6.93166659836066</v>
      </c>
      <c r="U343" s="20" t="n">
        <f aca="false">Operations!U342-Operations!U340-Operations!U341</f>
        <v>9.398025</v>
      </c>
      <c r="V343" s="20" t="n">
        <f aca="false">Operations!V342-Operations!V340-Operations!V341</f>
        <v>9.538425</v>
      </c>
      <c r="W343" s="20" t="n">
        <f aca="false">Operations!W342-Operations!W340-Operations!W341</f>
        <v>9.68175</v>
      </c>
      <c r="X343" s="20" t="n">
        <f aca="false">Operations!X342-Operations!X340-Operations!X341</f>
        <v>9.80436183167466</v>
      </c>
      <c r="Y343" s="20" t="n">
        <f aca="false">Operations!Y342-Operations!Y340-Operations!Y341</f>
        <v>9.82589327876712</v>
      </c>
      <c r="Z343" s="20" t="n">
        <f aca="false">Operations!Z342-Operations!Z340-Operations!Z341</f>
        <v>9.8453026195274</v>
      </c>
      <c r="AA343" s="20" t="n">
        <f aca="false">Operations!AA342-Operations!AA340-Operations!AA341</f>
        <v>9.86530211269521</v>
      </c>
      <c r="AB343" s="20" t="n">
        <f aca="false">Operations!AB342-Operations!AB340-Operations!AB341</f>
        <v>9.88428054085274</v>
      </c>
      <c r="AC343" s="20" t="n">
        <f aca="false">Operations!AC342-Operations!AC340-Operations!AC341</f>
        <v>9.90221233028425</v>
      </c>
      <c r="AD343" s="20" t="n">
        <f aca="false">Operations!AD342-Operations!AD340-Operations!AD341</f>
        <v>9.91917927781336</v>
      </c>
      <c r="AE343" s="20" t="n">
        <f aca="false">Operations!AE342-Operations!AE340-Operations!AE341</f>
        <v>9.93519293097945</v>
      </c>
      <c r="AF343" s="20" t="n">
        <f aca="false">Operations!AF342-Operations!AF340-Operations!AF341</f>
        <v>2.47425422056462</v>
      </c>
      <c r="AG343" s="20" t="n">
        <f aca="false">Operations!AG342-Operations!AG340-Operations!AG341</f>
        <v>0</v>
      </c>
      <c r="AH343" s="20" t="n">
        <f aca="false">Operations!AH342-Operations!AH340-Operations!AH341</f>
        <v>0</v>
      </c>
      <c r="AI343" s="20" t="n">
        <f aca="false">Operations!AI342-Operations!AI340-Operations!AI341</f>
        <v>0</v>
      </c>
      <c r="AJ343" s="20" t="n">
        <f aca="false">Operations!AJ342-Operations!AJ340-Operations!AJ341</f>
        <v>0</v>
      </c>
      <c r="AK343" s="20" t="n">
        <f aca="false">Operations!AK342-Operations!AK340-Operations!AK341</f>
        <v>0</v>
      </c>
      <c r="AL343" s="20" t="n">
        <f aca="false">Operations!AL342-Operations!AL340-Operations!AL341</f>
        <v>0</v>
      </c>
      <c r="AM343" s="20" t="n">
        <f aca="false">Operations!AM342-Operations!AM340-Operations!AM341</f>
        <v>0</v>
      </c>
      <c r="AN343" s="20" t="n">
        <f aca="false">Operations!AN342-Operations!AN340-Operations!AN341</f>
        <v>0</v>
      </c>
      <c r="AO343" s="20" t="n">
        <f aca="false">Operations!AO342-Operations!AO340-Operations!AO341</f>
        <v>0</v>
      </c>
      <c r="AP343" s="20" t="n">
        <f aca="false">Operations!AP342-Operations!AP340-Operations!AP341</f>
        <v>0</v>
      </c>
      <c r="AQ343" s="20" t="n">
        <f aca="false">Operations!AQ342-Operations!AQ340-Operations!AQ341</f>
        <v>0</v>
      </c>
      <c r="AR343" s="20" t="n">
        <f aca="false">Operations!AR342-Operations!AR340-Operations!AR341</f>
        <v>0</v>
      </c>
      <c r="AS343" s="20" t="n">
        <f aca="false">Operations!AS342-Operations!AS340-Operations!AS341</f>
        <v>0</v>
      </c>
      <c r="AT343" s="20" t="n">
        <f aca="false">Operations!AT342-Operations!AT340-Operations!AT341</f>
        <v>0</v>
      </c>
      <c r="AU343" s="20" t="n">
        <f aca="false">Operations!AU342-Operations!AU340-Operations!AU341</f>
        <v>0</v>
      </c>
    </row>
    <row r="344" customFormat="false" ht="15" hidden="false" customHeight="false" outlineLevel="0" collapsed="false">
      <c r="D344" s="0" t="s">
        <v>738</v>
      </c>
      <c r="E344" s="0" t="s">
        <v>47</v>
      </c>
      <c r="J344" s="20" t="n">
        <f aca="false">Inputs!$F$160*Inputs!$F$156/1000*Time!J$9*Time!J$10*Operations!J318*Operations!$F$50</f>
        <v>0</v>
      </c>
      <c r="K344" s="20" t="n">
        <f aca="false">Inputs!$F$160*Inputs!$F$156/1000*Time!K$9*Time!K$10*Operations!K318*Operations!$F$50</f>
        <v>0</v>
      </c>
      <c r="L344" s="20" t="n">
        <f aca="false">Inputs!$F$160*Inputs!$F$156/1000*Time!L$9*Time!L$10*Operations!L318*Operations!$F$50</f>
        <v>1.77285709103484</v>
      </c>
      <c r="M344" s="20" t="n">
        <f aca="false">Inputs!$F$160*Inputs!$F$156/1000*Time!M$9*Time!M$10*Operations!M318*Operations!$F$50</f>
        <v>2.43621735421875</v>
      </c>
      <c r="N344" s="20" t="n">
        <f aca="false">Inputs!$F$160*Inputs!$F$156/1000*Time!N$9*Time!N$10*Operations!N318*Operations!$F$50</f>
        <v>2.49712278807422</v>
      </c>
      <c r="O344" s="20" t="n">
        <f aca="false">Inputs!$F$160*Inputs!$F$156/1000*Time!O$9*Time!O$10*Operations!O318*Operations!$F$50</f>
        <v>2.55955085777607</v>
      </c>
      <c r="P344" s="20" t="n">
        <f aca="false">Inputs!$F$160*Inputs!$F$156/1000*Time!P$9*Time!P$10*Operations!P318*Operations!$F$50</f>
        <v>2.62353962922047</v>
      </c>
      <c r="Q344" s="20" t="n">
        <f aca="false">Inputs!$F$160*Inputs!$F$156/1000*Time!Q$9*Time!Q$10*Operations!Q318*Operations!$F$50</f>
        <v>2.68912811995099</v>
      </c>
      <c r="R344" s="20" t="n">
        <f aca="false">Inputs!$F$160*Inputs!$F$156/1000*Time!R$9*Time!R$10*Operations!R318*Operations!$F$50</f>
        <v>2.75635632294976</v>
      </c>
      <c r="S344" s="20" t="n">
        <f aca="false">Inputs!$F$160*Inputs!$F$156/1000*Time!S$9*Time!S$10*Operations!S318*Operations!$F$50</f>
        <v>2.8252652310235</v>
      </c>
      <c r="T344" s="20" t="n">
        <f aca="false">Inputs!$F$160*Inputs!$F$156/1000*Time!T$9*Time!T$10*Operations!T318*Operations!$F$50</f>
        <v>2.89589686179909</v>
      </c>
      <c r="U344" s="20" t="n">
        <f aca="false">Inputs!$F$160*Inputs!$F$156/1000*Time!U$9*Time!U$10*Operations!U318*Operations!$F$50</f>
        <v>2.96829428334407</v>
      </c>
      <c r="V344" s="20" t="n">
        <f aca="false">Inputs!$F$160*Inputs!$F$156/1000*Time!V$9*Time!V$10*Operations!V318*Operations!$F$50</f>
        <v>3.04250164042767</v>
      </c>
      <c r="W344" s="20" t="n">
        <f aca="false">Inputs!$F$160*Inputs!$F$156/1000*Time!W$9*Time!W$10*Operations!W318*Operations!$F$50</f>
        <v>3.11856418143836</v>
      </c>
      <c r="X344" s="20" t="n">
        <f aca="false">Inputs!$F$160*Inputs!$F$156/1000*Time!X$9*Time!X$10*Operations!X318*Operations!$F$50</f>
        <v>3.19652828597432</v>
      </c>
      <c r="Y344" s="20" t="n">
        <f aca="false">Inputs!$F$160*Inputs!$F$156/1000*Time!Y$9*Time!Y$10*Operations!Y318*Operations!$F$50</f>
        <v>3.27644149312368</v>
      </c>
      <c r="Z344" s="20" t="n">
        <f aca="false">Inputs!$F$160*Inputs!$F$156/1000*Time!Z$9*Time!Z$10*Operations!Z318*Operations!$F$50</f>
        <v>3.35835253045177</v>
      </c>
      <c r="AA344" s="20" t="n">
        <f aca="false">Inputs!$F$160*Inputs!$F$156/1000*Time!AA$9*Time!AA$10*Operations!AA318*Operations!$F$50</f>
        <v>3.44231134371306</v>
      </c>
      <c r="AB344" s="20" t="n">
        <f aca="false">Inputs!$F$160*Inputs!$F$156/1000*Time!AB$9*Time!AB$10*Operations!AB318*Operations!$F$50</f>
        <v>3.52836912730589</v>
      </c>
      <c r="AC344" s="20" t="n">
        <f aca="false">Inputs!$F$160*Inputs!$F$156/1000*Time!AC$9*Time!AC$10*Operations!AC318*Operations!$F$50</f>
        <v>3.61657835548854</v>
      </c>
      <c r="AD344" s="20" t="n">
        <f aca="false">Inputs!$F$160*Inputs!$F$156/1000*Time!AD$9*Time!AD$10*Operations!AD318*Operations!$F$50</f>
        <v>3.70699281437575</v>
      </c>
      <c r="AE344" s="20" t="n">
        <f aca="false">Inputs!$F$160*Inputs!$F$156/1000*Time!AE$9*Time!AE$10*Operations!AE318*Operations!$F$50</f>
        <v>3.79966763473514</v>
      </c>
      <c r="AF344" s="20" t="n">
        <f aca="false">Inputs!$F$160*Inputs!$F$156/1000*Time!AF$9*Time!AF$10*Operations!AF318*Operations!$F$50</f>
        <v>0.968344258551695</v>
      </c>
      <c r="AG344" s="20" t="n">
        <f aca="false">Inputs!$F$160*Inputs!$F$156/1000*Time!AG$9*Time!AG$10*Operations!AG318*Operations!$F$50</f>
        <v>0</v>
      </c>
      <c r="AH344" s="20" t="n">
        <f aca="false">Inputs!$F$160*Inputs!$F$156/1000*Time!AH$9*Time!AH$10*Operations!AH318*Operations!$F$50</f>
        <v>0</v>
      </c>
      <c r="AI344" s="20" t="n">
        <f aca="false">Inputs!$F$160*Inputs!$F$156/1000*Time!AI$9*Time!AI$10*Operations!AI318*Operations!$F$50</f>
        <v>0</v>
      </c>
      <c r="AJ344" s="20" t="n">
        <f aca="false">Inputs!$F$160*Inputs!$F$156/1000*Time!AJ$9*Time!AJ$10*Operations!AJ318*Operations!$F$50</f>
        <v>0</v>
      </c>
      <c r="AK344" s="20" t="n">
        <f aca="false">Inputs!$F$160*Inputs!$F$156/1000*Time!AK$9*Time!AK$10*Operations!AK318*Operations!$F$50</f>
        <v>0</v>
      </c>
      <c r="AL344" s="20" t="n">
        <f aca="false">Inputs!$F$160*Inputs!$F$156/1000*Time!AL$9*Time!AL$10*Operations!AL318*Operations!$F$50</f>
        <v>0</v>
      </c>
      <c r="AM344" s="20" t="n">
        <f aca="false">Inputs!$F$160*Inputs!$F$156/1000*Time!AM$9*Time!AM$10*Operations!AM318*Operations!$F$50</f>
        <v>0</v>
      </c>
      <c r="AN344" s="20" t="n">
        <f aca="false">Inputs!$F$160*Inputs!$F$156/1000*Time!AN$9*Time!AN$10*Operations!AN318*Operations!$F$50</f>
        <v>0</v>
      </c>
      <c r="AO344" s="20" t="n">
        <f aca="false">Inputs!$F$160*Inputs!$F$156/1000*Time!AO$9*Time!AO$10*Operations!AO318*Operations!$F$50</f>
        <v>0</v>
      </c>
      <c r="AP344" s="20" t="n">
        <f aca="false">Inputs!$F$160*Inputs!$F$156/1000*Time!AP$9*Time!AP$10*Operations!AP318*Operations!$F$50</f>
        <v>0</v>
      </c>
      <c r="AQ344" s="20" t="n">
        <f aca="false">Inputs!$F$160*Inputs!$F$156/1000*Time!AQ$9*Time!AQ$10*Operations!AQ318*Operations!$F$50</f>
        <v>0</v>
      </c>
      <c r="AR344" s="20" t="n">
        <f aca="false">Inputs!$F$160*Inputs!$F$156/1000*Time!AR$9*Time!AR$10*Operations!AR318*Operations!$F$50</f>
        <v>0</v>
      </c>
      <c r="AS344" s="20" t="n">
        <f aca="false">Inputs!$F$160*Inputs!$F$156/1000*Time!AS$9*Time!AS$10*Operations!AS318*Operations!$F$50</f>
        <v>0</v>
      </c>
      <c r="AT344" s="20" t="n">
        <f aca="false">Inputs!$F$160*Inputs!$F$156/1000*Time!AT$9*Time!AT$10*Operations!AT318*Operations!$F$50</f>
        <v>0</v>
      </c>
      <c r="AU344" s="20" t="n">
        <f aca="false">Inputs!$F$160*Inputs!$F$156/1000*Time!AU$9*Time!AU$10*Operations!AU318*Operations!$F$50</f>
        <v>0</v>
      </c>
    </row>
    <row r="345" customFormat="false" ht="15" hidden="false" customHeight="false" outlineLevel="0" collapsed="false">
      <c r="D345" s="0" t="s">
        <v>739</v>
      </c>
      <c r="E345" s="0" t="s">
        <v>47</v>
      </c>
      <c r="J345" s="20" t="n">
        <f aca="false">0</f>
        <v>0</v>
      </c>
      <c r="K345" s="20" t="n">
        <f aca="false">0</f>
        <v>0</v>
      </c>
      <c r="L345" s="20" t="n">
        <f aca="false">0</f>
        <v>0</v>
      </c>
      <c r="M345" s="20" t="n">
        <f aca="false">0</f>
        <v>0</v>
      </c>
      <c r="N345" s="20" t="n">
        <f aca="false">0</f>
        <v>0</v>
      </c>
      <c r="O345" s="20" t="n">
        <f aca="false">0</f>
        <v>0</v>
      </c>
      <c r="P345" s="20" t="n">
        <f aca="false">0</f>
        <v>0</v>
      </c>
      <c r="Q345" s="20" t="n">
        <f aca="false">0</f>
        <v>0</v>
      </c>
      <c r="R345" s="20" t="n">
        <f aca="false">0</f>
        <v>0</v>
      </c>
      <c r="S345" s="20" t="n">
        <f aca="false">0</f>
        <v>0</v>
      </c>
      <c r="T345" s="20" t="n">
        <f aca="false">0</f>
        <v>0</v>
      </c>
      <c r="U345" s="20" t="n">
        <f aca="false">0</f>
        <v>0</v>
      </c>
      <c r="V345" s="20" t="n">
        <f aca="false">0</f>
        <v>0</v>
      </c>
      <c r="W345" s="20" t="n">
        <f aca="false">0</f>
        <v>0</v>
      </c>
      <c r="X345" s="20" t="n">
        <f aca="false">0</f>
        <v>0</v>
      </c>
      <c r="Y345" s="20" t="n">
        <f aca="false">0</f>
        <v>0</v>
      </c>
      <c r="Z345" s="20" t="n">
        <f aca="false">0</f>
        <v>0</v>
      </c>
      <c r="AA345" s="20" t="n">
        <f aca="false">0</f>
        <v>0</v>
      </c>
      <c r="AB345" s="20" t="n">
        <f aca="false">0</f>
        <v>0</v>
      </c>
      <c r="AC345" s="20" t="n">
        <f aca="false">0</f>
        <v>0</v>
      </c>
      <c r="AD345" s="20" t="n">
        <f aca="false">0</f>
        <v>0</v>
      </c>
      <c r="AE345" s="20" t="n">
        <f aca="false">0</f>
        <v>0</v>
      </c>
      <c r="AF345" s="20" t="n">
        <f aca="false">0</f>
        <v>0</v>
      </c>
      <c r="AG345" s="20" t="n">
        <f aca="false">0</f>
        <v>0</v>
      </c>
      <c r="AH345" s="20" t="n">
        <f aca="false">0</f>
        <v>0</v>
      </c>
      <c r="AI345" s="20" t="n">
        <f aca="false">0</f>
        <v>0</v>
      </c>
      <c r="AJ345" s="20" t="n">
        <f aca="false">0</f>
        <v>0</v>
      </c>
      <c r="AK345" s="20" t="n">
        <f aca="false">0</f>
        <v>0</v>
      </c>
      <c r="AL345" s="20" t="n">
        <f aca="false">0</f>
        <v>0</v>
      </c>
      <c r="AM345" s="20" t="n">
        <f aca="false">0</f>
        <v>0</v>
      </c>
      <c r="AN345" s="20" t="n">
        <f aca="false">0</f>
        <v>0</v>
      </c>
      <c r="AO345" s="20" t="n">
        <f aca="false">0</f>
        <v>0</v>
      </c>
      <c r="AP345" s="20" t="n">
        <f aca="false">0</f>
        <v>0</v>
      </c>
      <c r="AQ345" s="20" t="n">
        <f aca="false">0</f>
        <v>0</v>
      </c>
      <c r="AR345" s="20" t="n">
        <f aca="false">0</f>
        <v>0</v>
      </c>
      <c r="AS345" s="20" t="n">
        <f aca="false">0</f>
        <v>0</v>
      </c>
      <c r="AT345" s="20" t="n">
        <f aca="false">0</f>
        <v>0</v>
      </c>
      <c r="AU345" s="20" t="n">
        <f aca="false">0</f>
        <v>0</v>
      </c>
    </row>
    <row r="346" customFormat="false" ht="15" hidden="false" customHeight="false" outlineLevel="0" collapsed="false">
      <c r="D346" s="0" t="s">
        <v>740</v>
      </c>
      <c r="E346" s="0" t="s">
        <v>47</v>
      </c>
      <c r="J346" s="20" t="n">
        <f aca="false">Inputs!$F$243/100*Inputs!$F$161*Inputs!$F$156/1000*Time!J$9*Operations!J318</f>
        <v>0</v>
      </c>
      <c r="K346" s="20" t="n">
        <f aca="false">Inputs!$F$243/100*Inputs!$F$161*Inputs!$F$156/1000*Time!K$9*Operations!K318</f>
        <v>0</v>
      </c>
      <c r="L346" s="20" t="n">
        <f aca="false">Inputs!$F$243/100*Inputs!$F$161*Inputs!$F$156/1000*Time!L$9*Operations!L318</f>
        <v>0.0148112289959016</v>
      </c>
      <c r="M346" s="20" t="n">
        <f aca="false">Inputs!$F$243/100*Inputs!$F$161*Inputs!$F$156/1000*Time!M$9*Operations!M318</f>
        <v>0.0203532328125</v>
      </c>
      <c r="N346" s="20" t="n">
        <f aca="false">Inputs!$F$243/100*Inputs!$F$161*Inputs!$F$156/1000*Time!N$9*Operations!N318</f>
        <v>0.0208620636328125</v>
      </c>
      <c r="O346" s="20" t="n">
        <f aca="false">Inputs!$F$243/100*Inputs!$F$161*Inputs!$F$156/1000*Time!O$9*Operations!O318</f>
        <v>0.0213836152236328</v>
      </c>
      <c r="P346" s="20" t="n">
        <f aca="false">Inputs!$F$243/100*Inputs!$F$161*Inputs!$F$156/1000*Time!P$9*Operations!P318</f>
        <v>0.0219182056042236</v>
      </c>
      <c r="Q346" s="20" t="n">
        <f aca="false">Inputs!$F$243/100*Inputs!$F$161*Inputs!$F$156/1000*Time!Q$9*Operations!Q318</f>
        <v>0.0224661607443292</v>
      </c>
      <c r="R346" s="20" t="n">
        <f aca="false">Inputs!$F$243/100*Inputs!$F$161*Inputs!$F$156/1000*Time!R$9*Operations!R318</f>
        <v>0.0230278147629374</v>
      </c>
      <c r="S346" s="20" t="n">
        <f aca="false">Inputs!$F$243/100*Inputs!$F$161*Inputs!$F$156/1000*Time!S$9*Operations!S318</f>
        <v>0.0236035101320109</v>
      </c>
      <c r="T346" s="20" t="n">
        <f aca="false">Inputs!$F$243/100*Inputs!$F$161*Inputs!$F$156/1000*Time!T$9*Operations!T318</f>
        <v>0.0241935978853111</v>
      </c>
      <c r="U346" s="20" t="n">
        <f aca="false">Inputs!$F$243/100*Inputs!$F$161*Inputs!$F$156/1000*Time!U$9*Operations!U318</f>
        <v>0.0247984378324439</v>
      </c>
      <c r="V346" s="20" t="n">
        <f aca="false">Inputs!$F$243/100*Inputs!$F$161*Inputs!$F$156/1000*Time!V$9*Operations!V318</f>
        <v>0.025418398778255</v>
      </c>
      <c r="W346" s="20" t="n">
        <f aca="false">Inputs!$F$243/100*Inputs!$F$161*Inputs!$F$156/1000*Time!W$9*Operations!W318</f>
        <v>0.0260538587477114</v>
      </c>
      <c r="X346" s="20" t="n">
        <f aca="false">Inputs!$F$243/100*Inputs!$F$161*Inputs!$F$156/1000*Time!X$9*Operations!X318</f>
        <v>0.0267052052164042</v>
      </c>
      <c r="Y346" s="20" t="n">
        <f aca="false">Inputs!$F$243/100*Inputs!$F$161*Inputs!$F$156/1000*Time!Y$9*Operations!Y318</f>
        <v>0.0273728353468143</v>
      </c>
      <c r="Z346" s="20" t="n">
        <f aca="false">Inputs!$F$243/100*Inputs!$F$161*Inputs!$F$156/1000*Time!Z$9*Operations!Z318</f>
        <v>0.0280571562304846</v>
      </c>
      <c r="AA346" s="20" t="n">
        <f aca="false">Inputs!$F$243/100*Inputs!$F$161*Inputs!$F$156/1000*Time!AA$9*Operations!AA318</f>
        <v>0.0287585851362467</v>
      </c>
      <c r="AB346" s="20" t="n">
        <f aca="false">Inputs!$F$243/100*Inputs!$F$161*Inputs!$F$156/1000*Time!AB$9*Operations!AB318</f>
        <v>0.0294775497646529</v>
      </c>
      <c r="AC346" s="20" t="n">
        <f aca="false">Inputs!$F$243/100*Inputs!$F$161*Inputs!$F$156/1000*Time!AC$9*Operations!AC318</f>
        <v>0.0302144885087692</v>
      </c>
      <c r="AD346" s="20" t="n">
        <f aca="false">Inputs!$F$243/100*Inputs!$F$161*Inputs!$F$156/1000*Time!AD$9*Operations!AD318</f>
        <v>0.0309698507214885</v>
      </c>
      <c r="AE346" s="20" t="n">
        <f aca="false">Inputs!$F$243/100*Inputs!$F$161*Inputs!$F$156/1000*Time!AE$9*Operations!AE318</f>
        <v>0.0317440969895257</v>
      </c>
      <c r="AF346" s="20" t="n">
        <f aca="false">Inputs!$F$243/100*Inputs!$F$161*Inputs!$F$156/1000*Time!AF$9*Operations!AF318</f>
        <v>0.00808997444453007</v>
      </c>
      <c r="AG346" s="20" t="n">
        <f aca="false">Inputs!$F$243/100*Inputs!$F$161*Inputs!$F$156/1000*Time!AG$9*Operations!AG318</f>
        <v>0</v>
      </c>
      <c r="AH346" s="20" t="n">
        <f aca="false">Inputs!$F$243/100*Inputs!$F$161*Inputs!$F$156/1000*Time!AH$9*Operations!AH318</f>
        <v>0</v>
      </c>
      <c r="AI346" s="20" t="n">
        <f aca="false">Inputs!$F$243/100*Inputs!$F$161*Inputs!$F$156/1000*Time!AI$9*Operations!AI318</f>
        <v>0</v>
      </c>
      <c r="AJ346" s="20" t="n">
        <f aca="false">Inputs!$F$243/100*Inputs!$F$161*Inputs!$F$156/1000*Time!AJ$9*Operations!AJ318</f>
        <v>0</v>
      </c>
      <c r="AK346" s="20" t="n">
        <f aca="false">Inputs!$F$243/100*Inputs!$F$161*Inputs!$F$156/1000*Time!AK$9*Operations!AK318</f>
        <v>0</v>
      </c>
      <c r="AL346" s="20" t="n">
        <f aca="false">Inputs!$F$243/100*Inputs!$F$161*Inputs!$F$156/1000*Time!AL$9*Operations!AL318</f>
        <v>0</v>
      </c>
      <c r="AM346" s="20" t="n">
        <f aca="false">Inputs!$F$243/100*Inputs!$F$161*Inputs!$F$156/1000*Time!AM$9*Operations!AM318</f>
        <v>0</v>
      </c>
      <c r="AN346" s="20" t="n">
        <f aca="false">Inputs!$F$243/100*Inputs!$F$161*Inputs!$F$156/1000*Time!AN$9*Operations!AN318</f>
        <v>0</v>
      </c>
      <c r="AO346" s="20" t="n">
        <f aca="false">Inputs!$F$243/100*Inputs!$F$161*Inputs!$F$156/1000*Time!AO$9*Operations!AO318</f>
        <v>0</v>
      </c>
      <c r="AP346" s="20" t="n">
        <f aca="false">Inputs!$F$243/100*Inputs!$F$161*Inputs!$F$156/1000*Time!AP$9*Operations!AP318</f>
        <v>0</v>
      </c>
      <c r="AQ346" s="20" t="n">
        <f aca="false">Inputs!$F$243/100*Inputs!$F$161*Inputs!$F$156/1000*Time!AQ$9*Operations!AQ318</f>
        <v>0</v>
      </c>
      <c r="AR346" s="20" t="n">
        <f aca="false">Inputs!$F$243/100*Inputs!$F$161*Inputs!$F$156/1000*Time!AR$9*Operations!AR318</f>
        <v>0</v>
      </c>
      <c r="AS346" s="20" t="n">
        <f aca="false">Inputs!$F$243/100*Inputs!$F$161*Inputs!$F$156/1000*Time!AS$9*Operations!AS318</f>
        <v>0</v>
      </c>
      <c r="AT346" s="20" t="n">
        <f aca="false">Inputs!$F$243/100*Inputs!$F$161*Inputs!$F$156/1000*Time!AT$9*Operations!AT318</f>
        <v>0</v>
      </c>
      <c r="AU346" s="20" t="n">
        <f aca="false">Inputs!$F$243/100*Inputs!$F$161*Inputs!$F$156/1000*Time!AU$9*Operations!AU318</f>
        <v>0</v>
      </c>
    </row>
    <row r="347" customFormat="false" ht="15" hidden="false" customHeight="false" outlineLevel="0" collapsed="false">
      <c r="D347" s="0" t="s">
        <v>741</v>
      </c>
      <c r="E347" s="0" t="s">
        <v>47</v>
      </c>
      <c r="J347" s="20" t="n">
        <f aca="false">Inputs!$F$244/100*Inputs!$F$245/100*Operations!J342</f>
        <v>0</v>
      </c>
      <c r="K347" s="20" t="n">
        <f aca="false">Inputs!$F$244/100*Inputs!$F$245/100*Operations!K342</f>
        <v>0</v>
      </c>
      <c r="L347" s="20" t="n">
        <f aca="false">Inputs!$F$244/100*Inputs!$F$245/100*Operations!L342</f>
        <v>0.040060512295082</v>
      </c>
      <c r="M347" s="20" t="n">
        <f aca="false">Inputs!$F$244/100*Inputs!$F$245/100*Operations!M342</f>
        <v>0.0537075</v>
      </c>
      <c r="N347" s="20" t="n">
        <f aca="false">Inputs!$F$244/100*Inputs!$F$245/100*Operations!N342</f>
        <v>0.0537075</v>
      </c>
      <c r="O347" s="20" t="n">
        <f aca="false">Inputs!$F$244/100*Inputs!$F$245/100*Operations!O342</f>
        <v>0.0537075</v>
      </c>
      <c r="P347" s="20" t="n">
        <f aca="false">Inputs!$F$244/100*Inputs!$F$245/100*Operations!P342</f>
        <v>0.0537075</v>
      </c>
      <c r="Q347" s="20" t="n">
        <f aca="false">Inputs!$F$244/100*Inputs!$F$245/100*Operations!Q342</f>
        <v>0.0537075</v>
      </c>
      <c r="R347" s="20" t="n">
        <f aca="false">Inputs!$F$244/100*Inputs!$F$245/100*Operations!R342</f>
        <v>0.0537075</v>
      </c>
      <c r="S347" s="20" t="n">
        <f aca="false">Inputs!$F$244/100*Inputs!$F$245/100*Operations!S342</f>
        <v>0.0537075</v>
      </c>
      <c r="T347" s="20" t="n">
        <f aca="false">Inputs!$F$244/100*Inputs!$F$245/100*Operations!T342</f>
        <v>0.0498914955430328</v>
      </c>
      <c r="U347" s="20" t="n">
        <f aca="false">Inputs!$F$244/100*Inputs!$F$245/100*Operations!U342</f>
        <v>0.04933963125</v>
      </c>
      <c r="V347" s="20" t="n">
        <f aca="false">Inputs!$F$244/100*Inputs!$F$245/100*Operations!V342</f>
        <v>0.05007673125</v>
      </c>
      <c r="W347" s="20" t="n">
        <f aca="false">Inputs!$F$244/100*Inputs!$F$245/100*Operations!W342</f>
        <v>0.0508291875</v>
      </c>
      <c r="X347" s="20" t="n">
        <f aca="false">Inputs!$F$244/100*Inputs!$F$245/100*Operations!X342</f>
        <v>0.051472899616292</v>
      </c>
      <c r="Y347" s="20" t="n">
        <f aca="false">Inputs!$F$244/100*Inputs!$F$245/100*Operations!Y342</f>
        <v>0.0515859397135274</v>
      </c>
      <c r="Z347" s="20" t="n">
        <f aca="false">Inputs!$F$244/100*Inputs!$F$245/100*Operations!Z342</f>
        <v>0.0516878387525188</v>
      </c>
      <c r="AA347" s="20" t="n">
        <f aca="false">Inputs!$F$244/100*Inputs!$F$245/100*Operations!AA342</f>
        <v>0.0517928360916498</v>
      </c>
      <c r="AB347" s="20" t="n">
        <f aca="false">Inputs!$F$244/100*Inputs!$F$245/100*Operations!AB342</f>
        <v>0.0518924728394769</v>
      </c>
      <c r="AC347" s="20" t="n">
        <f aca="false">Inputs!$F$244/100*Inputs!$F$245/100*Operations!AC342</f>
        <v>0.0519866147339923</v>
      </c>
      <c r="AD347" s="20" t="n">
        <f aca="false">Inputs!$F$244/100*Inputs!$F$245/100*Operations!AD342</f>
        <v>0.0520756912085201</v>
      </c>
      <c r="AE347" s="20" t="n">
        <f aca="false">Inputs!$F$244/100*Inputs!$F$245/100*Operations!AE342</f>
        <v>0.0521597628876421</v>
      </c>
      <c r="AF347" s="20" t="n">
        <f aca="false">Inputs!$F$244/100*Inputs!$F$245/100*Operations!AF342</f>
        <v>0.0129898346579643</v>
      </c>
      <c r="AG347" s="20" t="n">
        <f aca="false">Inputs!$F$244/100*Inputs!$F$245/100*Operations!AG342</f>
        <v>0</v>
      </c>
      <c r="AH347" s="20" t="n">
        <f aca="false">Inputs!$F$244/100*Inputs!$F$245/100*Operations!AH342</f>
        <v>0</v>
      </c>
      <c r="AI347" s="20" t="n">
        <f aca="false">Inputs!$F$244/100*Inputs!$F$245/100*Operations!AI342</f>
        <v>0</v>
      </c>
      <c r="AJ347" s="20" t="n">
        <f aca="false">Inputs!$F$244/100*Inputs!$F$245/100*Operations!AJ342</f>
        <v>0</v>
      </c>
      <c r="AK347" s="20" t="n">
        <f aca="false">Inputs!$F$244/100*Inputs!$F$245/100*Operations!AK342</f>
        <v>0</v>
      </c>
      <c r="AL347" s="20" t="n">
        <f aca="false">Inputs!$F$244/100*Inputs!$F$245/100*Operations!AL342</f>
        <v>0</v>
      </c>
      <c r="AM347" s="20" t="n">
        <f aca="false">Inputs!$F$244/100*Inputs!$F$245/100*Operations!AM342</f>
        <v>0</v>
      </c>
      <c r="AN347" s="20" t="n">
        <f aca="false">Inputs!$F$244/100*Inputs!$F$245/100*Operations!AN342</f>
        <v>0</v>
      </c>
      <c r="AO347" s="20" t="n">
        <f aca="false">Inputs!$F$244/100*Inputs!$F$245/100*Operations!AO342</f>
        <v>0</v>
      </c>
      <c r="AP347" s="20" t="n">
        <f aca="false">Inputs!$F$244/100*Inputs!$F$245/100*Operations!AP342</f>
        <v>0</v>
      </c>
      <c r="AQ347" s="20" t="n">
        <f aca="false">Inputs!$F$244/100*Inputs!$F$245/100*Operations!AQ342</f>
        <v>0</v>
      </c>
      <c r="AR347" s="20" t="n">
        <f aca="false">Inputs!$F$244/100*Inputs!$F$245/100*Operations!AR342</f>
        <v>0</v>
      </c>
      <c r="AS347" s="20" t="n">
        <f aca="false">Inputs!$F$244/100*Inputs!$F$245/100*Operations!AS342</f>
        <v>0</v>
      </c>
      <c r="AT347" s="20" t="n">
        <f aca="false">Inputs!$F$244/100*Inputs!$F$245/100*Operations!AT342</f>
        <v>0</v>
      </c>
      <c r="AU347" s="20" t="n">
        <f aca="false">Inputs!$F$244/100*Inputs!$F$245/100*Operations!AU342</f>
        <v>0</v>
      </c>
    </row>
    <row r="348" customFormat="false" ht="15" hidden="false" customHeight="false" outlineLevel="0" collapsed="false">
      <c r="D348" s="0" t="s">
        <v>742</v>
      </c>
      <c r="E348" s="0" t="s">
        <v>47</v>
      </c>
      <c r="G348" s="20" t="n">
        <f aca="false">SUM(J348:AU348)</f>
        <v>136.184940901019</v>
      </c>
      <c r="J348" s="20" t="n">
        <f aca="false">Operations!J342-Operations!J344-Operations!J345-Operations!J346-Operations!J347</f>
        <v>0</v>
      </c>
      <c r="K348" s="20" t="n">
        <f aca="false">Operations!K342-Operations!K344-Operations!K345-Operations!K346-Operations!K347</f>
        <v>0</v>
      </c>
      <c r="L348" s="20" t="n">
        <f aca="false">Operations!L342-Operations!L344-Operations!L345-Operations!L346-Operations!L347</f>
        <v>5.80284493816598</v>
      </c>
      <c r="M348" s="20" t="n">
        <f aca="false">Operations!M342-Operations!M344-Operations!M345-Operations!M346-Operations!M347</f>
        <v>7.71972191296875</v>
      </c>
      <c r="N348" s="20" t="n">
        <f aca="false">Operations!N342-Operations!N344-Operations!N345-Operations!N346-Operations!N347</f>
        <v>7.65830764829297</v>
      </c>
      <c r="O348" s="20" t="n">
        <f aca="false">Operations!O342-Operations!O344-Operations!O345-Operations!O346-Operations!O347</f>
        <v>7.5953580270003</v>
      </c>
      <c r="P348" s="20" t="n">
        <f aca="false">Operations!P342-Operations!P344-Operations!P345-Operations!P346-Operations!P347</f>
        <v>7.5308346651753</v>
      </c>
      <c r="Q348" s="20" t="n">
        <f aca="false">Operations!Q342-Operations!Q344-Operations!Q345-Operations!Q346-Operations!Q347</f>
        <v>7.46469821930469</v>
      </c>
      <c r="R348" s="20" t="n">
        <f aca="false">Operations!R342-Operations!R344-Operations!R345-Operations!R346-Operations!R347</f>
        <v>7.3969083622873</v>
      </c>
      <c r="S348" s="20" t="n">
        <f aca="false">Operations!S342-Operations!S344-Operations!S345-Operations!S346-Operations!S347</f>
        <v>7.32742375884449</v>
      </c>
      <c r="T348" s="20" t="n">
        <f aca="false">Operations!T342-Operations!T344-Operations!T345-Operations!T346-Operations!T347</f>
        <v>6.53316005296929</v>
      </c>
      <c r="U348" s="20" t="n">
        <f aca="false">Operations!U342-Operations!U344-Operations!U345-Operations!U346-Operations!U347</f>
        <v>6.35559264757349</v>
      </c>
      <c r="V348" s="20" t="n">
        <f aca="false">Operations!V342-Operations!V344-Operations!V345-Operations!V346-Operations!V347</f>
        <v>6.42042822954408</v>
      </c>
      <c r="W348" s="20" t="n">
        <f aca="false">Operations!W342-Operations!W344-Operations!W345-Operations!W346-Operations!W347</f>
        <v>6.48630277231393</v>
      </c>
      <c r="X348" s="20" t="n">
        <f aca="false">Operations!X342-Operations!X344-Operations!X345-Operations!X346-Operations!X347</f>
        <v>6.52965544086764</v>
      </c>
      <c r="Y348" s="20" t="n">
        <f aca="false">Operations!Y342-Operations!Y344-Operations!Y345-Operations!Y346-Operations!Y347</f>
        <v>6.4704930105831</v>
      </c>
      <c r="Z348" s="20" t="n">
        <f aca="false">Operations!Z342-Operations!Z344-Operations!Z345-Operations!Z346-Operations!Z347</f>
        <v>6.40720509409262</v>
      </c>
      <c r="AA348" s="20" t="n">
        <f aca="false">Operations!AA342-Operations!AA344-Operations!AA345-Operations!AA346-Operations!AA347</f>
        <v>6.34243934775425</v>
      </c>
      <c r="AB348" s="20" t="n">
        <f aca="false">Operations!AB342-Operations!AB344-Operations!AB345-Operations!AB346-Operations!AB347</f>
        <v>6.27454139094273</v>
      </c>
      <c r="AC348" s="20" t="n">
        <f aca="false">Operations!AC342-Operations!AC344-Operations!AC345-Operations!AC346-Operations!AC347</f>
        <v>6.20343287155295</v>
      </c>
      <c r="AD348" s="20" t="n">
        <f aca="false">Operations!AD342-Operations!AD344-Operations!AD345-Operations!AD346-Operations!AD347</f>
        <v>6.1291409215076</v>
      </c>
      <c r="AE348" s="20" t="n">
        <f aca="false">Operations!AE342-Operations!AE344-Operations!AE345-Operations!AE346-Operations!AE347</f>
        <v>6.05162143636714</v>
      </c>
      <c r="AF348" s="20" t="n">
        <f aca="false">Operations!AF342-Operations!AF344-Operations!AF345-Operations!AF346-Operations!AF347</f>
        <v>1.48483015291043</v>
      </c>
      <c r="AG348" s="20" t="n">
        <f aca="false">Operations!AG342-Operations!AG344-Operations!AG345-Operations!AG346-Operations!AG347</f>
        <v>0</v>
      </c>
      <c r="AH348" s="20" t="n">
        <f aca="false">Operations!AH342-Operations!AH344-Operations!AH345-Operations!AH346-Operations!AH347</f>
        <v>0</v>
      </c>
      <c r="AI348" s="20" t="n">
        <f aca="false">Operations!AI342-Operations!AI344-Operations!AI345-Operations!AI346-Operations!AI347</f>
        <v>0</v>
      </c>
      <c r="AJ348" s="20" t="n">
        <f aca="false">Operations!AJ342-Operations!AJ344-Operations!AJ345-Operations!AJ346-Operations!AJ347</f>
        <v>0</v>
      </c>
      <c r="AK348" s="20" t="n">
        <f aca="false">Operations!AK342-Operations!AK344-Operations!AK345-Operations!AK346-Operations!AK347</f>
        <v>0</v>
      </c>
      <c r="AL348" s="20" t="n">
        <f aca="false">Operations!AL342-Operations!AL344-Operations!AL345-Operations!AL346-Operations!AL347</f>
        <v>0</v>
      </c>
      <c r="AM348" s="20" t="n">
        <f aca="false">Operations!AM342-Operations!AM344-Operations!AM345-Operations!AM346-Operations!AM347</f>
        <v>0</v>
      </c>
      <c r="AN348" s="20" t="n">
        <f aca="false">Operations!AN342-Operations!AN344-Operations!AN345-Operations!AN346-Operations!AN347</f>
        <v>0</v>
      </c>
      <c r="AO348" s="20" t="n">
        <f aca="false">Operations!AO342-Operations!AO344-Operations!AO345-Operations!AO346-Operations!AO347</f>
        <v>0</v>
      </c>
      <c r="AP348" s="20" t="n">
        <f aca="false">Operations!AP342-Operations!AP344-Operations!AP345-Operations!AP346-Operations!AP347</f>
        <v>0</v>
      </c>
      <c r="AQ348" s="20" t="n">
        <f aca="false">Operations!AQ342-Operations!AQ344-Operations!AQ345-Operations!AQ346-Operations!AQ347</f>
        <v>0</v>
      </c>
      <c r="AR348" s="20" t="n">
        <f aca="false">Operations!AR342-Operations!AR344-Operations!AR345-Operations!AR346-Operations!AR347</f>
        <v>0</v>
      </c>
      <c r="AS348" s="20" t="n">
        <f aca="false">Operations!AS342-Operations!AS344-Operations!AS345-Operations!AS346-Operations!AS347</f>
        <v>0</v>
      </c>
      <c r="AT348" s="20" t="n">
        <f aca="false">Operations!AT342-Operations!AT344-Operations!AT345-Operations!AT346-Operations!AT347</f>
        <v>0</v>
      </c>
      <c r="AU348" s="20" t="n">
        <f aca="false">Operations!AU342-Operations!AU344-Operations!AU345-Operations!AU346-Operations!AU347</f>
        <v>0</v>
      </c>
    </row>
    <row r="349" customFormat="false" ht="15" hidden="false" customHeight="false" outlineLevel="0" collapsed="false">
      <c r="D349" s="0" t="s">
        <v>743</v>
      </c>
      <c r="E349" s="0" t="s">
        <v>47</v>
      </c>
      <c r="J349" s="20" t="n">
        <f aca="false">IF(OR(Time!J$4=YEAR(Inputs!$F$157)+Inputs!$F$164,Time!J$4=YEAR(Inputs!$F$157)+Inputs!$F$165),Inputs!$F$166/100*Inputs!$F$162*Inputs!$F$167/1000*(1+Inputs!$F$194/100)^(Time!J$4-Inputs!$F$193),0)</f>
        <v>0</v>
      </c>
      <c r="K349" s="20" t="n">
        <f aca="false">IF(OR(Time!K$4=YEAR(Inputs!$F$157)+Inputs!$F$164,Time!K$4=YEAR(Inputs!$F$157)+Inputs!$F$165),Inputs!$F$166/100*Inputs!$F$162*Inputs!$F$167/1000*(1+Inputs!$F$194/100)^(Time!K$4-Inputs!$F$193),0)</f>
        <v>0</v>
      </c>
      <c r="L349" s="20" t="n">
        <f aca="false">IF(OR(Time!L$4=YEAR(Inputs!$F$157)+Inputs!$F$164,Time!L$4=YEAR(Inputs!$F$157)+Inputs!$F$165),Inputs!$F$166/100*Inputs!$F$162*Inputs!$F$167/1000*(1+Inputs!$F$194/100)^(Time!L$4-Inputs!$F$193),0)</f>
        <v>0</v>
      </c>
      <c r="M349" s="20" t="n">
        <f aca="false">IF(OR(Time!M$4=YEAR(Inputs!$F$157)+Inputs!$F$164,Time!M$4=YEAR(Inputs!$F$157)+Inputs!$F$165),Inputs!$F$166/100*Inputs!$F$162*Inputs!$F$167/1000*(1+Inputs!$F$194/100)^(Time!M$4-Inputs!$F$193),0)</f>
        <v>0</v>
      </c>
      <c r="N349" s="20" t="n">
        <f aca="false">IF(OR(Time!N$4=YEAR(Inputs!$F$157)+Inputs!$F$164,Time!N$4=YEAR(Inputs!$F$157)+Inputs!$F$165),Inputs!$F$166/100*Inputs!$F$162*Inputs!$F$167/1000*(1+Inputs!$F$194/100)^(Time!N$4-Inputs!$F$193),0)</f>
        <v>0</v>
      </c>
      <c r="O349" s="20" t="n">
        <f aca="false">IF(OR(Time!O$4=YEAR(Inputs!$F$157)+Inputs!$F$164,Time!O$4=YEAR(Inputs!$F$157)+Inputs!$F$165),Inputs!$F$166/100*Inputs!$F$162*Inputs!$F$167/1000*(1+Inputs!$F$194/100)^(Time!O$4-Inputs!$F$193),0)</f>
        <v>0</v>
      </c>
      <c r="P349" s="20" t="n">
        <f aca="false">IF(OR(Time!P$4=YEAR(Inputs!$F$157)+Inputs!$F$164,Time!P$4=YEAR(Inputs!$F$157)+Inputs!$F$165),Inputs!$F$166/100*Inputs!$F$162*Inputs!$F$167/1000*(1+Inputs!$F$194/100)^(Time!P$4-Inputs!$F$193),0)</f>
        <v>0</v>
      </c>
      <c r="Q349" s="20" t="n">
        <f aca="false">IF(OR(Time!Q$4=YEAR(Inputs!$F$157)+Inputs!$F$164,Time!Q$4=YEAR(Inputs!$F$157)+Inputs!$F$165),Inputs!$F$166/100*Inputs!$F$162*Inputs!$F$167/1000*(1+Inputs!$F$194/100)^(Time!Q$4-Inputs!$F$193),0)</f>
        <v>0.81461391328125</v>
      </c>
      <c r="R349" s="20" t="n">
        <f aca="false">IF(OR(Time!R$4=YEAR(Inputs!$F$157)+Inputs!$F$164,Time!R$4=YEAR(Inputs!$F$157)+Inputs!$F$165),Inputs!$F$166/100*Inputs!$F$162*Inputs!$F$167/1000*(1+Inputs!$F$194/100)^(Time!R$4-Inputs!$F$193),0)</f>
        <v>0</v>
      </c>
      <c r="S349" s="20" t="n">
        <f aca="false">IF(OR(Time!S$4=YEAR(Inputs!$F$157)+Inputs!$F$164,Time!S$4=YEAR(Inputs!$F$157)+Inputs!$F$165),Inputs!$F$166/100*Inputs!$F$162*Inputs!$F$167/1000*(1+Inputs!$F$194/100)^(Time!S$4-Inputs!$F$193),0)</f>
        <v>0</v>
      </c>
      <c r="T349" s="20" t="n">
        <f aca="false">IF(OR(Time!T$4=YEAR(Inputs!$F$157)+Inputs!$F$164,Time!T$4=YEAR(Inputs!$F$157)+Inputs!$F$165),Inputs!$F$166/100*Inputs!$F$162*Inputs!$F$167/1000*(1+Inputs!$F$194/100)^(Time!T$4-Inputs!$F$193),0)</f>
        <v>0</v>
      </c>
      <c r="U349" s="20" t="n">
        <f aca="false">IF(OR(Time!U$4=YEAR(Inputs!$F$157)+Inputs!$F$164,Time!U$4=YEAR(Inputs!$F$157)+Inputs!$F$165),Inputs!$F$166/100*Inputs!$F$162*Inputs!$F$167/1000*(1+Inputs!$F$194/100)^(Time!U$4-Inputs!$F$193),0)</f>
        <v>0.899181338362319</v>
      </c>
      <c r="V349" s="20" t="n">
        <f aca="false">IF(OR(Time!V$4=YEAR(Inputs!$F$157)+Inputs!$F$164,Time!V$4=YEAR(Inputs!$F$157)+Inputs!$F$165),Inputs!$F$166/100*Inputs!$F$162*Inputs!$F$167/1000*(1+Inputs!$F$194/100)^(Time!V$4-Inputs!$F$193),0)</f>
        <v>0</v>
      </c>
      <c r="W349" s="20" t="n">
        <f aca="false">IF(OR(Time!W$4=YEAR(Inputs!$F$157)+Inputs!$F$164,Time!W$4=YEAR(Inputs!$F$157)+Inputs!$F$165),Inputs!$F$166/100*Inputs!$F$162*Inputs!$F$167/1000*(1+Inputs!$F$194/100)^(Time!W$4-Inputs!$F$193),0)</f>
        <v>0</v>
      </c>
      <c r="X349" s="20" t="n">
        <f aca="false">IF(OR(Time!X$4=YEAR(Inputs!$F$157)+Inputs!$F$164,Time!X$4=YEAR(Inputs!$F$157)+Inputs!$F$165),Inputs!$F$166/100*Inputs!$F$162*Inputs!$F$167/1000*(1+Inputs!$F$194/100)^(Time!X$4-Inputs!$F$193),0)</f>
        <v>0</v>
      </c>
      <c r="Y349" s="20" t="n">
        <f aca="false">IF(OR(Time!Y$4=YEAR(Inputs!$F$157)+Inputs!$F$164,Time!Y$4=YEAR(Inputs!$F$157)+Inputs!$F$165),Inputs!$F$166/100*Inputs!$F$162*Inputs!$F$167/1000*(1+Inputs!$F$194/100)^(Time!Y$4-Inputs!$F$193),0)</f>
        <v>0</v>
      </c>
      <c r="Z349" s="20" t="n">
        <f aca="false">IF(OR(Time!Z$4=YEAR(Inputs!$F$157)+Inputs!$F$164,Time!Z$4=YEAR(Inputs!$F$157)+Inputs!$F$165),Inputs!$F$166/100*Inputs!$F$162*Inputs!$F$167/1000*(1+Inputs!$F$194/100)^(Time!Z$4-Inputs!$F$193),0)</f>
        <v>0</v>
      </c>
      <c r="AA349" s="20" t="n">
        <f aca="false">IF(OR(Time!AA$4=YEAR(Inputs!$F$157)+Inputs!$F$164,Time!AA$4=YEAR(Inputs!$F$157)+Inputs!$F$165),Inputs!$F$166/100*Inputs!$F$162*Inputs!$F$167/1000*(1+Inputs!$F$194/100)^(Time!AA$4-Inputs!$F$193),0)</f>
        <v>0</v>
      </c>
      <c r="AB349" s="20" t="n">
        <f aca="false">IF(OR(Time!AB$4=YEAR(Inputs!$F$157)+Inputs!$F$164,Time!AB$4=YEAR(Inputs!$F$157)+Inputs!$F$165),Inputs!$F$166/100*Inputs!$F$162*Inputs!$F$167/1000*(1+Inputs!$F$194/100)^(Time!AB$4-Inputs!$F$193),0)</f>
        <v>0</v>
      </c>
      <c r="AC349" s="20" t="n">
        <f aca="false">IF(OR(Time!AC$4=YEAR(Inputs!$F$157)+Inputs!$F$164,Time!AC$4=YEAR(Inputs!$F$157)+Inputs!$F$165),Inputs!$F$166/100*Inputs!$F$162*Inputs!$F$167/1000*(1+Inputs!$F$194/100)^(Time!AC$4-Inputs!$F$193),0)</f>
        <v>0</v>
      </c>
      <c r="AD349" s="20" t="n">
        <f aca="false">IF(OR(Time!AD$4=YEAR(Inputs!$F$157)+Inputs!$F$164,Time!AD$4=YEAR(Inputs!$F$157)+Inputs!$F$165),Inputs!$F$166/100*Inputs!$F$162*Inputs!$F$167/1000*(1+Inputs!$F$194/100)^(Time!AD$4-Inputs!$F$193),0)</f>
        <v>0</v>
      </c>
      <c r="AE349" s="20" t="n">
        <f aca="false">IF(OR(Time!AE$4=YEAR(Inputs!$F$157)+Inputs!$F$164,Time!AE$4=YEAR(Inputs!$F$157)+Inputs!$F$165),Inputs!$F$166/100*Inputs!$F$162*Inputs!$F$167/1000*(1+Inputs!$F$194/100)^(Time!AE$4-Inputs!$F$193),0)</f>
        <v>0</v>
      </c>
      <c r="AF349" s="20" t="n">
        <f aca="false">IF(OR(Time!AF$4=YEAR(Inputs!$F$157)+Inputs!$F$164,Time!AF$4=YEAR(Inputs!$F$157)+Inputs!$F$165),Inputs!$F$166/100*Inputs!$F$162*Inputs!$F$167/1000*(1+Inputs!$F$194/100)^(Time!AF$4-Inputs!$F$193),0)</f>
        <v>0</v>
      </c>
      <c r="AG349" s="20" t="n">
        <f aca="false">IF(OR(Time!AG$4=YEAR(Inputs!$F$157)+Inputs!$F$164,Time!AG$4=YEAR(Inputs!$F$157)+Inputs!$F$165),Inputs!$F$166/100*Inputs!$F$162*Inputs!$F$167/1000*(1+Inputs!$F$194/100)^(Time!AG$4-Inputs!$F$193),0)</f>
        <v>0</v>
      </c>
      <c r="AH349" s="20" t="n">
        <f aca="false">IF(OR(Time!AH$4=YEAR(Inputs!$F$157)+Inputs!$F$164,Time!AH$4=YEAR(Inputs!$F$157)+Inputs!$F$165),Inputs!$F$166/100*Inputs!$F$162*Inputs!$F$167/1000*(1+Inputs!$F$194/100)^(Time!AH$4-Inputs!$F$193),0)</f>
        <v>0</v>
      </c>
      <c r="AI349" s="20" t="n">
        <f aca="false">IF(OR(Time!AI$4=YEAR(Inputs!$F$157)+Inputs!$F$164,Time!AI$4=YEAR(Inputs!$F$157)+Inputs!$F$165),Inputs!$F$166/100*Inputs!$F$162*Inputs!$F$167/1000*(1+Inputs!$F$194/100)^(Time!AI$4-Inputs!$F$193),0)</f>
        <v>0</v>
      </c>
      <c r="AJ349" s="20" t="n">
        <f aca="false">IF(OR(Time!AJ$4=YEAR(Inputs!$F$157)+Inputs!$F$164,Time!AJ$4=YEAR(Inputs!$F$157)+Inputs!$F$165),Inputs!$F$166/100*Inputs!$F$162*Inputs!$F$167/1000*(1+Inputs!$F$194/100)^(Time!AJ$4-Inputs!$F$193),0)</f>
        <v>0</v>
      </c>
      <c r="AK349" s="20" t="n">
        <f aca="false">IF(OR(Time!AK$4=YEAR(Inputs!$F$157)+Inputs!$F$164,Time!AK$4=YEAR(Inputs!$F$157)+Inputs!$F$165),Inputs!$F$166/100*Inputs!$F$162*Inputs!$F$167/1000*(1+Inputs!$F$194/100)^(Time!AK$4-Inputs!$F$193),0)</f>
        <v>0</v>
      </c>
      <c r="AL349" s="20" t="n">
        <f aca="false">IF(OR(Time!AL$4=YEAR(Inputs!$F$157)+Inputs!$F$164,Time!AL$4=YEAR(Inputs!$F$157)+Inputs!$F$165),Inputs!$F$166/100*Inputs!$F$162*Inputs!$F$167/1000*(1+Inputs!$F$194/100)^(Time!AL$4-Inputs!$F$193),0)</f>
        <v>0</v>
      </c>
      <c r="AM349" s="20" t="n">
        <f aca="false">IF(OR(Time!AM$4=YEAR(Inputs!$F$157)+Inputs!$F$164,Time!AM$4=YEAR(Inputs!$F$157)+Inputs!$F$165),Inputs!$F$166/100*Inputs!$F$162*Inputs!$F$167/1000*(1+Inputs!$F$194/100)^(Time!AM$4-Inputs!$F$193),0)</f>
        <v>0</v>
      </c>
      <c r="AN349" s="20" t="n">
        <f aca="false">IF(OR(Time!AN$4=YEAR(Inputs!$F$157)+Inputs!$F$164,Time!AN$4=YEAR(Inputs!$F$157)+Inputs!$F$165),Inputs!$F$166/100*Inputs!$F$162*Inputs!$F$167/1000*(1+Inputs!$F$194/100)^(Time!AN$4-Inputs!$F$193),0)</f>
        <v>0</v>
      </c>
      <c r="AO349" s="20" t="n">
        <f aca="false">IF(OR(Time!AO$4=YEAR(Inputs!$F$157)+Inputs!$F$164,Time!AO$4=YEAR(Inputs!$F$157)+Inputs!$F$165),Inputs!$F$166/100*Inputs!$F$162*Inputs!$F$167/1000*(1+Inputs!$F$194/100)^(Time!AO$4-Inputs!$F$193),0)</f>
        <v>0</v>
      </c>
      <c r="AP349" s="20" t="n">
        <f aca="false">IF(OR(Time!AP$4=YEAR(Inputs!$F$157)+Inputs!$F$164,Time!AP$4=YEAR(Inputs!$F$157)+Inputs!$F$165),Inputs!$F$166/100*Inputs!$F$162*Inputs!$F$167/1000*(1+Inputs!$F$194/100)^(Time!AP$4-Inputs!$F$193),0)</f>
        <v>0</v>
      </c>
      <c r="AQ349" s="20" t="n">
        <f aca="false">IF(OR(Time!AQ$4=YEAR(Inputs!$F$157)+Inputs!$F$164,Time!AQ$4=YEAR(Inputs!$F$157)+Inputs!$F$165),Inputs!$F$166/100*Inputs!$F$162*Inputs!$F$167/1000*(1+Inputs!$F$194/100)^(Time!AQ$4-Inputs!$F$193),0)</f>
        <v>0</v>
      </c>
      <c r="AR349" s="20" t="n">
        <f aca="false">IF(OR(Time!AR$4=YEAR(Inputs!$F$157)+Inputs!$F$164,Time!AR$4=YEAR(Inputs!$F$157)+Inputs!$F$165),Inputs!$F$166/100*Inputs!$F$162*Inputs!$F$167/1000*(1+Inputs!$F$194/100)^(Time!AR$4-Inputs!$F$193),0)</f>
        <v>0</v>
      </c>
      <c r="AS349" s="20" t="n">
        <f aca="false">IF(OR(Time!AS$4=YEAR(Inputs!$F$157)+Inputs!$F$164,Time!AS$4=YEAR(Inputs!$F$157)+Inputs!$F$165),Inputs!$F$166/100*Inputs!$F$162*Inputs!$F$167/1000*(1+Inputs!$F$194/100)^(Time!AS$4-Inputs!$F$193),0)</f>
        <v>0</v>
      </c>
      <c r="AT349" s="20" t="n">
        <f aca="false">IF(OR(Time!AT$4=YEAR(Inputs!$F$157)+Inputs!$F$164,Time!AT$4=YEAR(Inputs!$F$157)+Inputs!$F$165),Inputs!$F$166/100*Inputs!$F$162*Inputs!$F$167/1000*(1+Inputs!$F$194/100)^(Time!AT$4-Inputs!$F$193),0)</f>
        <v>0</v>
      </c>
      <c r="AU349" s="20" t="n">
        <f aca="false">IF(OR(Time!AU$4=YEAR(Inputs!$F$157)+Inputs!$F$164,Time!AU$4=YEAR(Inputs!$F$157)+Inputs!$F$165),Inputs!$F$166/100*Inputs!$F$162*Inputs!$F$167/1000*(1+Inputs!$F$194/100)^(Time!AU$4-Inputs!$F$193),0)</f>
        <v>0</v>
      </c>
    </row>
    <row r="350" customFormat="false" ht="15" hidden="false" customHeight="false" outlineLevel="0" collapsed="false">
      <c r="D350" s="0" t="s">
        <v>744</v>
      </c>
      <c r="E350" s="0" t="s">
        <v>47</v>
      </c>
      <c r="J350" s="20" t="n">
        <f aca="false">IF(Time!J$4=YEAR(Inputs!$F$158),Inputs!$F$161*Inputs!$F$156/1000*Time!J$9,0)</f>
        <v>0</v>
      </c>
      <c r="K350" s="20" t="n">
        <f aca="false">IF(Time!K$4=YEAR(Inputs!$F$158),Inputs!$F$161*Inputs!$F$156/1000*Time!K$9,0)</f>
        <v>0</v>
      </c>
      <c r="L350" s="20" t="n">
        <f aca="false">IF(Time!L$4=YEAR(Inputs!$F$158),Inputs!$F$161*Inputs!$F$156/1000*Time!L$9,0)</f>
        <v>0</v>
      </c>
      <c r="M350" s="20" t="n">
        <f aca="false">IF(Time!M$4=YEAR(Inputs!$F$158),Inputs!$F$161*Inputs!$F$156/1000*Time!M$9,0)</f>
        <v>0</v>
      </c>
      <c r="N350" s="20" t="n">
        <f aca="false">IF(Time!N$4=YEAR(Inputs!$F$158),Inputs!$F$161*Inputs!$F$156/1000*Time!N$9,0)</f>
        <v>0</v>
      </c>
      <c r="O350" s="20" t="n">
        <f aca="false">IF(Time!O$4=YEAR(Inputs!$F$158),Inputs!$F$161*Inputs!$F$156/1000*Time!O$9,0)</f>
        <v>0</v>
      </c>
      <c r="P350" s="20" t="n">
        <f aca="false">IF(Time!P$4=YEAR(Inputs!$F$158),Inputs!$F$161*Inputs!$F$156/1000*Time!P$9,0)</f>
        <v>0</v>
      </c>
      <c r="Q350" s="20" t="n">
        <f aca="false">IF(Time!Q$4=YEAR(Inputs!$F$158),Inputs!$F$161*Inputs!$F$156/1000*Time!Q$9,0)</f>
        <v>0</v>
      </c>
      <c r="R350" s="20" t="n">
        <f aca="false">IF(Time!R$4=YEAR(Inputs!$F$158),Inputs!$F$161*Inputs!$F$156/1000*Time!R$9,0)</f>
        <v>0</v>
      </c>
      <c r="S350" s="20" t="n">
        <f aca="false">IF(Time!S$4=YEAR(Inputs!$F$158),Inputs!$F$161*Inputs!$F$156/1000*Time!S$9,0)</f>
        <v>0</v>
      </c>
      <c r="T350" s="20" t="n">
        <f aca="false">IF(Time!T$4=YEAR(Inputs!$F$158),Inputs!$F$161*Inputs!$F$156/1000*Time!T$9,0)</f>
        <v>0</v>
      </c>
      <c r="U350" s="20" t="n">
        <f aca="false">IF(Time!U$4=YEAR(Inputs!$F$158),Inputs!$F$161*Inputs!$F$156/1000*Time!U$9,0)</f>
        <v>0</v>
      </c>
      <c r="V350" s="20" t="n">
        <f aca="false">IF(Time!V$4=YEAR(Inputs!$F$158),Inputs!$F$161*Inputs!$F$156/1000*Time!V$9,0)</f>
        <v>0</v>
      </c>
      <c r="W350" s="20" t="n">
        <f aca="false">IF(Time!W$4=YEAR(Inputs!$F$158),Inputs!$F$161*Inputs!$F$156/1000*Time!W$9,0)</f>
        <v>0</v>
      </c>
      <c r="X350" s="20" t="n">
        <f aca="false">IF(Time!X$4=YEAR(Inputs!$F$158),Inputs!$F$161*Inputs!$F$156/1000*Time!X$9,0)</f>
        <v>0</v>
      </c>
      <c r="Y350" s="20" t="n">
        <f aca="false">IF(Time!Y$4=YEAR(Inputs!$F$158),Inputs!$F$161*Inputs!$F$156/1000*Time!Y$9,0)</f>
        <v>0</v>
      </c>
      <c r="Z350" s="20" t="n">
        <f aca="false">IF(Time!Z$4=YEAR(Inputs!$F$158),Inputs!$F$161*Inputs!$F$156/1000*Time!Z$9,0)</f>
        <v>0</v>
      </c>
      <c r="AA350" s="20" t="n">
        <f aca="false">IF(Time!AA$4=YEAR(Inputs!$F$158),Inputs!$F$161*Inputs!$F$156/1000*Time!AA$9,0)</f>
        <v>0</v>
      </c>
      <c r="AB350" s="20" t="n">
        <f aca="false">IF(Time!AB$4=YEAR(Inputs!$F$158),Inputs!$F$161*Inputs!$F$156/1000*Time!AB$9,0)</f>
        <v>0</v>
      </c>
      <c r="AC350" s="20" t="n">
        <f aca="false">IF(Time!AC$4=YEAR(Inputs!$F$158),Inputs!$F$161*Inputs!$F$156/1000*Time!AC$9,0)</f>
        <v>0</v>
      </c>
      <c r="AD350" s="20" t="n">
        <f aca="false">IF(Time!AD$4=YEAR(Inputs!$F$158),Inputs!$F$161*Inputs!$F$156/1000*Time!AD$9,0)</f>
        <v>0</v>
      </c>
      <c r="AE350" s="20" t="n">
        <f aca="false">IF(Time!AE$4=YEAR(Inputs!$F$158),Inputs!$F$161*Inputs!$F$156/1000*Time!AE$9,0)</f>
        <v>0</v>
      </c>
      <c r="AF350" s="20" t="n">
        <f aca="false">IF(Time!AF$4=YEAR(Inputs!$F$158),Inputs!$F$161*Inputs!$F$156/1000*Time!AF$9,0)</f>
        <v>5.4229499023773</v>
      </c>
      <c r="AG350" s="20" t="n">
        <f aca="false">IF(Time!AG$4=YEAR(Inputs!$F$158),Inputs!$F$161*Inputs!$F$156/1000*Time!AG$9,0)</f>
        <v>0</v>
      </c>
      <c r="AH350" s="20" t="n">
        <f aca="false">IF(Time!AH$4=YEAR(Inputs!$F$158),Inputs!$F$161*Inputs!$F$156/1000*Time!AH$9,0)</f>
        <v>0</v>
      </c>
      <c r="AI350" s="20" t="n">
        <f aca="false">IF(Time!AI$4=YEAR(Inputs!$F$158),Inputs!$F$161*Inputs!$F$156/1000*Time!AI$9,0)</f>
        <v>0</v>
      </c>
      <c r="AJ350" s="20" t="n">
        <f aca="false">IF(Time!AJ$4=YEAR(Inputs!$F$158),Inputs!$F$161*Inputs!$F$156/1000*Time!AJ$9,0)</f>
        <v>0</v>
      </c>
      <c r="AK350" s="20" t="n">
        <f aca="false">IF(Time!AK$4=YEAR(Inputs!$F$158),Inputs!$F$161*Inputs!$F$156/1000*Time!AK$9,0)</f>
        <v>0</v>
      </c>
      <c r="AL350" s="20" t="n">
        <f aca="false">IF(Time!AL$4=YEAR(Inputs!$F$158),Inputs!$F$161*Inputs!$F$156/1000*Time!AL$9,0)</f>
        <v>0</v>
      </c>
      <c r="AM350" s="20" t="n">
        <f aca="false">IF(Time!AM$4=YEAR(Inputs!$F$158),Inputs!$F$161*Inputs!$F$156/1000*Time!AM$9,0)</f>
        <v>0</v>
      </c>
      <c r="AN350" s="20" t="n">
        <f aca="false">IF(Time!AN$4=YEAR(Inputs!$F$158),Inputs!$F$161*Inputs!$F$156/1000*Time!AN$9,0)</f>
        <v>0</v>
      </c>
      <c r="AO350" s="20" t="n">
        <f aca="false">IF(Time!AO$4=YEAR(Inputs!$F$158),Inputs!$F$161*Inputs!$F$156/1000*Time!AO$9,0)</f>
        <v>0</v>
      </c>
      <c r="AP350" s="20" t="n">
        <f aca="false">IF(Time!AP$4=YEAR(Inputs!$F$158),Inputs!$F$161*Inputs!$F$156/1000*Time!AP$9,0)</f>
        <v>0</v>
      </c>
      <c r="AQ350" s="20" t="n">
        <f aca="false">IF(Time!AQ$4=YEAR(Inputs!$F$158),Inputs!$F$161*Inputs!$F$156/1000*Time!AQ$9,0)</f>
        <v>0</v>
      </c>
      <c r="AR350" s="20" t="n">
        <f aca="false">IF(Time!AR$4=YEAR(Inputs!$F$158),Inputs!$F$161*Inputs!$F$156/1000*Time!AR$9,0)</f>
        <v>0</v>
      </c>
      <c r="AS350" s="20" t="n">
        <f aca="false">IF(Time!AS$4=YEAR(Inputs!$F$158),Inputs!$F$161*Inputs!$F$156/1000*Time!AS$9,0)</f>
        <v>0</v>
      </c>
      <c r="AT350" s="20" t="n">
        <f aca="false">IF(Time!AT$4=YEAR(Inputs!$F$158),Inputs!$F$161*Inputs!$F$156/1000*Time!AT$9,0)</f>
        <v>0</v>
      </c>
      <c r="AU350" s="20" t="n">
        <f aca="false">IF(Time!AU$4=YEAR(Inputs!$F$158),Inputs!$F$161*Inputs!$F$156/1000*Time!AU$9,0)</f>
        <v>0</v>
      </c>
    </row>
    <row r="351" customFormat="false" ht="15" hidden="false" customHeight="false" outlineLevel="0" collapsed="false">
      <c r="D351" s="0" t="s">
        <v>745</v>
      </c>
      <c r="E351" s="0" t="s">
        <v>47</v>
      </c>
      <c r="G351" s="20" t="n">
        <f aca="false">SUM(J351:AU351)</f>
        <v>129.048195746998</v>
      </c>
      <c r="J351" s="20" t="n">
        <f aca="false">Operations!J348-Operations!J349-Operations!J350</f>
        <v>0</v>
      </c>
      <c r="K351" s="20" t="n">
        <f aca="false">Operations!K348-Operations!K349-Operations!K350</f>
        <v>0</v>
      </c>
      <c r="L351" s="20" t="n">
        <f aca="false">Operations!L348-Operations!L349-Operations!L350</f>
        <v>5.80284493816598</v>
      </c>
      <c r="M351" s="20" t="n">
        <f aca="false">Operations!M348-Operations!M349-Operations!M350</f>
        <v>7.71972191296875</v>
      </c>
      <c r="N351" s="20" t="n">
        <f aca="false">Operations!N348-Operations!N349-Operations!N350</f>
        <v>7.65830764829297</v>
      </c>
      <c r="O351" s="20" t="n">
        <f aca="false">Operations!O348-Operations!O349-Operations!O350</f>
        <v>7.5953580270003</v>
      </c>
      <c r="P351" s="20" t="n">
        <f aca="false">Operations!P348-Operations!P349-Operations!P350</f>
        <v>7.5308346651753</v>
      </c>
      <c r="Q351" s="20" t="n">
        <f aca="false">Operations!Q348-Operations!Q349-Operations!Q350</f>
        <v>6.65008430602344</v>
      </c>
      <c r="R351" s="20" t="n">
        <f aca="false">Operations!R348-Operations!R349-Operations!R350</f>
        <v>7.3969083622873</v>
      </c>
      <c r="S351" s="20" t="n">
        <f aca="false">Operations!S348-Operations!S349-Operations!S350</f>
        <v>7.32742375884449</v>
      </c>
      <c r="T351" s="20" t="n">
        <f aca="false">Operations!T348-Operations!T349-Operations!T350</f>
        <v>6.53316005296929</v>
      </c>
      <c r="U351" s="20" t="n">
        <f aca="false">Operations!U348-Operations!U349-Operations!U350</f>
        <v>5.45641130921117</v>
      </c>
      <c r="V351" s="20" t="n">
        <f aca="false">Operations!V348-Operations!V349-Operations!V350</f>
        <v>6.42042822954408</v>
      </c>
      <c r="W351" s="20" t="n">
        <f aca="false">Operations!W348-Operations!W349-Operations!W350</f>
        <v>6.48630277231393</v>
      </c>
      <c r="X351" s="20" t="n">
        <f aca="false">Operations!X348-Operations!X349-Operations!X350</f>
        <v>6.52965544086764</v>
      </c>
      <c r="Y351" s="20" t="n">
        <f aca="false">Operations!Y348-Operations!Y349-Operations!Y350</f>
        <v>6.4704930105831</v>
      </c>
      <c r="Z351" s="20" t="n">
        <f aca="false">Operations!Z348-Operations!Z349-Operations!Z350</f>
        <v>6.40720509409262</v>
      </c>
      <c r="AA351" s="20" t="n">
        <f aca="false">Operations!AA348-Operations!AA349-Operations!AA350</f>
        <v>6.34243934775425</v>
      </c>
      <c r="AB351" s="20" t="n">
        <f aca="false">Operations!AB348-Operations!AB349-Operations!AB350</f>
        <v>6.27454139094273</v>
      </c>
      <c r="AC351" s="20" t="n">
        <f aca="false">Operations!AC348-Operations!AC349-Operations!AC350</f>
        <v>6.20343287155295</v>
      </c>
      <c r="AD351" s="20" t="n">
        <f aca="false">Operations!AD348-Operations!AD349-Operations!AD350</f>
        <v>6.1291409215076</v>
      </c>
      <c r="AE351" s="20" t="n">
        <f aca="false">Operations!AE348-Operations!AE349-Operations!AE350</f>
        <v>6.05162143636714</v>
      </c>
      <c r="AF351" s="20" t="n">
        <f aca="false">Operations!AF348-Operations!AF349-Operations!AF350</f>
        <v>-3.93811974946687</v>
      </c>
      <c r="AG351" s="20" t="n">
        <f aca="false">Operations!AG348-Operations!AG349-Operations!AG350</f>
        <v>0</v>
      </c>
      <c r="AH351" s="20" t="n">
        <f aca="false">Operations!AH348-Operations!AH349-Operations!AH350</f>
        <v>0</v>
      </c>
      <c r="AI351" s="20" t="n">
        <f aca="false">Operations!AI348-Operations!AI349-Operations!AI350</f>
        <v>0</v>
      </c>
      <c r="AJ351" s="20" t="n">
        <f aca="false">Operations!AJ348-Operations!AJ349-Operations!AJ350</f>
        <v>0</v>
      </c>
      <c r="AK351" s="20" t="n">
        <f aca="false">Operations!AK348-Operations!AK349-Operations!AK350</f>
        <v>0</v>
      </c>
      <c r="AL351" s="20" t="n">
        <f aca="false">Operations!AL348-Operations!AL349-Operations!AL350</f>
        <v>0</v>
      </c>
      <c r="AM351" s="20" t="n">
        <f aca="false">Operations!AM348-Operations!AM349-Operations!AM350</f>
        <v>0</v>
      </c>
      <c r="AN351" s="20" t="n">
        <f aca="false">Operations!AN348-Operations!AN349-Operations!AN350</f>
        <v>0</v>
      </c>
      <c r="AO351" s="20" t="n">
        <f aca="false">Operations!AO348-Operations!AO349-Operations!AO350</f>
        <v>0</v>
      </c>
      <c r="AP351" s="20" t="n">
        <f aca="false">Operations!AP348-Operations!AP349-Operations!AP350</f>
        <v>0</v>
      </c>
      <c r="AQ351" s="20" t="n">
        <f aca="false">Operations!AQ348-Operations!AQ349-Operations!AQ350</f>
        <v>0</v>
      </c>
      <c r="AR351" s="20" t="n">
        <f aca="false">Operations!AR348-Operations!AR349-Operations!AR350</f>
        <v>0</v>
      </c>
      <c r="AS351" s="20" t="n">
        <f aca="false">Operations!AS348-Operations!AS349-Operations!AS350</f>
        <v>0</v>
      </c>
      <c r="AT351" s="20" t="n">
        <f aca="false">Operations!AT348-Operations!AT349-Operations!AT350</f>
        <v>0</v>
      </c>
      <c r="AU351" s="20" t="n">
        <f aca="false">Operations!AU348-Operations!AU349-Operations!AU350</f>
        <v>0</v>
      </c>
    </row>
    <row r="352" customFormat="false" ht="15" hidden="false" customHeight="false" outlineLevel="0" collapsed="false">
      <c r="D352" s="0" t="s">
        <v>746</v>
      </c>
      <c r="E352" s="0" t="s">
        <v>458</v>
      </c>
      <c r="J352" s="14" t="n">
        <f aca="false">0</f>
        <v>0</v>
      </c>
      <c r="K352" s="14" t="n">
        <f aca="false">0</f>
        <v>0</v>
      </c>
      <c r="L352" s="14" t="n">
        <f aca="false">0</f>
        <v>0</v>
      </c>
      <c r="M352" s="14" t="n">
        <f aca="false">0</f>
        <v>0</v>
      </c>
      <c r="N352" s="14" t="n">
        <f aca="false">0</f>
        <v>0</v>
      </c>
      <c r="O352" s="14" t="n">
        <f aca="false">0</f>
        <v>0</v>
      </c>
      <c r="P352" s="14" t="n">
        <f aca="false">0</f>
        <v>0</v>
      </c>
      <c r="Q352" s="14" t="n">
        <f aca="false">0</f>
        <v>0</v>
      </c>
      <c r="R352" s="14" t="n">
        <f aca="false">0</f>
        <v>0</v>
      </c>
      <c r="S352" s="14" t="n">
        <f aca="false">0</f>
        <v>0</v>
      </c>
      <c r="T352" s="14" t="n">
        <f aca="false">0</f>
        <v>0</v>
      </c>
      <c r="U352" s="14" t="n">
        <f aca="false">0</f>
        <v>0</v>
      </c>
      <c r="V352" s="14" t="n">
        <f aca="false">0</f>
        <v>0</v>
      </c>
      <c r="W352" s="14" t="n">
        <f aca="false">0</f>
        <v>0</v>
      </c>
      <c r="X352" s="14" t="n">
        <f aca="false">0</f>
        <v>0</v>
      </c>
      <c r="Y352" s="14" t="n">
        <f aca="false">0</f>
        <v>0</v>
      </c>
      <c r="Z352" s="14" t="n">
        <f aca="false">0</f>
        <v>0</v>
      </c>
      <c r="AA352" s="14" t="n">
        <f aca="false">0</f>
        <v>0</v>
      </c>
      <c r="AB352" s="14" t="n">
        <f aca="false">0</f>
        <v>0</v>
      </c>
      <c r="AC352" s="14" t="n">
        <f aca="false">0</f>
        <v>0</v>
      </c>
      <c r="AD352" s="14" t="n">
        <f aca="false">0</f>
        <v>0</v>
      </c>
      <c r="AE352" s="14" t="n">
        <f aca="false">0</f>
        <v>0</v>
      </c>
      <c r="AF352" s="14" t="n">
        <f aca="false">0</f>
        <v>0</v>
      </c>
      <c r="AG352" s="14" t="n">
        <f aca="false">0</f>
        <v>0</v>
      </c>
      <c r="AH352" s="14" t="n">
        <f aca="false">0</f>
        <v>0</v>
      </c>
      <c r="AI352" s="14" t="n">
        <f aca="false">0</f>
        <v>0</v>
      </c>
      <c r="AJ352" s="14" t="n">
        <f aca="false">0</f>
        <v>0</v>
      </c>
      <c r="AK352" s="14" t="n">
        <f aca="false">0</f>
        <v>0</v>
      </c>
      <c r="AL352" s="14" t="n">
        <f aca="false">0</f>
        <v>0</v>
      </c>
      <c r="AM352" s="14" t="n">
        <f aca="false">0</f>
        <v>0</v>
      </c>
      <c r="AN352" s="14" t="n">
        <f aca="false">0</f>
        <v>0</v>
      </c>
      <c r="AO352" s="14" t="n">
        <f aca="false">0</f>
        <v>0</v>
      </c>
      <c r="AP352" s="14" t="n">
        <f aca="false">0</f>
        <v>0</v>
      </c>
      <c r="AQ352" s="14" t="n">
        <f aca="false">0</f>
        <v>0</v>
      </c>
      <c r="AR352" s="14" t="n">
        <f aca="false">0</f>
        <v>0</v>
      </c>
      <c r="AS352" s="14" t="n">
        <f aca="false">0</f>
        <v>0</v>
      </c>
      <c r="AT352" s="14" t="n">
        <f aca="false">0</f>
        <v>0</v>
      </c>
      <c r="AU352" s="14" t="n">
        <f aca="false">0</f>
        <v>0</v>
      </c>
    </row>
    <row r="353" customFormat="false" ht="15" hidden="false" customHeight="false" outlineLevel="0" collapsed="false">
      <c r="D353" s="0" t="s">
        <v>747</v>
      </c>
      <c r="E353" s="0" t="s">
        <v>458</v>
      </c>
      <c r="J353" s="14" t="n">
        <f aca="false">1</f>
        <v>1</v>
      </c>
      <c r="K353" s="14" t="n">
        <f aca="false">1</f>
        <v>1</v>
      </c>
      <c r="L353" s="14" t="n">
        <f aca="false">1</f>
        <v>1</v>
      </c>
      <c r="M353" s="14" t="n">
        <f aca="false">1</f>
        <v>1</v>
      </c>
      <c r="N353" s="14" t="n">
        <f aca="false">1</f>
        <v>1</v>
      </c>
      <c r="O353" s="14" t="n">
        <f aca="false">1</f>
        <v>1</v>
      </c>
      <c r="P353" s="14" t="n">
        <f aca="false">1</f>
        <v>1</v>
      </c>
      <c r="Q353" s="14" t="n">
        <f aca="false">1</f>
        <v>1</v>
      </c>
      <c r="R353" s="14" t="n">
        <f aca="false">1</f>
        <v>1</v>
      </c>
      <c r="S353" s="14" t="n">
        <f aca="false">1</f>
        <v>1</v>
      </c>
      <c r="T353" s="14" t="n">
        <f aca="false">1</f>
        <v>1</v>
      </c>
      <c r="U353" s="14" t="n">
        <f aca="false">1</f>
        <v>1</v>
      </c>
      <c r="V353" s="14" t="n">
        <f aca="false">1</f>
        <v>1</v>
      </c>
      <c r="W353" s="14" t="n">
        <f aca="false">1</f>
        <v>1</v>
      </c>
      <c r="X353" s="14" t="n">
        <f aca="false">1</f>
        <v>1</v>
      </c>
      <c r="Y353" s="14" t="n">
        <f aca="false">1</f>
        <v>1</v>
      </c>
      <c r="Z353" s="14" t="n">
        <f aca="false">1</f>
        <v>1</v>
      </c>
      <c r="AA353" s="14" t="n">
        <f aca="false">1</f>
        <v>1</v>
      </c>
      <c r="AB353" s="14" t="n">
        <f aca="false">1</f>
        <v>1</v>
      </c>
      <c r="AC353" s="14" t="n">
        <f aca="false">1</f>
        <v>1</v>
      </c>
      <c r="AD353" s="14" t="n">
        <f aca="false">1</f>
        <v>1</v>
      </c>
      <c r="AE353" s="14" t="n">
        <f aca="false">1</f>
        <v>1</v>
      </c>
      <c r="AF353" s="14" t="n">
        <f aca="false">1</f>
        <v>1</v>
      </c>
      <c r="AG353" s="14" t="n">
        <f aca="false">1</f>
        <v>1</v>
      </c>
      <c r="AH353" s="14" t="n">
        <f aca="false">1</f>
        <v>1</v>
      </c>
      <c r="AI353" s="14" t="n">
        <f aca="false">1</f>
        <v>1</v>
      </c>
      <c r="AJ353" s="14" t="n">
        <f aca="false">1</f>
        <v>1</v>
      </c>
      <c r="AK353" s="14" t="n">
        <f aca="false">1</f>
        <v>1</v>
      </c>
      <c r="AL353" s="14" t="n">
        <f aca="false">1</f>
        <v>1</v>
      </c>
      <c r="AM353" s="14" t="n">
        <f aca="false">1</f>
        <v>1</v>
      </c>
      <c r="AN353" s="14" t="n">
        <f aca="false">1</f>
        <v>1</v>
      </c>
      <c r="AO353" s="14" t="n">
        <f aca="false">1</f>
        <v>1</v>
      </c>
      <c r="AP353" s="14" t="n">
        <f aca="false">1</f>
        <v>1</v>
      </c>
      <c r="AQ353" s="14" t="n">
        <f aca="false">1</f>
        <v>1</v>
      </c>
      <c r="AR353" s="14" t="n">
        <f aca="false">1</f>
        <v>1</v>
      </c>
      <c r="AS353" s="14" t="n">
        <f aca="false">1</f>
        <v>1</v>
      </c>
      <c r="AT353" s="14" t="n">
        <f aca="false">1</f>
        <v>1</v>
      </c>
      <c r="AU353" s="14" t="n">
        <f aca="false">1</f>
        <v>1</v>
      </c>
    </row>
    <row r="354" customFormat="false" ht="15" hidden="false" customHeight="false" outlineLevel="0" collapsed="false">
      <c r="D354" s="0" t="s">
        <v>748</v>
      </c>
      <c r="E354" s="0" t="s">
        <v>47</v>
      </c>
      <c r="G354" s="20" t="n">
        <f aca="false">SUM(J354:AU354)</f>
        <v>129.048195746998</v>
      </c>
      <c r="J354" s="20" t="n">
        <f aca="false">Operations!J351*(1-Operations!J352)*Operations!J320</f>
        <v>0</v>
      </c>
      <c r="K354" s="20" t="n">
        <f aca="false">Operations!K351*(1-Operations!K352)*Operations!K320</f>
        <v>0</v>
      </c>
      <c r="L354" s="20" t="n">
        <f aca="false">Operations!L351*(1-Operations!L352)*Operations!L320</f>
        <v>5.80284493816598</v>
      </c>
      <c r="M354" s="20" t="n">
        <f aca="false">Operations!M351*(1-Operations!M352)*Operations!M320</f>
        <v>7.71972191296875</v>
      </c>
      <c r="N354" s="20" t="n">
        <f aca="false">Operations!N351*(1-Operations!N352)*Operations!N320</f>
        <v>7.65830764829297</v>
      </c>
      <c r="O354" s="20" t="n">
        <f aca="false">Operations!O351*(1-Operations!O352)*Operations!O320</f>
        <v>7.5953580270003</v>
      </c>
      <c r="P354" s="20" t="n">
        <f aca="false">Operations!P351*(1-Operations!P352)*Operations!P320</f>
        <v>7.5308346651753</v>
      </c>
      <c r="Q354" s="20" t="n">
        <f aca="false">Operations!Q351*(1-Operations!Q352)*Operations!Q320</f>
        <v>6.65008430602344</v>
      </c>
      <c r="R354" s="20" t="n">
        <f aca="false">Operations!R351*(1-Operations!R352)*Operations!R320</f>
        <v>7.3969083622873</v>
      </c>
      <c r="S354" s="20" t="n">
        <f aca="false">Operations!S351*(1-Operations!S352)*Operations!S320</f>
        <v>7.32742375884449</v>
      </c>
      <c r="T354" s="20" t="n">
        <f aca="false">Operations!T351*(1-Operations!T352)*Operations!T320</f>
        <v>6.53316005296929</v>
      </c>
      <c r="U354" s="20" t="n">
        <f aca="false">Operations!U351*(1-Operations!U352)*Operations!U320</f>
        <v>5.45641130921117</v>
      </c>
      <c r="V354" s="20" t="n">
        <f aca="false">Operations!V351*(1-Operations!V352)*Operations!V320</f>
        <v>6.42042822954408</v>
      </c>
      <c r="W354" s="20" t="n">
        <f aca="false">Operations!W351*(1-Operations!W352)*Operations!W320</f>
        <v>6.48630277231393</v>
      </c>
      <c r="X354" s="20" t="n">
        <f aca="false">Operations!X351*(1-Operations!X352)*Operations!X320</f>
        <v>6.52965544086764</v>
      </c>
      <c r="Y354" s="20" t="n">
        <f aca="false">Operations!Y351*(1-Operations!Y352)*Operations!Y320</f>
        <v>6.4704930105831</v>
      </c>
      <c r="Z354" s="20" t="n">
        <f aca="false">Operations!Z351*(1-Operations!Z352)*Operations!Z320</f>
        <v>6.40720509409262</v>
      </c>
      <c r="AA354" s="20" t="n">
        <f aca="false">Operations!AA351*(1-Operations!AA352)*Operations!AA320</f>
        <v>6.34243934775425</v>
      </c>
      <c r="AB354" s="20" t="n">
        <f aca="false">Operations!AB351*(1-Operations!AB352)*Operations!AB320</f>
        <v>6.27454139094273</v>
      </c>
      <c r="AC354" s="20" t="n">
        <f aca="false">Operations!AC351*(1-Operations!AC352)*Operations!AC320</f>
        <v>6.20343287155295</v>
      </c>
      <c r="AD354" s="20" t="n">
        <f aca="false">Operations!AD351*(1-Operations!AD352)*Operations!AD320</f>
        <v>6.1291409215076</v>
      </c>
      <c r="AE354" s="20" t="n">
        <f aca="false">Operations!AE351*(1-Operations!AE352)*Operations!AE320</f>
        <v>6.05162143636714</v>
      </c>
      <c r="AF354" s="20" t="n">
        <f aca="false">Operations!AF351*(1-Operations!AF352)*Operations!AF320</f>
        <v>-3.93811974946687</v>
      </c>
      <c r="AG354" s="20" t="n">
        <f aca="false">Operations!AG351*(1-Operations!AG352)*Operations!AG320</f>
        <v>0</v>
      </c>
      <c r="AH354" s="20" t="n">
        <f aca="false">Operations!AH351*(1-Operations!AH352)*Operations!AH320</f>
        <v>0</v>
      </c>
      <c r="AI354" s="20" t="n">
        <f aca="false">Operations!AI351*(1-Operations!AI352)*Operations!AI320</f>
        <v>0</v>
      </c>
      <c r="AJ354" s="20" t="n">
        <f aca="false">Operations!AJ351*(1-Operations!AJ352)*Operations!AJ320</f>
        <v>0</v>
      </c>
      <c r="AK354" s="20" t="n">
        <f aca="false">Operations!AK351*(1-Operations!AK352)*Operations!AK320</f>
        <v>0</v>
      </c>
      <c r="AL354" s="20" t="n">
        <f aca="false">Operations!AL351*(1-Operations!AL352)*Operations!AL320</f>
        <v>0</v>
      </c>
      <c r="AM354" s="20" t="n">
        <f aca="false">Operations!AM351*(1-Operations!AM352)*Operations!AM320</f>
        <v>0</v>
      </c>
      <c r="AN354" s="20" t="n">
        <f aca="false">Operations!AN351*(1-Operations!AN352)*Operations!AN320</f>
        <v>0</v>
      </c>
      <c r="AO354" s="20" t="n">
        <f aca="false">Operations!AO351*(1-Operations!AO352)*Operations!AO320</f>
        <v>0</v>
      </c>
      <c r="AP354" s="20" t="n">
        <f aca="false">Operations!AP351*(1-Operations!AP352)*Operations!AP320</f>
        <v>0</v>
      </c>
      <c r="AQ354" s="20" t="n">
        <f aca="false">Operations!AQ351*(1-Operations!AQ352)*Operations!AQ320</f>
        <v>0</v>
      </c>
      <c r="AR354" s="20" t="n">
        <f aca="false">Operations!AR351*(1-Operations!AR352)*Operations!AR320</f>
        <v>0</v>
      </c>
      <c r="AS354" s="20" t="n">
        <f aca="false">Operations!AS351*(1-Operations!AS352)*Operations!AS320</f>
        <v>0</v>
      </c>
      <c r="AT354" s="20" t="n">
        <f aca="false">Operations!AT351*(1-Operations!AT352)*Operations!AT320</f>
        <v>0</v>
      </c>
      <c r="AU354" s="20" t="n">
        <f aca="false">Operations!AU351*(1-Operations!AU352)*Operations!AU320</f>
        <v>0</v>
      </c>
    </row>
    <row r="355" customFormat="false" ht="15" hidden="false" customHeight="false" outlineLevel="0" collapsed="false">
      <c r="D355" s="0" t="s">
        <v>749</v>
      </c>
      <c r="E355" s="0" t="s">
        <v>47</v>
      </c>
      <c r="J355" s="20" t="n">
        <f aca="false">Operations!J351*Operations!J353*Operations!J320</f>
        <v>0</v>
      </c>
      <c r="K355" s="20" t="n">
        <f aca="false">Operations!K351*Operations!K353*Operations!K320</f>
        <v>0</v>
      </c>
      <c r="L355" s="20" t="n">
        <f aca="false">Operations!L351*Operations!L353*Operations!L320</f>
        <v>5.80284493816598</v>
      </c>
      <c r="M355" s="20" t="n">
        <f aca="false">Operations!M351*Operations!M353*Operations!M320</f>
        <v>7.71972191296875</v>
      </c>
      <c r="N355" s="20" t="n">
        <f aca="false">Operations!N351*Operations!N353*Operations!N320</f>
        <v>7.65830764829297</v>
      </c>
      <c r="O355" s="20" t="n">
        <f aca="false">Operations!O351*Operations!O353*Operations!O320</f>
        <v>7.5953580270003</v>
      </c>
      <c r="P355" s="20" t="n">
        <f aca="false">Operations!P351*Operations!P353*Operations!P320</f>
        <v>7.5308346651753</v>
      </c>
      <c r="Q355" s="20" t="n">
        <f aca="false">Operations!Q351*Operations!Q353*Operations!Q320</f>
        <v>6.65008430602344</v>
      </c>
      <c r="R355" s="20" t="n">
        <f aca="false">Operations!R351*Operations!R353*Operations!R320</f>
        <v>7.3969083622873</v>
      </c>
      <c r="S355" s="20" t="n">
        <f aca="false">Operations!S351*Operations!S353*Operations!S320</f>
        <v>7.32742375884449</v>
      </c>
      <c r="T355" s="20" t="n">
        <f aca="false">Operations!T351*Operations!T353*Operations!T320</f>
        <v>6.53316005296929</v>
      </c>
      <c r="U355" s="20" t="n">
        <f aca="false">Operations!U351*Operations!U353*Operations!U320</f>
        <v>5.45641130921117</v>
      </c>
      <c r="V355" s="20" t="n">
        <f aca="false">Operations!V351*Operations!V353*Operations!V320</f>
        <v>6.42042822954408</v>
      </c>
      <c r="W355" s="20" t="n">
        <f aca="false">Operations!W351*Operations!W353*Operations!W320</f>
        <v>6.48630277231393</v>
      </c>
      <c r="X355" s="20" t="n">
        <f aca="false">Operations!X351*Operations!X353*Operations!X320</f>
        <v>6.52965544086764</v>
      </c>
      <c r="Y355" s="20" t="n">
        <f aca="false">Operations!Y351*Operations!Y353*Operations!Y320</f>
        <v>6.4704930105831</v>
      </c>
      <c r="Z355" s="20" t="n">
        <f aca="false">Operations!Z351*Operations!Z353*Operations!Z320</f>
        <v>6.40720509409262</v>
      </c>
      <c r="AA355" s="20" t="n">
        <f aca="false">Operations!AA351*Operations!AA353*Operations!AA320</f>
        <v>6.34243934775425</v>
      </c>
      <c r="AB355" s="20" t="n">
        <f aca="false">Operations!AB351*Operations!AB353*Operations!AB320</f>
        <v>6.27454139094273</v>
      </c>
      <c r="AC355" s="20" t="n">
        <f aca="false">Operations!AC351*Operations!AC353*Operations!AC320</f>
        <v>6.20343287155295</v>
      </c>
      <c r="AD355" s="20" t="n">
        <f aca="false">Operations!AD351*Operations!AD353*Operations!AD320</f>
        <v>6.1291409215076</v>
      </c>
      <c r="AE355" s="20" t="n">
        <f aca="false">Operations!AE351*Operations!AE353*Operations!AE320</f>
        <v>6.05162143636714</v>
      </c>
      <c r="AF355" s="20" t="n">
        <f aca="false">Operations!AF351*Operations!AF353*Operations!AF320</f>
        <v>-3.93811974946687</v>
      </c>
      <c r="AG355" s="20" t="n">
        <f aca="false">Operations!AG351*Operations!AG353*Operations!AG320</f>
        <v>0</v>
      </c>
      <c r="AH355" s="20" t="n">
        <f aca="false">Operations!AH351*Operations!AH353*Operations!AH320</f>
        <v>0</v>
      </c>
      <c r="AI355" s="20" t="n">
        <f aca="false">Operations!AI351*Operations!AI353*Operations!AI320</f>
        <v>0</v>
      </c>
      <c r="AJ355" s="20" t="n">
        <f aca="false">Operations!AJ351*Operations!AJ353*Operations!AJ320</f>
        <v>0</v>
      </c>
      <c r="AK355" s="20" t="n">
        <f aca="false">Operations!AK351*Operations!AK353*Operations!AK320</f>
        <v>0</v>
      </c>
      <c r="AL355" s="20" t="n">
        <f aca="false">Operations!AL351*Operations!AL353*Operations!AL320</f>
        <v>0</v>
      </c>
      <c r="AM355" s="20" t="n">
        <f aca="false">Operations!AM351*Operations!AM353*Operations!AM320</f>
        <v>0</v>
      </c>
      <c r="AN355" s="20" t="n">
        <f aca="false">Operations!AN351*Operations!AN353*Operations!AN320</f>
        <v>0</v>
      </c>
      <c r="AO355" s="20" t="n">
        <f aca="false">Operations!AO351*Operations!AO353*Operations!AO320</f>
        <v>0</v>
      </c>
      <c r="AP355" s="20" t="n">
        <f aca="false">Operations!AP351*Operations!AP353*Operations!AP320</f>
        <v>0</v>
      </c>
      <c r="AQ355" s="20" t="n">
        <f aca="false">Operations!AQ351*Operations!AQ353*Operations!AQ320</f>
        <v>0</v>
      </c>
      <c r="AR355" s="20" t="n">
        <f aca="false">Operations!AR351*Operations!AR353*Operations!AR320</f>
        <v>0</v>
      </c>
      <c r="AS355" s="20" t="n">
        <f aca="false">Operations!AS351*Operations!AS353*Operations!AS320</f>
        <v>0</v>
      </c>
      <c r="AT355" s="20" t="n">
        <f aca="false">Operations!AT351*Operations!AT353*Operations!AT320</f>
        <v>0</v>
      </c>
      <c r="AU355" s="20" t="n">
        <f aca="false">Operations!AU351*Operations!AU353*Operations!AU320</f>
        <v>0</v>
      </c>
    </row>
    <row r="356" customFormat="false" ht="15" hidden="false" customHeight="false" outlineLevel="0" collapsed="false">
      <c r="D356" s="0" t="s">
        <v>750</v>
      </c>
      <c r="E356" s="0" t="s">
        <v>47</v>
      </c>
      <c r="J356" s="20" t="n">
        <f aca="false">Operations!J354-Inputs!$F$248/100*Operations!J355</f>
        <v>0</v>
      </c>
      <c r="K356" s="20" t="n">
        <f aca="false">Operations!K354-Inputs!$F$248/100*Operations!K355</f>
        <v>0</v>
      </c>
      <c r="L356" s="20" t="n">
        <f aca="false">Operations!L354-Inputs!$F$248/100*Operations!L355</f>
        <v>4.58424750115113</v>
      </c>
      <c r="M356" s="20" t="n">
        <f aca="false">Operations!M354-Inputs!$F$248/100*Operations!M355</f>
        <v>6.09858031124531</v>
      </c>
      <c r="N356" s="20" t="n">
        <f aca="false">Operations!N354-Inputs!$F$248/100*Operations!N355</f>
        <v>6.05006304215145</v>
      </c>
      <c r="O356" s="20" t="n">
        <f aca="false">Operations!O354-Inputs!$F$248/100*Operations!O355</f>
        <v>6.00033284133023</v>
      </c>
      <c r="P356" s="20" t="n">
        <f aca="false">Operations!P354-Inputs!$F$248/100*Operations!P355</f>
        <v>5.94935938548849</v>
      </c>
      <c r="Q356" s="20" t="n">
        <f aca="false">Operations!Q354-Inputs!$F$248/100*Operations!Q355</f>
        <v>5.25356660175851</v>
      </c>
      <c r="R356" s="20" t="n">
        <f aca="false">Operations!R354-Inputs!$F$248/100*Operations!R355</f>
        <v>5.84355760620697</v>
      </c>
      <c r="S356" s="20" t="n">
        <f aca="false">Operations!S354-Inputs!$F$248/100*Operations!S355</f>
        <v>5.78866476948714</v>
      </c>
      <c r="T356" s="20" t="n">
        <f aca="false">Operations!T354-Inputs!$F$248/100*Operations!T355</f>
        <v>5.16119644184574</v>
      </c>
      <c r="U356" s="20" t="n">
        <f aca="false">Operations!U354-Inputs!$F$248/100*Operations!U355</f>
        <v>4.31056493427682</v>
      </c>
      <c r="V356" s="20" t="n">
        <f aca="false">Operations!V354-Inputs!$F$248/100*Operations!V355</f>
        <v>5.07213830133982</v>
      </c>
      <c r="W356" s="20" t="n">
        <f aca="false">Operations!W354-Inputs!$F$248/100*Operations!W355</f>
        <v>5.124179190128</v>
      </c>
      <c r="X356" s="20" t="n">
        <f aca="false">Operations!X354-Inputs!$F$248/100*Operations!X355</f>
        <v>5.15842779828544</v>
      </c>
      <c r="Y356" s="20" t="n">
        <f aca="false">Operations!Y354-Inputs!$F$248/100*Operations!Y355</f>
        <v>5.11168947836065</v>
      </c>
      <c r="Z356" s="20" t="n">
        <f aca="false">Operations!Z354-Inputs!$F$248/100*Operations!Z355</f>
        <v>5.06169202433317</v>
      </c>
      <c r="AA356" s="20" t="n">
        <f aca="false">Operations!AA354-Inputs!$F$248/100*Operations!AA355</f>
        <v>5.01052708472585</v>
      </c>
      <c r="AB356" s="20" t="n">
        <f aca="false">Operations!AB354-Inputs!$F$248/100*Operations!AB355</f>
        <v>4.95688769884475</v>
      </c>
      <c r="AC356" s="20" t="n">
        <f aca="false">Operations!AC354-Inputs!$F$248/100*Operations!AC355</f>
        <v>4.90071196852683</v>
      </c>
      <c r="AD356" s="20" t="n">
        <f aca="false">Operations!AD354-Inputs!$F$248/100*Operations!AD355</f>
        <v>4.842021327991</v>
      </c>
      <c r="AE356" s="20" t="n">
        <f aca="false">Operations!AE354-Inputs!$F$248/100*Operations!AE355</f>
        <v>4.78078093473004</v>
      </c>
      <c r="AF356" s="20" t="n">
        <f aca="false">Operations!AF354-Inputs!$F$248/100*Operations!AF355</f>
        <v>-3.11111460207883</v>
      </c>
      <c r="AG356" s="20" t="n">
        <f aca="false">Operations!AG354-Inputs!$F$248/100*Operations!AG355</f>
        <v>0</v>
      </c>
      <c r="AH356" s="20" t="n">
        <f aca="false">Operations!AH354-Inputs!$F$248/100*Operations!AH355</f>
        <v>0</v>
      </c>
      <c r="AI356" s="20" t="n">
        <f aca="false">Operations!AI354-Inputs!$F$248/100*Operations!AI355</f>
        <v>0</v>
      </c>
      <c r="AJ356" s="20" t="n">
        <f aca="false">Operations!AJ354-Inputs!$F$248/100*Operations!AJ355</f>
        <v>0</v>
      </c>
      <c r="AK356" s="20" t="n">
        <f aca="false">Operations!AK354-Inputs!$F$248/100*Operations!AK355</f>
        <v>0</v>
      </c>
      <c r="AL356" s="20" t="n">
        <f aca="false">Operations!AL354-Inputs!$F$248/100*Operations!AL355</f>
        <v>0</v>
      </c>
      <c r="AM356" s="20" t="n">
        <f aca="false">Operations!AM354-Inputs!$F$248/100*Operations!AM355</f>
        <v>0</v>
      </c>
      <c r="AN356" s="20" t="n">
        <f aca="false">Operations!AN354-Inputs!$F$248/100*Operations!AN355</f>
        <v>0</v>
      </c>
      <c r="AO356" s="20" t="n">
        <f aca="false">Operations!AO354-Inputs!$F$248/100*Operations!AO355</f>
        <v>0</v>
      </c>
      <c r="AP356" s="20" t="n">
        <f aca="false">Operations!AP354-Inputs!$F$248/100*Operations!AP355</f>
        <v>0</v>
      </c>
      <c r="AQ356" s="20" t="n">
        <f aca="false">Operations!AQ354-Inputs!$F$248/100*Operations!AQ355</f>
        <v>0</v>
      </c>
      <c r="AR356" s="20" t="n">
        <f aca="false">Operations!AR354-Inputs!$F$248/100*Operations!AR355</f>
        <v>0</v>
      </c>
      <c r="AS356" s="20" t="n">
        <f aca="false">Operations!AS354-Inputs!$F$248/100*Operations!AS355</f>
        <v>0</v>
      </c>
      <c r="AT356" s="20" t="n">
        <f aca="false">Operations!AT354-Inputs!$F$248/100*Operations!AT355</f>
        <v>0</v>
      </c>
      <c r="AU356" s="20" t="n">
        <f aca="false">Operations!AU354-Inputs!$F$248/100*Operations!AU355</f>
        <v>0</v>
      </c>
    </row>
    <row r="357" customFormat="false" ht="15" hidden="false" customHeight="false" outlineLevel="0" collapsed="false">
      <c r="D357" s="0" t="s">
        <v>751</v>
      </c>
      <c r="E357" s="0" t="s">
        <v>458</v>
      </c>
      <c r="J357" s="14" t="n">
        <f aca="false">IF(Operations!J342=0,0,Operations!J340/Operations!J342)</f>
        <v>0</v>
      </c>
      <c r="K357" s="14" t="n">
        <f aca="false">IF(Operations!K342=0,0,Operations!K340/Operations!K342)</f>
        <v>0</v>
      </c>
      <c r="L357" s="14" t="n">
        <f aca="false">IF(Operations!L342=0,0,Operations!L340/Operations!L342)</f>
        <v>1</v>
      </c>
      <c r="M357" s="14" t="n">
        <f aca="false">IF(Operations!M342=0,0,Operations!M340/Operations!M342)</f>
        <v>1</v>
      </c>
      <c r="N357" s="14" t="n">
        <f aca="false">IF(Operations!N342=0,0,Operations!N340/Operations!N342)</f>
        <v>1</v>
      </c>
      <c r="O357" s="14" t="n">
        <f aca="false">IF(Operations!O342=0,0,Operations!O340/Operations!O342)</f>
        <v>1</v>
      </c>
      <c r="P357" s="14" t="n">
        <f aca="false">IF(Operations!P342=0,0,Operations!P340/Operations!P342)</f>
        <v>1</v>
      </c>
      <c r="Q357" s="14" t="n">
        <f aca="false">IF(Operations!Q342=0,0,Operations!Q340/Operations!Q342)</f>
        <v>1</v>
      </c>
      <c r="R357" s="14" t="n">
        <f aca="false">IF(Operations!R342=0,0,Operations!R340/Operations!R342)</f>
        <v>1</v>
      </c>
      <c r="S357" s="14" t="n">
        <f aca="false">IF(Operations!S342=0,0,Operations!S340/Operations!S342)</f>
        <v>1</v>
      </c>
      <c r="T357" s="14" t="n">
        <f aca="false">IF(Operations!T342=0,0,Operations!T340/Operations!T342)</f>
        <v>0.270592127068931</v>
      </c>
      <c r="U357" s="14" t="n">
        <f aca="false">IF(Operations!U342=0,0,Operations!U340/Operations!U342)</f>
        <v>0</v>
      </c>
      <c r="V357" s="14" t="n">
        <f aca="false">IF(Operations!V342=0,0,Operations!V340/Operations!V342)</f>
        <v>0</v>
      </c>
      <c r="W357" s="14" t="n">
        <f aca="false">IF(Operations!W342=0,0,Operations!W340/Operations!W342)</f>
        <v>0</v>
      </c>
      <c r="X357" s="14" t="n">
        <f aca="false">IF(Operations!X342=0,0,Operations!X340/Operations!X342)</f>
        <v>0</v>
      </c>
      <c r="Y357" s="14" t="n">
        <f aca="false">IF(Operations!Y342=0,0,Operations!Y340/Operations!Y342)</f>
        <v>0</v>
      </c>
      <c r="Z357" s="14" t="n">
        <f aca="false">IF(Operations!Z342=0,0,Operations!Z340/Operations!Z342)</f>
        <v>0</v>
      </c>
      <c r="AA357" s="14" t="n">
        <f aca="false">IF(Operations!AA342=0,0,Operations!AA340/Operations!AA342)</f>
        <v>0</v>
      </c>
      <c r="AB357" s="14" t="n">
        <f aca="false">IF(Operations!AB342=0,0,Operations!AB340/Operations!AB342)</f>
        <v>0</v>
      </c>
      <c r="AC357" s="14" t="n">
        <f aca="false">IF(Operations!AC342=0,0,Operations!AC340/Operations!AC342)</f>
        <v>0</v>
      </c>
      <c r="AD357" s="14" t="n">
        <f aca="false">IF(Operations!AD342=0,0,Operations!AD340/Operations!AD342)</f>
        <v>0</v>
      </c>
      <c r="AE357" s="14" t="n">
        <f aca="false">IF(Operations!AE342=0,0,Operations!AE340/Operations!AE342)</f>
        <v>0</v>
      </c>
      <c r="AF357" s="14" t="n">
        <f aca="false">IF(Operations!AF342=0,0,Operations!AF340/Operations!AF342)</f>
        <v>0</v>
      </c>
      <c r="AG357" s="14" t="n">
        <f aca="false">IF(Operations!AG342=0,0,Operations!AG340/Operations!AG342)</f>
        <v>0</v>
      </c>
      <c r="AH357" s="14" t="n">
        <f aca="false">IF(Operations!AH342=0,0,Operations!AH340/Operations!AH342)</f>
        <v>0</v>
      </c>
      <c r="AI357" s="14" t="n">
        <f aca="false">IF(Operations!AI342=0,0,Operations!AI340/Operations!AI342)</f>
        <v>0</v>
      </c>
      <c r="AJ357" s="14" t="n">
        <f aca="false">IF(Operations!AJ342=0,0,Operations!AJ340/Operations!AJ342)</f>
        <v>0</v>
      </c>
      <c r="AK357" s="14" t="n">
        <f aca="false">IF(Operations!AK342=0,0,Operations!AK340/Operations!AK342)</f>
        <v>0</v>
      </c>
      <c r="AL357" s="14" t="n">
        <f aca="false">IF(Operations!AL342=0,0,Operations!AL340/Operations!AL342)</f>
        <v>0</v>
      </c>
      <c r="AM357" s="14" t="n">
        <f aca="false">IF(Operations!AM342=0,0,Operations!AM340/Operations!AM342)</f>
        <v>0</v>
      </c>
      <c r="AN357" s="14" t="n">
        <f aca="false">IF(Operations!AN342=0,0,Operations!AN340/Operations!AN342)</f>
        <v>0</v>
      </c>
      <c r="AO357" s="14" t="n">
        <f aca="false">IF(Operations!AO342=0,0,Operations!AO340/Operations!AO342)</f>
        <v>0</v>
      </c>
      <c r="AP357" s="14" t="n">
        <f aca="false">IF(Operations!AP342=0,0,Operations!AP340/Operations!AP342)</f>
        <v>0</v>
      </c>
      <c r="AQ357" s="14" t="n">
        <f aca="false">IF(Operations!AQ342=0,0,Operations!AQ340/Operations!AQ342)</f>
        <v>0</v>
      </c>
      <c r="AR357" s="14" t="n">
        <f aca="false">IF(Operations!AR342=0,0,Operations!AR340/Operations!AR342)</f>
        <v>0</v>
      </c>
      <c r="AS357" s="14" t="n">
        <f aca="false">IF(Operations!AS342=0,0,Operations!AS340/Operations!AS342)</f>
        <v>0</v>
      </c>
      <c r="AT357" s="14" t="n">
        <f aca="false">IF(Operations!AT342=0,0,Operations!AT340/Operations!AT342)</f>
        <v>0</v>
      </c>
      <c r="AU357" s="14" t="n">
        <f aca="false">IF(Operations!AU342=0,0,Operations!AU340/Operations!AU342)</f>
        <v>0</v>
      </c>
    </row>
    <row r="358" customFormat="false" ht="15" hidden="false" customHeight="false" outlineLevel="0" collapsed="false">
      <c r="D358" s="0" t="s">
        <v>752</v>
      </c>
      <c r="E358" s="0" t="s">
        <v>458</v>
      </c>
      <c r="J358" s="14" t="n">
        <f aca="false">IF(Operations!J342=0,0,Operations!J341/Operations!J342)</f>
        <v>0</v>
      </c>
      <c r="K358" s="14" t="n">
        <f aca="false">IF(Operations!K342=0,0,Operations!K341/Operations!K342)</f>
        <v>0</v>
      </c>
      <c r="L358" s="14" t="n">
        <f aca="false">IF(Operations!L342=0,0,Operations!L341/Operations!L342)</f>
        <v>0</v>
      </c>
      <c r="M358" s="14" t="n">
        <f aca="false">IF(Operations!M342=0,0,Operations!M341/Operations!M342)</f>
        <v>0</v>
      </c>
      <c r="N358" s="14" t="n">
        <f aca="false">IF(Operations!N342=0,0,Operations!N341/Operations!N342)</f>
        <v>0</v>
      </c>
      <c r="O358" s="14" t="n">
        <f aca="false">IF(Operations!O342=0,0,Operations!O341/Operations!O342)</f>
        <v>0</v>
      </c>
      <c r="P358" s="14" t="n">
        <f aca="false">IF(Operations!P342=0,0,Operations!P341/Operations!P342)</f>
        <v>0</v>
      </c>
      <c r="Q358" s="14" t="n">
        <f aca="false">IF(Operations!Q342=0,0,Operations!Q341/Operations!Q342)</f>
        <v>0</v>
      </c>
      <c r="R358" s="14" t="n">
        <f aca="false">IF(Operations!R342=0,0,Operations!R341/Operations!R342)</f>
        <v>0</v>
      </c>
      <c r="S358" s="14" t="n">
        <f aca="false">IF(Operations!S342=0,0,Operations!S341/Operations!S342)</f>
        <v>0</v>
      </c>
      <c r="T358" s="14" t="n">
        <f aca="false">IF(Operations!T342=0,0,Operations!T341/Operations!T342)</f>
        <v>0</v>
      </c>
      <c r="U358" s="14" t="n">
        <f aca="false">IF(Operations!U342=0,0,Operations!U341/Operations!U342)</f>
        <v>0</v>
      </c>
      <c r="V358" s="14" t="n">
        <f aca="false">IF(Operations!V342=0,0,Operations!V341/Operations!V342)</f>
        <v>0</v>
      </c>
      <c r="W358" s="14" t="n">
        <f aca="false">IF(Operations!W342=0,0,Operations!W341/Operations!W342)</f>
        <v>0</v>
      </c>
      <c r="X358" s="14" t="n">
        <f aca="false">IF(Operations!X342=0,0,Operations!X341/Operations!X342)</f>
        <v>0</v>
      </c>
      <c r="Y358" s="14" t="n">
        <f aca="false">IF(Operations!Y342=0,0,Operations!Y341/Operations!Y342)</f>
        <v>0</v>
      </c>
      <c r="Z358" s="14" t="n">
        <f aca="false">IF(Operations!Z342=0,0,Operations!Z341/Operations!Z342)</f>
        <v>0</v>
      </c>
      <c r="AA358" s="14" t="n">
        <f aca="false">IF(Operations!AA342=0,0,Operations!AA341/Operations!AA342)</f>
        <v>0</v>
      </c>
      <c r="AB358" s="14" t="n">
        <f aca="false">IF(Operations!AB342=0,0,Operations!AB341/Operations!AB342)</f>
        <v>0</v>
      </c>
      <c r="AC358" s="14" t="n">
        <f aca="false">IF(Operations!AC342=0,0,Operations!AC341/Operations!AC342)</f>
        <v>0</v>
      </c>
      <c r="AD358" s="14" t="n">
        <f aca="false">IF(Operations!AD342=0,0,Operations!AD341/Operations!AD342)</f>
        <v>0</v>
      </c>
      <c r="AE358" s="14" t="n">
        <f aca="false">IF(Operations!AE342=0,0,Operations!AE341/Operations!AE342)</f>
        <v>0</v>
      </c>
      <c r="AF358" s="14" t="n">
        <f aca="false">IF(Operations!AF342=0,0,Operations!AF341/Operations!AF342)</f>
        <v>0</v>
      </c>
      <c r="AG358" s="14" t="n">
        <f aca="false">IF(Operations!AG342=0,0,Operations!AG341/Operations!AG342)</f>
        <v>0</v>
      </c>
      <c r="AH358" s="14" t="n">
        <f aca="false">IF(Operations!AH342=0,0,Operations!AH341/Operations!AH342)</f>
        <v>0</v>
      </c>
      <c r="AI358" s="14" t="n">
        <f aca="false">IF(Operations!AI342=0,0,Operations!AI341/Operations!AI342)</f>
        <v>0</v>
      </c>
      <c r="AJ358" s="14" t="n">
        <f aca="false">IF(Operations!AJ342=0,0,Operations!AJ341/Operations!AJ342)</f>
        <v>0</v>
      </c>
      <c r="AK358" s="14" t="n">
        <f aca="false">IF(Operations!AK342=0,0,Operations!AK341/Operations!AK342)</f>
        <v>0</v>
      </c>
      <c r="AL358" s="14" t="n">
        <f aca="false">IF(Operations!AL342=0,0,Operations!AL341/Operations!AL342)</f>
        <v>0</v>
      </c>
      <c r="AM358" s="14" t="n">
        <f aca="false">IF(Operations!AM342=0,0,Operations!AM341/Operations!AM342)</f>
        <v>0</v>
      </c>
      <c r="AN358" s="14" t="n">
        <f aca="false">IF(Operations!AN342=0,0,Operations!AN341/Operations!AN342)</f>
        <v>0</v>
      </c>
      <c r="AO358" s="14" t="n">
        <f aca="false">IF(Operations!AO342=0,0,Operations!AO341/Operations!AO342)</f>
        <v>0</v>
      </c>
      <c r="AP358" s="14" t="n">
        <f aca="false">IF(Operations!AP342=0,0,Operations!AP341/Operations!AP342)</f>
        <v>0</v>
      </c>
      <c r="AQ358" s="14" t="n">
        <f aca="false">IF(Operations!AQ342=0,0,Operations!AQ341/Operations!AQ342)</f>
        <v>0</v>
      </c>
      <c r="AR358" s="14" t="n">
        <f aca="false">IF(Operations!AR342=0,0,Operations!AR341/Operations!AR342)</f>
        <v>0</v>
      </c>
      <c r="AS358" s="14" t="n">
        <f aca="false">IF(Operations!AS342=0,0,Operations!AS341/Operations!AS342)</f>
        <v>0</v>
      </c>
      <c r="AT358" s="14" t="n">
        <f aca="false">IF(Operations!AT342=0,0,Operations!AT341/Operations!AT342)</f>
        <v>0</v>
      </c>
      <c r="AU358" s="14" t="n">
        <f aca="false">IF(Operations!AU342=0,0,Operations!AU341/Operations!AU342)</f>
        <v>0</v>
      </c>
    </row>
    <row r="359" customFormat="false" ht="15" hidden="false" customHeight="false" outlineLevel="0" collapsed="false">
      <c r="D359" s="0" t="s">
        <v>753</v>
      </c>
      <c r="E359" s="0" t="s">
        <v>458</v>
      </c>
      <c r="J359" s="14" t="n">
        <f aca="false">1-Operations!J357-Operations!J358</f>
        <v>1</v>
      </c>
      <c r="K359" s="14" t="n">
        <f aca="false">1-Operations!K357-Operations!K358</f>
        <v>1</v>
      </c>
      <c r="L359" s="14" t="n">
        <f aca="false">1-Operations!L357-Operations!L358</f>
        <v>0</v>
      </c>
      <c r="M359" s="14" t="n">
        <f aca="false">1-Operations!M357-Operations!M358</f>
        <v>0</v>
      </c>
      <c r="N359" s="14" t="n">
        <f aca="false">1-Operations!N357-Operations!N358</f>
        <v>0</v>
      </c>
      <c r="O359" s="14" t="n">
        <f aca="false">1-Operations!O357-Operations!O358</f>
        <v>0</v>
      </c>
      <c r="P359" s="14" t="n">
        <f aca="false">1-Operations!P357-Operations!P358</f>
        <v>0</v>
      </c>
      <c r="Q359" s="14" t="n">
        <f aca="false">1-Operations!Q357-Operations!Q358</f>
        <v>0</v>
      </c>
      <c r="R359" s="14" t="n">
        <f aca="false">1-Operations!R357-Operations!R358</f>
        <v>0</v>
      </c>
      <c r="S359" s="14" t="n">
        <f aca="false">1-Operations!S357-Operations!S358</f>
        <v>0</v>
      </c>
      <c r="T359" s="14" t="n">
        <f aca="false">1-Operations!T357-Operations!T358</f>
        <v>0.729407872931069</v>
      </c>
      <c r="U359" s="14" t="n">
        <f aca="false">1-Operations!U357-Operations!U358</f>
        <v>1</v>
      </c>
      <c r="V359" s="14" t="n">
        <f aca="false">1-Operations!V357-Operations!V358</f>
        <v>1</v>
      </c>
      <c r="W359" s="14" t="n">
        <f aca="false">1-Operations!W357-Operations!W358</f>
        <v>1</v>
      </c>
      <c r="X359" s="14" t="n">
        <f aca="false">1-Operations!X357-Operations!X358</f>
        <v>1</v>
      </c>
      <c r="Y359" s="14" t="n">
        <f aca="false">1-Operations!Y357-Operations!Y358</f>
        <v>1</v>
      </c>
      <c r="Z359" s="14" t="n">
        <f aca="false">1-Operations!Z357-Operations!Z358</f>
        <v>1</v>
      </c>
      <c r="AA359" s="14" t="n">
        <f aca="false">1-Operations!AA357-Operations!AA358</f>
        <v>1</v>
      </c>
      <c r="AB359" s="14" t="n">
        <f aca="false">1-Operations!AB357-Operations!AB358</f>
        <v>1</v>
      </c>
      <c r="AC359" s="14" t="n">
        <f aca="false">1-Operations!AC357-Operations!AC358</f>
        <v>1</v>
      </c>
      <c r="AD359" s="14" t="n">
        <f aca="false">1-Operations!AD357-Operations!AD358</f>
        <v>1</v>
      </c>
      <c r="AE359" s="14" t="n">
        <f aca="false">1-Operations!AE357-Operations!AE358</f>
        <v>1</v>
      </c>
      <c r="AF359" s="14" t="n">
        <f aca="false">1-Operations!AF357-Operations!AF358</f>
        <v>1</v>
      </c>
      <c r="AG359" s="14" t="n">
        <f aca="false">1-Operations!AG357-Operations!AG358</f>
        <v>1</v>
      </c>
      <c r="AH359" s="14" t="n">
        <f aca="false">1-Operations!AH357-Operations!AH358</f>
        <v>1</v>
      </c>
      <c r="AI359" s="14" t="n">
        <f aca="false">1-Operations!AI357-Operations!AI358</f>
        <v>1</v>
      </c>
      <c r="AJ359" s="14" t="n">
        <f aca="false">1-Operations!AJ357-Operations!AJ358</f>
        <v>1</v>
      </c>
      <c r="AK359" s="14" t="n">
        <f aca="false">1-Operations!AK357-Operations!AK358</f>
        <v>1</v>
      </c>
      <c r="AL359" s="14" t="n">
        <f aca="false">1-Operations!AL357-Operations!AL358</f>
        <v>1</v>
      </c>
      <c r="AM359" s="14" t="n">
        <f aca="false">1-Operations!AM357-Operations!AM358</f>
        <v>1</v>
      </c>
      <c r="AN359" s="14" t="n">
        <f aca="false">1-Operations!AN357-Operations!AN358</f>
        <v>1</v>
      </c>
      <c r="AO359" s="14" t="n">
        <f aca="false">1-Operations!AO357-Operations!AO358</f>
        <v>1</v>
      </c>
      <c r="AP359" s="14" t="n">
        <f aca="false">1-Operations!AP357-Operations!AP358</f>
        <v>1</v>
      </c>
      <c r="AQ359" s="14" t="n">
        <f aca="false">1-Operations!AQ357-Operations!AQ358</f>
        <v>1</v>
      </c>
      <c r="AR359" s="14" t="n">
        <f aca="false">1-Operations!AR357-Operations!AR358</f>
        <v>1</v>
      </c>
      <c r="AS359" s="14" t="n">
        <f aca="false">1-Operations!AS357-Operations!AS358</f>
        <v>1</v>
      </c>
      <c r="AT359" s="14" t="n">
        <f aca="false">1-Operations!AT357-Operations!AT358</f>
        <v>1</v>
      </c>
      <c r="AU359" s="14" t="n">
        <f aca="false">1-Operations!AU357-Operations!AU358</f>
        <v>1</v>
      </c>
    </row>
    <row r="360" customFormat="false" ht="15" hidden="false" customHeight="false" outlineLevel="0" collapsed="false">
      <c r="D360" s="0" t="s">
        <v>754</v>
      </c>
      <c r="E360" s="0" t="s">
        <v>47</v>
      </c>
      <c r="J360" s="20" t="n">
        <f aca="false">Operations!J340*Operations!J320*(1-Operations!J352)</f>
        <v>0</v>
      </c>
      <c r="K360" s="20" t="n">
        <f aca="false">Operations!K340*Operations!K320*(1-Operations!K352)</f>
        <v>0</v>
      </c>
      <c r="L360" s="20" t="n">
        <f aca="false">Operations!L340*Operations!L320*(1-Operations!L352)</f>
        <v>7.6305737704918</v>
      </c>
      <c r="M360" s="20" t="n">
        <f aca="false">Operations!M340*Operations!M320*(1-Operations!M352)</f>
        <v>10.23</v>
      </c>
      <c r="N360" s="20" t="n">
        <f aca="false">Operations!N340*Operations!N320*(1-Operations!N352)</f>
        <v>10.23</v>
      </c>
      <c r="O360" s="20" t="n">
        <f aca="false">Operations!O340*Operations!O320*(1-Operations!O352)</f>
        <v>10.23</v>
      </c>
      <c r="P360" s="20" t="n">
        <f aca="false">Operations!P340*Operations!P320*(1-Operations!P352)</f>
        <v>10.23</v>
      </c>
      <c r="Q360" s="20" t="n">
        <f aca="false">Operations!Q340*Operations!Q320*(1-Operations!Q352)</f>
        <v>10.23</v>
      </c>
      <c r="R360" s="20" t="n">
        <f aca="false">Operations!R340*Operations!R320*(1-Operations!R352)</f>
        <v>10.23</v>
      </c>
      <c r="S360" s="20" t="n">
        <f aca="false">Operations!S340*Operations!S320*(1-Operations!S352)</f>
        <v>10.23</v>
      </c>
      <c r="T360" s="20" t="n">
        <f aca="false">Operations!T340*Operations!T320*(1-Operations!T352)</f>
        <v>2.57147540983607</v>
      </c>
      <c r="U360" s="20" t="n">
        <f aca="false">Operations!U340*Operations!U320*(1-Operations!U352)</f>
        <v>0</v>
      </c>
      <c r="V360" s="20" t="n">
        <f aca="false">Operations!V340*Operations!V320*(1-Operations!V352)</f>
        <v>0</v>
      </c>
      <c r="W360" s="20" t="n">
        <f aca="false">Operations!W340*Operations!W320*(1-Operations!W352)</f>
        <v>0</v>
      </c>
      <c r="X360" s="20" t="n">
        <f aca="false">Operations!X340*Operations!X320*(1-Operations!X352)</f>
        <v>0</v>
      </c>
      <c r="Y360" s="20" t="n">
        <f aca="false">Operations!Y340*Operations!Y320*(1-Operations!Y352)</f>
        <v>0</v>
      </c>
      <c r="Z360" s="20" t="n">
        <f aca="false">Operations!Z340*Operations!Z320*(1-Operations!Z352)</f>
        <v>0</v>
      </c>
      <c r="AA360" s="20" t="n">
        <f aca="false">Operations!AA340*Operations!AA320*(1-Operations!AA352)</f>
        <v>0</v>
      </c>
      <c r="AB360" s="20" t="n">
        <f aca="false">Operations!AB340*Operations!AB320*(1-Operations!AB352)</f>
        <v>0</v>
      </c>
      <c r="AC360" s="20" t="n">
        <f aca="false">Operations!AC340*Operations!AC320*(1-Operations!AC352)</f>
        <v>0</v>
      </c>
      <c r="AD360" s="20" t="n">
        <f aca="false">Operations!AD340*Operations!AD320*(1-Operations!AD352)</f>
        <v>0</v>
      </c>
      <c r="AE360" s="20" t="n">
        <f aca="false">Operations!AE340*Operations!AE320*(1-Operations!AE352)</f>
        <v>0</v>
      </c>
      <c r="AF360" s="20" t="n">
        <f aca="false">Operations!AF340*Operations!AF320*(1-Operations!AF352)</f>
        <v>0</v>
      </c>
      <c r="AG360" s="20" t="n">
        <f aca="false">Operations!AG340*Operations!AG320*(1-Operations!AG352)</f>
        <v>0</v>
      </c>
      <c r="AH360" s="20" t="n">
        <f aca="false">Operations!AH340*Operations!AH320*(1-Operations!AH352)</f>
        <v>0</v>
      </c>
      <c r="AI360" s="20" t="n">
        <f aca="false">Operations!AI340*Operations!AI320*(1-Operations!AI352)</f>
        <v>0</v>
      </c>
      <c r="AJ360" s="20" t="n">
        <f aca="false">Operations!AJ340*Operations!AJ320*(1-Operations!AJ352)</f>
        <v>0</v>
      </c>
      <c r="AK360" s="20" t="n">
        <f aca="false">Operations!AK340*Operations!AK320*(1-Operations!AK352)</f>
        <v>0</v>
      </c>
      <c r="AL360" s="20" t="n">
        <f aca="false">Operations!AL340*Operations!AL320*(1-Operations!AL352)</f>
        <v>0</v>
      </c>
      <c r="AM360" s="20" t="n">
        <f aca="false">Operations!AM340*Operations!AM320*(1-Operations!AM352)</f>
        <v>0</v>
      </c>
      <c r="AN360" s="20" t="n">
        <f aca="false">Operations!AN340*Operations!AN320*(1-Operations!AN352)</f>
        <v>0</v>
      </c>
      <c r="AO360" s="20" t="n">
        <f aca="false">Operations!AO340*Operations!AO320*(1-Operations!AO352)</f>
        <v>0</v>
      </c>
      <c r="AP360" s="20" t="n">
        <f aca="false">Operations!AP340*Operations!AP320*(1-Operations!AP352)</f>
        <v>0</v>
      </c>
      <c r="AQ360" s="20" t="n">
        <f aca="false">Operations!AQ340*Operations!AQ320*(1-Operations!AQ352)</f>
        <v>0</v>
      </c>
      <c r="AR360" s="20" t="n">
        <f aca="false">Operations!AR340*Operations!AR320*(1-Operations!AR352)</f>
        <v>0</v>
      </c>
      <c r="AS360" s="20" t="n">
        <f aca="false">Operations!AS340*Operations!AS320*(1-Operations!AS352)</f>
        <v>0</v>
      </c>
      <c r="AT360" s="20" t="n">
        <f aca="false">Operations!AT340*Operations!AT320*(1-Operations!AT352)</f>
        <v>0</v>
      </c>
      <c r="AU360" s="20" t="n">
        <f aca="false">Operations!AU340*Operations!AU320*(1-Operations!AU352)</f>
        <v>0</v>
      </c>
    </row>
    <row r="361" customFormat="false" ht="15" hidden="false" customHeight="false" outlineLevel="0" collapsed="false">
      <c r="D361" s="0" t="s">
        <v>755</v>
      </c>
      <c r="E361" s="0" t="s">
        <v>47</v>
      </c>
      <c r="J361" s="20" t="n">
        <f aca="false">Operations!J341*Operations!J320*(1-Operations!J352)</f>
        <v>0</v>
      </c>
      <c r="K361" s="20" t="n">
        <f aca="false">Operations!K341*Operations!K320*(1-Operations!K352)</f>
        <v>0</v>
      </c>
      <c r="L361" s="20" t="n">
        <f aca="false">Operations!L341*Operations!L320*(1-Operations!L352)</f>
        <v>0</v>
      </c>
      <c r="M361" s="20" t="n">
        <f aca="false">Operations!M341*Operations!M320*(1-Operations!M352)</f>
        <v>0</v>
      </c>
      <c r="N361" s="20" t="n">
        <f aca="false">Operations!N341*Operations!N320*(1-Operations!N352)</f>
        <v>0</v>
      </c>
      <c r="O361" s="20" t="n">
        <f aca="false">Operations!O341*Operations!O320*(1-Operations!O352)</f>
        <v>0</v>
      </c>
      <c r="P361" s="20" t="n">
        <f aca="false">Operations!P341*Operations!P320*(1-Operations!P352)</f>
        <v>0</v>
      </c>
      <c r="Q361" s="20" t="n">
        <f aca="false">Operations!Q341*Operations!Q320*(1-Operations!Q352)</f>
        <v>0</v>
      </c>
      <c r="R361" s="20" t="n">
        <f aca="false">Operations!R341*Operations!R320*(1-Operations!R352)</f>
        <v>0</v>
      </c>
      <c r="S361" s="20" t="n">
        <f aca="false">Operations!S341*Operations!S320*(1-Operations!S352)</f>
        <v>0</v>
      </c>
      <c r="T361" s="20" t="n">
        <f aca="false">Operations!T341*Operations!T320*(1-Operations!T352)</f>
        <v>0</v>
      </c>
      <c r="U361" s="20" t="n">
        <f aca="false">Operations!U341*Operations!U320*(1-Operations!U352)</f>
        <v>0</v>
      </c>
      <c r="V361" s="20" t="n">
        <f aca="false">Operations!V341*Operations!V320*(1-Operations!V352)</f>
        <v>0</v>
      </c>
      <c r="W361" s="20" t="n">
        <f aca="false">Operations!W341*Operations!W320*(1-Operations!W352)</f>
        <v>0</v>
      </c>
      <c r="X361" s="20" t="n">
        <f aca="false">Operations!X341*Operations!X320*(1-Operations!X352)</f>
        <v>0</v>
      </c>
      <c r="Y361" s="20" t="n">
        <f aca="false">Operations!Y341*Operations!Y320*(1-Operations!Y352)</f>
        <v>0</v>
      </c>
      <c r="Z361" s="20" t="n">
        <f aca="false">Operations!Z341*Operations!Z320*(1-Operations!Z352)</f>
        <v>0</v>
      </c>
      <c r="AA361" s="20" t="n">
        <f aca="false">Operations!AA341*Operations!AA320*(1-Operations!AA352)</f>
        <v>0</v>
      </c>
      <c r="AB361" s="20" t="n">
        <f aca="false">Operations!AB341*Operations!AB320*(1-Operations!AB352)</f>
        <v>0</v>
      </c>
      <c r="AC361" s="20" t="n">
        <f aca="false">Operations!AC341*Operations!AC320*(1-Operations!AC352)</f>
        <v>0</v>
      </c>
      <c r="AD361" s="20" t="n">
        <f aca="false">Operations!AD341*Operations!AD320*(1-Operations!AD352)</f>
        <v>0</v>
      </c>
      <c r="AE361" s="20" t="n">
        <f aca="false">Operations!AE341*Operations!AE320*(1-Operations!AE352)</f>
        <v>0</v>
      </c>
      <c r="AF361" s="20" t="n">
        <f aca="false">Operations!AF341*Operations!AF320*(1-Operations!AF352)</f>
        <v>0</v>
      </c>
      <c r="AG361" s="20" t="n">
        <f aca="false">Operations!AG341*Operations!AG320*(1-Operations!AG352)</f>
        <v>0</v>
      </c>
      <c r="AH361" s="20" t="n">
        <f aca="false">Operations!AH341*Operations!AH320*(1-Operations!AH352)</f>
        <v>0</v>
      </c>
      <c r="AI361" s="20" t="n">
        <f aca="false">Operations!AI341*Operations!AI320*(1-Operations!AI352)</f>
        <v>0</v>
      </c>
      <c r="AJ361" s="20" t="n">
        <f aca="false">Operations!AJ341*Operations!AJ320*(1-Operations!AJ352)</f>
        <v>0</v>
      </c>
      <c r="AK361" s="20" t="n">
        <f aca="false">Operations!AK341*Operations!AK320*(1-Operations!AK352)</f>
        <v>0</v>
      </c>
      <c r="AL361" s="20" t="n">
        <f aca="false">Operations!AL341*Operations!AL320*(1-Operations!AL352)</f>
        <v>0</v>
      </c>
      <c r="AM361" s="20" t="n">
        <f aca="false">Operations!AM341*Operations!AM320*(1-Operations!AM352)</f>
        <v>0</v>
      </c>
      <c r="AN361" s="20" t="n">
        <f aca="false">Operations!AN341*Operations!AN320*(1-Operations!AN352)</f>
        <v>0</v>
      </c>
      <c r="AO361" s="20" t="n">
        <f aca="false">Operations!AO341*Operations!AO320*(1-Operations!AO352)</f>
        <v>0</v>
      </c>
      <c r="AP361" s="20" t="n">
        <f aca="false">Operations!AP341*Operations!AP320*(1-Operations!AP352)</f>
        <v>0</v>
      </c>
      <c r="AQ361" s="20" t="n">
        <f aca="false">Operations!AQ341*Operations!AQ320*(1-Operations!AQ352)</f>
        <v>0</v>
      </c>
      <c r="AR361" s="20" t="n">
        <f aca="false">Operations!AR341*Operations!AR320*(1-Operations!AR352)</f>
        <v>0</v>
      </c>
      <c r="AS361" s="20" t="n">
        <f aca="false">Operations!AS341*Operations!AS320*(1-Operations!AS352)</f>
        <v>0</v>
      </c>
      <c r="AT361" s="20" t="n">
        <f aca="false">Operations!AT341*Operations!AT320*(1-Operations!AT352)</f>
        <v>0</v>
      </c>
      <c r="AU361" s="20" t="n">
        <f aca="false">Operations!AU341*Operations!AU320*(1-Operations!AU352)</f>
        <v>0</v>
      </c>
    </row>
    <row r="362" customFormat="false" ht="15" hidden="false" customHeight="false" outlineLevel="0" collapsed="false">
      <c r="D362" s="0" t="s">
        <v>756</v>
      </c>
      <c r="E362" s="0" t="s">
        <v>47</v>
      </c>
      <c r="J362" s="20" t="n">
        <f aca="false">Operations!J343*Operations!J320*(1-Operations!J352)</f>
        <v>0</v>
      </c>
      <c r="K362" s="20" t="n">
        <f aca="false">Operations!K343*Operations!K320*(1-Operations!K352)</f>
        <v>0</v>
      </c>
      <c r="L362" s="20" t="n">
        <f aca="false">Operations!L343*Operations!L320*(1-Operations!L352)</f>
        <v>0</v>
      </c>
      <c r="M362" s="20" t="n">
        <f aca="false">Operations!M343*Operations!M320*(1-Operations!M352)</f>
        <v>0</v>
      </c>
      <c r="N362" s="20" t="n">
        <f aca="false">Operations!N343*Operations!N320*(1-Operations!N352)</f>
        <v>0</v>
      </c>
      <c r="O362" s="20" t="n">
        <f aca="false">Operations!O343*Operations!O320*(1-Operations!O352)</f>
        <v>0</v>
      </c>
      <c r="P362" s="20" t="n">
        <f aca="false">Operations!P343*Operations!P320*(1-Operations!P352)</f>
        <v>0</v>
      </c>
      <c r="Q362" s="20" t="n">
        <f aca="false">Operations!Q343*Operations!Q320*(1-Operations!Q352)</f>
        <v>0</v>
      </c>
      <c r="R362" s="20" t="n">
        <f aca="false">Operations!R343*Operations!R320*(1-Operations!R352)</f>
        <v>0</v>
      </c>
      <c r="S362" s="20" t="n">
        <f aca="false">Operations!S343*Operations!S320*(1-Operations!S352)</f>
        <v>0</v>
      </c>
      <c r="T362" s="20" t="n">
        <f aca="false">Operations!T343*Operations!T320*(1-Operations!T352)</f>
        <v>6.93166659836066</v>
      </c>
      <c r="U362" s="20" t="n">
        <f aca="false">Operations!U343*Operations!U320*(1-Operations!U352)</f>
        <v>9.398025</v>
      </c>
      <c r="V362" s="20" t="n">
        <f aca="false">Operations!V343*Operations!V320*(1-Operations!V352)</f>
        <v>9.538425</v>
      </c>
      <c r="W362" s="20" t="n">
        <f aca="false">Operations!W343*Operations!W320*(1-Operations!W352)</f>
        <v>9.68175</v>
      </c>
      <c r="X362" s="20" t="n">
        <f aca="false">Operations!X343*Operations!X320*(1-Operations!X352)</f>
        <v>9.80436183167466</v>
      </c>
      <c r="Y362" s="20" t="n">
        <f aca="false">Operations!Y343*Operations!Y320*(1-Operations!Y352)</f>
        <v>9.82589327876712</v>
      </c>
      <c r="Z362" s="20" t="n">
        <f aca="false">Operations!Z343*Operations!Z320*(1-Operations!Z352)</f>
        <v>9.8453026195274</v>
      </c>
      <c r="AA362" s="20" t="n">
        <f aca="false">Operations!AA343*Operations!AA320*(1-Operations!AA352)</f>
        <v>9.86530211269521</v>
      </c>
      <c r="AB362" s="20" t="n">
        <f aca="false">Operations!AB343*Operations!AB320*(1-Operations!AB352)</f>
        <v>9.88428054085274</v>
      </c>
      <c r="AC362" s="20" t="n">
        <f aca="false">Operations!AC343*Operations!AC320*(1-Operations!AC352)</f>
        <v>9.90221233028425</v>
      </c>
      <c r="AD362" s="20" t="n">
        <f aca="false">Operations!AD343*Operations!AD320*(1-Operations!AD352)</f>
        <v>9.91917927781336</v>
      </c>
      <c r="AE362" s="20" t="n">
        <f aca="false">Operations!AE343*Operations!AE320*(1-Operations!AE352)</f>
        <v>9.93519293097945</v>
      </c>
      <c r="AF362" s="20" t="n">
        <f aca="false">Operations!AF343*Operations!AF320*(1-Operations!AF352)</f>
        <v>2.47425422056462</v>
      </c>
      <c r="AG362" s="20" t="n">
        <f aca="false">Operations!AG343*Operations!AG320*(1-Operations!AG352)</f>
        <v>0</v>
      </c>
      <c r="AH362" s="20" t="n">
        <f aca="false">Operations!AH343*Operations!AH320*(1-Operations!AH352)</f>
        <v>0</v>
      </c>
      <c r="AI362" s="20" t="n">
        <f aca="false">Operations!AI343*Operations!AI320*(1-Operations!AI352)</f>
        <v>0</v>
      </c>
      <c r="AJ362" s="20" t="n">
        <f aca="false">Operations!AJ343*Operations!AJ320*(1-Operations!AJ352)</f>
        <v>0</v>
      </c>
      <c r="AK362" s="20" t="n">
        <f aca="false">Operations!AK343*Operations!AK320*(1-Operations!AK352)</f>
        <v>0</v>
      </c>
      <c r="AL362" s="20" t="n">
        <f aca="false">Operations!AL343*Operations!AL320*(1-Operations!AL352)</f>
        <v>0</v>
      </c>
      <c r="AM362" s="20" t="n">
        <f aca="false">Operations!AM343*Operations!AM320*(1-Operations!AM352)</f>
        <v>0</v>
      </c>
      <c r="AN362" s="20" t="n">
        <f aca="false">Operations!AN343*Operations!AN320*(1-Operations!AN352)</f>
        <v>0</v>
      </c>
      <c r="AO362" s="20" t="n">
        <f aca="false">Operations!AO343*Operations!AO320*(1-Operations!AO352)</f>
        <v>0</v>
      </c>
      <c r="AP362" s="20" t="n">
        <f aca="false">Operations!AP343*Operations!AP320*(1-Operations!AP352)</f>
        <v>0</v>
      </c>
      <c r="AQ362" s="20" t="n">
        <f aca="false">Operations!AQ343*Operations!AQ320*(1-Operations!AQ352)</f>
        <v>0</v>
      </c>
      <c r="AR362" s="20" t="n">
        <f aca="false">Operations!AR343*Operations!AR320*(1-Operations!AR352)</f>
        <v>0</v>
      </c>
      <c r="AS362" s="20" t="n">
        <f aca="false">Operations!AS343*Operations!AS320*(1-Operations!AS352)</f>
        <v>0</v>
      </c>
      <c r="AT362" s="20" t="n">
        <f aca="false">Operations!AT343*Operations!AT320*(1-Operations!AT352)</f>
        <v>0</v>
      </c>
      <c r="AU362" s="20" t="n">
        <f aca="false">Operations!AU343*Operations!AU320*(1-Operations!AU352)</f>
        <v>0</v>
      </c>
    </row>
    <row r="363" customFormat="false" ht="15" hidden="false" customHeight="false" outlineLevel="0" collapsed="false">
      <c r="D363" s="0" t="s">
        <v>757</v>
      </c>
      <c r="E363" s="0" t="s">
        <v>47</v>
      </c>
      <c r="J363" s="20" t="n">
        <f aca="false">Operations!J342*Operations!J320*(1-Operations!J352)</f>
        <v>0</v>
      </c>
      <c r="K363" s="20" t="n">
        <f aca="false">Operations!K342*Operations!K320*(1-Operations!K352)</f>
        <v>0</v>
      </c>
      <c r="L363" s="20" t="n">
        <f aca="false">Operations!L342*Operations!L320*(1-Operations!L352)</f>
        <v>7.6305737704918</v>
      </c>
      <c r="M363" s="20" t="n">
        <f aca="false">Operations!M342*Operations!M320*(1-Operations!M352)</f>
        <v>10.23</v>
      </c>
      <c r="N363" s="20" t="n">
        <f aca="false">Operations!N342*Operations!N320*(1-Operations!N352)</f>
        <v>10.23</v>
      </c>
      <c r="O363" s="20" t="n">
        <f aca="false">Operations!O342*Operations!O320*(1-Operations!O352)</f>
        <v>10.23</v>
      </c>
      <c r="P363" s="20" t="n">
        <f aca="false">Operations!P342*Operations!P320*(1-Operations!P352)</f>
        <v>10.23</v>
      </c>
      <c r="Q363" s="20" t="n">
        <f aca="false">Operations!Q342*Operations!Q320*(1-Operations!Q352)</f>
        <v>10.23</v>
      </c>
      <c r="R363" s="20" t="n">
        <f aca="false">Operations!R342*Operations!R320*(1-Operations!R352)</f>
        <v>10.23</v>
      </c>
      <c r="S363" s="20" t="n">
        <f aca="false">Operations!S342*Operations!S320*(1-Operations!S352)</f>
        <v>10.23</v>
      </c>
      <c r="T363" s="20" t="n">
        <f aca="false">Operations!T342*Operations!T320*(1-Operations!T352)</f>
        <v>9.50314200819672</v>
      </c>
      <c r="U363" s="20" t="n">
        <f aca="false">Operations!U342*Operations!U320*(1-Operations!U352)</f>
        <v>9.398025</v>
      </c>
      <c r="V363" s="20" t="n">
        <f aca="false">Operations!V342*Operations!V320*(1-Operations!V352)</f>
        <v>9.538425</v>
      </c>
      <c r="W363" s="20" t="n">
        <f aca="false">Operations!W342*Operations!W320*(1-Operations!W352)</f>
        <v>9.68175</v>
      </c>
      <c r="X363" s="20" t="n">
        <f aca="false">Operations!X342*Operations!X320*(1-Operations!X352)</f>
        <v>9.80436183167466</v>
      </c>
      <c r="Y363" s="20" t="n">
        <f aca="false">Operations!Y342*Operations!Y320*(1-Operations!Y352)</f>
        <v>9.82589327876712</v>
      </c>
      <c r="Z363" s="20" t="n">
        <f aca="false">Operations!Z342*Operations!Z320*(1-Operations!Z352)</f>
        <v>9.8453026195274</v>
      </c>
      <c r="AA363" s="20" t="n">
        <f aca="false">Operations!AA342*Operations!AA320*(1-Operations!AA352)</f>
        <v>9.86530211269521</v>
      </c>
      <c r="AB363" s="20" t="n">
        <f aca="false">Operations!AB342*Operations!AB320*(1-Operations!AB352)</f>
        <v>9.88428054085274</v>
      </c>
      <c r="AC363" s="20" t="n">
        <f aca="false">Operations!AC342*Operations!AC320*(1-Operations!AC352)</f>
        <v>9.90221233028425</v>
      </c>
      <c r="AD363" s="20" t="n">
        <f aca="false">Operations!AD342*Operations!AD320*(1-Operations!AD352)</f>
        <v>9.91917927781336</v>
      </c>
      <c r="AE363" s="20" t="n">
        <f aca="false">Operations!AE342*Operations!AE320*(1-Operations!AE352)</f>
        <v>9.93519293097945</v>
      </c>
      <c r="AF363" s="20" t="n">
        <f aca="false">Operations!AF342*Operations!AF320*(1-Operations!AF352)</f>
        <v>2.47425422056462</v>
      </c>
      <c r="AG363" s="20" t="n">
        <f aca="false">Operations!AG342*Operations!AG320*(1-Operations!AG352)</f>
        <v>0</v>
      </c>
      <c r="AH363" s="20" t="n">
        <f aca="false">Operations!AH342*Operations!AH320*(1-Operations!AH352)</f>
        <v>0</v>
      </c>
      <c r="AI363" s="20" t="n">
        <f aca="false">Operations!AI342*Operations!AI320*(1-Operations!AI352)</f>
        <v>0</v>
      </c>
      <c r="AJ363" s="20" t="n">
        <f aca="false">Operations!AJ342*Operations!AJ320*(1-Operations!AJ352)</f>
        <v>0</v>
      </c>
      <c r="AK363" s="20" t="n">
        <f aca="false">Operations!AK342*Operations!AK320*(1-Operations!AK352)</f>
        <v>0</v>
      </c>
      <c r="AL363" s="20" t="n">
        <f aca="false">Operations!AL342*Operations!AL320*(1-Operations!AL352)</f>
        <v>0</v>
      </c>
      <c r="AM363" s="20" t="n">
        <f aca="false">Operations!AM342*Operations!AM320*(1-Operations!AM352)</f>
        <v>0</v>
      </c>
      <c r="AN363" s="20" t="n">
        <f aca="false">Operations!AN342*Operations!AN320*(1-Operations!AN352)</f>
        <v>0</v>
      </c>
      <c r="AO363" s="20" t="n">
        <f aca="false">Operations!AO342*Operations!AO320*(1-Operations!AO352)</f>
        <v>0</v>
      </c>
      <c r="AP363" s="20" t="n">
        <f aca="false">Operations!AP342*Operations!AP320*(1-Operations!AP352)</f>
        <v>0</v>
      </c>
      <c r="AQ363" s="20" t="n">
        <f aca="false">Operations!AQ342*Operations!AQ320*(1-Operations!AQ352)</f>
        <v>0</v>
      </c>
      <c r="AR363" s="20" t="n">
        <f aca="false">Operations!AR342*Operations!AR320*(1-Operations!AR352)</f>
        <v>0</v>
      </c>
      <c r="AS363" s="20" t="n">
        <f aca="false">Operations!AS342*Operations!AS320*(1-Operations!AS352)</f>
        <v>0</v>
      </c>
      <c r="AT363" s="20" t="n">
        <f aca="false">Operations!AT342*Operations!AT320*(1-Operations!AT352)</f>
        <v>0</v>
      </c>
      <c r="AU363" s="20" t="n">
        <f aca="false">Operations!AU342*Operations!AU320*(1-Operations!AU352)</f>
        <v>0</v>
      </c>
    </row>
    <row r="364" customFormat="false" ht="15" hidden="false" customHeight="false" outlineLevel="0" collapsed="false">
      <c r="D364" s="19" t="s">
        <v>758</v>
      </c>
    </row>
    <row r="365" customFormat="false" ht="15" hidden="false" customHeight="false" outlineLevel="0" collapsed="false">
      <c r="D365" s="0" t="s">
        <v>759</v>
      </c>
      <c r="E365" s="0" t="s">
        <v>458</v>
      </c>
      <c r="J365" s="14" t="n">
        <f aca="false">MAX(0,MIN(Inputs!$F$171,Time!J$6)-MAX(Inputs!$F$170,Time!J$5))/Time!J$7</f>
        <v>0</v>
      </c>
      <c r="K365" s="14" t="n">
        <f aca="false">MAX(0,MIN(Inputs!$F$171,Time!K$6)-MAX(Inputs!$F$170,Time!K$5))/Time!K$7</f>
        <v>0</v>
      </c>
      <c r="L365" s="14" t="n">
        <f aca="false">MAX(0,MIN(Inputs!$F$171,Time!L$6)-MAX(Inputs!$F$170,Time!L$5))/Time!L$7</f>
        <v>0.0327868852459016</v>
      </c>
      <c r="M365" s="14" t="n">
        <f aca="false">MAX(0,MIN(Inputs!$F$171,Time!M$6)-MAX(Inputs!$F$170,Time!M$5))/Time!M$7</f>
        <v>1</v>
      </c>
      <c r="N365" s="14" t="n">
        <f aca="false">MAX(0,MIN(Inputs!$F$171,Time!N$6)-MAX(Inputs!$F$170,Time!N$5))/Time!N$7</f>
        <v>1</v>
      </c>
      <c r="O365" s="14" t="n">
        <f aca="false">MAX(0,MIN(Inputs!$F$171,Time!O$6)-MAX(Inputs!$F$170,Time!O$5))/Time!O$7</f>
        <v>1</v>
      </c>
      <c r="P365" s="14" t="n">
        <f aca="false">MAX(0,MIN(Inputs!$F$171,Time!P$6)-MAX(Inputs!$F$170,Time!P$5))/Time!P$7</f>
        <v>1</v>
      </c>
      <c r="Q365" s="14" t="n">
        <f aca="false">MAX(0,MIN(Inputs!$F$171,Time!Q$6)-MAX(Inputs!$F$170,Time!Q$5))/Time!Q$7</f>
        <v>1</v>
      </c>
      <c r="R365" s="14" t="n">
        <f aca="false">MAX(0,MIN(Inputs!$F$171,Time!R$6)-MAX(Inputs!$F$170,Time!R$5))/Time!R$7</f>
        <v>1</v>
      </c>
      <c r="S365" s="14" t="n">
        <f aca="false">MAX(0,MIN(Inputs!$F$171,Time!S$6)-MAX(Inputs!$F$170,Time!S$5))/Time!S$7</f>
        <v>1</v>
      </c>
      <c r="T365" s="14" t="n">
        <f aca="false">MAX(0,MIN(Inputs!$F$171,Time!T$6)-MAX(Inputs!$F$170,Time!T$5))/Time!T$7</f>
        <v>1</v>
      </c>
      <c r="U365" s="14" t="n">
        <f aca="false">MAX(0,MIN(Inputs!$F$171,Time!U$6)-MAX(Inputs!$F$170,Time!U$5))/Time!U$7</f>
        <v>1</v>
      </c>
      <c r="V365" s="14" t="n">
        <f aca="false">MAX(0,MIN(Inputs!$F$171,Time!V$6)-MAX(Inputs!$F$170,Time!V$5))/Time!V$7</f>
        <v>1</v>
      </c>
      <c r="W365" s="14" t="n">
        <f aca="false">MAX(0,MIN(Inputs!$F$171,Time!W$6)-MAX(Inputs!$F$170,Time!W$5))/Time!W$7</f>
        <v>1</v>
      </c>
      <c r="X365" s="14" t="n">
        <f aca="false">MAX(0,MIN(Inputs!$F$171,Time!X$6)-MAX(Inputs!$F$170,Time!X$5))/Time!X$7</f>
        <v>1</v>
      </c>
      <c r="Y365" s="14" t="n">
        <f aca="false">MAX(0,MIN(Inputs!$F$171,Time!Y$6)-MAX(Inputs!$F$170,Time!Y$5))/Time!Y$7</f>
        <v>1</v>
      </c>
      <c r="Z365" s="14" t="n">
        <f aca="false">MAX(0,MIN(Inputs!$F$171,Time!Z$6)-MAX(Inputs!$F$170,Time!Z$5))/Time!Z$7</f>
        <v>1</v>
      </c>
      <c r="AA365" s="14" t="n">
        <f aca="false">MAX(0,MIN(Inputs!$F$171,Time!AA$6)-MAX(Inputs!$F$170,Time!AA$5))/Time!AA$7</f>
        <v>1</v>
      </c>
      <c r="AB365" s="14" t="n">
        <f aca="false">MAX(0,MIN(Inputs!$F$171,Time!AB$6)-MAX(Inputs!$F$170,Time!AB$5))/Time!AB$7</f>
        <v>1</v>
      </c>
      <c r="AC365" s="14" t="n">
        <f aca="false">MAX(0,MIN(Inputs!$F$171,Time!AC$6)-MAX(Inputs!$F$170,Time!AC$5))/Time!AC$7</f>
        <v>1</v>
      </c>
      <c r="AD365" s="14" t="n">
        <f aca="false">MAX(0,MIN(Inputs!$F$171,Time!AD$6)-MAX(Inputs!$F$170,Time!AD$5))/Time!AD$7</f>
        <v>1</v>
      </c>
      <c r="AE365" s="14" t="n">
        <f aca="false">MAX(0,MIN(Inputs!$F$171,Time!AE$6)-MAX(Inputs!$F$170,Time!AE$5))/Time!AE$7</f>
        <v>1</v>
      </c>
      <c r="AF365" s="14" t="n">
        <f aca="false">MAX(0,MIN(Inputs!$F$171,Time!AF$6)-MAX(Inputs!$F$170,Time!AF$5))/Time!AF$7</f>
        <v>1</v>
      </c>
      <c r="AG365" s="14" t="n">
        <f aca="false">MAX(0,MIN(Inputs!$F$171,Time!AG$6)-MAX(Inputs!$F$170,Time!AG$5))/Time!AG$7</f>
        <v>1</v>
      </c>
      <c r="AH365" s="14" t="n">
        <f aca="false">MAX(0,MIN(Inputs!$F$171,Time!AH$6)-MAX(Inputs!$F$170,Time!AH$5))/Time!AH$7</f>
        <v>1</v>
      </c>
      <c r="AI365" s="14" t="n">
        <f aca="false">MAX(0,MIN(Inputs!$F$171,Time!AI$6)-MAX(Inputs!$F$170,Time!AI$5))/Time!AI$7</f>
        <v>1</v>
      </c>
      <c r="AJ365" s="14" t="n">
        <f aca="false">MAX(0,MIN(Inputs!$F$171,Time!AJ$6)-MAX(Inputs!$F$170,Time!AJ$5))/Time!AJ$7</f>
        <v>1</v>
      </c>
      <c r="AK365" s="14" t="n">
        <f aca="false">MAX(0,MIN(Inputs!$F$171,Time!AK$6)-MAX(Inputs!$F$170,Time!AK$5))/Time!AK$7</f>
        <v>1</v>
      </c>
      <c r="AL365" s="14" t="n">
        <f aca="false">MAX(0,MIN(Inputs!$F$171,Time!AL$6)-MAX(Inputs!$F$170,Time!AL$5))/Time!AL$7</f>
        <v>1</v>
      </c>
      <c r="AM365" s="14" t="n">
        <f aca="false">MAX(0,MIN(Inputs!$F$171,Time!AM$6)-MAX(Inputs!$F$170,Time!AM$5))/Time!AM$7</f>
        <v>1</v>
      </c>
      <c r="AN365" s="14" t="n">
        <f aca="false">MAX(0,MIN(Inputs!$F$171,Time!AN$6)-MAX(Inputs!$F$170,Time!AN$5))/Time!AN$7</f>
        <v>1</v>
      </c>
      <c r="AO365" s="14" t="n">
        <f aca="false">MAX(0,MIN(Inputs!$F$171,Time!AO$6)-MAX(Inputs!$F$170,Time!AO$5))/Time!AO$7</f>
        <v>1</v>
      </c>
      <c r="AP365" s="14" t="n">
        <f aca="false">MAX(0,MIN(Inputs!$F$171,Time!AP$6)-MAX(Inputs!$F$170,Time!AP$5))/Time!AP$7</f>
        <v>1</v>
      </c>
      <c r="AQ365" s="14" t="n">
        <f aca="false">MAX(0,MIN(Inputs!$F$171,Time!AQ$6)-MAX(Inputs!$F$170,Time!AQ$5))/Time!AQ$7</f>
        <v>1</v>
      </c>
      <c r="AR365" s="14" t="n">
        <f aca="false">MAX(0,MIN(Inputs!$F$171,Time!AR$6)-MAX(Inputs!$F$170,Time!AR$5))/Time!AR$7</f>
        <v>1</v>
      </c>
      <c r="AS365" s="14" t="n">
        <f aca="false">MAX(0,MIN(Inputs!$F$171,Time!AS$6)-MAX(Inputs!$F$170,Time!AS$5))/Time!AS$7</f>
        <v>1</v>
      </c>
      <c r="AT365" s="14" t="n">
        <f aca="false">MAX(0,MIN(Inputs!$F$171,Time!AT$6)-MAX(Inputs!$F$170,Time!AT$5))/Time!AT$7</f>
        <v>1</v>
      </c>
      <c r="AU365" s="14" t="n">
        <f aca="false">MAX(0,MIN(Inputs!$F$171,Time!AU$6)-MAX(Inputs!$F$170,Time!AU$5))/Time!AU$7</f>
        <v>1</v>
      </c>
    </row>
    <row r="366" customFormat="false" ht="15" hidden="false" customHeight="false" outlineLevel="0" collapsed="false">
      <c r="D366" s="0" t="s">
        <v>760</v>
      </c>
      <c r="E366" s="0" t="s">
        <v>458</v>
      </c>
      <c r="J366" s="14" t="n">
        <f aca="false">MAX(0,MIN(Inputs!$F$171,Time!J$6)-MAX(MAX(Inputs!$F$172,Inputs!$F$170),Time!J$5))/Time!J$7</f>
        <v>0</v>
      </c>
      <c r="K366" s="14" t="n">
        <f aca="false">MAX(0,MIN(Inputs!$F$171,Time!K$6)-MAX(MAX(Inputs!$F$172,Inputs!$F$170),Time!K$5))/Time!K$7</f>
        <v>0</v>
      </c>
      <c r="L366" s="14" t="n">
        <f aca="false">MAX(0,MIN(Inputs!$F$171,Time!L$6)-MAX(MAX(Inputs!$F$172,Inputs!$F$170),Time!L$5))/Time!L$7</f>
        <v>0.0327868852459016</v>
      </c>
      <c r="M366" s="14" t="n">
        <f aca="false">MAX(0,MIN(Inputs!$F$171,Time!M$6)-MAX(MAX(Inputs!$F$172,Inputs!$F$170),Time!M$5))/Time!M$7</f>
        <v>1</v>
      </c>
      <c r="N366" s="14" t="n">
        <f aca="false">MAX(0,MIN(Inputs!$F$171,Time!N$6)-MAX(MAX(Inputs!$F$172,Inputs!$F$170),Time!N$5))/Time!N$7</f>
        <v>1</v>
      </c>
      <c r="O366" s="14" t="n">
        <f aca="false">MAX(0,MIN(Inputs!$F$171,Time!O$6)-MAX(MAX(Inputs!$F$172,Inputs!$F$170),Time!O$5))/Time!O$7</f>
        <v>1</v>
      </c>
      <c r="P366" s="14" t="n">
        <f aca="false">MAX(0,MIN(Inputs!$F$171,Time!P$6)-MAX(MAX(Inputs!$F$172,Inputs!$F$170),Time!P$5))/Time!P$7</f>
        <v>1</v>
      </c>
      <c r="Q366" s="14" t="n">
        <f aca="false">MAX(0,MIN(Inputs!$F$171,Time!Q$6)-MAX(MAX(Inputs!$F$172,Inputs!$F$170),Time!Q$5))/Time!Q$7</f>
        <v>1</v>
      </c>
      <c r="R366" s="14" t="n">
        <f aca="false">MAX(0,MIN(Inputs!$F$171,Time!R$6)-MAX(MAX(Inputs!$F$172,Inputs!$F$170),Time!R$5))/Time!R$7</f>
        <v>1</v>
      </c>
      <c r="S366" s="14" t="n">
        <f aca="false">MAX(0,MIN(Inputs!$F$171,Time!S$6)-MAX(MAX(Inputs!$F$172,Inputs!$F$170),Time!S$5))/Time!S$7</f>
        <v>1</v>
      </c>
      <c r="T366" s="14" t="n">
        <f aca="false">MAX(0,MIN(Inputs!$F$171,Time!T$6)-MAX(MAX(Inputs!$F$172,Inputs!$F$170),Time!T$5))/Time!T$7</f>
        <v>1</v>
      </c>
      <c r="U366" s="14" t="n">
        <f aca="false">MAX(0,MIN(Inputs!$F$171,Time!U$6)-MAX(MAX(Inputs!$F$172,Inputs!$F$170),Time!U$5))/Time!U$7</f>
        <v>1</v>
      </c>
      <c r="V366" s="14" t="n">
        <f aca="false">MAX(0,MIN(Inputs!$F$171,Time!V$6)-MAX(MAX(Inputs!$F$172,Inputs!$F$170),Time!V$5))/Time!V$7</f>
        <v>1</v>
      </c>
      <c r="W366" s="14" t="n">
        <f aca="false">MAX(0,MIN(Inputs!$F$171,Time!W$6)-MAX(MAX(Inputs!$F$172,Inputs!$F$170),Time!W$5))/Time!W$7</f>
        <v>1</v>
      </c>
      <c r="X366" s="14" t="n">
        <f aca="false">MAX(0,MIN(Inputs!$F$171,Time!X$6)-MAX(MAX(Inputs!$F$172,Inputs!$F$170),Time!X$5))/Time!X$7</f>
        <v>1</v>
      </c>
      <c r="Y366" s="14" t="n">
        <f aca="false">MAX(0,MIN(Inputs!$F$171,Time!Y$6)-MAX(MAX(Inputs!$F$172,Inputs!$F$170),Time!Y$5))/Time!Y$7</f>
        <v>1</v>
      </c>
      <c r="Z366" s="14" t="n">
        <f aca="false">MAX(0,MIN(Inputs!$F$171,Time!Z$6)-MAX(MAX(Inputs!$F$172,Inputs!$F$170),Time!Z$5))/Time!Z$7</f>
        <v>1</v>
      </c>
      <c r="AA366" s="14" t="n">
        <f aca="false">MAX(0,MIN(Inputs!$F$171,Time!AA$6)-MAX(MAX(Inputs!$F$172,Inputs!$F$170),Time!AA$5))/Time!AA$7</f>
        <v>1</v>
      </c>
      <c r="AB366" s="14" t="n">
        <f aca="false">MAX(0,MIN(Inputs!$F$171,Time!AB$6)-MAX(MAX(Inputs!$F$172,Inputs!$F$170),Time!AB$5))/Time!AB$7</f>
        <v>1</v>
      </c>
      <c r="AC366" s="14" t="n">
        <f aca="false">MAX(0,MIN(Inputs!$F$171,Time!AC$6)-MAX(MAX(Inputs!$F$172,Inputs!$F$170),Time!AC$5))/Time!AC$7</f>
        <v>1</v>
      </c>
      <c r="AD366" s="14" t="n">
        <f aca="false">MAX(0,MIN(Inputs!$F$171,Time!AD$6)-MAX(MAX(Inputs!$F$172,Inputs!$F$170),Time!AD$5))/Time!AD$7</f>
        <v>1</v>
      </c>
      <c r="AE366" s="14" t="n">
        <f aca="false">MAX(0,MIN(Inputs!$F$171,Time!AE$6)-MAX(MAX(Inputs!$F$172,Inputs!$F$170),Time!AE$5))/Time!AE$7</f>
        <v>1</v>
      </c>
      <c r="AF366" s="14" t="n">
        <f aca="false">MAX(0,MIN(Inputs!$F$171,Time!AF$6)-MAX(MAX(Inputs!$F$172,Inputs!$F$170),Time!AF$5))/Time!AF$7</f>
        <v>1</v>
      </c>
      <c r="AG366" s="14" t="n">
        <f aca="false">MAX(0,MIN(Inputs!$F$171,Time!AG$6)-MAX(MAX(Inputs!$F$172,Inputs!$F$170),Time!AG$5))/Time!AG$7</f>
        <v>1</v>
      </c>
      <c r="AH366" s="14" t="n">
        <f aca="false">MAX(0,MIN(Inputs!$F$171,Time!AH$6)-MAX(MAX(Inputs!$F$172,Inputs!$F$170),Time!AH$5))/Time!AH$7</f>
        <v>1</v>
      </c>
      <c r="AI366" s="14" t="n">
        <f aca="false">MAX(0,MIN(Inputs!$F$171,Time!AI$6)-MAX(MAX(Inputs!$F$172,Inputs!$F$170),Time!AI$5))/Time!AI$7</f>
        <v>1</v>
      </c>
      <c r="AJ366" s="14" t="n">
        <f aca="false">MAX(0,MIN(Inputs!$F$171,Time!AJ$6)-MAX(MAX(Inputs!$F$172,Inputs!$F$170),Time!AJ$5))/Time!AJ$7</f>
        <v>1</v>
      </c>
      <c r="AK366" s="14" t="n">
        <f aca="false">MAX(0,MIN(Inputs!$F$171,Time!AK$6)-MAX(MAX(Inputs!$F$172,Inputs!$F$170),Time!AK$5))/Time!AK$7</f>
        <v>1</v>
      </c>
      <c r="AL366" s="14" t="n">
        <f aca="false">MAX(0,MIN(Inputs!$F$171,Time!AL$6)-MAX(MAX(Inputs!$F$172,Inputs!$F$170),Time!AL$5))/Time!AL$7</f>
        <v>1</v>
      </c>
      <c r="AM366" s="14" t="n">
        <f aca="false">MAX(0,MIN(Inputs!$F$171,Time!AM$6)-MAX(MAX(Inputs!$F$172,Inputs!$F$170),Time!AM$5))/Time!AM$7</f>
        <v>1</v>
      </c>
      <c r="AN366" s="14" t="n">
        <f aca="false">MAX(0,MIN(Inputs!$F$171,Time!AN$6)-MAX(MAX(Inputs!$F$172,Inputs!$F$170),Time!AN$5))/Time!AN$7</f>
        <v>1</v>
      </c>
      <c r="AO366" s="14" t="n">
        <f aca="false">MAX(0,MIN(Inputs!$F$171,Time!AO$6)-MAX(MAX(Inputs!$F$172,Inputs!$F$170),Time!AO$5))/Time!AO$7</f>
        <v>1</v>
      </c>
      <c r="AP366" s="14" t="n">
        <f aca="false">MAX(0,MIN(Inputs!$F$171,Time!AP$6)-MAX(MAX(Inputs!$F$172,Inputs!$F$170),Time!AP$5))/Time!AP$7</f>
        <v>1</v>
      </c>
      <c r="AQ366" s="14" t="n">
        <f aca="false">MAX(0,MIN(Inputs!$F$171,Time!AQ$6)-MAX(MAX(Inputs!$F$172,Inputs!$F$170),Time!AQ$5))/Time!AQ$7</f>
        <v>1</v>
      </c>
      <c r="AR366" s="14" t="n">
        <f aca="false">MAX(0,MIN(Inputs!$F$171,Time!AR$6)-MAX(MAX(Inputs!$F$172,Inputs!$F$170),Time!AR$5))/Time!AR$7</f>
        <v>1</v>
      </c>
      <c r="AS366" s="14" t="n">
        <f aca="false">MAX(0,MIN(Inputs!$F$171,Time!AS$6)-MAX(MAX(Inputs!$F$172,Inputs!$F$170),Time!AS$5))/Time!AS$7</f>
        <v>1</v>
      </c>
      <c r="AT366" s="14" t="n">
        <f aca="false">MAX(0,MIN(Inputs!$F$171,Time!AT$6)-MAX(MAX(Inputs!$F$172,Inputs!$F$170),Time!AT$5))/Time!AT$7</f>
        <v>1</v>
      </c>
      <c r="AU366" s="14" t="n">
        <f aca="false">MAX(0,MIN(Inputs!$F$171,Time!AU$6)-MAX(MAX(Inputs!$F$172,Inputs!$F$170),Time!AU$5))/Time!AU$7</f>
        <v>1</v>
      </c>
    </row>
    <row r="367" customFormat="false" ht="15" hidden="false" customHeight="false" outlineLevel="0" collapsed="false">
      <c r="D367" s="0" t="s">
        <v>761</v>
      </c>
      <c r="E367" s="0" t="s">
        <v>458</v>
      </c>
      <c r="J367" s="14" t="n">
        <f aca="false">IF(Operations!J365&gt;0,Operations!J366/Operations!J365,0)</f>
        <v>0</v>
      </c>
      <c r="K367" s="14" t="n">
        <f aca="false">IF(Operations!K365&gt;0,Operations!K366/Operations!K365,0)</f>
        <v>0</v>
      </c>
      <c r="L367" s="14" t="n">
        <f aca="false">IF(Operations!L365&gt;0,Operations!L366/Operations!L365,0)</f>
        <v>1</v>
      </c>
      <c r="M367" s="14" t="n">
        <f aca="false">IF(Operations!M365&gt;0,Operations!M366/Operations!M365,0)</f>
        <v>1</v>
      </c>
      <c r="N367" s="14" t="n">
        <f aca="false">IF(Operations!N365&gt;0,Operations!N366/Operations!N365,0)</f>
        <v>1</v>
      </c>
      <c r="O367" s="14" t="n">
        <f aca="false">IF(Operations!O365&gt;0,Operations!O366/Operations!O365,0)</f>
        <v>1</v>
      </c>
      <c r="P367" s="14" t="n">
        <f aca="false">IF(Operations!P365&gt;0,Operations!P366/Operations!P365,0)</f>
        <v>1</v>
      </c>
      <c r="Q367" s="14" t="n">
        <f aca="false">IF(Operations!Q365&gt;0,Operations!Q366/Operations!Q365,0)</f>
        <v>1</v>
      </c>
      <c r="R367" s="14" t="n">
        <f aca="false">IF(Operations!R365&gt;0,Operations!R366/Operations!R365,0)</f>
        <v>1</v>
      </c>
      <c r="S367" s="14" t="n">
        <f aca="false">IF(Operations!S365&gt;0,Operations!S366/Operations!S365,0)</f>
        <v>1</v>
      </c>
      <c r="T367" s="14" t="n">
        <f aca="false">IF(Operations!T365&gt;0,Operations!T366/Operations!T365,0)</f>
        <v>1</v>
      </c>
      <c r="U367" s="14" t="n">
        <f aca="false">IF(Operations!U365&gt;0,Operations!U366/Operations!U365,0)</f>
        <v>1</v>
      </c>
      <c r="V367" s="14" t="n">
        <f aca="false">IF(Operations!V365&gt;0,Operations!V366/Operations!V365,0)</f>
        <v>1</v>
      </c>
      <c r="W367" s="14" t="n">
        <f aca="false">IF(Operations!W365&gt;0,Operations!W366/Operations!W365,0)</f>
        <v>1</v>
      </c>
      <c r="X367" s="14" t="n">
        <f aca="false">IF(Operations!X365&gt;0,Operations!X366/Operations!X365,0)</f>
        <v>1</v>
      </c>
      <c r="Y367" s="14" t="n">
        <f aca="false">IF(Operations!Y365&gt;0,Operations!Y366/Operations!Y365,0)</f>
        <v>1</v>
      </c>
      <c r="Z367" s="14" t="n">
        <f aca="false">IF(Operations!Z365&gt;0,Operations!Z366/Operations!Z365,0)</f>
        <v>1</v>
      </c>
      <c r="AA367" s="14" t="n">
        <f aca="false">IF(Operations!AA365&gt;0,Operations!AA366/Operations!AA365,0)</f>
        <v>1</v>
      </c>
      <c r="AB367" s="14" t="n">
        <f aca="false">IF(Operations!AB365&gt;0,Operations!AB366/Operations!AB365,0)</f>
        <v>1</v>
      </c>
      <c r="AC367" s="14" t="n">
        <f aca="false">IF(Operations!AC365&gt;0,Operations!AC366/Operations!AC365,0)</f>
        <v>1</v>
      </c>
      <c r="AD367" s="14" t="n">
        <f aca="false">IF(Operations!AD365&gt;0,Operations!AD366/Operations!AD365,0)</f>
        <v>1</v>
      </c>
      <c r="AE367" s="14" t="n">
        <f aca="false">IF(Operations!AE365&gt;0,Operations!AE366/Operations!AE365,0)</f>
        <v>1</v>
      </c>
      <c r="AF367" s="14" t="n">
        <f aca="false">IF(Operations!AF365&gt;0,Operations!AF366/Operations!AF365,0)</f>
        <v>1</v>
      </c>
      <c r="AG367" s="14" t="n">
        <f aca="false">IF(Operations!AG365&gt;0,Operations!AG366/Operations!AG365,0)</f>
        <v>1</v>
      </c>
      <c r="AH367" s="14" t="n">
        <f aca="false">IF(Operations!AH365&gt;0,Operations!AH366/Operations!AH365,0)</f>
        <v>1</v>
      </c>
      <c r="AI367" s="14" t="n">
        <f aca="false">IF(Operations!AI365&gt;0,Operations!AI366/Operations!AI365,0)</f>
        <v>1</v>
      </c>
      <c r="AJ367" s="14" t="n">
        <f aca="false">IF(Operations!AJ365&gt;0,Operations!AJ366/Operations!AJ365,0)</f>
        <v>1</v>
      </c>
      <c r="AK367" s="14" t="n">
        <f aca="false">IF(Operations!AK365&gt;0,Operations!AK366/Operations!AK365,0)</f>
        <v>1</v>
      </c>
      <c r="AL367" s="14" t="n">
        <f aca="false">IF(Operations!AL365&gt;0,Operations!AL366/Operations!AL365,0)</f>
        <v>1</v>
      </c>
      <c r="AM367" s="14" t="n">
        <f aca="false">IF(Operations!AM365&gt;0,Operations!AM366/Operations!AM365,0)</f>
        <v>1</v>
      </c>
      <c r="AN367" s="14" t="n">
        <f aca="false">IF(Operations!AN365&gt;0,Operations!AN366/Operations!AN365,0)</f>
        <v>1</v>
      </c>
      <c r="AO367" s="14" t="n">
        <f aca="false">IF(Operations!AO365&gt;0,Operations!AO366/Operations!AO365,0)</f>
        <v>1</v>
      </c>
      <c r="AP367" s="14" t="n">
        <f aca="false">IF(Operations!AP365&gt;0,Operations!AP366/Operations!AP365,0)</f>
        <v>1</v>
      </c>
      <c r="AQ367" s="14" t="n">
        <f aca="false">IF(Operations!AQ365&gt;0,Operations!AQ366/Operations!AQ365,0)</f>
        <v>1</v>
      </c>
      <c r="AR367" s="14" t="n">
        <f aca="false">IF(Operations!AR365&gt;0,Operations!AR366/Operations!AR365,0)</f>
        <v>1</v>
      </c>
      <c r="AS367" s="14" t="n">
        <f aca="false">IF(Operations!AS365&gt;0,Operations!AS366/Operations!AS365,0)</f>
        <v>1</v>
      </c>
      <c r="AT367" s="14" t="n">
        <f aca="false">IF(Operations!AT365&gt;0,Operations!AT366/Operations!AT365,0)</f>
        <v>1</v>
      </c>
      <c r="AU367" s="14" t="n">
        <f aca="false">IF(Operations!AU365&gt;0,Operations!AU366/Operations!AU365,0)</f>
        <v>1</v>
      </c>
    </row>
    <row r="368" customFormat="false" ht="15" hidden="false" customHeight="false" outlineLevel="0" collapsed="false">
      <c r="D368" s="0" t="s">
        <v>762</v>
      </c>
      <c r="E368" s="0" t="s">
        <v>96</v>
      </c>
      <c r="J368" s="18" t="n">
        <f aca="false">Operations!J54</f>
        <v>73.9286</v>
      </c>
      <c r="K368" s="18" t="n">
        <f aca="false">Operations!K54</f>
        <v>60.6492</v>
      </c>
      <c r="L368" s="18" t="n">
        <f aca="false">Operations!L54</f>
        <v>29.8291</v>
      </c>
      <c r="M368" s="18" t="n">
        <f aca="false">Operations!M54</f>
        <v>39.4418</v>
      </c>
      <c r="N368" s="18" t="n">
        <f aca="false">Operations!N54</f>
        <v>44.1986</v>
      </c>
      <c r="O368" s="18" t="n">
        <f aca="false">Operations!O54</f>
        <v>46.8743</v>
      </c>
      <c r="P368" s="18" t="n">
        <f aca="false">Operations!P54</f>
        <v>48.6581</v>
      </c>
      <c r="Q368" s="18" t="n">
        <f aca="false">Operations!Q54</f>
        <v>49.9464</v>
      </c>
      <c r="R368" s="18" t="n">
        <f aca="false">Operations!R54</f>
        <v>51.3338</v>
      </c>
      <c r="S368" s="18" t="n">
        <f aca="false">Operations!S54</f>
        <v>52.36444</v>
      </c>
      <c r="T368" s="18" t="n">
        <f aca="false">Operations!T54</f>
        <v>53.4149</v>
      </c>
      <c r="U368" s="18" t="n">
        <f aca="false">Operations!U54</f>
        <v>54.48518</v>
      </c>
      <c r="V368" s="18" t="n">
        <f aca="false">Operations!V54</f>
        <v>55.57528</v>
      </c>
      <c r="W368" s="18" t="n">
        <f aca="false">Operations!W54</f>
        <v>56.6852</v>
      </c>
      <c r="X368" s="18" t="n">
        <f aca="false">Operations!X54</f>
        <v>57.81494</v>
      </c>
      <c r="Y368" s="18" t="n">
        <f aca="false">Operations!Y54</f>
        <v>58.97441</v>
      </c>
      <c r="Z368" s="18" t="n">
        <f aca="false">Operations!Z54</f>
        <v>60.1537</v>
      </c>
      <c r="AA368" s="18" t="n">
        <f aca="false">Operations!AA54</f>
        <v>61.35281</v>
      </c>
      <c r="AB368" s="18" t="n">
        <f aca="false">Operations!AB54</f>
        <v>62.58165</v>
      </c>
      <c r="AC368" s="18" t="n">
        <f aca="false">Operations!AC54</f>
        <v>63.83031</v>
      </c>
      <c r="AD368" s="18" t="n">
        <f aca="false">Operations!AD54</f>
        <v>65.1087</v>
      </c>
      <c r="AE368" s="18" t="n">
        <f aca="false">Operations!AE54</f>
        <v>66.40691</v>
      </c>
      <c r="AF368" s="18" t="n">
        <f aca="false">Operations!AF54</f>
        <v>67.73485</v>
      </c>
      <c r="AG368" s="18" t="n">
        <f aca="false">Operations!AG54</f>
        <v>69.09252</v>
      </c>
      <c r="AH368" s="18" t="n">
        <f aca="false">Operations!AH54</f>
        <v>70.47001</v>
      </c>
      <c r="AI368" s="18" t="n">
        <f aca="false">Operations!AI54</f>
        <v>71.87723</v>
      </c>
      <c r="AJ368" s="18" t="n">
        <f aca="false">Operations!AJ54</f>
        <v>73.31418</v>
      </c>
      <c r="AK368" s="18" t="n">
        <f aca="false">Operations!AK54</f>
        <v>74.78086</v>
      </c>
      <c r="AL368" s="18" t="n">
        <f aca="false">Operations!AL54</f>
        <v>76.27727</v>
      </c>
      <c r="AM368" s="18" t="n">
        <f aca="false">Operations!AM54</f>
        <v>77.80341</v>
      </c>
      <c r="AN368" s="18" t="n">
        <f aca="false">Operations!AN54</f>
        <v>79.35928</v>
      </c>
      <c r="AO368" s="18" t="n">
        <f aca="false">Operations!AO54</f>
        <v>80.94488</v>
      </c>
      <c r="AP368" s="18" t="n">
        <f aca="false">Operations!AP54</f>
        <v>82.56021</v>
      </c>
      <c r="AQ368" s="18" t="n">
        <f aca="false">Operations!AQ54</f>
        <v>84.21518</v>
      </c>
      <c r="AR368" s="18" t="n">
        <f aca="false">Operations!AR54</f>
        <v>85.89988</v>
      </c>
      <c r="AS368" s="18" t="n">
        <f aca="false">Operations!AS54</f>
        <v>87.61431</v>
      </c>
      <c r="AT368" s="18" t="n">
        <f aca="false">Operations!AT54</f>
        <v>89.36838</v>
      </c>
      <c r="AU368" s="18" t="n">
        <f aca="false">Operations!AU54</f>
        <v>91.15218</v>
      </c>
    </row>
    <row r="369" customFormat="false" ht="15" hidden="false" customHeight="false" outlineLevel="0" collapsed="false">
      <c r="D369" s="0" t="s">
        <v>763</v>
      </c>
      <c r="E369" s="0" t="s">
        <v>27</v>
      </c>
      <c r="J369" s="14" t="n">
        <f aca="false">CHOOSE(Operations!$F$47,1,Inputs!$F$176/100,Inputs!$F$177/100,Operations!$F$42/100)</f>
        <v>1</v>
      </c>
      <c r="K369" s="14" t="n">
        <f aca="false">CHOOSE(Operations!$F$47,1,Inputs!$F$176/100,Inputs!$F$177/100,Operations!$F$42/100)</f>
        <v>1</v>
      </c>
      <c r="L369" s="14" t="n">
        <f aca="false">CHOOSE(Operations!$F$47,1,Inputs!$F$176/100,Inputs!$F$177/100,Operations!$F$42/100)</f>
        <v>1</v>
      </c>
      <c r="M369" s="14" t="n">
        <f aca="false">CHOOSE(Operations!$F$47,1,Inputs!$F$176/100,Inputs!$F$177/100,Operations!$F$42/100)</f>
        <v>1</v>
      </c>
      <c r="N369" s="14" t="n">
        <f aca="false">CHOOSE(Operations!$F$47,1,Inputs!$F$176/100,Inputs!$F$177/100,Operations!$F$42/100)</f>
        <v>1</v>
      </c>
      <c r="O369" s="14" t="n">
        <f aca="false">CHOOSE(Operations!$F$47,1,Inputs!$F$176/100,Inputs!$F$177/100,Operations!$F$42/100)</f>
        <v>1</v>
      </c>
      <c r="P369" s="14" t="n">
        <f aca="false">CHOOSE(Operations!$F$47,1,Inputs!$F$176/100,Inputs!$F$177/100,Operations!$F$42/100)</f>
        <v>1</v>
      </c>
      <c r="Q369" s="14" t="n">
        <f aca="false">CHOOSE(Operations!$F$47,1,Inputs!$F$176/100,Inputs!$F$177/100,Operations!$F$42/100)</f>
        <v>1</v>
      </c>
      <c r="R369" s="14" t="n">
        <f aca="false">CHOOSE(Operations!$F$47,1,Inputs!$F$176/100,Inputs!$F$177/100,Operations!$F$42/100)</f>
        <v>1</v>
      </c>
      <c r="S369" s="14" t="n">
        <f aca="false">CHOOSE(Operations!$F$47,1,Inputs!$F$176/100,Inputs!$F$177/100,Operations!$F$42/100)</f>
        <v>1</v>
      </c>
      <c r="T369" s="14" t="n">
        <f aca="false">CHOOSE(Operations!$F$47,1,Inputs!$F$176/100,Inputs!$F$177/100,Operations!$F$42/100)</f>
        <v>1</v>
      </c>
      <c r="U369" s="14" t="n">
        <f aca="false">CHOOSE(Operations!$F$47,1,Inputs!$F$176/100,Inputs!$F$177/100,Operations!$F$42/100)</f>
        <v>1</v>
      </c>
      <c r="V369" s="14" t="n">
        <f aca="false">CHOOSE(Operations!$F$47,1,Inputs!$F$176/100,Inputs!$F$177/100,Operations!$F$42/100)</f>
        <v>1</v>
      </c>
      <c r="W369" s="14" t="n">
        <f aca="false">CHOOSE(Operations!$F$47,1,Inputs!$F$176/100,Inputs!$F$177/100,Operations!$F$42/100)</f>
        <v>1</v>
      </c>
      <c r="X369" s="14" t="n">
        <f aca="false">CHOOSE(Operations!$F$47,1,Inputs!$F$176/100,Inputs!$F$177/100,Operations!$F$42/100)</f>
        <v>1</v>
      </c>
      <c r="Y369" s="14" t="n">
        <f aca="false">CHOOSE(Operations!$F$47,1,Inputs!$F$176/100,Inputs!$F$177/100,Operations!$F$42/100)</f>
        <v>1</v>
      </c>
      <c r="Z369" s="14" t="n">
        <f aca="false">CHOOSE(Operations!$F$47,1,Inputs!$F$176/100,Inputs!$F$177/100,Operations!$F$42/100)</f>
        <v>1</v>
      </c>
      <c r="AA369" s="14" t="n">
        <f aca="false">CHOOSE(Operations!$F$47,1,Inputs!$F$176/100,Inputs!$F$177/100,Operations!$F$42/100)</f>
        <v>1</v>
      </c>
      <c r="AB369" s="14" t="n">
        <f aca="false">CHOOSE(Operations!$F$47,1,Inputs!$F$176/100,Inputs!$F$177/100,Operations!$F$42/100)</f>
        <v>1</v>
      </c>
      <c r="AC369" s="14" t="n">
        <f aca="false">CHOOSE(Operations!$F$47,1,Inputs!$F$176/100,Inputs!$F$177/100,Operations!$F$42/100)</f>
        <v>1</v>
      </c>
      <c r="AD369" s="14" t="n">
        <f aca="false">CHOOSE(Operations!$F$47,1,Inputs!$F$176/100,Inputs!$F$177/100,Operations!$F$42/100)</f>
        <v>1</v>
      </c>
      <c r="AE369" s="14" t="n">
        <f aca="false">CHOOSE(Operations!$F$47,1,Inputs!$F$176/100,Inputs!$F$177/100,Operations!$F$42/100)</f>
        <v>1</v>
      </c>
      <c r="AF369" s="14" t="n">
        <f aca="false">CHOOSE(Operations!$F$47,1,Inputs!$F$176/100,Inputs!$F$177/100,Operations!$F$42/100)</f>
        <v>1</v>
      </c>
      <c r="AG369" s="14" t="n">
        <f aca="false">CHOOSE(Operations!$F$47,1,Inputs!$F$176/100,Inputs!$F$177/100,Operations!$F$42/100)</f>
        <v>1</v>
      </c>
      <c r="AH369" s="14" t="n">
        <f aca="false">CHOOSE(Operations!$F$47,1,Inputs!$F$176/100,Inputs!$F$177/100,Operations!$F$42/100)</f>
        <v>1</v>
      </c>
      <c r="AI369" s="14" t="n">
        <f aca="false">CHOOSE(Operations!$F$47,1,Inputs!$F$176/100,Inputs!$F$177/100,Operations!$F$42/100)</f>
        <v>1</v>
      </c>
      <c r="AJ369" s="14" t="n">
        <f aca="false">CHOOSE(Operations!$F$47,1,Inputs!$F$176/100,Inputs!$F$177/100,Operations!$F$42/100)</f>
        <v>1</v>
      </c>
      <c r="AK369" s="14" t="n">
        <f aca="false">CHOOSE(Operations!$F$47,1,Inputs!$F$176/100,Inputs!$F$177/100,Operations!$F$42/100)</f>
        <v>1</v>
      </c>
      <c r="AL369" s="14" t="n">
        <f aca="false">CHOOSE(Operations!$F$47,1,Inputs!$F$176/100,Inputs!$F$177/100,Operations!$F$42/100)</f>
        <v>1</v>
      </c>
      <c r="AM369" s="14" t="n">
        <f aca="false">CHOOSE(Operations!$F$47,1,Inputs!$F$176/100,Inputs!$F$177/100,Operations!$F$42/100)</f>
        <v>1</v>
      </c>
      <c r="AN369" s="14" t="n">
        <f aca="false">CHOOSE(Operations!$F$47,1,Inputs!$F$176/100,Inputs!$F$177/100,Operations!$F$42/100)</f>
        <v>1</v>
      </c>
      <c r="AO369" s="14" t="n">
        <f aca="false">CHOOSE(Operations!$F$47,1,Inputs!$F$176/100,Inputs!$F$177/100,Operations!$F$42/100)</f>
        <v>1</v>
      </c>
      <c r="AP369" s="14" t="n">
        <f aca="false">CHOOSE(Operations!$F$47,1,Inputs!$F$176/100,Inputs!$F$177/100,Operations!$F$42/100)</f>
        <v>1</v>
      </c>
      <c r="AQ369" s="14" t="n">
        <f aca="false">CHOOSE(Operations!$F$47,1,Inputs!$F$176/100,Inputs!$F$177/100,Operations!$F$42/100)</f>
        <v>1</v>
      </c>
      <c r="AR369" s="14" t="n">
        <f aca="false">CHOOSE(Operations!$F$47,1,Inputs!$F$176/100,Inputs!$F$177/100,Operations!$F$42/100)</f>
        <v>1</v>
      </c>
      <c r="AS369" s="14" t="n">
        <f aca="false">CHOOSE(Operations!$F$47,1,Inputs!$F$176/100,Inputs!$F$177/100,Operations!$F$42/100)</f>
        <v>1</v>
      </c>
      <c r="AT369" s="14" t="n">
        <f aca="false">CHOOSE(Operations!$F$47,1,Inputs!$F$176/100,Inputs!$F$177/100,Operations!$F$42/100)</f>
        <v>1</v>
      </c>
      <c r="AU369" s="14" t="n">
        <f aca="false">CHOOSE(Operations!$F$47,1,Inputs!$F$176/100,Inputs!$F$177/100,Operations!$F$42/100)</f>
        <v>1</v>
      </c>
    </row>
    <row r="370" customFormat="false" ht="15" hidden="false" customHeight="false" outlineLevel="0" collapsed="false">
      <c r="D370" s="0" t="s">
        <v>764</v>
      </c>
      <c r="E370" s="0" t="s">
        <v>27</v>
      </c>
      <c r="J370" s="14" t="n">
        <f aca="false">(1-Inputs!$F$178/100)^MAX(0,Time!J$4-Inputs!$F$179)</f>
        <v>1</v>
      </c>
      <c r="K370" s="14" t="n">
        <f aca="false">(1-Inputs!$F$178/100)^MAX(0,Time!K$4-Inputs!$F$179)</f>
        <v>1</v>
      </c>
      <c r="L370" s="14" t="n">
        <f aca="false">(1-Inputs!$F$178/100)^MAX(0,Time!L$4-Inputs!$F$179)</f>
        <v>1</v>
      </c>
      <c r="M370" s="14" t="n">
        <f aca="false">(1-Inputs!$F$178/100)^MAX(0,Time!M$4-Inputs!$F$179)</f>
        <v>1</v>
      </c>
      <c r="N370" s="14" t="n">
        <f aca="false">(1-Inputs!$F$178/100)^MAX(0,Time!N$4-Inputs!$F$179)</f>
        <v>0.996</v>
      </c>
      <c r="O370" s="14" t="n">
        <f aca="false">(1-Inputs!$F$178/100)^MAX(0,Time!O$4-Inputs!$F$179)</f>
        <v>0.992016</v>
      </c>
      <c r="P370" s="14" t="n">
        <f aca="false">(1-Inputs!$F$178/100)^MAX(0,Time!P$4-Inputs!$F$179)</f>
        <v>0.988047936</v>
      </c>
      <c r="Q370" s="14" t="n">
        <f aca="false">(1-Inputs!$F$178/100)^MAX(0,Time!Q$4-Inputs!$F$179)</f>
        <v>0.984095744256</v>
      </c>
      <c r="R370" s="14" t="n">
        <f aca="false">(1-Inputs!$F$178/100)^MAX(0,Time!R$4-Inputs!$F$179)</f>
        <v>0.980159361278976</v>
      </c>
      <c r="S370" s="14" t="n">
        <f aca="false">(1-Inputs!$F$178/100)^MAX(0,Time!S$4-Inputs!$F$179)</f>
        <v>0.97623872383386</v>
      </c>
      <c r="T370" s="14" t="n">
        <f aca="false">(1-Inputs!$F$178/100)^MAX(0,Time!T$4-Inputs!$F$179)</f>
        <v>0.972333768938525</v>
      </c>
      <c r="U370" s="14" t="n">
        <f aca="false">(1-Inputs!$F$178/100)^MAX(0,Time!U$4-Inputs!$F$179)</f>
        <v>0.968444433862771</v>
      </c>
      <c r="V370" s="14" t="n">
        <f aca="false">(1-Inputs!$F$178/100)^MAX(0,Time!V$4-Inputs!$F$179)</f>
        <v>0.964570656127319</v>
      </c>
      <c r="W370" s="14" t="n">
        <f aca="false">(1-Inputs!$F$178/100)^MAX(0,Time!W$4-Inputs!$F$179)</f>
        <v>0.96071237350281</v>
      </c>
      <c r="X370" s="14" t="n">
        <f aca="false">(1-Inputs!$F$178/100)^MAX(0,Time!X$4-Inputs!$F$179)</f>
        <v>0.956869524008799</v>
      </c>
      <c r="Y370" s="14" t="n">
        <f aca="false">(1-Inputs!$F$178/100)^MAX(0,Time!Y$4-Inputs!$F$179)</f>
        <v>0.953042045912764</v>
      </c>
      <c r="Z370" s="14" t="n">
        <f aca="false">(1-Inputs!$F$178/100)^MAX(0,Time!Z$4-Inputs!$F$179)</f>
        <v>0.949229877729113</v>
      </c>
      <c r="AA370" s="14" t="n">
        <f aca="false">(1-Inputs!$F$178/100)^MAX(0,Time!AA$4-Inputs!$F$179)</f>
        <v>0.945432958218196</v>
      </c>
      <c r="AB370" s="14" t="n">
        <f aca="false">(1-Inputs!$F$178/100)^MAX(0,Time!AB$4-Inputs!$F$179)</f>
        <v>0.941651226385323</v>
      </c>
      <c r="AC370" s="14" t="n">
        <f aca="false">(1-Inputs!$F$178/100)^MAX(0,Time!AC$4-Inputs!$F$179)</f>
        <v>0.937884621479782</v>
      </c>
      <c r="AD370" s="14" t="n">
        <f aca="false">(1-Inputs!$F$178/100)^MAX(0,Time!AD$4-Inputs!$F$179)</f>
        <v>0.934133082993863</v>
      </c>
      <c r="AE370" s="14" t="n">
        <f aca="false">(1-Inputs!$F$178/100)^MAX(0,Time!AE$4-Inputs!$F$179)</f>
        <v>0.930396550661888</v>
      </c>
      <c r="AF370" s="14" t="n">
        <f aca="false">(1-Inputs!$F$178/100)^MAX(0,Time!AF$4-Inputs!$F$179)</f>
        <v>0.92667496445924</v>
      </c>
      <c r="AG370" s="14" t="n">
        <f aca="false">(1-Inputs!$F$178/100)^MAX(0,Time!AG$4-Inputs!$F$179)</f>
        <v>0.922968264601403</v>
      </c>
      <c r="AH370" s="14" t="n">
        <f aca="false">(1-Inputs!$F$178/100)^MAX(0,Time!AH$4-Inputs!$F$179)</f>
        <v>0.919276391542998</v>
      </c>
      <c r="AI370" s="14" t="n">
        <f aca="false">(1-Inputs!$F$178/100)^MAX(0,Time!AI$4-Inputs!$F$179)</f>
        <v>0.915599285976825</v>
      </c>
      <c r="AJ370" s="14" t="n">
        <f aca="false">(1-Inputs!$F$178/100)^MAX(0,Time!AJ$4-Inputs!$F$179)</f>
        <v>0.911936888832918</v>
      </c>
      <c r="AK370" s="14" t="n">
        <f aca="false">(1-Inputs!$F$178/100)^MAX(0,Time!AK$4-Inputs!$F$179)</f>
        <v>0.908289141277586</v>
      </c>
      <c r="AL370" s="14" t="n">
        <f aca="false">(1-Inputs!$F$178/100)^MAX(0,Time!AL$4-Inputs!$F$179)</f>
        <v>0.904655984712476</v>
      </c>
      <c r="AM370" s="14" t="n">
        <f aca="false">(1-Inputs!$F$178/100)^MAX(0,Time!AM$4-Inputs!$F$179)</f>
        <v>0.901037360773626</v>
      </c>
      <c r="AN370" s="14" t="n">
        <f aca="false">(1-Inputs!$F$178/100)^MAX(0,Time!AN$4-Inputs!$F$179)</f>
        <v>0.897433211330532</v>
      </c>
      <c r="AO370" s="14" t="n">
        <f aca="false">(1-Inputs!$F$178/100)^MAX(0,Time!AO$4-Inputs!$F$179)</f>
        <v>0.89384347848521</v>
      </c>
      <c r="AP370" s="14" t="n">
        <f aca="false">(1-Inputs!$F$178/100)^MAX(0,Time!AP$4-Inputs!$F$179)</f>
        <v>0.890268104571269</v>
      </c>
      <c r="AQ370" s="14" t="n">
        <f aca="false">(1-Inputs!$F$178/100)^MAX(0,Time!AQ$4-Inputs!$F$179)</f>
        <v>0.886707032152984</v>
      </c>
      <c r="AR370" s="14" t="n">
        <f aca="false">(1-Inputs!$F$178/100)^MAX(0,Time!AR$4-Inputs!$F$179)</f>
        <v>0.883160204024372</v>
      </c>
      <c r="AS370" s="14" t="n">
        <f aca="false">(1-Inputs!$F$178/100)^MAX(0,Time!AS$4-Inputs!$F$179)</f>
        <v>0.879627563208274</v>
      </c>
      <c r="AT370" s="14" t="n">
        <f aca="false">(1-Inputs!$F$178/100)^MAX(0,Time!AT$4-Inputs!$F$179)</f>
        <v>0.876109052955441</v>
      </c>
      <c r="AU370" s="14" t="n">
        <f aca="false">(1-Inputs!$F$178/100)^MAX(0,Time!AU$4-Inputs!$F$179)</f>
        <v>0.872604616743619</v>
      </c>
    </row>
    <row r="371" customFormat="false" ht="15" hidden="false" customHeight="false" outlineLevel="0" collapsed="false">
      <c r="D371" s="0" t="s">
        <v>765</v>
      </c>
      <c r="E371" s="0" t="s">
        <v>458</v>
      </c>
      <c r="J371" s="14" t="n">
        <f aca="false">(IF(Time!J$4&gt;=Inputs!$F$61,Inputs!$F$69,Inputs!$F$68+(Inputs!$F$69-Inputs!$F$68)*(Time!J$4-Inputs!$F$23)/(Inputs!$F$61-Inputs!$F$23))+Operations!$F$49)/100</f>
        <v>0.018</v>
      </c>
      <c r="K371" s="14" t="n">
        <f aca="false">(IF(Time!K$4&gt;=Inputs!$F$61,Inputs!$F$69,Inputs!$F$68+(Inputs!$F$69-Inputs!$F$68)*(Time!K$4-Inputs!$F$23)/(Inputs!$F$61-Inputs!$F$23))+Operations!$F$49)/100</f>
        <v>0.018</v>
      </c>
      <c r="L371" s="14" t="n">
        <f aca="false">(IF(Time!L$4&gt;=Inputs!$F$61,Inputs!$F$69,Inputs!$F$68+(Inputs!$F$69-Inputs!$F$68)*(Time!L$4-Inputs!$F$23)/(Inputs!$F$61-Inputs!$F$23))+Operations!$F$49)/100</f>
        <v>0.018</v>
      </c>
      <c r="M371" s="14" t="n">
        <f aca="false">(IF(Time!M$4&gt;=Inputs!$F$61,Inputs!$F$69,Inputs!$F$68+(Inputs!$F$69-Inputs!$F$68)*(Time!M$4-Inputs!$F$23)/(Inputs!$F$61-Inputs!$F$23))+Operations!$F$49)/100</f>
        <v>0.018</v>
      </c>
      <c r="N371" s="14" t="n">
        <f aca="false">(IF(Time!N$4&gt;=Inputs!$F$61,Inputs!$F$69,Inputs!$F$68+(Inputs!$F$69-Inputs!$F$68)*(Time!N$4-Inputs!$F$23)/(Inputs!$F$61-Inputs!$F$23))+Operations!$F$49)/100</f>
        <v>0.018</v>
      </c>
      <c r="O371" s="14" t="n">
        <f aca="false">(IF(Time!O$4&gt;=Inputs!$F$61,Inputs!$F$69,Inputs!$F$68+(Inputs!$F$69-Inputs!$F$68)*(Time!O$4-Inputs!$F$23)/(Inputs!$F$61-Inputs!$F$23))+Operations!$F$49)/100</f>
        <v>0.018</v>
      </c>
      <c r="P371" s="14" t="n">
        <f aca="false">(IF(Time!P$4&gt;=Inputs!$F$61,Inputs!$F$69,Inputs!$F$68+(Inputs!$F$69-Inputs!$F$68)*(Time!P$4-Inputs!$F$23)/(Inputs!$F$61-Inputs!$F$23))+Operations!$F$49)/100</f>
        <v>0.018</v>
      </c>
      <c r="Q371" s="14" t="n">
        <f aca="false">(IF(Time!Q$4&gt;=Inputs!$F$61,Inputs!$F$69,Inputs!$F$68+(Inputs!$F$69-Inputs!$F$68)*(Time!Q$4-Inputs!$F$23)/(Inputs!$F$61-Inputs!$F$23))+Operations!$F$49)/100</f>
        <v>0.018</v>
      </c>
      <c r="R371" s="14" t="n">
        <f aca="false">(IF(Time!R$4&gt;=Inputs!$F$61,Inputs!$F$69,Inputs!$F$68+(Inputs!$F$69-Inputs!$F$68)*(Time!R$4-Inputs!$F$23)/(Inputs!$F$61-Inputs!$F$23))+Operations!$F$49)/100</f>
        <v>0.018</v>
      </c>
      <c r="S371" s="14" t="n">
        <f aca="false">(IF(Time!S$4&gt;=Inputs!$F$61,Inputs!$F$69,Inputs!$F$68+(Inputs!$F$69-Inputs!$F$68)*(Time!S$4-Inputs!$F$23)/(Inputs!$F$61-Inputs!$F$23))+Operations!$F$49)/100</f>
        <v>0.018</v>
      </c>
      <c r="T371" s="14" t="n">
        <f aca="false">(IF(Time!T$4&gt;=Inputs!$F$61,Inputs!$F$69,Inputs!$F$68+(Inputs!$F$69-Inputs!$F$68)*(Time!T$4-Inputs!$F$23)/(Inputs!$F$61-Inputs!$F$23))+Operations!$F$49)/100</f>
        <v>0.018</v>
      </c>
      <c r="U371" s="14" t="n">
        <f aca="false">(IF(Time!U$4&gt;=Inputs!$F$61,Inputs!$F$69,Inputs!$F$68+(Inputs!$F$69-Inputs!$F$68)*(Time!U$4-Inputs!$F$23)/(Inputs!$F$61-Inputs!$F$23))+Operations!$F$49)/100</f>
        <v>0.018</v>
      </c>
      <c r="V371" s="14" t="n">
        <f aca="false">(IF(Time!V$4&gt;=Inputs!$F$61,Inputs!$F$69,Inputs!$F$68+(Inputs!$F$69-Inputs!$F$68)*(Time!V$4-Inputs!$F$23)/(Inputs!$F$61-Inputs!$F$23))+Operations!$F$49)/100</f>
        <v>0.018</v>
      </c>
      <c r="W371" s="14" t="n">
        <f aca="false">(IF(Time!W$4&gt;=Inputs!$F$61,Inputs!$F$69,Inputs!$F$68+(Inputs!$F$69-Inputs!$F$68)*(Time!W$4-Inputs!$F$23)/(Inputs!$F$61-Inputs!$F$23))+Operations!$F$49)/100</f>
        <v>0.018</v>
      </c>
      <c r="X371" s="14" t="n">
        <f aca="false">(IF(Time!X$4&gt;=Inputs!$F$61,Inputs!$F$69,Inputs!$F$68+(Inputs!$F$69-Inputs!$F$68)*(Time!X$4-Inputs!$F$23)/(Inputs!$F$61-Inputs!$F$23))+Operations!$F$49)/100</f>
        <v>0.018</v>
      </c>
      <c r="Y371" s="14" t="n">
        <f aca="false">(IF(Time!Y$4&gt;=Inputs!$F$61,Inputs!$F$69,Inputs!$F$68+(Inputs!$F$69-Inputs!$F$68)*(Time!Y$4-Inputs!$F$23)/(Inputs!$F$61-Inputs!$F$23))+Operations!$F$49)/100</f>
        <v>0.018</v>
      </c>
      <c r="Z371" s="14" t="n">
        <f aca="false">(IF(Time!Z$4&gt;=Inputs!$F$61,Inputs!$F$69,Inputs!$F$68+(Inputs!$F$69-Inputs!$F$68)*(Time!Z$4-Inputs!$F$23)/(Inputs!$F$61-Inputs!$F$23))+Operations!$F$49)/100</f>
        <v>0.018</v>
      </c>
      <c r="AA371" s="14" t="n">
        <f aca="false">(IF(Time!AA$4&gt;=Inputs!$F$61,Inputs!$F$69,Inputs!$F$68+(Inputs!$F$69-Inputs!$F$68)*(Time!AA$4-Inputs!$F$23)/(Inputs!$F$61-Inputs!$F$23))+Operations!$F$49)/100</f>
        <v>0.018</v>
      </c>
      <c r="AB371" s="14" t="n">
        <f aca="false">(IF(Time!AB$4&gt;=Inputs!$F$61,Inputs!$F$69,Inputs!$F$68+(Inputs!$F$69-Inputs!$F$68)*(Time!AB$4-Inputs!$F$23)/(Inputs!$F$61-Inputs!$F$23))+Operations!$F$49)/100</f>
        <v>0.018</v>
      </c>
      <c r="AC371" s="14" t="n">
        <f aca="false">(IF(Time!AC$4&gt;=Inputs!$F$61,Inputs!$F$69,Inputs!$F$68+(Inputs!$F$69-Inputs!$F$68)*(Time!AC$4-Inputs!$F$23)/(Inputs!$F$61-Inputs!$F$23))+Operations!$F$49)/100</f>
        <v>0.018</v>
      </c>
      <c r="AD371" s="14" t="n">
        <f aca="false">(IF(Time!AD$4&gt;=Inputs!$F$61,Inputs!$F$69,Inputs!$F$68+(Inputs!$F$69-Inputs!$F$68)*(Time!AD$4-Inputs!$F$23)/(Inputs!$F$61-Inputs!$F$23))+Operations!$F$49)/100</f>
        <v>0.018</v>
      </c>
      <c r="AE371" s="14" t="n">
        <f aca="false">(IF(Time!AE$4&gt;=Inputs!$F$61,Inputs!$F$69,Inputs!$F$68+(Inputs!$F$69-Inputs!$F$68)*(Time!AE$4-Inputs!$F$23)/(Inputs!$F$61-Inputs!$F$23))+Operations!$F$49)/100</f>
        <v>0.018</v>
      </c>
      <c r="AF371" s="14" t="n">
        <f aca="false">(IF(Time!AF$4&gt;=Inputs!$F$61,Inputs!$F$69,Inputs!$F$68+(Inputs!$F$69-Inputs!$F$68)*(Time!AF$4-Inputs!$F$23)/(Inputs!$F$61-Inputs!$F$23))+Operations!$F$49)/100</f>
        <v>0.018</v>
      </c>
      <c r="AG371" s="14" t="n">
        <f aca="false">(IF(Time!AG$4&gt;=Inputs!$F$61,Inputs!$F$69,Inputs!$F$68+(Inputs!$F$69-Inputs!$F$68)*(Time!AG$4-Inputs!$F$23)/(Inputs!$F$61-Inputs!$F$23))+Operations!$F$49)/100</f>
        <v>0.018</v>
      </c>
      <c r="AH371" s="14" t="n">
        <f aca="false">(IF(Time!AH$4&gt;=Inputs!$F$61,Inputs!$F$69,Inputs!$F$68+(Inputs!$F$69-Inputs!$F$68)*(Time!AH$4-Inputs!$F$23)/(Inputs!$F$61-Inputs!$F$23))+Operations!$F$49)/100</f>
        <v>0.018</v>
      </c>
      <c r="AI371" s="14" t="n">
        <f aca="false">(IF(Time!AI$4&gt;=Inputs!$F$61,Inputs!$F$69,Inputs!$F$68+(Inputs!$F$69-Inputs!$F$68)*(Time!AI$4-Inputs!$F$23)/(Inputs!$F$61-Inputs!$F$23))+Operations!$F$49)/100</f>
        <v>0.018</v>
      </c>
      <c r="AJ371" s="14" t="n">
        <f aca="false">(IF(Time!AJ$4&gt;=Inputs!$F$61,Inputs!$F$69,Inputs!$F$68+(Inputs!$F$69-Inputs!$F$68)*(Time!AJ$4-Inputs!$F$23)/(Inputs!$F$61-Inputs!$F$23))+Operations!$F$49)/100</f>
        <v>0.018</v>
      </c>
      <c r="AK371" s="14" t="n">
        <f aca="false">(IF(Time!AK$4&gt;=Inputs!$F$61,Inputs!$F$69,Inputs!$F$68+(Inputs!$F$69-Inputs!$F$68)*(Time!AK$4-Inputs!$F$23)/(Inputs!$F$61-Inputs!$F$23))+Operations!$F$49)/100</f>
        <v>0.018</v>
      </c>
      <c r="AL371" s="14" t="n">
        <f aca="false">(IF(Time!AL$4&gt;=Inputs!$F$61,Inputs!$F$69,Inputs!$F$68+(Inputs!$F$69-Inputs!$F$68)*(Time!AL$4-Inputs!$F$23)/(Inputs!$F$61-Inputs!$F$23))+Operations!$F$49)/100</f>
        <v>0.018</v>
      </c>
      <c r="AM371" s="14" t="n">
        <f aca="false">(IF(Time!AM$4&gt;=Inputs!$F$61,Inputs!$F$69,Inputs!$F$68+(Inputs!$F$69-Inputs!$F$68)*(Time!AM$4-Inputs!$F$23)/(Inputs!$F$61-Inputs!$F$23))+Operations!$F$49)/100</f>
        <v>0.018</v>
      </c>
      <c r="AN371" s="14" t="n">
        <f aca="false">(IF(Time!AN$4&gt;=Inputs!$F$61,Inputs!$F$69,Inputs!$F$68+(Inputs!$F$69-Inputs!$F$68)*(Time!AN$4-Inputs!$F$23)/(Inputs!$F$61-Inputs!$F$23))+Operations!$F$49)/100</f>
        <v>0.018</v>
      </c>
      <c r="AO371" s="14" t="n">
        <f aca="false">(IF(Time!AO$4&gt;=Inputs!$F$61,Inputs!$F$69,Inputs!$F$68+(Inputs!$F$69-Inputs!$F$68)*(Time!AO$4-Inputs!$F$23)/(Inputs!$F$61-Inputs!$F$23))+Operations!$F$49)/100</f>
        <v>0.018</v>
      </c>
      <c r="AP371" s="14" t="n">
        <f aca="false">(IF(Time!AP$4&gt;=Inputs!$F$61,Inputs!$F$69,Inputs!$F$68+(Inputs!$F$69-Inputs!$F$68)*(Time!AP$4-Inputs!$F$23)/(Inputs!$F$61-Inputs!$F$23))+Operations!$F$49)/100</f>
        <v>0.018</v>
      </c>
      <c r="AQ371" s="14" t="n">
        <f aca="false">(IF(Time!AQ$4&gt;=Inputs!$F$61,Inputs!$F$69,Inputs!$F$68+(Inputs!$F$69-Inputs!$F$68)*(Time!AQ$4-Inputs!$F$23)/(Inputs!$F$61-Inputs!$F$23))+Operations!$F$49)/100</f>
        <v>0.018</v>
      </c>
      <c r="AR371" s="14" t="n">
        <f aca="false">(IF(Time!AR$4&gt;=Inputs!$F$61,Inputs!$F$69,Inputs!$F$68+(Inputs!$F$69-Inputs!$F$68)*(Time!AR$4-Inputs!$F$23)/(Inputs!$F$61-Inputs!$F$23))+Operations!$F$49)/100</f>
        <v>0.018</v>
      </c>
      <c r="AS371" s="14" t="n">
        <f aca="false">(IF(Time!AS$4&gt;=Inputs!$F$61,Inputs!$F$69,Inputs!$F$68+(Inputs!$F$69-Inputs!$F$68)*(Time!AS$4-Inputs!$F$23)/(Inputs!$F$61-Inputs!$F$23))+Operations!$F$49)/100</f>
        <v>0.018</v>
      </c>
      <c r="AT371" s="14" t="n">
        <f aca="false">(IF(Time!AT$4&gt;=Inputs!$F$61,Inputs!$F$69,Inputs!$F$68+(Inputs!$F$69-Inputs!$F$68)*(Time!AT$4-Inputs!$F$23)/(Inputs!$F$61-Inputs!$F$23))+Operations!$F$49)/100</f>
        <v>0.018</v>
      </c>
      <c r="AU371" s="14" t="n">
        <f aca="false">(IF(Time!AU$4&gt;=Inputs!$F$61,Inputs!$F$69,Inputs!$F$68+(Inputs!$F$69-Inputs!$F$68)*(Time!AU$4-Inputs!$F$23)/(Inputs!$F$61-Inputs!$F$23))+Operations!$F$49)/100</f>
        <v>0.018</v>
      </c>
    </row>
    <row r="372" customFormat="false" ht="15" hidden="false" customHeight="false" outlineLevel="0" collapsed="false">
      <c r="D372" s="0" t="s">
        <v>766</v>
      </c>
      <c r="E372" s="0" t="s">
        <v>466</v>
      </c>
      <c r="J372" s="20" t="n">
        <f aca="false">Inputs!$F$175*Operations!J369*Inputs!$F$192/100*Operations!J370*(1-Operations!J371)</f>
        <v>284.8782</v>
      </c>
      <c r="K372" s="20" t="n">
        <f aca="false">Inputs!$F$175*Operations!K369*Inputs!$F$192/100*Operations!K370*(1-Operations!K371)</f>
        <v>284.8782</v>
      </c>
      <c r="L372" s="20" t="n">
        <f aca="false">Inputs!$F$175*Operations!L369*Inputs!$F$192/100*Operations!L370*(1-Operations!L371)</f>
        <v>284.8782</v>
      </c>
      <c r="M372" s="20" t="n">
        <f aca="false">Inputs!$F$175*Operations!M369*Inputs!$F$192/100*Operations!M370*(1-Operations!M371)</f>
        <v>284.8782</v>
      </c>
      <c r="N372" s="20" t="n">
        <f aca="false">Inputs!$F$175*Operations!N369*Inputs!$F$192/100*Operations!N370*(1-Operations!N371)</f>
        <v>283.7386872</v>
      </c>
      <c r="O372" s="20" t="n">
        <f aca="false">Inputs!$F$175*Operations!O369*Inputs!$F$192/100*Operations!O370*(1-Operations!O371)</f>
        <v>282.6037324512</v>
      </c>
      <c r="P372" s="20" t="n">
        <f aca="false">Inputs!$F$175*Operations!P369*Inputs!$F$192/100*Operations!P370*(1-Operations!P371)</f>
        <v>281.473317521395</v>
      </c>
      <c r="Q372" s="20" t="n">
        <f aca="false">Inputs!$F$175*Operations!Q369*Inputs!$F$192/100*Operations!Q370*(1-Operations!Q371)</f>
        <v>280.34742425131</v>
      </c>
      <c r="R372" s="20" t="n">
        <f aca="false">Inputs!$F$175*Operations!R369*Inputs!$F$192/100*Operations!R370*(1-Operations!R371)</f>
        <v>279.226034554304</v>
      </c>
      <c r="S372" s="20" t="n">
        <f aca="false">Inputs!$F$175*Operations!S369*Inputs!$F$192/100*Operations!S370*(1-Operations!S371)</f>
        <v>278.109130416087</v>
      </c>
      <c r="T372" s="20" t="n">
        <f aca="false">Inputs!$F$175*Operations!T369*Inputs!$F$192/100*Operations!T370*(1-Operations!T371)</f>
        <v>276.996693894423</v>
      </c>
      <c r="U372" s="20" t="n">
        <f aca="false">Inputs!$F$175*Operations!U369*Inputs!$F$192/100*Operations!U370*(1-Operations!U371)</f>
        <v>275.888707118845</v>
      </c>
      <c r="V372" s="20" t="n">
        <f aca="false">Inputs!$F$175*Operations!V369*Inputs!$F$192/100*Operations!V370*(1-Operations!V371)</f>
        <v>274.78515229037</v>
      </c>
      <c r="W372" s="20" t="n">
        <f aca="false">Inputs!$F$175*Operations!W369*Inputs!$F$192/100*Operations!W370*(1-Operations!W371)</f>
        <v>273.686011681208</v>
      </c>
      <c r="X372" s="20" t="n">
        <f aca="false">Inputs!$F$175*Operations!X369*Inputs!$F$192/100*Operations!X370*(1-Operations!X371)</f>
        <v>272.591267634483</v>
      </c>
      <c r="Y372" s="20" t="n">
        <f aca="false">Inputs!$F$175*Operations!Y369*Inputs!$F$192/100*Operations!Y370*(1-Operations!Y371)</f>
        <v>271.500902563946</v>
      </c>
      <c r="Z372" s="20" t="n">
        <f aca="false">Inputs!$F$175*Operations!Z369*Inputs!$F$192/100*Operations!Z370*(1-Operations!Z371)</f>
        <v>270.41489895369</v>
      </c>
      <c r="AA372" s="20" t="n">
        <f aca="false">Inputs!$F$175*Operations!AA369*Inputs!$F$192/100*Operations!AA370*(1-Operations!AA371)</f>
        <v>269.333239357875</v>
      </c>
      <c r="AB372" s="20" t="n">
        <f aca="false">Inputs!$F$175*Operations!AB369*Inputs!$F$192/100*Operations!AB370*(1-Operations!AB371)</f>
        <v>268.255906400443</v>
      </c>
      <c r="AC372" s="20" t="n">
        <f aca="false">Inputs!$F$175*Operations!AC369*Inputs!$F$192/100*Operations!AC370*(1-Operations!AC371)</f>
        <v>267.182882774842</v>
      </c>
      <c r="AD372" s="20" t="n">
        <f aca="false">Inputs!$F$175*Operations!AD369*Inputs!$F$192/100*Operations!AD370*(1-Operations!AD371)</f>
        <v>266.114151243742</v>
      </c>
      <c r="AE372" s="20" t="n">
        <f aca="false">Inputs!$F$175*Operations!AE369*Inputs!$F$192/100*Operations!AE370*(1-Operations!AE371)</f>
        <v>265.049694638767</v>
      </c>
      <c r="AF372" s="20" t="n">
        <f aca="false">Inputs!$F$175*Operations!AF369*Inputs!$F$192/100*Operations!AF370*(1-Operations!AF371)</f>
        <v>263.989495860212</v>
      </c>
      <c r="AG372" s="20" t="n">
        <f aca="false">Inputs!$F$175*Operations!AG369*Inputs!$F$192/100*Operations!AG370*(1-Operations!AG371)</f>
        <v>262.933537876771</v>
      </c>
      <c r="AH372" s="20" t="n">
        <f aca="false">Inputs!$F$175*Operations!AH369*Inputs!$F$192/100*Operations!AH370*(1-Operations!AH371)</f>
        <v>261.881803725264</v>
      </c>
      <c r="AI372" s="20" t="n">
        <f aca="false">Inputs!$F$175*Operations!AI369*Inputs!$F$192/100*Operations!AI370*(1-Operations!AI371)</f>
        <v>260.834276510363</v>
      </c>
      <c r="AJ372" s="20" t="n">
        <f aca="false">Inputs!$F$175*Operations!AJ369*Inputs!$F$192/100*Operations!AJ370*(1-Operations!AJ371)</f>
        <v>259.790939404322</v>
      </c>
      <c r="AK372" s="20" t="n">
        <f aca="false">Inputs!$F$175*Operations!AK369*Inputs!$F$192/100*Operations!AK370*(1-Operations!AK371)</f>
        <v>258.751775646705</v>
      </c>
      <c r="AL372" s="20" t="n">
        <f aca="false">Inputs!$F$175*Operations!AL369*Inputs!$F$192/100*Operations!AL370*(1-Operations!AL371)</f>
        <v>257.716768544118</v>
      </c>
      <c r="AM372" s="20" t="n">
        <f aca="false">Inputs!$F$175*Operations!AM369*Inputs!$F$192/100*Operations!AM370*(1-Operations!AM371)</f>
        <v>256.685901469941</v>
      </c>
      <c r="AN372" s="20" t="n">
        <f aca="false">Inputs!$F$175*Operations!AN369*Inputs!$F$192/100*Operations!AN370*(1-Operations!AN371)</f>
        <v>255.659157864061</v>
      </c>
      <c r="AO372" s="20" t="n">
        <f aca="false">Inputs!$F$175*Operations!AO369*Inputs!$F$192/100*Operations!AO370*(1-Operations!AO371)</f>
        <v>254.636521232605</v>
      </c>
      <c r="AP372" s="20" t="n">
        <f aca="false">Inputs!$F$175*Operations!AP369*Inputs!$F$192/100*Operations!AP370*(1-Operations!AP371)</f>
        <v>253.617975147675</v>
      </c>
      <c r="AQ372" s="20" t="n">
        <f aca="false">Inputs!$F$175*Operations!AQ369*Inputs!$F$192/100*Operations!AQ370*(1-Operations!AQ371)</f>
        <v>252.603503247084</v>
      </c>
      <c r="AR372" s="20" t="n">
        <f aca="false">Inputs!$F$175*Operations!AR369*Inputs!$F$192/100*Operations!AR370*(1-Operations!AR371)</f>
        <v>251.593089234096</v>
      </c>
      <c r="AS372" s="20" t="n">
        <f aca="false">Inputs!$F$175*Operations!AS369*Inputs!$F$192/100*Operations!AS370*(1-Operations!AS371)</f>
        <v>250.586716877159</v>
      </c>
      <c r="AT372" s="20" t="n">
        <f aca="false">Inputs!$F$175*Operations!AT369*Inputs!$F$192/100*Operations!AT370*(1-Operations!AT371)</f>
        <v>249.584370009651</v>
      </c>
      <c r="AU372" s="20" t="n">
        <f aca="false">Inputs!$F$175*Operations!AU369*Inputs!$F$192/100*Operations!AU370*(1-Operations!AU371)</f>
        <v>248.586032529612</v>
      </c>
    </row>
    <row r="373" customFormat="false" ht="15" hidden="false" customHeight="false" outlineLevel="0" collapsed="false">
      <c r="D373" s="0" t="s">
        <v>767</v>
      </c>
      <c r="E373" s="0" t="s">
        <v>466</v>
      </c>
      <c r="G373" s="20" t="n">
        <f aca="false">SUM(J373:AU373)</f>
        <v>9330.96816897903</v>
      </c>
      <c r="J373" s="20" t="n">
        <f aca="false">Operations!J372*Operations!J365</f>
        <v>0</v>
      </c>
      <c r="K373" s="20" t="n">
        <f aca="false">Operations!K372*Operations!K365</f>
        <v>0</v>
      </c>
      <c r="L373" s="20" t="n">
        <f aca="false">Operations!L372*Operations!L365</f>
        <v>9.34026885245902</v>
      </c>
      <c r="M373" s="20" t="n">
        <f aca="false">Operations!M372*Operations!M365</f>
        <v>284.8782</v>
      </c>
      <c r="N373" s="20" t="n">
        <f aca="false">Operations!N372*Operations!N365</f>
        <v>283.7386872</v>
      </c>
      <c r="O373" s="20" t="n">
        <f aca="false">Operations!O372*Operations!O365</f>
        <v>282.6037324512</v>
      </c>
      <c r="P373" s="20" t="n">
        <f aca="false">Operations!P372*Operations!P365</f>
        <v>281.473317521395</v>
      </c>
      <c r="Q373" s="20" t="n">
        <f aca="false">Operations!Q372*Operations!Q365</f>
        <v>280.34742425131</v>
      </c>
      <c r="R373" s="20" t="n">
        <f aca="false">Operations!R372*Operations!R365</f>
        <v>279.226034554304</v>
      </c>
      <c r="S373" s="20" t="n">
        <f aca="false">Operations!S372*Operations!S365</f>
        <v>278.109130416087</v>
      </c>
      <c r="T373" s="20" t="n">
        <f aca="false">Operations!T372*Operations!T365</f>
        <v>276.996693894423</v>
      </c>
      <c r="U373" s="20" t="n">
        <f aca="false">Operations!U372*Operations!U365</f>
        <v>275.888707118845</v>
      </c>
      <c r="V373" s="20" t="n">
        <f aca="false">Operations!V372*Operations!V365</f>
        <v>274.78515229037</v>
      </c>
      <c r="W373" s="20" t="n">
        <f aca="false">Operations!W372*Operations!W365</f>
        <v>273.686011681208</v>
      </c>
      <c r="X373" s="20" t="n">
        <f aca="false">Operations!X372*Operations!X365</f>
        <v>272.591267634483</v>
      </c>
      <c r="Y373" s="20" t="n">
        <f aca="false">Operations!Y372*Operations!Y365</f>
        <v>271.500902563946</v>
      </c>
      <c r="Z373" s="20" t="n">
        <f aca="false">Operations!Z372*Operations!Z365</f>
        <v>270.41489895369</v>
      </c>
      <c r="AA373" s="20" t="n">
        <f aca="false">Operations!AA372*Operations!AA365</f>
        <v>269.333239357875</v>
      </c>
      <c r="AB373" s="20" t="n">
        <f aca="false">Operations!AB372*Operations!AB365</f>
        <v>268.255906400443</v>
      </c>
      <c r="AC373" s="20" t="n">
        <f aca="false">Operations!AC372*Operations!AC365</f>
        <v>267.182882774842</v>
      </c>
      <c r="AD373" s="20" t="n">
        <f aca="false">Operations!AD372*Operations!AD365</f>
        <v>266.114151243742</v>
      </c>
      <c r="AE373" s="20" t="n">
        <f aca="false">Operations!AE372*Operations!AE365</f>
        <v>265.049694638767</v>
      </c>
      <c r="AF373" s="20" t="n">
        <f aca="false">Operations!AF372*Operations!AF365</f>
        <v>263.989495860212</v>
      </c>
      <c r="AG373" s="20" t="n">
        <f aca="false">Operations!AG372*Operations!AG365</f>
        <v>262.933537876771</v>
      </c>
      <c r="AH373" s="20" t="n">
        <f aca="false">Operations!AH372*Operations!AH365</f>
        <v>261.881803725264</v>
      </c>
      <c r="AI373" s="20" t="n">
        <f aca="false">Operations!AI372*Operations!AI365</f>
        <v>260.834276510363</v>
      </c>
      <c r="AJ373" s="20" t="n">
        <f aca="false">Operations!AJ372*Operations!AJ365</f>
        <v>259.790939404322</v>
      </c>
      <c r="AK373" s="20" t="n">
        <f aca="false">Operations!AK372*Operations!AK365</f>
        <v>258.751775646705</v>
      </c>
      <c r="AL373" s="20" t="n">
        <f aca="false">Operations!AL372*Operations!AL365</f>
        <v>257.716768544118</v>
      </c>
      <c r="AM373" s="20" t="n">
        <f aca="false">Operations!AM372*Operations!AM365</f>
        <v>256.685901469941</v>
      </c>
      <c r="AN373" s="20" t="n">
        <f aca="false">Operations!AN372*Operations!AN365</f>
        <v>255.659157864061</v>
      </c>
      <c r="AO373" s="20" t="n">
        <f aca="false">Operations!AO372*Operations!AO365</f>
        <v>254.636521232605</v>
      </c>
      <c r="AP373" s="20" t="n">
        <f aca="false">Operations!AP372*Operations!AP365</f>
        <v>253.617975147675</v>
      </c>
      <c r="AQ373" s="20" t="n">
        <f aca="false">Operations!AQ372*Operations!AQ365</f>
        <v>252.603503247084</v>
      </c>
      <c r="AR373" s="20" t="n">
        <f aca="false">Operations!AR372*Operations!AR365</f>
        <v>251.593089234096</v>
      </c>
      <c r="AS373" s="20" t="n">
        <f aca="false">Operations!AS372*Operations!AS365</f>
        <v>250.586716877159</v>
      </c>
      <c r="AT373" s="20" t="n">
        <f aca="false">Operations!AT372*Operations!AT365</f>
        <v>249.584370009651</v>
      </c>
      <c r="AU373" s="20" t="n">
        <f aca="false">Operations!AU372*Operations!AU365</f>
        <v>248.586032529612</v>
      </c>
    </row>
    <row r="374" customFormat="false" ht="15" hidden="false" customHeight="false" outlineLevel="0" collapsed="false">
      <c r="D374" s="0" t="s">
        <v>768</v>
      </c>
      <c r="E374" s="0" t="s">
        <v>54</v>
      </c>
      <c r="J374" s="14" t="n">
        <f aca="false">Operations!J60</f>
        <v>0.9</v>
      </c>
      <c r="K374" s="14" t="n">
        <f aca="false">Operations!K60</f>
        <v>0.882</v>
      </c>
      <c r="L374" s="14" t="n">
        <f aca="false">Operations!L60</f>
        <v>0.864</v>
      </c>
      <c r="M374" s="14" t="n">
        <f aca="false">Operations!M60</f>
        <v>0.846</v>
      </c>
      <c r="N374" s="14" t="n">
        <f aca="false">Operations!N60</f>
        <v>0.828</v>
      </c>
      <c r="O374" s="14" t="n">
        <f aca="false">Operations!O60</f>
        <v>0.81</v>
      </c>
      <c r="P374" s="14" t="n">
        <f aca="false">Operations!P60</f>
        <v>0.792</v>
      </c>
      <c r="Q374" s="14" t="n">
        <f aca="false">Operations!Q60</f>
        <v>0.774</v>
      </c>
      <c r="R374" s="14" t="n">
        <f aca="false">Operations!R60</f>
        <v>0.756</v>
      </c>
      <c r="S374" s="14" t="n">
        <f aca="false">Operations!S60</f>
        <v>0.738</v>
      </c>
      <c r="T374" s="14" t="n">
        <f aca="false">Operations!T60</f>
        <v>0.72</v>
      </c>
      <c r="U374" s="14" t="n">
        <f aca="false">Operations!U60</f>
        <v>0.702</v>
      </c>
      <c r="V374" s="14" t="n">
        <f aca="false">Operations!V60</f>
        <v>0.684</v>
      </c>
      <c r="W374" s="14" t="n">
        <f aca="false">Operations!W60</f>
        <v>0.666</v>
      </c>
      <c r="X374" s="14" t="n">
        <f aca="false">Operations!X60</f>
        <v>0.648</v>
      </c>
      <c r="Y374" s="14" t="n">
        <f aca="false">Operations!Y60</f>
        <v>0.64</v>
      </c>
      <c r="Z374" s="14" t="n">
        <f aca="false">Operations!Z60</f>
        <v>0.64</v>
      </c>
      <c r="AA374" s="14" t="n">
        <f aca="false">Operations!AA60</f>
        <v>0.64</v>
      </c>
      <c r="AB374" s="14" t="n">
        <f aca="false">Operations!AB60</f>
        <v>0.64</v>
      </c>
      <c r="AC374" s="14" t="n">
        <f aca="false">Operations!AC60</f>
        <v>0.64</v>
      </c>
      <c r="AD374" s="14" t="n">
        <f aca="false">Operations!AD60</f>
        <v>0.64</v>
      </c>
      <c r="AE374" s="14" t="n">
        <f aca="false">Operations!AE60</f>
        <v>0.64</v>
      </c>
      <c r="AF374" s="14" t="n">
        <f aca="false">Operations!AF60</f>
        <v>0.64</v>
      </c>
      <c r="AG374" s="14" t="n">
        <f aca="false">Operations!AG60</f>
        <v>0.64</v>
      </c>
      <c r="AH374" s="14" t="n">
        <f aca="false">Operations!AH60</f>
        <v>0.64</v>
      </c>
      <c r="AI374" s="14" t="n">
        <f aca="false">Operations!AI60</f>
        <v>0.64</v>
      </c>
      <c r="AJ374" s="14" t="n">
        <f aca="false">Operations!AJ60</f>
        <v>0.64</v>
      </c>
      <c r="AK374" s="14" t="n">
        <f aca="false">Operations!AK60</f>
        <v>0.64</v>
      </c>
      <c r="AL374" s="14" t="n">
        <f aca="false">Operations!AL60</f>
        <v>0.64</v>
      </c>
      <c r="AM374" s="14" t="n">
        <f aca="false">Operations!AM60</f>
        <v>0.64</v>
      </c>
      <c r="AN374" s="14" t="n">
        <f aca="false">Operations!AN60</f>
        <v>0.64</v>
      </c>
      <c r="AO374" s="14" t="n">
        <f aca="false">Operations!AO60</f>
        <v>0.64</v>
      </c>
      <c r="AP374" s="14" t="n">
        <f aca="false">Operations!AP60</f>
        <v>0.64</v>
      </c>
      <c r="AQ374" s="14" t="n">
        <f aca="false">Operations!AQ60</f>
        <v>0.64</v>
      </c>
      <c r="AR374" s="14" t="n">
        <f aca="false">Operations!AR60</f>
        <v>0.64</v>
      </c>
      <c r="AS374" s="14" t="n">
        <f aca="false">Operations!AS60</f>
        <v>0.64</v>
      </c>
      <c r="AT374" s="14" t="n">
        <f aca="false">Operations!AT60</f>
        <v>0.64</v>
      </c>
      <c r="AU374" s="14" t="n">
        <f aca="false">Operations!AU60</f>
        <v>0.64</v>
      </c>
    </row>
    <row r="375" customFormat="false" ht="15" hidden="false" customHeight="false" outlineLevel="0" collapsed="false">
      <c r="D375" s="0" t="s">
        <v>769</v>
      </c>
      <c r="E375" s="0" t="s">
        <v>54</v>
      </c>
      <c r="J375" s="14" t="n">
        <f aca="false">Operations!J374-Inputs!$F$56</f>
        <v>0.88</v>
      </c>
      <c r="K375" s="14" t="n">
        <f aca="false">Operations!K374-Inputs!$F$56</f>
        <v>0.862</v>
      </c>
      <c r="L375" s="14" t="n">
        <f aca="false">Operations!L374-Inputs!$F$56</f>
        <v>0.844</v>
      </c>
      <c r="M375" s="14" t="n">
        <f aca="false">Operations!M374-Inputs!$F$56</f>
        <v>0.826</v>
      </c>
      <c r="N375" s="14" t="n">
        <f aca="false">Operations!N374-Inputs!$F$56</f>
        <v>0.808</v>
      </c>
      <c r="O375" s="14" t="n">
        <f aca="false">Operations!O374-Inputs!$F$56</f>
        <v>0.79</v>
      </c>
      <c r="P375" s="14" t="n">
        <f aca="false">Operations!P374-Inputs!$F$56</f>
        <v>0.772</v>
      </c>
      <c r="Q375" s="14" t="n">
        <f aca="false">Operations!Q374-Inputs!$F$56</f>
        <v>0.754</v>
      </c>
      <c r="R375" s="14" t="n">
        <f aca="false">Operations!R374-Inputs!$F$56</f>
        <v>0.736</v>
      </c>
      <c r="S375" s="14" t="n">
        <f aca="false">Operations!S374-Inputs!$F$56</f>
        <v>0.718</v>
      </c>
      <c r="T375" s="14" t="n">
        <f aca="false">Operations!T374-Inputs!$F$56</f>
        <v>0.7</v>
      </c>
      <c r="U375" s="14" t="n">
        <f aca="false">Operations!U374-Inputs!$F$56</f>
        <v>0.682</v>
      </c>
      <c r="V375" s="14" t="n">
        <f aca="false">Operations!V374-Inputs!$F$56</f>
        <v>0.664</v>
      </c>
      <c r="W375" s="14" t="n">
        <f aca="false">Operations!W374-Inputs!$F$56</f>
        <v>0.646</v>
      </c>
      <c r="X375" s="14" t="n">
        <f aca="false">Operations!X374-Inputs!$F$56</f>
        <v>0.628</v>
      </c>
      <c r="Y375" s="14" t="n">
        <f aca="false">Operations!Y374-Inputs!$F$56</f>
        <v>0.62</v>
      </c>
      <c r="Z375" s="14" t="n">
        <f aca="false">Operations!Z374-Inputs!$F$56</f>
        <v>0.62</v>
      </c>
      <c r="AA375" s="14" t="n">
        <f aca="false">Operations!AA374-Inputs!$F$56</f>
        <v>0.62</v>
      </c>
      <c r="AB375" s="14" t="n">
        <f aca="false">Operations!AB374-Inputs!$F$56</f>
        <v>0.62</v>
      </c>
      <c r="AC375" s="14" t="n">
        <f aca="false">Operations!AC374-Inputs!$F$56</f>
        <v>0.62</v>
      </c>
      <c r="AD375" s="14" t="n">
        <f aca="false">Operations!AD374-Inputs!$F$56</f>
        <v>0.62</v>
      </c>
      <c r="AE375" s="14" t="n">
        <f aca="false">Operations!AE374-Inputs!$F$56</f>
        <v>0.62</v>
      </c>
      <c r="AF375" s="14" t="n">
        <f aca="false">Operations!AF374-Inputs!$F$56</f>
        <v>0.62</v>
      </c>
      <c r="AG375" s="14" t="n">
        <f aca="false">Operations!AG374-Inputs!$F$56</f>
        <v>0.62</v>
      </c>
      <c r="AH375" s="14" t="n">
        <f aca="false">Operations!AH374-Inputs!$F$56</f>
        <v>0.62</v>
      </c>
      <c r="AI375" s="14" t="n">
        <f aca="false">Operations!AI374-Inputs!$F$56</f>
        <v>0.62</v>
      </c>
      <c r="AJ375" s="14" t="n">
        <f aca="false">Operations!AJ374-Inputs!$F$56</f>
        <v>0.62</v>
      </c>
      <c r="AK375" s="14" t="n">
        <f aca="false">Operations!AK374-Inputs!$F$56</f>
        <v>0.62</v>
      </c>
      <c r="AL375" s="14" t="n">
        <f aca="false">Operations!AL374-Inputs!$F$56</f>
        <v>0.62</v>
      </c>
      <c r="AM375" s="14" t="n">
        <f aca="false">Operations!AM374-Inputs!$F$56</f>
        <v>0.62</v>
      </c>
      <c r="AN375" s="14" t="n">
        <f aca="false">Operations!AN374-Inputs!$F$56</f>
        <v>0.62</v>
      </c>
      <c r="AO375" s="14" t="n">
        <f aca="false">Operations!AO374-Inputs!$F$56</f>
        <v>0.62</v>
      </c>
      <c r="AP375" s="14" t="n">
        <f aca="false">Operations!AP374-Inputs!$F$56</f>
        <v>0.62</v>
      </c>
      <c r="AQ375" s="14" t="n">
        <f aca="false">Operations!AQ374-Inputs!$F$56</f>
        <v>0.62</v>
      </c>
      <c r="AR375" s="14" t="n">
        <f aca="false">Operations!AR374-Inputs!$F$56</f>
        <v>0.62</v>
      </c>
      <c r="AS375" s="14" t="n">
        <f aca="false">Operations!AS374-Inputs!$F$56</f>
        <v>0.62</v>
      </c>
      <c r="AT375" s="14" t="n">
        <f aca="false">Operations!AT374-Inputs!$F$56</f>
        <v>0.62</v>
      </c>
      <c r="AU375" s="14" t="n">
        <f aca="false">Operations!AU374-Inputs!$F$56</f>
        <v>0.62</v>
      </c>
    </row>
    <row r="376" customFormat="false" ht="15" hidden="false" customHeight="false" outlineLevel="0" collapsed="false">
      <c r="D376" s="0" t="s">
        <v>770</v>
      </c>
      <c r="E376" s="0" t="s">
        <v>96</v>
      </c>
      <c r="J376" s="18" t="n">
        <f aca="false">Operations!J368*Operations!J375</f>
        <v>65.057168</v>
      </c>
      <c r="K376" s="18" t="n">
        <f aca="false">Operations!K368*Operations!K375</f>
        <v>52.2796104</v>
      </c>
      <c r="L376" s="18" t="n">
        <f aca="false">Operations!L368*Operations!L375</f>
        <v>25.1757604</v>
      </c>
      <c r="M376" s="18" t="n">
        <f aca="false">Operations!M368*Operations!M375</f>
        <v>32.5789268</v>
      </c>
      <c r="N376" s="18" t="n">
        <f aca="false">Operations!N368*Operations!N375</f>
        <v>35.7124688</v>
      </c>
      <c r="O376" s="18" t="n">
        <f aca="false">Operations!O368*Operations!O375</f>
        <v>37.030697</v>
      </c>
      <c r="P376" s="18" t="n">
        <f aca="false">Operations!P368*Operations!P375</f>
        <v>37.5640532</v>
      </c>
      <c r="Q376" s="18" t="n">
        <f aca="false">Operations!Q368*Operations!Q375</f>
        <v>37.6595856</v>
      </c>
      <c r="R376" s="18" t="n">
        <f aca="false">Operations!R368*Operations!R375</f>
        <v>37.7816768</v>
      </c>
      <c r="S376" s="18" t="n">
        <f aca="false">Operations!S368*Operations!S375</f>
        <v>37.59766792</v>
      </c>
      <c r="T376" s="18" t="n">
        <f aca="false">Operations!T368*Operations!T375</f>
        <v>37.39043</v>
      </c>
      <c r="U376" s="18" t="n">
        <f aca="false">Operations!U368*Operations!U375</f>
        <v>37.15889276</v>
      </c>
      <c r="V376" s="18" t="n">
        <f aca="false">Operations!V368*Operations!V375</f>
        <v>36.90198592</v>
      </c>
      <c r="W376" s="18" t="n">
        <f aca="false">Operations!W368*Operations!W375</f>
        <v>36.6186392</v>
      </c>
      <c r="X376" s="18" t="n">
        <f aca="false">Operations!X368*Operations!X375</f>
        <v>36.30778232</v>
      </c>
      <c r="Y376" s="18" t="n">
        <f aca="false">Operations!Y368*Operations!Y375</f>
        <v>36.5641342</v>
      </c>
      <c r="Z376" s="18" t="n">
        <f aca="false">Operations!Z368*Operations!Z375</f>
        <v>37.295294</v>
      </c>
      <c r="AA376" s="18" t="n">
        <f aca="false">Operations!AA368*Operations!AA375</f>
        <v>38.0387422</v>
      </c>
      <c r="AB376" s="18" t="n">
        <f aca="false">Operations!AB368*Operations!AB375</f>
        <v>38.800623</v>
      </c>
      <c r="AC376" s="18" t="n">
        <f aca="false">Operations!AC368*Operations!AC375</f>
        <v>39.5747922</v>
      </c>
      <c r="AD376" s="18" t="n">
        <f aca="false">Operations!AD368*Operations!AD375</f>
        <v>40.367394</v>
      </c>
      <c r="AE376" s="18" t="n">
        <f aca="false">Operations!AE368*Operations!AE375</f>
        <v>41.1722842</v>
      </c>
      <c r="AF376" s="18" t="n">
        <f aca="false">Operations!AF368*Operations!AF375</f>
        <v>41.995607</v>
      </c>
      <c r="AG376" s="18" t="n">
        <f aca="false">Operations!AG368*Operations!AG375</f>
        <v>42.8373624</v>
      </c>
      <c r="AH376" s="18" t="n">
        <f aca="false">Operations!AH368*Operations!AH375</f>
        <v>43.6914062</v>
      </c>
      <c r="AI376" s="18" t="n">
        <f aca="false">Operations!AI368*Operations!AI375</f>
        <v>44.5638826</v>
      </c>
      <c r="AJ376" s="18" t="n">
        <f aca="false">Operations!AJ368*Operations!AJ375</f>
        <v>45.4547916</v>
      </c>
      <c r="AK376" s="18" t="n">
        <f aca="false">Operations!AK368*Operations!AK375</f>
        <v>46.3641332</v>
      </c>
      <c r="AL376" s="18" t="n">
        <f aca="false">Operations!AL368*Operations!AL375</f>
        <v>47.2919074</v>
      </c>
      <c r="AM376" s="18" t="n">
        <f aca="false">Operations!AM368*Operations!AM375</f>
        <v>48.2381142</v>
      </c>
      <c r="AN376" s="18" t="n">
        <f aca="false">Operations!AN368*Operations!AN375</f>
        <v>49.2027536</v>
      </c>
      <c r="AO376" s="18" t="n">
        <f aca="false">Operations!AO368*Operations!AO375</f>
        <v>50.1858256</v>
      </c>
      <c r="AP376" s="18" t="n">
        <f aca="false">Operations!AP368*Operations!AP375</f>
        <v>51.1873302</v>
      </c>
      <c r="AQ376" s="18" t="n">
        <f aca="false">Operations!AQ368*Operations!AQ375</f>
        <v>52.2134116</v>
      </c>
      <c r="AR376" s="18" t="n">
        <f aca="false">Operations!AR368*Operations!AR375</f>
        <v>53.2579256</v>
      </c>
      <c r="AS376" s="18" t="n">
        <f aca="false">Operations!AS368*Operations!AS375</f>
        <v>54.3208722</v>
      </c>
      <c r="AT376" s="18" t="n">
        <f aca="false">Operations!AT368*Operations!AT375</f>
        <v>55.4083956</v>
      </c>
      <c r="AU376" s="18" t="n">
        <f aca="false">Operations!AU368*Operations!AU375</f>
        <v>56.5143516</v>
      </c>
    </row>
    <row r="377" customFormat="false" ht="15" hidden="false" customHeight="false" outlineLevel="0" collapsed="false">
      <c r="D377" s="0" t="s">
        <v>771</v>
      </c>
      <c r="E377" s="0" t="s">
        <v>458</v>
      </c>
      <c r="J377" s="14" t="n">
        <f aca="false">MAX(0,MIN(Inputs!$F$227,Time!J$6)-MAX(Inputs!$F$226-1,Time!J$5))/Time!J$7</f>
        <v>0</v>
      </c>
      <c r="K377" s="14" t="n">
        <f aca="false">MAX(0,MIN(Inputs!$F$227,Time!K$6)-MAX(Inputs!$F$226-1,Time!K$5))/Time!K$7</f>
        <v>0</v>
      </c>
      <c r="L377" s="14" t="n">
        <f aca="false">MAX(0,MIN(Inputs!$F$227,Time!L$6)-MAX(Inputs!$F$226-1,Time!L$5))/Time!L$7</f>
        <v>0</v>
      </c>
      <c r="M377" s="14" t="n">
        <f aca="false">MAX(0,MIN(Inputs!$F$227,Time!M$6)-MAX(Inputs!$F$226-1,Time!M$5))/Time!M$7</f>
        <v>1</v>
      </c>
      <c r="N377" s="14" t="n">
        <f aca="false">MAX(0,MIN(Inputs!$F$227,Time!N$6)-MAX(Inputs!$F$226-1,Time!N$5))/Time!N$7</f>
        <v>1</v>
      </c>
      <c r="O377" s="14" t="n">
        <f aca="false">MAX(0,MIN(Inputs!$F$227,Time!O$6)-MAX(Inputs!$F$226-1,Time!O$5))/Time!O$7</f>
        <v>1</v>
      </c>
      <c r="P377" s="14" t="n">
        <f aca="false">MAX(0,MIN(Inputs!$F$227,Time!P$6)-MAX(Inputs!$F$226-1,Time!P$5))/Time!P$7</f>
        <v>1</v>
      </c>
      <c r="Q377" s="14" t="n">
        <f aca="false">MAX(0,MIN(Inputs!$F$227,Time!Q$6)-MAX(Inputs!$F$226-1,Time!Q$5))/Time!Q$7</f>
        <v>1</v>
      </c>
      <c r="R377" s="14" t="n">
        <f aca="false">MAX(0,MIN(Inputs!$F$227,Time!R$6)-MAX(Inputs!$F$226-1,Time!R$5))/Time!R$7</f>
        <v>1</v>
      </c>
      <c r="S377" s="14" t="n">
        <f aca="false">MAX(0,MIN(Inputs!$F$227,Time!S$6)-MAX(Inputs!$F$226-1,Time!S$5))/Time!S$7</f>
        <v>1</v>
      </c>
      <c r="T377" s="14" t="n">
        <f aca="false">MAX(0,MIN(Inputs!$F$227,Time!T$6)-MAX(Inputs!$F$226-1,Time!T$5))/Time!T$7</f>
        <v>1</v>
      </c>
      <c r="U377" s="14" t="n">
        <f aca="false">MAX(0,MIN(Inputs!$F$227,Time!U$6)-MAX(Inputs!$F$226-1,Time!U$5))/Time!U$7</f>
        <v>1</v>
      </c>
      <c r="V377" s="14" t="n">
        <f aca="false">MAX(0,MIN(Inputs!$F$227,Time!V$6)-MAX(Inputs!$F$226-1,Time!V$5))/Time!V$7</f>
        <v>1</v>
      </c>
      <c r="W377" s="14" t="n">
        <f aca="false">MAX(0,MIN(Inputs!$F$227,Time!W$6)-MAX(Inputs!$F$226-1,Time!W$5))/Time!W$7</f>
        <v>0</v>
      </c>
      <c r="X377" s="14" t="n">
        <f aca="false">MAX(0,MIN(Inputs!$F$227,Time!X$6)-MAX(Inputs!$F$226-1,Time!X$5))/Time!X$7</f>
        <v>0</v>
      </c>
      <c r="Y377" s="14" t="n">
        <f aca="false">MAX(0,MIN(Inputs!$F$227,Time!Y$6)-MAX(Inputs!$F$226-1,Time!Y$5))/Time!Y$7</f>
        <v>0</v>
      </c>
      <c r="Z377" s="14" t="n">
        <f aca="false">MAX(0,MIN(Inputs!$F$227,Time!Z$6)-MAX(Inputs!$F$226-1,Time!Z$5))/Time!Z$7</f>
        <v>0</v>
      </c>
      <c r="AA377" s="14" t="n">
        <f aca="false">MAX(0,MIN(Inputs!$F$227,Time!AA$6)-MAX(Inputs!$F$226-1,Time!AA$5))/Time!AA$7</f>
        <v>0</v>
      </c>
      <c r="AB377" s="14" t="n">
        <f aca="false">MAX(0,MIN(Inputs!$F$227,Time!AB$6)-MAX(Inputs!$F$226-1,Time!AB$5))/Time!AB$7</f>
        <v>0</v>
      </c>
      <c r="AC377" s="14" t="n">
        <f aca="false">MAX(0,MIN(Inputs!$F$227,Time!AC$6)-MAX(Inputs!$F$226-1,Time!AC$5))/Time!AC$7</f>
        <v>0</v>
      </c>
      <c r="AD377" s="14" t="n">
        <f aca="false">MAX(0,MIN(Inputs!$F$227,Time!AD$6)-MAX(Inputs!$F$226-1,Time!AD$5))/Time!AD$7</f>
        <v>0</v>
      </c>
      <c r="AE377" s="14" t="n">
        <f aca="false">MAX(0,MIN(Inputs!$F$227,Time!AE$6)-MAX(Inputs!$F$226-1,Time!AE$5))/Time!AE$7</f>
        <v>0</v>
      </c>
      <c r="AF377" s="14" t="n">
        <f aca="false">MAX(0,MIN(Inputs!$F$227,Time!AF$6)-MAX(Inputs!$F$226-1,Time!AF$5))/Time!AF$7</f>
        <v>0</v>
      </c>
      <c r="AG377" s="14" t="n">
        <f aca="false">MAX(0,MIN(Inputs!$F$227,Time!AG$6)-MAX(Inputs!$F$226-1,Time!AG$5))/Time!AG$7</f>
        <v>0</v>
      </c>
      <c r="AH377" s="14" t="n">
        <f aca="false">MAX(0,MIN(Inputs!$F$227,Time!AH$6)-MAX(Inputs!$F$226-1,Time!AH$5))/Time!AH$7</f>
        <v>0</v>
      </c>
      <c r="AI377" s="14" t="n">
        <f aca="false">MAX(0,MIN(Inputs!$F$227,Time!AI$6)-MAX(Inputs!$F$226-1,Time!AI$5))/Time!AI$7</f>
        <v>0</v>
      </c>
      <c r="AJ377" s="14" t="n">
        <f aca="false">MAX(0,MIN(Inputs!$F$227,Time!AJ$6)-MAX(Inputs!$F$226-1,Time!AJ$5))/Time!AJ$7</f>
        <v>0</v>
      </c>
      <c r="AK377" s="14" t="n">
        <f aca="false">MAX(0,MIN(Inputs!$F$227,Time!AK$6)-MAX(Inputs!$F$226-1,Time!AK$5))/Time!AK$7</f>
        <v>0</v>
      </c>
      <c r="AL377" s="14" t="n">
        <f aca="false">MAX(0,MIN(Inputs!$F$227,Time!AL$6)-MAX(Inputs!$F$226-1,Time!AL$5))/Time!AL$7</f>
        <v>0</v>
      </c>
      <c r="AM377" s="14" t="n">
        <f aca="false">MAX(0,MIN(Inputs!$F$227,Time!AM$6)-MAX(Inputs!$F$226-1,Time!AM$5))/Time!AM$7</f>
        <v>0</v>
      </c>
      <c r="AN377" s="14" t="n">
        <f aca="false">MAX(0,MIN(Inputs!$F$227,Time!AN$6)-MAX(Inputs!$F$226-1,Time!AN$5))/Time!AN$7</f>
        <v>0</v>
      </c>
      <c r="AO377" s="14" t="n">
        <f aca="false">MAX(0,MIN(Inputs!$F$227,Time!AO$6)-MAX(Inputs!$F$226-1,Time!AO$5))/Time!AO$7</f>
        <v>0</v>
      </c>
      <c r="AP377" s="14" t="n">
        <f aca="false">MAX(0,MIN(Inputs!$F$227,Time!AP$6)-MAX(Inputs!$F$226-1,Time!AP$5))/Time!AP$7</f>
        <v>0</v>
      </c>
      <c r="AQ377" s="14" t="n">
        <f aca="false">MAX(0,MIN(Inputs!$F$227,Time!AQ$6)-MAX(Inputs!$F$226-1,Time!AQ$5))/Time!AQ$7</f>
        <v>0</v>
      </c>
      <c r="AR377" s="14" t="n">
        <f aca="false">MAX(0,MIN(Inputs!$F$227,Time!AR$6)-MAX(Inputs!$F$226-1,Time!AR$5))/Time!AR$7</f>
        <v>0</v>
      </c>
      <c r="AS377" s="14" t="n">
        <f aca="false">MAX(0,MIN(Inputs!$F$227,Time!AS$6)-MAX(Inputs!$F$226-1,Time!AS$5))/Time!AS$7</f>
        <v>0</v>
      </c>
      <c r="AT377" s="14" t="n">
        <f aca="false">MAX(0,MIN(Inputs!$F$227,Time!AT$6)-MAX(Inputs!$F$226-1,Time!AT$5))/Time!AT$7</f>
        <v>0</v>
      </c>
      <c r="AU377" s="14" t="n">
        <f aca="false">MAX(0,MIN(Inputs!$F$227,Time!AU$6)-MAX(Inputs!$F$226-1,Time!AU$5))/Time!AU$7</f>
        <v>0</v>
      </c>
    </row>
    <row r="378" customFormat="false" ht="15" hidden="false" customHeight="false" outlineLevel="0" collapsed="false">
      <c r="D378" s="0" t="s">
        <v>260</v>
      </c>
      <c r="E378" s="0" t="s">
        <v>466</v>
      </c>
      <c r="J378" s="20" t="n">
        <f aca="false">Inputs!$F$224*Operations!J377</f>
        <v>0</v>
      </c>
      <c r="K378" s="20" t="n">
        <f aca="false">Inputs!$F$224*Operations!K377</f>
        <v>0</v>
      </c>
      <c r="L378" s="20" t="n">
        <f aca="false">Inputs!$F$224*Operations!L377</f>
        <v>0</v>
      </c>
      <c r="M378" s="20" t="n">
        <f aca="false">Inputs!$F$224*Operations!M377</f>
        <v>174.1</v>
      </c>
      <c r="N378" s="20" t="n">
        <f aca="false">Inputs!$F$224*Operations!N377</f>
        <v>174.1</v>
      </c>
      <c r="O378" s="20" t="n">
        <f aca="false">Inputs!$F$224*Operations!O377</f>
        <v>174.1</v>
      </c>
      <c r="P378" s="20" t="n">
        <f aca="false">Inputs!$F$224*Operations!P377</f>
        <v>174.1</v>
      </c>
      <c r="Q378" s="20" t="n">
        <f aca="false">Inputs!$F$224*Operations!Q377</f>
        <v>174.1</v>
      </c>
      <c r="R378" s="20" t="n">
        <f aca="false">Inputs!$F$224*Operations!R377</f>
        <v>174.1</v>
      </c>
      <c r="S378" s="20" t="n">
        <f aca="false">Inputs!$F$224*Operations!S377</f>
        <v>174.1</v>
      </c>
      <c r="T378" s="20" t="n">
        <f aca="false">Inputs!$F$224*Operations!T377</f>
        <v>174.1</v>
      </c>
      <c r="U378" s="20" t="n">
        <f aca="false">Inputs!$F$224*Operations!U377</f>
        <v>174.1</v>
      </c>
      <c r="V378" s="20" t="n">
        <f aca="false">Inputs!$F$224*Operations!V377</f>
        <v>174.1</v>
      </c>
      <c r="W378" s="20" t="n">
        <f aca="false">Inputs!$F$224*Operations!W377</f>
        <v>0</v>
      </c>
      <c r="X378" s="20" t="n">
        <f aca="false">Inputs!$F$224*Operations!X377</f>
        <v>0</v>
      </c>
      <c r="Y378" s="20" t="n">
        <f aca="false">Inputs!$F$224*Operations!Y377</f>
        <v>0</v>
      </c>
      <c r="Z378" s="20" t="n">
        <f aca="false">Inputs!$F$224*Operations!Z377</f>
        <v>0</v>
      </c>
      <c r="AA378" s="20" t="n">
        <f aca="false">Inputs!$F$224*Operations!AA377</f>
        <v>0</v>
      </c>
      <c r="AB378" s="20" t="n">
        <f aca="false">Inputs!$F$224*Operations!AB377</f>
        <v>0</v>
      </c>
      <c r="AC378" s="20" t="n">
        <f aca="false">Inputs!$F$224*Operations!AC377</f>
        <v>0</v>
      </c>
      <c r="AD378" s="20" t="n">
        <f aca="false">Inputs!$F$224*Operations!AD377</f>
        <v>0</v>
      </c>
      <c r="AE378" s="20" t="n">
        <f aca="false">Inputs!$F$224*Operations!AE377</f>
        <v>0</v>
      </c>
      <c r="AF378" s="20" t="n">
        <f aca="false">Inputs!$F$224*Operations!AF377</f>
        <v>0</v>
      </c>
      <c r="AG378" s="20" t="n">
        <f aca="false">Inputs!$F$224*Operations!AG377</f>
        <v>0</v>
      </c>
      <c r="AH378" s="20" t="n">
        <f aca="false">Inputs!$F$224*Operations!AH377</f>
        <v>0</v>
      </c>
      <c r="AI378" s="20" t="n">
        <f aca="false">Inputs!$F$224*Operations!AI377</f>
        <v>0</v>
      </c>
      <c r="AJ378" s="20" t="n">
        <f aca="false">Inputs!$F$224*Operations!AJ377</f>
        <v>0</v>
      </c>
      <c r="AK378" s="20" t="n">
        <f aca="false">Inputs!$F$224*Operations!AK377</f>
        <v>0</v>
      </c>
      <c r="AL378" s="20" t="n">
        <f aca="false">Inputs!$F$224*Operations!AL377</f>
        <v>0</v>
      </c>
      <c r="AM378" s="20" t="n">
        <f aca="false">Inputs!$F$224*Operations!AM377</f>
        <v>0</v>
      </c>
      <c r="AN378" s="20" t="n">
        <f aca="false">Inputs!$F$224*Operations!AN377</f>
        <v>0</v>
      </c>
      <c r="AO378" s="20" t="n">
        <f aca="false">Inputs!$F$224*Operations!AO377</f>
        <v>0</v>
      </c>
      <c r="AP378" s="20" t="n">
        <f aca="false">Inputs!$F$224*Operations!AP377</f>
        <v>0</v>
      </c>
      <c r="AQ378" s="20" t="n">
        <f aca="false">Inputs!$F$224*Operations!AQ377</f>
        <v>0</v>
      </c>
      <c r="AR378" s="20" t="n">
        <f aca="false">Inputs!$F$224*Operations!AR377</f>
        <v>0</v>
      </c>
      <c r="AS378" s="20" t="n">
        <f aca="false">Inputs!$F$224*Operations!AS377</f>
        <v>0</v>
      </c>
      <c r="AT378" s="20" t="n">
        <f aca="false">Inputs!$F$224*Operations!AT377</f>
        <v>0</v>
      </c>
      <c r="AU378" s="20" t="n">
        <f aca="false">Inputs!$F$224*Operations!AU377</f>
        <v>0</v>
      </c>
    </row>
    <row r="379" customFormat="false" ht="15" hidden="false" customHeight="false" outlineLevel="0" collapsed="false">
      <c r="D379" s="0" t="s">
        <v>772</v>
      </c>
      <c r="E379" s="0" t="s">
        <v>47</v>
      </c>
      <c r="G379" s="20" t="n">
        <f aca="false">SUM(J379:AU379)</f>
        <v>2.03657987672</v>
      </c>
      <c r="J379" s="20" t="n">
        <f aca="false">Operations!J378*(Inputs!$F$225-Operations!J368*Operations!J374)/1000</f>
        <v>-0</v>
      </c>
      <c r="K379" s="20" t="n">
        <f aca="false">Operations!K378*(Inputs!$F$225-Operations!K368*Operations!K374)/1000</f>
        <v>-0</v>
      </c>
      <c r="L379" s="20" t="n">
        <f aca="false">Operations!L378*(Inputs!$F$225-Operations!L368*Operations!L374)/1000</f>
        <v>0</v>
      </c>
      <c r="M379" s="20" t="n">
        <f aca="false">Operations!M378*(Inputs!$F$225-Operations!M368*Operations!M374)/1000</f>
        <v>0.963162496520001</v>
      </c>
      <c r="N379" s="20" t="n">
        <f aca="false">Operations!N378*(Inputs!$F$225-Operations!N368*Operations!N374)/1000</f>
        <v>0.401049656719999</v>
      </c>
      <c r="O379" s="20" t="n">
        <f aca="false">Operations!O378*(Inputs!$F$225-Operations!O368*Operations!O374)/1000</f>
        <v>0.162229339699999</v>
      </c>
      <c r="P379" s="20" t="n">
        <f aca="false">Operations!P378*(Inputs!$F$225-Operations!P368*Operations!P374)/1000</f>
        <v>0.06316083368</v>
      </c>
      <c r="Q379" s="20" t="n">
        <f aca="false">Operations!Q378*(Inputs!$F$225-Operations!Q368*Operations!Q374)/1000</f>
        <v>0.0420427822399999</v>
      </c>
      <c r="R379" s="20" t="n">
        <f aca="false">Operations!R378*(Inputs!$F$225-Operations!R368*Operations!R374)/1000</f>
        <v>0.0159557775200007</v>
      </c>
      <c r="S379" s="20" t="n">
        <f aca="false">Operations!S378*(Inputs!$F$225-Operations!S368*Operations!S374)/1000</f>
        <v>0.0444030350479992</v>
      </c>
      <c r="T379" s="20" t="n">
        <f aca="false">Operations!T378*(Inputs!$F$225-Operations!T368*Operations!T374)/1000</f>
        <v>0.0768254552000009</v>
      </c>
      <c r="U379" s="20" t="n">
        <f aca="false">Operations!U378*(Inputs!$F$225-Operations!U368*Operations!U374)/1000</f>
        <v>0.113409373724</v>
      </c>
      <c r="V379" s="20" t="n">
        <f aca="false">Operations!V378*(Inputs!$F$225-Operations!V368*Operations!V374)/1000</f>
        <v>0.154341126368001</v>
      </c>
      <c r="W379" s="20" t="n">
        <f aca="false">Operations!W378*(Inputs!$F$225-Operations!W368*Operations!W374)/1000</f>
        <v>0</v>
      </c>
      <c r="X379" s="20" t="n">
        <f aca="false">Operations!X378*(Inputs!$F$225-Operations!X368*Operations!X374)/1000</f>
        <v>0</v>
      </c>
      <c r="Y379" s="20" t="n">
        <f aca="false">Operations!Y378*(Inputs!$F$225-Operations!Y368*Operations!Y374)/1000</f>
        <v>0</v>
      </c>
      <c r="Z379" s="20" t="n">
        <f aca="false">Operations!Z378*(Inputs!$F$225-Operations!Z368*Operations!Z374)/1000</f>
        <v>0</v>
      </c>
      <c r="AA379" s="20" t="n">
        <f aca="false">Operations!AA378*(Inputs!$F$225-Operations!AA368*Operations!AA374)/1000</f>
        <v>-0</v>
      </c>
      <c r="AB379" s="20" t="n">
        <f aca="false">Operations!AB378*(Inputs!$F$225-Operations!AB368*Operations!AB374)/1000</f>
        <v>-0</v>
      </c>
      <c r="AC379" s="20" t="n">
        <f aca="false">Operations!AC378*(Inputs!$F$225-Operations!AC368*Operations!AC374)/1000</f>
        <v>-0</v>
      </c>
      <c r="AD379" s="20" t="n">
        <f aca="false">Operations!AD378*(Inputs!$F$225-Operations!AD368*Operations!AD374)/1000</f>
        <v>-0</v>
      </c>
      <c r="AE379" s="20" t="n">
        <f aca="false">Operations!AE378*(Inputs!$F$225-Operations!AE368*Operations!AE374)/1000</f>
        <v>-0</v>
      </c>
      <c r="AF379" s="20" t="n">
        <f aca="false">Operations!AF378*(Inputs!$F$225-Operations!AF368*Operations!AF374)/1000</f>
        <v>-0</v>
      </c>
      <c r="AG379" s="20" t="n">
        <f aca="false">Operations!AG378*(Inputs!$F$225-Operations!AG368*Operations!AG374)/1000</f>
        <v>-0</v>
      </c>
      <c r="AH379" s="20" t="n">
        <f aca="false">Operations!AH378*(Inputs!$F$225-Operations!AH368*Operations!AH374)/1000</f>
        <v>-0</v>
      </c>
      <c r="AI379" s="20" t="n">
        <f aca="false">Operations!AI378*(Inputs!$F$225-Operations!AI368*Operations!AI374)/1000</f>
        <v>-0</v>
      </c>
      <c r="AJ379" s="20" t="n">
        <f aca="false">Operations!AJ378*(Inputs!$F$225-Operations!AJ368*Operations!AJ374)/1000</f>
        <v>-0</v>
      </c>
      <c r="AK379" s="20" t="n">
        <f aca="false">Operations!AK378*(Inputs!$F$225-Operations!AK368*Operations!AK374)/1000</f>
        <v>-0</v>
      </c>
      <c r="AL379" s="20" t="n">
        <f aca="false">Operations!AL378*(Inputs!$F$225-Operations!AL368*Operations!AL374)/1000</f>
        <v>-0</v>
      </c>
      <c r="AM379" s="20" t="n">
        <f aca="false">Operations!AM378*(Inputs!$F$225-Operations!AM368*Operations!AM374)/1000</f>
        <v>-0</v>
      </c>
      <c r="AN379" s="20" t="n">
        <f aca="false">Operations!AN378*(Inputs!$F$225-Operations!AN368*Operations!AN374)/1000</f>
        <v>-0</v>
      </c>
      <c r="AO379" s="20" t="n">
        <f aca="false">Operations!AO378*(Inputs!$F$225-Operations!AO368*Operations!AO374)/1000</f>
        <v>-0</v>
      </c>
      <c r="AP379" s="20" t="n">
        <f aca="false">Operations!AP378*(Inputs!$F$225-Operations!AP368*Operations!AP374)/1000</f>
        <v>-0</v>
      </c>
      <c r="AQ379" s="20" t="n">
        <f aca="false">Operations!AQ378*(Inputs!$F$225-Operations!AQ368*Operations!AQ374)/1000</f>
        <v>-0</v>
      </c>
      <c r="AR379" s="20" t="n">
        <f aca="false">Operations!AR378*(Inputs!$F$225-Operations!AR368*Operations!AR374)/1000</f>
        <v>-0</v>
      </c>
      <c r="AS379" s="20" t="n">
        <f aca="false">Operations!AS378*(Inputs!$F$225-Operations!AS368*Operations!AS374)/1000</f>
        <v>-0</v>
      </c>
      <c r="AT379" s="20" t="n">
        <f aca="false">Operations!AT378*(Inputs!$F$225-Operations!AT368*Operations!AT374)/1000</f>
        <v>-0</v>
      </c>
      <c r="AU379" s="20" t="n">
        <f aca="false">Operations!AU378*(Inputs!$F$225-Operations!AU368*Operations!AU374)/1000</f>
        <v>-0</v>
      </c>
    </row>
    <row r="380" customFormat="false" ht="15" hidden="false" customHeight="false" outlineLevel="0" collapsed="false">
      <c r="D380" s="0" t="s">
        <v>773</v>
      </c>
      <c r="E380" s="0" t="s">
        <v>466</v>
      </c>
      <c r="J380" s="20" t="n">
        <f aca="false">Operations!J373</f>
        <v>0</v>
      </c>
      <c r="K380" s="20" t="n">
        <f aca="false">Operations!K373</f>
        <v>0</v>
      </c>
      <c r="L380" s="20" t="n">
        <f aca="false">Operations!L373</f>
        <v>9.34026885245902</v>
      </c>
      <c r="M380" s="20" t="n">
        <f aca="false">Operations!M373</f>
        <v>284.8782</v>
      </c>
      <c r="N380" s="20" t="n">
        <f aca="false">Operations!N373</f>
        <v>283.7386872</v>
      </c>
      <c r="O380" s="20" t="n">
        <f aca="false">Operations!O373</f>
        <v>282.6037324512</v>
      </c>
      <c r="P380" s="20" t="n">
        <f aca="false">Operations!P373</f>
        <v>281.473317521395</v>
      </c>
      <c r="Q380" s="20" t="n">
        <f aca="false">Operations!Q373</f>
        <v>280.34742425131</v>
      </c>
      <c r="R380" s="20" t="n">
        <f aca="false">Operations!R373</f>
        <v>279.226034554304</v>
      </c>
      <c r="S380" s="20" t="n">
        <f aca="false">Operations!S373</f>
        <v>278.109130416087</v>
      </c>
      <c r="T380" s="20" t="n">
        <f aca="false">Operations!T373</f>
        <v>276.996693894423</v>
      </c>
      <c r="U380" s="20" t="n">
        <f aca="false">Operations!U373</f>
        <v>275.888707118845</v>
      </c>
      <c r="V380" s="20" t="n">
        <f aca="false">Operations!V373</f>
        <v>274.78515229037</v>
      </c>
      <c r="W380" s="20" t="n">
        <f aca="false">Operations!W373</f>
        <v>273.686011681208</v>
      </c>
      <c r="X380" s="20" t="n">
        <f aca="false">Operations!X373</f>
        <v>272.591267634483</v>
      </c>
      <c r="Y380" s="20" t="n">
        <f aca="false">Operations!Y373</f>
        <v>271.500902563946</v>
      </c>
      <c r="Z380" s="20" t="n">
        <f aca="false">Operations!Z373</f>
        <v>270.41489895369</v>
      </c>
      <c r="AA380" s="20" t="n">
        <f aca="false">Operations!AA373</f>
        <v>269.333239357875</v>
      </c>
      <c r="AB380" s="20" t="n">
        <f aca="false">Operations!AB373</f>
        <v>268.255906400443</v>
      </c>
      <c r="AC380" s="20" t="n">
        <f aca="false">Operations!AC373</f>
        <v>267.182882774842</v>
      </c>
      <c r="AD380" s="20" t="n">
        <f aca="false">Operations!AD373</f>
        <v>266.114151243742</v>
      </c>
      <c r="AE380" s="20" t="n">
        <f aca="false">Operations!AE373</f>
        <v>265.049694638767</v>
      </c>
      <c r="AF380" s="20" t="n">
        <f aca="false">Operations!AF373</f>
        <v>263.989495860212</v>
      </c>
      <c r="AG380" s="20" t="n">
        <f aca="false">Operations!AG373</f>
        <v>262.933537876771</v>
      </c>
      <c r="AH380" s="20" t="n">
        <f aca="false">Operations!AH373</f>
        <v>261.881803725264</v>
      </c>
      <c r="AI380" s="20" t="n">
        <f aca="false">Operations!AI373</f>
        <v>260.834276510363</v>
      </c>
      <c r="AJ380" s="20" t="n">
        <f aca="false">Operations!AJ373</f>
        <v>259.790939404322</v>
      </c>
      <c r="AK380" s="20" t="n">
        <f aca="false">Operations!AK373</f>
        <v>258.751775646705</v>
      </c>
      <c r="AL380" s="20" t="n">
        <f aca="false">Operations!AL373</f>
        <v>257.716768544118</v>
      </c>
      <c r="AM380" s="20" t="n">
        <f aca="false">Operations!AM373</f>
        <v>256.685901469941</v>
      </c>
      <c r="AN380" s="20" t="n">
        <f aca="false">Operations!AN373</f>
        <v>255.659157864061</v>
      </c>
      <c r="AO380" s="20" t="n">
        <f aca="false">Operations!AO373</f>
        <v>254.636521232605</v>
      </c>
      <c r="AP380" s="20" t="n">
        <f aca="false">Operations!AP373</f>
        <v>253.617975147675</v>
      </c>
      <c r="AQ380" s="20" t="n">
        <f aca="false">Operations!AQ373</f>
        <v>252.603503247084</v>
      </c>
      <c r="AR380" s="20" t="n">
        <f aca="false">Operations!AR373</f>
        <v>251.593089234096</v>
      </c>
      <c r="AS380" s="20" t="n">
        <f aca="false">Operations!AS373</f>
        <v>250.586716877159</v>
      </c>
      <c r="AT380" s="20" t="n">
        <f aca="false">Operations!AT373</f>
        <v>249.584370009651</v>
      </c>
      <c r="AU380" s="20" t="n">
        <f aca="false">Operations!AU373</f>
        <v>248.586032529612</v>
      </c>
    </row>
    <row r="381" customFormat="false" ht="15" hidden="false" customHeight="false" outlineLevel="0" collapsed="false">
      <c r="D381" s="0" t="s">
        <v>774</v>
      </c>
      <c r="E381" s="0" t="s">
        <v>47</v>
      </c>
      <c r="J381" s="20" t="n">
        <f aca="false">0</f>
        <v>0</v>
      </c>
      <c r="K381" s="20" t="n">
        <f aca="false">0</f>
        <v>0</v>
      </c>
      <c r="L381" s="20" t="n">
        <f aca="false">0</f>
        <v>0</v>
      </c>
      <c r="M381" s="20" t="n">
        <f aca="false">0</f>
        <v>0</v>
      </c>
      <c r="N381" s="20" t="n">
        <f aca="false">0</f>
        <v>0</v>
      </c>
      <c r="O381" s="20" t="n">
        <f aca="false">0</f>
        <v>0</v>
      </c>
      <c r="P381" s="20" t="n">
        <f aca="false">0</f>
        <v>0</v>
      </c>
      <c r="Q381" s="20" t="n">
        <f aca="false">0</f>
        <v>0</v>
      </c>
      <c r="R381" s="20" t="n">
        <f aca="false">0</f>
        <v>0</v>
      </c>
      <c r="S381" s="20" t="n">
        <f aca="false">0</f>
        <v>0</v>
      </c>
      <c r="T381" s="20" t="n">
        <f aca="false">0</f>
        <v>0</v>
      </c>
      <c r="U381" s="20" t="n">
        <f aca="false">0</f>
        <v>0</v>
      </c>
      <c r="V381" s="20" t="n">
        <f aca="false">0</f>
        <v>0</v>
      </c>
      <c r="W381" s="20" t="n">
        <f aca="false">0</f>
        <v>0</v>
      </c>
      <c r="X381" s="20" t="n">
        <f aca="false">0</f>
        <v>0</v>
      </c>
      <c r="Y381" s="20" t="n">
        <f aca="false">0</f>
        <v>0</v>
      </c>
      <c r="Z381" s="20" t="n">
        <f aca="false">0</f>
        <v>0</v>
      </c>
      <c r="AA381" s="20" t="n">
        <f aca="false">0</f>
        <v>0</v>
      </c>
      <c r="AB381" s="20" t="n">
        <f aca="false">0</f>
        <v>0</v>
      </c>
      <c r="AC381" s="20" t="n">
        <f aca="false">0</f>
        <v>0</v>
      </c>
      <c r="AD381" s="20" t="n">
        <f aca="false">0</f>
        <v>0</v>
      </c>
      <c r="AE381" s="20" t="n">
        <f aca="false">0</f>
        <v>0</v>
      </c>
      <c r="AF381" s="20" t="n">
        <f aca="false">0</f>
        <v>0</v>
      </c>
      <c r="AG381" s="20" t="n">
        <f aca="false">0</f>
        <v>0</v>
      </c>
      <c r="AH381" s="20" t="n">
        <f aca="false">0</f>
        <v>0</v>
      </c>
      <c r="AI381" s="20" t="n">
        <f aca="false">0</f>
        <v>0</v>
      </c>
      <c r="AJ381" s="20" t="n">
        <f aca="false">0</f>
        <v>0</v>
      </c>
      <c r="AK381" s="20" t="n">
        <f aca="false">0</f>
        <v>0</v>
      </c>
      <c r="AL381" s="20" t="n">
        <f aca="false">0</f>
        <v>0</v>
      </c>
      <c r="AM381" s="20" t="n">
        <f aca="false">0</f>
        <v>0</v>
      </c>
      <c r="AN381" s="20" t="n">
        <f aca="false">0</f>
        <v>0</v>
      </c>
      <c r="AO381" s="20" t="n">
        <f aca="false">0</f>
        <v>0</v>
      </c>
      <c r="AP381" s="20" t="n">
        <f aca="false">0</f>
        <v>0</v>
      </c>
      <c r="AQ381" s="20" t="n">
        <f aca="false">0</f>
        <v>0</v>
      </c>
      <c r="AR381" s="20" t="n">
        <f aca="false">0</f>
        <v>0</v>
      </c>
      <c r="AS381" s="20" t="n">
        <f aca="false">0</f>
        <v>0</v>
      </c>
      <c r="AT381" s="20" t="n">
        <f aca="false">0</f>
        <v>0</v>
      </c>
      <c r="AU381" s="20" t="n">
        <f aca="false">0</f>
        <v>0</v>
      </c>
    </row>
    <row r="382" customFormat="false" ht="15" hidden="false" customHeight="false" outlineLevel="0" collapsed="false">
      <c r="D382" s="0" t="s">
        <v>775</v>
      </c>
      <c r="E382" s="0" t="s">
        <v>47</v>
      </c>
      <c r="J382" s="20" t="n">
        <f aca="false">Operations!J378*Inputs!$F$225/1000</f>
        <v>0</v>
      </c>
      <c r="K382" s="20" t="n">
        <f aca="false">Operations!K378*Inputs!$F$225/1000</f>
        <v>0</v>
      </c>
      <c r="L382" s="20" t="n">
        <f aca="false">Operations!L378*Inputs!$F$225/1000</f>
        <v>0</v>
      </c>
      <c r="M382" s="20" t="n">
        <f aca="false">Operations!M378*Inputs!$F$225/1000</f>
        <v>6.77249</v>
      </c>
      <c r="N382" s="20" t="n">
        <f aca="false">Operations!N378*Inputs!$F$225/1000</f>
        <v>6.77249</v>
      </c>
      <c r="O382" s="20" t="n">
        <f aca="false">Operations!O378*Inputs!$F$225/1000</f>
        <v>6.77249</v>
      </c>
      <c r="P382" s="20" t="n">
        <f aca="false">Operations!P378*Inputs!$F$225/1000</f>
        <v>6.77249</v>
      </c>
      <c r="Q382" s="20" t="n">
        <f aca="false">Operations!Q378*Inputs!$F$225/1000</f>
        <v>6.77249</v>
      </c>
      <c r="R382" s="20" t="n">
        <f aca="false">Operations!R378*Inputs!$F$225/1000</f>
        <v>6.77249</v>
      </c>
      <c r="S382" s="20" t="n">
        <f aca="false">Operations!S378*Inputs!$F$225/1000</f>
        <v>6.77249</v>
      </c>
      <c r="T382" s="20" t="n">
        <f aca="false">Operations!T378*Inputs!$F$225/1000</f>
        <v>6.77249</v>
      </c>
      <c r="U382" s="20" t="n">
        <f aca="false">Operations!U378*Inputs!$F$225/1000</f>
        <v>6.77249</v>
      </c>
      <c r="V382" s="20" t="n">
        <f aca="false">Operations!V378*Inputs!$F$225/1000</f>
        <v>6.77249</v>
      </c>
      <c r="W382" s="20" t="n">
        <f aca="false">Operations!W378*Inputs!$F$225/1000</f>
        <v>0</v>
      </c>
      <c r="X382" s="20" t="n">
        <f aca="false">Operations!X378*Inputs!$F$225/1000</f>
        <v>0</v>
      </c>
      <c r="Y382" s="20" t="n">
        <f aca="false">Operations!Y378*Inputs!$F$225/1000</f>
        <v>0</v>
      </c>
      <c r="Z382" s="20" t="n">
        <f aca="false">Operations!Z378*Inputs!$F$225/1000</f>
        <v>0</v>
      </c>
      <c r="AA382" s="20" t="n">
        <f aca="false">Operations!AA378*Inputs!$F$225/1000</f>
        <v>0</v>
      </c>
      <c r="AB382" s="20" t="n">
        <f aca="false">Operations!AB378*Inputs!$F$225/1000</f>
        <v>0</v>
      </c>
      <c r="AC382" s="20" t="n">
        <f aca="false">Operations!AC378*Inputs!$F$225/1000</f>
        <v>0</v>
      </c>
      <c r="AD382" s="20" t="n">
        <f aca="false">Operations!AD378*Inputs!$F$225/1000</f>
        <v>0</v>
      </c>
      <c r="AE382" s="20" t="n">
        <f aca="false">Operations!AE378*Inputs!$F$225/1000</f>
        <v>0</v>
      </c>
      <c r="AF382" s="20" t="n">
        <f aca="false">Operations!AF378*Inputs!$F$225/1000</f>
        <v>0</v>
      </c>
      <c r="AG382" s="20" t="n">
        <f aca="false">Operations!AG378*Inputs!$F$225/1000</f>
        <v>0</v>
      </c>
      <c r="AH382" s="20" t="n">
        <f aca="false">Operations!AH378*Inputs!$F$225/1000</f>
        <v>0</v>
      </c>
      <c r="AI382" s="20" t="n">
        <f aca="false">Operations!AI378*Inputs!$F$225/1000</f>
        <v>0</v>
      </c>
      <c r="AJ382" s="20" t="n">
        <f aca="false">Operations!AJ378*Inputs!$F$225/1000</f>
        <v>0</v>
      </c>
      <c r="AK382" s="20" t="n">
        <f aca="false">Operations!AK378*Inputs!$F$225/1000</f>
        <v>0</v>
      </c>
      <c r="AL382" s="20" t="n">
        <f aca="false">Operations!AL378*Inputs!$F$225/1000</f>
        <v>0</v>
      </c>
      <c r="AM382" s="20" t="n">
        <f aca="false">Operations!AM378*Inputs!$F$225/1000</f>
        <v>0</v>
      </c>
      <c r="AN382" s="20" t="n">
        <f aca="false">Operations!AN378*Inputs!$F$225/1000</f>
        <v>0</v>
      </c>
      <c r="AO382" s="20" t="n">
        <f aca="false">Operations!AO378*Inputs!$F$225/1000</f>
        <v>0</v>
      </c>
      <c r="AP382" s="20" t="n">
        <f aca="false">Operations!AP378*Inputs!$F$225/1000</f>
        <v>0</v>
      </c>
      <c r="AQ382" s="20" t="n">
        <f aca="false">Operations!AQ378*Inputs!$F$225/1000</f>
        <v>0</v>
      </c>
      <c r="AR382" s="20" t="n">
        <f aca="false">Operations!AR378*Inputs!$F$225/1000</f>
        <v>0</v>
      </c>
      <c r="AS382" s="20" t="n">
        <f aca="false">Operations!AS378*Inputs!$F$225/1000</f>
        <v>0</v>
      </c>
      <c r="AT382" s="20" t="n">
        <f aca="false">Operations!AT378*Inputs!$F$225/1000</f>
        <v>0</v>
      </c>
      <c r="AU382" s="20" t="n">
        <f aca="false">Operations!AU378*Inputs!$F$225/1000</f>
        <v>0</v>
      </c>
    </row>
    <row r="383" customFormat="false" ht="15" hidden="false" customHeight="false" outlineLevel="0" collapsed="false">
      <c r="D383" s="0" t="s">
        <v>776</v>
      </c>
      <c r="E383" s="0" t="s">
        <v>47</v>
      </c>
      <c r="G383" s="20" t="n">
        <f aca="false">SUM(J383:AU383)</f>
        <v>396.023733509412</v>
      </c>
      <c r="J383" s="20" t="n">
        <f aca="false">Operations!J380*Operations!J376/1000</f>
        <v>0</v>
      </c>
      <c r="K383" s="20" t="n">
        <f aca="false">Operations!K380*Operations!K376/1000</f>
        <v>0</v>
      </c>
      <c r="L383" s="20" t="n">
        <f aca="false">Operations!L380*Operations!L376/1000</f>
        <v>0.235148370701091</v>
      </c>
      <c r="M383" s="20" t="n">
        <f aca="false">Operations!M380*Operations!M376/1000</f>
        <v>9.28102602471576</v>
      </c>
      <c r="N383" s="20" t="n">
        <f aca="false">Operations!N380*Operations!N376/1000</f>
        <v>10.133009013983</v>
      </c>
      <c r="O383" s="20" t="n">
        <f aca="false">Operations!O380*Operations!O376/1000</f>
        <v>10.4650131874695</v>
      </c>
      <c r="P383" s="20" t="n">
        <f aca="false">Operations!P380*Operations!P376/1000</f>
        <v>10.5732786737542</v>
      </c>
      <c r="Q383" s="20" t="n">
        <f aca="false">Operations!Q380*Operations!Q376/1000</f>
        <v>10.5577678213317</v>
      </c>
      <c r="R383" s="20" t="n">
        <f aca="false">Operations!R380*Operations!R376/1000</f>
        <v>10.5496277916764</v>
      </c>
      <c r="S383" s="20" t="n">
        <f aca="false">Operations!S380*Operations!S376/1000</f>
        <v>10.456254730904</v>
      </c>
      <c r="T383" s="20" t="n">
        <f aca="false">Operations!T380*Operations!T376/1000</f>
        <v>10.3570254932908</v>
      </c>
      <c r="U383" s="20" t="n">
        <f aca="false">Operations!U380*Operations!U376/1000</f>
        <v>10.2517188815242</v>
      </c>
      <c r="V383" s="20" t="n">
        <f aca="false">Operations!V380*Operations!V376/1000</f>
        <v>10.1401178208443</v>
      </c>
      <c r="W383" s="20" t="n">
        <f aca="false">Operations!W380*Operations!W376/1000</f>
        <v>10.0220093158412</v>
      </c>
      <c r="X383" s="20" t="n">
        <f aca="false">Operations!X380*Operations!X376/1000</f>
        <v>9.89718440760569</v>
      </c>
      <c r="Y383" s="20" t="n">
        <f aca="false">Operations!Y380*Operations!Y376/1000</f>
        <v>9.92719543676923</v>
      </c>
      <c r="Z383" s="20" t="n">
        <f aca="false">Operations!Z380*Operations!Z376/1000</f>
        <v>10.0852031584582</v>
      </c>
      <c r="AA383" s="20" t="n">
        <f aca="false">Operations!AA380*Operations!AA376/1000</f>
        <v>10.2450976578251</v>
      </c>
      <c r="AB383" s="20" t="n">
        <f aca="false">Operations!AB380*Operations!AB376/1000</f>
        <v>10.4084962917669</v>
      </c>
      <c r="AC383" s="20" t="n">
        <f aca="false">Operations!AC380*Operations!AC376/1000</f>
        <v>10.5737070652113</v>
      </c>
      <c r="AD383" s="20" t="n">
        <f aca="false">Operations!AD380*Operations!AD376/1000</f>
        <v>10.7423347922317</v>
      </c>
      <c r="AE383" s="20" t="n">
        <f aca="false">Operations!AE380*Operations!AE376/1000</f>
        <v>10.9127013547905</v>
      </c>
      <c r="AF383" s="20" t="n">
        <f aca="false">Operations!AF380*Operations!AF376/1000</f>
        <v>11.0863991202736</v>
      </c>
      <c r="AG383" s="20" t="n">
        <f aca="false">Operations!AG380*Operations!AG376/1000</f>
        <v>11.2633792491414</v>
      </c>
      <c r="AH383" s="20" t="n">
        <f aca="false">Operations!AH380*Operations!AH376/1000</f>
        <v>11.4419842629492</v>
      </c>
      <c r="AI383" s="20" t="n">
        <f aca="false">Operations!AI380*Operations!AI376/1000</f>
        <v>11.6237880764638</v>
      </c>
      <c r="AJ383" s="20" t="n">
        <f aca="false">Operations!AJ380*Operations!AJ376/1000</f>
        <v>11.8087430101917</v>
      </c>
      <c r="AK383" s="20" t="n">
        <f aca="false">Operations!AK380*Operations!AK376/1000</f>
        <v>11.9968017918203</v>
      </c>
      <c r="AL383" s="20" t="n">
        <f aca="false">Operations!AL380*Operations!AL376/1000</f>
        <v>12.1879175534157</v>
      </c>
      <c r="AM383" s="20" t="n">
        <f aca="false">Operations!AM380*Operations!AM376/1000</f>
        <v>12.382043828637</v>
      </c>
      <c r="AN383" s="20" t="n">
        <f aca="false">Operations!AN380*Operations!AN376/1000</f>
        <v>12.5791345499689</v>
      </c>
      <c r="AO383" s="20" t="n">
        <f aca="false">Operations!AO380*Operations!AO376/1000</f>
        <v>12.7791440459702</v>
      </c>
      <c r="AP383" s="20" t="n">
        <f aca="false">Operations!AP380*Operations!AP376/1000</f>
        <v>12.9820270385394</v>
      </c>
      <c r="AQ383" s="20" t="n">
        <f aca="false">Operations!AQ380*Operations!AQ376/1000</f>
        <v>13.1892906866419</v>
      </c>
      <c r="AR383" s="20" t="n">
        <f aca="false">Operations!AR380*Operations!AR376/1000</f>
        <v>13.3993260279036</v>
      </c>
      <c r="AS383" s="20" t="n">
        <f aca="false">Operations!AS380*Operations!AS376/1000</f>
        <v>13.6120890225018</v>
      </c>
      <c r="AT383" s="20" t="n">
        <f aca="false">Operations!AT380*Operations!AT376/1000</f>
        <v>13.8290695090715</v>
      </c>
      <c r="AU383" s="20" t="n">
        <f aca="false">Operations!AU380*Operations!AU376/1000</f>
        <v>14.0486784452275</v>
      </c>
    </row>
    <row r="384" customFormat="false" ht="15" hidden="false" customHeight="false" outlineLevel="0" collapsed="false">
      <c r="D384" s="0" t="s">
        <v>777</v>
      </c>
      <c r="E384" s="0" t="s">
        <v>47</v>
      </c>
      <c r="G384" s="20" t="n">
        <f aca="false">SUM(J384:AU384)</f>
        <v>398.060313386132</v>
      </c>
      <c r="J384" s="20" t="n">
        <f aca="false">Operations!J383+Operations!J379</f>
        <v>0</v>
      </c>
      <c r="K384" s="20" t="n">
        <f aca="false">Operations!K383+Operations!K379</f>
        <v>0</v>
      </c>
      <c r="L384" s="20" t="n">
        <f aca="false">Operations!L383+Operations!L379</f>
        <v>0.235148370701091</v>
      </c>
      <c r="M384" s="20" t="n">
        <f aca="false">Operations!M383+Operations!M379</f>
        <v>10.2441885212358</v>
      </c>
      <c r="N384" s="20" t="n">
        <f aca="false">Operations!N383+Operations!N379</f>
        <v>10.534058670703</v>
      </c>
      <c r="O384" s="20" t="n">
        <f aca="false">Operations!O383+Operations!O379</f>
        <v>10.6272425271695</v>
      </c>
      <c r="P384" s="20" t="n">
        <f aca="false">Operations!P383+Operations!P379</f>
        <v>10.6364395074342</v>
      </c>
      <c r="Q384" s="20" t="n">
        <f aca="false">Operations!Q383+Operations!Q379</f>
        <v>10.5998106035717</v>
      </c>
      <c r="R384" s="20" t="n">
        <f aca="false">Operations!R383+Operations!R379</f>
        <v>10.5655835691964</v>
      </c>
      <c r="S384" s="20" t="n">
        <f aca="false">Operations!S383+Operations!S379</f>
        <v>10.500657765952</v>
      </c>
      <c r="T384" s="20" t="n">
        <f aca="false">Operations!T383+Operations!T379</f>
        <v>10.4338509484908</v>
      </c>
      <c r="U384" s="20" t="n">
        <f aca="false">Operations!U383+Operations!U379</f>
        <v>10.3651282552482</v>
      </c>
      <c r="V384" s="20" t="n">
        <f aca="false">Operations!V383+Operations!V379</f>
        <v>10.2944589472123</v>
      </c>
      <c r="W384" s="20" t="n">
        <f aca="false">Operations!W383+Operations!W379</f>
        <v>10.0220093158412</v>
      </c>
      <c r="X384" s="20" t="n">
        <f aca="false">Operations!X383+Operations!X379</f>
        <v>9.89718440760569</v>
      </c>
      <c r="Y384" s="20" t="n">
        <f aca="false">Operations!Y383+Operations!Y379</f>
        <v>9.92719543676923</v>
      </c>
      <c r="Z384" s="20" t="n">
        <f aca="false">Operations!Z383+Operations!Z379</f>
        <v>10.0852031584582</v>
      </c>
      <c r="AA384" s="20" t="n">
        <f aca="false">Operations!AA383+Operations!AA379</f>
        <v>10.2450976578251</v>
      </c>
      <c r="AB384" s="20" t="n">
        <f aca="false">Operations!AB383+Operations!AB379</f>
        <v>10.4084962917669</v>
      </c>
      <c r="AC384" s="20" t="n">
        <f aca="false">Operations!AC383+Operations!AC379</f>
        <v>10.5737070652113</v>
      </c>
      <c r="AD384" s="20" t="n">
        <f aca="false">Operations!AD383+Operations!AD379</f>
        <v>10.7423347922317</v>
      </c>
      <c r="AE384" s="20" t="n">
        <f aca="false">Operations!AE383+Operations!AE379</f>
        <v>10.9127013547905</v>
      </c>
      <c r="AF384" s="20" t="n">
        <f aca="false">Operations!AF383+Operations!AF379</f>
        <v>11.0863991202736</v>
      </c>
      <c r="AG384" s="20" t="n">
        <f aca="false">Operations!AG383+Operations!AG379</f>
        <v>11.2633792491414</v>
      </c>
      <c r="AH384" s="20" t="n">
        <f aca="false">Operations!AH383+Operations!AH379</f>
        <v>11.4419842629492</v>
      </c>
      <c r="AI384" s="20" t="n">
        <f aca="false">Operations!AI383+Operations!AI379</f>
        <v>11.6237880764638</v>
      </c>
      <c r="AJ384" s="20" t="n">
        <f aca="false">Operations!AJ383+Operations!AJ379</f>
        <v>11.8087430101917</v>
      </c>
      <c r="AK384" s="20" t="n">
        <f aca="false">Operations!AK383+Operations!AK379</f>
        <v>11.9968017918203</v>
      </c>
      <c r="AL384" s="20" t="n">
        <f aca="false">Operations!AL383+Operations!AL379</f>
        <v>12.1879175534157</v>
      </c>
      <c r="AM384" s="20" t="n">
        <f aca="false">Operations!AM383+Operations!AM379</f>
        <v>12.382043828637</v>
      </c>
      <c r="AN384" s="20" t="n">
        <f aca="false">Operations!AN383+Operations!AN379</f>
        <v>12.5791345499689</v>
      </c>
      <c r="AO384" s="20" t="n">
        <f aca="false">Operations!AO383+Operations!AO379</f>
        <v>12.7791440459702</v>
      </c>
      <c r="AP384" s="20" t="n">
        <f aca="false">Operations!AP383+Operations!AP379</f>
        <v>12.9820270385394</v>
      </c>
      <c r="AQ384" s="20" t="n">
        <f aca="false">Operations!AQ383+Operations!AQ379</f>
        <v>13.1892906866419</v>
      </c>
      <c r="AR384" s="20" t="n">
        <f aca="false">Operations!AR383+Operations!AR379</f>
        <v>13.3993260279036</v>
      </c>
      <c r="AS384" s="20" t="n">
        <f aca="false">Operations!AS383+Operations!AS379</f>
        <v>13.6120890225018</v>
      </c>
      <c r="AT384" s="20" t="n">
        <f aca="false">Operations!AT383+Operations!AT379</f>
        <v>13.8290695090715</v>
      </c>
      <c r="AU384" s="20" t="n">
        <f aca="false">Operations!AU383+Operations!AU379</f>
        <v>14.0486784452275</v>
      </c>
    </row>
    <row r="385" customFormat="false" ht="15" hidden="false" customHeight="false" outlineLevel="0" collapsed="false">
      <c r="D385" s="0" t="s">
        <v>778</v>
      </c>
      <c r="E385" s="0" t="s">
        <v>47</v>
      </c>
      <c r="J385" s="20" t="n">
        <f aca="false">Operations!J384-Operations!J381-Operations!J382</f>
        <v>0</v>
      </c>
      <c r="K385" s="20" t="n">
        <f aca="false">Operations!K384-Operations!K381-Operations!K382</f>
        <v>0</v>
      </c>
      <c r="L385" s="20" t="n">
        <f aca="false">Operations!L384-Operations!L381-Operations!L382</f>
        <v>0.235148370701091</v>
      </c>
      <c r="M385" s="20" t="n">
        <f aca="false">Operations!M384-Operations!M381-Operations!M382</f>
        <v>3.47169852123576</v>
      </c>
      <c r="N385" s="20" t="n">
        <f aca="false">Operations!N384-Operations!N381-Operations!N382</f>
        <v>3.76156867070296</v>
      </c>
      <c r="O385" s="20" t="n">
        <f aca="false">Operations!O384-Operations!O381-Operations!O382</f>
        <v>3.85475252716946</v>
      </c>
      <c r="P385" s="20" t="n">
        <f aca="false">Operations!P384-Operations!P381-Operations!P382</f>
        <v>3.86394950743418</v>
      </c>
      <c r="Q385" s="20" t="n">
        <f aca="false">Operations!Q384-Operations!Q381-Operations!Q382</f>
        <v>3.82732060357171</v>
      </c>
      <c r="R385" s="20" t="n">
        <f aca="false">Operations!R384-Operations!R381-Operations!R382</f>
        <v>3.79309356919636</v>
      </c>
      <c r="S385" s="20" t="n">
        <f aca="false">Operations!S384-Operations!S381-Operations!S382</f>
        <v>3.72816776595202</v>
      </c>
      <c r="T385" s="20" t="n">
        <f aca="false">Operations!T384-Operations!T381-Operations!T382</f>
        <v>3.66136094849085</v>
      </c>
      <c r="U385" s="20" t="n">
        <f aca="false">Operations!U384-Operations!U381-Operations!U382</f>
        <v>3.59263825524821</v>
      </c>
      <c r="V385" s="20" t="n">
        <f aca="false">Operations!V384-Operations!V381-Operations!V382</f>
        <v>3.52196894721228</v>
      </c>
      <c r="W385" s="20" t="n">
        <f aca="false">Operations!W384-Operations!W381-Operations!W382</f>
        <v>10.0220093158412</v>
      </c>
      <c r="X385" s="20" t="n">
        <f aca="false">Operations!X384-Operations!X381-Operations!X382</f>
        <v>9.89718440760569</v>
      </c>
      <c r="Y385" s="20" t="n">
        <f aca="false">Operations!Y384-Operations!Y381-Operations!Y382</f>
        <v>9.92719543676923</v>
      </c>
      <c r="Z385" s="20" t="n">
        <f aca="false">Operations!Z384-Operations!Z381-Operations!Z382</f>
        <v>10.0852031584582</v>
      </c>
      <c r="AA385" s="20" t="n">
        <f aca="false">Operations!AA384-Operations!AA381-Operations!AA382</f>
        <v>10.2450976578251</v>
      </c>
      <c r="AB385" s="20" t="n">
        <f aca="false">Operations!AB384-Operations!AB381-Operations!AB382</f>
        <v>10.4084962917669</v>
      </c>
      <c r="AC385" s="20" t="n">
        <f aca="false">Operations!AC384-Operations!AC381-Operations!AC382</f>
        <v>10.5737070652113</v>
      </c>
      <c r="AD385" s="20" t="n">
        <f aca="false">Operations!AD384-Operations!AD381-Operations!AD382</f>
        <v>10.7423347922317</v>
      </c>
      <c r="AE385" s="20" t="n">
        <f aca="false">Operations!AE384-Operations!AE381-Operations!AE382</f>
        <v>10.9127013547905</v>
      </c>
      <c r="AF385" s="20" t="n">
        <f aca="false">Operations!AF384-Operations!AF381-Operations!AF382</f>
        <v>11.0863991202736</v>
      </c>
      <c r="AG385" s="20" t="n">
        <f aca="false">Operations!AG384-Operations!AG381-Operations!AG382</f>
        <v>11.2633792491414</v>
      </c>
      <c r="AH385" s="20" t="n">
        <f aca="false">Operations!AH384-Operations!AH381-Operations!AH382</f>
        <v>11.4419842629492</v>
      </c>
      <c r="AI385" s="20" t="n">
        <f aca="false">Operations!AI384-Operations!AI381-Operations!AI382</f>
        <v>11.6237880764638</v>
      </c>
      <c r="AJ385" s="20" t="n">
        <f aca="false">Operations!AJ384-Operations!AJ381-Operations!AJ382</f>
        <v>11.8087430101917</v>
      </c>
      <c r="AK385" s="20" t="n">
        <f aca="false">Operations!AK384-Operations!AK381-Operations!AK382</f>
        <v>11.9968017918203</v>
      </c>
      <c r="AL385" s="20" t="n">
        <f aca="false">Operations!AL384-Operations!AL381-Operations!AL382</f>
        <v>12.1879175534157</v>
      </c>
      <c r="AM385" s="20" t="n">
        <f aca="false">Operations!AM384-Operations!AM381-Operations!AM382</f>
        <v>12.382043828637</v>
      </c>
      <c r="AN385" s="20" t="n">
        <f aca="false">Operations!AN384-Operations!AN381-Operations!AN382</f>
        <v>12.5791345499689</v>
      </c>
      <c r="AO385" s="20" t="n">
        <f aca="false">Operations!AO384-Operations!AO381-Operations!AO382</f>
        <v>12.7791440459702</v>
      </c>
      <c r="AP385" s="20" t="n">
        <f aca="false">Operations!AP384-Operations!AP381-Operations!AP382</f>
        <v>12.9820270385394</v>
      </c>
      <c r="AQ385" s="20" t="n">
        <f aca="false">Operations!AQ384-Operations!AQ381-Operations!AQ382</f>
        <v>13.1892906866419</v>
      </c>
      <c r="AR385" s="20" t="n">
        <f aca="false">Operations!AR384-Operations!AR381-Operations!AR382</f>
        <v>13.3993260279036</v>
      </c>
      <c r="AS385" s="20" t="n">
        <f aca="false">Operations!AS384-Operations!AS381-Operations!AS382</f>
        <v>13.6120890225018</v>
      </c>
      <c r="AT385" s="20" t="n">
        <f aca="false">Operations!AT384-Operations!AT381-Operations!AT382</f>
        <v>13.8290695090715</v>
      </c>
      <c r="AU385" s="20" t="n">
        <f aca="false">Operations!AU384-Operations!AU381-Operations!AU382</f>
        <v>14.0486784452275</v>
      </c>
    </row>
    <row r="386" customFormat="false" ht="15" hidden="false" customHeight="false" outlineLevel="0" collapsed="false">
      <c r="D386" s="0" t="s">
        <v>779</v>
      </c>
      <c r="E386" s="0" t="s">
        <v>47</v>
      </c>
      <c r="J386" s="20" t="n">
        <f aca="false">Inputs!$F$173*Inputs!$F$169/1000*Time!J$9*Time!J$10*Operations!J365*Operations!$F$50</f>
        <v>0</v>
      </c>
      <c r="K386" s="20" t="n">
        <f aca="false">Inputs!$F$173*Inputs!$F$169/1000*Time!K$9*Time!K$10*Operations!K365*Operations!$F$50</f>
        <v>0</v>
      </c>
      <c r="L386" s="20" t="n">
        <f aca="false">Inputs!$F$173*Inputs!$F$169/1000*Time!L$9*Time!L$10*Operations!L365*Operations!$F$50</f>
        <v>0.0785682865573771</v>
      </c>
      <c r="M386" s="20" t="n">
        <f aca="false">Inputs!$F$173*Inputs!$F$169/1000*Time!M$9*Time!M$10*Operations!M365*Operations!$F$50</f>
        <v>2.4562410585</v>
      </c>
      <c r="N386" s="20" t="n">
        <f aca="false">Inputs!$F$173*Inputs!$F$169/1000*Time!N$9*Time!N$10*Operations!N365*Operations!$F$50</f>
        <v>2.5176470849625</v>
      </c>
      <c r="O386" s="20" t="n">
        <f aca="false">Inputs!$F$173*Inputs!$F$169/1000*Time!O$9*Time!O$10*Operations!O365*Operations!$F$50</f>
        <v>2.58058826208656</v>
      </c>
      <c r="P386" s="20" t="n">
        <f aca="false">Inputs!$F$173*Inputs!$F$169/1000*Time!P$9*Time!P$10*Operations!P365*Operations!$F$50</f>
        <v>2.64510296863873</v>
      </c>
      <c r="Q386" s="20" t="n">
        <f aca="false">Inputs!$F$173*Inputs!$F$169/1000*Time!Q$9*Time!Q$10*Operations!Q365*Operations!$F$50</f>
        <v>2.71123054285469</v>
      </c>
      <c r="R386" s="20" t="n">
        <f aca="false">Inputs!$F$173*Inputs!$F$169/1000*Time!R$9*Time!R$10*Operations!R365*Operations!$F$50</f>
        <v>2.77901130642606</v>
      </c>
      <c r="S386" s="20" t="n">
        <f aca="false">Inputs!$F$173*Inputs!$F$169/1000*Time!S$9*Time!S$10*Operations!S365*Operations!$F$50</f>
        <v>2.84848658908671</v>
      </c>
      <c r="T386" s="20" t="n">
        <f aca="false">Inputs!$F$173*Inputs!$F$169/1000*Time!T$9*Time!T$10*Operations!T365*Operations!$F$50</f>
        <v>2.91969875381388</v>
      </c>
      <c r="U386" s="20" t="n">
        <f aca="false">Inputs!$F$173*Inputs!$F$169/1000*Time!U$9*Time!U$10*Operations!U365*Operations!$F$50</f>
        <v>2.99269122265923</v>
      </c>
      <c r="V386" s="20" t="n">
        <f aca="false">Inputs!$F$173*Inputs!$F$169/1000*Time!V$9*Time!V$10*Operations!V365*Operations!$F$50</f>
        <v>3.06750850322571</v>
      </c>
      <c r="W386" s="20" t="n">
        <f aca="false">Inputs!$F$173*Inputs!$F$169/1000*Time!W$9*Time!W$10*Operations!W365*Operations!$F$50</f>
        <v>3.14419621580635</v>
      </c>
      <c r="X386" s="20" t="n">
        <f aca="false">Inputs!$F$173*Inputs!$F$169/1000*Time!X$9*Time!X$10*Operations!X365*Operations!$F$50</f>
        <v>3.22280112120151</v>
      </c>
      <c r="Y386" s="20" t="n">
        <f aca="false">Inputs!$F$173*Inputs!$F$169/1000*Time!Y$9*Time!Y$10*Operations!Y365*Operations!$F$50</f>
        <v>3.30337114923154</v>
      </c>
      <c r="Z386" s="20" t="n">
        <f aca="false">Inputs!$F$173*Inputs!$F$169/1000*Time!Z$9*Time!Z$10*Operations!Z365*Operations!$F$50</f>
        <v>3.38595542796233</v>
      </c>
      <c r="AA386" s="20" t="n">
        <f aca="false">Inputs!$F$173*Inputs!$F$169/1000*Time!AA$9*Time!AA$10*Operations!AA365*Operations!$F$50</f>
        <v>3.47060431366139</v>
      </c>
      <c r="AB386" s="20" t="n">
        <f aca="false">Inputs!$F$173*Inputs!$F$169/1000*Time!AB$9*Time!AB$10*Operations!AB365*Operations!$F$50</f>
        <v>3.55736942150293</v>
      </c>
      <c r="AC386" s="20" t="n">
        <f aca="false">Inputs!$F$173*Inputs!$F$169/1000*Time!AC$9*Time!AC$10*Operations!AC365*Operations!$F$50</f>
        <v>3.6463036570405</v>
      </c>
      <c r="AD386" s="20" t="n">
        <f aca="false">Inputs!$F$173*Inputs!$F$169/1000*Time!AD$9*Time!AD$10*Operations!AD365*Operations!$F$50</f>
        <v>3.73746124846651</v>
      </c>
      <c r="AE386" s="20" t="n">
        <f aca="false">Inputs!$F$173*Inputs!$F$169/1000*Time!AE$9*Time!AE$10*Operations!AE365*Operations!$F$50</f>
        <v>3.83089777967817</v>
      </c>
      <c r="AF386" s="20" t="n">
        <f aca="false">Inputs!$F$173*Inputs!$F$169/1000*Time!AF$9*Time!AF$10*Operations!AF365*Operations!$F$50</f>
        <v>3.92667022417013</v>
      </c>
      <c r="AG386" s="20" t="n">
        <f aca="false">Inputs!$F$173*Inputs!$F$169/1000*Time!AG$9*Time!AG$10*Operations!AG365*Operations!$F$50</f>
        <v>4.02483697977438</v>
      </c>
      <c r="AH386" s="20" t="n">
        <f aca="false">Inputs!$F$173*Inputs!$F$169/1000*Time!AH$9*Time!AH$10*Operations!AH365*Operations!$F$50</f>
        <v>4.12545790426874</v>
      </c>
      <c r="AI386" s="20" t="n">
        <f aca="false">Inputs!$F$173*Inputs!$F$169/1000*Time!AI$9*Time!AI$10*Operations!AI365*Operations!$F$50</f>
        <v>4.22859435187546</v>
      </c>
      <c r="AJ386" s="20" t="n">
        <f aca="false">Inputs!$F$173*Inputs!$F$169/1000*Time!AJ$9*Time!AJ$10*Operations!AJ365*Operations!$F$50</f>
        <v>4.33430921067234</v>
      </c>
      <c r="AK386" s="20" t="n">
        <f aca="false">Inputs!$F$173*Inputs!$F$169/1000*Time!AK$9*Time!AK$10*Operations!AK365*Operations!$F$50</f>
        <v>4.44266694093915</v>
      </c>
      <c r="AL386" s="20" t="n">
        <f aca="false">Inputs!$F$173*Inputs!$F$169/1000*Time!AL$9*Time!AL$10*Operations!AL365*Operations!$F$50</f>
        <v>4.55373361446263</v>
      </c>
      <c r="AM386" s="20" t="n">
        <f aca="false">Inputs!$F$173*Inputs!$F$169/1000*Time!AM$9*Time!AM$10*Operations!AM365*Operations!$F$50</f>
        <v>4.6675769548242</v>
      </c>
      <c r="AN386" s="20" t="n">
        <f aca="false">Inputs!$F$173*Inputs!$F$169/1000*Time!AN$9*Time!AN$10*Operations!AN365*Operations!$F$50</f>
        <v>4.7842663786948</v>
      </c>
      <c r="AO386" s="20" t="n">
        <f aca="false">Inputs!$F$173*Inputs!$F$169/1000*Time!AO$9*Time!AO$10*Operations!AO365*Operations!$F$50</f>
        <v>4.90387303816217</v>
      </c>
      <c r="AP386" s="20" t="n">
        <f aca="false">Inputs!$F$173*Inputs!$F$169/1000*Time!AP$9*Time!AP$10*Operations!AP365*Operations!$F$50</f>
        <v>5.02646986411622</v>
      </c>
      <c r="AQ386" s="20" t="n">
        <f aca="false">Inputs!$F$173*Inputs!$F$169/1000*Time!AQ$9*Time!AQ$10*Operations!AQ365*Operations!$F$50</f>
        <v>5.15213161071913</v>
      </c>
      <c r="AR386" s="20" t="n">
        <f aca="false">Inputs!$F$173*Inputs!$F$169/1000*Time!AR$9*Time!AR$10*Operations!AR365*Operations!$F$50</f>
        <v>5.28093490098711</v>
      </c>
      <c r="AS386" s="20" t="n">
        <f aca="false">Inputs!$F$173*Inputs!$F$169/1000*Time!AS$9*Time!AS$10*Operations!AS365*Operations!$F$50</f>
        <v>5.41295827351178</v>
      </c>
      <c r="AT386" s="20" t="n">
        <f aca="false">Inputs!$F$173*Inputs!$F$169/1000*Time!AT$9*Time!AT$10*Operations!AT365*Operations!$F$50</f>
        <v>5.54828223034958</v>
      </c>
      <c r="AU386" s="20" t="n">
        <f aca="false">Inputs!$F$173*Inputs!$F$169/1000*Time!AU$9*Time!AU$10*Operations!AU365*Operations!$F$50</f>
        <v>5.68698928610832</v>
      </c>
    </row>
    <row r="387" customFormat="false" ht="15" hidden="false" customHeight="false" outlineLevel="0" collapsed="false">
      <c r="D387" s="0" t="s">
        <v>780</v>
      </c>
      <c r="E387" s="0" t="s">
        <v>47</v>
      </c>
      <c r="J387" s="20" t="n">
        <f aca="false">0</f>
        <v>0</v>
      </c>
      <c r="K387" s="20" t="n">
        <f aca="false">0</f>
        <v>0</v>
      </c>
      <c r="L387" s="20" t="n">
        <f aca="false">0</f>
        <v>0</v>
      </c>
      <c r="M387" s="20" t="n">
        <f aca="false">0</f>
        <v>0</v>
      </c>
      <c r="N387" s="20" t="n">
        <f aca="false">0</f>
        <v>0</v>
      </c>
      <c r="O387" s="20" t="n">
        <f aca="false">0</f>
        <v>0</v>
      </c>
      <c r="P387" s="20" t="n">
        <f aca="false">0</f>
        <v>0</v>
      </c>
      <c r="Q387" s="20" t="n">
        <f aca="false">0</f>
        <v>0</v>
      </c>
      <c r="R387" s="20" t="n">
        <f aca="false">0</f>
        <v>0</v>
      </c>
      <c r="S387" s="20" t="n">
        <f aca="false">0</f>
        <v>0</v>
      </c>
      <c r="T387" s="20" t="n">
        <f aca="false">0</f>
        <v>0</v>
      </c>
      <c r="U387" s="20" t="n">
        <f aca="false">0</f>
        <v>0</v>
      </c>
      <c r="V387" s="20" t="n">
        <f aca="false">0</f>
        <v>0</v>
      </c>
      <c r="W387" s="20" t="n">
        <f aca="false">0</f>
        <v>0</v>
      </c>
      <c r="X387" s="20" t="n">
        <f aca="false">0</f>
        <v>0</v>
      </c>
      <c r="Y387" s="20" t="n">
        <f aca="false">0</f>
        <v>0</v>
      </c>
      <c r="Z387" s="20" t="n">
        <f aca="false">0</f>
        <v>0</v>
      </c>
      <c r="AA387" s="20" t="n">
        <f aca="false">0</f>
        <v>0</v>
      </c>
      <c r="AB387" s="20" t="n">
        <f aca="false">0</f>
        <v>0</v>
      </c>
      <c r="AC387" s="20" t="n">
        <f aca="false">0</f>
        <v>0</v>
      </c>
      <c r="AD387" s="20" t="n">
        <f aca="false">0</f>
        <v>0</v>
      </c>
      <c r="AE387" s="20" t="n">
        <f aca="false">0</f>
        <v>0</v>
      </c>
      <c r="AF387" s="20" t="n">
        <f aca="false">0</f>
        <v>0</v>
      </c>
      <c r="AG387" s="20" t="n">
        <f aca="false">0</f>
        <v>0</v>
      </c>
      <c r="AH387" s="20" t="n">
        <f aca="false">0</f>
        <v>0</v>
      </c>
      <c r="AI387" s="20" t="n">
        <f aca="false">0</f>
        <v>0</v>
      </c>
      <c r="AJ387" s="20" t="n">
        <f aca="false">0</f>
        <v>0</v>
      </c>
      <c r="AK387" s="20" t="n">
        <f aca="false">0</f>
        <v>0</v>
      </c>
      <c r="AL387" s="20" t="n">
        <f aca="false">0</f>
        <v>0</v>
      </c>
      <c r="AM387" s="20" t="n">
        <f aca="false">0</f>
        <v>0</v>
      </c>
      <c r="AN387" s="20" t="n">
        <f aca="false">0</f>
        <v>0</v>
      </c>
      <c r="AO387" s="20" t="n">
        <f aca="false">0</f>
        <v>0</v>
      </c>
      <c r="AP387" s="20" t="n">
        <f aca="false">0</f>
        <v>0</v>
      </c>
      <c r="AQ387" s="20" t="n">
        <f aca="false">0</f>
        <v>0</v>
      </c>
      <c r="AR387" s="20" t="n">
        <f aca="false">0</f>
        <v>0</v>
      </c>
      <c r="AS387" s="20" t="n">
        <f aca="false">0</f>
        <v>0</v>
      </c>
      <c r="AT387" s="20" t="n">
        <f aca="false">0</f>
        <v>0</v>
      </c>
      <c r="AU387" s="20" t="n">
        <f aca="false">0</f>
        <v>0</v>
      </c>
    </row>
    <row r="388" customFormat="false" ht="15" hidden="false" customHeight="false" outlineLevel="0" collapsed="false">
      <c r="D388" s="0" t="s">
        <v>781</v>
      </c>
      <c r="E388" s="0" t="s">
        <v>47</v>
      </c>
      <c r="J388" s="20" t="n">
        <f aca="false">Inputs!$F$243/100*Inputs!$F$174*Inputs!$F$169/1000*Time!J$9*Operations!J365</f>
        <v>0</v>
      </c>
      <c r="K388" s="20" t="n">
        <f aca="false">Inputs!$F$243/100*Inputs!$F$174*Inputs!$F$169/1000*Time!K$9*Operations!K365</f>
        <v>0</v>
      </c>
      <c r="L388" s="20" t="n">
        <f aca="false">Inputs!$F$243/100*Inputs!$F$174*Inputs!$F$169/1000*Time!L$9*Operations!L365</f>
        <v>0.000942462295081967</v>
      </c>
      <c r="M388" s="20" t="n">
        <f aca="false">Inputs!$F$243/100*Inputs!$F$174*Inputs!$F$169/1000*Time!M$9*Operations!M365</f>
        <v>0.0294637275</v>
      </c>
      <c r="N388" s="20" t="n">
        <f aca="false">Inputs!$F$243/100*Inputs!$F$174*Inputs!$F$169/1000*Time!N$9*Operations!N365</f>
        <v>0.0302003206875</v>
      </c>
      <c r="O388" s="20" t="n">
        <f aca="false">Inputs!$F$243/100*Inputs!$F$174*Inputs!$F$169/1000*Time!O$9*Operations!O365</f>
        <v>0.0309553287046875</v>
      </c>
      <c r="P388" s="20" t="n">
        <f aca="false">Inputs!$F$243/100*Inputs!$F$174*Inputs!$F$169/1000*Time!P$9*Operations!P365</f>
        <v>0.0317292119223047</v>
      </c>
      <c r="Q388" s="20" t="n">
        <f aca="false">Inputs!$F$243/100*Inputs!$F$174*Inputs!$F$169/1000*Time!Q$9*Operations!Q365</f>
        <v>0.0325224422203623</v>
      </c>
      <c r="R388" s="20" t="n">
        <f aca="false">Inputs!$F$243/100*Inputs!$F$174*Inputs!$F$169/1000*Time!R$9*Operations!R365</f>
        <v>0.0333355032758713</v>
      </c>
      <c r="S388" s="20" t="n">
        <f aca="false">Inputs!$F$243/100*Inputs!$F$174*Inputs!$F$169/1000*Time!S$9*Operations!S365</f>
        <v>0.0341688908577681</v>
      </c>
      <c r="T388" s="20" t="n">
        <f aca="false">Inputs!$F$243/100*Inputs!$F$174*Inputs!$F$169/1000*Time!T$9*Operations!T365</f>
        <v>0.0350231131292123</v>
      </c>
      <c r="U388" s="20" t="n">
        <f aca="false">Inputs!$F$243/100*Inputs!$F$174*Inputs!$F$169/1000*Time!U$9*Operations!U365</f>
        <v>0.0358986909574426</v>
      </c>
      <c r="V388" s="20" t="n">
        <f aca="false">Inputs!$F$243/100*Inputs!$F$174*Inputs!$F$169/1000*Time!V$9*Operations!V365</f>
        <v>0.0367961582313787</v>
      </c>
      <c r="W388" s="20" t="n">
        <f aca="false">Inputs!$F$243/100*Inputs!$F$174*Inputs!$F$169/1000*Time!W$9*Operations!W365</f>
        <v>0.0377160621871632</v>
      </c>
      <c r="X388" s="20" t="n">
        <f aca="false">Inputs!$F$243/100*Inputs!$F$174*Inputs!$F$169/1000*Time!X$9*Operations!X365</f>
        <v>0.0386589637418422</v>
      </c>
      <c r="Y388" s="20" t="n">
        <f aca="false">Inputs!$F$243/100*Inputs!$F$174*Inputs!$F$169/1000*Time!Y$9*Operations!Y365</f>
        <v>0.0396254378353883</v>
      </c>
      <c r="Z388" s="20" t="n">
        <f aca="false">Inputs!$F$243/100*Inputs!$F$174*Inputs!$F$169/1000*Time!Z$9*Operations!Z365</f>
        <v>0.040616073781273</v>
      </c>
      <c r="AA388" s="20" t="n">
        <f aca="false">Inputs!$F$243/100*Inputs!$F$174*Inputs!$F$169/1000*Time!AA$9*Operations!AA365</f>
        <v>0.0416314756258048</v>
      </c>
      <c r="AB388" s="20" t="n">
        <f aca="false">Inputs!$F$243/100*Inputs!$F$174*Inputs!$F$169/1000*Time!AB$9*Operations!AB365</f>
        <v>0.0426722625164499</v>
      </c>
      <c r="AC388" s="20" t="n">
        <f aca="false">Inputs!$F$243/100*Inputs!$F$174*Inputs!$F$169/1000*Time!AC$9*Operations!AC365</f>
        <v>0.0437390690793612</v>
      </c>
      <c r="AD388" s="20" t="n">
        <f aca="false">Inputs!$F$243/100*Inputs!$F$174*Inputs!$F$169/1000*Time!AD$9*Operations!AD365</f>
        <v>0.0448325458063452</v>
      </c>
      <c r="AE388" s="20" t="n">
        <f aca="false">Inputs!$F$243/100*Inputs!$F$174*Inputs!$F$169/1000*Time!AE$9*Operations!AE365</f>
        <v>0.0459533594515038</v>
      </c>
      <c r="AF388" s="20" t="n">
        <f aca="false">Inputs!$F$243/100*Inputs!$F$174*Inputs!$F$169/1000*Time!AF$9*Operations!AF365</f>
        <v>0.0471021934377914</v>
      </c>
      <c r="AG388" s="20" t="n">
        <f aca="false">Inputs!$F$243/100*Inputs!$F$174*Inputs!$F$169/1000*Time!AG$9*Operations!AG365</f>
        <v>0.0482797482737362</v>
      </c>
      <c r="AH388" s="20" t="n">
        <f aca="false">Inputs!$F$243/100*Inputs!$F$174*Inputs!$F$169/1000*Time!AH$9*Operations!AH365</f>
        <v>0.0494867419805796</v>
      </c>
      <c r="AI388" s="20" t="n">
        <f aca="false">Inputs!$F$243/100*Inputs!$F$174*Inputs!$F$169/1000*Time!AI$9*Operations!AI365</f>
        <v>0.0507239105300941</v>
      </c>
      <c r="AJ388" s="20" t="n">
        <f aca="false">Inputs!$F$243/100*Inputs!$F$174*Inputs!$F$169/1000*Time!AJ$9*Operations!AJ365</f>
        <v>0.0519920082933464</v>
      </c>
      <c r="AK388" s="20" t="n">
        <f aca="false">Inputs!$F$243/100*Inputs!$F$174*Inputs!$F$169/1000*Time!AK$9*Operations!AK365</f>
        <v>0.0532918085006801</v>
      </c>
      <c r="AL388" s="20" t="n">
        <f aca="false">Inputs!$F$243/100*Inputs!$F$174*Inputs!$F$169/1000*Time!AL$9*Operations!AL365</f>
        <v>0.0546241037131971</v>
      </c>
      <c r="AM388" s="20" t="n">
        <f aca="false">Inputs!$F$243/100*Inputs!$F$174*Inputs!$F$169/1000*Time!AM$9*Operations!AM365</f>
        <v>0.055989706306027</v>
      </c>
      <c r="AN388" s="20" t="n">
        <f aca="false">Inputs!$F$243/100*Inputs!$F$174*Inputs!$F$169/1000*Time!AN$9*Operations!AN365</f>
        <v>0.0573894489636777</v>
      </c>
      <c r="AO388" s="20" t="n">
        <f aca="false">Inputs!$F$243/100*Inputs!$F$174*Inputs!$F$169/1000*Time!AO$9*Operations!AO365</f>
        <v>0.0588241851877696</v>
      </c>
      <c r="AP388" s="20" t="n">
        <f aca="false">Inputs!$F$243/100*Inputs!$F$174*Inputs!$F$169/1000*Time!AP$9*Operations!AP365</f>
        <v>0.0602947898174638</v>
      </c>
      <c r="AQ388" s="20" t="n">
        <f aca="false">Inputs!$F$243/100*Inputs!$F$174*Inputs!$F$169/1000*Time!AQ$9*Operations!AQ365</f>
        <v>0.0618021595629004</v>
      </c>
      <c r="AR388" s="20" t="n">
        <f aca="false">Inputs!$F$243/100*Inputs!$F$174*Inputs!$F$169/1000*Time!AR$9*Operations!AR365</f>
        <v>0.0633472135519729</v>
      </c>
      <c r="AS388" s="20" t="n">
        <f aca="false">Inputs!$F$243/100*Inputs!$F$174*Inputs!$F$169/1000*Time!AS$9*Operations!AS365</f>
        <v>0.0649308938907723</v>
      </c>
      <c r="AT388" s="20" t="n">
        <f aca="false">Inputs!$F$243/100*Inputs!$F$174*Inputs!$F$169/1000*Time!AT$9*Operations!AT365</f>
        <v>0.0665541662380415</v>
      </c>
      <c r="AU388" s="20" t="n">
        <f aca="false">Inputs!$F$243/100*Inputs!$F$174*Inputs!$F$169/1000*Time!AU$9*Operations!AU365</f>
        <v>0.0682180203939926</v>
      </c>
    </row>
    <row r="389" customFormat="false" ht="15" hidden="false" customHeight="false" outlineLevel="0" collapsed="false">
      <c r="D389" s="0" t="s">
        <v>782</v>
      </c>
      <c r="E389" s="0" t="s">
        <v>47</v>
      </c>
      <c r="J389" s="20" t="n">
        <f aca="false">Inputs!$F$244/100*Inputs!$F$245/100*Operations!J384</f>
        <v>0</v>
      </c>
      <c r="K389" s="20" t="n">
        <f aca="false">Inputs!$F$244/100*Inputs!$F$245/100*Operations!K384</f>
        <v>0</v>
      </c>
      <c r="L389" s="20" t="n">
        <f aca="false">Inputs!$F$244/100*Inputs!$F$245/100*Operations!L384</f>
        <v>0.00123452894618073</v>
      </c>
      <c r="M389" s="20" t="n">
        <f aca="false">Inputs!$F$244/100*Inputs!$F$245/100*Operations!M384</f>
        <v>0.0537819897364877</v>
      </c>
      <c r="N389" s="20" t="n">
        <f aca="false">Inputs!$F$244/100*Inputs!$F$245/100*Operations!N384</f>
        <v>0.0553038080211905</v>
      </c>
      <c r="O389" s="20" t="n">
        <f aca="false">Inputs!$F$244/100*Inputs!$F$245/100*Operations!O384</f>
        <v>0.0557930232676396</v>
      </c>
      <c r="P389" s="20" t="n">
        <f aca="false">Inputs!$F$244/100*Inputs!$F$245/100*Operations!P384</f>
        <v>0.0558413074140294</v>
      </c>
      <c r="Q389" s="20" t="n">
        <f aca="false">Inputs!$F$244/100*Inputs!$F$245/100*Operations!Q384</f>
        <v>0.0556490056687515</v>
      </c>
      <c r="R389" s="20" t="n">
        <f aca="false">Inputs!$F$244/100*Inputs!$F$245/100*Operations!R384</f>
        <v>0.0554693137382809</v>
      </c>
      <c r="S389" s="20" t="n">
        <f aca="false">Inputs!$F$244/100*Inputs!$F$245/100*Operations!S384</f>
        <v>0.0551284532712481</v>
      </c>
      <c r="T389" s="20" t="n">
        <f aca="false">Inputs!$F$244/100*Inputs!$F$245/100*Operations!T384</f>
        <v>0.0547777174795769</v>
      </c>
      <c r="U389" s="20" t="n">
        <f aca="false">Inputs!$F$244/100*Inputs!$F$245/100*Operations!U384</f>
        <v>0.0544169233400531</v>
      </c>
      <c r="V389" s="20" t="n">
        <f aca="false">Inputs!$F$244/100*Inputs!$F$245/100*Operations!V384</f>
        <v>0.0540459094728645</v>
      </c>
      <c r="W389" s="20" t="n">
        <f aca="false">Inputs!$F$244/100*Inputs!$F$245/100*Operations!W384</f>
        <v>0.052615548908166</v>
      </c>
      <c r="X389" s="20" t="n">
        <f aca="false">Inputs!$F$244/100*Inputs!$F$245/100*Operations!X384</f>
        <v>0.0519602181399299</v>
      </c>
      <c r="Y389" s="20" t="n">
        <f aca="false">Inputs!$F$244/100*Inputs!$F$245/100*Operations!Y384</f>
        <v>0.0521177760430385</v>
      </c>
      <c r="Z389" s="20" t="n">
        <f aca="false">Inputs!$F$244/100*Inputs!$F$245/100*Operations!Z384</f>
        <v>0.0529473165819053</v>
      </c>
      <c r="AA389" s="20" t="n">
        <f aca="false">Inputs!$F$244/100*Inputs!$F$245/100*Operations!AA384</f>
        <v>0.0537867627035818</v>
      </c>
      <c r="AB389" s="20" t="n">
        <f aca="false">Inputs!$F$244/100*Inputs!$F$245/100*Operations!AB384</f>
        <v>0.0546446055317762</v>
      </c>
      <c r="AC389" s="20" t="n">
        <f aca="false">Inputs!$F$244/100*Inputs!$F$245/100*Operations!AC384</f>
        <v>0.0555119620923594</v>
      </c>
      <c r="AD389" s="20" t="n">
        <f aca="false">Inputs!$F$244/100*Inputs!$F$245/100*Operations!AD384</f>
        <v>0.0563972576592166</v>
      </c>
      <c r="AE389" s="20" t="n">
        <f aca="false">Inputs!$F$244/100*Inputs!$F$245/100*Operations!AE384</f>
        <v>0.0572916821126504</v>
      </c>
      <c r="AF389" s="20" t="n">
        <f aca="false">Inputs!$F$244/100*Inputs!$F$245/100*Operations!AF384</f>
        <v>0.0582035953814364</v>
      </c>
      <c r="AG389" s="20" t="n">
        <f aca="false">Inputs!$F$244/100*Inputs!$F$245/100*Operations!AG384</f>
        <v>0.0591327410579923</v>
      </c>
      <c r="AH389" s="20" t="n">
        <f aca="false">Inputs!$F$244/100*Inputs!$F$245/100*Operations!AH384</f>
        <v>0.0600704173804833</v>
      </c>
      <c r="AI389" s="20" t="n">
        <f aca="false">Inputs!$F$244/100*Inputs!$F$245/100*Operations!AI384</f>
        <v>0.0610248874014348</v>
      </c>
      <c r="AJ389" s="20" t="n">
        <f aca="false">Inputs!$F$244/100*Inputs!$F$245/100*Operations!AJ384</f>
        <v>0.0619959008035063</v>
      </c>
      <c r="AK389" s="20" t="n">
        <f aca="false">Inputs!$F$244/100*Inputs!$F$245/100*Operations!AK384</f>
        <v>0.0629832094070567</v>
      </c>
      <c r="AL389" s="20" t="n">
        <f aca="false">Inputs!$F$244/100*Inputs!$F$245/100*Operations!AL384</f>
        <v>0.0639865671554322</v>
      </c>
      <c r="AM389" s="20" t="n">
        <f aca="false">Inputs!$F$244/100*Inputs!$F$245/100*Operations!AM384</f>
        <v>0.0650057301003441</v>
      </c>
      <c r="AN389" s="20" t="n">
        <f aca="false">Inputs!$F$244/100*Inputs!$F$245/100*Operations!AN384</f>
        <v>0.0660404563873368</v>
      </c>
      <c r="AO389" s="20" t="n">
        <f aca="false">Inputs!$F$244/100*Inputs!$F$245/100*Operations!AO384</f>
        <v>0.0670905062413437</v>
      </c>
      <c r="AP389" s="20" t="n">
        <f aca="false">Inputs!$F$244/100*Inputs!$F$245/100*Operations!AP384</f>
        <v>0.068155641952332</v>
      </c>
      <c r="AQ389" s="20" t="n">
        <f aca="false">Inputs!$F$244/100*Inputs!$F$245/100*Operations!AQ384</f>
        <v>0.0692437761048702</v>
      </c>
      <c r="AR389" s="20" t="n">
        <f aca="false">Inputs!$F$244/100*Inputs!$F$245/100*Operations!AR384</f>
        <v>0.0703464616464941</v>
      </c>
      <c r="AS389" s="20" t="n">
        <f aca="false">Inputs!$F$244/100*Inputs!$F$245/100*Operations!AS384</f>
        <v>0.0714634673681342</v>
      </c>
      <c r="AT389" s="20" t="n">
        <f aca="false">Inputs!$F$244/100*Inputs!$F$245/100*Operations!AT384</f>
        <v>0.0726026149226254</v>
      </c>
      <c r="AU389" s="20" t="n">
        <f aca="false">Inputs!$F$244/100*Inputs!$F$245/100*Operations!AU384</f>
        <v>0.0737555618374446</v>
      </c>
    </row>
    <row r="390" customFormat="false" ht="15" hidden="false" customHeight="false" outlineLevel="0" collapsed="false">
      <c r="D390" s="0" t="s">
        <v>783</v>
      </c>
      <c r="E390" s="0" t="s">
        <v>47</v>
      </c>
      <c r="G390" s="20" t="n">
        <f aca="false">SUM(J390:AU390)</f>
        <v>259.355677865407</v>
      </c>
      <c r="J390" s="20" t="n">
        <f aca="false">Operations!J384-Operations!J386-Operations!J387-Operations!J388-Operations!J389</f>
        <v>0</v>
      </c>
      <c r="K390" s="20" t="n">
        <f aca="false">Operations!K384-Operations!K386-Operations!K387-Operations!K388-Operations!K389</f>
        <v>0</v>
      </c>
      <c r="L390" s="20" t="n">
        <f aca="false">Operations!L384-Operations!L386-Operations!L387-Operations!L388-Operations!L389</f>
        <v>0.154403092902451</v>
      </c>
      <c r="M390" s="20" t="n">
        <f aca="false">Operations!M384-Operations!M386-Operations!M387-Operations!M388-Operations!M389</f>
        <v>7.70470174549927</v>
      </c>
      <c r="N390" s="20" t="n">
        <f aca="false">Operations!N384-Operations!N386-Operations!N387-Operations!N388-Operations!N389</f>
        <v>7.93090745703177</v>
      </c>
      <c r="O390" s="20" t="n">
        <f aca="false">Operations!O384-Operations!O386-Operations!O387-Operations!O388-Operations!O389</f>
        <v>7.95990591311057</v>
      </c>
      <c r="P390" s="20" t="n">
        <f aca="false">Operations!P384-Operations!P386-Operations!P387-Operations!P388-Operations!P389</f>
        <v>7.90376601945912</v>
      </c>
      <c r="Q390" s="20" t="n">
        <f aca="false">Operations!Q384-Operations!Q386-Operations!Q387-Operations!Q388-Operations!Q389</f>
        <v>7.8004086128279</v>
      </c>
      <c r="R390" s="20" t="n">
        <f aca="false">Operations!R384-Operations!R386-Operations!R387-Operations!R388-Operations!R389</f>
        <v>7.69776744575615</v>
      </c>
      <c r="S390" s="20" t="n">
        <f aca="false">Operations!S384-Operations!S386-Operations!S387-Operations!S388-Operations!S389</f>
        <v>7.56287383273629</v>
      </c>
      <c r="T390" s="20" t="n">
        <f aca="false">Operations!T384-Operations!T386-Operations!T387-Operations!T388-Operations!T389</f>
        <v>7.42435136406818</v>
      </c>
      <c r="U390" s="20" t="n">
        <f aca="false">Operations!U384-Operations!U386-Operations!U387-Operations!U388-Operations!U389</f>
        <v>7.28212141829149</v>
      </c>
      <c r="V390" s="20" t="n">
        <f aca="false">Operations!V384-Operations!V386-Operations!V387-Operations!V388-Operations!V389</f>
        <v>7.13610837628233</v>
      </c>
      <c r="W390" s="20" t="n">
        <f aca="false">Operations!W384-Operations!W386-Operations!W387-Operations!W388-Operations!W389</f>
        <v>6.78748148893947</v>
      </c>
      <c r="X390" s="20" t="n">
        <f aca="false">Operations!X384-Operations!X386-Operations!X387-Operations!X388-Operations!X389</f>
        <v>6.58376410452241</v>
      </c>
      <c r="Y390" s="20" t="n">
        <f aca="false">Operations!Y384-Operations!Y386-Operations!Y387-Operations!Y388-Operations!Y389</f>
        <v>6.53208107365926</v>
      </c>
      <c r="Z390" s="20" t="n">
        <f aca="false">Operations!Z384-Operations!Z386-Operations!Z387-Operations!Z388-Operations!Z389</f>
        <v>6.60568434013264</v>
      </c>
      <c r="AA390" s="20" t="n">
        <f aca="false">Operations!AA384-Operations!AA386-Operations!AA387-Operations!AA388-Operations!AA389</f>
        <v>6.67907510583432</v>
      </c>
      <c r="AB390" s="20" t="n">
        <f aca="false">Operations!AB384-Operations!AB386-Operations!AB387-Operations!AB388-Operations!AB389</f>
        <v>6.75381000221574</v>
      </c>
      <c r="AC390" s="20" t="n">
        <f aca="false">Operations!AC384-Operations!AC386-Operations!AC387-Operations!AC388-Operations!AC389</f>
        <v>6.8281523769991</v>
      </c>
      <c r="AD390" s="20" t="n">
        <f aca="false">Operations!AD384-Operations!AD386-Operations!AD387-Operations!AD388-Operations!AD389</f>
        <v>6.90364374029967</v>
      </c>
      <c r="AE390" s="20" t="n">
        <f aca="false">Operations!AE384-Operations!AE386-Operations!AE387-Operations!AE388-Operations!AE389</f>
        <v>6.97855853354822</v>
      </c>
      <c r="AF390" s="20" t="n">
        <f aca="false">Operations!AF384-Operations!AF386-Operations!AF387-Operations!AF388-Operations!AF389</f>
        <v>7.05442310728425</v>
      </c>
      <c r="AG390" s="20" t="n">
        <f aca="false">Operations!AG384-Operations!AG386-Operations!AG387-Operations!AG388-Operations!AG389</f>
        <v>7.13112978003527</v>
      </c>
      <c r="AH390" s="20" t="n">
        <f aca="false">Operations!AH384-Operations!AH386-Operations!AH387-Operations!AH388-Operations!AH389</f>
        <v>7.2069691993194</v>
      </c>
      <c r="AI390" s="20" t="n">
        <f aca="false">Operations!AI384-Operations!AI386-Operations!AI387-Operations!AI388-Operations!AI389</f>
        <v>7.28344492665678</v>
      </c>
      <c r="AJ390" s="20" t="n">
        <f aca="false">Operations!AJ384-Operations!AJ386-Operations!AJ387-Operations!AJ388-Operations!AJ389</f>
        <v>7.36044589042248</v>
      </c>
      <c r="AK390" s="20" t="n">
        <f aca="false">Operations!AK384-Operations!AK386-Operations!AK387-Operations!AK388-Operations!AK389</f>
        <v>7.43785983297344</v>
      </c>
      <c r="AL390" s="20" t="n">
        <f aca="false">Operations!AL384-Operations!AL386-Operations!AL387-Operations!AL388-Operations!AL389</f>
        <v>7.51557326808439</v>
      </c>
      <c r="AM390" s="20" t="n">
        <f aca="false">Operations!AM384-Operations!AM386-Operations!AM387-Operations!AM388-Operations!AM389</f>
        <v>7.59347143740641</v>
      </c>
      <c r="AN390" s="20" t="n">
        <f aca="false">Operations!AN384-Operations!AN386-Operations!AN387-Operations!AN388-Operations!AN389</f>
        <v>7.67143826592311</v>
      </c>
      <c r="AO390" s="20" t="n">
        <f aca="false">Operations!AO384-Operations!AO386-Operations!AO387-Operations!AO388-Operations!AO389</f>
        <v>7.74935631637894</v>
      </c>
      <c r="AP390" s="20" t="n">
        <f aca="false">Operations!AP384-Operations!AP386-Operations!AP387-Operations!AP388-Operations!AP389</f>
        <v>7.82710674265341</v>
      </c>
      <c r="AQ390" s="20" t="n">
        <f aca="false">Operations!AQ384-Operations!AQ386-Operations!AQ387-Operations!AQ388-Operations!AQ389</f>
        <v>7.90611314025504</v>
      </c>
      <c r="AR390" s="20" t="n">
        <f aca="false">Operations!AR384-Operations!AR386-Operations!AR387-Operations!AR388-Operations!AR389</f>
        <v>7.98469745171806</v>
      </c>
      <c r="AS390" s="20" t="n">
        <f aca="false">Operations!AS384-Operations!AS386-Operations!AS387-Operations!AS388-Operations!AS389</f>
        <v>8.06273638773107</v>
      </c>
      <c r="AT390" s="20" t="n">
        <f aca="false">Operations!AT384-Operations!AT386-Operations!AT387-Operations!AT388-Operations!AT389</f>
        <v>8.14163049756126</v>
      </c>
      <c r="AU390" s="20" t="n">
        <f aca="false">Operations!AU384-Operations!AU386-Operations!AU387-Operations!AU388-Operations!AU389</f>
        <v>8.21971557688779</v>
      </c>
    </row>
    <row r="391" customFormat="false" ht="15" hidden="false" customHeight="false" outlineLevel="0" collapsed="false">
      <c r="D391" s="0" t="s">
        <v>784</v>
      </c>
      <c r="E391" s="0" t="s">
        <v>47</v>
      </c>
      <c r="J391" s="20" t="n">
        <f aca="false">0</f>
        <v>0</v>
      </c>
      <c r="K391" s="20" t="n">
        <f aca="false">0</f>
        <v>0</v>
      </c>
      <c r="L391" s="20" t="n">
        <f aca="false">0</f>
        <v>0</v>
      </c>
      <c r="M391" s="20" t="n">
        <f aca="false">0</f>
        <v>0</v>
      </c>
      <c r="N391" s="20" t="n">
        <f aca="false">0</f>
        <v>0</v>
      </c>
      <c r="O391" s="20" t="n">
        <f aca="false">0</f>
        <v>0</v>
      </c>
      <c r="P391" s="20" t="n">
        <f aca="false">0</f>
        <v>0</v>
      </c>
      <c r="Q391" s="20" t="n">
        <f aca="false">0</f>
        <v>0</v>
      </c>
      <c r="R391" s="20" t="n">
        <f aca="false">0</f>
        <v>0</v>
      </c>
      <c r="S391" s="20" t="n">
        <f aca="false">0</f>
        <v>0</v>
      </c>
      <c r="T391" s="20" t="n">
        <f aca="false">0</f>
        <v>0</v>
      </c>
      <c r="U391" s="20" t="n">
        <f aca="false">0</f>
        <v>0</v>
      </c>
      <c r="V391" s="20" t="n">
        <f aca="false">0</f>
        <v>0</v>
      </c>
      <c r="W391" s="20" t="n">
        <f aca="false">0</f>
        <v>0</v>
      </c>
      <c r="X391" s="20" t="n">
        <f aca="false">0</f>
        <v>0</v>
      </c>
      <c r="Y391" s="20" t="n">
        <f aca="false">0</f>
        <v>0</v>
      </c>
      <c r="Z391" s="20" t="n">
        <f aca="false">0</f>
        <v>0</v>
      </c>
      <c r="AA391" s="20" t="n">
        <f aca="false">0</f>
        <v>0</v>
      </c>
      <c r="AB391" s="20" t="n">
        <f aca="false">0</f>
        <v>0</v>
      </c>
      <c r="AC391" s="20" t="n">
        <f aca="false">0</f>
        <v>0</v>
      </c>
      <c r="AD391" s="20" t="n">
        <f aca="false">0</f>
        <v>0</v>
      </c>
      <c r="AE391" s="20" t="n">
        <f aca="false">0</f>
        <v>0</v>
      </c>
      <c r="AF391" s="20" t="n">
        <f aca="false">0</f>
        <v>0</v>
      </c>
      <c r="AG391" s="20" t="n">
        <f aca="false">0</f>
        <v>0</v>
      </c>
      <c r="AH391" s="20" t="n">
        <f aca="false">0</f>
        <v>0</v>
      </c>
      <c r="AI391" s="20" t="n">
        <f aca="false">0</f>
        <v>0</v>
      </c>
      <c r="AJ391" s="20" t="n">
        <f aca="false">0</f>
        <v>0</v>
      </c>
      <c r="AK391" s="20" t="n">
        <f aca="false">0</f>
        <v>0</v>
      </c>
      <c r="AL391" s="20" t="n">
        <f aca="false">0</f>
        <v>0</v>
      </c>
      <c r="AM391" s="20" t="n">
        <f aca="false">0</f>
        <v>0</v>
      </c>
      <c r="AN391" s="20" t="n">
        <f aca="false">0</f>
        <v>0</v>
      </c>
      <c r="AO391" s="20" t="n">
        <f aca="false">0</f>
        <v>0</v>
      </c>
      <c r="AP391" s="20" t="n">
        <f aca="false">0</f>
        <v>0</v>
      </c>
      <c r="AQ391" s="20" t="n">
        <f aca="false">0</f>
        <v>0</v>
      </c>
      <c r="AR391" s="20" t="n">
        <f aca="false">0</f>
        <v>0</v>
      </c>
      <c r="AS391" s="20" t="n">
        <f aca="false">0</f>
        <v>0</v>
      </c>
      <c r="AT391" s="20" t="n">
        <f aca="false">0</f>
        <v>0</v>
      </c>
      <c r="AU391" s="20" t="n">
        <f aca="false">0</f>
        <v>0</v>
      </c>
    </row>
    <row r="392" customFormat="false" ht="15" hidden="false" customHeight="false" outlineLevel="0" collapsed="false">
      <c r="D392" s="0" t="s">
        <v>785</v>
      </c>
      <c r="E392" s="0" t="s">
        <v>47</v>
      </c>
      <c r="J392" s="20" t="n">
        <f aca="false">IF(Time!J$4=YEAR(Inputs!$F$171),Inputs!$F$174*Inputs!$F$169/1000*Time!J$9,0)</f>
        <v>0</v>
      </c>
      <c r="K392" s="20" t="n">
        <f aca="false">IF(Time!K$4=YEAR(Inputs!$F$171),Inputs!$F$174*Inputs!$F$169/1000*Time!K$9,0)</f>
        <v>0</v>
      </c>
      <c r="L392" s="20" t="n">
        <f aca="false">IF(Time!L$4=YEAR(Inputs!$F$171),Inputs!$F$174*Inputs!$F$169/1000*Time!L$9,0)</f>
        <v>0</v>
      </c>
      <c r="M392" s="20" t="n">
        <f aca="false">IF(Time!M$4=YEAR(Inputs!$F$171),Inputs!$F$174*Inputs!$F$169/1000*Time!M$9,0)</f>
        <v>0</v>
      </c>
      <c r="N392" s="20" t="n">
        <f aca="false">IF(Time!N$4=YEAR(Inputs!$F$171),Inputs!$F$174*Inputs!$F$169/1000*Time!N$9,0)</f>
        <v>0</v>
      </c>
      <c r="O392" s="20" t="n">
        <f aca="false">IF(Time!O$4=YEAR(Inputs!$F$171),Inputs!$F$174*Inputs!$F$169/1000*Time!O$9,0)</f>
        <v>0</v>
      </c>
      <c r="P392" s="20" t="n">
        <f aca="false">IF(Time!P$4=YEAR(Inputs!$F$171),Inputs!$F$174*Inputs!$F$169/1000*Time!P$9,0)</f>
        <v>0</v>
      </c>
      <c r="Q392" s="20" t="n">
        <f aca="false">IF(Time!Q$4=YEAR(Inputs!$F$171),Inputs!$F$174*Inputs!$F$169/1000*Time!Q$9,0)</f>
        <v>0</v>
      </c>
      <c r="R392" s="20" t="n">
        <f aca="false">IF(Time!R$4=YEAR(Inputs!$F$171),Inputs!$F$174*Inputs!$F$169/1000*Time!R$9,0)</f>
        <v>0</v>
      </c>
      <c r="S392" s="20" t="n">
        <f aca="false">IF(Time!S$4=YEAR(Inputs!$F$171),Inputs!$F$174*Inputs!$F$169/1000*Time!S$9,0)</f>
        <v>0</v>
      </c>
      <c r="T392" s="20" t="n">
        <f aca="false">IF(Time!T$4=YEAR(Inputs!$F$171),Inputs!$F$174*Inputs!$F$169/1000*Time!T$9,0)</f>
        <v>0</v>
      </c>
      <c r="U392" s="20" t="n">
        <f aca="false">IF(Time!U$4=YEAR(Inputs!$F$171),Inputs!$F$174*Inputs!$F$169/1000*Time!U$9,0)</f>
        <v>0</v>
      </c>
      <c r="V392" s="20" t="n">
        <f aca="false">IF(Time!V$4=YEAR(Inputs!$F$171),Inputs!$F$174*Inputs!$F$169/1000*Time!V$9,0)</f>
        <v>0</v>
      </c>
      <c r="W392" s="20" t="n">
        <f aca="false">IF(Time!W$4=YEAR(Inputs!$F$171),Inputs!$F$174*Inputs!$F$169/1000*Time!W$9,0)</f>
        <v>0</v>
      </c>
      <c r="X392" s="20" t="n">
        <f aca="false">IF(Time!X$4=YEAR(Inputs!$F$171),Inputs!$F$174*Inputs!$F$169/1000*Time!X$9,0)</f>
        <v>0</v>
      </c>
      <c r="Y392" s="20" t="n">
        <f aca="false">IF(Time!Y$4=YEAR(Inputs!$F$171),Inputs!$F$174*Inputs!$F$169/1000*Time!Y$9,0)</f>
        <v>0</v>
      </c>
      <c r="Z392" s="20" t="n">
        <f aca="false">IF(Time!Z$4=YEAR(Inputs!$F$171),Inputs!$F$174*Inputs!$F$169/1000*Time!Z$9,0)</f>
        <v>0</v>
      </c>
      <c r="AA392" s="20" t="n">
        <f aca="false">IF(Time!AA$4=YEAR(Inputs!$F$171),Inputs!$F$174*Inputs!$F$169/1000*Time!AA$9,0)</f>
        <v>0</v>
      </c>
      <c r="AB392" s="20" t="n">
        <f aca="false">IF(Time!AB$4=YEAR(Inputs!$F$171),Inputs!$F$174*Inputs!$F$169/1000*Time!AB$9,0)</f>
        <v>0</v>
      </c>
      <c r="AC392" s="20" t="n">
        <f aca="false">IF(Time!AC$4=YEAR(Inputs!$F$171),Inputs!$F$174*Inputs!$F$169/1000*Time!AC$9,0)</f>
        <v>0</v>
      </c>
      <c r="AD392" s="20" t="n">
        <f aca="false">IF(Time!AD$4=YEAR(Inputs!$F$171),Inputs!$F$174*Inputs!$F$169/1000*Time!AD$9,0)</f>
        <v>0</v>
      </c>
      <c r="AE392" s="20" t="n">
        <f aca="false">IF(Time!AE$4=YEAR(Inputs!$F$171),Inputs!$F$174*Inputs!$F$169/1000*Time!AE$9,0)</f>
        <v>0</v>
      </c>
      <c r="AF392" s="20" t="n">
        <f aca="false">IF(Time!AF$4=YEAR(Inputs!$F$171),Inputs!$F$174*Inputs!$F$169/1000*Time!AF$9,0)</f>
        <v>0</v>
      </c>
      <c r="AG392" s="20" t="n">
        <f aca="false">IF(Time!AG$4=YEAR(Inputs!$F$171),Inputs!$F$174*Inputs!$F$169/1000*Time!AG$9,0)</f>
        <v>0</v>
      </c>
      <c r="AH392" s="20" t="n">
        <f aca="false">IF(Time!AH$4=YEAR(Inputs!$F$171),Inputs!$F$174*Inputs!$F$169/1000*Time!AH$9,0)</f>
        <v>0</v>
      </c>
      <c r="AI392" s="20" t="n">
        <f aca="false">IF(Time!AI$4=YEAR(Inputs!$F$171),Inputs!$F$174*Inputs!$F$169/1000*Time!AI$9,0)</f>
        <v>0</v>
      </c>
      <c r="AJ392" s="20" t="n">
        <f aca="false">IF(Time!AJ$4=YEAR(Inputs!$F$171),Inputs!$F$174*Inputs!$F$169/1000*Time!AJ$9,0)</f>
        <v>0</v>
      </c>
      <c r="AK392" s="20" t="n">
        <f aca="false">IF(Time!AK$4=YEAR(Inputs!$F$171),Inputs!$F$174*Inputs!$F$169/1000*Time!AK$9,0)</f>
        <v>0</v>
      </c>
      <c r="AL392" s="20" t="n">
        <f aca="false">IF(Time!AL$4=YEAR(Inputs!$F$171),Inputs!$F$174*Inputs!$F$169/1000*Time!AL$9,0)</f>
        <v>0</v>
      </c>
      <c r="AM392" s="20" t="n">
        <f aca="false">IF(Time!AM$4=YEAR(Inputs!$F$171),Inputs!$F$174*Inputs!$F$169/1000*Time!AM$9,0)</f>
        <v>0</v>
      </c>
      <c r="AN392" s="20" t="n">
        <f aca="false">IF(Time!AN$4=YEAR(Inputs!$F$171),Inputs!$F$174*Inputs!$F$169/1000*Time!AN$9,0)</f>
        <v>0</v>
      </c>
      <c r="AO392" s="20" t="n">
        <f aca="false">IF(Time!AO$4=YEAR(Inputs!$F$171),Inputs!$F$174*Inputs!$F$169/1000*Time!AO$9,0)</f>
        <v>0</v>
      </c>
      <c r="AP392" s="20" t="n">
        <f aca="false">IF(Time!AP$4=YEAR(Inputs!$F$171),Inputs!$F$174*Inputs!$F$169/1000*Time!AP$9,0)</f>
        <v>0</v>
      </c>
      <c r="AQ392" s="20" t="n">
        <f aca="false">IF(Time!AQ$4=YEAR(Inputs!$F$171),Inputs!$F$174*Inputs!$F$169/1000*Time!AQ$9,0)</f>
        <v>0</v>
      </c>
      <c r="AR392" s="20" t="n">
        <f aca="false">IF(Time!AR$4=YEAR(Inputs!$F$171),Inputs!$F$174*Inputs!$F$169/1000*Time!AR$9,0)</f>
        <v>0</v>
      </c>
      <c r="AS392" s="20" t="n">
        <f aca="false">IF(Time!AS$4=YEAR(Inputs!$F$171),Inputs!$F$174*Inputs!$F$169/1000*Time!AS$9,0)</f>
        <v>0</v>
      </c>
      <c r="AT392" s="20" t="n">
        <f aca="false">IF(Time!AT$4=YEAR(Inputs!$F$171),Inputs!$F$174*Inputs!$F$169/1000*Time!AT$9,0)</f>
        <v>0</v>
      </c>
      <c r="AU392" s="20" t="n">
        <f aca="false">IF(Time!AU$4=YEAR(Inputs!$F$171),Inputs!$F$174*Inputs!$F$169/1000*Time!AU$9,0)</f>
        <v>11.3696700656654</v>
      </c>
    </row>
    <row r="393" customFormat="false" ht="15" hidden="false" customHeight="false" outlineLevel="0" collapsed="false">
      <c r="D393" s="0" t="s">
        <v>786</v>
      </c>
      <c r="E393" s="0" t="s">
        <v>47</v>
      </c>
      <c r="G393" s="20" t="n">
        <f aca="false">SUM(J393:AU393)</f>
        <v>247.986007799742</v>
      </c>
      <c r="J393" s="20" t="n">
        <f aca="false">Operations!J390-Operations!J391-Operations!J392</f>
        <v>0</v>
      </c>
      <c r="K393" s="20" t="n">
        <f aca="false">Operations!K390-Operations!K391-Operations!K392</f>
        <v>0</v>
      </c>
      <c r="L393" s="20" t="n">
        <f aca="false">Operations!L390-Operations!L391-Operations!L392</f>
        <v>0.154403092902451</v>
      </c>
      <c r="M393" s="20" t="n">
        <f aca="false">Operations!M390-Operations!M391-Operations!M392</f>
        <v>7.70470174549927</v>
      </c>
      <c r="N393" s="20" t="n">
        <f aca="false">Operations!N390-Operations!N391-Operations!N392</f>
        <v>7.93090745703177</v>
      </c>
      <c r="O393" s="20" t="n">
        <f aca="false">Operations!O390-Operations!O391-Operations!O392</f>
        <v>7.95990591311057</v>
      </c>
      <c r="P393" s="20" t="n">
        <f aca="false">Operations!P390-Operations!P391-Operations!P392</f>
        <v>7.90376601945912</v>
      </c>
      <c r="Q393" s="20" t="n">
        <f aca="false">Operations!Q390-Operations!Q391-Operations!Q392</f>
        <v>7.8004086128279</v>
      </c>
      <c r="R393" s="20" t="n">
        <f aca="false">Operations!R390-Operations!R391-Operations!R392</f>
        <v>7.69776744575615</v>
      </c>
      <c r="S393" s="20" t="n">
        <f aca="false">Operations!S390-Operations!S391-Operations!S392</f>
        <v>7.56287383273629</v>
      </c>
      <c r="T393" s="20" t="n">
        <f aca="false">Operations!T390-Operations!T391-Operations!T392</f>
        <v>7.42435136406818</v>
      </c>
      <c r="U393" s="20" t="n">
        <f aca="false">Operations!U390-Operations!U391-Operations!U392</f>
        <v>7.28212141829149</v>
      </c>
      <c r="V393" s="20" t="n">
        <f aca="false">Operations!V390-Operations!V391-Operations!V392</f>
        <v>7.13610837628233</v>
      </c>
      <c r="W393" s="20" t="n">
        <f aca="false">Operations!W390-Operations!W391-Operations!W392</f>
        <v>6.78748148893947</v>
      </c>
      <c r="X393" s="20" t="n">
        <f aca="false">Operations!X390-Operations!X391-Operations!X392</f>
        <v>6.58376410452241</v>
      </c>
      <c r="Y393" s="20" t="n">
        <f aca="false">Operations!Y390-Operations!Y391-Operations!Y392</f>
        <v>6.53208107365926</v>
      </c>
      <c r="Z393" s="20" t="n">
        <f aca="false">Operations!Z390-Operations!Z391-Operations!Z392</f>
        <v>6.60568434013264</v>
      </c>
      <c r="AA393" s="20" t="n">
        <f aca="false">Operations!AA390-Operations!AA391-Operations!AA392</f>
        <v>6.67907510583432</v>
      </c>
      <c r="AB393" s="20" t="n">
        <f aca="false">Operations!AB390-Operations!AB391-Operations!AB392</f>
        <v>6.75381000221574</v>
      </c>
      <c r="AC393" s="20" t="n">
        <f aca="false">Operations!AC390-Operations!AC391-Operations!AC392</f>
        <v>6.8281523769991</v>
      </c>
      <c r="AD393" s="20" t="n">
        <f aca="false">Operations!AD390-Operations!AD391-Operations!AD392</f>
        <v>6.90364374029967</v>
      </c>
      <c r="AE393" s="20" t="n">
        <f aca="false">Operations!AE390-Operations!AE391-Operations!AE392</f>
        <v>6.97855853354822</v>
      </c>
      <c r="AF393" s="20" t="n">
        <f aca="false">Operations!AF390-Operations!AF391-Operations!AF392</f>
        <v>7.05442310728425</v>
      </c>
      <c r="AG393" s="20" t="n">
        <f aca="false">Operations!AG390-Operations!AG391-Operations!AG392</f>
        <v>7.13112978003527</v>
      </c>
      <c r="AH393" s="20" t="n">
        <f aca="false">Operations!AH390-Operations!AH391-Operations!AH392</f>
        <v>7.2069691993194</v>
      </c>
      <c r="AI393" s="20" t="n">
        <f aca="false">Operations!AI390-Operations!AI391-Operations!AI392</f>
        <v>7.28344492665678</v>
      </c>
      <c r="AJ393" s="20" t="n">
        <f aca="false">Operations!AJ390-Operations!AJ391-Operations!AJ392</f>
        <v>7.36044589042248</v>
      </c>
      <c r="AK393" s="20" t="n">
        <f aca="false">Operations!AK390-Operations!AK391-Operations!AK392</f>
        <v>7.43785983297344</v>
      </c>
      <c r="AL393" s="20" t="n">
        <f aca="false">Operations!AL390-Operations!AL391-Operations!AL392</f>
        <v>7.51557326808439</v>
      </c>
      <c r="AM393" s="20" t="n">
        <f aca="false">Operations!AM390-Operations!AM391-Operations!AM392</f>
        <v>7.59347143740641</v>
      </c>
      <c r="AN393" s="20" t="n">
        <f aca="false">Operations!AN390-Operations!AN391-Operations!AN392</f>
        <v>7.67143826592311</v>
      </c>
      <c r="AO393" s="20" t="n">
        <f aca="false">Operations!AO390-Operations!AO391-Operations!AO392</f>
        <v>7.74935631637894</v>
      </c>
      <c r="AP393" s="20" t="n">
        <f aca="false">Operations!AP390-Operations!AP391-Operations!AP392</f>
        <v>7.82710674265341</v>
      </c>
      <c r="AQ393" s="20" t="n">
        <f aca="false">Operations!AQ390-Operations!AQ391-Operations!AQ392</f>
        <v>7.90611314025504</v>
      </c>
      <c r="AR393" s="20" t="n">
        <f aca="false">Operations!AR390-Operations!AR391-Operations!AR392</f>
        <v>7.98469745171806</v>
      </c>
      <c r="AS393" s="20" t="n">
        <f aca="false">Operations!AS390-Operations!AS391-Operations!AS392</f>
        <v>8.06273638773107</v>
      </c>
      <c r="AT393" s="20" t="n">
        <f aca="false">Operations!AT390-Operations!AT391-Operations!AT392</f>
        <v>8.14163049756126</v>
      </c>
      <c r="AU393" s="20" t="n">
        <f aca="false">Operations!AU390-Operations!AU391-Operations!AU392</f>
        <v>-3.14995448877764</v>
      </c>
    </row>
    <row r="394" customFormat="false" ht="15" hidden="false" customHeight="false" outlineLevel="0" collapsed="false">
      <c r="D394" s="0" t="s">
        <v>787</v>
      </c>
      <c r="E394" s="0" t="s">
        <v>458</v>
      </c>
      <c r="J394" s="14" t="n">
        <f aca="false">0</f>
        <v>0</v>
      </c>
      <c r="K394" s="14" t="n">
        <f aca="false">0</f>
        <v>0</v>
      </c>
      <c r="L394" s="14" t="n">
        <f aca="false">0</f>
        <v>0</v>
      </c>
      <c r="M394" s="14" t="n">
        <f aca="false">0</f>
        <v>0</v>
      </c>
      <c r="N394" s="14" t="n">
        <f aca="false">0</f>
        <v>0</v>
      </c>
      <c r="O394" s="14" t="n">
        <f aca="false">0</f>
        <v>0</v>
      </c>
      <c r="P394" s="14" t="n">
        <f aca="false">0</f>
        <v>0</v>
      </c>
      <c r="Q394" s="14" t="n">
        <f aca="false">0</f>
        <v>0</v>
      </c>
      <c r="R394" s="14" t="n">
        <f aca="false">0</f>
        <v>0</v>
      </c>
      <c r="S394" s="14" t="n">
        <f aca="false">0</f>
        <v>0</v>
      </c>
      <c r="T394" s="14" t="n">
        <f aca="false">0</f>
        <v>0</v>
      </c>
      <c r="U394" s="14" t="n">
        <f aca="false">0</f>
        <v>0</v>
      </c>
      <c r="V394" s="14" t="n">
        <f aca="false">0</f>
        <v>0</v>
      </c>
      <c r="W394" s="14" t="n">
        <f aca="false">0</f>
        <v>0</v>
      </c>
      <c r="X394" s="14" t="n">
        <f aca="false">0</f>
        <v>0</v>
      </c>
      <c r="Y394" s="14" t="n">
        <f aca="false">0</f>
        <v>0</v>
      </c>
      <c r="Z394" s="14" t="n">
        <f aca="false">0</f>
        <v>0</v>
      </c>
      <c r="AA394" s="14" t="n">
        <f aca="false">0</f>
        <v>0</v>
      </c>
      <c r="AB394" s="14" t="n">
        <f aca="false">0</f>
        <v>0</v>
      </c>
      <c r="AC394" s="14" t="n">
        <f aca="false">0</f>
        <v>0</v>
      </c>
      <c r="AD394" s="14" t="n">
        <f aca="false">0</f>
        <v>0</v>
      </c>
      <c r="AE394" s="14" t="n">
        <f aca="false">0</f>
        <v>0</v>
      </c>
      <c r="AF394" s="14" t="n">
        <f aca="false">0</f>
        <v>0</v>
      </c>
      <c r="AG394" s="14" t="n">
        <f aca="false">0</f>
        <v>0</v>
      </c>
      <c r="AH394" s="14" t="n">
        <f aca="false">0</f>
        <v>0</v>
      </c>
      <c r="AI394" s="14" t="n">
        <f aca="false">0</f>
        <v>0</v>
      </c>
      <c r="AJ394" s="14" t="n">
        <f aca="false">0</f>
        <v>0</v>
      </c>
      <c r="AK394" s="14" t="n">
        <f aca="false">0</f>
        <v>0</v>
      </c>
      <c r="AL394" s="14" t="n">
        <f aca="false">0</f>
        <v>0</v>
      </c>
      <c r="AM394" s="14" t="n">
        <f aca="false">0</f>
        <v>0</v>
      </c>
      <c r="AN394" s="14" t="n">
        <f aca="false">0</f>
        <v>0</v>
      </c>
      <c r="AO394" s="14" t="n">
        <f aca="false">0</f>
        <v>0</v>
      </c>
      <c r="AP394" s="14" t="n">
        <f aca="false">0</f>
        <v>0</v>
      </c>
      <c r="AQ394" s="14" t="n">
        <f aca="false">0</f>
        <v>0</v>
      </c>
      <c r="AR394" s="14" t="n">
        <f aca="false">0</f>
        <v>0</v>
      </c>
      <c r="AS394" s="14" t="n">
        <f aca="false">0</f>
        <v>0</v>
      </c>
      <c r="AT394" s="14" t="n">
        <f aca="false">0</f>
        <v>0</v>
      </c>
      <c r="AU394" s="14" t="n">
        <f aca="false">0</f>
        <v>0</v>
      </c>
    </row>
    <row r="395" customFormat="false" ht="15" hidden="false" customHeight="false" outlineLevel="0" collapsed="false">
      <c r="D395" s="0" t="s">
        <v>788</v>
      </c>
      <c r="E395" s="0" t="s">
        <v>458</v>
      </c>
      <c r="J395" s="14" t="n">
        <f aca="false">1</f>
        <v>1</v>
      </c>
      <c r="K395" s="14" t="n">
        <f aca="false">1</f>
        <v>1</v>
      </c>
      <c r="L395" s="14" t="n">
        <f aca="false">1</f>
        <v>1</v>
      </c>
      <c r="M395" s="14" t="n">
        <f aca="false">1</f>
        <v>1</v>
      </c>
      <c r="N395" s="14" t="n">
        <f aca="false">1</f>
        <v>1</v>
      </c>
      <c r="O395" s="14" t="n">
        <f aca="false">1</f>
        <v>1</v>
      </c>
      <c r="P395" s="14" t="n">
        <f aca="false">1</f>
        <v>1</v>
      </c>
      <c r="Q395" s="14" t="n">
        <f aca="false">1</f>
        <v>1</v>
      </c>
      <c r="R395" s="14" t="n">
        <f aca="false">1</f>
        <v>1</v>
      </c>
      <c r="S395" s="14" t="n">
        <f aca="false">1</f>
        <v>1</v>
      </c>
      <c r="T395" s="14" t="n">
        <f aca="false">1</f>
        <v>1</v>
      </c>
      <c r="U395" s="14" t="n">
        <f aca="false">1</f>
        <v>1</v>
      </c>
      <c r="V395" s="14" t="n">
        <f aca="false">1</f>
        <v>1</v>
      </c>
      <c r="W395" s="14" t="n">
        <f aca="false">1</f>
        <v>1</v>
      </c>
      <c r="X395" s="14" t="n">
        <f aca="false">1</f>
        <v>1</v>
      </c>
      <c r="Y395" s="14" t="n">
        <f aca="false">1</f>
        <v>1</v>
      </c>
      <c r="Z395" s="14" t="n">
        <f aca="false">1</f>
        <v>1</v>
      </c>
      <c r="AA395" s="14" t="n">
        <f aca="false">1</f>
        <v>1</v>
      </c>
      <c r="AB395" s="14" t="n">
        <f aca="false">1</f>
        <v>1</v>
      </c>
      <c r="AC395" s="14" t="n">
        <f aca="false">1</f>
        <v>1</v>
      </c>
      <c r="AD395" s="14" t="n">
        <f aca="false">1</f>
        <v>1</v>
      </c>
      <c r="AE395" s="14" t="n">
        <f aca="false">1</f>
        <v>1</v>
      </c>
      <c r="AF395" s="14" t="n">
        <f aca="false">1</f>
        <v>1</v>
      </c>
      <c r="AG395" s="14" t="n">
        <f aca="false">1</f>
        <v>1</v>
      </c>
      <c r="AH395" s="14" t="n">
        <f aca="false">1</f>
        <v>1</v>
      </c>
      <c r="AI395" s="14" t="n">
        <f aca="false">1</f>
        <v>1</v>
      </c>
      <c r="AJ395" s="14" t="n">
        <f aca="false">1</f>
        <v>1</v>
      </c>
      <c r="AK395" s="14" t="n">
        <f aca="false">1</f>
        <v>1</v>
      </c>
      <c r="AL395" s="14" t="n">
        <f aca="false">1</f>
        <v>1</v>
      </c>
      <c r="AM395" s="14" t="n">
        <f aca="false">1</f>
        <v>1</v>
      </c>
      <c r="AN395" s="14" t="n">
        <f aca="false">1</f>
        <v>1</v>
      </c>
      <c r="AO395" s="14" t="n">
        <f aca="false">1</f>
        <v>1</v>
      </c>
      <c r="AP395" s="14" t="n">
        <f aca="false">1</f>
        <v>1</v>
      </c>
      <c r="AQ395" s="14" t="n">
        <f aca="false">1</f>
        <v>1</v>
      </c>
      <c r="AR395" s="14" t="n">
        <f aca="false">1</f>
        <v>1</v>
      </c>
      <c r="AS395" s="14" t="n">
        <f aca="false">1</f>
        <v>1</v>
      </c>
      <c r="AT395" s="14" t="n">
        <f aca="false">1</f>
        <v>1</v>
      </c>
      <c r="AU395" s="14" t="n">
        <f aca="false">1</f>
        <v>1</v>
      </c>
    </row>
    <row r="396" customFormat="false" ht="15" hidden="false" customHeight="false" outlineLevel="0" collapsed="false">
      <c r="D396" s="0" t="s">
        <v>789</v>
      </c>
      <c r="E396" s="0" t="s">
        <v>47</v>
      </c>
      <c r="G396" s="20" t="n">
        <f aca="false">SUM(J396:AU396)</f>
        <v>247.986007799742</v>
      </c>
      <c r="J396" s="20" t="n">
        <f aca="false">Operations!J393*(1-Operations!J394)*Operations!J367</f>
        <v>0</v>
      </c>
      <c r="K396" s="20" t="n">
        <f aca="false">Operations!K393*(1-Operations!K394)*Operations!K367</f>
        <v>0</v>
      </c>
      <c r="L396" s="20" t="n">
        <f aca="false">Operations!L393*(1-Operations!L394)*Operations!L367</f>
        <v>0.154403092902451</v>
      </c>
      <c r="M396" s="20" t="n">
        <f aca="false">Operations!M393*(1-Operations!M394)*Operations!M367</f>
        <v>7.70470174549927</v>
      </c>
      <c r="N396" s="20" t="n">
        <f aca="false">Operations!N393*(1-Operations!N394)*Operations!N367</f>
        <v>7.93090745703177</v>
      </c>
      <c r="O396" s="20" t="n">
        <f aca="false">Operations!O393*(1-Operations!O394)*Operations!O367</f>
        <v>7.95990591311057</v>
      </c>
      <c r="P396" s="20" t="n">
        <f aca="false">Operations!P393*(1-Operations!P394)*Operations!P367</f>
        <v>7.90376601945912</v>
      </c>
      <c r="Q396" s="20" t="n">
        <f aca="false">Operations!Q393*(1-Operations!Q394)*Operations!Q367</f>
        <v>7.8004086128279</v>
      </c>
      <c r="R396" s="20" t="n">
        <f aca="false">Operations!R393*(1-Operations!R394)*Operations!R367</f>
        <v>7.69776744575615</v>
      </c>
      <c r="S396" s="20" t="n">
        <f aca="false">Operations!S393*(1-Operations!S394)*Operations!S367</f>
        <v>7.56287383273629</v>
      </c>
      <c r="T396" s="20" t="n">
        <f aca="false">Operations!T393*(1-Operations!T394)*Operations!T367</f>
        <v>7.42435136406818</v>
      </c>
      <c r="U396" s="20" t="n">
        <f aca="false">Operations!U393*(1-Operations!U394)*Operations!U367</f>
        <v>7.28212141829149</v>
      </c>
      <c r="V396" s="20" t="n">
        <f aca="false">Operations!V393*(1-Operations!V394)*Operations!V367</f>
        <v>7.13610837628233</v>
      </c>
      <c r="W396" s="20" t="n">
        <f aca="false">Operations!W393*(1-Operations!W394)*Operations!W367</f>
        <v>6.78748148893947</v>
      </c>
      <c r="X396" s="20" t="n">
        <f aca="false">Operations!X393*(1-Operations!X394)*Operations!X367</f>
        <v>6.58376410452241</v>
      </c>
      <c r="Y396" s="20" t="n">
        <f aca="false">Operations!Y393*(1-Operations!Y394)*Operations!Y367</f>
        <v>6.53208107365926</v>
      </c>
      <c r="Z396" s="20" t="n">
        <f aca="false">Operations!Z393*(1-Operations!Z394)*Operations!Z367</f>
        <v>6.60568434013264</v>
      </c>
      <c r="AA396" s="20" t="n">
        <f aca="false">Operations!AA393*(1-Operations!AA394)*Operations!AA367</f>
        <v>6.67907510583432</v>
      </c>
      <c r="AB396" s="20" t="n">
        <f aca="false">Operations!AB393*(1-Operations!AB394)*Operations!AB367</f>
        <v>6.75381000221574</v>
      </c>
      <c r="AC396" s="20" t="n">
        <f aca="false">Operations!AC393*(1-Operations!AC394)*Operations!AC367</f>
        <v>6.8281523769991</v>
      </c>
      <c r="AD396" s="20" t="n">
        <f aca="false">Operations!AD393*(1-Operations!AD394)*Operations!AD367</f>
        <v>6.90364374029967</v>
      </c>
      <c r="AE396" s="20" t="n">
        <f aca="false">Operations!AE393*(1-Operations!AE394)*Operations!AE367</f>
        <v>6.97855853354822</v>
      </c>
      <c r="AF396" s="20" t="n">
        <f aca="false">Operations!AF393*(1-Operations!AF394)*Operations!AF367</f>
        <v>7.05442310728425</v>
      </c>
      <c r="AG396" s="20" t="n">
        <f aca="false">Operations!AG393*(1-Operations!AG394)*Operations!AG367</f>
        <v>7.13112978003527</v>
      </c>
      <c r="AH396" s="20" t="n">
        <f aca="false">Operations!AH393*(1-Operations!AH394)*Operations!AH367</f>
        <v>7.2069691993194</v>
      </c>
      <c r="AI396" s="20" t="n">
        <f aca="false">Operations!AI393*(1-Operations!AI394)*Operations!AI367</f>
        <v>7.28344492665678</v>
      </c>
      <c r="AJ396" s="20" t="n">
        <f aca="false">Operations!AJ393*(1-Operations!AJ394)*Operations!AJ367</f>
        <v>7.36044589042248</v>
      </c>
      <c r="AK396" s="20" t="n">
        <f aca="false">Operations!AK393*(1-Operations!AK394)*Operations!AK367</f>
        <v>7.43785983297344</v>
      </c>
      <c r="AL396" s="20" t="n">
        <f aca="false">Operations!AL393*(1-Operations!AL394)*Operations!AL367</f>
        <v>7.51557326808439</v>
      </c>
      <c r="AM396" s="20" t="n">
        <f aca="false">Operations!AM393*(1-Operations!AM394)*Operations!AM367</f>
        <v>7.59347143740641</v>
      </c>
      <c r="AN396" s="20" t="n">
        <f aca="false">Operations!AN393*(1-Operations!AN394)*Operations!AN367</f>
        <v>7.67143826592311</v>
      </c>
      <c r="AO396" s="20" t="n">
        <f aca="false">Operations!AO393*(1-Operations!AO394)*Operations!AO367</f>
        <v>7.74935631637894</v>
      </c>
      <c r="AP396" s="20" t="n">
        <f aca="false">Operations!AP393*(1-Operations!AP394)*Operations!AP367</f>
        <v>7.82710674265341</v>
      </c>
      <c r="AQ396" s="20" t="n">
        <f aca="false">Operations!AQ393*(1-Operations!AQ394)*Operations!AQ367</f>
        <v>7.90611314025504</v>
      </c>
      <c r="AR396" s="20" t="n">
        <f aca="false">Operations!AR393*(1-Operations!AR394)*Operations!AR367</f>
        <v>7.98469745171806</v>
      </c>
      <c r="AS396" s="20" t="n">
        <f aca="false">Operations!AS393*(1-Operations!AS394)*Operations!AS367</f>
        <v>8.06273638773107</v>
      </c>
      <c r="AT396" s="20" t="n">
        <f aca="false">Operations!AT393*(1-Operations!AT394)*Operations!AT367</f>
        <v>8.14163049756126</v>
      </c>
      <c r="AU396" s="20" t="n">
        <f aca="false">Operations!AU393*(1-Operations!AU394)*Operations!AU367</f>
        <v>-3.14995448877764</v>
      </c>
    </row>
    <row r="397" customFormat="false" ht="15" hidden="false" customHeight="false" outlineLevel="0" collapsed="false">
      <c r="D397" s="0" t="s">
        <v>790</v>
      </c>
      <c r="E397" s="0" t="s">
        <v>47</v>
      </c>
      <c r="J397" s="20" t="n">
        <f aca="false">Operations!J393*Operations!J395*Operations!J367</f>
        <v>0</v>
      </c>
      <c r="K397" s="20" t="n">
        <f aca="false">Operations!K393*Operations!K395*Operations!K367</f>
        <v>0</v>
      </c>
      <c r="L397" s="20" t="n">
        <f aca="false">Operations!L393*Operations!L395*Operations!L367</f>
        <v>0.154403092902451</v>
      </c>
      <c r="M397" s="20" t="n">
        <f aca="false">Operations!M393*Operations!M395*Operations!M367</f>
        <v>7.70470174549927</v>
      </c>
      <c r="N397" s="20" t="n">
        <f aca="false">Operations!N393*Operations!N395*Operations!N367</f>
        <v>7.93090745703177</v>
      </c>
      <c r="O397" s="20" t="n">
        <f aca="false">Operations!O393*Operations!O395*Operations!O367</f>
        <v>7.95990591311057</v>
      </c>
      <c r="P397" s="20" t="n">
        <f aca="false">Operations!P393*Operations!P395*Operations!P367</f>
        <v>7.90376601945912</v>
      </c>
      <c r="Q397" s="20" t="n">
        <f aca="false">Operations!Q393*Operations!Q395*Operations!Q367</f>
        <v>7.8004086128279</v>
      </c>
      <c r="R397" s="20" t="n">
        <f aca="false">Operations!R393*Operations!R395*Operations!R367</f>
        <v>7.69776744575615</v>
      </c>
      <c r="S397" s="20" t="n">
        <f aca="false">Operations!S393*Operations!S395*Operations!S367</f>
        <v>7.56287383273629</v>
      </c>
      <c r="T397" s="20" t="n">
        <f aca="false">Operations!T393*Operations!T395*Operations!T367</f>
        <v>7.42435136406818</v>
      </c>
      <c r="U397" s="20" t="n">
        <f aca="false">Operations!U393*Operations!U395*Operations!U367</f>
        <v>7.28212141829149</v>
      </c>
      <c r="V397" s="20" t="n">
        <f aca="false">Operations!V393*Operations!V395*Operations!V367</f>
        <v>7.13610837628233</v>
      </c>
      <c r="W397" s="20" t="n">
        <f aca="false">Operations!W393*Operations!W395*Operations!W367</f>
        <v>6.78748148893947</v>
      </c>
      <c r="X397" s="20" t="n">
        <f aca="false">Operations!X393*Operations!X395*Operations!X367</f>
        <v>6.58376410452241</v>
      </c>
      <c r="Y397" s="20" t="n">
        <f aca="false">Operations!Y393*Operations!Y395*Operations!Y367</f>
        <v>6.53208107365926</v>
      </c>
      <c r="Z397" s="20" t="n">
        <f aca="false">Operations!Z393*Operations!Z395*Operations!Z367</f>
        <v>6.60568434013264</v>
      </c>
      <c r="AA397" s="20" t="n">
        <f aca="false">Operations!AA393*Operations!AA395*Operations!AA367</f>
        <v>6.67907510583432</v>
      </c>
      <c r="AB397" s="20" t="n">
        <f aca="false">Operations!AB393*Operations!AB395*Operations!AB367</f>
        <v>6.75381000221574</v>
      </c>
      <c r="AC397" s="20" t="n">
        <f aca="false">Operations!AC393*Operations!AC395*Operations!AC367</f>
        <v>6.8281523769991</v>
      </c>
      <c r="AD397" s="20" t="n">
        <f aca="false">Operations!AD393*Operations!AD395*Operations!AD367</f>
        <v>6.90364374029967</v>
      </c>
      <c r="AE397" s="20" t="n">
        <f aca="false">Operations!AE393*Operations!AE395*Operations!AE367</f>
        <v>6.97855853354822</v>
      </c>
      <c r="AF397" s="20" t="n">
        <f aca="false">Operations!AF393*Operations!AF395*Operations!AF367</f>
        <v>7.05442310728425</v>
      </c>
      <c r="AG397" s="20" t="n">
        <f aca="false">Operations!AG393*Operations!AG395*Operations!AG367</f>
        <v>7.13112978003527</v>
      </c>
      <c r="AH397" s="20" t="n">
        <f aca="false">Operations!AH393*Operations!AH395*Operations!AH367</f>
        <v>7.2069691993194</v>
      </c>
      <c r="AI397" s="20" t="n">
        <f aca="false">Operations!AI393*Operations!AI395*Operations!AI367</f>
        <v>7.28344492665678</v>
      </c>
      <c r="AJ397" s="20" t="n">
        <f aca="false">Operations!AJ393*Operations!AJ395*Operations!AJ367</f>
        <v>7.36044589042248</v>
      </c>
      <c r="AK397" s="20" t="n">
        <f aca="false">Operations!AK393*Operations!AK395*Operations!AK367</f>
        <v>7.43785983297344</v>
      </c>
      <c r="AL397" s="20" t="n">
        <f aca="false">Operations!AL393*Operations!AL395*Operations!AL367</f>
        <v>7.51557326808439</v>
      </c>
      <c r="AM397" s="20" t="n">
        <f aca="false">Operations!AM393*Operations!AM395*Operations!AM367</f>
        <v>7.59347143740641</v>
      </c>
      <c r="AN397" s="20" t="n">
        <f aca="false">Operations!AN393*Operations!AN395*Operations!AN367</f>
        <v>7.67143826592311</v>
      </c>
      <c r="AO397" s="20" t="n">
        <f aca="false">Operations!AO393*Operations!AO395*Operations!AO367</f>
        <v>7.74935631637894</v>
      </c>
      <c r="AP397" s="20" t="n">
        <f aca="false">Operations!AP393*Operations!AP395*Operations!AP367</f>
        <v>7.82710674265341</v>
      </c>
      <c r="AQ397" s="20" t="n">
        <f aca="false">Operations!AQ393*Operations!AQ395*Operations!AQ367</f>
        <v>7.90611314025504</v>
      </c>
      <c r="AR397" s="20" t="n">
        <f aca="false">Operations!AR393*Operations!AR395*Operations!AR367</f>
        <v>7.98469745171806</v>
      </c>
      <c r="AS397" s="20" t="n">
        <f aca="false">Operations!AS393*Operations!AS395*Operations!AS367</f>
        <v>8.06273638773107</v>
      </c>
      <c r="AT397" s="20" t="n">
        <f aca="false">Operations!AT393*Operations!AT395*Operations!AT367</f>
        <v>8.14163049756126</v>
      </c>
      <c r="AU397" s="20" t="n">
        <f aca="false">Operations!AU393*Operations!AU395*Operations!AU367</f>
        <v>-3.14995448877764</v>
      </c>
    </row>
    <row r="398" customFormat="false" ht="15" hidden="false" customHeight="false" outlineLevel="0" collapsed="false">
      <c r="D398" s="0" t="s">
        <v>791</v>
      </c>
      <c r="E398" s="0" t="s">
        <v>47</v>
      </c>
      <c r="J398" s="20" t="n">
        <f aca="false">Operations!J396-Inputs!$F$248/100*Operations!J397</f>
        <v>0</v>
      </c>
      <c r="K398" s="20" t="n">
        <f aca="false">Operations!K396-Inputs!$F$248/100*Operations!K397</f>
        <v>0</v>
      </c>
      <c r="L398" s="20" t="n">
        <f aca="false">Operations!L396-Inputs!$F$248/100*Operations!L397</f>
        <v>0.121978443392937</v>
      </c>
      <c r="M398" s="20" t="n">
        <f aca="false">Operations!M396-Inputs!$F$248/100*Operations!M397</f>
        <v>6.08671437894442</v>
      </c>
      <c r="N398" s="20" t="n">
        <f aca="false">Operations!N396-Inputs!$F$248/100*Operations!N397</f>
        <v>6.2654168910551</v>
      </c>
      <c r="O398" s="20" t="n">
        <f aca="false">Operations!O396-Inputs!$F$248/100*Operations!O397</f>
        <v>6.28832567135735</v>
      </c>
      <c r="P398" s="20" t="n">
        <f aca="false">Operations!P396-Inputs!$F$248/100*Operations!P397</f>
        <v>6.24397515537271</v>
      </c>
      <c r="Q398" s="20" t="n">
        <f aca="false">Operations!Q396-Inputs!$F$248/100*Operations!Q397</f>
        <v>6.16232280413404</v>
      </c>
      <c r="R398" s="20" t="n">
        <f aca="false">Operations!R396-Inputs!$F$248/100*Operations!R397</f>
        <v>6.08123628214736</v>
      </c>
      <c r="S398" s="20" t="n">
        <f aca="false">Operations!S396-Inputs!$F$248/100*Operations!S397</f>
        <v>5.97467032786167</v>
      </c>
      <c r="T398" s="20" t="n">
        <f aca="false">Operations!T396-Inputs!$F$248/100*Operations!T397</f>
        <v>5.86523757761386</v>
      </c>
      <c r="U398" s="20" t="n">
        <f aca="false">Operations!U396-Inputs!$F$248/100*Operations!U397</f>
        <v>5.75287592045028</v>
      </c>
      <c r="V398" s="20" t="n">
        <f aca="false">Operations!V396-Inputs!$F$248/100*Operations!V397</f>
        <v>5.63752561726304</v>
      </c>
      <c r="W398" s="20" t="n">
        <f aca="false">Operations!W396-Inputs!$F$248/100*Operations!W397</f>
        <v>5.36211037626218</v>
      </c>
      <c r="X398" s="20" t="n">
        <f aca="false">Operations!X396-Inputs!$F$248/100*Operations!X397</f>
        <v>5.2011736425727</v>
      </c>
      <c r="Y398" s="20" t="n">
        <f aca="false">Operations!Y396-Inputs!$F$248/100*Operations!Y397</f>
        <v>5.16034404819081</v>
      </c>
      <c r="Z398" s="20" t="n">
        <f aca="false">Operations!Z396-Inputs!$F$248/100*Operations!Z397</f>
        <v>5.21849062870479</v>
      </c>
      <c r="AA398" s="20" t="n">
        <f aca="false">Operations!AA396-Inputs!$F$248/100*Operations!AA397</f>
        <v>5.27646933360911</v>
      </c>
      <c r="AB398" s="20" t="n">
        <f aca="false">Operations!AB396-Inputs!$F$248/100*Operations!AB397</f>
        <v>5.33550990175044</v>
      </c>
      <c r="AC398" s="20" t="n">
        <f aca="false">Operations!AC396-Inputs!$F$248/100*Operations!AC397</f>
        <v>5.39424037782929</v>
      </c>
      <c r="AD398" s="20" t="n">
        <f aca="false">Operations!AD396-Inputs!$F$248/100*Operations!AD397</f>
        <v>5.45387855483674</v>
      </c>
      <c r="AE398" s="20" t="n">
        <f aca="false">Operations!AE396-Inputs!$F$248/100*Operations!AE397</f>
        <v>5.51306124150309</v>
      </c>
      <c r="AF398" s="20" t="n">
        <f aca="false">Operations!AF396-Inputs!$F$248/100*Operations!AF397</f>
        <v>5.57299425475456</v>
      </c>
      <c r="AG398" s="20" t="n">
        <f aca="false">Operations!AG396-Inputs!$F$248/100*Operations!AG397</f>
        <v>5.63359252622787</v>
      </c>
      <c r="AH398" s="20" t="n">
        <f aca="false">Operations!AH396-Inputs!$F$248/100*Operations!AH397</f>
        <v>5.69350566746233</v>
      </c>
      <c r="AI398" s="20" t="n">
        <f aca="false">Operations!AI396-Inputs!$F$248/100*Operations!AI397</f>
        <v>5.75392149205886</v>
      </c>
      <c r="AJ398" s="20" t="n">
        <f aca="false">Operations!AJ396-Inputs!$F$248/100*Operations!AJ397</f>
        <v>5.81475225343376</v>
      </c>
      <c r="AK398" s="20" t="n">
        <f aca="false">Operations!AK396-Inputs!$F$248/100*Operations!AK397</f>
        <v>5.87590926804901</v>
      </c>
      <c r="AL398" s="20" t="n">
        <f aca="false">Operations!AL396-Inputs!$F$248/100*Operations!AL397</f>
        <v>5.93730288178667</v>
      </c>
      <c r="AM398" s="20" t="n">
        <f aca="false">Operations!AM396-Inputs!$F$248/100*Operations!AM397</f>
        <v>5.99884243555106</v>
      </c>
      <c r="AN398" s="20" t="n">
        <f aca="false">Operations!AN396-Inputs!$F$248/100*Operations!AN397</f>
        <v>6.06043623007925</v>
      </c>
      <c r="AO398" s="20" t="n">
        <f aca="false">Operations!AO396-Inputs!$F$248/100*Operations!AO397</f>
        <v>6.12199148993937</v>
      </c>
      <c r="AP398" s="20" t="n">
        <f aca="false">Operations!AP396-Inputs!$F$248/100*Operations!AP397</f>
        <v>6.18341432669619</v>
      </c>
      <c r="AQ398" s="20" t="n">
        <f aca="false">Operations!AQ396-Inputs!$F$248/100*Operations!AQ397</f>
        <v>6.24582938080148</v>
      </c>
      <c r="AR398" s="20" t="n">
        <f aca="false">Operations!AR396-Inputs!$F$248/100*Operations!AR397</f>
        <v>6.30791098685727</v>
      </c>
      <c r="AS398" s="20" t="n">
        <f aca="false">Operations!AS396-Inputs!$F$248/100*Operations!AS397</f>
        <v>6.36956174630754</v>
      </c>
      <c r="AT398" s="20" t="n">
        <f aca="false">Operations!AT396-Inputs!$F$248/100*Operations!AT397</f>
        <v>6.4318880930734</v>
      </c>
      <c r="AU398" s="20" t="n">
        <f aca="false">Operations!AU396-Inputs!$F$248/100*Operations!AU397</f>
        <v>-2.48846404613434</v>
      </c>
    </row>
    <row r="399" customFormat="false" ht="15" hidden="false" customHeight="false" outlineLevel="0" collapsed="false">
      <c r="D399" s="0" t="s">
        <v>792</v>
      </c>
      <c r="E399" s="0" t="s">
        <v>458</v>
      </c>
      <c r="J399" s="14" t="n">
        <f aca="false">IF(Operations!J384=0,0,Operations!J381/Operations!J384)</f>
        <v>0</v>
      </c>
      <c r="K399" s="14" t="n">
        <f aca="false">IF(Operations!K384=0,0,Operations!K381/Operations!K384)</f>
        <v>0</v>
      </c>
      <c r="L399" s="14" t="n">
        <f aca="false">IF(Operations!L384=0,0,Operations!L381/Operations!L384)</f>
        <v>0</v>
      </c>
      <c r="M399" s="14" t="n">
        <f aca="false">IF(Operations!M384=0,0,Operations!M381/Operations!M384)</f>
        <v>0</v>
      </c>
      <c r="N399" s="14" t="n">
        <f aca="false">IF(Operations!N384=0,0,Operations!N381/Operations!N384)</f>
        <v>0</v>
      </c>
      <c r="O399" s="14" t="n">
        <f aca="false">IF(Operations!O384=0,0,Operations!O381/Operations!O384)</f>
        <v>0</v>
      </c>
      <c r="P399" s="14" t="n">
        <f aca="false">IF(Operations!P384=0,0,Operations!P381/Operations!P384)</f>
        <v>0</v>
      </c>
      <c r="Q399" s="14" t="n">
        <f aca="false">IF(Operations!Q384=0,0,Operations!Q381/Operations!Q384)</f>
        <v>0</v>
      </c>
      <c r="R399" s="14" t="n">
        <f aca="false">IF(Operations!R384=0,0,Operations!R381/Operations!R384)</f>
        <v>0</v>
      </c>
      <c r="S399" s="14" t="n">
        <f aca="false">IF(Operations!S384=0,0,Operations!S381/Operations!S384)</f>
        <v>0</v>
      </c>
      <c r="T399" s="14" t="n">
        <f aca="false">IF(Operations!T384=0,0,Operations!T381/Operations!T384)</f>
        <v>0</v>
      </c>
      <c r="U399" s="14" t="n">
        <f aca="false">IF(Operations!U384=0,0,Operations!U381/Operations!U384)</f>
        <v>0</v>
      </c>
      <c r="V399" s="14" t="n">
        <f aca="false">IF(Operations!V384=0,0,Operations!V381/Operations!V384)</f>
        <v>0</v>
      </c>
      <c r="W399" s="14" t="n">
        <f aca="false">IF(Operations!W384=0,0,Operations!W381/Operations!W384)</f>
        <v>0</v>
      </c>
      <c r="X399" s="14" t="n">
        <f aca="false">IF(Operations!X384=0,0,Operations!X381/Operations!X384)</f>
        <v>0</v>
      </c>
      <c r="Y399" s="14" t="n">
        <f aca="false">IF(Operations!Y384=0,0,Operations!Y381/Operations!Y384)</f>
        <v>0</v>
      </c>
      <c r="Z399" s="14" t="n">
        <f aca="false">IF(Operations!Z384=0,0,Operations!Z381/Operations!Z384)</f>
        <v>0</v>
      </c>
      <c r="AA399" s="14" t="n">
        <f aca="false">IF(Operations!AA384=0,0,Operations!AA381/Operations!AA384)</f>
        <v>0</v>
      </c>
      <c r="AB399" s="14" t="n">
        <f aca="false">IF(Operations!AB384=0,0,Operations!AB381/Operations!AB384)</f>
        <v>0</v>
      </c>
      <c r="AC399" s="14" t="n">
        <f aca="false">IF(Operations!AC384=0,0,Operations!AC381/Operations!AC384)</f>
        <v>0</v>
      </c>
      <c r="AD399" s="14" t="n">
        <f aca="false">IF(Operations!AD384=0,0,Operations!AD381/Operations!AD384)</f>
        <v>0</v>
      </c>
      <c r="AE399" s="14" t="n">
        <f aca="false">IF(Operations!AE384=0,0,Operations!AE381/Operations!AE384)</f>
        <v>0</v>
      </c>
      <c r="AF399" s="14" t="n">
        <f aca="false">IF(Operations!AF384=0,0,Operations!AF381/Operations!AF384)</f>
        <v>0</v>
      </c>
      <c r="AG399" s="14" t="n">
        <f aca="false">IF(Operations!AG384=0,0,Operations!AG381/Operations!AG384)</f>
        <v>0</v>
      </c>
      <c r="AH399" s="14" t="n">
        <f aca="false">IF(Operations!AH384=0,0,Operations!AH381/Operations!AH384)</f>
        <v>0</v>
      </c>
      <c r="AI399" s="14" t="n">
        <f aca="false">IF(Operations!AI384=0,0,Operations!AI381/Operations!AI384)</f>
        <v>0</v>
      </c>
      <c r="AJ399" s="14" t="n">
        <f aca="false">IF(Operations!AJ384=0,0,Operations!AJ381/Operations!AJ384)</f>
        <v>0</v>
      </c>
      <c r="AK399" s="14" t="n">
        <f aca="false">IF(Operations!AK384=0,0,Operations!AK381/Operations!AK384)</f>
        <v>0</v>
      </c>
      <c r="AL399" s="14" t="n">
        <f aca="false">IF(Operations!AL384=0,0,Operations!AL381/Operations!AL384)</f>
        <v>0</v>
      </c>
      <c r="AM399" s="14" t="n">
        <f aca="false">IF(Operations!AM384=0,0,Operations!AM381/Operations!AM384)</f>
        <v>0</v>
      </c>
      <c r="AN399" s="14" t="n">
        <f aca="false">IF(Operations!AN384=0,0,Operations!AN381/Operations!AN384)</f>
        <v>0</v>
      </c>
      <c r="AO399" s="14" t="n">
        <f aca="false">IF(Operations!AO384=0,0,Operations!AO381/Operations!AO384)</f>
        <v>0</v>
      </c>
      <c r="AP399" s="14" t="n">
        <f aca="false">IF(Operations!AP384=0,0,Operations!AP381/Operations!AP384)</f>
        <v>0</v>
      </c>
      <c r="AQ399" s="14" t="n">
        <f aca="false">IF(Operations!AQ384=0,0,Operations!AQ381/Operations!AQ384)</f>
        <v>0</v>
      </c>
      <c r="AR399" s="14" t="n">
        <f aca="false">IF(Operations!AR384=0,0,Operations!AR381/Operations!AR384)</f>
        <v>0</v>
      </c>
      <c r="AS399" s="14" t="n">
        <f aca="false">IF(Operations!AS384=0,0,Operations!AS381/Operations!AS384)</f>
        <v>0</v>
      </c>
      <c r="AT399" s="14" t="n">
        <f aca="false">IF(Operations!AT384=0,0,Operations!AT381/Operations!AT384)</f>
        <v>0</v>
      </c>
      <c r="AU399" s="14" t="n">
        <f aca="false">IF(Operations!AU384=0,0,Operations!AU381/Operations!AU384)</f>
        <v>0</v>
      </c>
    </row>
    <row r="400" customFormat="false" ht="15" hidden="false" customHeight="false" outlineLevel="0" collapsed="false">
      <c r="D400" s="0" t="s">
        <v>793</v>
      </c>
      <c r="E400" s="0" t="s">
        <v>458</v>
      </c>
      <c r="J400" s="14" t="n">
        <f aca="false">IF(Operations!J384=0,0,Operations!J382/Operations!J384)</f>
        <v>0</v>
      </c>
      <c r="K400" s="14" t="n">
        <f aca="false">IF(Operations!K384=0,0,Operations!K382/Operations!K384)</f>
        <v>0</v>
      </c>
      <c r="L400" s="14" t="n">
        <f aca="false">IF(Operations!L384=0,0,Operations!L382/Operations!L384)</f>
        <v>0</v>
      </c>
      <c r="M400" s="14" t="n">
        <f aca="false">IF(Operations!M384=0,0,Operations!M382/Operations!M384)</f>
        <v>0.66110556106625</v>
      </c>
      <c r="N400" s="14" t="n">
        <f aca="false">IF(Operations!N384=0,0,Operations!N382/Operations!N384)</f>
        <v>0.642913639624532</v>
      </c>
      <c r="O400" s="14" t="n">
        <f aca="false">IF(Operations!O384=0,0,Operations!O382/Operations!O384)</f>
        <v>0.637276319109642</v>
      </c>
      <c r="P400" s="14" t="n">
        <f aca="false">IF(Operations!P384=0,0,Operations!P382/Operations!P384)</f>
        <v>0.636725287185291</v>
      </c>
      <c r="Q400" s="14" t="n">
        <f aca="false">IF(Operations!Q384=0,0,Operations!Q382/Operations!Q384)</f>
        <v>0.638925567001918</v>
      </c>
      <c r="R400" s="14" t="n">
        <f aca="false">IF(Operations!R384=0,0,Operations!R382/Operations!R384)</f>
        <v>0.6409953558784</v>
      </c>
      <c r="S400" s="14" t="n">
        <f aca="false">IF(Operations!S384=0,0,Operations!S382/Operations!S384)</f>
        <v>0.644958644586965</v>
      </c>
      <c r="T400" s="14" t="n">
        <f aca="false">IF(Operations!T384=0,0,Operations!T382/Operations!T384)</f>
        <v>0.649088244928357</v>
      </c>
      <c r="U400" s="14" t="n">
        <f aca="false">IF(Operations!U384=0,0,Operations!U382/Operations!U384)</f>
        <v>0.653391818530645</v>
      </c>
      <c r="V400" s="14" t="n">
        <f aca="false">IF(Operations!V384=0,0,Operations!V382/Operations!V384)</f>
        <v>0.657877216736483</v>
      </c>
      <c r="W400" s="14" t="n">
        <f aca="false">IF(Operations!W384=0,0,Operations!W382/Operations!W384)</f>
        <v>0</v>
      </c>
      <c r="X400" s="14" t="n">
        <f aca="false">IF(Operations!X384=0,0,Operations!X382/Operations!X384)</f>
        <v>0</v>
      </c>
      <c r="Y400" s="14" t="n">
        <f aca="false">IF(Operations!Y384=0,0,Operations!Y382/Operations!Y384)</f>
        <v>0</v>
      </c>
      <c r="Z400" s="14" t="n">
        <f aca="false">IF(Operations!Z384=0,0,Operations!Z382/Operations!Z384)</f>
        <v>0</v>
      </c>
      <c r="AA400" s="14" t="n">
        <f aca="false">IF(Operations!AA384=0,0,Operations!AA382/Operations!AA384)</f>
        <v>0</v>
      </c>
      <c r="AB400" s="14" t="n">
        <f aca="false">IF(Operations!AB384=0,0,Operations!AB382/Operations!AB384)</f>
        <v>0</v>
      </c>
      <c r="AC400" s="14" t="n">
        <f aca="false">IF(Operations!AC384=0,0,Operations!AC382/Operations!AC384)</f>
        <v>0</v>
      </c>
      <c r="AD400" s="14" t="n">
        <f aca="false">IF(Operations!AD384=0,0,Operations!AD382/Operations!AD384)</f>
        <v>0</v>
      </c>
      <c r="AE400" s="14" t="n">
        <f aca="false">IF(Operations!AE384=0,0,Operations!AE382/Operations!AE384)</f>
        <v>0</v>
      </c>
      <c r="AF400" s="14" t="n">
        <f aca="false">IF(Operations!AF384=0,0,Operations!AF382/Operations!AF384)</f>
        <v>0</v>
      </c>
      <c r="AG400" s="14" t="n">
        <f aca="false">IF(Operations!AG384=0,0,Operations!AG382/Operations!AG384)</f>
        <v>0</v>
      </c>
      <c r="AH400" s="14" t="n">
        <f aca="false">IF(Operations!AH384=0,0,Operations!AH382/Operations!AH384)</f>
        <v>0</v>
      </c>
      <c r="AI400" s="14" t="n">
        <f aca="false">IF(Operations!AI384=0,0,Operations!AI382/Operations!AI384)</f>
        <v>0</v>
      </c>
      <c r="AJ400" s="14" t="n">
        <f aca="false">IF(Operations!AJ384=0,0,Operations!AJ382/Operations!AJ384)</f>
        <v>0</v>
      </c>
      <c r="AK400" s="14" t="n">
        <f aca="false">IF(Operations!AK384=0,0,Operations!AK382/Operations!AK384)</f>
        <v>0</v>
      </c>
      <c r="AL400" s="14" t="n">
        <f aca="false">IF(Operations!AL384=0,0,Operations!AL382/Operations!AL384)</f>
        <v>0</v>
      </c>
      <c r="AM400" s="14" t="n">
        <f aca="false">IF(Operations!AM384=0,0,Operations!AM382/Operations!AM384)</f>
        <v>0</v>
      </c>
      <c r="AN400" s="14" t="n">
        <f aca="false">IF(Operations!AN384=0,0,Operations!AN382/Operations!AN384)</f>
        <v>0</v>
      </c>
      <c r="AO400" s="14" t="n">
        <f aca="false">IF(Operations!AO384=0,0,Operations!AO382/Operations!AO384)</f>
        <v>0</v>
      </c>
      <c r="AP400" s="14" t="n">
        <f aca="false">IF(Operations!AP384=0,0,Operations!AP382/Operations!AP384)</f>
        <v>0</v>
      </c>
      <c r="AQ400" s="14" t="n">
        <f aca="false">IF(Operations!AQ384=0,0,Operations!AQ382/Operations!AQ384)</f>
        <v>0</v>
      </c>
      <c r="AR400" s="14" t="n">
        <f aca="false">IF(Operations!AR384=0,0,Operations!AR382/Operations!AR384)</f>
        <v>0</v>
      </c>
      <c r="AS400" s="14" t="n">
        <f aca="false">IF(Operations!AS384=0,0,Operations!AS382/Operations!AS384)</f>
        <v>0</v>
      </c>
      <c r="AT400" s="14" t="n">
        <f aca="false">IF(Operations!AT384=0,0,Operations!AT382/Operations!AT384)</f>
        <v>0</v>
      </c>
      <c r="AU400" s="14" t="n">
        <f aca="false">IF(Operations!AU384=0,0,Operations!AU382/Operations!AU384)</f>
        <v>0</v>
      </c>
    </row>
    <row r="401" customFormat="false" ht="15" hidden="false" customHeight="false" outlineLevel="0" collapsed="false">
      <c r="D401" s="0" t="s">
        <v>794</v>
      </c>
      <c r="E401" s="0" t="s">
        <v>458</v>
      </c>
      <c r="J401" s="14" t="n">
        <f aca="false">1-Operations!J399-Operations!J400</f>
        <v>1</v>
      </c>
      <c r="K401" s="14" t="n">
        <f aca="false">1-Operations!K399-Operations!K400</f>
        <v>1</v>
      </c>
      <c r="L401" s="14" t="n">
        <f aca="false">1-Operations!L399-Operations!L400</f>
        <v>1</v>
      </c>
      <c r="M401" s="14" t="n">
        <f aca="false">1-Operations!M399-Operations!M400</f>
        <v>0.33889443893375</v>
      </c>
      <c r="N401" s="14" t="n">
        <f aca="false">1-Operations!N399-Operations!N400</f>
        <v>0.357086360375468</v>
      </c>
      <c r="O401" s="14" t="n">
        <f aca="false">1-Operations!O399-Operations!O400</f>
        <v>0.362723680890358</v>
      </c>
      <c r="P401" s="14" t="n">
        <f aca="false">1-Operations!P399-Operations!P400</f>
        <v>0.363274712814709</v>
      </c>
      <c r="Q401" s="14" t="n">
        <f aca="false">1-Operations!Q399-Operations!Q400</f>
        <v>0.361074432998082</v>
      </c>
      <c r="R401" s="14" t="n">
        <f aca="false">1-Operations!R399-Operations!R400</f>
        <v>0.3590046441216</v>
      </c>
      <c r="S401" s="14" t="n">
        <f aca="false">1-Operations!S399-Operations!S400</f>
        <v>0.355041355413035</v>
      </c>
      <c r="T401" s="14" t="n">
        <f aca="false">1-Operations!T399-Operations!T400</f>
        <v>0.350911755071643</v>
      </c>
      <c r="U401" s="14" t="n">
        <f aca="false">1-Operations!U399-Operations!U400</f>
        <v>0.346608181469355</v>
      </c>
      <c r="V401" s="14" t="n">
        <f aca="false">1-Operations!V399-Operations!V400</f>
        <v>0.342122783263517</v>
      </c>
      <c r="W401" s="14" t="n">
        <f aca="false">1-Operations!W399-Operations!W400</f>
        <v>1</v>
      </c>
      <c r="X401" s="14" t="n">
        <f aca="false">1-Operations!X399-Operations!X400</f>
        <v>1</v>
      </c>
      <c r="Y401" s="14" t="n">
        <f aca="false">1-Operations!Y399-Operations!Y400</f>
        <v>1</v>
      </c>
      <c r="Z401" s="14" t="n">
        <f aca="false">1-Operations!Z399-Operations!Z400</f>
        <v>1</v>
      </c>
      <c r="AA401" s="14" t="n">
        <f aca="false">1-Operations!AA399-Operations!AA400</f>
        <v>1</v>
      </c>
      <c r="AB401" s="14" t="n">
        <f aca="false">1-Operations!AB399-Operations!AB400</f>
        <v>1</v>
      </c>
      <c r="AC401" s="14" t="n">
        <f aca="false">1-Operations!AC399-Operations!AC400</f>
        <v>1</v>
      </c>
      <c r="AD401" s="14" t="n">
        <f aca="false">1-Operations!AD399-Operations!AD400</f>
        <v>1</v>
      </c>
      <c r="AE401" s="14" t="n">
        <f aca="false">1-Operations!AE399-Operations!AE400</f>
        <v>1</v>
      </c>
      <c r="AF401" s="14" t="n">
        <f aca="false">1-Operations!AF399-Operations!AF400</f>
        <v>1</v>
      </c>
      <c r="AG401" s="14" t="n">
        <f aca="false">1-Operations!AG399-Operations!AG400</f>
        <v>1</v>
      </c>
      <c r="AH401" s="14" t="n">
        <f aca="false">1-Operations!AH399-Operations!AH400</f>
        <v>1</v>
      </c>
      <c r="AI401" s="14" t="n">
        <f aca="false">1-Operations!AI399-Operations!AI400</f>
        <v>1</v>
      </c>
      <c r="AJ401" s="14" t="n">
        <f aca="false">1-Operations!AJ399-Operations!AJ400</f>
        <v>1</v>
      </c>
      <c r="AK401" s="14" t="n">
        <f aca="false">1-Operations!AK399-Operations!AK400</f>
        <v>1</v>
      </c>
      <c r="AL401" s="14" t="n">
        <f aca="false">1-Operations!AL399-Operations!AL400</f>
        <v>1</v>
      </c>
      <c r="AM401" s="14" t="n">
        <f aca="false">1-Operations!AM399-Operations!AM400</f>
        <v>1</v>
      </c>
      <c r="AN401" s="14" t="n">
        <f aca="false">1-Operations!AN399-Operations!AN400</f>
        <v>1</v>
      </c>
      <c r="AO401" s="14" t="n">
        <f aca="false">1-Operations!AO399-Operations!AO400</f>
        <v>1</v>
      </c>
      <c r="AP401" s="14" t="n">
        <f aca="false">1-Operations!AP399-Operations!AP400</f>
        <v>1</v>
      </c>
      <c r="AQ401" s="14" t="n">
        <f aca="false">1-Operations!AQ399-Operations!AQ400</f>
        <v>1</v>
      </c>
      <c r="AR401" s="14" t="n">
        <f aca="false">1-Operations!AR399-Operations!AR400</f>
        <v>1</v>
      </c>
      <c r="AS401" s="14" t="n">
        <f aca="false">1-Operations!AS399-Operations!AS400</f>
        <v>1</v>
      </c>
      <c r="AT401" s="14" t="n">
        <f aca="false">1-Operations!AT399-Operations!AT400</f>
        <v>1</v>
      </c>
      <c r="AU401" s="14" t="n">
        <f aca="false">1-Operations!AU399-Operations!AU400</f>
        <v>1</v>
      </c>
    </row>
    <row r="402" customFormat="false" ht="15" hidden="false" customHeight="false" outlineLevel="0" collapsed="false">
      <c r="D402" s="0" t="s">
        <v>795</v>
      </c>
      <c r="E402" s="0" t="s">
        <v>47</v>
      </c>
      <c r="J402" s="20" t="n">
        <f aca="false">Operations!J381*Operations!J367*(1-Operations!J394)</f>
        <v>0</v>
      </c>
      <c r="K402" s="20" t="n">
        <f aca="false">Operations!K381*Operations!K367*(1-Operations!K394)</f>
        <v>0</v>
      </c>
      <c r="L402" s="20" t="n">
        <f aca="false">Operations!L381*Operations!L367*(1-Operations!L394)</f>
        <v>0</v>
      </c>
      <c r="M402" s="20" t="n">
        <f aca="false">Operations!M381*Operations!M367*(1-Operations!M394)</f>
        <v>0</v>
      </c>
      <c r="N402" s="20" t="n">
        <f aca="false">Operations!N381*Operations!N367*(1-Operations!N394)</f>
        <v>0</v>
      </c>
      <c r="O402" s="20" t="n">
        <f aca="false">Operations!O381*Operations!O367*(1-Operations!O394)</f>
        <v>0</v>
      </c>
      <c r="P402" s="20" t="n">
        <f aca="false">Operations!P381*Operations!P367*(1-Operations!P394)</f>
        <v>0</v>
      </c>
      <c r="Q402" s="20" t="n">
        <f aca="false">Operations!Q381*Operations!Q367*(1-Operations!Q394)</f>
        <v>0</v>
      </c>
      <c r="R402" s="20" t="n">
        <f aca="false">Operations!R381*Operations!R367*(1-Operations!R394)</f>
        <v>0</v>
      </c>
      <c r="S402" s="20" t="n">
        <f aca="false">Operations!S381*Operations!S367*(1-Operations!S394)</f>
        <v>0</v>
      </c>
      <c r="T402" s="20" t="n">
        <f aca="false">Operations!T381*Operations!T367*(1-Operations!T394)</f>
        <v>0</v>
      </c>
      <c r="U402" s="20" t="n">
        <f aca="false">Operations!U381*Operations!U367*(1-Operations!U394)</f>
        <v>0</v>
      </c>
      <c r="V402" s="20" t="n">
        <f aca="false">Operations!V381*Operations!V367*(1-Operations!V394)</f>
        <v>0</v>
      </c>
      <c r="W402" s="20" t="n">
        <f aca="false">Operations!W381*Operations!W367*(1-Operations!W394)</f>
        <v>0</v>
      </c>
      <c r="X402" s="20" t="n">
        <f aca="false">Operations!X381*Operations!X367*(1-Operations!X394)</f>
        <v>0</v>
      </c>
      <c r="Y402" s="20" t="n">
        <f aca="false">Operations!Y381*Operations!Y367*(1-Operations!Y394)</f>
        <v>0</v>
      </c>
      <c r="Z402" s="20" t="n">
        <f aca="false">Operations!Z381*Operations!Z367*(1-Operations!Z394)</f>
        <v>0</v>
      </c>
      <c r="AA402" s="20" t="n">
        <f aca="false">Operations!AA381*Operations!AA367*(1-Operations!AA394)</f>
        <v>0</v>
      </c>
      <c r="AB402" s="20" t="n">
        <f aca="false">Operations!AB381*Operations!AB367*(1-Operations!AB394)</f>
        <v>0</v>
      </c>
      <c r="AC402" s="20" t="n">
        <f aca="false">Operations!AC381*Operations!AC367*(1-Operations!AC394)</f>
        <v>0</v>
      </c>
      <c r="AD402" s="20" t="n">
        <f aca="false">Operations!AD381*Operations!AD367*(1-Operations!AD394)</f>
        <v>0</v>
      </c>
      <c r="AE402" s="20" t="n">
        <f aca="false">Operations!AE381*Operations!AE367*(1-Operations!AE394)</f>
        <v>0</v>
      </c>
      <c r="AF402" s="20" t="n">
        <f aca="false">Operations!AF381*Operations!AF367*(1-Operations!AF394)</f>
        <v>0</v>
      </c>
      <c r="AG402" s="20" t="n">
        <f aca="false">Operations!AG381*Operations!AG367*(1-Operations!AG394)</f>
        <v>0</v>
      </c>
      <c r="AH402" s="20" t="n">
        <f aca="false">Operations!AH381*Operations!AH367*(1-Operations!AH394)</f>
        <v>0</v>
      </c>
      <c r="AI402" s="20" t="n">
        <f aca="false">Operations!AI381*Operations!AI367*(1-Operations!AI394)</f>
        <v>0</v>
      </c>
      <c r="AJ402" s="20" t="n">
        <f aca="false">Operations!AJ381*Operations!AJ367*(1-Operations!AJ394)</f>
        <v>0</v>
      </c>
      <c r="AK402" s="20" t="n">
        <f aca="false">Operations!AK381*Operations!AK367*(1-Operations!AK394)</f>
        <v>0</v>
      </c>
      <c r="AL402" s="20" t="n">
        <f aca="false">Operations!AL381*Operations!AL367*(1-Operations!AL394)</f>
        <v>0</v>
      </c>
      <c r="AM402" s="20" t="n">
        <f aca="false">Operations!AM381*Operations!AM367*(1-Operations!AM394)</f>
        <v>0</v>
      </c>
      <c r="AN402" s="20" t="n">
        <f aca="false">Operations!AN381*Operations!AN367*(1-Operations!AN394)</f>
        <v>0</v>
      </c>
      <c r="AO402" s="20" t="n">
        <f aca="false">Operations!AO381*Operations!AO367*(1-Operations!AO394)</f>
        <v>0</v>
      </c>
      <c r="AP402" s="20" t="n">
        <f aca="false">Operations!AP381*Operations!AP367*(1-Operations!AP394)</f>
        <v>0</v>
      </c>
      <c r="AQ402" s="20" t="n">
        <f aca="false">Operations!AQ381*Operations!AQ367*(1-Operations!AQ394)</f>
        <v>0</v>
      </c>
      <c r="AR402" s="20" t="n">
        <f aca="false">Operations!AR381*Operations!AR367*(1-Operations!AR394)</f>
        <v>0</v>
      </c>
      <c r="AS402" s="20" t="n">
        <f aca="false">Operations!AS381*Operations!AS367*(1-Operations!AS394)</f>
        <v>0</v>
      </c>
      <c r="AT402" s="20" t="n">
        <f aca="false">Operations!AT381*Operations!AT367*(1-Operations!AT394)</f>
        <v>0</v>
      </c>
      <c r="AU402" s="20" t="n">
        <f aca="false">Operations!AU381*Operations!AU367*(1-Operations!AU394)</f>
        <v>0</v>
      </c>
    </row>
    <row r="403" customFormat="false" ht="15" hidden="false" customHeight="false" outlineLevel="0" collapsed="false">
      <c r="D403" s="0" t="s">
        <v>796</v>
      </c>
      <c r="E403" s="0" t="s">
        <v>47</v>
      </c>
      <c r="J403" s="20" t="n">
        <f aca="false">Operations!J382*Operations!J367*(1-Operations!J394)</f>
        <v>0</v>
      </c>
      <c r="K403" s="20" t="n">
        <f aca="false">Operations!K382*Operations!K367*(1-Operations!K394)</f>
        <v>0</v>
      </c>
      <c r="L403" s="20" t="n">
        <f aca="false">Operations!L382*Operations!L367*(1-Operations!L394)</f>
        <v>0</v>
      </c>
      <c r="M403" s="20" t="n">
        <f aca="false">Operations!M382*Operations!M367*(1-Operations!M394)</f>
        <v>6.77249</v>
      </c>
      <c r="N403" s="20" t="n">
        <f aca="false">Operations!N382*Operations!N367*(1-Operations!N394)</f>
        <v>6.77249</v>
      </c>
      <c r="O403" s="20" t="n">
        <f aca="false">Operations!O382*Operations!O367*(1-Operations!O394)</f>
        <v>6.77249</v>
      </c>
      <c r="P403" s="20" t="n">
        <f aca="false">Operations!P382*Operations!P367*(1-Operations!P394)</f>
        <v>6.77249</v>
      </c>
      <c r="Q403" s="20" t="n">
        <f aca="false">Operations!Q382*Operations!Q367*(1-Operations!Q394)</f>
        <v>6.77249</v>
      </c>
      <c r="R403" s="20" t="n">
        <f aca="false">Operations!R382*Operations!R367*(1-Operations!R394)</f>
        <v>6.77249</v>
      </c>
      <c r="S403" s="20" t="n">
        <f aca="false">Operations!S382*Operations!S367*(1-Operations!S394)</f>
        <v>6.77249</v>
      </c>
      <c r="T403" s="20" t="n">
        <f aca="false">Operations!T382*Operations!T367*(1-Operations!T394)</f>
        <v>6.77249</v>
      </c>
      <c r="U403" s="20" t="n">
        <f aca="false">Operations!U382*Operations!U367*(1-Operations!U394)</f>
        <v>6.77249</v>
      </c>
      <c r="V403" s="20" t="n">
        <f aca="false">Operations!V382*Operations!V367*(1-Operations!V394)</f>
        <v>6.77249</v>
      </c>
      <c r="W403" s="20" t="n">
        <f aca="false">Operations!W382*Operations!W367*(1-Operations!W394)</f>
        <v>0</v>
      </c>
      <c r="X403" s="20" t="n">
        <f aca="false">Operations!X382*Operations!X367*(1-Operations!X394)</f>
        <v>0</v>
      </c>
      <c r="Y403" s="20" t="n">
        <f aca="false">Operations!Y382*Operations!Y367*(1-Operations!Y394)</f>
        <v>0</v>
      </c>
      <c r="Z403" s="20" t="n">
        <f aca="false">Operations!Z382*Operations!Z367*(1-Operations!Z394)</f>
        <v>0</v>
      </c>
      <c r="AA403" s="20" t="n">
        <f aca="false">Operations!AA382*Operations!AA367*(1-Operations!AA394)</f>
        <v>0</v>
      </c>
      <c r="AB403" s="20" t="n">
        <f aca="false">Operations!AB382*Operations!AB367*(1-Operations!AB394)</f>
        <v>0</v>
      </c>
      <c r="AC403" s="20" t="n">
        <f aca="false">Operations!AC382*Operations!AC367*(1-Operations!AC394)</f>
        <v>0</v>
      </c>
      <c r="AD403" s="20" t="n">
        <f aca="false">Operations!AD382*Operations!AD367*(1-Operations!AD394)</f>
        <v>0</v>
      </c>
      <c r="AE403" s="20" t="n">
        <f aca="false">Operations!AE382*Operations!AE367*(1-Operations!AE394)</f>
        <v>0</v>
      </c>
      <c r="AF403" s="20" t="n">
        <f aca="false">Operations!AF382*Operations!AF367*(1-Operations!AF394)</f>
        <v>0</v>
      </c>
      <c r="AG403" s="20" t="n">
        <f aca="false">Operations!AG382*Operations!AG367*(1-Operations!AG394)</f>
        <v>0</v>
      </c>
      <c r="AH403" s="20" t="n">
        <f aca="false">Operations!AH382*Operations!AH367*(1-Operations!AH394)</f>
        <v>0</v>
      </c>
      <c r="AI403" s="20" t="n">
        <f aca="false">Operations!AI382*Operations!AI367*(1-Operations!AI394)</f>
        <v>0</v>
      </c>
      <c r="AJ403" s="20" t="n">
        <f aca="false">Operations!AJ382*Operations!AJ367*(1-Operations!AJ394)</f>
        <v>0</v>
      </c>
      <c r="AK403" s="20" t="n">
        <f aca="false">Operations!AK382*Operations!AK367*(1-Operations!AK394)</f>
        <v>0</v>
      </c>
      <c r="AL403" s="20" t="n">
        <f aca="false">Operations!AL382*Operations!AL367*(1-Operations!AL394)</f>
        <v>0</v>
      </c>
      <c r="AM403" s="20" t="n">
        <f aca="false">Operations!AM382*Operations!AM367*(1-Operations!AM394)</f>
        <v>0</v>
      </c>
      <c r="AN403" s="20" t="n">
        <f aca="false">Operations!AN382*Operations!AN367*(1-Operations!AN394)</f>
        <v>0</v>
      </c>
      <c r="AO403" s="20" t="n">
        <f aca="false">Operations!AO382*Operations!AO367*(1-Operations!AO394)</f>
        <v>0</v>
      </c>
      <c r="AP403" s="20" t="n">
        <f aca="false">Operations!AP382*Operations!AP367*(1-Operations!AP394)</f>
        <v>0</v>
      </c>
      <c r="AQ403" s="20" t="n">
        <f aca="false">Operations!AQ382*Operations!AQ367*(1-Operations!AQ394)</f>
        <v>0</v>
      </c>
      <c r="AR403" s="20" t="n">
        <f aca="false">Operations!AR382*Operations!AR367*(1-Operations!AR394)</f>
        <v>0</v>
      </c>
      <c r="AS403" s="20" t="n">
        <f aca="false">Operations!AS382*Operations!AS367*(1-Operations!AS394)</f>
        <v>0</v>
      </c>
      <c r="AT403" s="20" t="n">
        <f aca="false">Operations!AT382*Operations!AT367*(1-Operations!AT394)</f>
        <v>0</v>
      </c>
      <c r="AU403" s="20" t="n">
        <f aca="false">Operations!AU382*Operations!AU367*(1-Operations!AU394)</f>
        <v>0</v>
      </c>
    </row>
    <row r="404" customFormat="false" ht="15" hidden="false" customHeight="false" outlineLevel="0" collapsed="false">
      <c r="D404" s="0" t="s">
        <v>797</v>
      </c>
      <c r="E404" s="0" t="s">
        <v>47</v>
      </c>
      <c r="J404" s="20" t="n">
        <f aca="false">Operations!J385*Operations!J367*(1-Operations!J394)</f>
        <v>0</v>
      </c>
      <c r="K404" s="20" t="n">
        <f aca="false">Operations!K385*Operations!K367*(1-Operations!K394)</f>
        <v>0</v>
      </c>
      <c r="L404" s="20" t="n">
        <f aca="false">Operations!L385*Operations!L367*(1-Operations!L394)</f>
        <v>0.235148370701091</v>
      </c>
      <c r="M404" s="20" t="n">
        <f aca="false">Operations!M385*Operations!M367*(1-Operations!M394)</f>
        <v>3.47169852123576</v>
      </c>
      <c r="N404" s="20" t="n">
        <f aca="false">Operations!N385*Operations!N367*(1-Operations!N394)</f>
        <v>3.76156867070296</v>
      </c>
      <c r="O404" s="20" t="n">
        <f aca="false">Operations!O385*Operations!O367*(1-Operations!O394)</f>
        <v>3.85475252716946</v>
      </c>
      <c r="P404" s="20" t="n">
        <f aca="false">Operations!P385*Operations!P367*(1-Operations!P394)</f>
        <v>3.86394950743418</v>
      </c>
      <c r="Q404" s="20" t="n">
        <f aca="false">Operations!Q385*Operations!Q367*(1-Operations!Q394)</f>
        <v>3.82732060357171</v>
      </c>
      <c r="R404" s="20" t="n">
        <f aca="false">Operations!R385*Operations!R367*(1-Operations!R394)</f>
        <v>3.79309356919636</v>
      </c>
      <c r="S404" s="20" t="n">
        <f aca="false">Operations!S385*Operations!S367*(1-Operations!S394)</f>
        <v>3.72816776595202</v>
      </c>
      <c r="T404" s="20" t="n">
        <f aca="false">Operations!T385*Operations!T367*(1-Operations!T394)</f>
        <v>3.66136094849085</v>
      </c>
      <c r="U404" s="20" t="n">
        <f aca="false">Operations!U385*Operations!U367*(1-Operations!U394)</f>
        <v>3.59263825524821</v>
      </c>
      <c r="V404" s="20" t="n">
        <f aca="false">Operations!V385*Operations!V367*(1-Operations!V394)</f>
        <v>3.52196894721228</v>
      </c>
      <c r="W404" s="20" t="n">
        <f aca="false">Operations!W385*Operations!W367*(1-Operations!W394)</f>
        <v>10.0220093158412</v>
      </c>
      <c r="X404" s="20" t="n">
        <f aca="false">Operations!X385*Operations!X367*(1-Operations!X394)</f>
        <v>9.89718440760569</v>
      </c>
      <c r="Y404" s="20" t="n">
        <f aca="false">Operations!Y385*Operations!Y367*(1-Operations!Y394)</f>
        <v>9.92719543676923</v>
      </c>
      <c r="Z404" s="20" t="n">
        <f aca="false">Operations!Z385*Operations!Z367*(1-Operations!Z394)</f>
        <v>10.0852031584582</v>
      </c>
      <c r="AA404" s="20" t="n">
        <f aca="false">Operations!AA385*Operations!AA367*(1-Operations!AA394)</f>
        <v>10.2450976578251</v>
      </c>
      <c r="AB404" s="20" t="n">
        <f aca="false">Operations!AB385*Operations!AB367*(1-Operations!AB394)</f>
        <v>10.4084962917669</v>
      </c>
      <c r="AC404" s="20" t="n">
        <f aca="false">Operations!AC385*Operations!AC367*(1-Operations!AC394)</f>
        <v>10.5737070652113</v>
      </c>
      <c r="AD404" s="20" t="n">
        <f aca="false">Operations!AD385*Operations!AD367*(1-Operations!AD394)</f>
        <v>10.7423347922317</v>
      </c>
      <c r="AE404" s="20" t="n">
        <f aca="false">Operations!AE385*Operations!AE367*(1-Operations!AE394)</f>
        <v>10.9127013547905</v>
      </c>
      <c r="AF404" s="20" t="n">
        <f aca="false">Operations!AF385*Operations!AF367*(1-Operations!AF394)</f>
        <v>11.0863991202736</v>
      </c>
      <c r="AG404" s="20" t="n">
        <f aca="false">Operations!AG385*Operations!AG367*(1-Operations!AG394)</f>
        <v>11.2633792491414</v>
      </c>
      <c r="AH404" s="20" t="n">
        <f aca="false">Operations!AH385*Operations!AH367*(1-Operations!AH394)</f>
        <v>11.4419842629492</v>
      </c>
      <c r="AI404" s="20" t="n">
        <f aca="false">Operations!AI385*Operations!AI367*(1-Operations!AI394)</f>
        <v>11.6237880764638</v>
      </c>
      <c r="AJ404" s="20" t="n">
        <f aca="false">Operations!AJ385*Operations!AJ367*(1-Operations!AJ394)</f>
        <v>11.8087430101917</v>
      </c>
      <c r="AK404" s="20" t="n">
        <f aca="false">Operations!AK385*Operations!AK367*(1-Operations!AK394)</f>
        <v>11.9968017918203</v>
      </c>
      <c r="AL404" s="20" t="n">
        <f aca="false">Operations!AL385*Operations!AL367*(1-Operations!AL394)</f>
        <v>12.1879175534157</v>
      </c>
      <c r="AM404" s="20" t="n">
        <f aca="false">Operations!AM385*Operations!AM367*(1-Operations!AM394)</f>
        <v>12.382043828637</v>
      </c>
      <c r="AN404" s="20" t="n">
        <f aca="false">Operations!AN385*Operations!AN367*(1-Operations!AN394)</f>
        <v>12.5791345499689</v>
      </c>
      <c r="AO404" s="20" t="n">
        <f aca="false">Operations!AO385*Operations!AO367*(1-Operations!AO394)</f>
        <v>12.7791440459702</v>
      </c>
      <c r="AP404" s="20" t="n">
        <f aca="false">Operations!AP385*Operations!AP367*(1-Operations!AP394)</f>
        <v>12.9820270385394</v>
      </c>
      <c r="AQ404" s="20" t="n">
        <f aca="false">Operations!AQ385*Operations!AQ367*(1-Operations!AQ394)</f>
        <v>13.1892906866419</v>
      </c>
      <c r="AR404" s="20" t="n">
        <f aca="false">Operations!AR385*Operations!AR367*(1-Operations!AR394)</f>
        <v>13.3993260279036</v>
      </c>
      <c r="AS404" s="20" t="n">
        <f aca="false">Operations!AS385*Operations!AS367*(1-Operations!AS394)</f>
        <v>13.6120890225018</v>
      </c>
      <c r="AT404" s="20" t="n">
        <f aca="false">Operations!AT385*Operations!AT367*(1-Operations!AT394)</f>
        <v>13.8290695090715</v>
      </c>
      <c r="AU404" s="20" t="n">
        <f aca="false">Operations!AU385*Operations!AU367*(1-Operations!AU394)</f>
        <v>14.0486784452275</v>
      </c>
    </row>
    <row r="405" customFormat="false" ht="15" hidden="false" customHeight="false" outlineLevel="0" collapsed="false">
      <c r="D405" s="0" t="s">
        <v>798</v>
      </c>
      <c r="E405" s="0" t="s">
        <v>47</v>
      </c>
      <c r="J405" s="20" t="n">
        <f aca="false">Operations!J384*Operations!J367*(1-Operations!J394)</f>
        <v>0</v>
      </c>
      <c r="K405" s="20" t="n">
        <f aca="false">Operations!K384*Operations!K367*(1-Operations!K394)</f>
        <v>0</v>
      </c>
      <c r="L405" s="20" t="n">
        <f aca="false">Operations!L384*Operations!L367*(1-Operations!L394)</f>
        <v>0.235148370701091</v>
      </c>
      <c r="M405" s="20" t="n">
        <f aca="false">Operations!M384*Operations!M367*(1-Operations!M394)</f>
        <v>10.2441885212358</v>
      </c>
      <c r="N405" s="20" t="n">
        <f aca="false">Operations!N384*Operations!N367*(1-Operations!N394)</f>
        <v>10.534058670703</v>
      </c>
      <c r="O405" s="20" t="n">
        <f aca="false">Operations!O384*Operations!O367*(1-Operations!O394)</f>
        <v>10.6272425271695</v>
      </c>
      <c r="P405" s="20" t="n">
        <f aca="false">Operations!P384*Operations!P367*(1-Operations!P394)</f>
        <v>10.6364395074342</v>
      </c>
      <c r="Q405" s="20" t="n">
        <f aca="false">Operations!Q384*Operations!Q367*(1-Operations!Q394)</f>
        <v>10.5998106035717</v>
      </c>
      <c r="R405" s="20" t="n">
        <f aca="false">Operations!R384*Operations!R367*(1-Operations!R394)</f>
        <v>10.5655835691964</v>
      </c>
      <c r="S405" s="20" t="n">
        <f aca="false">Operations!S384*Operations!S367*(1-Operations!S394)</f>
        <v>10.500657765952</v>
      </c>
      <c r="T405" s="20" t="n">
        <f aca="false">Operations!T384*Operations!T367*(1-Operations!T394)</f>
        <v>10.4338509484908</v>
      </c>
      <c r="U405" s="20" t="n">
        <f aca="false">Operations!U384*Operations!U367*(1-Operations!U394)</f>
        <v>10.3651282552482</v>
      </c>
      <c r="V405" s="20" t="n">
        <f aca="false">Operations!V384*Operations!V367*(1-Operations!V394)</f>
        <v>10.2944589472123</v>
      </c>
      <c r="W405" s="20" t="n">
        <f aca="false">Operations!W384*Operations!W367*(1-Operations!W394)</f>
        <v>10.0220093158412</v>
      </c>
      <c r="X405" s="20" t="n">
        <f aca="false">Operations!X384*Operations!X367*(1-Operations!X394)</f>
        <v>9.89718440760569</v>
      </c>
      <c r="Y405" s="20" t="n">
        <f aca="false">Operations!Y384*Operations!Y367*(1-Operations!Y394)</f>
        <v>9.92719543676923</v>
      </c>
      <c r="Z405" s="20" t="n">
        <f aca="false">Operations!Z384*Operations!Z367*(1-Operations!Z394)</f>
        <v>10.0852031584582</v>
      </c>
      <c r="AA405" s="20" t="n">
        <f aca="false">Operations!AA384*Operations!AA367*(1-Operations!AA394)</f>
        <v>10.2450976578251</v>
      </c>
      <c r="AB405" s="20" t="n">
        <f aca="false">Operations!AB384*Operations!AB367*(1-Operations!AB394)</f>
        <v>10.4084962917669</v>
      </c>
      <c r="AC405" s="20" t="n">
        <f aca="false">Operations!AC384*Operations!AC367*(1-Operations!AC394)</f>
        <v>10.5737070652113</v>
      </c>
      <c r="AD405" s="20" t="n">
        <f aca="false">Operations!AD384*Operations!AD367*(1-Operations!AD394)</f>
        <v>10.7423347922317</v>
      </c>
      <c r="AE405" s="20" t="n">
        <f aca="false">Operations!AE384*Operations!AE367*(1-Operations!AE394)</f>
        <v>10.9127013547905</v>
      </c>
      <c r="AF405" s="20" t="n">
        <f aca="false">Operations!AF384*Operations!AF367*(1-Operations!AF394)</f>
        <v>11.0863991202736</v>
      </c>
      <c r="AG405" s="20" t="n">
        <f aca="false">Operations!AG384*Operations!AG367*(1-Operations!AG394)</f>
        <v>11.2633792491414</v>
      </c>
      <c r="AH405" s="20" t="n">
        <f aca="false">Operations!AH384*Operations!AH367*(1-Operations!AH394)</f>
        <v>11.4419842629492</v>
      </c>
      <c r="AI405" s="20" t="n">
        <f aca="false">Operations!AI384*Operations!AI367*(1-Operations!AI394)</f>
        <v>11.6237880764638</v>
      </c>
      <c r="AJ405" s="20" t="n">
        <f aca="false">Operations!AJ384*Operations!AJ367*(1-Operations!AJ394)</f>
        <v>11.8087430101917</v>
      </c>
      <c r="AK405" s="20" t="n">
        <f aca="false">Operations!AK384*Operations!AK367*(1-Operations!AK394)</f>
        <v>11.9968017918203</v>
      </c>
      <c r="AL405" s="20" t="n">
        <f aca="false">Operations!AL384*Operations!AL367*(1-Operations!AL394)</f>
        <v>12.1879175534157</v>
      </c>
      <c r="AM405" s="20" t="n">
        <f aca="false">Operations!AM384*Operations!AM367*(1-Operations!AM394)</f>
        <v>12.382043828637</v>
      </c>
      <c r="AN405" s="20" t="n">
        <f aca="false">Operations!AN384*Operations!AN367*(1-Operations!AN394)</f>
        <v>12.5791345499689</v>
      </c>
      <c r="AO405" s="20" t="n">
        <f aca="false">Operations!AO384*Operations!AO367*(1-Operations!AO394)</f>
        <v>12.7791440459702</v>
      </c>
      <c r="AP405" s="20" t="n">
        <f aca="false">Operations!AP384*Operations!AP367*(1-Operations!AP394)</f>
        <v>12.9820270385394</v>
      </c>
      <c r="AQ405" s="20" t="n">
        <f aca="false">Operations!AQ384*Operations!AQ367*(1-Operations!AQ394)</f>
        <v>13.1892906866419</v>
      </c>
      <c r="AR405" s="20" t="n">
        <f aca="false">Operations!AR384*Operations!AR367*(1-Operations!AR394)</f>
        <v>13.3993260279036</v>
      </c>
      <c r="AS405" s="20" t="n">
        <f aca="false">Operations!AS384*Operations!AS367*(1-Operations!AS394)</f>
        <v>13.6120890225018</v>
      </c>
      <c r="AT405" s="20" t="n">
        <f aca="false">Operations!AT384*Operations!AT367*(1-Operations!AT394)</f>
        <v>13.8290695090715</v>
      </c>
      <c r="AU405" s="20" t="n">
        <f aca="false">Operations!AU384*Operations!AU367*(1-Operations!AU394)</f>
        <v>14.0486784452275</v>
      </c>
    </row>
    <row r="407" customFormat="false" ht="15" hidden="false" customHeight="false" outlineLevel="0" collapsed="false">
      <c r="A407" s="4" t="s">
        <v>799</v>
      </c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</row>
    <row r="408" customFormat="false" ht="15" hidden="false" customHeight="false" outlineLevel="0" collapsed="false">
      <c r="D408" s="0" t="s">
        <v>800</v>
      </c>
      <c r="E408" s="0" t="s">
        <v>47</v>
      </c>
      <c r="J408" s="20" t="n">
        <f aca="false">Inputs!$F$246*Time!J$9*MAX(0,MIN(Inputs!$F$26,Time!J$6)-MAX(Inputs!$F$247,Time!J$5))/Time!J$7</f>
        <v>2.48986301369863</v>
      </c>
      <c r="K408" s="20" t="n">
        <f aca="false">Inputs!$F$246*Time!K$9*MAX(0,MIN(Inputs!$F$26,Time!K$6)-MAX(Inputs!$F$247,Time!K$5))/Time!K$7</f>
        <v>3.28</v>
      </c>
      <c r="L408" s="20" t="n">
        <f aca="false">Inputs!$F$246*Time!L$9*MAX(0,MIN(Inputs!$F$26,Time!L$6)-MAX(Inputs!$F$247,Time!L$5))/Time!L$7</f>
        <v>3.362</v>
      </c>
      <c r="M408" s="20" t="n">
        <f aca="false">Inputs!$F$246*Time!M$9*MAX(0,MIN(Inputs!$F$26,Time!M$6)-MAX(Inputs!$F$247,Time!M$5))/Time!M$7</f>
        <v>3.44605</v>
      </c>
      <c r="N408" s="20" t="n">
        <f aca="false">Inputs!$F$246*Time!N$9*MAX(0,MIN(Inputs!$F$26,Time!N$6)-MAX(Inputs!$F$247,Time!N$5))/Time!N$7</f>
        <v>3.53220125</v>
      </c>
      <c r="O408" s="20" t="n">
        <f aca="false">Inputs!$F$246*Time!O$9*MAX(0,MIN(Inputs!$F$26,Time!O$6)-MAX(Inputs!$F$247,Time!O$5))/Time!O$7</f>
        <v>3.62050628125</v>
      </c>
      <c r="P408" s="20" t="n">
        <f aca="false">Inputs!$F$246*Time!P$9*MAX(0,MIN(Inputs!$F$26,Time!P$6)-MAX(Inputs!$F$247,Time!P$5))/Time!P$7</f>
        <v>3.71101893828125</v>
      </c>
      <c r="Q408" s="20" t="n">
        <f aca="false">Inputs!$F$246*Time!Q$9*MAX(0,MIN(Inputs!$F$26,Time!Q$6)-MAX(Inputs!$F$247,Time!Q$5))/Time!Q$7</f>
        <v>3.80379441173828</v>
      </c>
      <c r="R408" s="20" t="n">
        <f aca="false">Inputs!$F$246*Time!R$9*MAX(0,MIN(Inputs!$F$26,Time!R$6)-MAX(Inputs!$F$247,Time!R$5))/Time!R$7</f>
        <v>3.89888927203174</v>
      </c>
      <c r="S408" s="20" t="n">
        <f aca="false">Inputs!$F$246*Time!S$9*MAX(0,MIN(Inputs!$F$26,Time!S$6)-MAX(Inputs!$F$247,Time!S$5))/Time!S$7</f>
        <v>3.99636150383253</v>
      </c>
      <c r="T408" s="20" t="n">
        <f aca="false">Inputs!$F$246*Time!T$9*MAX(0,MIN(Inputs!$F$26,Time!T$6)-MAX(Inputs!$F$247,Time!T$5))/Time!T$7</f>
        <v>4.09627054142834</v>
      </c>
      <c r="U408" s="20" t="n">
        <f aca="false">Inputs!$F$246*Time!U$9*MAX(0,MIN(Inputs!$F$26,Time!U$6)-MAX(Inputs!$F$247,Time!U$5))/Time!U$7</f>
        <v>4.19867730496405</v>
      </c>
      <c r="V408" s="20" t="n">
        <f aca="false">Inputs!$F$246*Time!V$9*MAX(0,MIN(Inputs!$F$26,Time!V$6)-MAX(Inputs!$F$247,Time!V$5))/Time!V$7</f>
        <v>4.30364423758815</v>
      </c>
      <c r="W408" s="20" t="n">
        <f aca="false">Inputs!$F$246*Time!W$9*MAX(0,MIN(Inputs!$F$26,Time!W$6)-MAX(Inputs!$F$247,Time!W$5))/Time!W$7</f>
        <v>4.41123534352785</v>
      </c>
      <c r="X408" s="20" t="n">
        <f aca="false">Inputs!$F$246*Time!X$9*MAX(0,MIN(Inputs!$F$26,Time!X$6)-MAX(Inputs!$F$247,Time!X$5))/Time!X$7</f>
        <v>4.52151622711605</v>
      </c>
      <c r="Y408" s="20" t="n">
        <f aca="false">Inputs!$F$246*Time!Y$9*MAX(0,MIN(Inputs!$F$26,Time!Y$6)-MAX(Inputs!$F$247,Time!Y$5))/Time!Y$7</f>
        <v>4.63455413279395</v>
      </c>
      <c r="Z408" s="20" t="n">
        <f aca="false">Inputs!$F$246*Time!Z$9*MAX(0,MIN(Inputs!$F$26,Time!Z$6)-MAX(Inputs!$F$247,Time!Z$5))/Time!Z$7</f>
        <v>4.7504179861138</v>
      </c>
      <c r="AA408" s="20" t="n">
        <f aca="false">Inputs!$F$246*Time!AA$9*MAX(0,MIN(Inputs!$F$26,Time!AA$6)-MAX(Inputs!$F$247,Time!AA$5))/Time!AA$7</f>
        <v>4.86917843576664</v>
      </c>
      <c r="AB408" s="20" t="n">
        <f aca="false">Inputs!$F$246*Time!AB$9*MAX(0,MIN(Inputs!$F$26,Time!AB$6)-MAX(Inputs!$F$247,Time!AB$5))/Time!AB$7</f>
        <v>4.99090789666081</v>
      </c>
      <c r="AC408" s="20" t="n">
        <f aca="false">Inputs!$F$246*Time!AC$9*MAX(0,MIN(Inputs!$F$26,Time!AC$6)-MAX(Inputs!$F$247,Time!AC$5))/Time!AC$7</f>
        <v>5.11568059407733</v>
      </c>
      <c r="AD408" s="20" t="n">
        <f aca="false">Inputs!$F$246*Time!AD$9*MAX(0,MIN(Inputs!$F$26,Time!AD$6)-MAX(Inputs!$F$247,Time!AD$5))/Time!AD$7</f>
        <v>5.24357260892926</v>
      </c>
      <c r="AE408" s="20" t="n">
        <f aca="false">Inputs!$F$246*Time!AE$9*MAX(0,MIN(Inputs!$F$26,Time!AE$6)-MAX(Inputs!$F$247,Time!AE$5))/Time!AE$7</f>
        <v>5.37466192415249</v>
      </c>
      <c r="AF408" s="20" t="n">
        <f aca="false">Inputs!$F$246*Time!AF$9*MAX(0,MIN(Inputs!$F$26,Time!AF$6)-MAX(Inputs!$F$247,Time!AF$5))/Time!AF$7</f>
        <v>5.50902847225631</v>
      </c>
      <c r="AG408" s="20" t="n">
        <f aca="false">Inputs!$F$246*Time!AG$9*MAX(0,MIN(Inputs!$F$26,Time!AG$6)-MAX(Inputs!$F$247,Time!AG$5))/Time!AG$7</f>
        <v>5.64675418406271</v>
      </c>
      <c r="AH408" s="20" t="n">
        <f aca="false">Inputs!$F$246*Time!AH$9*MAX(0,MIN(Inputs!$F$26,Time!AH$6)-MAX(Inputs!$F$247,Time!AH$5))/Time!AH$7</f>
        <v>5.78792303866428</v>
      </c>
      <c r="AI408" s="20" t="n">
        <f aca="false">Inputs!$F$246*Time!AI$9*MAX(0,MIN(Inputs!$F$26,Time!AI$6)-MAX(Inputs!$F$247,Time!AI$5))/Time!AI$7</f>
        <v>5.93262111463089</v>
      </c>
      <c r="AJ408" s="20" t="n">
        <f aca="false">Inputs!$F$246*Time!AJ$9*MAX(0,MIN(Inputs!$F$26,Time!AJ$6)-MAX(Inputs!$F$247,Time!AJ$5))/Time!AJ$7</f>
        <v>6.08093664249666</v>
      </c>
      <c r="AK408" s="20" t="n">
        <f aca="false">Inputs!$F$246*Time!AK$9*MAX(0,MIN(Inputs!$F$26,Time!AK$6)-MAX(Inputs!$F$247,Time!AK$5))/Time!AK$7</f>
        <v>6.23296005855907</v>
      </c>
      <c r="AL408" s="20" t="n">
        <f aca="false">Inputs!$F$246*Time!AL$9*MAX(0,MIN(Inputs!$F$26,Time!AL$6)-MAX(Inputs!$F$247,Time!AL$5))/Time!AL$7</f>
        <v>6.38878406002305</v>
      </c>
      <c r="AM408" s="20" t="n">
        <f aca="false">Inputs!$F$246*Time!AM$9*MAX(0,MIN(Inputs!$F$26,Time!AM$6)-MAX(Inputs!$F$247,Time!AM$5))/Time!AM$7</f>
        <v>6.54850366152362</v>
      </c>
      <c r="AN408" s="20" t="n">
        <f aca="false">Inputs!$F$246*Time!AN$9*MAX(0,MIN(Inputs!$F$26,Time!AN$6)-MAX(Inputs!$F$247,Time!AN$5))/Time!AN$7</f>
        <v>6.71221625306172</v>
      </c>
      <c r="AO408" s="20" t="n">
        <f aca="false">Inputs!$F$246*Time!AO$9*MAX(0,MIN(Inputs!$F$26,Time!AO$6)-MAX(Inputs!$F$247,Time!AO$5))/Time!AO$7</f>
        <v>6.88002165938826</v>
      </c>
      <c r="AP408" s="20" t="n">
        <f aca="false">Inputs!$F$246*Time!AP$9*MAX(0,MIN(Inputs!$F$26,Time!AP$6)-MAX(Inputs!$F$247,Time!AP$5))/Time!AP$7</f>
        <v>7.05202220087296</v>
      </c>
      <c r="AQ408" s="20" t="n">
        <f aca="false">Inputs!$F$246*Time!AQ$9*MAX(0,MIN(Inputs!$F$26,Time!AQ$6)-MAX(Inputs!$F$247,Time!AQ$5))/Time!AQ$7</f>
        <v>7.22832275589479</v>
      </c>
      <c r="AR408" s="20" t="n">
        <f aca="false">Inputs!$F$246*Time!AR$9*MAX(0,MIN(Inputs!$F$26,Time!AR$6)-MAX(Inputs!$F$247,Time!AR$5))/Time!AR$7</f>
        <v>7.40903082479216</v>
      </c>
      <c r="AS408" s="20" t="n">
        <f aca="false">Inputs!$F$246*Time!AS$9*MAX(0,MIN(Inputs!$F$26,Time!AS$6)-MAX(Inputs!$F$247,Time!AS$5))/Time!AS$7</f>
        <v>7.59425659541196</v>
      </c>
      <c r="AT408" s="20" t="n">
        <f aca="false">Inputs!$F$246*Time!AT$9*MAX(0,MIN(Inputs!$F$26,Time!AT$6)-MAX(Inputs!$F$247,Time!AT$5))/Time!AT$7</f>
        <v>7.78411301029726</v>
      </c>
      <c r="AU408" s="20" t="n">
        <f aca="false">Inputs!$F$246*Time!AU$9*MAX(0,MIN(Inputs!$F$26,Time!AU$6)-MAX(Inputs!$F$247,Time!AU$5))/Time!AU$7</f>
        <v>7.97871583555469</v>
      </c>
    </row>
    <row r="409" customFormat="false" ht="15" hidden="false" customHeight="false" outlineLevel="0" collapsed="false">
      <c r="D409" s="0" t="s">
        <v>801</v>
      </c>
      <c r="E409" s="0" t="s">
        <v>47</v>
      </c>
      <c r="J409" s="20" t="n">
        <f aca="false">Operations!J94+Operations!J136+Operations!J179+Operations!J222+Operations!J265</f>
        <v>47.6583149907034</v>
      </c>
      <c r="K409" s="20" t="n">
        <f aca="false">Operations!K94+Operations!K136+Operations!K179+Operations!K222+Operations!K265</f>
        <v>49.3809347157323</v>
      </c>
      <c r="L409" s="20" t="n">
        <f aca="false">Operations!L94+Operations!L136+Operations!L179+Operations!L222+Operations!L265</f>
        <v>44.9213010685761</v>
      </c>
      <c r="M409" s="20" t="n">
        <f aca="false">Operations!M94+Operations!M136+Operations!M179+Operations!M222+Operations!M265</f>
        <v>44.6315609831433</v>
      </c>
      <c r="N409" s="20" t="n">
        <f aca="false">Operations!N94+Operations!N136+Operations!N179+Operations!N222+Operations!N265</f>
        <v>43.9530566901036</v>
      </c>
      <c r="O409" s="20" t="n">
        <f aca="false">Operations!O94+Operations!O136+Operations!O179+Operations!O222+Operations!O265</f>
        <v>42.0293305374007</v>
      </c>
      <c r="P409" s="20" t="n">
        <f aca="false">Operations!P94+Operations!P136+Operations!P179+Operations!P222+Operations!P265</f>
        <v>41.3376639118444</v>
      </c>
      <c r="Q409" s="20" t="n">
        <f aca="false">Operations!Q94+Operations!Q136+Operations!Q179+Operations!Q222+Operations!Q265</f>
        <v>45.4021450491488</v>
      </c>
      <c r="R409" s="20" t="n">
        <f aca="false">Operations!R94+Operations!R136+Operations!R179+Operations!R222+Operations!R265</f>
        <v>48.1440106359089</v>
      </c>
      <c r="S409" s="20" t="n">
        <f aca="false">Operations!S94+Operations!S136+Operations!S179+Operations!S222+Operations!S265</f>
        <v>47.8340437103194</v>
      </c>
      <c r="T409" s="20" t="n">
        <f aca="false">Operations!T94+Operations!T136+Operations!T179+Operations!T222+Operations!T265</f>
        <v>47.5010067446396</v>
      </c>
      <c r="U409" s="20" t="n">
        <f aca="false">Operations!U94+Operations!U136+Operations!U179+Operations!U222+Operations!U265</f>
        <v>48.3723335044665</v>
      </c>
      <c r="V409" s="20" t="n">
        <f aca="false">Operations!V94+Operations!V136+Operations!V179+Operations!V222+Operations!V265</f>
        <v>49.0291072973413</v>
      </c>
      <c r="W409" s="20" t="n">
        <f aca="false">Operations!W94+Operations!W136+Operations!W179+Operations!W222+Operations!W265</f>
        <v>48.4396974804964</v>
      </c>
      <c r="X409" s="20" t="n">
        <f aca="false">Operations!X94+Operations!X136+Operations!X179+Operations!X222+Operations!X265</f>
        <v>48.4869377835679</v>
      </c>
      <c r="Y409" s="20" t="n">
        <f aca="false">Operations!Y94+Operations!Y136+Operations!Y179+Operations!Y222+Operations!Y265</f>
        <v>48.5296845999695</v>
      </c>
      <c r="Z409" s="20" t="n">
        <f aca="false">Operations!Z94+Operations!Z136+Operations!Z179+Operations!Z222+Operations!Z265</f>
        <v>48.5509298232203</v>
      </c>
      <c r="AA409" s="20" t="n">
        <f aca="false">Operations!AA94+Operations!AA136+Operations!AA179+Operations!AA222+Operations!AA265</f>
        <v>48.7007014914392</v>
      </c>
      <c r="AB409" s="20" t="n">
        <f aca="false">Operations!AB94+Operations!AB136+Operations!AB179+Operations!AB222+Operations!AB265</f>
        <v>48.8470951959588</v>
      </c>
      <c r="AC409" s="20" t="n">
        <f aca="false">Operations!AC94+Operations!AC136+Operations!AC179+Operations!AC222+Operations!AC265</f>
        <v>48.9735411851998</v>
      </c>
      <c r="AD409" s="20" t="n">
        <f aca="false">Operations!AD94+Operations!AD136+Operations!AD179+Operations!AD222+Operations!AD265</f>
        <v>49.0939087185202</v>
      </c>
      <c r="AE409" s="20" t="n">
        <f aca="false">Operations!AE94+Operations!AE136+Operations!AE179+Operations!AE222+Operations!AE265</f>
        <v>49.4248195400399</v>
      </c>
      <c r="AF409" s="20" t="n">
        <f aca="false">Operations!AF94+Operations!AF136+Operations!AF179+Operations!AF222+Operations!AF265</f>
        <v>28.2370019414383</v>
      </c>
      <c r="AG409" s="20" t="n">
        <f aca="false">Operations!AG94+Operations!AG136+Operations!AG179+Operations!AG222+Operations!AG265</f>
        <v>42.123534103886</v>
      </c>
      <c r="AH409" s="20" t="n">
        <f aca="false">Operations!AH94+Operations!AH136+Operations!AH179+Operations!AH222+Operations!AH265</f>
        <v>42.5005647821132</v>
      </c>
      <c r="AI409" s="20" t="n">
        <f aca="false">Operations!AI94+Operations!AI136+Operations!AI179+Operations!AI222+Operations!AI265</f>
        <v>3.02925406411545</v>
      </c>
      <c r="AJ409" s="20" t="n">
        <f aca="false">Operations!AJ94+Operations!AJ136+Operations!AJ179+Operations!AJ222+Operations!AJ265</f>
        <v>20.5854309429099</v>
      </c>
      <c r="AK409" s="20" t="n">
        <f aca="false">Operations!AK94+Operations!AK136+Operations!AK179+Operations!AK222+Operations!AK265</f>
        <v>2.56528483771462</v>
      </c>
      <c r="AL409" s="20" t="n">
        <f aca="false">Operations!AL94+Operations!AL136+Operations!AL179+Operations!AL222+Operations!AL265</f>
        <v>13.4093371142948</v>
      </c>
      <c r="AM409" s="20" t="n">
        <f aca="false">Operations!AM94+Operations!AM136+Operations!AM179+Operations!AM222+Operations!AM265</f>
        <v>13.5159940694815</v>
      </c>
      <c r="AN409" s="20" t="n">
        <f aca="false">Operations!AN94+Operations!AN136+Operations!AN179+Operations!AN222+Operations!AN265</f>
        <v>13.6215439184253</v>
      </c>
      <c r="AO409" s="20" t="n">
        <f aca="false">Operations!AO94+Operations!AO136+Operations!AO179+Operations!AO222+Operations!AO265</f>
        <v>13.7257257618045</v>
      </c>
      <c r="AP409" s="20" t="n">
        <f aca="false">Operations!AP94+Operations!AP136+Operations!AP179+Operations!AP222+Operations!AP265</f>
        <v>13.8282755763775</v>
      </c>
      <c r="AQ409" s="20" t="n">
        <f aca="false">Operations!AQ94+Operations!AQ136+Operations!AQ179+Operations!AQ222+Operations!AQ265</f>
        <v>4.65788658731462</v>
      </c>
      <c r="AR409" s="20" t="n">
        <f aca="false">Operations!AR94+Operations!AR136+Operations!AR179+Operations!AR222+Operations!AR265</f>
        <v>-10.669914842292</v>
      </c>
      <c r="AS409" s="20" t="n">
        <f aca="false">Operations!AS94+Operations!AS136+Operations!AS179+Operations!AS222+Operations!AS265</f>
        <v>0</v>
      </c>
      <c r="AT409" s="20" t="n">
        <f aca="false">Operations!AT94+Operations!AT136+Operations!AT179+Operations!AT222+Operations!AT265</f>
        <v>0</v>
      </c>
      <c r="AU409" s="20" t="n">
        <f aca="false">Operations!AU94+Operations!AU136+Operations!AU179+Operations!AU222+Operations!AU265</f>
        <v>0</v>
      </c>
    </row>
    <row r="410" customFormat="false" ht="15" hidden="false" customHeight="false" outlineLevel="0" collapsed="false">
      <c r="D410" s="0" t="s">
        <v>802</v>
      </c>
      <c r="E410" s="0" t="s">
        <v>47</v>
      </c>
      <c r="J410" s="20" t="n">
        <f aca="false">Operations!J100+Operations!J142+Operations!J185+Operations!J228+Operations!J271</f>
        <v>38.6490894003288</v>
      </c>
      <c r="K410" s="20" t="n">
        <f aca="false">Operations!K100+Operations!K142+Operations!K185+Operations!K228+Operations!K271</f>
        <v>49.5290765083</v>
      </c>
      <c r="L410" s="20" t="n">
        <f aca="false">Operations!L100+Operations!L142+Operations!L185+Operations!L228+Operations!L271</f>
        <v>49.3866562897398</v>
      </c>
      <c r="M410" s="20" t="n">
        <f aca="false">Operations!M100+Operations!M142+Operations!M185+Operations!M228+Operations!M271</f>
        <v>49.2449803837226</v>
      </c>
      <c r="N410" s="20" t="n">
        <f aca="false">Operations!N100+Operations!N142+Operations!N185+Operations!N228+Operations!N271</f>
        <v>49.1535191031593</v>
      </c>
      <c r="O410" s="20" t="n">
        <f aca="false">Operations!O100+Operations!O142+Operations!O185+Operations!O228+Operations!O271</f>
        <v>49.960822851232</v>
      </c>
      <c r="P410" s="20" t="n">
        <f aca="false">Operations!P100+Operations!P142+Operations!P185+Operations!P228+Operations!P271</f>
        <v>50.7457469785783</v>
      </c>
      <c r="Q410" s="20" t="n">
        <f aca="false">Operations!Q100+Operations!Q142+Operations!Q185+Operations!Q228+Operations!Q271</f>
        <v>38.5704001719485</v>
      </c>
      <c r="R410" s="20" t="n">
        <f aca="false">Operations!R100+Operations!R142+Operations!R185+Operations!R228+Operations!R271</f>
        <v>11.1361940775514</v>
      </c>
      <c r="S410" s="20" t="n">
        <f aca="false">Operations!S100+Operations!S142+Operations!S185+Operations!S228+Operations!S271</f>
        <v>11.0860812042024</v>
      </c>
      <c r="T410" s="20" t="n">
        <f aca="false">Operations!T100+Operations!T142+Operations!T185+Operations!T228+Operations!T271</f>
        <v>11.0361938387835</v>
      </c>
      <c r="U410" s="20" t="n">
        <f aca="false">Operations!U100+Operations!U142+Operations!U185+Operations!U228+Operations!U271</f>
        <v>5.44811535599486</v>
      </c>
      <c r="V410" s="20" t="n">
        <f aca="false">Operations!V100+Operations!V142+Operations!V185+Operations!V228+Operations!V271</f>
        <v>0</v>
      </c>
      <c r="W410" s="20" t="n">
        <f aca="false">Operations!W100+Operations!W142+Operations!W185+Operations!W228+Operations!W271</f>
        <v>0</v>
      </c>
      <c r="X410" s="20" t="n">
        <f aca="false">Operations!X100+Operations!X142+Operations!X185+Operations!X228+Operations!X271</f>
        <v>0</v>
      </c>
      <c r="Y410" s="20" t="n">
        <f aca="false">Operations!Y100+Operations!Y142+Operations!Y185+Operations!Y228+Operations!Y271</f>
        <v>0</v>
      </c>
      <c r="Z410" s="20" t="n">
        <f aca="false">Operations!Z100+Operations!Z142+Operations!Z185+Operations!Z228+Operations!Z271</f>
        <v>0</v>
      </c>
      <c r="AA410" s="20" t="n">
        <f aca="false">Operations!AA100+Operations!AA142+Operations!AA185+Operations!AA228+Operations!AA271</f>
        <v>0</v>
      </c>
      <c r="AB410" s="20" t="n">
        <f aca="false">Operations!AB100+Operations!AB142+Operations!AB185+Operations!AB228+Operations!AB271</f>
        <v>0</v>
      </c>
      <c r="AC410" s="20" t="n">
        <f aca="false">Operations!AC100+Operations!AC142+Operations!AC185+Operations!AC228+Operations!AC271</f>
        <v>0</v>
      </c>
      <c r="AD410" s="20" t="n">
        <f aca="false">Operations!AD100+Operations!AD142+Operations!AD185+Operations!AD228+Operations!AD271</f>
        <v>0</v>
      </c>
      <c r="AE410" s="20" t="n">
        <f aca="false">Operations!AE100+Operations!AE142+Operations!AE185+Operations!AE228+Operations!AE271</f>
        <v>0</v>
      </c>
      <c r="AF410" s="20" t="n">
        <f aca="false">Operations!AF100+Operations!AF142+Operations!AF185+Operations!AF228+Operations!AF271</f>
        <v>0</v>
      </c>
      <c r="AG410" s="20" t="n">
        <f aca="false">Operations!AG100+Operations!AG142+Operations!AG185+Operations!AG228+Operations!AG271</f>
        <v>0</v>
      </c>
      <c r="AH410" s="20" t="n">
        <f aca="false">Operations!AH100+Operations!AH142+Operations!AH185+Operations!AH228+Operations!AH271</f>
        <v>0</v>
      </c>
      <c r="AI410" s="20" t="n">
        <f aca="false">Operations!AI100+Operations!AI142+Operations!AI185+Operations!AI228+Operations!AI271</f>
        <v>0</v>
      </c>
      <c r="AJ410" s="20" t="n">
        <f aca="false">Operations!AJ100+Operations!AJ142+Operations!AJ185+Operations!AJ228+Operations!AJ271</f>
        <v>0</v>
      </c>
      <c r="AK410" s="20" t="n">
        <f aca="false">Operations!AK100+Operations!AK142+Operations!AK185+Operations!AK228+Operations!AK271</f>
        <v>0</v>
      </c>
      <c r="AL410" s="20" t="n">
        <f aca="false">Operations!AL100+Operations!AL142+Operations!AL185+Operations!AL228+Operations!AL271</f>
        <v>0</v>
      </c>
      <c r="AM410" s="20" t="n">
        <f aca="false">Operations!AM100+Operations!AM142+Operations!AM185+Operations!AM228+Operations!AM271</f>
        <v>0</v>
      </c>
      <c r="AN410" s="20" t="n">
        <f aca="false">Operations!AN100+Operations!AN142+Operations!AN185+Operations!AN228+Operations!AN271</f>
        <v>0</v>
      </c>
      <c r="AO410" s="20" t="n">
        <f aca="false">Operations!AO100+Operations!AO142+Operations!AO185+Operations!AO228+Operations!AO271</f>
        <v>0</v>
      </c>
      <c r="AP410" s="20" t="n">
        <f aca="false">Operations!AP100+Operations!AP142+Operations!AP185+Operations!AP228+Operations!AP271</f>
        <v>0</v>
      </c>
      <c r="AQ410" s="20" t="n">
        <f aca="false">Operations!AQ100+Operations!AQ142+Operations!AQ185+Operations!AQ228+Operations!AQ271</f>
        <v>0</v>
      </c>
      <c r="AR410" s="20" t="n">
        <f aca="false">Operations!AR100+Operations!AR142+Operations!AR185+Operations!AR228+Operations!AR271</f>
        <v>0</v>
      </c>
      <c r="AS410" s="20" t="n">
        <f aca="false">Operations!AS100+Operations!AS142+Operations!AS185+Operations!AS228+Operations!AS271</f>
        <v>0</v>
      </c>
      <c r="AT410" s="20" t="n">
        <f aca="false">Operations!AT100+Operations!AT142+Operations!AT185+Operations!AT228+Operations!AT271</f>
        <v>0</v>
      </c>
      <c r="AU410" s="20" t="n">
        <f aca="false">Operations!AU100+Operations!AU142+Operations!AU185+Operations!AU228+Operations!AU271</f>
        <v>0</v>
      </c>
    </row>
    <row r="411" customFormat="false" ht="15" hidden="false" customHeight="false" outlineLevel="0" collapsed="false">
      <c r="D411" s="0" t="s">
        <v>803</v>
      </c>
      <c r="E411" s="0" t="s">
        <v>47</v>
      </c>
      <c r="J411" s="20" t="n">
        <f aca="false">Operations!J101+Operations!J143+Operations!J186+Operations!J229+Operations!J272</f>
        <v>5.77838071232877</v>
      </c>
      <c r="K411" s="20" t="n">
        <f aca="false">Operations!K101+Operations!K143+Operations!K186+Operations!K229+Operations!K272</f>
        <v>24.33324</v>
      </c>
      <c r="L411" s="20" t="n">
        <f aca="false">Operations!L101+Operations!L143+Operations!L186+Operations!L229+Operations!L272</f>
        <v>24.37956</v>
      </c>
      <c r="M411" s="20" t="n">
        <f aca="false">Operations!M101+Operations!M143+Operations!M186+Operations!M229+Operations!M272</f>
        <v>24.33324</v>
      </c>
      <c r="N411" s="20" t="n">
        <f aca="false">Operations!N101+Operations!N143+Operations!N186+Operations!N229+Operations!N272</f>
        <v>24.33324</v>
      </c>
      <c r="O411" s="20" t="n">
        <f aca="false">Operations!O101+Operations!O143+Operations!O186+Operations!O229+Operations!O272</f>
        <v>16.9068</v>
      </c>
      <c r="P411" s="20" t="n">
        <f aca="false">Operations!P101+Operations!P143+Operations!P186+Operations!P229+Operations!P272</f>
        <v>0</v>
      </c>
      <c r="Q411" s="20" t="n">
        <f aca="false">Operations!Q101+Operations!Q143+Operations!Q186+Operations!Q229+Operations!Q272</f>
        <v>0</v>
      </c>
      <c r="R411" s="20" t="n">
        <f aca="false">Operations!R101+Operations!R143+Operations!R186+Operations!R229+Operations!R272</f>
        <v>0</v>
      </c>
      <c r="S411" s="20" t="n">
        <f aca="false">Operations!S101+Operations!S143+Operations!S186+Operations!S229+Operations!S272</f>
        <v>0</v>
      </c>
      <c r="T411" s="20" t="n">
        <f aca="false">Operations!T101+Operations!T143+Operations!T186+Operations!T229+Operations!T272</f>
        <v>0</v>
      </c>
      <c r="U411" s="20" t="n">
        <f aca="false">Operations!U101+Operations!U143+Operations!U186+Operations!U229+Operations!U272</f>
        <v>0</v>
      </c>
      <c r="V411" s="20" t="n">
        <f aca="false">Operations!V101+Operations!V143+Operations!V186+Operations!V229+Operations!V272</f>
        <v>0</v>
      </c>
      <c r="W411" s="20" t="n">
        <f aca="false">Operations!W101+Operations!W143+Operations!W186+Operations!W229+Operations!W272</f>
        <v>0</v>
      </c>
      <c r="X411" s="20" t="n">
        <f aca="false">Operations!X101+Operations!X143+Operations!X186+Operations!X229+Operations!X272</f>
        <v>0</v>
      </c>
      <c r="Y411" s="20" t="n">
        <f aca="false">Operations!Y101+Operations!Y143+Operations!Y186+Operations!Y229+Operations!Y272</f>
        <v>0</v>
      </c>
      <c r="Z411" s="20" t="n">
        <f aca="false">Operations!Z101+Operations!Z143+Operations!Z186+Operations!Z229+Operations!Z272</f>
        <v>0</v>
      </c>
      <c r="AA411" s="20" t="n">
        <f aca="false">Operations!AA101+Operations!AA143+Operations!AA186+Operations!AA229+Operations!AA272</f>
        <v>0</v>
      </c>
      <c r="AB411" s="20" t="n">
        <f aca="false">Operations!AB101+Operations!AB143+Operations!AB186+Operations!AB229+Operations!AB272</f>
        <v>0</v>
      </c>
      <c r="AC411" s="20" t="n">
        <f aca="false">Operations!AC101+Operations!AC143+Operations!AC186+Operations!AC229+Operations!AC272</f>
        <v>0</v>
      </c>
      <c r="AD411" s="20" t="n">
        <f aca="false">Operations!AD101+Operations!AD143+Operations!AD186+Operations!AD229+Operations!AD272</f>
        <v>0</v>
      </c>
      <c r="AE411" s="20" t="n">
        <f aca="false">Operations!AE101+Operations!AE143+Operations!AE186+Operations!AE229+Operations!AE272</f>
        <v>0</v>
      </c>
      <c r="AF411" s="20" t="n">
        <f aca="false">Operations!AF101+Operations!AF143+Operations!AF186+Operations!AF229+Operations!AF272</f>
        <v>0</v>
      </c>
      <c r="AG411" s="20" t="n">
        <f aca="false">Operations!AG101+Operations!AG143+Operations!AG186+Operations!AG229+Operations!AG272</f>
        <v>0</v>
      </c>
      <c r="AH411" s="20" t="n">
        <f aca="false">Operations!AH101+Operations!AH143+Operations!AH186+Operations!AH229+Operations!AH272</f>
        <v>0</v>
      </c>
      <c r="AI411" s="20" t="n">
        <f aca="false">Operations!AI101+Operations!AI143+Operations!AI186+Operations!AI229+Operations!AI272</f>
        <v>0</v>
      </c>
      <c r="AJ411" s="20" t="n">
        <f aca="false">Operations!AJ101+Operations!AJ143+Operations!AJ186+Operations!AJ229+Operations!AJ272</f>
        <v>0</v>
      </c>
      <c r="AK411" s="20" t="n">
        <f aca="false">Operations!AK101+Operations!AK143+Operations!AK186+Operations!AK229+Operations!AK272</f>
        <v>0</v>
      </c>
      <c r="AL411" s="20" t="n">
        <f aca="false">Operations!AL101+Operations!AL143+Operations!AL186+Operations!AL229+Operations!AL272</f>
        <v>0</v>
      </c>
      <c r="AM411" s="20" t="n">
        <f aca="false">Operations!AM101+Operations!AM143+Operations!AM186+Operations!AM229+Operations!AM272</f>
        <v>0</v>
      </c>
      <c r="AN411" s="20" t="n">
        <f aca="false">Operations!AN101+Operations!AN143+Operations!AN186+Operations!AN229+Operations!AN272</f>
        <v>0</v>
      </c>
      <c r="AO411" s="20" t="n">
        <f aca="false">Operations!AO101+Operations!AO143+Operations!AO186+Operations!AO229+Operations!AO272</f>
        <v>0</v>
      </c>
      <c r="AP411" s="20" t="n">
        <f aca="false">Operations!AP101+Operations!AP143+Operations!AP186+Operations!AP229+Operations!AP272</f>
        <v>0</v>
      </c>
      <c r="AQ411" s="20" t="n">
        <f aca="false">Operations!AQ101+Operations!AQ143+Operations!AQ186+Operations!AQ229+Operations!AQ272</f>
        <v>0</v>
      </c>
      <c r="AR411" s="20" t="n">
        <f aca="false">Operations!AR101+Operations!AR143+Operations!AR186+Operations!AR229+Operations!AR272</f>
        <v>0</v>
      </c>
      <c r="AS411" s="20" t="n">
        <f aca="false">Operations!AS101+Operations!AS143+Operations!AS186+Operations!AS229+Operations!AS272</f>
        <v>0</v>
      </c>
      <c r="AT411" s="20" t="n">
        <f aca="false">Operations!AT101+Operations!AT143+Operations!AT186+Operations!AT229+Operations!AT272</f>
        <v>0</v>
      </c>
      <c r="AU411" s="20" t="n">
        <f aca="false">Operations!AU101+Operations!AU143+Operations!AU186+Operations!AU229+Operations!AU272</f>
        <v>0</v>
      </c>
    </row>
    <row r="412" customFormat="false" ht="15" hidden="false" customHeight="false" outlineLevel="0" collapsed="false">
      <c r="D412" s="0" t="s">
        <v>804</v>
      </c>
      <c r="E412" s="0" t="s">
        <v>47</v>
      </c>
      <c r="J412" s="20" t="n">
        <f aca="false">Operations!J102+Operations!J144+Operations!J187+Operations!J230+Operations!J273</f>
        <v>26.7232276162174</v>
      </c>
      <c r="K412" s="20" t="n">
        <f aca="false">Operations!K102+Operations!K144+Operations!K187+Operations!K230+Operations!K273</f>
        <v>6.82405851327352</v>
      </c>
      <c r="L412" s="20" t="n">
        <f aca="false">Operations!L102+Operations!L144+Operations!L187+Operations!L230+Operations!L273</f>
        <v>3.04130026592657</v>
      </c>
      <c r="M412" s="20" t="n">
        <f aca="false">Operations!M102+Operations!M144+Operations!M187+Operations!M230+Operations!M273</f>
        <v>3.68528034984417</v>
      </c>
      <c r="N412" s="20" t="n">
        <f aca="false">Operations!N102+Operations!N144+Operations!N187+Operations!N230+Operations!N273</f>
        <v>3.84776318149443</v>
      </c>
      <c r="O412" s="20" t="n">
        <f aca="false">Operations!O102+Operations!O144+Operations!O187+Operations!O230+Operations!O273</f>
        <v>9.60003876437904</v>
      </c>
      <c r="P412" s="20" t="n">
        <f aca="false">Operations!P102+Operations!P144+Operations!P187+Operations!P230+Operations!P273</f>
        <v>26.1098537184945</v>
      </c>
      <c r="Q412" s="20" t="n">
        <f aca="false">Operations!Q102+Operations!Q144+Operations!Q187+Operations!Q230+Operations!Q273</f>
        <v>43.4050308061651</v>
      </c>
      <c r="R412" s="20" t="n">
        <f aca="false">Operations!R102+Operations!R144+Operations!R187+Operations!R230+Operations!R273</f>
        <v>77.2465804649112</v>
      </c>
      <c r="S412" s="20" t="n">
        <f aca="false">Operations!S102+Operations!S144+Operations!S187+Operations!S230+Operations!S273</f>
        <v>77.9467093516803</v>
      </c>
      <c r="T412" s="20" t="n">
        <f aca="false">Operations!T102+Operations!T144+Operations!T187+Operations!T230+Operations!T273</f>
        <v>78.6468557341989</v>
      </c>
      <c r="U412" s="20" t="n">
        <f aca="false">Operations!U102+Operations!U144+Operations!U187+Operations!U230+Operations!U273</f>
        <v>86.1199061312267</v>
      </c>
      <c r="V412" s="20" t="n">
        <f aca="false">Operations!V102+Operations!V144+Operations!V187+Operations!V230+Operations!V273</f>
        <v>93.2618737530005</v>
      </c>
      <c r="W412" s="20" t="n">
        <f aca="false">Operations!W102+Operations!W144+Operations!W187+Operations!W230+Operations!W273</f>
        <v>93.7281189029031</v>
      </c>
      <c r="X412" s="20" t="n">
        <f aca="false">Operations!X102+Operations!X144+Operations!X187+Operations!X230+Operations!X273</f>
        <v>94.8601309505803</v>
      </c>
      <c r="Y412" s="20" t="n">
        <f aca="false">Operations!Y102+Operations!Y144+Operations!Y187+Operations!Y230+Operations!Y273</f>
        <v>96.0145174856422</v>
      </c>
      <c r="Z412" s="20" t="n">
        <f aca="false">Operations!Z102+Operations!Z144+Operations!Z187+Operations!Z230+Operations!Z273</f>
        <v>97.1742910526548</v>
      </c>
      <c r="AA412" s="20" t="n">
        <f aca="false">Operations!AA102+Operations!AA144+Operations!AA187+Operations!AA230+Operations!AA273</f>
        <v>98.4972943682641</v>
      </c>
      <c r="AB412" s="20" t="n">
        <f aca="false">Operations!AB102+Operations!AB144+Operations!AB187+Operations!AB230+Operations!AB273</f>
        <v>99.8459565824796</v>
      </c>
      <c r="AC412" s="20" t="n">
        <f aca="false">Operations!AC102+Operations!AC144+Operations!AC187+Operations!AC230+Operations!AC273</f>
        <v>101.203800013193</v>
      </c>
      <c r="AD412" s="20" t="n">
        <f aca="false">Operations!AD102+Operations!AD144+Operations!AD187+Operations!AD230+Operations!AD273</f>
        <v>102.585973920106</v>
      </c>
      <c r="AE412" s="20" t="n">
        <f aca="false">Operations!AE102+Operations!AE144+Operations!AE187+Operations!AE230+Operations!AE273</f>
        <v>104.220280138909</v>
      </c>
      <c r="AF412" s="20" t="n">
        <f aca="false">Operations!AF102+Operations!AF144+Operations!AF187+Operations!AF230+Operations!AF273</f>
        <v>105.88637366503</v>
      </c>
      <c r="AG412" s="20" t="n">
        <f aca="false">Operations!AG102+Operations!AG144+Operations!AG187+Operations!AG230+Operations!AG273</f>
        <v>83.1339729604415</v>
      </c>
      <c r="AH412" s="20" t="n">
        <f aca="false">Operations!AH102+Operations!AH144+Operations!AH187+Operations!AH230+Operations!AH273</f>
        <v>84.5132078502351</v>
      </c>
      <c r="AI412" s="20" t="n">
        <f aca="false">Operations!AI102+Operations!AI144+Operations!AI187+Operations!AI230+Operations!AI273</f>
        <v>63.5712699759622</v>
      </c>
      <c r="AJ412" s="20" t="n">
        <f aca="false">Operations!AJ102+Operations!AJ144+Operations!AJ187+Operations!AJ230+Operations!AJ273</f>
        <v>42.2240686493788</v>
      </c>
      <c r="AK412" s="20" t="n">
        <f aca="false">Operations!AK102+Operations!AK144+Operations!AK187+Operations!AK230+Operations!AK273</f>
        <v>41.2835250696141</v>
      </c>
      <c r="AL412" s="20" t="n">
        <f aca="false">Operations!AL102+Operations!AL144+Operations!AL187+Operations!AL230+Operations!AL273</f>
        <v>23.9800752777485</v>
      </c>
      <c r="AM412" s="20" t="n">
        <f aca="false">Operations!AM102+Operations!AM144+Operations!AM187+Operations!AM230+Operations!AM273</f>
        <v>24.3497943271506</v>
      </c>
      <c r="AN412" s="20" t="n">
        <f aca="false">Operations!AN102+Operations!AN144+Operations!AN187+Operations!AN230+Operations!AN273</f>
        <v>24.7249629070754</v>
      </c>
      <c r="AO412" s="20" t="n">
        <f aca="false">Operations!AO102+Operations!AO144+Operations!AO187+Operations!AO230+Operations!AO273</f>
        <v>25.1054828032442</v>
      </c>
      <c r="AP412" s="20" t="n">
        <f aca="false">Operations!AP102+Operations!AP144+Operations!AP187+Operations!AP230+Operations!AP273</f>
        <v>25.4912567625215</v>
      </c>
      <c r="AQ412" s="20" t="n">
        <f aca="false">Operations!AQ102+Operations!AQ144+Operations!AQ187+Operations!AQ230+Operations!AQ273</f>
        <v>24.3584939890192</v>
      </c>
      <c r="AR412" s="20" t="n">
        <f aca="false">Operations!AR102+Operations!AR144+Operations!AR187+Operations!AR230+Operations!AR273</f>
        <v>8.45753654827435</v>
      </c>
      <c r="AS412" s="20" t="n">
        <f aca="false">Operations!AS102+Operations!AS144+Operations!AS187+Operations!AS230+Operations!AS273</f>
        <v>0</v>
      </c>
      <c r="AT412" s="20" t="n">
        <f aca="false">Operations!AT102+Operations!AT144+Operations!AT187+Operations!AT230+Operations!AT273</f>
        <v>0</v>
      </c>
      <c r="AU412" s="20" t="n">
        <f aca="false">Operations!AU102+Operations!AU144+Operations!AU187+Operations!AU230+Operations!AU273</f>
        <v>0</v>
      </c>
    </row>
    <row r="413" customFormat="false" ht="15" hidden="false" customHeight="false" outlineLevel="0" collapsed="false">
      <c r="D413" s="0" t="s">
        <v>805</v>
      </c>
      <c r="E413" s="0" t="s">
        <v>47</v>
      </c>
      <c r="J413" s="20" t="n">
        <f aca="false">Operations!J410+Operations!J411+Operations!J412</f>
        <v>71.1506977288749</v>
      </c>
      <c r="K413" s="20" t="n">
        <f aca="false">Operations!K410+Operations!K411+Operations!K412</f>
        <v>80.6863750215735</v>
      </c>
      <c r="L413" s="20" t="n">
        <f aca="false">Operations!L410+Operations!L411+Operations!L412</f>
        <v>76.8075165556664</v>
      </c>
      <c r="M413" s="20" t="n">
        <f aca="false">Operations!M410+Operations!M411+Operations!M412</f>
        <v>77.2635007335667</v>
      </c>
      <c r="N413" s="20" t="n">
        <f aca="false">Operations!N410+Operations!N411+Operations!N412</f>
        <v>77.3345222846537</v>
      </c>
      <c r="O413" s="20" t="n">
        <f aca="false">Operations!O410+Operations!O411+Operations!O412</f>
        <v>76.467661615611</v>
      </c>
      <c r="P413" s="20" t="n">
        <f aca="false">Operations!P410+Operations!P411+Operations!P412</f>
        <v>76.8556006970728</v>
      </c>
      <c r="Q413" s="20" t="n">
        <f aca="false">Operations!Q410+Operations!Q411+Operations!Q412</f>
        <v>81.9754309781136</v>
      </c>
      <c r="R413" s="20" t="n">
        <f aca="false">Operations!R410+Operations!R411+Operations!R412</f>
        <v>88.3827745424625</v>
      </c>
      <c r="S413" s="20" t="n">
        <f aca="false">Operations!S410+Operations!S411+Operations!S412</f>
        <v>89.0327905558827</v>
      </c>
      <c r="T413" s="20" t="n">
        <f aca="false">Operations!T410+Operations!T411+Operations!T412</f>
        <v>89.6830495729824</v>
      </c>
      <c r="U413" s="20" t="n">
        <f aca="false">Operations!U410+Operations!U411+Operations!U412</f>
        <v>91.5680214872216</v>
      </c>
      <c r="V413" s="20" t="n">
        <f aca="false">Operations!V410+Operations!V411+Operations!V412</f>
        <v>93.2618737530005</v>
      </c>
      <c r="W413" s="20" t="n">
        <f aca="false">Operations!W410+Operations!W411+Operations!W412</f>
        <v>93.7281189029031</v>
      </c>
      <c r="X413" s="20" t="n">
        <f aca="false">Operations!X410+Operations!X411+Operations!X412</f>
        <v>94.8601309505803</v>
      </c>
      <c r="Y413" s="20" t="n">
        <f aca="false">Operations!Y410+Operations!Y411+Operations!Y412</f>
        <v>96.0145174856422</v>
      </c>
      <c r="Z413" s="20" t="n">
        <f aca="false">Operations!Z410+Operations!Z411+Operations!Z412</f>
        <v>97.1742910526548</v>
      </c>
      <c r="AA413" s="20" t="n">
        <f aca="false">Operations!AA410+Operations!AA411+Operations!AA412</f>
        <v>98.4972943682641</v>
      </c>
      <c r="AB413" s="20" t="n">
        <f aca="false">Operations!AB410+Operations!AB411+Operations!AB412</f>
        <v>99.8459565824796</v>
      </c>
      <c r="AC413" s="20" t="n">
        <f aca="false">Operations!AC410+Operations!AC411+Operations!AC412</f>
        <v>101.203800013193</v>
      </c>
      <c r="AD413" s="20" t="n">
        <f aca="false">Operations!AD410+Operations!AD411+Operations!AD412</f>
        <v>102.585973920106</v>
      </c>
      <c r="AE413" s="20" t="n">
        <f aca="false">Operations!AE410+Operations!AE411+Operations!AE412</f>
        <v>104.220280138909</v>
      </c>
      <c r="AF413" s="20" t="n">
        <f aca="false">Operations!AF410+Operations!AF411+Operations!AF412</f>
        <v>105.88637366503</v>
      </c>
      <c r="AG413" s="20" t="n">
        <f aca="false">Operations!AG410+Operations!AG411+Operations!AG412</f>
        <v>83.1339729604415</v>
      </c>
      <c r="AH413" s="20" t="n">
        <f aca="false">Operations!AH410+Operations!AH411+Operations!AH412</f>
        <v>84.5132078502351</v>
      </c>
      <c r="AI413" s="20" t="n">
        <f aca="false">Operations!AI410+Operations!AI411+Operations!AI412</f>
        <v>63.5712699759622</v>
      </c>
      <c r="AJ413" s="20" t="n">
        <f aca="false">Operations!AJ410+Operations!AJ411+Operations!AJ412</f>
        <v>42.2240686493788</v>
      </c>
      <c r="AK413" s="20" t="n">
        <f aca="false">Operations!AK410+Operations!AK411+Operations!AK412</f>
        <v>41.2835250696141</v>
      </c>
      <c r="AL413" s="20" t="n">
        <f aca="false">Operations!AL410+Operations!AL411+Operations!AL412</f>
        <v>23.9800752777485</v>
      </c>
      <c r="AM413" s="20" t="n">
        <f aca="false">Operations!AM410+Operations!AM411+Operations!AM412</f>
        <v>24.3497943271506</v>
      </c>
      <c r="AN413" s="20" t="n">
        <f aca="false">Operations!AN410+Operations!AN411+Operations!AN412</f>
        <v>24.7249629070754</v>
      </c>
      <c r="AO413" s="20" t="n">
        <f aca="false">Operations!AO410+Operations!AO411+Operations!AO412</f>
        <v>25.1054828032442</v>
      </c>
      <c r="AP413" s="20" t="n">
        <f aca="false">Operations!AP410+Operations!AP411+Operations!AP412</f>
        <v>25.4912567625215</v>
      </c>
      <c r="AQ413" s="20" t="n">
        <f aca="false">Operations!AQ410+Operations!AQ411+Operations!AQ412</f>
        <v>24.3584939890192</v>
      </c>
      <c r="AR413" s="20" t="n">
        <f aca="false">Operations!AR410+Operations!AR411+Operations!AR412</f>
        <v>8.45753654827435</v>
      </c>
      <c r="AS413" s="20" t="n">
        <f aca="false">Operations!AS410+Operations!AS411+Operations!AS412</f>
        <v>0</v>
      </c>
      <c r="AT413" s="20" t="n">
        <f aca="false">Operations!AT410+Operations!AT411+Operations!AT412</f>
        <v>0</v>
      </c>
      <c r="AU413" s="20" t="n">
        <f aca="false">Operations!AU410+Operations!AU411+Operations!AU412</f>
        <v>0</v>
      </c>
    </row>
    <row r="414" customFormat="false" ht="15" hidden="false" customHeight="false" outlineLevel="0" collapsed="false">
      <c r="D414" s="0" t="s">
        <v>806</v>
      </c>
      <c r="E414" s="0" t="s">
        <v>47</v>
      </c>
      <c r="J414" s="20" t="n">
        <f aca="false">Operations!J94+Operations!J136+Operations!J179+Operations!J222+Operations!J265+Operations!J307+Operations!J354+Operations!J396</f>
        <v>47.6583149907034</v>
      </c>
      <c r="K414" s="20" t="n">
        <f aca="false">Operations!K94+Operations!K136+Operations!K179+Operations!K222+Operations!K265+Operations!K307+Operations!K354+Operations!K396</f>
        <v>52.5106710746364</v>
      </c>
      <c r="L414" s="20" t="n">
        <f aca="false">Operations!L94+Operations!L136+Operations!L179+Operations!L222+Operations!L265+Operations!L307+Operations!L354+Operations!L396</f>
        <v>60.2031346121445</v>
      </c>
      <c r="M414" s="20" t="n">
        <f aca="false">Operations!M94+Operations!M136+Operations!M179+Operations!M222+Operations!M265+Operations!M307+Operations!M354+Operations!M396</f>
        <v>69.3406259169238</v>
      </c>
      <c r="N414" s="20" t="n">
        <f aca="false">Operations!N94+Operations!N136+Operations!N179+Operations!N222+Operations!N265+Operations!N307+Operations!N354+Operations!N396</f>
        <v>68.7859702276237</v>
      </c>
      <c r="O414" s="20" t="n">
        <f aca="false">Operations!O94+Operations!O136+Operations!O179+Operations!O222+Operations!O265+Operations!O307+Operations!O354+Operations!O396</f>
        <v>66.7863264955118</v>
      </c>
      <c r="P414" s="20" t="n">
        <f aca="false">Operations!P94+Operations!P136+Operations!P179+Operations!P222+Operations!P265+Operations!P307+Operations!P354+Operations!P396</f>
        <v>65.4011508524291</v>
      </c>
      <c r="Q414" s="20" t="n">
        <f aca="false">Operations!Q94+Operations!Q136+Operations!Q179+Operations!Q222+Operations!Q265+Operations!Q307+Operations!Q354+Operations!Q396</f>
        <v>68.9672634475366</v>
      </c>
      <c r="R414" s="20" t="n">
        <f aca="false">Operations!R94+Operations!R136+Operations!R179+Operations!R222+Operations!R265+Operations!R307+Operations!R354+Operations!R396</f>
        <v>69.9832520090218</v>
      </c>
      <c r="S414" s="20" t="n">
        <f aca="false">Operations!S94+Operations!S136+Operations!S179+Operations!S222+Operations!S265+Operations!S307+Operations!S354+Operations!S396</f>
        <v>66.8742448307132</v>
      </c>
      <c r="T414" s="20" t="n">
        <f aca="false">Operations!T94+Operations!T136+Operations!T179+Operations!T222+Operations!T265+Operations!T307+Operations!T354+Operations!T396</f>
        <v>65.0672759914994</v>
      </c>
      <c r="U414" s="20" t="n">
        <f aca="false">Operations!U94+Operations!U136+Operations!U179+Operations!U222+Operations!U265+Operations!U307+Operations!U354+Operations!U396</f>
        <v>65.3479279970181</v>
      </c>
      <c r="V414" s="20" t="n">
        <f aca="false">Operations!V94+Operations!V136+Operations!V179+Operations!V222+Operations!V265+Operations!V307+Operations!V354+Operations!V396</f>
        <v>66.8659293895304</v>
      </c>
      <c r="W414" s="20" t="n">
        <f aca="false">Operations!W94+Operations!W136+Operations!W179+Operations!W222+Operations!W265+Operations!W307+Operations!W354+Operations!W396</f>
        <v>66.037683589959</v>
      </c>
      <c r="X414" s="20" t="n">
        <f aca="false">Operations!X94+Operations!X136+Operations!X179+Operations!X222+Operations!X265+Operations!X307+Operations!X354+Operations!X396</f>
        <v>65.8909869860388</v>
      </c>
      <c r="Y414" s="20" t="n">
        <f aca="false">Operations!Y94+Operations!Y136+Operations!Y179+Operations!Y222+Operations!Y265+Operations!Y307+Operations!Y354+Operations!Y396</f>
        <v>65.7825157674321</v>
      </c>
      <c r="Z414" s="20" t="n">
        <f aca="false">Operations!Z94+Operations!Z136+Operations!Z179+Operations!Z222+Operations!Z265+Operations!Z307+Operations!Z354+Operations!Z396</f>
        <v>65.771945898236</v>
      </c>
      <c r="AA414" s="20" t="n">
        <f aca="false">Operations!AA94+Operations!AA136+Operations!AA179+Operations!AA222+Operations!AA265+Operations!AA307+Operations!AA354+Operations!AA396</f>
        <v>65.8872302715732</v>
      </c>
      <c r="AB414" s="20" t="n">
        <f aca="false">Operations!AB94+Operations!AB136+Operations!AB179+Operations!AB222+Operations!AB265+Operations!AB307+Operations!AB354+Operations!AB396</f>
        <v>65.9942499450164</v>
      </c>
      <c r="AC414" s="20" t="n">
        <f aca="false">Operations!AC94+Operations!AC136+Operations!AC179+Operations!AC222+Operations!AC265+Operations!AC307+Operations!AC354+Operations!AC396</f>
        <v>66.0755690860599</v>
      </c>
      <c r="AD414" s="20" t="n">
        <f aca="false">Operations!AD94+Operations!AD136+Operations!AD179+Operations!AD222+Operations!AD265+Operations!AD307+Operations!AD354+Operations!AD396</f>
        <v>66.1476982908026</v>
      </c>
      <c r="AE414" s="20" t="n">
        <f aca="false">Operations!AE94+Operations!AE136+Operations!AE179+Operations!AE222+Operations!AE265+Operations!AE307+Operations!AE354+Operations!AE396</f>
        <v>61.2334093644598</v>
      </c>
      <c r="AF414" s="20" t="n">
        <f aca="false">Operations!AF94+Operations!AF136+Operations!AF179+Operations!AF222+Operations!AF265+Operations!AF307+Operations!AF354+Operations!AF396</f>
        <v>31.3533052992557</v>
      </c>
      <c r="AG414" s="20" t="n">
        <f aca="false">Operations!AG94+Operations!AG136+Operations!AG179+Operations!AG222+Operations!AG265+Operations!AG307+Operations!AG354+Operations!AG396</f>
        <v>49.2546638839212</v>
      </c>
      <c r="AH414" s="20" t="n">
        <f aca="false">Operations!AH94+Operations!AH136+Operations!AH179+Operations!AH222+Operations!AH265+Operations!AH307+Operations!AH354+Operations!AH396</f>
        <v>49.7075339814326</v>
      </c>
      <c r="AI414" s="20" t="n">
        <f aca="false">Operations!AI94+Operations!AI136+Operations!AI179+Operations!AI222+Operations!AI265+Operations!AI307+Operations!AI354+Operations!AI396</f>
        <v>10.3126989907722</v>
      </c>
      <c r="AJ414" s="20" t="n">
        <f aca="false">Operations!AJ94+Operations!AJ136+Operations!AJ179+Operations!AJ222+Operations!AJ265+Operations!AJ307+Operations!AJ354+Operations!AJ396</f>
        <v>27.9458768333324</v>
      </c>
      <c r="AK414" s="20" t="n">
        <f aca="false">Operations!AK94+Operations!AK136+Operations!AK179+Operations!AK222+Operations!AK265+Operations!AK307+Operations!AK354+Operations!AK396</f>
        <v>10.0031446706881</v>
      </c>
      <c r="AL414" s="20" t="n">
        <f aca="false">Operations!AL94+Operations!AL136+Operations!AL179+Operations!AL222+Operations!AL265+Operations!AL307+Operations!AL354+Operations!AL396</f>
        <v>20.9249103823792</v>
      </c>
      <c r="AM414" s="20" t="n">
        <f aca="false">Operations!AM94+Operations!AM136+Operations!AM179+Operations!AM222+Operations!AM265+Operations!AM307+Operations!AM354+Operations!AM396</f>
        <v>21.1094655068879</v>
      </c>
      <c r="AN414" s="20" t="n">
        <f aca="false">Operations!AN94+Operations!AN136+Operations!AN179+Operations!AN222+Operations!AN265+Operations!AN307+Operations!AN354+Operations!AN396</f>
        <v>21.2929821843484</v>
      </c>
      <c r="AO414" s="20" t="n">
        <f aca="false">Operations!AO94+Operations!AO136+Operations!AO179+Operations!AO222+Operations!AO265+Operations!AO307+Operations!AO354+Operations!AO396</f>
        <v>21.4750820781835</v>
      </c>
      <c r="AP414" s="20" t="n">
        <f aca="false">Operations!AP94+Operations!AP136+Operations!AP179+Operations!AP222+Operations!AP265+Operations!AP307+Operations!AP354+Operations!AP396</f>
        <v>21.6553823190309</v>
      </c>
      <c r="AQ414" s="20" t="n">
        <f aca="false">Operations!AQ94+Operations!AQ136+Operations!AQ179+Operations!AQ222+Operations!AQ265+Operations!AQ307+Operations!AQ354+Operations!AQ396</f>
        <v>12.5639997275697</v>
      </c>
      <c r="AR414" s="20" t="n">
        <f aca="false">Operations!AR94+Operations!AR136+Operations!AR179+Operations!AR222+Operations!AR265+Operations!AR307+Operations!AR354+Operations!AR396</f>
        <v>-2.68521739057392</v>
      </c>
      <c r="AS414" s="20" t="n">
        <f aca="false">Operations!AS94+Operations!AS136+Operations!AS179+Operations!AS222+Operations!AS265+Operations!AS307+Operations!AS354+Operations!AS396</f>
        <v>8.06273638773107</v>
      </c>
      <c r="AT414" s="20" t="n">
        <f aca="false">Operations!AT94+Operations!AT136+Operations!AT179+Operations!AT222+Operations!AT265+Operations!AT307+Operations!AT354+Operations!AT396</f>
        <v>8.14163049756126</v>
      </c>
      <c r="AU414" s="20" t="n">
        <f aca="false">Operations!AU94+Operations!AU136+Operations!AU179+Operations!AU222+Operations!AU265+Operations!AU307+Operations!AU354+Operations!AU396</f>
        <v>-3.14995448877764</v>
      </c>
    </row>
    <row r="415" customFormat="false" ht="15" hidden="false" customHeight="false" outlineLevel="0" collapsed="false">
      <c r="D415" s="0" t="s">
        <v>807</v>
      </c>
      <c r="E415" s="0" t="s">
        <v>47</v>
      </c>
      <c r="J415" s="20" t="n">
        <f aca="false">Operations!J100+Operations!J142+Operations!J185+Operations!J228+Operations!J271+Operations!J313+Operations!J360+Operations!J402</f>
        <v>38.6490894003288</v>
      </c>
      <c r="K415" s="20" t="n">
        <f aca="false">Operations!K100+Operations!K142+Operations!K185+Operations!K228+Operations!K271+Operations!K313+Operations!K360+Operations!K402</f>
        <v>53.1991039055603</v>
      </c>
      <c r="L415" s="20" t="n">
        <f aca="false">Operations!L100+Operations!L142+Operations!L185+Operations!L228+Operations!L271+Operations!L313+Operations!L360+Operations!L402</f>
        <v>67.9972300602316</v>
      </c>
      <c r="M415" s="20" t="n">
        <f aca="false">Operations!M100+Operations!M142+Operations!M185+Operations!M228+Operations!M271+Operations!M313+Operations!M360+Operations!M402</f>
        <v>70.4549803837226</v>
      </c>
      <c r="N415" s="20" t="n">
        <f aca="false">Operations!N100+Operations!N142+Operations!N185+Operations!N228+Operations!N271+Operations!N313+Operations!N360+Operations!N402</f>
        <v>70.3635191031593</v>
      </c>
      <c r="O415" s="20" t="n">
        <f aca="false">Operations!O100+Operations!O142+Operations!O185+Operations!O228+Operations!O271+Operations!O313+Operations!O360+Operations!O402</f>
        <v>71.170822851232</v>
      </c>
      <c r="P415" s="20" t="n">
        <f aca="false">Operations!P100+Operations!P142+Operations!P185+Operations!P228+Operations!P271+Operations!P313+Operations!P360+Operations!P402</f>
        <v>71.9557469785783</v>
      </c>
      <c r="Q415" s="20" t="n">
        <f aca="false">Operations!Q100+Operations!Q142+Operations!Q185+Operations!Q228+Operations!Q271+Operations!Q313+Operations!Q360+Operations!Q402</f>
        <v>59.7804001719485</v>
      </c>
      <c r="R415" s="20" t="n">
        <f aca="false">Operations!R100+Operations!R142+Operations!R185+Operations!R228+Operations!R271+Operations!R313+Operations!R360+Operations!R402</f>
        <v>27.2021392830308</v>
      </c>
      <c r="S415" s="20" t="n">
        <f aca="false">Operations!S100+Operations!S142+Operations!S185+Operations!S228+Operations!S271+Operations!S313+Operations!S360+Operations!S402</f>
        <v>21.3160812042024</v>
      </c>
      <c r="T415" s="20" t="n">
        <f aca="false">Operations!T100+Operations!T142+Operations!T185+Operations!T228+Operations!T271+Operations!T313+Operations!T360+Operations!T402</f>
        <v>13.6076692486196</v>
      </c>
      <c r="U415" s="20" t="n">
        <f aca="false">Operations!U100+Operations!U142+Operations!U185+Operations!U228+Operations!U271+Operations!U313+Operations!U360+Operations!U402</f>
        <v>5.44811535599486</v>
      </c>
      <c r="V415" s="20" t="n">
        <f aca="false">Operations!V100+Operations!V142+Operations!V185+Operations!V228+Operations!V271+Operations!V313+Operations!V360+Operations!V402</f>
        <v>0</v>
      </c>
      <c r="W415" s="20" t="n">
        <f aca="false">Operations!W100+Operations!W142+Operations!W185+Operations!W228+Operations!W271+Operations!W313+Operations!W360+Operations!W402</f>
        <v>0</v>
      </c>
      <c r="X415" s="20" t="n">
        <f aca="false">Operations!X100+Operations!X142+Operations!X185+Operations!X228+Operations!X271+Operations!X313+Operations!X360+Operations!X402</f>
        <v>0</v>
      </c>
      <c r="Y415" s="20" t="n">
        <f aca="false">Operations!Y100+Operations!Y142+Operations!Y185+Operations!Y228+Operations!Y271+Operations!Y313+Operations!Y360+Operations!Y402</f>
        <v>0</v>
      </c>
      <c r="Z415" s="20" t="n">
        <f aca="false">Operations!Z100+Operations!Z142+Operations!Z185+Operations!Z228+Operations!Z271+Operations!Z313+Operations!Z360+Operations!Z402</f>
        <v>0</v>
      </c>
      <c r="AA415" s="20" t="n">
        <f aca="false">Operations!AA100+Operations!AA142+Operations!AA185+Operations!AA228+Operations!AA271+Operations!AA313+Operations!AA360+Operations!AA402</f>
        <v>0</v>
      </c>
      <c r="AB415" s="20" t="n">
        <f aca="false">Operations!AB100+Operations!AB142+Operations!AB185+Operations!AB228+Operations!AB271+Operations!AB313+Operations!AB360+Operations!AB402</f>
        <v>0</v>
      </c>
      <c r="AC415" s="20" t="n">
        <f aca="false">Operations!AC100+Operations!AC142+Operations!AC185+Operations!AC228+Operations!AC271+Operations!AC313+Operations!AC360+Operations!AC402</f>
        <v>0</v>
      </c>
      <c r="AD415" s="20" t="n">
        <f aca="false">Operations!AD100+Operations!AD142+Operations!AD185+Operations!AD228+Operations!AD271+Operations!AD313+Operations!AD360+Operations!AD402</f>
        <v>0</v>
      </c>
      <c r="AE415" s="20" t="n">
        <f aca="false">Operations!AE100+Operations!AE142+Operations!AE185+Operations!AE228+Operations!AE271+Operations!AE313+Operations!AE360+Operations!AE402</f>
        <v>0</v>
      </c>
      <c r="AF415" s="20" t="n">
        <f aca="false">Operations!AF100+Operations!AF142+Operations!AF185+Operations!AF228+Operations!AF271+Operations!AF313+Operations!AF360+Operations!AF402</f>
        <v>0</v>
      </c>
      <c r="AG415" s="20" t="n">
        <f aca="false">Operations!AG100+Operations!AG142+Operations!AG185+Operations!AG228+Operations!AG271+Operations!AG313+Operations!AG360+Operations!AG402</f>
        <v>0</v>
      </c>
      <c r="AH415" s="20" t="n">
        <f aca="false">Operations!AH100+Operations!AH142+Operations!AH185+Operations!AH228+Operations!AH271+Operations!AH313+Operations!AH360+Operations!AH402</f>
        <v>0</v>
      </c>
      <c r="AI415" s="20" t="n">
        <f aca="false">Operations!AI100+Operations!AI142+Operations!AI185+Operations!AI228+Operations!AI271+Operations!AI313+Operations!AI360+Operations!AI402</f>
        <v>0</v>
      </c>
      <c r="AJ415" s="20" t="n">
        <f aca="false">Operations!AJ100+Operations!AJ142+Operations!AJ185+Operations!AJ228+Operations!AJ271+Operations!AJ313+Operations!AJ360+Operations!AJ402</f>
        <v>0</v>
      </c>
      <c r="AK415" s="20" t="n">
        <f aca="false">Operations!AK100+Operations!AK142+Operations!AK185+Operations!AK228+Operations!AK271+Operations!AK313+Operations!AK360+Operations!AK402</f>
        <v>0</v>
      </c>
      <c r="AL415" s="20" t="n">
        <f aca="false">Operations!AL100+Operations!AL142+Operations!AL185+Operations!AL228+Operations!AL271+Operations!AL313+Operations!AL360+Operations!AL402</f>
        <v>0</v>
      </c>
      <c r="AM415" s="20" t="n">
        <f aca="false">Operations!AM100+Operations!AM142+Operations!AM185+Operations!AM228+Operations!AM271+Operations!AM313+Operations!AM360+Operations!AM402</f>
        <v>0</v>
      </c>
      <c r="AN415" s="20" t="n">
        <f aca="false">Operations!AN100+Operations!AN142+Operations!AN185+Operations!AN228+Operations!AN271+Operations!AN313+Operations!AN360+Operations!AN402</f>
        <v>0</v>
      </c>
      <c r="AO415" s="20" t="n">
        <f aca="false">Operations!AO100+Operations!AO142+Operations!AO185+Operations!AO228+Operations!AO271+Operations!AO313+Operations!AO360+Operations!AO402</f>
        <v>0</v>
      </c>
      <c r="AP415" s="20" t="n">
        <f aca="false">Operations!AP100+Operations!AP142+Operations!AP185+Operations!AP228+Operations!AP271+Operations!AP313+Operations!AP360+Operations!AP402</f>
        <v>0</v>
      </c>
      <c r="AQ415" s="20" t="n">
        <f aca="false">Operations!AQ100+Operations!AQ142+Operations!AQ185+Operations!AQ228+Operations!AQ271+Operations!AQ313+Operations!AQ360+Operations!AQ402</f>
        <v>0</v>
      </c>
      <c r="AR415" s="20" t="n">
        <f aca="false">Operations!AR100+Operations!AR142+Operations!AR185+Operations!AR228+Operations!AR271+Operations!AR313+Operations!AR360+Operations!AR402</f>
        <v>0</v>
      </c>
      <c r="AS415" s="20" t="n">
        <f aca="false">Operations!AS100+Operations!AS142+Operations!AS185+Operations!AS228+Operations!AS271+Operations!AS313+Operations!AS360+Operations!AS402</f>
        <v>0</v>
      </c>
      <c r="AT415" s="20" t="n">
        <f aca="false">Operations!AT100+Operations!AT142+Operations!AT185+Operations!AT228+Operations!AT271+Operations!AT313+Operations!AT360+Operations!AT402</f>
        <v>0</v>
      </c>
      <c r="AU415" s="20" t="n">
        <f aca="false">Operations!AU100+Operations!AU142+Operations!AU185+Operations!AU228+Operations!AU271+Operations!AU313+Operations!AU360+Operations!AU402</f>
        <v>0</v>
      </c>
    </row>
    <row r="416" customFormat="false" ht="15" hidden="false" customHeight="false" outlineLevel="0" collapsed="false">
      <c r="D416" s="0" t="s">
        <v>808</v>
      </c>
      <c r="E416" s="0" t="s">
        <v>47</v>
      </c>
      <c r="J416" s="20" t="n">
        <f aca="false">Operations!J101+Operations!J143+Operations!J186+Operations!J229+Operations!J272+Operations!J314+Operations!J361+Operations!J403</f>
        <v>5.77838071232877</v>
      </c>
      <c r="K416" s="20" t="n">
        <f aca="false">Operations!K101+Operations!K143+Operations!K186+Operations!K229+Operations!K272+Operations!K314+Operations!K361+Operations!K403</f>
        <v>24.33324</v>
      </c>
      <c r="L416" s="20" t="n">
        <f aca="false">Operations!L101+Operations!L143+Operations!L186+Operations!L229+Operations!L272+Operations!L314+Operations!L361+Operations!L403</f>
        <v>24.37956</v>
      </c>
      <c r="M416" s="20" t="n">
        <f aca="false">Operations!M101+Operations!M143+Operations!M186+Operations!M229+Operations!M272+Operations!M314+Operations!M361+Operations!M403</f>
        <v>31.10573</v>
      </c>
      <c r="N416" s="20" t="n">
        <f aca="false">Operations!N101+Operations!N143+Operations!N186+Operations!N229+Operations!N272+Operations!N314+Operations!N361+Operations!N403</f>
        <v>31.10573</v>
      </c>
      <c r="O416" s="20" t="n">
        <f aca="false">Operations!O101+Operations!O143+Operations!O186+Operations!O229+Operations!O272+Operations!O314+Operations!O361+Operations!O403</f>
        <v>23.67929</v>
      </c>
      <c r="P416" s="20" t="n">
        <f aca="false">Operations!P101+Operations!P143+Operations!P186+Operations!P229+Operations!P272+Operations!P314+Operations!P361+Operations!P403</f>
        <v>6.77249</v>
      </c>
      <c r="Q416" s="20" t="n">
        <f aca="false">Operations!Q101+Operations!Q143+Operations!Q186+Operations!Q229+Operations!Q272+Operations!Q314+Operations!Q361+Operations!Q403</f>
        <v>6.77249</v>
      </c>
      <c r="R416" s="20" t="n">
        <f aca="false">Operations!R101+Operations!R143+Operations!R186+Operations!R229+Operations!R272+Operations!R314+Operations!R361+Operations!R403</f>
        <v>6.77249</v>
      </c>
      <c r="S416" s="20" t="n">
        <f aca="false">Operations!S101+Operations!S143+Operations!S186+Operations!S229+Operations!S272+Operations!S314+Operations!S361+Operations!S403</f>
        <v>6.77249</v>
      </c>
      <c r="T416" s="20" t="n">
        <f aca="false">Operations!T101+Operations!T143+Operations!T186+Operations!T229+Operations!T272+Operations!T314+Operations!T361+Operations!T403</f>
        <v>6.77249</v>
      </c>
      <c r="U416" s="20" t="n">
        <f aca="false">Operations!U101+Operations!U143+Operations!U186+Operations!U229+Operations!U272+Operations!U314+Operations!U361+Operations!U403</f>
        <v>6.77249</v>
      </c>
      <c r="V416" s="20" t="n">
        <f aca="false">Operations!V101+Operations!V143+Operations!V186+Operations!V229+Operations!V272+Operations!V314+Operations!V361+Operations!V403</f>
        <v>6.77249</v>
      </c>
      <c r="W416" s="20" t="n">
        <f aca="false">Operations!W101+Operations!W143+Operations!W186+Operations!W229+Operations!W272+Operations!W314+Operations!W361+Operations!W403</f>
        <v>0</v>
      </c>
      <c r="X416" s="20" t="n">
        <f aca="false">Operations!X101+Operations!X143+Operations!X186+Operations!X229+Operations!X272+Operations!X314+Operations!X361+Operations!X403</f>
        <v>0</v>
      </c>
      <c r="Y416" s="20" t="n">
        <f aca="false">Operations!Y101+Operations!Y143+Operations!Y186+Operations!Y229+Operations!Y272+Operations!Y314+Operations!Y361+Operations!Y403</f>
        <v>0</v>
      </c>
      <c r="Z416" s="20" t="n">
        <f aca="false">Operations!Z101+Operations!Z143+Operations!Z186+Operations!Z229+Operations!Z272+Operations!Z314+Operations!Z361+Operations!Z403</f>
        <v>0</v>
      </c>
      <c r="AA416" s="20" t="n">
        <f aca="false">Operations!AA101+Operations!AA143+Operations!AA186+Operations!AA229+Operations!AA272+Operations!AA314+Operations!AA361+Operations!AA403</f>
        <v>0</v>
      </c>
      <c r="AB416" s="20" t="n">
        <f aca="false">Operations!AB101+Operations!AB143+Operations!AB186+Operations!AB229+Operations!AB272+Operations!AB314+Operations!AB361+Operations!AB403</f>
        <v>0</v>
      </c>
      <c r="AC416" s="20" t="n">
        <f aca="false">Operations!AC101+Operations!AC143+Operations!AC186+Operations!AC229+Operations!AC272+Operations!AC314+Operations!AC361+Operations!AC403</f>
        <v>0</v>
      </c>
      <c r="AD416" s="20" t="n">
        <f aca="false">Operations!AD101+Operations!AD143+Operations!AD186+Operations!AD229+Operations!AD272+Operations!AD314+Operations!AD361+Operations!AD403</f>
        <v>0</v>
      </c>
      <c r="AE416" s="20" t="n">
        <f aca="false">Operations!AE101+Operations!AE143+Operations!AE186+Operations!AE229+Operations!AE272+Operations!AE314+Operations!AE361+Operations!AE403</f>
        <v>0</v>
      </c>
      <c r="AF416" s="20" t="n">
        <f aca="false">Operations!AF101+Operations!AF143+Operations!AF186+Operations!AF229+Operations!AF272+Operations!AF314+Operations!AF361+Operations!AF403</f>
        <v>0</v>
      </c>
      <c r="AG416" s="20" t="n">
        <f aca="false">Operations!AG101+Operations!AG143+Operations!AG186+Operations!AG229+Operations!AG272+Operations!AG314+Operations!AG361+Operations!AG403</f>
        <v>0</v>
      </c>
      <c r="AH416" s="20" t="n">
        <f aca="false">Operations!AH101+Operations!AH143+Operations!AH186+Operations!AH229+Operations!AH272+Operations!AH314+Operations!AH361+Operations!AH403</f>
        <v>0</v>
      </c>
      <c r="AI416" s="20" t="n">
        <f aca="false">Operations!AI101+Operations!AI143+Operations!AI186+Operations!AI229+Operations!AI272+Operations!AI314+Operations!AI361+Operations!AI403</f>
        <v>0</v>
      </c>
      <c r="AJ416" s="20" t="n">
        <f aca="false">Operations!AJ101+Operations!AJ143+Operations!AJ186+Operations!AJ229+Operations!AJ272+Operations!AJ314+Operations!AJ361+Operations!AJ403</f>
        <v>0</v>
      </c>
      <c r="AK416" s="20" t="n">
        <f aca="false">Operations!AK101+Operations!AK143+Operations!AK186+Operations!AK229+Operations!AK272+Operations!AK314+Operations!AK361+Operations!AK403</f>
        <v>0</v>
      </c>
      <c r="AL416" s="20" t="n">
        <f aca="false">Operations!AL101+Operations!AL143+Operations!AL186+Operations!AL229+Operations!AL272+Operations!AL314+Operations!AL361+Operations!AL403</f>
        <v>0</v>
      </c>
      <c r="AM416" s="20" t="n">
        <f aca="false">Operations!AM101+Operations!AM143+Operations!AM186+Operations!AM229+Operations!AM272+Operations!AM314+Operations!AM361+Operations!AM403</f>
        <v>0</v>
      </c>
      <c r="AN416" s="20" t="n">
        <f aca="false">Operations!AN101+Operations!AN143+Operations!AN186+Operations!AN229+Operations!AN272+Operations!AN314+Operations!AN361+Operations!AN403</f>
        <v>0</v>
      </c>
      <c r="AO416" s="20" t="n">
        <f aca="false">Operations!AO101+Operations!AO143+Operations!AO186+Operations!AO229+Operations!AO272+Operations!AO314+Operations!AO361+Operations!AO403</f>
        <v>0</v>
      </c>
      <c r="AP416" s="20" t="n">
        <f aca="false">Operations!AP101+Operations!AP143+Operations!AP186+Operations!AP229+Operations!AP272+Operations!AP314+Operations!AP361+Operations!AP403</f>
        <v>0</v>
      </c>
      <c r="AQ416" s="20" t="n">
        <f aca="false">Operations!AQ101+Operations!AQ143+Operations!AQ186+Operations!AQ229+Operations!AQ272+Operations!AQ314+Operations!AQ361+Operations!AQ403</f>
        <v>0</v>
      </c>
      <c r="AR416" s="20" t="n">
        <f aca="false">Operations!AR101+Operations!AR143+Operations!AR186+Operations!AR229+Operations!AR272+Operations!AR314+Operations!AR361+Operations!AR403</f>
        <v>0</v>
      </c>
      <c r="AS416" s="20" t="n">
        <f aca="false">Operations!AS101+Operations!AS143+Operations!AS186+Operations!AS229+Operations!AS272+Operations!AS314+Operations!AS361+Operations!AS403</f>
        <v>0</v>
      </c>
      <c r="AT416" s="20" t="n">
        <f aca="false">Operations!AT101+Operations!AT143+Operations!AT186+Operations!AT229+Operations!AT272+Operations!AT314+Operations!AT361+Operations!AT403</f>
        <v>0</v>
      </c>
      <c r="AU416" s="20" t="n">
        <f aca="false">Operations!AU101+Operations!AU143+Operations!AU186+Operations!AU229+Operations!AU272+Operations!AU314+Operations!AU361+Operations!AU403</f>
        <v>0</v>
      </c>
    </row>
    <row r="417" customFormat="false" ht="15" hidden="false" customHeight="false" outlineLevel="0" collapsed="false">
      <c r="D417" s="0" t="s">
        <v>809</v>
      </c>
      <c r="E417" s="0" t="s">
        <v>47</v>
      </c>
      <c r="J417" s="20" t="n">
        <f aca="false">Operations!J102+Operations!J144+Operations!J187+Operations!J230+Operations!J273+Operations!J315+Operations!J362+Operations!J404</f>
        <v>26.7232276162174</v>
      </c>
      <c r="K417" s="20" t="n">
        <f aca="false">Operations!K102+Operations!K144+Operations!K187+Operations!K230+Operations!K273+Operations!K315+Operations!K362+Operations!K404</f>
        <v>6.82405851327352</v>
      </c>
      <c r="L417" s="20" t="n">
        <f aca="false">Operations!L102+Operations!L144+Operations!L187+Operations!L230+Operations!L273+Operations!L315+Operations!L362+Operations!L404</f>
        <v>3.27644863662766</v>
      </c>
      <c r="M417" s="20" t="n">
        <f aca="false">Operations!M102+Operations!M144+Operations!M187+Operations!M230+Operations!M273+Operations!M315+Operations!M362+Operations!M404</f>
        <v>7.15697887107993</v>
      </c>
      <c r="N417" s="20" t="n">
        <f aca="false">Operations!N102+Operations!N144+Operations!N187+Operations!N230+Operations!N273+Operations!N315+Operations!N362+Operations!N404</f>
        <v>7.60933185219739</v>
      </c>
      <c r="O417" s="20" t="n">
        <f aca="false">Operations!O102+Operations!O144+Operations!O187+Operations!O230+Operations!O273+Operations!O315+Operations!O362+Operations!O404</f>
        <v>13.4547912915485</v>
      </c>
      <c r="P417" s="20" t="n">
        <f aca="false">Operations!P102+Operations!P144+Operations!P187+Operations!P230+Operations!P273+Operations!P315+Operations!P362+Operations!P404</f>
        <v>29.9738032259287</v>
      </c>
      <c r="Q417" s="20" t="n">
        <f aca="false">Operations!Q102+Operations!Q144+Operations!Q187+Operations!Q230+Operations!Q273+Operations!Q315+Operations!Q362+Operations!Q404</f>
        <v>47.2323514097369</v>
      </c>
      <c r="R417" s="20" t="n">
        <f aca="false">Operations!R102+Operations!R144+Operations!R187+Operations!R230+Operations!R273+Operations!R315+Operations!R362+Operations!R404</f>
        <v>83.8465921847925</v>
      </c>
      <c r="S417" s="20" t="n">
        <f aca="false">Operations!S102+Operations!S144+Operations!S187+Operations!S230+Operations!S273+Operations!S315+Operations!S362+Operations!S404</f>
        <v>87.7559521176324</v>
      </c>
      <c r="T417" s="20" t="n">
        <f aca="false">Operations!T102+Operations!T144+Operations!T187+Operations!T230+Operations!T273+Operations!T315+Operations!T362+Operations!T404</f>
        <v>95.4126082810504</v>
      </c>
      <c r="U417" s="20" t="n">
        <f aca="false">Operations!U102+Operations!U144+Operations!U187+Operations!U230+Operations!U273+Operations!U315+Operations!U362+Operations!U404</f>
        <v>105.375919386475</v>
      </c>
      <c r="V417" s="20" t="n">
        <f aca="false">Operations!V102+Operations!V144+Operations!V187+Operations!V230+Operations!V273+Operations!V315+Operations!V362+Operations!V404</f>
        <v>112.681217700213</v>
      </c>
      <c r="W417" s="20" t="n">
        <f aca="false">Operations!W102+Operations!W144+Operations!W187+Operations!W230+Operations!W273+Operations!W315+Operations!W362+Operations!W404</f>
        <v>119.886378218744</v>
      </c>
      <c r="X417" s="20" t="n">
        <f aca="false">Operations!X102+Operations!X144+Operations!X187+Operations!X230+Operations!X273+Operations!X315+Operations!X362+Operations!X404</f>
        <v>121.035114721443</v>
      </c>
      <c r="Y417" s="20" t="n">
        <f aca="false">Operations!Y102+Operations!Y144+Operations!Y187+Operations!Y230+Operations!Y273+Operations!Y315+Operations!Y362+Operations!Y404</f>
        <v>122.25446216385</v>
      </c>
      <c r="Z417" s="20" t="n">
        <f aca="false">Operations!Z102+Operations!Z144+Operations!Z187+Operations!Z230+Operations!Z273+Operations!Z315+Operations!Z362+Operations!Z404</f>
        <v>123.604654180305</v>
      </c>
      <c r="AA417" s="20" t="n">
        <f aca="false">Operations!AA102+Operations!AA144+Operations!AA187+Operations!AA230+Operations!AA273+Operations!AA315+Operations!AA362+Operations!AA404</f>
        <v>125.120949676134</v>
      </c>
      <c r="AB417" s="20" t="n">
        <f aca="false">Operations!AB102+Operations!AB144+Operations!AB187+Operations!AB230+Operations!AB273+Operations!AB315+Operations!AB362+Operations!AB404</f>
        <v>126.663690580832</v>
      </c>
      <c r="AC417" s="20" t="n">
        <f aca="false">Operations!AC102+Operations!AC144+Operations!AC187+Operations!AC230+Operations!AC273+Operations!AC315+Operations!AC362+Operations!AC404</f>
        <v>128.215671036374</v>
      </c>
      <c r="AD417" s="20" t="n">
        <f aca="false">Operations!AD102+Operations!AD144+Operations!AD187+Operations!AD230+Operations!AD273+Operations!AD315+Operations!AD362+Operations!AD404</f>
        <v>129.794841617233</v>
      </c>
      <c r="AE417" s="20" t="n">
        <f aca="false">Operations!AE102+Operations!AE144+Operations!AE187+Operations!AE230+Operations!AE273+Operations!AE315+Operations!AE362+Operations!AE404</f>
        <v>128.877282591407</v>
      </c>
      <c r="AF417" s="20" t="n">
        <f aca="false">Operations!AF102+Operations!AF144+Operations!AF187+Operations!AF230+Operations!AF273+Operations!AF315+Operations!AF362+Operations!AF404</f>
        <v>119.447027005868</v>
      </c>
      <c r="AG417" s="20" t="n">
        <f aca="false">Operations!AG102+Operations!AG144+Operations!AG187+Operations!AG230+Operations!AG273+Operations!AG315+Operations!AG362+Operations!AG404</f>
        <v>94.3973522095829</v>
      </c>
      <c r="AH417" s="20" t="n">
        <f aca="false">Operations!AH102+Operations!AH144+Operations!AH187+Operations!AH230+Operations!AH273+Operations!AH315+Operations!AH362+Operations!AH404</f>
        <v>95.9551921131843</v>
      </c>
      <c r="AI417" s="20" t="n">
        <f aca="false">Operations!AI102+Operations!AI144+Operations!AI187+Operations!AI230+Operations!AI273+Operations!AI315+Operations!AI362+Operations!AI404</f>
        <v>75.195058052426</v>
      </c>
      <c r="AJ417" s="20" t="n">
        <f aca="false">Operations!AJ102+Operations!AJ144+Operations!AJ187+Operations!AJ230+Operations!AJ273+Operations!AJ315+Operations!AJ362+Operations!AJ404</f>
        <v>54.0328116595705</v>
      </c>
      <c r="AK417" s="20" t="n">
        <f aca="false">Operations!AK102+Operations!AK144+Operations!AK187+Operations!AK230+Operations!AK273+Operations!AK315+Operations!AK362+Operations!AK404</f>
        <v>53.2803268614344</v>
      </c>
      <c r="AL417" s="20" t="n">
        <f aca="false">Operations!AL102+Operations!AL144+Operations!AL187+Operations!AL230+Operations!AL273+Operations!AL315+Operations!AL362+Operations!AL404</f>
        <v>36.1679928311642</v>
      </c>
      <c r="AM417" s="20" t="n">
        <f aca="false">Operations!AM102+Operations!AM144+Operations!AM187+Operations!AM230+Operations!AM273+Operations!AM315+Operations!AM362+Operations!AM404</f>
        <v>36.7318381557876</v>
      </c>
      <c r="AN417" s="20" t="n">
        <f aca="false">Operations!AN102+Operations!AN144+Operations!AN187+Operations!AN230+Operations!AN273+Operations!AN315+Operations!AN362+Operations!AN404</f>
        <v>37.3040974570443</v>
      </c>
      <c r="AO417" s="20" t="n">
        <f aca="false">Operations!AO102+Operations!AO144+Operations!AO187+Operations!AO230+Operations!AO273+Operations!AO315+Operations!AO362+Operations!AO404</f>
        <v>37.8846268492144</v>
      </c>
      <c r="AP417" s="20" t="n">
        <f aca="false">Operations!AP102+Operations!AP144+Operations!AP187+Operations!AP230+Operations!AP273+Operations!AP315+Operations!AP362+Operations!AP404</f>
        <v>38.4732838010609</v>
      </c>
      <c r="AQ417" s="20" t="n">
        <f aca="false">Operations!AQ102+Operations!AQ144+Operations!AQ187+Operations!AQ230+Operations!AQ273+Operations!AQ315+Operations!AQ362+Operations!AQ404</f>
        <v>37.5477846756611</v>
      </c>
      <c r="AR417" s="20" t="n">
        <f aca="false">Operations!AR102+Operations!AR144+Operations!AR187+Operations!AR230+Operations!AR273+Operations!AR315+Operations!AR362+Operations!AR404</f>
        <v>21.856862576178</v>
      </c>
      <c r="AS417" s="20" t="n">
        <f aca="false">Operations!AS102+Operations!AS144+Operations!AS187+Operations!AS230+Operations!AS273+Operations!AS315+Operations!AS362+Operations!AS404</f>
        <v>13.6120890225018</v>
      </c>
      <c r="AT417" s="20" t="n">
        <f aca="false">Operations!AT102+Operations!AT144+Operations!AT187+Operations!AT230+Operations!AT273+Operations!AT315+Operations!AT362+Operations!AT404</f>
        <v>13.8290695090715</v>
      </c>
      <c r="AU417" s="20" t="n">
        <f aca="false">Operations!AU102+Operations!AU144+Operations!AU187+Operations!AU230+Operations!AU273+Operations!AU315+Operations!AU362+Operations!AU404</f>
        <v>14.0486784452275</v>
      </c>
    </row>
    <row r="418" customFormat="false" ht="15" hidden="false" customHeight="false" outlineLevel="0" collapsed="false">
      <c r="D418" s="0" t="s">
        <v>810</v>
      </c>
      <c r="E418" s="0" t="s">
        <v>47</v>
      </c>
      <c r="J418" s="20" t="n">
        <f aca="false">Operations!J415+Operations!J416+Operations!J417</f>
        <v>71.1506977288749</v>
      </c>
      <c r="K418" s="20" t="n">
        <f aca="false">Operations!K415+Operations!K416+Operations!K417</f>
        <v>84.3564024188338</v>
      </c>
      <c r="L418" s="20" t="n">
        <f aca="false">Operations!L415+Operations!L416+Operations!L417</f>
        <v>95.6532386968593</v>
      </c>
      <c r="M418" s="20" t="n">
        <f aca="false">Operations!M415+Operations!M416+Operations!M417</f>
        <v>108.717689254803</v>
      </c>
      <c r="N418" s="20" t="n">
        <f aca="false">Operations!N415+Operations!N416+Operations!N417</f>
        <v>109.078580955357</v>
      </c>
      <c r="O418" s="20" t="n">
        <f aca="false">Operations!O415+Operations!O416+Operations!O417</f>
        <v>108.30490414278</v>
      </c>
      <c r="P418" s="20" t="n">
        <f aca="false">Operations!P415+Operations!P416+Operations!P417</f>
        <v>108.702040204507</v>
      </c>
      <c r="Q418" s="20" t="n">
        <f aca="false">Operations!Q415+Operations!Q416+Operations!Q417</f>
        <v>113.785241581685</v>
      </c>
      <c r="R418" s="20" t="n">
        <f aca="false">Operations!R415+Operations!R416+Operations!R417</f>
        <v>117.821221467823</v>
      </c>
      <c r="S418" s="20" t="n">
        <f aca="false">Operations!S415+Operations!S416+Operations!S417</f>
        <v>115.844523321835</v>
      </c>
      <c r="T418" s="20" t="n">
        <f aca="false">Operations!T415+Operations!T416+Operations!T417</f>
        <v>115.79276752967</v>
      </c>
      <c r="U418" s="20" t="n">
        <f aca="false">Operations!U415+Operations!U416+Operations!U417</f>
        <v>117.59652474247</v>
      </c>
      <c r="V418" s="20" t="n">
        <f aca="false">Operations!V415+Operations!V416+Operations!V417</f>
        <v>119.453707700213</v>
      </c>
      <c r="W418" s="20" t="n">
        <f aca="false">Operations!W415+Operations!W416+Operations!W417</f>
        <v>119.886378218744</v>
      </c>
      <c r="X418" s="20" t="n">
        <f aca="false">Operations!X415+Operations!X416+Operations!X417</f>
        <v>121.035114721443</v>
      </c>
      <c r="Y418" s="20" t="n">
        <f aca="false">Operations!Y415+Operations!Y416+Operations!Y417</f>
        <v>122.25446216385</v>
      </c>
      <c r="Z418" s="20" t="n">
        <f aca="false">Operations!Z415+Operations!Z416+Operations!Z417</f>
        <v>123.604654180305</v>
      </c>
      <c r="AA418" s="20" t="n">
        <f aca="false">Operations!AA415+Operations!AA416+Operations!AA417</f>
        <v>125.120949676134</v>
      </c>
      <c r="AB418" s="20" t="n">
        <f aca="false">Operations!AB415+Operations!AB416+Operations!AB417</f>
        <v>126.663690580832</v>
      </c>
      <c r="AC418" s="20" t="n">
        <f aca="false">Operations!AC415+Operations!AC416+Operations!AC417</f>
        <v>128.215671036374</v>
      </c>
      <c r="AD418" s="20" t="n">
        <f aca="false">Operations!AD415+Operations!AD416+Operations!AD417</f>
        <v>129.794841617233</v>
      </c>
      <c r="AE418" s="20" t="n">
        <f aca="false">Operations!AE415+Operations!AE416+Operations!AE417</f>
        <v>128.877282591407</v>
      </c>
      <c r="AF418" s="20" t="n">
        <f aca="false">Operations!AF415+Operations!AF416+Operations!AF417</f>
        <v>119.447027005868</v>
      </c>
      <c r="AG418" s="20" t="n">
        <f aca="false">Operations!AG415+Operations!AG416+Operations!AG417</f>
        <v>94.3973522095829</v>
      </c>
      <c r="AH418" s="20" t="n">
        <f aca="false">Operations!AH415+Operations!AH416+Operations!AH417</f>
        <v>95.9551921131843</v>
      </c>
      <c r="AI418" s="20" t="n">
        <f aca="false">Operations!AI415+Operations!AI416+Operations!AI417</f>
        <v>75.195058052426</v>
      </c>
      <c r="AJ418" s="20" t="n">
        <f aca="false">Operations!AJ415+Operations!AJ416+Operations!AJ417</f>
        <v>54.0328116595705</v>
      </c>
      <c r="AK418" s="20" t="n">
        <f aca="false">Operations!AK415+Operations!AK416+Operations!AK417</f>
        <v>53.2803268614344</v>
      </c>
      <c r="AL418" s="20" t="n">
        <f aca="false">Operations!AL415+Operations!AL416+Operations!AL417</f>
        <v>36.1679928311642</v>
      </c>
      <c r="AM418" s="20" t="n">
        <f aca="false">Operations!AM415+Operations!AM416+Operations!AM417</f>
        <v>36.7318381557876</v>
      </c>
      <c r="AN418" s="20" t="n">
        <f aca="false">Operations!AN415+Operations!AN416+Operations!AN417</f>
        <v>37.3040974570443</v>
      </c>
      <c r="AO418" s="20" t="n">
        <f aca="false">Operations!AO415+Operations!AO416+Operations!AO417</f>
        <v>37.8846268492144</v>
      </c>
      <c r="AP418" s="20" t="n">
        <f aca="false">Operations!AP415+Operations!AP416+Operations!AP417</f>
        <v>38.4732838010609</v>
      </c>
      <c r="AQ418" s="20" t="n">
        <f aca="false">Operations!AQ415+Operations!AQ416+Operations!AQ417</f>
        <v>37.5477846756611</v>
      </c>
      <c r="AR418" s="20" t="n">
        <f aca="false">Operations!AR415+Operations!AR416+Operations!AR417</f>
        <v>21.856862576178</v>
      </c>
      <c r="AS418" s="20" t="n">
        <f aca="false">Operations!AS415+Operations!AS416+Operations!AS417</f>
        <v>13.6120890225018</v>
      </c>
      <c r="AT418" s="20" t="n">
        <f aca="false">Operations!AT415+Operations!AT416+Operations!AT417</f>
        <v>13.8290695090715</v>
      </c>
      <c r="AU418" s="20" t="n">
        <f aca="false">Operations!AU415+Operations!AU416+Operations!AU417</f>
        <v>14.0486784452275</v>
      </c>
    </row>
    <row r="419" customFormat="false" ht="15" hidden="false" customHeight="false" outlineLevel="0" collapsed="false">
      <c r="D419" s="0" t="s">
        <v>811</v>
      </c>
      <c r="E419" s="0" t="s">
        <v>47</v>
      </c>
      <c r="J419" s="20" t="n">
        <f aca="false">Operations!J354+Operations!J396</f>
        <v>0</v>
      </c>
      <c r="K419" s="20" t="n">
        <f aca="false">Operations!K354+Operations!K396</f>
        <v>0</v>
      </c>
      <c r="L419" s="20" t="n">
        <f aca="false">Operations!L354+Operations!L396</f>
        <v>5.95724803106844</v>
      </c>
      <c r="M419" s="20" t="n">
        <f aca="false">Operations!M354+Operations!M396</f>
        <v>15.424423658468</v>
      </c>
      <c r="N419" s="20" t="n">
        <f aca="false">Operations!N354+Operations!N396</f>
        <v>15.5892151053247</v>
      </c>
      <c r="O419" s="20" t="n">
        <f aca="false">Operations!O354+Operations!O396</f>
        <v>15.5552639401109</v>
      </c>
      <c r="P419" s="20" t="n">
        <f aca="false">Operations!P354+Operations!P396</f>
        <v>15.4346006846344</v>
      </c>
      <c r="Q419" s="20" t="n">
        <f aca="false">Operations!Q354+Operations!Q396</f>
        <v>14.4504929188513</v>
      </c>
      <c r="R419" s="20" t="n">
        <f aca="false">Operations!R354+Operations!R396</f>
        <v>15.0946758080435</v>
      </c>
      <c r="S419" s="20" t="n">
        <f aca="false">Operations!S354+Operations!S396</f>
        <v>14.8902975915808</v>
      </c>
      <c r="T419" s="20" t="n">
        <f aca="false">Operations!T354+Operations!T396</f>
        <v>13.9575114170375</v>
      </c>
      <c r="U419" s="20" t="n">
        <f aca="false">Operations!U354+Operations!U396</f>
        <v>12.7385327275027</v>
      </c>
      <c r="V419" s="20" t="n">
        <f aca="false">Operations!V354+Operations!V396</f>
        <v>13.5565366058264</v>
      </c>
      <c r="W419" s="20" t="n">
        <f aca="false">Operations!W354+Operations!W396</f>
        <v>13.2737842612534</v>
      </c>
      <c r="X419" s="20" t="n">
        <f aca="false">Operations!X354+Operations!X396</f>
        <v>13.11341954539</v>
      </c>
      <c r="Y419" s="20" t="n">
        <f aca="false">Operations!Y354+Operations!Y396</f>
        <v>13.0025740842424</v>
      </c>
      <c r="Z419" s="20" t="n">
        <f aca="false">Operations!Z354+Operations!Z396</f>
        <v>13.0128894342253</v>
      </c>
      <c r="AA419" s="20" t="n">
        <f aca="false">Operations!AA354+Operations!AA396</f>
        <v>13.0215144535886</v>
      </c>
      <c r="AB419" s="20" t="n">
        <f aca="false">Operations!AB354+Operations!AB396</f>
        <v>13.0283513931585</v>
      </c>
      <c r="AC419" s="20" t="n">
        <f aca="false">Operations!AC354+Operations!AC396</f>
        <v>13.031585248552</v>
      </c>
      <c r="AD419" s="20" t="n">
        <f aca="false">Operations!AD354+Operations!AD396</f>
        <v>13.0327846618073</v>
      </c>
      <c r="AE419" s="20" t="n">
        <f aca="false">Operations!AE354+Operations!AE396</f>
        <v>13.0301799699154</v>
      </c>
      <c r="AF419" s="20" t="n">
        <f aca="false">Operations!AF354+Operations!AF396</f>
        <v>3.11630335781738</v>
      </c>
      <c r="AG419" s="20" t="n">
        <f aca="false">Operations!AG354+Operations!AG396</f>
        <v>7.13112978003527</v>
      </c>
      <c r="AH419" s="20" t="n">
        <f aca="false">Operations!AH354+Operations!AH396</f>
        <v>7.2069691993194</v>
      </c>
      <c r="AI419" s="20" t="n">
        <f aca="false">Operations!AI354+Operations!AI396</f>
        <v>7.28344492665678</v>
      </c>
      <c r="AJ419" s="20" t="n">
        <f aca="false">Operations!AJ354+Operations!AJ396</f>
        <v>7.36044589042248</v>
      </c>
      <c r="AK419" s="20" t="n">
        <f aca="false">Operations!AK354+Operations!AK396</f>
        <v>7.43785983297344</v>
      </c>
      <c r="AL419" s="20" t="n">
        <f aca="false">Operations!AL354+Operations!AL396</f>
        <v>7.51557326808439</v>
      </c>
      <c r="AM419" s="20" t="n">
        <f aca="false">Operations!AM354+Operations!AM396</f>
        <v>7.59347143740641</v>
      </c>
      <c r="AN419" s="20" t="n">
        <f aca="false">Operations!AN354+Operations!AN396</f>
        <v>7.67143826592311</v>
      </c>
      <c r="AO419" s="20" t="n">
        <f aca="false">Operations!AO354+Operations!AO396</f>
        <v>7.74935631637894</v>
      </c>
      <c r="AP419" s="20" t="n">
        <f aca="false">Operations!AP354+Operations!AP396</f>
        <v>7.82710674265341</v>
      </c>
      <c r="AQ419" s="20" t="n">
        <f aca="false">Operations!AQ354+Operations!AQ396</f>
        <v>7.90611314025504</v>
      </c>
      <c r="AR419" s="20" t="n">
        <f aca="false">Operations!AR354+Operations!AR396</f>
        <v>7.98469745171806</v>
      </c>
      <c r="AS419" s="20" t="n">
        <f aca="false">Operations!AS354+Operations!AS396</f>
        <v>8.06273638773107</v>
      </c>
      <c r="AT419" s="20" t="n">
        <f aca="false">Operations!AT354+Operations!AT396</f>
        <v>8.14163049756126</v>
      </c>
      <c r="AU419" s="20" t="n">
        <f aca="false">Operations!AU354+Operations!AU396</f>
        <v>-3.14995448877764</v>
      </c>
    </row>
    <row r="420" customFormat="false" ht="15" hidden="false" customHeight="false" outlineLevel="0" collapsed="false">
      <c r="D420" s="0" t="s">
        <v>812</v>
      </c>
      <c r="E420" s="0" t="s">
        <v>47</v>
      </c>
      <c r="J420" s="20" t="n">
        <f aca="false">Operations!J360+Operations!J402</f>
        <v>0</v>
      </c>
      <c r="K420" s="20" t="n">
        <f aca="false">Operations!K360+Operations!K402</f>
        <v>0</v>
      </c>
      <c r="L420" s="20" t="n">
        <f aca="false">Operations!L360+Operations!L402</f>
        <v>7.6305737704918</v>
      </c>
      <c r="M420" s="20" t="n">
        <f aca="false">Operations!M360+Operations!M402</f>
        <v>10.23</v>
      </c>
      <c r="N420" s="20" t="n">
        <f aca="false">Operations!N360+Operations!N402</f>
        <v>10.23</v>
      </c>
      <c r="O420" s="20" t="n">
        <f aca="false">Operations!O360+Operations!O402</f>
        <v>10.23</v>
      </c>
      <c r="P420" s="20" t="n">
        <f aca="false">Operations!P360+Operations!P402</f>
        <v>10.23</v>
      </c>
      <c r="Q420" s="20" t="n">
        <f aca="false">Operations!Q360+Operations!Q402</f>
        <v>10.23</v>
      </c>
      <c r="R420" s="20" t="n">
        <f aca="false">Operations!R360+Operations!R402</f>
        <v>10.23</v>
      </c>
      <c r="S420" s="20" t="n">
        <f aca="false">Operations!S360+Operations!S402</f>
        <v>10.23</v>
      </c>
      <c r="T420" s="20" t="n">
        <f aca="false">Operations!T360+Operations!T402</f>
        <v>2.57147540983607</v>
      </c>
      <c r="U420" s="20" t="n">
        <f aca="false">Operations!U360+Operations!U402</f>
        <v>0</v>
      </c>
      <c r="V420" s="20" t="n">
        <f aca="false">Operations!V360+Operations!V402</f>
        <v>0</v>
      </c>
      <c r="W420" s="20" t="n">
        <f aca="false">Operations!W360+Operations!W402</f>
        <v>0</v>
      </c>
      <c r="X420" s="20" t="n">
        <f aca="false">Operations!X360+Operations!X402</f>
        <v>0</v>
      </c>
      <c r="Y420" s="20" t="n">
        <f aca="false">Operations!Y360+Operations!Y402</f>
        <v>0</v>
      </c>
      <c r="Z420" s="20" t="n">
        <f aca="false">Operations!Z360+Operations!Z402</f>
        <v>0</v>
      </c>
      <c r="AA420" s="20" t="n">
        <f aca="false">Operations!AA360+Operations!AA402</f>
        <v>0</v>
      </c>
      <c r="AB420" s="20" t="n">
        <f aca="false">Operations!AB360+Operations!AB402</f>
        <v>0</v>
      </c>
      <c r="AC420" s="20" t="n">
        <f aca="false">Operations!AC360+Operations!AC402</f>
        <v>0</v>
      </c>
      <c r="AD420" s="20" t="n">
        <f aca="false">Operations!AD360+Operations!AD402</f>
        <v>0</v>
      </c>
      <c r="AE420" s="20" t="n">
        <f aca="false">Operations!AE360+Operations!AE402</f>
        <v>0</v>
      </c>
      <c r="AF420" s="20" t="n">
        <f aca="false">Operations!AF360+Operations!AF402</f>
        <v>0</v>
      </c>
      <c r="AG420" s="20" t="n">
        <f aca="false">Operations!AG360+Operations!AG402</f>
        <v>0</v>
      </c>
      <c r="AH420" s="20" t="n">
        <f aca="false">Operations!AH360+Operations!AH402</f>
        <v>0</v>
      </c>
      <c r="AI420" s="20" t="n">
        <f aca="false">Operations!AI360+Operations!AI402</f>
        <v>0</v>
      </c>
      <c r="AJ420" s="20" t="n">
        <f aca="false">Operations!AJ360+Operations!AJ402</f>
        <v>0</v>
      </c>
      <c r="AK420" s="20" t="n">
        <f aca="false">Operations!AK360+Operations!AK402</f>
        <v>0</v>
      </c>
      <c r="AL420" s="20" t="n">
        <f aca="false">Operations!AL360+Operations!AL402</f>
        <v>0</v>
      </c>
      <c r="AM420" s="20" t="n">
        <f aca="false">Operations!AM360+Operations!AM402</f>
        <v>0</v>
      </c>
      <c r="AN420" s="20" t="n">
        <f aca="false">Operations!AN360+Operations!AN402</f>
        <v>0</v>
      </c>
      <c r="AO420" s="20" t="n">
        <f aca="false">Operations!AO360+Operations!AO402</f>
        <v>0</v>
      </c>
      <c r="AP420" s="20" t="n">
        <f aca="false">Operations!AP360+Operations!AP402</f>
        <v>0</v>
      </c>
      <c r="AQ420" s="20" t="n">
        <f aca="false">Operations!AQ360+Operations!AQ402</f>
        <v>0</v>
      </c>
      <c r="AR420" s="20" t="n">
        <f aca="false">Operations!AR360+Operations!AR402</f>
        <v>0</v>
      </c>
      <c r="AS420" s="20" t="n">
        <f aca="false">Operations!AS360+Operations!AS402</f>
        <v>0</v>
      </c>
      <c r="AT420" s="20" t="n">
        <f aca="false">Operations!AT360+Operations!AT402</f>
        <v>0</v>
      </c>
      <c r="AU420" s="20" t="n">
        <f aca="false">Operations!AU360+Operations!AU402</f>
        <v>0</v>
      </c>
    </row>
    <row r="421" customFormat="false" ht="15" hidden="false" customHeight="false" outlineLevel="0" collapsed="false">
      <c r="D421" s="0" t="s">
        <v>813</v>
      </c>
      <c r="E421" s="0" t="s">
        <v>47</v>
      </c>
      <c r="J421" s="20" t="n">
        <f aca="false">Operations!J361+Operations!J403</f>
        <v>0</v>
      </c>
      <c r="K421" s="20" t="n">
        <f aca="false">Operations!K361+Operations!K403</f>
        <v>0</v>
      </c>
      <c r="L421" s="20" t="n">
        <f aca="false">Operations!L361+Operations!L403</f>
        <v>0</v>
      </c>
      <c r="M421" s="20" t="n">
        <f aca="false">Operations!M361+Operations!M403</f>
        <v>6.77249</v>
      </c>
      <c r="N421" s="20" t="n">
        <f aca="false">Operations!N361+Operations!N403</f>
        <v>6.77249</v>
      </c>
      <c r="O421" s="20" t="n">
        <f aca="false">Operations!O361+Operations!O403</f>
        <v>6.77249</v>
      </c>
      <c r="P421" s="20" t="n">
        <f aca="false">Operations!P361+Operations!P403</f>
        <v>6.77249</v>
      </c>
      <c r="Q421" s="20" t="n">
        <f aca="false">Operations!Q361+Operations!Q403</f>
        <v>6.77249</v>
      </c>
      <c r="R421" s="20" t="n">
        <f aca="false">Operations!R361+Operations!R403</f>
        <v>6.77249</v>
      </c>
      <c r="S421" s="20" t="n">
        <f aca="false">Operations!S361+Operations!S403</f>
        <v>6.77249</v>
      </c>
      <c r="T421" s="20" t="n">
        <f aca="false">Operations!T361+Operations!T403</f>
        <v>6.77249</v>
      </c>
      <c r="U421" s="20" t="n">
        <f aca="false">Operations!U361+Operations!U403</f>
        <v>6.77249</v>
      </c>
      <c r="V421" s="20" t="n">
        <f aca="false">Operations!V361+Operations!V403</f>
        <v>6.77249</v>
      </c>
      <c r="W421" s="20" t="n">
        <f aca="false">Operations!W361+Operations!W403</f>
        <v>0</v>
      </c>
      <c r="X421" s="20" t="n">
        <f aca="false">Operations!X361+Operations!X403</f>
        <v>0</v>
      </c>
      <c r="Y421" s="20" t="n">
        <f aca="false">Operations!Y361+Operations!Y403</f>
        <v>0</v>
      </c>
      <c r="Z421" s="20" t="n">
        <f aca="false">Operations!Z361+Operations!Z403</f>
        <v>0</v>
      </c>
      <c r="AA421" s="20" t="n">
        <f aca="false">Operations!AA361+Operations!AA403</f>
        <v>0</v>
      </c>
      <c r="AB421" s="20" t="n">
        <f aca="false">Operations!AB361+Operations!AB403</f>
        <v>0</v>
      </c>
      <c r="AC421" s="20" t="n">
        <f aca="false">Operations!AC361+Operations!AC403</f>
        <v>0</v>
      </c>
      <c r="AD421" s="20" t="n">
        <f aca="false">Operations!AD361+Operations!AD403</f>
        <v>0</v>
      </c>
      <c r="AE421" s="20" t="n">
        <f aca="false">Operations!AE361+Operations!AE403</f>
        <v>0</v>
      </c>
      <c r="AF421" s="20" t="n">
        <f aca="false">Operations!AF361+Operations!AF403</f>
        <v>0</v>
      </c>
      <c r="AG421" s="20" t="n">
        <f aca="false">Operations!AG361+Operations!AG403</f>
        <v>0</v>
      </c>
      <c r="AH421" s="20" t="n">
        <f aca="false">Operations!AH361+Operations!AH403</f>
        <v>0</v>
      </c>
      <c r="AI421" s="20" t="n">
        <f aca="false">Operations!AI361+Operations!AI403</f>
        <v>0</v>
      </c>
      <c r="AJ421" s="20" t="n">
        <f aca="false">Operations!AJ361+Operations!AJ403</f>
        <v>0</v>
      </c>
      <c r="AK421" s="20" t="n">
        <f aca="false">Operations!AK361+Operations!AK403</f>
        <v>0</v>
      </c>
      <c r="AL421" s="20" t="n">
        <f aca="false">Operations!AL361+Operations!AL403</f>
        <v>0</v>
      </c>
      <c r="AM421" s="20" t="n">
        <f aca="false">Operations!AM361+Operations!AM403</f>
        <v>0</v>
      </c>
      <c r="AN421" s="20" t="n">
        <f aca="false">Operations!AN361+Operations!AN403</f>
        <v>0</v>
      </c>
      <c r="AO421" s="20" t="n">
        <f aca="false">Operations!AO361+Operations!AO403</f>
        <v>0</v>
      </c>
      <c r="AP421" s="20" t="n">
        <f aca="false">Operations!AP361+Operations!AP403</f>
        <v>0</v>
      </c>
      <c r="AQ421" s="20" t="n">
        <f aca="false">Operations!AQ361+Operations!AQ403</f>
        <v>0</v>
      </c>
      <c r="AR421" s="20" t="n">
        <f aca="false">Operations!AR361+Operations!AR403</f>
        <v>0</v>
      </c>
      <c r="AS421" s="20" t="n">
        <f aca="false">Operations!AS361+Operations!AS403</f>
        <v>0</v>
      </c>
      <c r="AT421" s="20" t="n">
        <f aca="false">Operations!AT361+Operations!AT403</f>
        <v>0</v>
      </c>
      <c r="AU421" s="20" t="n">
        <f aca="false">Operations!AU361+Operations!AU403</f>
        <v>0</v>
      </c>
    </row>
    <row r="422" customFormat="false" ht="15" hidden="false" customHeight="false" outlineLevel="0" collapsed="false">
      <c r="D422" s="0" t="s">
        <v>814</v>
      </c>
      <c r="E422" s="0" t="s">
        <v>47</v>
      </c>
      <c r="J422" s="20" t="n">
        <f aca="false">Operations!J362+Operations!J404</f>
        <v>0</v>
      </c>
      <c r="K422" s="20" t="n">
        <f aca="false">Operations!K362+Operations!K404</f>
        <v>0</v>
      </c>
      <c r="L422" s="20" t="n">
        <f aca="false">Operations!L362+Operations!L404</f>
        <v>0.235148370701091</v>
      </c>
      <c r="M422" s="20" t="n">
        <f aca="false">Operations!M362+Operations!M404</f>
        <v>3.47169852123576</v>
      </c>
      <c r="N422" s="20" t="n">
        <f aca="false">Operations!N362+Operations!N404</f>
        <v>3.76156867070296</v>
      </c>
      <c r="O422" s="20" t="n">
        <f aca="false">Operations!O362+Operations!O404</f>
        <v>3.85475252716946</v>
      </c>
      <c r="P422" s="20" t="n">
        <f aca="false">Operations!P362+Operations!P404</f>
        <v>3.86394950743418</v>
      </c>
      <c r="Q422" s="20" t="n">
        <f aca="false">Operations!Q362+Operations!Q404</f>
        <v>3.82732060357171</v>
      </c>
      <c r="R422" s="20" t="n">
        <f aca="false">Operations!R362+Operations!R404</f>
        <v>3.79309356919636</v>
      </c>
      <c r="S422" s="20" t="n">
        <f aca="false">Operations!S362+Operations!S404</f>
        <v>3.72816776595202</v>
      </c>
      <c r="T422" s="20" t="n">
        <f aca="false">Operations!T362+Operations!T404</f>
        <v>10.5930275468515</v>
      </c>
      <c r="U422" s="20" t="n">
        <f aca="false">Operations!U362+Operations!U404</f>
        <v>12.9906632552482</v>
      </c>
      <c r="V422" s="20" t="n">
        <f aca="false">Operations!V362+Operations!V404</f>
        <v>13.0603939472123</v>
      </c>
      <c r="W422" s="20" t="n">
        <f aca="false">Operations!W362+Operations!W404</f>
        <v>19.7037593158411</v>
      </c>
      <c r="X422" s="20" t="n">
        <f aca="false">Operations!X362+Operations!X404</f>
        <v>19.7015462392803</v>
      </c>
      <c r="Y422" s="20" t="n">
        <f aca="false">Operations!Y362+Operations!Y404</f>
        <v>19.7530887155364</v>
      </c>
      <c r="Z422" s="20" t="n">
        <f aca="false">Operations!Z362+Operations!Z404</f>
        <v>19.9305057779855</v>
      </c>
      <c r="AA422" s="20" t="n">
        <f aca="false">Operations!AA362+Operations!AA404</f>
        <v>20.1103997705203</v>
      </c>
      <c r="AB422" s="20" t="n">
        <f aca="false">Operations!AB362+Operations!AB404</f>
        <v>20.2927768326196</v>
      </c>
      <c r="AC422" s="20" t="n">
        <f aca="false">Operations!AC362+Operations!AC404</f>
        <v>20.4759193954956</v>
      </c>
      <c r="AD422" s="20" t="n">
        <f aca="false">Operations!AD362+Operations!AD404</f>
        <v>20.6615140700451</v>
      </c>
      <c r="AE422" s="20" t="n">
        <f aca="false">Operations!AE362+Operations!AE404</f>
        <v>20.84789428577</v>
      </c>
      <c r="AF422" s="20" t="n">
        <f aca="false">Operations!AF362+Operations!AF404</f>
        <v>13.5606533408382</v>
      </c>
      <c r="AG422" s="20" t="n">
        <f aca="false">Operations!AG362+Operations!AG404</f>
        <v>11.2633792491414</v>
      </c>
      <c r="AH422" s="20" t="n">
        <f aca="false">Operations!AH362+Operations!AH404</f>
        <v>11.4419842629492</v>
      </c>
      <c r="AI422" s="20" t="n">
        <f aca="false">Operations!AI362+Operations!AI404</f>
        <v>11.6237880764638</v>
      </c>
      <c r="AJ422" s="20" t="n">
        <f aca="false">Operations!AJ362+Operations!AJ404</f>
        <v>11.8087430101917</v>
      </c>
      <c r="AK422" s="20" t="n">
        <f aca="false">Operations!AK362+Operations!AK404</f>
        <v>11.9968017918203</v>
      </c>
      <c r="AL422" s="20" t="n">
        <f aca="false">Operations!AL362+Operations!AL404</f>
        <v>12.1879175534157</v>
      </c>
      <c r="AM422" s="20" t="n">
        <f aca="false">Operations!AM362+Operations!AM404</f>
        <v>12.382043828637</v>
      </c>
      <c r="AN422" s="20" t="n">
        <f aca="false">Operations!AN362+Operations!AN404</f>
        <v>12.5791345499689</v>
      </c>
      <c r="AO422" s="20" t="n">
        <f aca="false">Operations!AO362+Operations!AO404</f>
        <v>12.7791440459702</v>
      </c>
      <c r="AP422" s="20" t="n">
        <f aca="false">Operations!AP362+Operations!AP404</f>
        <v>12.9820270385394</v>
      </c>
      <c r="AQ422" s="20" t="n">
        <f aca="false">Operations!AQ362+Operations!AQ404</f>
        <v>13.1892906866419</v>
      </c>
      <c r="AR422" s="20" t="n">
        <f aca="false">Operations!AR362+Operations!AR404</f>
        <v>13.3993260279036</v>
      </c>
      <c r="AS422" s="20" t="n">
        <f aca="false">Operations!AS362+Operations!AS404</f>
        <v>13.6120890225018</v>
      </c>
      <c r="AT422" s="20" t="n">
        <f aca="false">Operations!AT362+Operations!AT404</f>
        <v>13.8290695090715</v>
      </c>
      <c r="AU422" s="20" t="n">
        <f aca="false">Operations!AU362+Operations!AU404</f>
        <v>14.0486784452275</v>
      </c>
    </row>
    <row r="423" customFormat="false" ht="15" hidden="false" customHeight="false" outlineLevel="0" collapsed="false">
      <c r="D423" s="0" t="s">
        <v>815</v>
      </c>
      <c r="E423" s="0" t="s">
        <v>47</v>
      </c>
      <c r="J423" s="20" t="n">
        <f aca="false">Operations!J420+Operations!J421+Operations!J422</f>
        <v>0</v>
      </c>
      <c r="K423" s="20" t="n">
        <f aca="false">Operations!K420+Operations!K421+Operations!K422</f>
        <v>0</v>
      </c>
      <c r="L423" s="20" t="n">
        <f aca="false">Operations!L420+Operations!L421+Operations!L422</f>
        <v>7.8657221411929</v>
      </c>
      <c r="M423" s="20" t="n">
        <f aca="false">Operations!M420+Operations!M421+Operations!M422</f>
        <v>20.4741885212358</v>
      </c>
      <c r="N423" s="20" t="n">
        <f aca="false">Operations!N420+Operations!N421+Operations!N422</f>
        <v>20.764058670703</v>
      </c>
      <c r="O423" s="20" t="n">
        <f aca="false">Operations!O420+Operations!O421+Operations!O422</f>
        <v>20.8572425271695</v>
      </c>
      <c r="P423" s="20" t="n">
        <f aca="false">Operations!P420+Operations!P421+Operations!P422</f>
        <v>20.8664395074342</v>
      </c>
      <c r="Q423" s="20" t="n">
        <f aca="false">Operations!Q420+Operations!Q421+Operations!Q422</f>
        <v>20.8298106035717</v>
      </c>
      <c r="R423" s="20" t="n">
        <f aca="false">Operations!R420+Operations!R421+Operations!R422</f>
        <v>20.7955835691964</v>
      </c>
      <c r="S423" s="20" t="n">
        <f aca="false">Operations!S420+Operations!S421+Operations!S422</f>
        <v>20.730657765952</v>
      </c>
      <c r="T423" s="20" t="n">
        <f aca="false">Operations!T420+Operations!T421+Operations!T422</f>
        <v>19.9369929566876</v>
      </c>
      <c r="U423" s="20" t="n">
        <f aca="false">Operations!U420+Operations!U421+Operations!U422</f>
        <v>19.7631532552482</v>
      </c>
      <c r="V423" s="20" t="n">
        <f aca="false">Operations!V420+Operations!V421+Operations!V422</f>
        <v>19.8328839472123</v>
      </c>
      <c r="W423" s="20" t="n">
        <f aca="false">Operations!W420+Operations!W421+Operations!W422</f>
        <v>19.7037593158411</v>
      </c>
      <c r="X423" s="20" t="n">
        <f aca="false">Operations!X420+Operations!X421+Operations!X422</f>
        <v>19.7015462392803</v>
      </c>
      <c r="Y423" s="20" t="n">
        <f aca="false">Operations!Y420+Operations!Y421+Operations!Y422</f>
        <v>19.7530887155364</v>
      </c>
      <c r="Z423" s="20" t="n">
        <f aca="false">Operations!Z420+Operations!Z421+Operations!Z422</f>
        <v>19.9305057779855</v>
      </c>
      <c r="AA423" s="20" t="n">
        <f aca="false">Operations!AA420+Operations!AA421+Operations!AA422</f>
        <v>20.1103997705203</v>
      </c>
      <c r="AB423" s="20" t="n">
        <f aca="false">Operations!AB420+Operations!AB421+Operations!AB422</f>
        <v>20.2927768326196</v>
      </c>
      <c r="AC423" s="20" t="n">
        <f aca="false">Operations!AC420+Operations!AC421+Operations!AC422</f>
        <v>20.4759193954956</v>
      </c>
      <c r="AD423" s="20" t="n">
        <f aca="false">Operations!AD420+Operations!AD421+Operations!AD422</f>
        <v>20.6615140700451</v>
      </c>
      <c r="AE423" s="20" t="n">
        <f aca="false">Operations!AE420+Operations!AE421+Operations!AE422</f>
        <v>20.84789428577</v>
      </c>
      <c r="AF423" s="20" t="n">
        <f aca="false">Operations!AF420+Operations!AF421+Operations!AF422</f>
        <v>13.5606533408382</v>
      </c>
      <c r="AG423" s="20" t="n">
        <f aca="false">Operations!AG420+Operations!AG421+Operations!AG422</f>
        <v>11.2633792491414</v>
      </c>
      <c r="AH423" s="20" t="n">
        <f aca="false">Operations!AH420+Operations!AH421+Operations!AH422</f>
        <v>11.4419842629492</v>
      </c>
      <c r="AI423" s="20" t="n">
        <f aca="false">Operations!AI420+Operations!AI421+Operations!AI422</f>
        <v>11.6237880764638</v>
      </c>
      <c r="AJ423" s="20" t="n">
        <f aca="false">Operations!AJ420+Operations!AJ421+Operations!AJ422</f>
        <v>11.8087430101917</v>
      </c>
      <c r="AK423" s="20" t="n">
        <f aca="false">Operations!AK420+Operations!AK421+Operations!AK422</f>
        <v>11.9968017918203</v>
      </c>
      <c r="AL423" s="20" t="n">
        <f aca="false">Operations!AL420+Operations!AL421+Operations!AL422</f>
        <v>12.1879175534157</v>
      </c>
      <c r="AM423" s="20" t="n">
        <f aca="false">Operations!AM420+Operations!AM421+Operations!AM422</f>
        <v>12.382043828637</v>
      </c>
      <c r="AN423" s="20" t="n">
        <f aca="false">Operations!AN420+Operations!AN421+Operations!AN422</f>
        <v>12.5791345499689</v>
      </c>
      <c r="AO423" s="20" t="n">
        <f aca="false">Operations!AO420+Operations!AO421+Operations!AO422</f>
        <v>12.7791440459702</v>
      </c>
      <c r="AP423" s="20" t="n">
        <f aca="false">Operations!AP420+Operations!AP421+Operations!AP422</f>
        <v>12.9820270385394</v>
      </c>
      <c r="AQ423" s="20" t="n">
        <f aca="false">Operations!AQ420+Operations!AQ421+Operations!AQ422</f>
        <v>13.1892906866419</v>
      </c>
      <c r="AR423" s="20" t="n">
        <f aca="false">Operations!AR420+Operations!AR421+Operations!AR422</f>
        <v>13.3993260279036</v>
      </c>
      <c r="AS423" s="20" t="n">
        <f aca="false">Operations!AS420+Operations!AS421+Operations!AS422</f>
        <v>13.6120890225018</v>
      </c>
      <c r="AT423" s="20" t="n">
        <f aca="false">Operations!AT420+Operations!AT421+Operations!AT422</f>
        <v>13.8290695090715</v>
      </c>
      <c r="AU423" s="20" t="n">
        <f aca="false">Operations!AU420+Operations!AU421+Operations!AU422</f>
        <v>14.0486784452275</v>
      </c>
    </row>
    <row r="424" customFormat="false" ht="15" hidden="false" customHeight="false" outlineLevel="0" collapsed="false">
      <c r="D424" s="0" t="s">
        <v>816</v>
      </c>
      <c r="E424" s="0" t="s">
        <v>47</v>
      </c>
      <c r="G424" s="20" t="n">
        <f aca="false">SUM(J424:AU424)</f>
        <v>1041.95483224388</v>
      </c>
      <c r="J424" s="20" t="n">
        <f aca="false">Operations!J409-Operations!J408</f>
        <v>45.1684519770048</v>
      </c>
      <c r="K424" s="20" t="n">
        <f aca="false">Operations!K409-Operations!K408</f>
        <v>46.1009347157323</v>
      </c>
      <c r="L424" s="20" t="n">
        <f aca="false">Operations!L409-Operations!L408</f>
        <v>41.5593010685761</v>
      </c>
      <c r="M424" s="20" t="n">
        <f aca="false">Operations!M409-Operations!M408</f>
        <v>41.1855109831433</v>
      </c>
      <c r="N424" s="20" t="n">
        <f aca="false">Operations!N409-Operations!N408</f>
        <v>40.4208554401036</v>
      </c>
      <c r="O424" s="20" t="n">
        <f aca="false">Operations!O409-Operations!O408</f>
        <v>38.4088242561507</v>
      </c>
      <c r="P424" s="20" t="n">
        <f aca="false">Operations!P409-Operations!P408</f>
        <v>37.6266449735632</v>
      </c>
      <c r="Q424" s="20" t="n">
        <f aca="false">Operations!Q409-Operations!Q408</f>
        <v>41.5983506374105</v>
      </c>
      <c r="R424" s="20" t="n">
        <f aca="false">Operations!R409-Operations!R408</f>
        <v>44.2451213638772</v>
      </c>
      <c r="S424" s="20" t="n">
        <f aca="false">Operations!S409-Operations!S408</f>
        <v>43.8376822064869</v>
      </c>
      <c r="T424" s="20" t="n">
        <f aca="false">Operations!T409-Operations!T408</f>
        <v>43.4047362032113</v>
      </c>
      <c r="U424" s="20" t="n">
        <f aca="false">Operations!U409-Operations!U408</f>
        <v>44.1736561995024</v>
      </c>
      <c r="V424" s="20" t="n">
        <f aca="false">Operations!V409-Operations!V408</f>
        <v>44.7254630597531</v>
      </c>
      <c r="W424" s="20" t="n">
        <f aca="false">Operations!W409-Operations!W408</f>
        <v>44.0284621369685</v>
      </c>
      <c r="X424" s="20" t="n">
        <f aca="false">Operations!X409-Operations!X408</f>
        <v>43.9654215564518</v>
      </c>
      <c r="Y424" s="20" t="n">
        <f aca="false">Operations!Y409-Operations!Y408</f>
        <v>43.8951304671755</v>
      </c>
      <c r="Z424" s="20" t="n">
        <f aca="false">Operations!Z409-Operations!Z408</f>
        <v>43.8005118371065</v>
      </c>
      <c r="AA424" s="20" t="n">
        <f aca="false">Operations!AA409-Operations!AA408</f>
        <v>43.8315230556726</v>
      </c>
      <c r="AB424" s="20" t="n">
        <f aca="false">Operations!AB409-Operations!AB408</f>
        <v>43.856187299298</v>
      </c>
      <c r="AC424" s="20" t="n">
        <f aca="false">Operations!AC409-Operations!AC408</f>
        <v>43.8578605911225</v>
      </c>
      <c r="AD424" s="20" t="n">
        <f aca="false">Operations!AD409-Operations!AD408</f>
        <v>43.8503361095909</v>
      </c>
      <c r="AE424" s="20" t="n">
        <f aca="false">Operations!AE409-Operations!AE408</f>
        <v>44.0501576158874</v>
      </c>
      <c r="AF424" s="20" t="n">
        <f aca="false">Operations!AF409-Operations!AF408</f>
        <v>22.727973469182</v>
      </c>
      <c r="AG424" s="20" t="n">
        <f aca="false">Operations!AG409-Operations!AG408</f>
        <v>36.4767799198232</v>
      </c>
      <c r="AH424" s="20" t="n">
        <f aca="false">Operations!AH409-Operations!AH408</f>
        <v>36.712641743449</v>
      </c>
      <c r="AI424" s="20" t="n">
        <f aca="false">Operations!AI409-Operations!AI408</f>
        <v>-2.90336705051544</v>
      </c>
      <c r="AJ424" s="20" t="n">
        <f aca="false">Operations!AJ409-Operations!AJ408</f>
        <v>14.5044943004133</v>
      </c>
      <c r="AK424" s="20" t="n">
        <f aca="false">Operations!AK409-Operations!AK408</f>
        <v>-3.66767522084446</v>
      </c>
      <c r="AL424" s="20" t="n">
        <f aca="false">Operations!AL409-Operations!AL408</f>
        <v>7.02055305427179</v>
      </c>
      <c r="AM424" s="20" t="n">
        <f aca="false">Operations!AM409-Operations!AM408</f>
        <v>6.96749040795783</v>
      </c>
      <c r="AN424" s="20" t="n">
        <f aca="false">Operations!AN409-Operations!AN408</f>
        <v>6.90932766536362</v>
      </c>
      <c r="AO424" s="20" t="n">
        <f aca="false">Operations!AO409-Operations!AO408</f>
        <v>6.84570410241628</v>
      </c>
      <c r="AP424" s="20" t="n">
        <f aca="false">Operations!AP409-Operations!AP408</f>
        <v>6.77625337550455</v>
      </c>
      <c r="AQ424" s="20" t="n">
        <f aca="false">Operations!AQ409-Operations!AQ408</f>
        <v>-2.57043616858017</v>
      </c>
      <c r="AR424" s="20" t="n">
        <f aca="false">Operations!AR409-Operations!AR408</f>
        <v>-18.0789456670841</v>
      </c>
      <c r="AS424" s="20" t="n">
        <f aca="false">Operations!AS409-Operations!AS408</f>
        <v>-7.59425659541196</v>
      </c>
      <c r="AT424" s="20" t="n">
        <f aca="false">Operations!AT409-Operations!AT408</f>
        <v>-7.78411301029726</v>
      </c>
      <c r="AU424" s="20" t="n">
        <f aca="false">Operations!AU409-Operations!AU408</f>
        <v>-7.97871583555469</v>
      </c>
    </row>
    <row r="425" customFormat="false" ht="15" hidden="false" customHeight="false" outlineLevel="0" collapsed="false">
      <c r="D425" s="0" t="s">
        <v>817</v>
      </c>
      <c r="E425" s="0" t="s">
        <v>47</v>
      </c>
      <c r="G425" s="20" t="n">
        <f aca="false">SUM(J425:AU425)</f>
        <v>1532.16440562717</v>
      </c>
      <c r="J425" s="20" t="n">
        <f aca="false">Operations!J414-Operations!J408</f>
        <v>45.1684519770048</v>
      </c>
      <c r="K425" s="20" t="n">
        <f aca="false">Operations!K414-Operations!K408</f>
        <v>49.2306710746364</v>
      </c>
      <c r="L425" s="20" t="n">
        <f aca="false">Operations!L414-Operations!L408</f>
        <v>56.8411346121445</v>
      </c>
      <c r="M425" s="20" t="n">
        <f aca="false">Operations!M414-Operations!M408</f>
        <v>65.8945759169238</v>
      </c>
      <c r="N425" s="20" t="n">
        <f aca="false">Operations!N414-Operations!N408</f>
        <v>65.2537689776237</v>
      </c>
      <c r="O425" s="20" t="n">
        <f aca="false">Operations!O414-Operations!O408</f>
        <v>63.1658202142618</v>
      </c>
      <c r="P425" s="20" t="n">
        <f aca="false">Operations!P414-Operations!P408</f>
        <v>61.6901319141478</v>
      </c>
      <c r="Q425" s="20" t="n">
        <f aca="false">Operations!Q414-Operations!Q408</f>
        <v>65.1634690357983</v>
      </c>
      <c r="R425" s="20" t="n">
        <f aca="false">Operations!R414-Operations!R408</f>
        <v>66.08436273699</v>
      </c>
      <c r="S425" s="20" t="n">
        <f aca="false">Operations!S414-Operations!S408</f>
        <v>62.8778833268807</v>
      </c>
      <c r="T425" s="20" t="n">
        <f aca="false">Operations!T414-Operations!T408</f>
        <v>60.9710054500711</v>
      </c>
      <c r="U425" s="20" t="n">
        <f aca="false">Operations!U414-Operations!U408</f>
        <v>61.1492506920541</v>
      </c>
      <c r="V425" s="20" t="n">
        <f aca="false">Operations!V414-Operations!V408</f>
        <v>62.5622851519422</v>
      </c>
      <c r="W425" s="20" t="n">
        <f aca="false">Operations!W414-Operations!W408</f>
        <v>61.6264482464312</v>
      </c>
      <c r="X425" s="20" t="n">
        <f aca="false">Operations!X414-Operations!X408</f>
        <v>61.3694707589228</v>
      </c>
      <c r="Y425" s="20" t="n">
        <f aca="false">Operations!Y414-Operations!Y408</f>
        <v>61.1479616346381</v>
      </c>
      <c r="Z425" s="20" t="n">
        <f aca="false">Operations!Z414-Operations!Z408</f>
        <v>61.0215279121222</v>
      </c>
      <c r="AA425" s="20" t="n">
        <f aca="false">Operations!AA414-Operations!AA408</f>
        <v>61.0180518358065</v>
      </c>
      <c r="AB425" s="20" t="n">
        <f aca="false">Operations!AB414-Operations!AB408</f>
        <v>61.0033420483556</v>
      </c>
      <c r="AC425" s="20" t="n">
        <f aca="false">Operations!AC414-Operations!AC408</f>
        <v>60.9598884919826</v>
      </c>
      <c r="AD425" s="20" t="n">
        <f aca="false">Operations!AD414-Operations!AD408</f>
        <v>60.9041256818734</v>
      </c>
      <c r="AE425" s="20" t="n">
        <f aca="false">Operations!AE414-Operations!AE408</f>
        <v>55.8587474403073</v>
      </c>
      <c r="AF425" s="20" t="n">
        <f aca="false">Operations!AF414-Operations!AF408</f>
        <v>25.8442768269994</v>
      </c>
      <c r="AG425" s="20" t="n">
        <f aca="false">Operations!AG414-Operations!AG408</f>
        <v>43.6079096998585</v>
      </c>
      <c r="AH425" s="20" t="n">
        <f aca="false">Operations!AH414-Operations!AH408</f>
        <v>43.9196109427684</v>
      </c>
      <c r="AI425" s="20" t="n">
        <f aca="false">Operations!AI414-Operations!AI408</f>
        <v>4.38007787614134</v>
      </c>
      <c r="AJ425" s="20" t="n">
        <f aca="false">Operations!AJ414-Operations!AJ408</f>
        <v>21.8649401908358</v>
      </c>
      <c r="AK425" s="20" t="n">
        <f aca="false">Operations!AK414-Operations!AK408</f>
        <v>3.77018461212898</v>
      </c>
      <c r="AL425" s="20" t="n">
        <f aca="false">Operations!AL414-Operations!AL408</f>
        <v>14.5361263223562</v>
      </c>
      <c r="AM425" s="20" t="n">
        <f aca="false">Operations!AM414-Operations!AM408</f>
        <v>14.5609618453642</v>
      </c>
      <c r="AN425" s="20" t="n">
        <f aca="false">Operations!AN414-Operations!AN408</f>
        <v>14.5807659312867</v>
      </c>
      <c r="AO425" s="20" t="n">
        <f aca="false">Operations!AO414-Operations!AO408</f>
        <v>14.5950604187952</v>
      </c>
      <c r="AP425" s="20" t="n">
        <f aca="false">Operations!AP414-Operations!AP408</f>
        <v>14.603360118158</v>
      </c>
      <c r="AQ425" s="20" t="n">
        <f aca="false">Operations!AQ414-Operations!AQ408</f>
        <v>5.33567697167487</v>
      </c>
      <c r="AR425" s="20" t="n">
        <f aca="false">Operations!AR414-Operations!AR408</f>
        <v>-10.0942482153661</v>
      </c>
      <c r="AS425" s="20" t="n">
        <f aca="false">Operations!AS414-Operations!AS408</f>
        <v>0.468479792319108</v>
      </c>
      <c r="AT425" s="20" t="n">
        <f aca="false">Operations!AT414-Operations!AT408</f>
        <v>0.357517487264004</v>
      </c>
      <c r="AU425" s="20" t="n">
        <f aca="false">Operations!AU414-Operations!AU408</f>
        <v>-11.1286703243323</v>
      </c>
    </row>
    <row r="426" customFormat="false" ht="15" hidden="false" customHeight="false" outlineLevel="0" collapsed="false">
      <c r="D426" s="0" t="s">
        <v>818</v>
      </c>
      <c r="E426" s="0" t="s">
        <v>47</v>
      </c>
      <c r="J426" s="20" t="n">
        <f aca="false">Operations!J419</f>
        <v>0</v>
      </c>
      <c r="K426" s="20" t="n">
        <f aca="false">Operations!K419</f>
        <v>0</v>
      </c>
      <c r="L426" s="20" t="n">
        <f aca="false">Operations!L419</f>
        <v>5.95724803106844</v>
      </c>
      <c r="M426" s="20" t="n">
        <f aca="false">Operations!M419</f>
        <v>15.424423658468</v>
      </c>
      <c r="N426" s="20" t="n">
        <f aca="false">Operations!N419</f>
        <v>15.5892151053247</v>
      </c>
      <c r="O426" s="20" t="n">
        <f aca="false">Operations!O419</f>
        <v>15.5552639401109</v>
      </c>
      <c r="P426" s="20" t="n">
        <f aca="false">Operations!P419</f>
        <v>15.4346006846344</v>
      </c>
      <c r="Q426" s="20" t="n">
        <f aca="false">Operations!Q419</f>
        <v>14.4504929188513</v>
      </c>
      <c r="R426" s="20" t="n">
        <f aca="false">Operations!R419</f>
        <v>15.0946758080435</v>
      </c>
      <c r="S426" s="20" t="n">
        <f aca="false">Operations!S419</f>
        <v>14.8902975915808</v>
      </c>
      <c r="T426" s="20" t="n">
        <f aca="false">Operations!T419</f>
        <v>13.9575114170375</v>
      </c>
      <c r="U426" s="20" t="n">
        <f aca="false">Operations!U419</f>
        <v>12.7385327275027</v>
      </c>
      <c r="V426" s="20" t="n">
        <f aca="false">Operations!V419</f>
        <v>13.5565366058264</v>
      </c>
      <c r="W426" s="20" t="n">
        <f aca="false">Operations!W419</f>
        <v>13.2737842612534</v>
      </c>
      <c r="X426" s="20" t="n">
        <f aca="false">Operations!X419</f>
        <v>13.11341954539</v>
      </c>
      <c r="Y426" s="20" t="n">
        <f aca="false">Operations!Y419</f>
        <v>13.0025740842424</v>
      </c>
      <c r="Z426" s="20" t="n">
        <f aca="false">Operations!Z419</f>
        <v>13.0128894342253</v>
      </c>
      <c r="AA426" s="20" t="n">
        <f aca="false">Operations!AA419</f>
        <v>13.0215144535886</v>
      </c>
      <c r="AB426" s="20" t="n">
        <f aca="false">Operations!AB419</f>
        <v>13.0283513931585</v>
      </c>
      <c r="AC426" s="20" t="n">
        <f aca="false">Operations!AC419</f>
        <v>13.031585248552</v>
      </c>
      <c r="AD426" s="20" t="n">
        <f aca="false">Operations!AD419</f>
        <v>13.0327846618073</v>
      </c>
      <c r="AE426" s="20" t="n">
        <f aca="false">Operations!AE419</f>
        <v>13.0301799699154</v>
      </c>
      <c r="AF426" s="20" t="n">
        <f aca="false">Operations!AF419</f>
        <v>3.11630335781738</v>
      </c>
      <c r="AG426" s="20" t="n">
        <f aca="false">Operations!AG419</f>
        <v>7.13112978003527</v>
      </c>
      <c r="AH426" s="20" t="n">
        <f aca="false">Operations!AH419</f>
        <v>7.2069691993194</v>
      </c>
      <c r="AI426" s="20" t="n">
        <f aca="false">Operations!AI419</f>
        <v>7.28344492665678</v>
      </c>
      <c r="AJ426" s="20" t="n">
        <f aca="false">Operations!AJ419</f>
        <v>7.36044589042248</v>
      </c>
      <c r="AK426" s="20" t="n">
        <f aca="false">Operations!AK419</f>
        <v>7.43785983297344</v>
      </c>
      <c r="AL426" s="20" t="n">
        <f aca="false">Operations!AL419</f>
        <v>7.51557326808439</v>
      </c>
      <c r="AM426" s="20" t="n">
        <f aca="false">Operations!AM419</f>
        <v>7.59347143740641</v>
      </c>
      <c r="AN426" s="20" t="n">
        <f aca="false">Operations!AN419</f>
        <v>7.67143826592311</v>
      </c>
      <c r="AO426" s="20" t="n">
        <f aca="false">Operations!AO419</f>
        <v>7.74935631637894</v>
      </c>
      <c r="AP426" s="20" t="n">
        <f aca="false">Operations!AP419</f>
        <v>7.82710674265341</v>
      </c>
      <c r="AQ426" s="20" t="n">
        <f aca="false">Operations!AQ419</f>
        <v>7.90611314025504</v>
      </c>
      <c r="AR426" s="20" t="n">
        <f aca="false">Operations!AR419</f>
        <v>7.98469745171806</v>
      </c>
      <c r="AS426" s="20" t="n">
        <f aca="false">Operations!AS419</f>
        <v>8.06273638773107</v>
      </c>
      <c r="AT426" s="20" t="n">
        <f aca="false">Operations!AT419</f>
        <v>8.14163049756126</v>
      </c>
      <c r="AU426" s="20" t="n">
        <f aca="false">Operations!AU419</f>
        <v>-3.14995448877764</v>
      </c>
    </row>
    <row r="427" customFormat="false" ht="15" hidden="false" customHeight="false" outlineLevel="0" collapsed="false">
      <c r="D427" s="0" t="s">
        <v>819</v>
      </c>
      <c r="E427" s="0" t="s">
        <v>458</v>
      </c>
      <c r="J427" s="14" t="n">
        <f aca="false">IF(Operations!J413=0,0,Operations!J410/Operations!J413)</f>
        <v>0.543200427177876</v>
      </c>
      <c r="K427" s="14" t="n">
        <f aca="false">IF(Operations!K413=0,0,Operations!K410/Operations!K413)</f>
        <v>0.613846842110048</v>
      </c>
      <c r="L427" s="14" t="n">
        <f aca="false">IF(Operations!L413=0,0,Operations!L410/Operations!L413)</f>
        <v>0.642992489595035</v>
      </c>
      <c r="M427" s="14" t="n">
        <f aca="false">IF(Operations!M413=0,0,Operations!M410/Operations!M413)</f>
        <v>0.637364084155824</v>
      </c>
      <c r="N427" s="14" t="n">
        <f aca="false">IF(Operations!N413=0,0,Operations!N410/Operations!N413)</f>
        <v>0.635596078582273</v>
      </c>
      <c r="O427" s="14" t="n">
        <f aca="false">IF(Operations!O413=0,0,Operations!O410/Operations!O413)</f>
        <v>0.6533588420995</v>
      </c>
      <c r="P427" s="14" t="n">
        <f aca="false">IF(Operations!P413=0,0,Operations!P410/Operations!P413)</f>
        <v>0.6602738970006</v>
      </c>
      <c r="Q427" s="14" t="n">
        <f aca="false">IF(Operations!Q413=0,0,Operations!Q410/Operations!Q413)</f>
        <v>0.470511709566324</v>
      </c>
      <c r="R427" s="14" t="n">
        <f aca="false">IF(Operations!R413=0,0,Operations!R410/Operations!R413)</f>
        <v>0.125999598170582</v>
      </c>
      <c r="S427" s="14" t="n">
        <f aca="false">IF(Operations!S413=0,0,Operations!S410/Operations!S413)</f>
        <v>0.12451683402245</v>
      </c>
      <c r="T427" s="14" t="n">
        <f aca="false">IF(Operations!T413=0,0,Operations!T410/Operations!T413)</f>
        <v>0.123057744928739</v>
      </c>
      <c r="U427" s="14" t="n">
        <f aca="false">IF(Operations!U413=0,0,Operations!U410/Operations!U413)</f>
        <v>0.059498013252969</v>
      </c>
      <c r="V427" s="14" t="n">
        <f aca="false">IF(Operations!V413=0,0,Operations!V410/Operations!V413)</f>
        <v>0</v>
      </c>
      <c r="W427" s="14" t="n">
        <f aca="false">IF(Operations!W413=0,0,Operations!W410/Operations!W413)</f>
        <v>0</v>
      </c>
      <c r="X427" s="14" t="n">
        <f aca="false">IF(Operations!X413=0,0,Operations!X410/Operations!X413)</f>
        <v>0</v>
      </c>
      <c r="Y427" s="14" t="n">
        <f aca="false">IF(Operations!Y413=0,0,Operations!Y410/Operations!Y413)</f>
        <v>0</v>
      </c>
      <c r="Z427" s="14" t="n">
        <f aca="false">IF(Operations!Z413=0,0,Operations!Z410/Operations!Z413)</f>
        <v>0</v>
      </c>
      <c r="AA427" s="14" t="n">
        <f aca="false">IF(Operations!AA413=0,0,Operations!AA410/Operations!AA413)</f>
        <v>0</v>
      </c>
      <c r="AB427" s="14" t="n">
        <f aca="false">IF(Operations!AB413=0,0,Operations!AB410/Operations!AB413)</f>
        <v>0</v>
      </c>
      <c r="AC427" s="14" t="n">
        <f aca="false">IF(Operations!AC413=0,0,Operations!AC410/Operations!AC413)</f>
        <v>0</v>
      </c>
      <c r="AD427" s="14" t="n">
        <f aca="false">IF(Operations!AD413=0,0,Operations!AD410/Operations!AD413)</f>
        <v>0</v>
      </c>
      <c r="AE427" s="14" t="n">
        <f aca="false">IF(Operations!AE413=0,0,Operations!AE410/Operations!AE413)</f>
        <v>0</v>
      </c>
      <c r="AF427" s="14" t="n">
        <f aca="false">IF(Operations!AF413=0,0,Operations!AF410/Operations!AF413)</f>
        <v>0</v>
      </c>
      <c r="AG427" s="14" t="n">
        <f aca="false">IF(Operations!AG413=0,0,Operations!AG410/Operations!AG413)</f>
        <v>0</v>
      </c>
      <c r="AH427" s="14" t="n">
        <f aca="false">IF(Operations!AH413=0,0,Operations!AH410/Operations!AH413)</f>
        <v>0</v>
      </c>
      <c r="AI427" s="14" t="n">
        <f aca="false">IF(Operations!AI413=0,0,Operations!AI410/Operations!AI413)</f>
        <v>0</v>
      </c>
      <c r="AJ427" s="14" t="n">
        <f aca="false">IF(Operations!AJ413=0,0,Operations!AJ410/Operations!AJ413)</f>
        <v>0</v>
      </c>
      <c r="AK427" s="14" t="n">
        <f aca="false">IF(Operations!AK413=0,0,Operations!AK410/Operations!AK413)</f>
        <v>0</v>
      </c>
      <c r="AL427" s="14" t="n">
        <f aca="false">IF(Operations!AL413=0,0,Operations!AL410/Operations!AL413)</f>
        <v>0</v>
      </c>
      <c r="AM427" s="14" t="n">
        <f aca="false">IF(Operations!AM413=0,0,Operations!AM410/Operations!AM413)</f>
        <v>0</v>
      </c>
      <c r="AN427" s="14" t="n">
        <f aca="false">IF(Operations!AN413=0,0,Operations!AN410/Operations!AN413)</f>
        <v>0</v>
      </c>
      <c r="AO427" s="14" t="n">
        <f aca="false">IF(Operations!AO413=0,0,Operations!AO410/Operations!AO413)</f>
        <v>0</v>
      </c>
      <c r="AP427" s="14" t="n">
        <f aca="false">IF(Operations!AP413=0,0,Operations!AP410/Operations!AP413)</f>
        <v>0</v>
      </c>
      <c r="AQ427" s="14" t="n">
        <f aca="false">IF(Operations!AQ413=0,0,Operations!AQ410/Operations!AQ413)</f>
        <v>0</v>
      </c>
      <c r="AR427" s="14" t="n">
        <f aca="false">IF(Operations!AR413=0,0,Operations!AR410/Operations!AR413)</f>
        <v>0</v>
      </c>
      <c r="AS427" s="14" t="n">
        <f aca="false">IF(Operations!AS413=0,0,Operations!AS410/Operations!AS413)</f>
        <v>0</v>
      </c>
      <c r="AT427" s="14" t="n">
        <f aca="false">IF(Operations!AT413=0,0,Operations!AT410/Operations!AT413)</f>
        <v>0</v>
      </c>
      <c r="AU427" s="14" t="n">
        <f aca="false">IF(Operations!AU413=0,0,Operations!AU410/Operations!AU413)</f>
        <v>0</v>
      </c>
    </row>
    <row r="428" customFormat="false" ht="15" hidden="false" customHeight="false" outlineLevel="0" collapsed="false">
      <c r="D428" s="0" t="s">
        <v>820</v>
      </c>
      <c r="E428" s="0" t="s">
        <v>458</v>
      </c>
      <c r="J428" s="14" t="n">
        <f aca="false">IF(Operations!J413=0,0,Operations!J411/Operations!J413)</f>
        <v>0.0812132684116145</v>
      </c>
      <c r="K428" s="14" t="n">
        <f aca="false">IF(Operations!K413=0,0,Operations!K411/Operations!K413)</f>
        <v>0.301578054454595</v>
      </c>
      <c r="L428" s="14" t="n">
        <f aca="false">IF(Operations!L413=0,0,Operations!L411/Operations!L413)</f>
        <v>0.317411121896265</v>
      </c>
      <c r="M428" s="14" t="n">
        <f aca="false">IF(Operations!M413=0,0,Operations!M411/Operations!M413)</f>
        <v>0.314938357296417</v>
      </c>
      <c r="N428" s="14" t="n">
        <f aca="false">IF(Operations!N413=0,0,Operations!N411/Operations!N413)</f>
        <v>0.314649127984963</v>
      </c>
      <c r="O428" s="14" t="n">
        <f aca="false">IF(Operations!O413=0,0,Operations!O411/Operations!O413)</f>
        <v>0.221097384734836</v>
      </c>
      <c r="P428" s="14" t="n">
        <f aca="false">IF(Operations!P413=0,0,Operations!P411/Operations!P413)</f>
        <v>0</v>
      </c>
      <c r="Q428" s="14" t="n">
        <f aca="false">IF(Operations!Q413=0,0,Operations!Q411/Operations!Q413)</f>
        <v>0</v>
      </c>
      <c r="R428" s="14" t="n">
        <f aca="false">IF(Operations!R413=0,0,Operations!R411/Operations!R413)</f>
        <v>0</v>
      </c>
      <c r="S428" s="14" t="n">
        <f aca="false">IF(Operations!S413=0,0,Operations!S411/Operations!S413)</f>
        <v>0</v>
      </c>
      <c r="T428" s="14" t="n">
        <f aca="false">IF(Operations!T413=0,0,Operations!T411/Operations!T413)</f>
        <v>0</v>
      </c>
      <c r="U428" s="14" t="n">
        <f aca="false">IF(Operations!U413=0,0,Operations!U411/Operations!U413)</f>
        <v>0</v>
      </c>
      <c r="V428" s="14" t="n">
        <f aca="false">IF(Operations!V413=0,0,Operations!V411/Operations!V413)</f>
        <v>0</v>
      </c>
      <c r="W428" s="14" t="n">
        <f aca="false">IF(Operations!W413=0,0,Operations!W411/Operations!W413)</f>
        <v>0</v>
      </c>
      <c r="X428" s="14" t="n">
        <f aca="false">IF(Operations!X413=0,0,Operations!X411/Operations!X413)</f>
        <v>0</v>
      </c>
      <c r="Y428" s="14" t="n">
        <f aca="false">IF(Operations!Y413=0,0,Operations!Y411/Operations!Y413)</f>
        <v>0</v>
      </c>
      <c r="Z428" s="14" t="n">
        <f aca="false">IF(Operations!Z413=0,0,Operations!Z411/Operations!Z413)</f>
        <v>0</v>
      </c>
      <c r="AA428" s="14" t="n">
        <f aca="false">IF(Operations!AA413=0,0,Operations!AA411/Operations!AA413)</f>
        <v>0</v>
      </c>
      <c r="AB428" s="14" t="n">
        <f aca="false">IF(Operations!AB413=0,0,Operations!AB411/Operations!AB413)</f>
        <v>0</v>
      </c>
      <c r="AC428" s="14" t="n">
        <f aca="false">IF(Operations!AC413=0,0,Operations!AC411/Operations!AC413)</f>
        <v>0</v>
      </c>
      <c r="AD428" s="14" t="n">
        <f aca="false">IF(Operations!AD413=0,0,Operations!AD411/Operations!AD413)</f>
        <v>0</v>
      </c>
      <c r="AE428" s="14" t="n">
        <f aca="false">IF(Operations!AE413=0,0,Operations!AE411/Operations!AE413)</f>
        <v>0</v>
      </c>
      <c r="AF428" s="14" t="n">
        <f aca="false">IF(Operations!AF413=0,0,Operations!AF411/Operations!AF413)</f>
        <v>0</v>
      </c>
      <c r="AG428" s="14" t="n">
        <f aca="false">IF(Operations!AG413=0,0,Operations!AG411/Operations!AG413)</f>
        <v>0</v>
      </c>
      <c r="AH428" s="14" t="n">
        <f aca="false">IF(Operations!AH413=0,0,Operations!AH411/Operations!AH413)</f>
        <v>0</v>
      </c>
      <c r="AI428" s="14" t="n">
        <f aca="false">IF(Operations!AI413=0,0,Operations!AI411/Operations!AI413)</f>
        <v>0</v>
      </c>
      <c r="AJ428" s="14" t="n">
        <f aca="false">IF(Operations!AJ413=0,0,Operations!AJ411/Operations!AJ413)</f>
        <v>0</v>
      </c>
      <c r="AK428" s="14" t="n">
        <f aca="false">IF(Operations!AK413=0,0,Operations!AK411/Operations!AK413)</f>
        <v>0</v>
      </c>
      <c r="AL428" s="14" t="n">
        <f aca="false">IF(Operations!AL413=0,0,Operations!AL411/Operations!AL413)</f>
        <v>0</v>
      </c>
      <c r="AM428" s="14" t="n">
        <f aca="false">IF(Operations!AM413=0,0,Operations!AM411/Operations!AM413)</f>
        <v>0</v>
      </c>
      <c r="AN428" s="14" t="n">
        <f aca="false">IF(Operations!AN413=0,0,Operations!AN411/Operations!AN413)</f>
        <v>0</v>
      </c>
      <c r="AO428" s="14" t="n">
        <f aca="false">IF(Operations!AO413=0,0,Operations!AO411/Operations!AO413)</f>
        <v>0</v>
      </c>
      <c r="AP428" s="14" t="n">
        <f aca="false">IF(Operations!AP413=0,0,Operations!AP411/Operations!AP413)</f>
        <v>0</v>
      </c>
      <c r="AQ428" s="14" t="n">
        <f aca="false">IF(Operations!AQ413=0,0,Operations!AQ411/Operations!AQ413)</f>
        <v>0</v>
      </c>
      <c r="AR428" s="14" t="n">
        <f aca="false">IF(Operations!AR413=0,0,Operations!AR411/Operations!AR413)</f>
        <v>0</v>
      </c>
      <c r="AS428" s="14" t="n">
        <f aca="false">IF(Operations!AS413=0,0,Operations!AS411/Operations!AS413)</f>
        <v>0</v>
      </c>
      <c r="AT428" s="14" t="n">
        <f aca="false">IF(Operations!AT413=0,0,Operations!AT411/Operations!AT413)</f>
        <v>0</v>
      </c>
      <c r="AU428" s="14" t="n">
        <f aca="false">IF(Operations!AU413=0,0,Operations!AU411/Operations!AU413)</f>
        <v>0</v>
      </c>
    </row>
    <row r="429" customFormat="false" ht="15" hidden="false" customHeight="false" outlineLevel="0" collapsed="false">
      <c r="D429" s="0" t="s">
        <v>821</v>
      </c>
      <c r="E429" s="0" t="s">
        <v>458</v>
      </c>
      <c r="J429" s="14" t="n">
        <f aca="false">1-Operations!J427-Operations!J428</f>
        <v>0.37558630441051</v>
      </c>
      <c r="K429" s="14" t="n">
        <f aca="false">1-Operations!K427-Operations!K428</f>
        <v>0.0845751034353564</v>
      </c>
      <c r="L429" s="14" t="n">
        <f aca="false">1-Operations!L427-Operations!L428</f>
        <v>0.0395963885087</v>
      </c>
      <c r="M429" s="14" t="n">
        <f aca="false">1-Operations!M427-Operations!M428</f>
        <v>0.0476975585477598</v>
      </c>
      <c r="N429" s="14" t="n">
        <f aca="false">1-Operations!N427-Operations!N428</f>
        <v>0.0497547934327641</v>
      </c>
      <c r="O429" s="14" t="n">
        <f aca="false">1-Operations!O427-Operations!O428</f>
        <v>0.125543773165664</v>
      </c>
      <c r="P429" s="14" t="n">
        <f aca="false">1-Operations!P427-Operations!P428</f>
        <v>0.3397261029994</v>
      </c>
      <c r="Q429" s="14" t="n">
        <f aca="false">1-Operations!Q427-Operations!Q428</f>
        <v>0.529488290433676</v>
      </c>
      <c r="R429" s="14" t="n">
        <f aca="false">1-Operations!R427-Operations!R428</f>
        <v>0.874000401829419</v>
      </c>
      <c r="S429" s="14" t="n">
        <f aca="false">1-Operations!S427-Operations!S428</f>
        <v>0.87548316597755</v>
      </c>
      <c r="T429" s="14" t="n">
        <f aca="false">1-Operations!T427-Operations!T428</f>
        <v>0.876942255071261</v>
      </c>
      <c r="U429" s="14" t="n">
        <f aca="false">1-Operations!U427-Operations!U428</f>
        <v>0.940501986747031</v>
      </c>
      <c r="V429" s="14" t="n">
        <f aca="false">1-Operations!V427-Operations!V428</f>
        <v>1</v>
      </c>
      <c r="W429" s="14" t="n">
        <f aca="false">1-Operations!W427-Operations!W428</f>
        <v>1</v>
      </c>
      <c r="X429" s="14" t="n">
        <f aca="false">1-Operations!X427-Operations!X428</f>
        <v>1</v>
      </c>
      <c r="Y429" s="14" t="n">
        <f aca="false">1-Operations!Y427-Operations!Y428</f>
        <v>1</v>
      </c>
      <c r="Z429" s="14" t="n">
        <f aca="false">1-Operations!Z427-Operations!Z428</f>
        <v>1</v>
      </c>
      <c r="AA429" s="14" t="n">
        <f aca="false">1-Operations!AA427-Operations!AA428</f>
        <v>1</v>
      </c>
      <c r="AB429" s="14" t="n">
        <f aca="false">1-Operations!AB427-Operations!AB428</f>
        <v>1</v>
      </c>
      <c r="AC429" s="14" t="n">
        <f aca="false">1-Operations!AC427-Operations!AC428</f>
        <v>1</v>
      </c>
      <c r="AD429" s="14" t="n">
        <f aca="false">1-Operations!AD427-Operations!AD428</f>
        <v>1</v>
      </c>
      <c r="AE429" s="14" t="n">
        <f aca="false">1-Operations!AE427-Operations!AE428</f>
        <v>1</v>
      </c>
      <c r="AF429" s="14" t="n">
        <f aca="false">1-Operations!AF427-Operations!AF428</f>
        <v>1</v>
      </c>
      <c r="AG429" s="14" t="n">
        <f aca="false">1-Operations!AG427-Operations!AG428</f>
        <v>1</v>
      </c>
      <c r="AH429" s="14" t="n">
        <f aca="false">1-Operations!AH427-Operations!AH428</f>
        <v>1</v>
      </c>
      <c r="AI429" s="14" t="n">
        <f aca="false">1-Operations!AI427-Operations!AI428</f>
        <v>1</v>
      </c>
      <c r="AJ429" s="14" t="n">
        <f aca="false">1-Operations!AJ427-Operations!AJ428</f>
        <v>1</v>
      </c>
      <c r="AK429" s="14" t="n">
        <f aca="false">1-Operations!AK427-Operations!AK428</f>
        <v>1</v>
      </c>
      <c r="AL429" s="14" t="n">
        <f aca="false">1-Operations!AL427-Operations!AL428</f>
        <v>1</v>
      </c>
      <c r="AM429" s="14" t="n">
        <f aca="false">1-Operations!AM427-Operations!AM428</f>
        <v>1</v>
      </c>
      <c r="AN429" s="14" t="n">
        <f aca="false">1-Operations!AN427-Operations!AN428</f>
        <v>1</v>
      </c>
      <c r="AO429" s="14" t="n">
        <f aca="false">1-Operations!AO427-Operations!AO428</f>
        <v>1</v>
      </c>
      <c r="AP429" s="14" t="n">
        <f aca="false">1-Operations!AP427-Operations!AP428</f>
        <v>1</v>
      </c>
      <c r="AQ429" s="14" t="n">
        <f aca="false">1-Operations!AQ427-Operations!AQ428</f>
        <v>1</v>
      </c>
      <c r="AR429" s="14" t="n">
        <f aca="false">1-Operations!AR427-Operations!AR428</f>
        <v>1</v>
      </c>
      <c r="AS429" s="14" t="n">
        <f aca="false">1-Operations!AS427-Operations!AS428</f>
        <v>1</v>
      </c>
      <c r="AT429" s="14" t="n">
        <f aca="false">1-Operations!AT427-Operations!AT428</f>
        <v>1</v>
      </c>
      <c r="AU429" s="14" t="n">
        <f aca="false">1-Operations!AU427-Operations!AU428</f>
        <v>1</v>
      </c>
    </row>
    <row r="430" customFormat="false" ht="15" hidden="false" customHeight="false" outlineLevel="0" collapsed="false">
      <c r="D430" s="0" t="s">
        <v>822</v>
      </c>
      <c r="E430" s="0" t="s">
        <v>47</v>
      </c>
      <c r="J430" s="20" t="n">
        <f aca="false">Operations!J424*Operations!J427</f>
        <v>24.5355224088724</v>
      </c>
      <c r="K430" s="20" t="n">
        <f aca="false">Operations!K424*Operations!K427</f>
        <v>28.2989131935738</v>
      </c>
      <c r="L430" s="20" t="n">
        <f aca="false">Operations!L424*Operations!L427</f>
        <v>26.7223184599133</v>
      </c>
      <c r="M430" s="20" t="n">
        <f aca="false">Operations!M424*Operations!M427</f>
        <v>26.2501654882608</v>
      </c>
      <c r="N430" s="20" t="n">
        <f aca="false">Operations!N424*Operations!N427</f>
        <v>25.6913372106708</v>
      </c>
      <c r="O430" s="20" t="n">
        <f aca="false">Operations!O424*Operations!O427</f>
        <v>25.0947449424018</v>
      </c>
      <c r="P430" s="20" t="n">
        <f aca="false">Operations!P424*Operations!P427</f>
        <v>24.8438915077526</v>
      </c>
      <c r="Q430" s="20" t="n">
        <f aca="false">Operations!Q424*Operations!Q427</f>
        <v>19.5725110735474</v>
      </c>
      <c r="R430" s="20" t="n">
        <f aca="false">Operations!R424*Operations!R427</f>
        <v>5.57486751285714</v>
      </c>
      <c r="S430" s="20" t="n">
        <f aca="false">Operations!S424*Operations!S427</f>
        <v>5.45852939923404</v>
      </c>
      <c r="T430" s="20" t="n">
        <f aca="false">Operations!T424*Operations!T427</f>
        <v>5.34128895639396</v>
      </c>
      <c r="U430" s="20" t="n">
        <f aca="false">Operations!U424*Operations!U427</f>
        <v>2.62824478199009</v>
      </c>
      <c r="V430" s="20" t="n">
        <f aca="false">Operations!V424*Operations!V427</f>
        <v>0</v>
      </c>
      <c r="W430" s="20" t="n">
        <f aca="false">Operations!W424*Operations!W427</f>
        <v>0</v>
      </c>
      <c r="X430" s="20" t="n">
        <f aca="false">Operations!X424*Operations!X427</f>
        <v>0</v>
      </c>
      <c r="Y430" s="20" t="n">
        <f aca="false">Operations!Y424*Operations!Y427</f>
        <v>0</v>
      </c>
      <c r="Z430" s="20" t="n">
        <f aca="false">Operations!Z424*Operations!Z427</f>
        <v>0</v>
      </c>
      <c r="AA430" s="20" t="n">
        <f aca="false">Operations!AA424*Operations!AA427</f>
        <v>0</v>
      </c>
      <c r="AB430" s="20" t="n">
        <f aca="false">Operations!AB424*Operations!AB427</f>
        <v>0</v>
      </c>
      <c r="AC430" s="20" t="n">
        <f aca="false">Operations!AC424*Operations!AC427</f>
        <v>0</v>
      </c>
      <c r="AD430" s="20" t="n">
        <f aca="false">Operations!AD424*Operations!AD427</f>
        <v>0</v>
      </c>
      <c r="AE430" s="20" t="n">
        <f aca="false">Operations!AE424*Operations!AE427</f>
        <v>0</v>
      </c>
      <c r="AF430" s="20" t="n">
        <f aca="false">Operations!AF424*Operations!AF427</f>
        <v>0</v>
      </c>
      <c r="AG430" s="20" t="n">
        <f aca="false">Operations!AG424*Operations!AG427</f>
        <v>0</v>
      </c>
      <c r="AH430" s="20" t="n">
        <f aca="false">Operations!AH424*Operations!AH427</f>
        <v>0</v>
      </c>
      <c r="AI430" s="20" t="n">
        <f aca="false">Operations!AI424*Operations!AI427</f>
        <v>-0</v>
      </c>
      <c r="AJ430" s="20" t="n">
        <f aca="false">Operations!AJ424*Operations!AJ427</f>
        <v>0</v>
      </c>
      <c r="AK430" s="20" t="n">
        <f aca="false">Operations!AK424*Operations!AK427</f>
        <v>-0</v>
      </c>
      <c r="AL430" s="20" t="n">
        <f aca="false">Operations!AL424*Operations!AL427</f>
        <v>0</v>
      </c>
      <c r="AM430" s="20" t="n">
        <f aca="false">Operations!AM424*Operations!AM427</f>
        <v>0</v>
      </c>
      <c r="AN430" s="20" t="n">
        <f aca="false">Operations!AN424*Operations!AN427</f>
        <v>0</v>
      </c>
      <c r="AO430" s="20" t="n">
        <f aca="false">Operations!AO424*Operations!AO427</f>
        <v>0</v>
      </c>
      <c r="AP430" s="20" t="n">
        <f aca="false">Operations!AP424*Operations!AP427</f>
        <v>0</v>
      </c>
      <c r="AQ430" s="20" t="n">
        <f aca="false">Operations!AQ424*Operations!AQ427</f>
        <v>-0</v>
      </c>
      <c r="AR430" s="20" t="n">
        <f aca="false">Operations!AR424*Operations!AR427</f>
        <v>-0</v>
      </c>
      <c r="AS430" s="20" t="n">
        <f aca="false">Operations!AS424*Operations!AS427</f>
        <v>-0</v>
      </c>
      <c r="AT430" s="20" t="n">
        <f aca="false">Operations!AT424*Operations!AT427</f>
        <v>-0</v>
      </c>
      <c r="AU430" s="20" t="n">
        <f aca="false">Operations!AU424*Operations!AU427</f>
        <v>-0</v>
      </c>
    </row>
    <row r="431" customFormat="false" ht="15" hidden="false" customHeight="false" outlineLevel="0" collapsed="false">
      <c r="D431" s="0" t="s">
        <v>823</v>
      </c>
      <c r="E431" s="0" t="s">
        <v>47</v>
      </c>
      <c r="J431" s="20" t="n">
        <f aca="false">Operations!J424*Operations!J428</f>
        <v>3.66827761414561</v>
      </c>
      <c r="K431" s="20" t="n">
        <f aca="false">Operations!K424*Operations!K428</f>
        <v>13.9030302001089</v>
      </c>
      <c r="L431" s="20" t="n">
        <f aca="false">Operations!L424*Operations!L428</f>
        <v>13.1913843774014</v>
      </c>
      <c r="M431" s="20" t="n">
        <f aca="false">Operations!M424*Operations!M428</f>
        <v>12.9708971734447</v>
      </c>
      <c r="N431" s="20" t="n">
        <f aca="false">Operations!N424*Operations!N428</f>
        <v>12.7183869166349</v>
      </c>
      <c r="O431" s="20" t="n">
        <f aca="false">Operations!O424*Operations!O428</f>
        <v>8.49209059377486</v>
      </c>
      <c r="P431" s="20" t="n">
        <f aca="false">Operations!P424*Operations!P428</f>
        <v>0</v>
      </c>
      <c r="Q431" s="20" t="n">
        <f aca="false">Operations!Q424*Operations!Q428</f>
        <v>0</v>
      </c>
      <c r="R431" s="20" t="n">
        <f aca="false">Operations!R424*Operations!R428</f>
        <v>0</v>
      </c>
      <c r="S431" s="20" t="n">
        <f aca="false">Operations!S424*Operations!S428</f>
        <v>0</v>
      </c>
      <c r="T431" s="20" t="n">
        <f aca="false">Operations!T424*Operations!T428</f>
        <v>0</v>
      </c>
      <c r="U431" s="20" t="n">
        <f aca="false">Operations!U424*Operations!U428</f>
        <v>0</v>
      </c>
      <c r="V431" s="20" t="n">
        <f aca="false">Operations!V424*Operations!V428</f>
        <v>0</v>
      </c>
      <c r="W431" s="20" t="n">
        <f aca="false">Operations!W424*Operations!W428</f>
        <v>0</v>
      </c>
      <c r="X431" s="20" t="n">
        <f aca="false">Operations!X424*Operations!X428</f>
        <v>0</v>
      </c>
      <c r="Y431" s="20" t="n">
        <f aca="false">Operations!Y424*Operations!Y428</f>
        <v>0</v>
      </c>
      <c r="Z431" s="20" t="n">
        <f aca="false">Operations!Z424*Operations!Z428</f>
        <v>0</v>
      </c>
      <c r="AA431" s="20" t="n">
        <f aca="false">Operations!AA424*Operations!AA428</f>
        <v>0</v>
      </c>
      <c r="AB431" s="20" t="n">
        <f aca="false">Operations!AB424*Operations!AB428</f>
        <v>0</v>
      </c>
      <c r="AC431" s="20" t="n">
        <f aca="false">Operations!AC424*Operations!AC428</f>
        <v>0</v>
      </c>
      <c r="AD431" s="20" t="n">
        <f aca="false">Operations!AD424*Operations!AD428</f>
        <v>0</v>
      </c>
      <c r="AE431" s="20" t="n">
        <f aca="false">Operations!AE424*Operations!AE428</f>
        <v>0</v>
      </c>
      <c r="AF431" s="20" t="n">
        <f aca="false">Operations!AF424*Operations!AF428</f>
        <v>0</v>
      </c>
      <c r="AG431" s="20" t="n">
        <f aca="false">Operations!AG424*Operations!AG428</f>
        <v>0</v>
      </c>
      <c r="AH431" s="20" t="n">
        <f aca="false">Operations!AH424*Operations!AH428</f>
        <v>0</v>
      </c>
      <c r="AI431" s="20" t="n">
        <f aca="false">Operations!AI424*Operations!AI428</f>
        <v>-0</v>
      </c>
      <c r="AJ431" s="20" t="n">
        <f aca="false">Operations!AJ424*Operations!AJ428</f>
        <v>0</v>
      </c>
      <c r="AK431" s="20" t="n">
        <f aca="false">Operations!AK424*Operations!AK428</f>
        <v>-0</v>
      </c>
      <c r="AL431" s="20" t="n">
        <f aca="false">Operations!AL424*Operations!AL428</f>
        <v>0</v>
      </c>
      <c r="AM431" s="20" t="n">
        <f aca="false">Operations!AM424*Operations!AM428</f>
        <v>0</v>
      </c>
      <c r="AN431" s="20" t="n">
        <f aca="false">Operations!AN424*Operations!AN428</f>
        <v>0</v>
      </c>
      <c r="AO431" s="20" t="n">
        <f aca="false">Operations!AO424*Operations!AO428</f>
        <v>0</v>
      </c>
      <c r="AP431" s="20" t="n">
        <f aca="false">Operations!AP424*Operations!AP428</f>
        <v>0</v>
      </c>
      <c r="AQ431" s="20" t="n">
        <f aca="false">Operations!AQ424*Operations!AQ428</f>
        <v>-0</v>
      </c>
      <c r="AR431" s="20" t="n">
        <f aca="false">Operations!AR424*Operations!AR428</f>
        <v>-0</v>
      </c>
      <c r="AS431" s="20" t="n">
        <f aca="false">Operations!AS424*Operations!AS428</f>
        <v>-0</v>
      </c>
      <c r="AT431" s="20" t="n">
        <f aca="false">Operations!AT424*Operations!AT428</f>
        <v>-0</v>
      </c>
      <c r="AU431" s="20" t="n">
        <f aca="false">Operations!AU424*Operations!AU428</f>
        <v>-0</v>
      </c>
    </row>
    <row r="432" customFormat="false" ht="15" hidden="false" customHeight="false" outlineLevel="0" collapsed="false">
      <c r="D432" s="0" t="s">
        <v>824</v>
      </c>
      <c r="E432" s="0" t="s">
        <v>47</v>
      </c>
      <c r="J432" s="20" t="n">
        <f aca="false">Operations!J424*Operations!J429</f>
        <v>16.9646519539868</v>
      </c>
      <c r="K432" s="20" t="n">
        <f aca="false">Operations!K424*Operations!K429</f>
        <v>3.89899132204967</v>
      </c>
      <c r="L432" s="20" t="n">
        <f aca="false">Operations!L424*Operations!L429</f>
        <v>1.64559823126137</v>
      </c>
      <c r="M432" s="20" t="n">
        <f aca="false">Operations!M424*Operations!M429</f>
        <v>1.96444832143788</v>
      </c>
      <c r="N432" s="20" t="n">
        <f aca="false">Operations!N424*Operations!N429</f>
        <v>2.01113131279797</v>
      </c>
      <c r="O432" s="20" t="n">
        <f aca="false">Operations!O424*Operations!O429</f>
        <v>4.82198871997405</v>
      </c>
      <c r="P432" s="20" t="n">
        <f aca="false">Operations!P424*Operations!P429</f>
        <v>12.7827534658106</v>
      </c>
      <c r="Q432" s="20" t="n">
        <f aca="false">Operations!Q424*Operations!Q429</f>
        <v>22.0258395638631</v>
      </c>
      <c r="R432" s="20" t="n">
        <f aca="false">Operations!R424*Operations!R429</f>
        <v>38.6702538510201</v>
      </c>
      <c r="S432" s="20" t="n">
        <f aca="false">Operations!S424*Operations!S429</f>
        <v>38.3791528072529</v>
      </c>
      <c r="T432" s="20" t="n">
        <f aca="false">Operations!T424*Operations!T429</f>
        <v>38.0634472468173</v>
      </c>
      <c r="U432" s="20" t="n">
        <f aca="false">Operations!U424*Operations!U429</f>
        <v>41.5454114175123</v>
      </c>
      <c r="V432" s="20" t="n">
        <f aca="false">Operations!V424*Operations!V429</f>
        <v>44.7254630597531</v>
      </c>
      <c r="W432" s="20" t="n">
        <f aca="false">Operations!W424*Operations!W429</f>
        <v>44.0284621369685</v>
      </c>
      <c r="X432" s="20" t="n">
        <f aca="false">Operations!X424*Operations!X429</f>
        <v>43.9654215564518</v>
      </c>
      <c r="Y432" s="20" t="n">
        <f aca="false">Operations!Y424*Operations!Y429</f>
        <v>43.8951304671755</v>
      </c>
      <c r="Z432" s="20" t="n">
        <f aca="false">Operations!Z424*Operations!Z429</f>
        <v>43.8005118371065</v>
      </c>
      <c r="AA432" s="20" t="n">
        <f aca="false">Operations!AA424*Operations!AA429</f>
        <v>43.8315230556726</v>
      </c>
      <c r="AB432" s="20" t="n">
        <f aca="false">Operations!AB424*Operations!AB429</f>
        <v>43.856187299298</v>
      </c>
      <c r="AC432" s="20" t="n">
        <f aca="false">Operations!AC424*Operations!AC429</f>
        <v>43.8578605911225</v>
      </c>
      <c r="AD432" s="20" t="n">
        <f aca="false">Operations!AD424*Operations!AD429</f>
        <v>43.8503361095909</v>
      </c>
      <c r="AE432" s="20" t="n">
        <f aca="false">Operations!AE424*Operations!AE429</f>
        <v>44.0501576158874</v>
      </c>
      <c r="AF432" s="20" t="n">
        <f aca="false">Operations!AF424*Operations!AF429</f>
        <v>22.727973469182</v>
      </c>
      <c r="AG432" s="20" t="n">
        <f aca="false">Operations!AG424*Operations!AG429</f>
        <v>36.4767799198232</v>
      </c>
      <c r="AH432" s="20" t="n">
        <f aca="false">Operations!AH424*Operations!AH429</f>
        <v>36.712641743449</v>
      </c>
      <c r="AI432" s="20" t="n">
        <f aca="false">Operations!AI424*Operations!AI429</f>
        <v>-2.90336705051544</v>
      </c>
      <c r="AJ432" s="20" t="n">
        <f aca="false">Operations!AJ424*Operations!AJ429</f>
        <v>14.5044943004133</v>
      </c>
      <c r="AK432" s="20" t="n">
        <f aca="false">Operations!AK424*Operations!AK429</f>
        <v>-3.66767522084446</v>
      </c>
      <c r="AL432" s="20" t="n">
        <f aca="false">Operations!AL424*Operations!AL429</f>
        <v>7.02055305427179</v>
      </c>
      <c r="AM432" s="20" t="n">
        <f aca="false">Operations!AM424*Operations!AM429</f>
        <v>6.96749040795783</v>
      </c>
      <c r="AN432" s="20" t="n">
        <f aca="false">Operations!AN424*Operations!AN429</f>
        <v>6.90932766536362</v>
      </c>
      <c r="AO432" s="20" t="n">
        <f aca="false">Operations!AO424*Operations!AO429</f>
        <v>6.84570410241628</v>
      </c>
      <c r="AP432" s="20" t="n">
        <f aca="false">Operations!AP424*Operations!AP429</f>
        <v>6.77625337550455</v>
      </c>
      <c r="AQ432" s="20" t="n">
        <f aca="false">Operations!AQ424*Operations!AQ429</f>
        <v>-2.57043616858017</v>
      </c>
      <c r="AR432" s="20" t="n">
        <f aca="false">Operations!AR424*Operations!AR429</f>
        <v>-18.0789456670841</v>
      </c>
      <c r="AS432" s="20" t="n">
        <f aca="false">Operations!AS424*Operations!AS429</f>
        <v>-7.59425659541196</v>
      </c>
      <c r="AT432" s="20" t="n">
        <f aca="false">Operations!AT424*Operations!AT429</f>
        <v>-7.78411301029726</v>
      </c>
      <c r="AU432" s="20" t="n">
        <f aca="false">Operations!AU424*Operations!AU429</f>
        <v>-7.97871583555469</v>
      </c>
    </row>
    <row r="433" customFormat="false" ht="15" hidden="false" customHeight="false" outlineLevel="0" collapsed="false">
      <c r="D433" s="0" t="s">
        <v>825</v>
      </c>
      <c r="E433" s="0" t="s">
        <v>458</v>
      </c>
      <c r="J433" s="14" t="n">
        <f aca="false">IF(Operations!J418=0,0,Operations!J415/Operations!J418)</f>
        <v>0.543200427177876</v>
      </c>
      <c r="K433" s="14" t="n">
        <f aca="false">IF(Operations!K418=0,0,Operations!K415/Operations!K418)</f>
        <v>0.630646902666902</v>
      </c>
      <c r="L433" s="14" t="n">
        <f aca="false">IF(Operations!L418=0,0,Operations!L415/Operations!L418)</f>
        <v>0.710872219138611</v>
      </c>
      <c r="M433" s="14" t="n">
        <f aca="false">IF(Operations!M418=0,0,Operations!M415/Operations!M418)</f>
        <v>0.648054432233164</v>
      </c>
      <c r="N433" s="14" t="n">
        <f aca="false">IF(Operations!N418=0,0,Operations!N415/Operations!N418)</f>
        <v>0.645071823330352</v>
      </c>
      <c r="O433" s="14" t="n">
        <f aca="false">IF(Operations!O418=0,0,Operations!O415/Operations!O418)</f>
        <v>0.657133888945657</v>
      </c>
      <c r="P433" s="14" t="n">
        <f aca="false">IF(Operations!P418=0,0,Operations!P415/Operations!P418)</f>
        <v>0.661953969246613</v>
      </c>
      <c r="Q433" s="14" t="n">
        <f aca="false">IF(Operations!Q418=0,0,Operations!Q415/Operations!Q418)</f>
        <v>0.525379208594752</v>
      </c>
      <c r="R433" s="14" t="n">
        <f aca="false">IF(Operations!R418=0,0,Operations!R415/Operations!R418)</f>
        <v>0.23087639853114</v>
      </c>
      <c r="S433" s="14" t="n">
        <f aca="false">IF(Operations!S418=0,0,Operations!S415/Operations!S418)</f>
        <v>0.184005946875735</v>
      </c>
      <c r="T433" s="14" t="n">
        <f aca="false">IF(Operations!T418=0,0,Operations!T415/Operations!T418)</f>
        <v>0.117517436873877</v>
      </c>
      <c r="U433" s="14" t="n">
        <f aca="false">IF(Operations!U418=0,0,Operations!U415/Operations!U418)</f>
        <v>0.0463288806189294</v>
      </c>
      <c r="V433" s="14" t="n">
        <f aca="false">IF(Operations!V418=0,0,Operations!V415/Operations!V418)</f>
        <v>0</v>
      </c>
      <c r="W433" s="14" t="n">
        <f aca="false">IF(Operations!W418=0,0,Operations!W415/Operations!W418)</f>
        <v>0</v>
      </c>
      <c r="X433" s="14" t="n">
        <f aca="false">IF(Operations!X418=0,0,Operations!X415/Operations!X418)</f>
        <v>0</v>
      </c>
      <c r="Y433" s="14" t="n">
        <f aca="false">IF(Operations!Y418=0,0,Operations!Y415/Operations!Y418)</f>
        <v>0</v>
      </c>
      <c r="Z433" s="14" t="n">
        <f aca="false">IF(Operations!Z418=0,0,Operations!Z415/Operations!Z418)</f>
        <v>0</v>
      </c>
      <c r="AA433" s="14" t="n">
        <f aca="false">IF(Operations!AA418=0,0,Operations!AA415/Operations!AA418)</f>
        <v>0</v>
      </c>
      <c r="AB433" s="14" t="n">
        <f aca="false">IF(Operations!AB418=0,0,Operations!AB415/Operations!AB418)</f>
        <v>0</v>
      </c>
      <c r="AC433" s="14" t="n">
        <f aca="false">IF(Operations!AC418=0,0,Operations!AC415/Operations!AC418)</f>
        <v>0</v>
      </c>
      <c r="AD433" s="14" t="n">
        <f aca="false">IF(Operations!AD418=0,0,Operations!AD415/Operations!AD418)</f>
        <v>0</v>
      </c>
      <c r="AE433" s="14" t="n">
        <f aca="false">IF(Operations!AE418=0,0,Operations!AE415/Operations!AE418)</f>
        <v>0</v>
      </c>
      <c r="AF433" s="14" t="n">
        <f aca="false">IF(Operations!AF418=0,0,Operations!AF415/Operations!AF418)</f>
        <v>0</v>
      </c>
      <c r="AG433" s="14" t="n">
        <f aca="false">IF(Operations!AG418=0,0,Operations!AG415/Operations!AG418)</f>
        <v>0</v>
      </c>
      <c r="AH433" s="14" t="n">
        <f aca="false">IF(Operations!AH418=0,0,Operations!AH415/Operations!AH418)</f>
        <v>0</v>
      </c>
      <c r="AI433" s="14" t="n">
        <f aca="false">IF(Operations!AI418=0,0,Operations!AI415/Operations!AI418)</f>
        <v>0</v>
      </c>
      <c r="AJ433" s="14" t="n">
        <f aca="false">IF(Operations!AJ418=0,0,Operations!AJ415/Operations!AJ418)</f>
        <v>0</v>
      </c>
      <c r="AK433" s="14" t="n">
        <f aca="false">IF(Operations!AK418=0,0,Operations!AK415/Operations!AK418)</f>
        <v>0</v>
      </c>
      <c r="AL433" s="14" t="n">
        <f aca="false">IF(Operations!AL418=0,0,Operations!AL415/Operations!AL418)</f>
        <v>0</v>
      </c>
      <c r="AM433" s="14" t="n">
        <f aca="false">IF(Operations!AM418=0,0,Operations!AM415/Operations!AM418)</f>
        <v>0</v>
      </c>
      <c r="AN433" s="14" t="n">
        <f aca="false">IF(Operations!AN418=0,0,Operations!AN415/Operations!AN418)</f>
        <v>0</v>
      </c>
      <c r="AO433" s="14" t="n">
        <f aca="false">IF(Operations!AO418=0,0,Operations!AO415/Operations!AO418)</f>
        <v>0</v>
      </c>
      <c r="AP433" s="14" t="n">
        <f aca="false">IF(Operations!AP418=0,0,Operations!AP415/Operations!AP418)</f>
        <v>0</v>
      </c>
      <c r="AQ433" s="14" t="n">
        <f aca="false">IF(Operations!AQ418=0,0,Operations!AQ415/Operations!AQ418)</f>
        <v>0</v>
      </c>
      <c r="AR433" s="14" t="n">
        <f aca="false">IF(Operations!AR418=0,0,Operations!AR415/Operations!AR418)</f>
        <v>0</v>
      </c>
      <c r="AS433" s="14" t="n">
        <f aca="false">IF(Operations!AS418=0,0,Operations!AS415/Operations!AS418)</f>
        <v>0</v>
      </c>
      <c r="AT433" s="14" t="n">
        <f aca="false">IF(Operations!AT418=0,0,Operations!AT415/Operations!AT418)</f>
        <v>0</v>
      </c>
      <c r="AU433" s="14" t="n">
        <f aca="false">IF(Operations!AU418=0,0,Operations!AU415/Operations!AU418)</f>
        <v>0</v>
      </c>
    </row>
    <row r="434" customFormat="false" ht="15" hidden="false" customHeight="false" outlineLevel="0" collapsed="false">
      <c r="D434" s="0" t="s">
        <v>826</v>
      </c>
      <c r="E434" s="0" t="s">
        <v>458</v>
      </c>
      <c r="J434" s="14" t="n">
        <f aca="false">IF(Operations!J418=0,0,Operations!J416/Operations!J418)</f>
        <v>0.0812132684116145</v>
      </c>
      <c r="K434" s="14" t="n">
        <f aca="false">IF(Operations!K418=0,0,Operations!K416/Operations!K418)</f>
        <v>0.288457536147455</v>
      </c>
      <c r="L434" s="14" t="n">
        <f aca="false">IF(Operations!L418=0,0,Operations!L416/Operations!L418)</f>
        <v>0.254874380963334</v>
      </c>
      <c r="M434" s="14" t="n">
        <f aca="false">IF(Operations!M418=0,0,Operations!M416/Operations!M418)</f>
        <v>0.286114708776575</v>
      </c>
      <c r="N434" s="14" t="n">
        <f aca="false">IF(Operations!N418=0,0,Operations!N416/Operations!N418)</f>
        <v>0.285168084582351</v>
      </c>
      <c r="O434" s="14" t="n">
        <f aca="false">IF(Operations!O418=0,0,Operations!O416/Operations!O418)</f>
        <v>0.218635436570657</v>
      </c>
      <c r="P434" s="14" t="n">
        <f aca="false">IF(Operations!P418=0,0,Operations!P416/Operations!P418)</f>
        <v>0.0623032464455916</v>
      </c>
      <c r="Q434" s="14" t="n">
        <f aca="false">IF(Operations!Q418=0,0,Operations!Q416/Operations!Q418)</f>
        <v>0.0595199333925753</v>
      </c>
      <c r="R434" s="14" t="n">
        <f aca="false">IF(Operations!R418=0,0,Operations!R416/Operations!R418)</f>
        <v>0.0574810710297173</v>
      </c>
      <c r="S434" s="14" t="n">
        <f aca="false">IF(Operations!S418=0,0,Operations!S416/Operations!S418)</f>
        <v>0.0584618919030374</v>
      </c>
      <c r="T434" s="14" t="n">
        <f aca="false">IF(Operations!T418=0,0,Operations!T416/Operations!T418)</f>
        <v>0.0584880225637984</v>
      </c>
      <c r="U434" s="14" t="n">
        <f aca="false">IF(Operations!U418=0,0,Operations!U416/Operations!U418)</f>
        <v>0.0575909025783831</v>
      </c>
      <c r="V434" s="14" t="n">
        <f aca="false">IF(Operations!V418=0,0,Operations!V416/Operations!V418)</f>
        <v>0.0566955193805837</v>
      </c>
      <c r="W434" s="14" t="n">
        <f aca="false">IF(Operations!W418=0,0,Operations!W416/Operations!W418)</f>
        <v>0</v>
      </c>
      <c r="X434" s="14" t="n">
        <f aca="false">IF(Operations!X418=0,0,Operations!X416/Operations!X418)</f>
        <v>0</v>
      </c>
      <c r="Y434" s="14" t="n">
        <f aca="false">IF(Operations!Y418=0,0,Operations!Y416/Operations!Y418)</f>
        <v>0</v>
      </c>
      <c r="Z434" s="14" t="n">
        <f aca="false">IF(Operations!Z418=0,0,Operations!Z416/Operations!Z418)</f>
        <v>0</v>
      </c>
      <c r="AA434" s="14" t="n">
        <f aca="false">IF(Operations!AA418=0,0,Operations!AA416/Operations!AA418)</f>
        <v>0</v>
      </c>
      <c r="AB434" s="14" t="n">
        <f aca="false">IF(Operations!AB418=0,0,Operations!AB416/Operations!AB418)</f>
        <v>0</v>
      </c>
      <c r="AC434" s="14" t="n">
        <f aca="false">IF(Operations!AC418=0,0,Operations!AC416/Operations!AC418)</f>
        <v>0</v>
      </c>
      <c r="AD434" s="14" t="n">
        <f aca="false">IF(Operations!AD418=0,0,Operations!AD416/Operations!AD418)</f>
        <v>0</v>
      </c>
      <c r="AE434" s="14" t="n">
        <f aca="false">IF(Operations!AE418=0,0,Operations!AE416/Operations!AE418)</f>
        <v>0</v>
      </c>
      <c r="AF434" s="14" t="n">
        <f aca="false">IF(Operations!AF418=0,0,Operations!AF416/Operations!AF418)</f>
        <v>0</v>
      </c>
      <c r="AG434" s="14" t="n">
        <f aca="false">IF(Operations!AG418=0,0,Operations!AG416/Operations!AG418)</f>
        <v>0</v>
      </c>
      <c r="AH434" s="14" t="n">
        <f aca="false">IF(Operations!AH418=0,0,Operations!AH416/Operations!AH418)</f>
        <v>0</v>
      </c>
      <c r="AI434" s="14" t="n">
        <f aca="false">IF(Operations!AI418=0,0,Operations!AI416/Operations!AI418)</f>
        <v>0</v>
      </c>
      <c r="AJ434" s="14" t="n">
        <f aca="false">IF(Operations!AJ418=0,0,Operations!AJ416/Operations!AJ418)</f>
        <v>0</v>
      </c>
      <c r="AK434" s="14" t="n">
        <f aca="false">IF(Operations!AK418=0,0,Operations!AK416/Operations!AK418)</f>
        <v>0</v>
      </c>
      <c r="AL434" s="14" t="n">
        <f aca="false">IF(Operations!AL418=0,0,Operations!AL416/Operations!AL418)</f>
        <v>0</v>
      </c>
      <c r="AM434" s="14" t="n">
        <f aca="false">IF(Operations!AM418=0,0,Operations!AM416/Operations!AM418)</f>
        <v>0</v>
      </c>
      <c r="AN434" s="14" t="n">
        <f aca="false">IF(Operations!AN418=0,0,Operations!AN416/Operations!AN418)</f>
        <v>0</v>
      </c>
      <c r="AO434" s="14" t="n">
        <f aca="false">IF(Operations!AO418=0,0,Operations!AO416/Operations!AO418)</f>
        <v>0</v>
      </c>
      <c r="AP434" s="14" t="n">
        <f aca="false">IF(Operations!AP418=0,0,Operations!AP416/Operations!AP418)</f>
        <v>0</v>
      </c>
      <c r="AQ434" s="14" t="n">
        <f aca="false">IF(Operations!AQ418=0,0,Operations!AQ416/Operations!AQ418)</f>
        <v>0</v>
      </c>
      <c r="AR434" s="14" t="n">
        <f aca="false">IF(Operations!AR418=0,0,Operations!AR416/Operations!AR418)</f>
        <v>0</v>
      </c>
      <c r="AS434" s="14" t="n">
        <f aca="false">IF(Operations!AS418=0,0,Operations!AS416/Operations!AS418)</f>
        <v>0</v>
      </c>
      <c r="AT434" s="14" t="n">
        <f aca="false">IF(Operations!AT418=0,0,Operations!AT416/Operations!AT418)</f>
        <v>0</v>
      </c>
      <c r="AU434" s="14" t="n">
        <f aca="false">IF(Operations!AU418=0,0,Operations!AU416/Operations!AU418)</f>
        <v>0</v>
      </c>
    </row>
    <row r="435" customFormat="false" ht="15" hidden="false" customHeight="false" outlineLevel="0" collapsed="false">
      <c r="D435" s="0" t="s">
        <v>827</v>
      </c>
      <c r="E435" s="0" t="s">
        <v>458</v>
      </c>
      <c r="J435" s="14" t="n">
        <f aca="false">1-Operations!J433-Operations!J434</f>
        <v>0.37558630441051</v>
      </c>
      <c r="K435" s="14" t="n">
        <f aca="false">1-Operations!K433-Operations!K434</f>
        <v>0.0808955611856434</v>
      </c>
      <c r="L435" s="14" t="n">
        <f aca="false">1-Operations!L433-Operations!L434</f>
        <v>0.0342533998980553</v>
      </c>
      <c r="M435" s="14" t="n">
        <f aca="false">1-Operations!M433-Operations!M434</f>
        <v>0.0658308589902611</v>
      </c>
      <c r="N435" s="14" t="n">
        <f aca="false">1-Operations!N433-Operations!N434</f>
        <v>0.0697600920872973</v>
      </c>
      <c r="O435" s="14" t="n">
        <f aca="false">1-Operations!O433-Operations!O434</f>
        <v>0.124230674483685</v>
      </c>
      <c r="P435" s="14" t="n">
        <f aca="false">1-Operations!P433-Operations!P434</f>
        <v>0.275742784307796</v>
      </c>
      <c r="Q435" s="14" t="n">
        <f aca="false">1-Operations!Q433-Operations!Q434</f>
        <v>0.415100858012673</v>
      </c>
      <c r="R435" s="14" t="n">
        <f aca="false">1-Operations!R433-Operations!R434</f>
        <v>0.711642530439143</v>
      </c>
      <c r="S435" s="14" t="n">
        <f aca="false">1-Operations!S433-Operations!S434</f>
        <v>0.757532161221227</v>
      </c>
      <c r="T435" s="14" t="n">
        <f aca="false">1-Operations!T433-Operations!T434</f>
        <v>0.823994540562324</v>
      </c>
      <c r="U435" s="14" t="n">
        <f aca="false">1-Operations!U433-Operations!U434</f>
        <v>0.896080216802688</v>
      </c>
      <c r="V435" s="14" t="n">
        <f aca="false">1-Operations!V433-Operations!V434</f>
        <v>0.943304480619416</v>
      </c>
      <c r="W435" s="14" t="n">
        <f aca="false">1-Operations!W433-Operations!W434</f>
        <v>1</v>
      </c>
      <c r="X435" s="14" t="n">
        <f aca="false">1-Operations!X433-Operations!X434</f>
        <v>1</v>
      </c>
      <c r="Y435" s="14" t="n">
        <f aca="false">1-Operations!Y433-Operations!Y434</f>
        <v>1</v>
      </c>
      <c r="Z435" s="14" t="n">
        <f aca="false">1-Operations!Z433-Operations!Z434</f>
        <v>1</v>
      </c>
      <c r="AA435" s="14" t="n">
        <f aca="false">1-Operations!AA433-Operations!AA434</f>
        <v>1</v>
      </c>
      <c r="AB435" s="14" t="n">
        <f aca="false">1-Operations!AB433-Operations!AB434</f>
        <v>1</v>
      </c>
      <c r="AC435" s="14" t="n">
        <f aca="false">1-Operations!AC433-Operations!AC434</f>
        <v>1</v>
      </c>
      <c r="AD435" s="14" t="n">
        <f aca="false">1-Operations!AD433-Operations!AD434</f>
        <v>1</v>
      </c>
      <c r="AE435" s="14" t="n">
        <f aca="false">1-Operations!AE433-Operations!AE434</f>
        <v>1</v>
      </c>
      <c r="AF435" s="14" t="n">
        <f aca="false">1-Operations!AF433-Operations!AF434</f>
        <v>1</v>
      </c>
      <c r="AG435" s="14" t="n">
        <f aca="false">1-Operations!AG433-Operations!AG434</f>
        <v>1</v>
      </c>
      <c r="AH435" s="14" t="n">
        <f aca="false">1-Operations!AH433-Operations!AH434</f>
        <v>1</v>
      </c>
      <c r="AI435" s="14" t="n">
        <f aca="false">1-Operations!AI433-Operations!AI434</f>
        <v>1</v>
      </c>
      <c r="AJ435" s="14" t="n">
        <f aca="false">1-Operations!AJ433-Operations!AJ434</f>
        <v>1</v>
      </c>
      <c r="AK435" s="14" t="n">
        <f aca="false">1-Operations!AK433-Operations!AK434</f>
        <v>1</v>
      </c>
      <c r="AL435" s="14" t="n">
        <f aca="false">1-Operations!AL433-Operations!AL434</f>
        <v>1</v>
      </c>
      <c r="AM435" s="14" t="n">
        <f aca="false">1-Operations!AM433-Operations!AM434</f>
        <v>1</v>
      </c>
      <c r="AN435" s="14" t="n">
        <f aca="false">1-Operations!AN433-Operations!AN434</f>
        <v>1</v>
      </c>
      <c r="AO435" s="14" t="n">
        <f aca="false">1-Operations!AO433-Operations!AO434</f>
        <v>1</v>
      </c>
      <c r="AP435" s="14" t="n">
        <f aca="false">1-Operations!AP433-Operations!AP434</f>
        <v>1</v>
      </c>
      <c r="AQ435" s="14" t="n">
        <f aca="false">1-Operations!AQ433-Operations!AQ434</f>
        <v>1</v>
      </c>
      <c r="AR435" s="14" t="n">
        <f aca="false">1-Operations!AR433-Operations!AR434</f>
        <v>1</v>
      </c>
      <c r="AS435" s="14" t="n">
        <f aca="false">1-Operations!AS433-Operations!AS434</f>
        <v>1</v>
      </c>
      <c r="AT435" s="14" t="n">
        <f aca="false">1-Operations!AT433-Operations!AT434</f>
        <v>1</v>
      </c>
      <c r="AU435" s="14" t="n">
        <f aca="false">1-Operations!AU433-Operations!AU434</f>
        <v>1</v>
      </c>
    </row>
    <row r="436" customFormat="false" ht="15" hidden="false" customHeight="false" outlineLevel="0" collapsed="false">
      <c r="D436" s="0" t="s">
        <v>828</v>
      </c>
      <c r="E436" s="0" t="s">
        <v>47</v>
      </c>
      <c r="J436" s="20" t="n">
        <f aca="false">Operations!J425*Operations!J433</f>
        <v>24.5355224088724</v>
      </c>
      <c r="K436" s="20" t="n">
        <f aca="false">Operations!K425*Operations!K433</f>
        <v>31.0471702294325</v>
      </c>
      <c r="L436" s="20" t="n">
        <f aca="false">Operations!L425*Operations!L433</f>
        <v>40.4067835000917</v>
      </c>
      <c r="M436" s="20" t="n">
        <f aca="false">Operations!M425*Operations!M433</f>
        <v>42.7032719830872</v>
      </c>
      <c r="N436" s="20" t="n">
        <f aca="false">Operations!N425*Operations!N433</f>
        <v>42.0933677335732</v>
      </c>
      <c r="O436" s="20" t="n">
        <f aca="false">Operations!O425*Operations!O433</f>
        <v>41.5084010858401</v>
      </c>
      <c r="P436" s="20" t="n">
        <f aca="false">Operations!P425*Operations!P433</f>
        <v>40.8360276839173</v>
      </c>
      <c r="Q436" s="20" t="n">
        <f aca="false">Operations!Q425*Operations!Q433</f>
        <v>34.2355317913163</v>
      </c>
      <c r="R436" s="20" t="n">
        <f aca="false">Operations!R425*Operations!R433</f>
        <v>15.2573196679417</v>
      </c>
      <c r="S436" s="20" t="n">
        <f aca="false">Operations!S425*Operations!S433</f>
        <v>11.5699044591047</v>
      </c>
      <c r="T436" s="20" t="n">
        <f aca="false">Operations!T425*Operations!T433</f>
        <v>7.16515628411556</v>
      </c>
      <c r="U436" s="20" t="n">
        <f aca="false">Operations!U425*Operations!U433</f>
        <v>2.83297633524916</v>
      </c>
      <c r="V436" s="20" t="n">
        <f aca="false">Operations!V425*Operations!V433</f>
        <v>0</v>
      </c>
      <c r="W436" s="20" t="n">
        <f aca="false">Operations!W425*Operations!W433</f>
        <v>0</v>
      </c>
      <c r="X436" s="20" t="n">
        <f aca="false">Operations!X425*Operations!X433</f>
        <v>0</v>
      </c>
      <c r="Y436" s="20" t="n">
        <f aca="false">Operations!Y425*Operations!Y433</f>
        <v>0</v>
      </c>
      <c r="Z436" s="20" t="n">
        <f aca="false">Operations!Z425*Operations!Z433</f>
        <v>0</v>
      </c>
      <c r="AA436" s="20" t="n">
        <f aca="false">Operations!AA425*Operations!AA433</f>
        <v>0</v>
      </c>
      <c r="AB436" s="20" t="n">
        <f aca="false">Operations!AB425*Operations!AB433</f>
        <v>0</v>
      </c>
      <c r="AC436" s="20" t="n">
        <f aca="false">Operations!AC425*Operations!AC433</f>
        <v>0</v>
      </c>
      <c r="AD436" s="20" t="n">
        <f aca="false">Operations!AD425*Operations!AD433</f>
        <v>0</v>
      </c>
      <c r="AE436" s="20" t="n">
        <f aca="false">Operations!AE425*Operations!AE433</f>
        <v>0</v>
      </c>
      <c r="AF436" s="20" t="n">
        <f aca="false">Operations!AF425*Operations!AF433</f>
        <v>0</v>
      </c>
      <c r="AG436" s="20" t="n">
        <f aca="false">Operations!AG425*Operations!AG433</f>
        <v>0</v>
      </c>
      <c r="AH436" s="20" t="n">
        <f aca="false">Operations!AH425*Operations!AH433</f>
        <v>0</v>
      </c>
      <c r="AI436" s="20" t="n">
        <f aca="false">Operations!AI425*Operations!AI433</f>
        <v>0</v>
      </c>
      <c r="AJ436" s="20" t="n">
        <f aca="false">Operations!AJ425*Operations!AJ433</f>
        <v>0</v>
      </c>
      <c r="AK436" s="20" t="n">
        <f aca="false">Operations!AK425*Operations!AK433</f>
        <v>0</v>
      </c>
      <c r="AL436" s="20" t="n">
        <f aca="false">Operations!AL425*Operations!AL433</f>
        <v>0</v>
      </c>
      <c r="AM436" s="20" t="n">
        <f aca="false">Operations!AM425*Operations!AM433</f>
        <v>0</v>
      </c>
      <c r="AN436" s="20" t="n">
        <f aca="false">Operations!AN425*Operations!AN433</f>
        <v>0</v>
      </c>
      <c r="AO436" s="20" t="n">
        <f aca="false">Operations!AO425*Operations!AO433</f>
        <v>0</v>
      </c>
      <c r="AP436" s="20" t="n">
        <f aca="false">Operations!AP425*Operations!AP433</f>
        <v>0</v>
      </c>
      <c r="AQ436" s="20" t="n">
        <f aca="false">Operations!AQ425*Operations!AQ433</f>
        <v>0</v>
      </c>
      <c r="AR436" s="20" t="n">
        <f aca="false">Operations!AR425*Operations!AR433</f>
        <v>-0</v>
      </c>
      <c r="AS436" s="20" t="n">
        <f aca="false">Operations!AS425*Operations!AS433</f>
        <v>0</v>
      </c>
      <c r="AT436" s="20" t="n">
        <f aca="false">Operations!AT425*Operations!AT433</f>
        <v>0</v>
      </c>
      <c r="AU436" s="20" t="n">
        <f aca="false">Operations!AU425*Operations!AU433</f>
        <v>-0</v>
      </c>
    </row>
    <row r="437" customFormat="false" ht="15" hidden="false" customHeight="false" outlineLevel="0" collapsed="false">
      <c r="D437" s="0" t="s">
        <v>829</v>
      </c>
      <c r="E437" s="0" t="s">
        <v>47</v>
      </c>
      <c r="J437" s="20" t="n">
        <f aca="false">Operations!J425*Operations!J434</f>
        <v>3.66827761414561</v>
      </c>
      <c r="K437" s="20" t="n">
        <f aca="false">Operations!K425*Operations!K434</f>
        <v>14.2009580810754</v>
      </c>
      <c r="L437" s="20" t="n">
        <f aca="false">Operations!L425*Operations!L434</f>
        <v>14.4873489975239</v>
      </c>
      <c r="M437" s="20" t="n">
        <f aca="false">Operations!M425*Operations!M434</f>
        <v>18.8534073984266</v>
      </c>
      <c r="N437" s="20" t="n">
        <f aca="false">Operations!N425*Operations!N434</f>
        <v>18.6082923111282</v>
      </c>
      <c r="O437" s="20" t="n">
        <f aca="false">Operations!O425*Operations!O434</f>
        <v>13.8102866788888</v>
      </c>
      <c r="P437" s="20" t="n">
        <f aca="false">Operations!P425*Operations!P434</f>
        <v>3.8434954919082</v>
      </c>
      <c r="Q437" s="20" t="n">
        <f aca="false">Operations!Q425*Operations!Q434</f>
        <v>3.87852533663986</v>
      </c>
      <c r="R437" s="20" t="n">
        <f aca="false">Operations!R425*Operations!R434</f>
        <v>3.79859994843853</v>
      </c>
      <c r="S437" s="20" t="n">
        <f aca="false">Operations!S425*Operations!S434</f>
        <v>3.6759600181479</v>
      </c>
      <c r="T437" s="20" t="n">
        <f aca="false">Operations!T425*Operations!T434</f>
        <v>3.56607354250123</v>
      </c>
      <c r="U437" s="20" t="n">
        <f aca="false">Operations!U425*Operations!U434</f>
        <v>3.52164053934721</v>
      </c>
      <c r="V437" s="20" t="n">
        <f aca="false">Operations!V425*Operations!V434</f>
        <v>3.54700125032555</v>
      </c>
      <c r="W437" s="20" t="n">
        <f aca="false">Operations!W425*Operations!W434</f>
        <v>0</v>
      </c>
      <c r="X437" s="20" t="n">
        <f aca="false">Operations!X425*Operations!X434</f>
        <v>0</v>
      </c>
      <c r="Y437" s="20" t="n">
        <f aca="false">Operations!Y425*Operations!Y434</f>
        <v>0</v>
      </c>
      <c r="Z437" s="20" t="n">
        <f aca="false">Operations!Z425*Operations!Z434</f>
        <v>0</v>
      </c>
      <c r="AA437" s="20" t="n">
        <f aca="false">Operations!AA425*Operations!AA434</f>
        <v>0</v>
      </c>
      <c r="AB437" s="20" t="n">
        <f aca="false">Operations!AB425*Operations!AB434</f>
        <v>0</v>
      </c>
      <c r="AC437" s="20" t="n">
        <f aca="false">Operations!AC425*Operations!AC434</f>
        <v>0</v>
      </c>
      <c r="AD437" s="20" t="n">
        <f aca="false">Operations!AD425*Operations!AD434</f>
        <v>0</v>
      </c>
      <c r="AE437" s="20" t="n">
        <f aca="false">Operations!AE425*Operations!AE434</f>
        <v>0</v>
      </c>
      <c r="AF437" s="20" t="n">
        <f aca="false">Operations!AF425*Operations!AF434</f>
        <v>0</v>
      </c>
      <c r="AG437" s="20" t="n">
        <f aca="false">Operations!AG425*Operations!AG434</f>
        <v>0</v>
      </c>
      <c r="AH437" s="20" t="n">
        <f aca="false">Operations!AH425*Operations!AH434</f>
        <v>0</v>
      </c>
      <c r="AI437" s="20" t="n">
        <f aca="false">Operations!AI425*Operations!AI434</f>
        <v>0</v>
      </c>
      <c r="AJ437" s="20" t="n">
        <f aca="false">Operations!AJ425*Operations!AJ434</f>
        <v>0</v>
      </c>
      <c r="AK437" s="20" t="n">
        <f aca="false">Operations!AK425*Operations!AK434</f>
        <v>0</v>
      </c>
      <c r="AL437" s="20" t="n">
        <f aca="false">Operations!AL425*Operations!AL434</f>
        <v>0</v>
      </c>
      <c r="AM437" s="20" t="n">
        <f aca="false">Operations!AM425*Operations!AM434</f>
        <v>0</v>
      </c>
      <c r="AN437" s="20" t="n">
        <f aca="false">Operations!AN425*Operations!AN434</f>
        <v>0</v>
      </c>
      <c r="AO437" s="20" t="n">
        <f aca="false">Operations!AO425*Operations!AO434</f>
        <v>0</v>
      </c>
      <c r="AP437" s="20" t="n">
        <f aca="false">Operations!AP425*Operations!AP434</f>
        <v>0</v>
      </c>
      <c r="AQ437" s="20" t="n">
        <f aca="false">Operations!AQ425*Operations!AQ434</f>
        <v>0</v>
      </c>
      <c r="AR437" s="20" t="n">
        <f aca="false">Operations!AR425*Operations!AR434</f>
        <v>-0</v>
      </c>
      <c r="AS437" s="20" t="n">
        <f aca="false">Operations!AS425*Operations!AS434</f>
        <v>0</v>
      </c>
      <c r="AT437" s="20" t="n">
        <f aca="false">Operations!AT425*Operations!AT434</f>
        <v>0</v>
      </c>
      <c r="AU437" s="20" t="n">
        <f aca="false">Operations!AU425*Operations!AU434</f>
        <v>-0</v>
      </c>
    </row>
    <row r="438" customFormat="false" ht="15" hidden="false" customHeight="false" outlineLevel="0" collapsed="false">
      <c r="D438" s="0" t="s">
        <v>830</v>
      </c>
      <c r="E438" s="0" t="s">
        <v>47</v>
      </c>
      <c r="J438" s="20" t="n">
        <f aca="false">Operations!J425*Operations!J435</f>
        <v>16.9646519539868</v>
      </c>
      <c r="K438" s="20" t="n">
        <f aca="false">Operations!K425*Operations!K435</f>
        <v>3.98254276412853</v>
      </c>
      <c r="L438" s="20" t="n">
        <f aca="false">Operations!L425*Operations!L435</f>
        <v>1.94700211452898</v>
      </c>
      <c r="M438" s="20" t="n">
        <f aca="false">Operations!M425*Operations!M435</f>
        <v>4.33789653541007</v>
      </c>
      <c r="N438" s="20" t="n">
        <f aca="false">Operations!N425*Operations!N435</f>
        <v>4.55210893292225</v>
      </c>
      <c r="O438" s="20" t="n">
        <f aca="false">Operations!O425*Operations!O435</f>
        <v>7.84713244953295</v>
      </c>
      <c r="P438" s="20" t="n">
        <f aca="false">Operations!P425*Operations!P435</f>
        <v>17.0106087383223</v>
      </c>
      <c r="Q438" s="20" t="n">
        <f aca="false">Operations!Q425*Operations!Q435</f>
        <v>27.0494119078421</v>
      </c>
      <c r="R438" s="20" t="n">
        <f aca="false">Operations!R425*Operations!R435</f>
        <v>47.0284431206098</v>
      </c>
      <c r="S438" s="20" t="n">
        <f aca="false">Operations!S425*Operations!S435</f>
        <v>47.6320188496281</v>
      </c>
      <c r="T438" s="20" t="n">
        <f aca="false">Operations!T425*Operations!T435</f>
        <v>50.2397756234543</v>
      </c>
      <c r="U438" s="20" t="n">
        <f aca="false">Operations!U425*Operations!U435</f>
        <v>54.7946338174577</v>
      </c>
      <c r="V438" s="20" t="n">
        <f aca="false">Operations!V425*Operations!V435</f>
        <v>59.0152839016167</v>
      </c>
      <c r="W438" s="20" t="n">
        <f aca="false">Operations!W425*Operations!W435</f>
        <v>61.6264482464312</v>
      </c>
      <c r="X438" s="20" t="n">
        <f aca="false">Operations!X425*Operations!X435</f>
        <v>61.3694707589228</v>
      </c>
      <c r="Y438" s="20" t="n">
        <f aca="false">Operations!Y425*Operations!Y435</f>
        <v>61.1479616346381</v>
      </c>
      <c r="Z438" s="20" t="n">
        <f aca="false">Operations!Z425*Operations!Z435</f>
        <v>61.0215279121222</v>
      </c>
      <c r="AA438" s="20" t="n">
        <f aca="false">Operations!AA425*Operations!AA435</f>
        <v>61.0180518358065</v>
      </c>
      <c r="AB438" s="20" t="n">
        <f aca="false">Operations!AB425*Operations!AB435</f>
        <v>61.0033420483556</v>
      </c>
      <c r="AC438" s="20" t="n">
        <f aca="false">Operations!AC425*Operations!AC435</f>
        <v>60.9598884919826</v>
      </c>
      <c r="AD438" s="20" t="n">
        <f aca="false">Operations!AD425*Operations!AD435</f>
        <v>60.9041256818734</v>
      </c>
      <c r="AE438" s="20" t="n">
        <f aca="false">Operations!AE425*Operations!AE435</f>
        <v>55.8587474403073</v>
      </c>
      <c r="AF438" s="20" t="n">
        <f aca="false">Operations!AF425*Operations!AF435</f>
        <v>25.8442768269994</v>
      </c>
      <c r="AG438" s="20" t="n">
        <f aca="false">Operations!AG425*Operations!AG435</f>
        <v>43.6079096998585</v>
      </c>
      <c r="AH438" s="20" t="n">
        <f aca="false">Operations!AH425*Operations!AH435</f>
        <v>43.9196109427684</v>
      </c>
      <c r="AI438" s="20" t="n">
        <f aca="false">Operations!AI425*Operations!AI435</f>
        <v>4.38007787614134</v>
      </c>
      <c r="AJ438" s="20" t="n">
        <f aca="false">Operations!AJ425*Operations!AJ435</f>
        <v>21.8649401908358</v>
      </c>
      <c r="AK438" s="20" t="n">
        <f aca="false">Operations!AK425*Operations!AK435</f>
        <v>3.77018461212898</v>
      </c>
      <c r="AL438" s="20" t="n">
        <f aca="false">Operations!AL425*Operations!AL435</f>
        <v>14.5361263223562</v>
      </c>
      <c r="AM438" s="20" t="n">
        <f aca="false">Operations!AM425*Operations!AM435</f>
        <v>14.5609618453642</v>
      </c>
      <c r="AN438" s="20" t="n">
        <f aca="false">Operations!AN425*Operations!AN435</f>
        <v>14.5807659312867</v>
      </c>
      <c r="AO438" s="20" t="n">
        <f aca="false">Operations!AO425*Operations!AO435</f>
        <v>14.5950604187952</v>
      </c>
      <c r="AP438" s="20" t="n">
        <f aca="false">Operations!AP425*Operations!AP435</f>
        <v>14.603360118158</v>
      </c>
      <c r="AQ438" s="20" t="n">
        <f aca="false">Operations!AQ425*Operations!AQ435</f>
        <v>5.33567697167487</v>
      </c>
      <c r="AR438" s="20" t="n">
        <f aca="false">Operations!AR425*Operations!AR435</f>
        <v>-10.0942482153661</v>
      </c>
      <c r="AS438" s="20" t="n">
        <f aca="false">Operations!AS425*Operations!AS435</f>
        <v>0.468479792319108</v>
      </c>
      <c r="AT438" s="20" t="n">
        <f aca="false">Operations!AT425*Operations!AT435</f>
        <v>0.357517487264004</v>
      </c>
      <c r="AU438" s="20" t="n">
        <f aca="false">Operations!AU425*Operations!AU435</f>
        <v>-11.1286703243323</v>
      </c>
    </row>
    <row r="440" customFormat="false" ht="15" hidden="false" customHeight="false" outlineLevel="0" collapsed="false">
      <c r="A440" s="4" t="s">
        <v>831</v>
      </c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</row>
    <row r="441" customFormat="false" ht="15" hidden="false" customHeight="false" outlineLevel="0" collapsed="false">
      <c r="D441" s="0" t="s">
        <v>440</v>
      </c>
      <c r="E441" s="0" t="s">
        <v>17</v>
      </c>
      <c r="F441" s="16" t="n">
        <f aca="false">Inputs!$F$16</f>
        <v>1</v>
      </c>
    </row>
    <row r="442" customFormat="false" ht="15" hidden="false" customHeight="false" outlineLevel="0" collapsed="false">
      <c r="D442" s="0" t="s">
        <v>441</v>
      </c>
      <c r="E442" s="0" t="s">
        <v>17</v>
      </c>
      <c r="F442" s="16" t="n">
        <f aca="false">Inputs!$F$17</f>
        <v>1</v>
      </c>
    </row>
    <row r="443" customFormat="false" ht="15" hidden="false" customHeight="false" outlineLevel="0" collapsed="false">
      <c r="D443" s="0" t="s">
        <v>442</v>
      </c>
      <c r="E443" s="0" t="s">
        <v>22</v>
      </c>
      <c r="F443" s="17" t="n">
        <f aca="false">Inputs!$F$19</f>
        <v>0</v>
      </c>
    </row>
    <row r="444" customFormat="false" ht="15" hidden="false" customHeight="false" outlineLevel="0" collapsed="false">
      <c r="D444" s="0" t="s">
        <v>443</v>
      </c>
      <c r="E444" s="0" t="s">
        <v>25</v>
      </c>
      <c r="F444" s="17" t="n">
        <f aca="false">Inputs!$F$19</f>
        <v>0</v>
      </c>
    </row>
    <row r="445" customFormat="false" ht="15" hidden="false" customHeight="false" outlineLevel="0" collapsed="false">
      <c r="D445" s="0" t="s">
        <v>444</v>
      </c>
      <c r="E445" s="0" t="s">
        <v>27</v>
      </c>
      <c r="F445" s="17" t="n">
        <f aca="false">Inputs!$F$20</f>
        <v>1</v>
      </c>
    </row>
    <row r="446" customFormat="false" ht="15" hidden="false" customHeight="false" outlineLevel="0" collapsed="false">
      <c r="D446" s="0" t="s">
        <v>445</v>
      </c>
      <c r="E446" s="0" t="s">
        <v>17</v>
      </c>
      <c r="F446" s="12" t="n">
        <f aca="false">IF(Inputs!$F$19=1,2,Operations!$F$441)</f>
        <v>1</v>
      </c>
    </row>
    <row r="447" customFormat="false" ht="15" hidden="false" customHeight="false" outlineLevel="0" collapsed="false">
      <c r="D447" s="0" t="s">
        <v>446</v>
      </c>
      <c r="E447" s="0" t="s">
        <v>96</v>
      </c>
      <c r="J447" s="18" t="n">
        <f aca="false">CHOOSE(Operations!$F$441,Inputs!J74,Inputs!J75,Inputs!J76)</f>
        <v>74.6</v>
      </c>
      <c r="K447" s="18" t="n">
        <f aca="false">CHOOSE(Operations!$F$441,Inputs!K74,Inputs!K75,Inputs!K76)</f>
        <v>61.2</v>
      </c>
      <c r="L447" s="18" t="n">
        <f aca="false">CHOOSE(Operations!$F$441,Inputs!L74,Inputs!L75,Inputs!L76)</f>
        <v>30.1</v>
      </c>
      <c r="M447" s="18" t="n">
        <f aca="false">CHOOSE(Operations!$F$441,Inputs!M74,Inputs!M75,Inputs!M76)</f>
        <v>39.8</v>
      </c>
      <c r="N447" s="18" t="n">
        <f aca="false">CHOOSE(Operations!$F$441,Inputs!N74,Inputs!N75,Inputs!N76)</f>
        <v>44.6</v>
      </c>
      <c r="O447" s="18" t="n">
        <f aca="false">CHOOSE(Operations!$F$441,Inputs!O74,Inputs!O75,Inputs!O76)</f>
        <v>47.3</v>
      </c>
      <c r="P447" s="18" t="n">
        <f aca="false">CHOOSE(Operations!$F$441,Inputs!P74,Inputs!P75,Inputs!P76)</f>
        <v>49.1</v>
      </c>
      <c r="Q447" s="18" t="n">
        <f aca="false">CHOOSE(Operations!$F$441,Inputs!Q74,Inputs!Q75,Inputs!Q76)</f>
        <v>50.4</v>
      </c>
      <c r="R447" s="18" t="n">
        <f aca="false">CHOOSE(Operations!$F$441,Inputs!R74,Inputs!R75,Inputs!R76)</f>
        <v>51.8</v>
      </c>
      <c r="S447" s="18" t="n">
        <f aca="false">CHOOSE(Operations!$F$441,Inputs!S74,Inputs!S75,Inputs!S76)</f>
        <v>52.84</v>
      </c>
      <c r="T447" s="18" t="n">
        <f aca="false">CHOOSE(Operations!$F$441,Inputs!T74,Inputs!T75,Inputs!T76)</f>
        <v>53.9</v>
      </c>
      <c r="U447" s="18" t="n">
        <f aca="false">CHOOSE(Operations!$F$441,Inputs!U74,Inputs!U75,Inputs!U76)</f>
        <v>54.98</v>
      </c>
      <c r="V447" s="18" t="n">
        <f aca="false">CHOOSE(Operations!$F$441,Inputs!V74,Inputs!V75,Inputs!V76)</f>
        <v>56.08</v>
      </c>
      <c r="W447" s="18" t="n">
        <f aca="false">CHOOSE(Operations!$F$441,Inputs!W74,Inputs!W75,Inputs!W76)</f>
        <v>57.2</v>
      </c>
      <c r="X447" s="18" t="n">
        <f aca="false">CHOOSE(Operations!$F$441,Inputs!X74,Inputs!X75,Inputs!X76)</f>
        <v>58.34</v>
      </c>
      <c r="Y447" s="18" t="n">
        <f aca="false">CHOOSE(Operations!$F$441,Inputs!Y74,Inputs!Y75,Inputs!Y76)</f>
        <v>59.51</v>
      </c>
      <c r="Z447" s="18" t="n">
        <f aca="false">CHOOSE(Operations!$F$441,Inputs!Z74,Inputs!Z75,Inputs!Z76)</f>
        <v>60.7</v>
      </c>
      <c r="AA447" s="18" t="n">
        <f aca="false">CHOOSE(Operations!$F$441,Inputs!AA74,Inputs!AA75,Inputs!AA76)</f>
        <v>61.91</v>
      </c>
      <c r="AB447" s="18" t="n">
        <f aca="false">CHOOSE(Operations!$F$441,Inputs!AB74,Inputs!AB75,Inputs!AB76)</f>
        <v>63.15</v>
      </c>
      <c r="AC447" s="18" t="n">
        <f aca="false">CHOOSE(Operations!$F$441,Inputs!AC74,Inputs!AC75,Inputs!AC76)</f>
        <v>64.41</v>
      </c>
      <c r="AD447" s="18" t="n">
        <f aca="false">CHOOSE(Operations!$F$441,Inputs!AD74,Inputs!AD75,Inputs!AD76)</f>
        <v>65.7</v>
      </c>
      <c r="AE447" s="18" t="n">
        <f aca="false">CHOOSE(Operations!$F$441,Inputs!AE74,Inputs!AE75,Inputs!AE76)</f>
        <v>67.01</v>
      </c>
      <c r="AF447" s="18" t="n">
        <f aca="false">CHOOSE(Operations!$F$441,Inputs!AF74,Inputs!AF75,Inputs!AF76)</f>
        <v>68.35</v>
      </c>
      <c r="AG447" s="18" t="n">
        <f aca="false">CHOOSE(Operations!$F$441,Inputs!AG74,Inputs!AG75,Inputs!AG76)</f>
        <v>69.72</v>
      </c>
      <c r="AH447" s="18" t="n">
        <f aca="false">CHOOSE(Operations!$F$441,Inputs!AH74,Inputs!AH75,Inputs!AH76)</f>
        <v>71.11</v>
      </c>
      <c r="AI447" s="18" t="n">
        <f aca="false">CHOOSE(Operations!$F$441,Inputs!AI74,Inputs!AI75,Inputs!AI76)</f>
        <v>72.53</v>
      </c>
      <c r="AJ447" s="18" t="n">
        <f aca="false">CHOOSE(Operations!$F$441,Inputs!AJ74,Inputs!AJ75,Inputs!AJ76)</f>
        <v>73.98</v>
      </c>
      <c r="AK447" s="18" t="n">
        <f aca="false">CHOOSE(Operations!$F$441,Inputs!AK74,Inputs!AK75,Inputs!AK76)</f>
        <v>75.46</v>
      </c>
      <c r="AL447" s="18" t="n">
        <f aca="false">CHOOSE(Operations!$F$441,Inputs!AL74,Inputs!AL75,Inputs!AL76)</f>
        <v>76.97</v>
      </c>
      <c r="AM447" s="18" t="n">
        <f aca="false">CHOOSE(Operations!$F$441,Inputs!AM74,Inputs!AM75,Inputs!AM76)</f>
        <v>78.51</v>
      </c>
      <c r="AN447" s="18" t="n">
        <f aca="false">CHOOSE(Operations!$F$441,Inputs!AN74,Inputs!AN75,Inputs!AN76)</f>
        <v>80.08</v>
      </c>
      <c r="AO447" s="18" t="n">
        <f aca="false">CHOOSE(Operations!$F$441,Inputs!AO74,Inputs!AO75,Inputs!AO76)</f>
        <v>81.68</v>
      </c>
      <c r="AP447" s="18" t="n">
        <f aca="false">CHOOSE(Operations!$F$441,Inputs!AP74,Inputs!AP75,Inputs!AP76)</f>
        <v>83.31</v>
      </c>
      <c r="AQ447" s="18" t="n">
        <f aca="false">CHOOSE(Operations!$F$441,Inputs!AQ74,Inputs!AQ75,Inputs!AQ76)</f>
        <v>84.98</v>
      </c>
      <c r="AR447" s="18" t="n">
        <f aca="false">CHOOSE(Operations!$F$441,Inputs!AR74,Inputs!AR75,Inputs!AR76)</f>
        <v>86.68</v>
      </c>
      <c r="AS447" s="18" t="n">
        <f aca="false">CHOOSE(Operations!$F$441,Inputs!AS74,Inputs!AS75,Inputs!AS76)</f>
        <v>88.41</v>
      </c>
      <c r="AT447" s="18" t="n">
        <f aca="false">CHOOSE(Operations!$F$441,Inputs!AT74,Inputs!AT75,Inputs!AT76)</f>
        <v>90.18</v>
      </c>
      <c r="AU447" s="18" t="n">
        <f aca="false">CHOOSE(Operations!$F$441,Inputs!AU74,Inputs!AU75,Inputs!AU76)</f>
        <v>91.98</v>
      </c>
    </row>
    <row r="448" customFormat="false" ht="15" hidden="false" customHeight="false" outlineLevel="0" collapsed="false">
      <c r="D448" s="0" t="s">
        <v>447</v>
      </c>
      <c r="E448" s="0" t="s">
        <v>96</v>
      </c>
      <c r="J448" s="18" t="n">
        <f aca="false">Operations!J447*Inputs!$F$35</f>
        <v>72.2128</v>
      </c>
      <c r="K448" s="18" t="n">
        <f aca="false">Operations!K447*Inputs!$F$35</f>
        <v>59.2416</v>
      </c>
      <c r="L448" s="18" t="n">
        <f aca="false">Operations!L447*Inputs!$F$35</f>
        <v>29.1368</v>
      </c>
      <c r="M448" s="18" t="n">
        <f aca="false">Operations!M447*Inputs!$F$35</f>
        <v>38.5264</v>
      </c>
      <c r="N448" s="18" t="n">
        <f aca="false">Operations!N447*Inputs!$F$35</f>
        <v>43.1728</v>
      </c>
      <c r="O448" s="18" t="n">
        <f aca="false">Operations!O447*Inputs!$F$35</f>
        <v>45.7864</v>
      </c>
      <c r="P448" s="18" t="n">
        <f aca="false">Operations!P447*Inputs!$F$35</f>
        <v>47.5288</v>
      </c>
      <c r="Q448" s="18" t="n">
        <f aca="false">Operations!Q447*Inputs!$F$35</f>
        <v>48.7872</v>
      </c>
      <c r="R448" s="18" t="n">
        <f aca="false">Operations!R447*Inputs!$F$35</f>
        <v>50.1424</v>
      </c>
      <c r="S448" s="18" t="n">
        <f aca="false">Operations!S447*Inputs!$F$35</f>
        <v>51.14912</v>
      </c>
      <c r="T448" s="18" t="n">
        <f aca="false">Operations!T447*Inputs!$F$35</f>
        <v>52.1752</v>
      </c>
      <c r="U448" s="18" t="n">
        <f aca="false">Operations!U447*Inputs!$F$35</f>
        <v>53.22064</v>
      </c>
      <c r="V448" s="18" t="n">
        <f aca="false">Operations!V447*Inputs!$F$35</f>
        <v>54.28544</v>
      </c>
      <c r="W448" s="18" t="n">
        <f aca="false">Operations!W447*Inputs!$F$35</f>
        <v>55.3696</v>
      </c>
      <c r="X448" s="18" t="n">
        <f aca="false">Operations!X447*Inputs!$F$35</f>
        <v>56.47312</v>
      </c>
      <c r="Y448" s="18" t="n">
        <f aca="false">Operations!Y447*Inputs!$F$35</f>
        <v>57.60568</v>
      </c>
      <c r="Z448" s="18" t="n">
        <f aca="false">Operations!Z447*Inputs!$F$35</f>
        <v>58.7576</v>
      </c>
      <c r="AA448" s="18" t="n">
        <f aca="false">Operations!AA447*Inputs!$F$35</f>
        <v>59.92888</v>
      </c>
      <c r="AB448" s="18" t="n">
        <f aca="false">Operations!AB447*Inputs!$F$35</f>
        <v>61.1292</v>
      </c>
      <c r="AC448" s="18" t="n">
        <f aca="false">Operations!AC447*Inputs!$F$35</f>
        <v>62.34888</v>
      </c>
      <c r="AD448" s="18" t="n">
        <f aca="false">Operations!AD447*Inputs!$F$35</f>
        <v>63.5976</v>
      </c>
      <c r="AE448" s="18" t="n">
        <f aca="false">Operations!AE447*Inputs!$F$35</f>
        <v>64.86568</v>
      </c>
      <c r="AF448" s="18" t="n">
        <f aca="false">Operations!AF447*Inputs!$F$35</f>
        <v>66.1628</v>
      </c>
      <c r="AG448" s="18" t="n">
        <f aca="false">Operations!AG447*Inputs!$F$35</f>
        <v>67.48896</v>
      </c>
      <c r="AH448" s="18" t="n">
        <f aca="false">Operations!AH447*Inputs!$F$35</f>
        <v>68.83448</v>
      </c>
      <c r="AI448" s="18" t="n">
        <f aca="false">Operations!AI447*Inputs!$F$35</f>
        <v>70.20904</v>
      </c>
      <c r="AJ448" s="18" t="n">
        <f aca="false">Operations!AJ447*Inputs!$F$35</f>
        <v>71.61264</v>
      </c>
      <c r="AK448" s="18" t="n">
        <f aca="false">Operations!AK447*Inputs!$F$35</f>
        <v>73.04528</v>
      </c>
      <c r="AL448" s="18" t="n">
        <f aca="false">Operations!AL447*Inputs!$F$35</f>
        <v>74.50696</v>
      </c>
      <c r="AM448" s="18" t="n">
        <f aca="false">Operations!AM447*Inputs!$F$35</f>
        <v>75.99768</v>
      </c>
      <c r="AN448" s="18" t="n">
        <f aca="false">Operations!AN447*Inputs!$F$35</f>
        <v>77.51744</v>
      </c>
      <c r="AO448" s="18" t="n">
        <f aca="false">Operations!AO447*Inputs!$F$35</f>
        <v>79.06624</v>
      </c>
      <c r="AP448" s="18" t="n">
        <f aca="false">Operations!AP447*Inputs!$F$35</f>
        <v>80.64408</v>
      </c>
      <c r="AQ448" s="18" t="n">
        <f aca="false">Operations!AQ447*Inputs!$F$35</f>
        <v>82.26064</v>
      </c>
      <c r="AR448" s="18" t="n">
        <f aca="false">Operations!AR447*Inputs!$F$35</f>
        <v>83.90624</v>
      </c>
      <c r="AS448" s="18" t="n">
        <f aca="false">Operations!AS447*Inputs!$F$35</f>
        <v>85.58088</v>
      </c>
      <c r="AT448" s="18" t="n">
        <f aca="false">Operations!AT447*Inputs!$F$35</f>
        <v>87.29424</v>
      </c>
      <c r="AU448" s="18" t="n">
        <f aca="false">Operations!AU447*Inputs!$F$35</f>
        <v>89.03664</v>
      </c>
    </row>
    <row r="449" customFormat="false" ht="15" hidden="false" customHeight="false" outlineLevel="0" collapsed="false">
      <c r="D449" s="0" t="s">
        <v>448</v>
      </c>
      <c r="E449" s="0" t="s">
        <v>96</v>
      </c>
      <c r="J449" s="18" t="n">
        <f aca="false">Operations!J447*Inputs!$F$36</f>
        <v>73.9286</v>
      </c>
      <c r="K449" s="18" t="n">
        <f aca="false">Operations!K447*Inputs!$F$36</f>
        <v>60.6492</v>
      </c>
      <c r="L449" s="18" t="n">
        <f aca="false">Operations!L447*Inputs!$F$36</f>
        <v>29.8291</v>
      </c>
      <c r="M449" s="18" t="n">
        <f aca="false">Operations!M447*Inputs!$F$36</f>
        <v>39.4418</v>
      </c>
      <c r="N449" s="18" t="n">
        <f aca="false">Operations!N447*Inputs!$F$36</f>
        <v>44.1986</v>
      </c>
      <c r="O449" s="18" t="n">
        <f aca="false">Operations!O447*Inputs!$F$36</f>
        <v>46.8743</v>
      </c>
      <c r="P449" s="18" t="n">
        <f aca="false">Operations!P447*Inputs!$F$36</f>
        <v>48.6581</v>
      </c>
      <c r="Q449" s="18" t="n">
        <f aca="false">Operations!Q447*Inputs!$F$36</f>
        <v>49.9464</v>
      </c>
      <c r="R449" s="18" t="n">
        <f aca="false">Operations!R447*Inputs!$F$36</f>
        <v>51.3338</v>
      </c>
      <c r="S449" s="18" t="n">
        <f aca="false">Operations!S447*Inputs!$F$36</f>
        <v>52.36444</v>
      </c>
      <c r="T449" s="18" t="n">
        <f aca="false">Operations!T447*Inputs!$F$36</f>
        <v>53.4149</v>
      </c>
      <c r="U449" s="18" t="n">
        <f aca="false">Operations!U447*Inputs!$F$36</f>
        <v>54.48518</v>
      </c>
      <c r="V449" s="18" t="n">
        <f aca="false">Operations!V447*Inputs!$F$36</f>
        <v>55.57528</v>
      </c>
      <c r="W449" s="18" t="n">
        <f aca="false">Operations!W447*Inputs!$F$36</f>
        <v>56.6852</v>
      </c>
      <c r="X449" s="18" t="n">
        <f aca="false">Operations!X447*Inputs!$F$36</f>
        <v>57.81494</v>
      </c>
      <c r="Y449" s="18" t="n">
        <f aca="false">Operations!Y447*Inputs!$F$36</f>
        <v>58.97441</v>
      </c>
      <c r="Z449" s="18" t="n">
        <f aca="false">Operations!Z447*Inputs!$F$36</f>
        <v>60.1537</v>
      </c>
      <c r="AA449" s="18" t="n">
        <f aca="false">Operations!AA447*Inputs!$F$36</f>
        <v>61.35281</v>
      </c>
      <c r="AB449" s="18" t="n">
        <f aca="false">Operations!AB447*Inputs!$F$36</f>
        <v>62.58165</v>
      </c>
      <c r="AC449" s="18" t="n">
        <f aca="false">Operations!AC447*Inputs!$F$36</f>
        <v>63.83031</v>
      </c>
      <c r="AD449" s="18" t="n">
        <f aca="false">Operations!AD447*Inputs!$F$36</f>
        <v>65.1087</v>
      </c>
      <c r="AE449" s="18" t="n">
        <f aca="false">Operations!AE447*Inputs!$F$36</f>
        <v>66.40691</v>
      </c>
      <c r="AF449" s="18" t="n">
        <f aca="false">Operations!AF447*Inputs!$F$36</f>
        <v>67.73485</v>
      </c>
      <c r="AG449" s="18" t="n">
        <f aca="false">Operations!AG447*Inputs!$F$36</f>
        <v>69.09252</v>
      </c>
      <c r="AH449" s="18" t="n">
        <f aca="false">Operations!AH447*Inputs!$F$36</f>
        <v>70.47001</v>
      </c>
      <c r="AI449" s="18" t="n">
        <f aca="false">Operations!AI447*Inputs!$F$36</f>
        <v>71.87723</v>
      </c>
      <c r="AJ449" s="18" t="n">
        <f aca="false">Operations!AJ447*Inputs!$F$36</f>
        <v>73.31418</v>
      </c>
      <c r="AK449" s="18" t="n">
        <f aca="false">Operations!AK447*Inputs!$F$36</f>
        <v>74.78086</v>
      </c>
      <c r="AL449" s="18" t="n">
        <f aca="false">Operations!AL447*Inputs!$F$36</f>
        <v>76.27727</v>
      </c>
      <c r="AM449" s="18" t="n">
        <f aca="false">Operations!AM447*Inputs!$F$36</f>
        <v>77.80341</v>
      </c>
      <c r="AN449" s="18" t="n">
        <f aca="false">Operations!AN447*Inputs!$F$36</f>
        <v>79.35928</v>
      </c>
      <c r="AO449" s="18" t="n">
        <f aca="false">Operations!AO447*Inputs!$F$36</f>
        <v>80.94488</v>
      </c>
      <c r="AP449" s="18" t="n">
        <f aca="false">Operations!AP447*Inputs!$F$36</f>
        <v>82.56021</v>
      </c>
      <c r="AQ449" s="18" t="n">
        <f aca="false">Operations!AQ447*Inputs!$F$36</f>
        <v>84.21518</v>
      </c>
      <c r="AR449" s="18" t="n">
        <f aca="false">Operations!AR447*Inputs!$F$36</f>
        <v>85.89988</v>
      </c>
      <c r="AS449" s="18" t="n">
        <f aca="false">Operations!AS447*Inputs!$F$36</f>
        <v>87.61431</v>
      </c>
      <c r="AT449" s="18" t="n">
        <f aca="false">Operations!AT447*Inputs!$F$36</f>
        <v>89.36838</v>
      </c>
      <c r="AU449" s="18" t="n">
        <f aca="false">Operations!AU447*Inputs!$F$36</f>
        <v>91.15218</v>
      </c>
    </row>
    <row r="450" customFormat="false" ht="15" hidden="false" customHeight="false" outlineLevel="0" collapsed="false">
      <c r="D450" s="0" t="s">
        <v>449</v>
      </c>
      <c r="E450" s="0" t="s">
        <v>96</v>
      </c>
      <c r="J450" s="18" t="n">
        <f aca="false">Operations!J447*Inputs!$F$37</f>
        <v>75.4952</v>
      </c>
      <c r="K450" s="18" t="n">
        <f aca="false">Operations!K447*Inputs!$F$37</f>
        <v>61.9344</v>
      </c>
      <c r="L450" s="18" t="n">
        <f aca="false">Operations!L447*Inputs!$F$37</f>
        <v>30.4612</v>
      </c>
      <c r="M450" s="18" t="n">
        <f aca="false">Operations!M447*Inputs!$F$37</f>
        <v>40.2776</v>
      </c>
      <c r="N450" s="18" t="n">
        <f aca="false">Operations!N447*Inputs!$F$37</f>
        <v>45.1352</v>
      </c>
      <c r="O450" s="18" t="n">
        <f aca="false">Operations!O447*Inputs!$F$37</f>
        <v>47.8676</v>
      </c>
      <c r="P450" s="18" t="n">
        <f aca="false">Operations!P447*Inputs!$F$37</f>
        <v>49.6892</v>
      </c>
      <c r="Q450" s="18" t="n">
        <f aca="false">Operations!Q447*Inputs!$F$37</f>
        <v>51.0048</v>
      </c>
      <c r="R450" s="18" t="n">
        <f aca="false">Operations!R447*Inputs!$F$37</f>
        <v>52.4216</v>
      </c>
      <c r="S450" s="18" t="n">
        <f aca="false">Operations!S447*Inputs!$F$37</f>
        <v>53.47408</v>
      </c>
      <c r="T450" s="18" t="n">
        <f aca="false">Operations!T447*Inputs!$F$37</f>
        <v>54.5468</v>
      </c>
      <c r="U450" s="18" t="n">
        <f aca="false">Operations!U447*Inputs!$F$37</f>
        <v>55.63976</v>
      </c>
      <c r="V450" s="18" t="n">
        <f aca="false">Operations!V447*Inputs!$F$37</f>
        <v>56.75296</v>
      </c>
      <c r="W450" s="18" t="n">
        <f aca="false">Operations!W447*Inputs!$F$37</f>
        <v>57.8864</v>
      </c>
      <c r="X450" s="18" t="n">
        <f aca="false">Operations!X447*Inputs!$F$37</f>
        <v>59.04008</v>
      </c>
      <c r="Y450" s="18" t="n">
        <f aca="false">Operations!Y447*Inputs!$F$37</f>
        <v>60.22412</v>
      </c>
      <c r="Z450" s="18" t="n">
        <f aca="false">Operations!Z447*Inputs!$F$37</f>
        <v>61.4284</v>
      </c>
      <c r="AA450" s="18" t="n">
        <f aca="false">Operations!AA447*Inputs!$F$37</f>
        <v>62.65292</v>
      </c>
      <c r="AB450" s="18" t="n">
        <f aca="false">Operations!AB447*Inputs!$F$37</f>
        <v>63.9078</v>
      </c>
      <c r="AC450" s="18" t="n">
        <f aca="false">Operations!AC447*Inputs!$F$37</f>
        <v>65.18292</v>
      </c>
      <c r="AD450" s="18" t="n">
        <f aca="false">Operations!AD447*Inputs!$F$37</f>
        <v>66.4884</v>
      </c>
      <c r="AE450" s="18" t="n">
        <f aca="false">Operations!AE447*Inputs!$F$37</f>
        <v>67.81412</v>
      </c>
      <c r="AF450" s="18" t="n">
        <f aca="false">Operations!AF447*Inputs!$F$37</f>
        <v>69.1702</v>
      </c>
      <c r="AG450" s="18" t="n">
        <f aca="false">Operations!AG447*Inputs!$F$37</f>
        <v>70.55664</v>
      </c>
      <c r="AH450" s="18" t="n">
        <f aca="false">Operations!AH447*Inputs!$F$37</f>
        <v>71.96332</v>
      </c>
      <c r="AI450" s="18" t="n">
        <f aca="false">Operations!AI447*Inputs!$F$37</f>
        <v>73.40036</v>
      </c>
      <c r="AJ450" s="18" t="n">
        <f aca="false">Operations!AJ447*Inputs!$F$37</f>
        <v>74.86776</v>
      </c>
      <c r="AK450" s="18" t="n">
        <f aca="false">Operations!AK447*Inputs!$F$37</f>
        <v>76.36552</v>
      </c>
      <c r="AL450" s="18" t="n">
        <f aca="false">Operations!AL447*Inputs!$F$37</f>
        <v>77.89364</v>
      </c>
      <c r="AM450" s="18" t="n">
        <f aca="false">Operations!AM447*Inputs!$F$37</f>
        <v>79.45212</v>
      </c>
      <c r="AN450" s="18" t="n">
        <f aca="false">Operations!AN447*Inputs!$F$37</f>
        <v>81.04096</v>
      </c>
      <c r="AO450" s="18" t="n">
        <f aca="false">Operations!AO447*Inputs!$F$37</f>
        <v>82.66016</v>
      </c>
      <c r="AP450" s="18" t="n">
        <f aca="false">Operations!AP447*Inputs!$F$37</f>
        <v>84.30972</v>
      </c>
      <c r="AQ450" s="18" t="n">
        <f aca="false">Operations!AQ447*Inputs!$F$37</f>
        <v>85.99976</v>
      </c>
      <c r="AR450" s="18" t="n">
        <f aca="false">Operations!AR447*Inputs!$F$37</f>
        <v>87.72016</v>
      </c>
      <c r="AS450" s="18" t="n">
        <f aca="false">Operations!AS447*Inputs!$F$37</f>
        <v>89.47092</v>
      </c>
      <c r="AT450" s="18" t="n">
        <f aca="false">Operations!AT447*Inputs!$F$37</f>
        <v>91.26216</v>
      </c>
      <c r="AU450" s="18" t="n">
        <f aca="false">Operations!AU447*Inputs!$F$37</f>
        <v>93.08376</v>
      </c>
    </row>
    <row r="451" customFormat="false" ht="15" hidden="false" customHeight="false" outlineLevel="0" collapsed="false">
      <c r="D451" s="0" t="s">
        <v>450</v>
      </c>
      <c r="E451" s="0" t="s">
        <v>100</v>
      </c>
      <c r="J451" s="18" t="n">
        <f aca="false">CHOOSE(Operations!$F$446,Inputs!J77,Inputs!J78,Inputs!J79)</f>
        <v>0</v>
      </c>
      <c r="K451" s="18" t="n">
        <f aca="false">CHOOSE(Operations!$F$446,Inputs!K77,Inputs!K78,Inputs!K79)</f>
        <v>142.5</v>
      </c>
      <c r="L451" s="18" t="n">
        <f aca="false">CHOOSE(Operations!$F$446,Inputs!L77,Inputs!L78,Inputs!L79)</f>
        <v>61.8</v>
      </c>
      <c r="M451" s="18" t="n">
        <f aca="false">CHOOSE(Operations!$F$446,Inputs!M77,Inputs!M78,Inputs!M79)</f>
        <v>52.4</v>
      </c>
      <c r="N451" s="18" t="n">
        <f aca="false">CHOOSE(Operations!$F$446,Inputs!N77,Inputs!N78,Inputs!N79)</f>
        <v>57.9</v>
      </c>
      <c r="O451" s="18" t="n">
        <f aca="false">CHOOSE(Operations!$F$446,Inputs!O77,Inputs!O78,Inputs!O79)</f>
        <v>58.77</v>
      </c>
      <c r="P451" s="18" t="n">
        <f aca="false">CHOOSE(Operations!$F$446,Inputs!P77,Inputs!P78,Inputs!P79)</f>
        <v>59.65</v>
      </c>
      <c r="Q451" s="18" t="n">
        <f aca="false">CHOOSE(Operations!$F$446,Inputs!Q77,Inputs!Q78,Inputs!Q79)</f>
        <v>60.54</v>
      </c>
      <c r="R451" s="18" t="n">
        <f aca="false">CHOOSE(Operations!$F$446,Inputs!R77,Inputs!R78,Inputs!R79)</f>
        <v>61.45</v>
      </c>
      <c r="S451" s="18" t="n">
        <f aca="false">CHOOSE(Operations!$F$446,Inputs!S77,Inputs!S78,Inputs!S79)</f>
        <v>62.37</v>
      </c>
      <c r="T451" s="18" t="n">
        <f aca="false">CHOOSE(Operations!$F$446,Inputs!T77,Inputs!T78,Inputs!T79)</f>
        <v>63.31</v>
      </c>
      <c r="U451" s="18" t="n">
        <f aca="false">CHOOSE(Operations!$F$446,Inputs!U77,Inputs!U78,Inputs!U79)</f>
        <v>64.26</v>
      </c>
      <c r="V451" s="18" t="n">
        <f aca="false">CHOOSE(Operations!$F$446,Inputs!V77,Inputs!V78,Inputs!V79)</f>
        <v>65.22</v>
      </c>
      <c r="W451" s="18" t="n">
        <f aca="false">CHOOSE(Operations!$F$446,Inputs!W77,Inputs!W78,Inputs!W79)</f>
        <v>66.2</v>
      </c>
      <c r="X451" s="18" t="n">
        <f aca="false">CHOOSE(Operations!$F$446,Inputs!X77,Inputs!X78,Inputs!X79)</f>
        <v>67.19</v>
      </c>
      <c r="Y451" s="18" t="n">
        <f aca="false">CHOOSE(Operations!$F$446,Inputs!Y77,Inputs!Y78,Inputs!Y79)</f>
        <v>68.2</v>
      </c>
      <c r="Z451" s="18" t="n">
        <f aca="false">CHOOSE(Operations!$F$446,Inputs!Z77,Inputs!Z78,Inputs!Z79)</f>
        <v>69.22</v>
      </c>
      <c r="AA451" s="18" t="n">
        <f aca="false">CHOOSE(Operations!$F$446,Inputs!AA77,Inputs!AA78,Inputs!AA79)</f>
        <v>70.26</v>
      </c>
      <c r="AB451" s="18" t="n">
        <f aca="false">CHOOSE(Operations!$F$446,Inputs!AB77,Inputs!AB78,Inputs!AB79)</f>
        <v>71.31</v>
      </c>
      <c r="AC451" s="18" t="n">
        <f aca="false">CHOOSE(Operations!$F$446,Inputs!AC77,Inputs!AC78,Inputs!AC79)</f>
        <v>72.38</v>
      </c>
      <c r="AD451" s="18" t="n">
        <f aca="false">CHOOSE(Operations!$F$446,Inputs!AD77,Inputs!AD78,Inputs!AD79)</f>
        <v>73.47</v>
      </c>
      <c r="AE451" s="18" t="n">
        <f aca="false">CHOOSE(Operations!$F$446,Inputs!AE77,Inputs!AE78,Inputs!AE79)</f>
        <v>74.57</v>
      </c>
      <c r="AF451" s="18" t="n">
        <f aca="false">CHOOSE(Operations!$F$446,Inputs!AF77,Inputs!AF78,Inputs!AF79)</f>
        <v>75.69</v>
      </c>
      <c r="AG451" s="18" t="n">
        <f aca="false">CHOOSE(Operations!$F$446,Inputs!AG77,Inputs!AG78,Inputs!AG79)</f>
        <v>76.83</v>
      </c>
      <c r="AH451" s="18" t="n">
        <f aca="false">CHOOSE(Operations!$F$446,Inputs!AH77,Inputs!AH78,Inputs!AH79)</f>
        <v>77.98</v>
      </c>
      <c r="AI451" s="18" t="n">
        <f aca="false">CHOOSE(Operations!$F$446,Inputs!AI77,Inputs!AI78,Inputs!AI79)</f>
        <v>79.15</v>
      </c>
      <c r="AJ451" s="18" t="n">
        <f aca="false">CHOOSE(Operations!$F$446,Inputs!AJ77,Inputs!AJ78,Inputs!AJ79)</f>
        <v>80.34</v>
      </c>
      <c r="AK451" s="18" t="n">
        <f aca="false">CHOOSE(Operations!$F$446,Inputs!AK77,Inputs!AK78,Inputs!AK79)</f>
        <v>81.55</v>
      </c>
      <c r="AL451" s="18" t="n">
        <f aca="false">CHOOSE(Operations!$F$446,Inputs!AL77,Inputs!AL78,Inputs!AL79)</f>
        <v>82.77</v>
      </c>
      <c r="AM451" s="18" t="n">
        <f aca="false">CHOOSE(Operations!$F$446,Inputs!AM77,Inputs!AM78,Inputs!AM79)</f>
        <v>84.01</v>
      </c>
      <c r="AN451" s="18" t="n">
        <f aca="false">CHOOSE(Operations!$F$446,Inputs!AN77,Inputs!AN78,Inputs!AN79)</f>
        <v>85.27</v>
      </c>
      <c r="AO451" s="18" t="n">
        <f aca="false">CHOOSE(Operations!$F$446,Inputs!AO77,Inputs!AO78,Inputs!AO79)</f>
        <v>86.55</v>
      </c>
      <c r="AP451" s="18" t="n">
        <f aca="false">CHOOSE(Operations!$F$446,Inputs!AP77,Inputs!AP78,Inputs!AP79)</f>
        <v>87.85</v>
      </c>
      <c r="AQ451" s="18" t="n">
        <f aca="false">CHOOSE(Operations!$F$446,Inputs!AQ77,Inputs!AQ78,Inputs!AQ79)</f>
        <v>89.17</v>
      </c>
      <c r="AR451" s="18" t="n">
        <f aca="false">CHOOSE(Operations!$F$446,Inputs!AR77,Inputs!AR78,Inputs!AR79)</f>
        <v>90.51</v>
      </c>
      <c r="AS451" s="18" t="n">
        <f aca="false">CHOOSE(Operations!$F$446,Inputs!AS77,Inputs!AS78,Inputs!AS79)</f>
        <v>91.87</v>
      </c>
      <c r="AT451" s="18" t="n">
        <f aca="false">CHOOSE(Operations!$F$446,Inputs!AT77,Inputs!AT78,Inputs!AT79)</f>
        <v>93.25</v>
      </c>
      <c r="AU451" s="18" t="n">
        <f aca="false">CHOOSE(Operations!$F$446,Inputs!AU77,Inputs!AU78,Inputs!AU79)</f>
        <v>94.65</v>
      </c>
    </row>
    <row r="452" customFormat="false" ht="15" hidden="false" customHeight="false" outlineLevel="0" collapsed="false">
      <c r="D452" s="0" t="s">
        <v>451</v>
      </c>
      <c r="E452" s="0" t="s">
        <v>54</v>
      </c>
      <c r="J452" s="14" t="n">
        <f aca="false">MAX(Inputs!$F$43+CHOOSE(Operations!$F$441,0,Inputs!$F$39,0),Inputs!$F$41-Inputs!$F$42/100*CHOOSE(Operations!$F$441,1,Inputs!$F$38,Inputs!$F$40)*Time!J$8)</f>
        <v>0.74</v>
      </c>
      <c r="K452" s="14" t="n">
        <f aca="false">MAX(Inputs!$F$43+CHOOSE(Operations!$F$441,0,Inputs!$F$39,0),Inputs!$F$41-Inputs!$F$42/100*CHOOSE(Operations!$F$441,1,Inputs!$F$38,Inputs!$F$40)*Time!K$8)</f>
        <v>0.734</v>
      </c>
      <c r="L452" s="14" t="n">
        <f aca="false">MAX(Inputs!$F$43+CHOOSE(Operations!$F$441,0,Inputs!$F$39,0),Inputs!$F$41-Inputs!$F$42/100*CHOOSE(Operations!$F$441,1,Inputs!$F$38,Inputs!$F$40)*Time!L$8)</f>
        <v>0.728</v>
      </c>
      <c r="M452" s="14" t="n">
        <f aca="false">MAX(Inputs!$F$43+CHOOSE(Operations!$F$441,0,Inputs!$F$39,0),Inputs!$F$41-Inputs!$F$42/100*CHOOSE(Operations!$F$441,1,Inputs!$F$38,Inputs!$F$40)*Time!M$8)</f>
        <v>0.722</v>
      </c>
      <c r="N452" s="14" t="n">
        <f aca="false">MAX(Inputs!$F$43+CHOOSE(Operations!$F$441,0,Inputs!$F$39,0),Inputs!$F$41-Inputs!$F$42/100*CHOOSE(Operations!$F$441,1,Inputs!$F$38,Inputs!$F$40)*Time!N$8)</f>
        <v>0.716</v>
      </c>
      <c r="O452" s="14" t="n">
        <f aca="false">MAX(Inputs!$F$43+CHOOSE(Operations!$F$441,0,Inputs!$F$39,0),Inputs!$F$41-Inputs!$F$42/100*CHOOSE(Operations!$F$441,1,Inputs!$F$38,Inputs!$F$40)*Time!O$8)</f>
        <v>0.71</v>
      </c>
      <c r="P452" s="14" t="n">
        <f aca="false">MAX(Inputs!$F$43+CHOOSE(Operations!$F$441,0,Inputs!$F$39,0),Inputs!$F$41-Inputs!$F$42/100*CHOOSE(Operations!$F$441,1,Inputs!$F$38,Inputs!$F$40)*Time!P$8)</f>
        <v>0.704</v>
      </c>
      <c r="Q452" s="14" t="n">
        <f aca="false">MAX(Inputs!$F$43+CHOOSE(Operations!$F$441,0,Inputs!$F$39,0),Inputs!$F$41-Inputs!$F$42/100*CHOOSE(Operations!$F$441,1,Inputs!$F$38,Inputs!$F$40)*Time!Q$8)</f>
        <v>0.698</v>
      </c>
      <c r="R452" s="14" t="n">
        <f aca="false">MAX(Inputs!$F$43+CHOOSE(Operations!$F$441,0,Inputs!$F$39,0),Inputs!$F$41-Inputs!$F$42/100*CHOOSE(Operations!$F$441,1,Inputs!$F$38,Inputs!$F$40)*Time!R$8)</f>
        <v>0.692</v>
      </c>
      <c r="S452" s="14" t="n">
        <f aca="false">MAX(Inputs!$F$43+CHOOSE(Operations!$F$441,0,Inputs!$F$39,0),Inputs!$F$41-Inputs!$F$42/100*CHOOSE(Operations!$F$441,1,Inputs!$F$38,Inputs!$F$40)*Time!S$8)</f>
        <v>0.686</v>
      </c>
      <c r="T452" s="14" t="n">
        <f aca="false">MAX(Inputs!$F$43+CHOOSE(Operations!$F$441,0,Inputs!$F$39,0),Inputs!$F$41-Inputs!$F$42/100*CHOOSE(Operations!$F$441,1,Inputs!$F$38,Inputs!$F$40)*Time!T$8)</f>
        <v>0.68</v>
      </c>
      <c r="U452" s="14" t="n">
        <f aca="false">MAX(Inputs!$F$43+CHOOSE(Operations!$F$441,0,Inputs!$F$39,0),Inputs!$F$41-Inputs!$F$42/100*CHOOSE(Operations!$F$441,1,Inputs!$F$38,Inputs!$F$40)*Time!U$8)</f>
        <v>0.674</v>
      </c>
      <c r="V452" s="14" t="n">
        <f aca="false">MAX(Inputs!$F$43+CHOOSE(Operations!$F$441,0,Inputs!$F$39,0),Inputs!$F$41-Inputs!$F$42/100*CHOOSE(Operations!$F$441,1,Inputs!$F$38,Inputs!$F$40)*Time!V$8)</f>
        <v>0.668</v>
      </c>
      <c r="W452" s="14" t="n">
        <f aca="false">MAX(Inputs!$F$43+CHOOSE(Operations!$F$441,0,Inputs!$F$39,0),Inputs!$F$41-Inputs!$F$42/100*CHOOSE(Operations!$F$441,1,Inputs!$F$38,Inputs!$F$40)*Time!W$8)</f>
        <v>0.662</v>
      </c>
      <c r="X452" s="14" t="n">
        <f aca="false">MAX(Inputs!$F$43+CHOOSE(Operations!$F$441,0,Inputs!$F$39,0),Inputs!$F$41-Inputs!$F$42/100*CHOOSE(Operations!$F$441,1,Inputs!$F$38,Inputs!$F$40)*Time!X$8)</f>
        <v>0.656</v>
      </c>
      <c r="Y452" s="14" t="n">
        <f aca="false">MAX(Inputs!$F$43+CHOOSE(Operations!$F$441,0,Inputs!$F$39,0),Inputs!$F$41-Inputs!$F$42/100*CHOOSE(Operations!$F$441,1,Inputs!$F$38,Inputs!$F$40)*Time!Y$8)</f>
        <v>0.65</v>
      </c>
      <c r="Z452" s="14" t="n">
        <f aca="false">MAX(Inputs!$F$43+CHOOSE(Operations!$F$441,0,Inputs!$F$39,0),Inputs!$F$41-Inputs!$F$42/100*CHOOSE(Operations!$F$441,1,Inputs!$F$38,Inputs!$F$40)*Time!Z$8)</f>
        <v>0.644</v>
      </c>
      <c r="AA452" s="14" t="n">
        <f aca="false">MAX(Inputs!$F$43+CHOOSE(Operations!$F$441,0,Inputs!$F$39,0),Inputs!$F$41-Inputs!$F$42/100*CHOOSE(Operations!$F$441,1,Inputs!$F$38,Inputs!$F$40)*Time!AA$8)</f>
        <v>0.638</v>
      </c>
      <c r="AB452" s="14" t="n">
        <f aca="false">MAX(Inputs!$F$43+CHOOSE(Operations!$F$441,0,Inputs!$F$39,0),Inputs!$F$41-Inputs!$F$42/100*CHOOSE(Operations!$F$441,1,Inputs!$F$38,Inputs!$F$40)*Time!AB$8)</f>
        <v>0.632</v>
      </c>
      <c r="AC452" s="14" t="n">
        <f aca="false">MAX(Inputs!$F$43+CHOOSE(Operations!$F$441,0,Inputs!$F$39,0),Inputs!$F$41-Inputs!$F$42/100*CHOOSE(Operations!$F$441,1,Inputs!$F$38,Inputs!$F$40)*Time!AC$8)</f>
        <v>0.626</v>
      </c>
      <c r="AD452" s="14" t="n">
        <f aca="false">MAX(Inputs!$F$43+CHOOSE(Operations!$F$441,0,Inputs!$F$39,0),Inputs!$F$41-Inputs!$F$42/100*CHOOSE(Operations!$F$441,1,Inputs!$F$38,Inputs!$F$40)*Time!AD$8)</f>
        <v>0.62</v>
      </c>
      <c r="AE452" s="14" t="n">
        <f aca="false">MAX(Inputs!$F$43+CHOOSE(Operations!$F$441,0,Inputs!$F$39,0),Inputs!$F$41-Inputs!$F$42/100*CHOOSE(Operations!$F$441,1,Inputs!$F$38,Inputs!$F$40)*Time!AE$8)</f>
        <v>0.62</v>
      </c>
      <c r="AF452" s="14" t="n">
        <f aca="false">MAX(Inputs!$F$43+CHOOSE(Operations!$F$441,0,Inputs!$F$39,0),Inputs!$F$41-Inputs!$F$42/100*CHOOSE(Operations!$F$441,1,Inputs!$F$38,Inputs!$F$40)*Time!AF$8)</f>
        <v>0.62</v>
      </c>
      <c r="AG452" s="14" t="n">
        <f aca="false">MAX(Inputs!$F$43+CHOOSE(Operations!$F$441,0,Inputs!$F$39,0),Inputs!$F$41-Inputs!$F$42/100*CHOOSE(Operations!$F$441,1,Inputs!$F$38,Inputs!$F$40)*Time!AG$8)</f>
        <v>0.62</v>
      </c>
      <c r="AH452" s="14" t="n">
        <f aca="false">MAX(Inputs!$F$43+CHOOSE(Operations!$F$441,0,Inputs!$F$39,0),Inputs!$F$41-Inputs!$F$42/100*CHOOSE(Operations!$F$441,1,Inputs!$F$38,Inputs!$F$40)*Time!AH$8)</f>
        <v>0.62</v>
      </c>
      <c r="AI452" s="14" t="n">
        <f aca="false">MAX(Inputs!$F$43+CHOOSE(Operations!$F$441,0,Inputs!$F$39,0),Inputs!$F$41-Inputs!$F$42/100*CHOOSE(Operations!$F$441,1,Inputs!$F$38,Inputs!$F$40)*Time!AI$8)</f>
        <v>0.62</v>
      </c>
      <c r="AJ452" s="14" t="n">
        <f aca="false">MAX(Inputs!$F$43+CHOOSE(Operations!$F$441,0,Inputs!$F$39,0),Inputs!$F$41-Inputs!$F$42/100*CHOOSE(Operations!$F$441,1,Inputs!$F$38,Inputs!$F$40)*Time!AJ$8)</f>
        <v>0.62</v>
      </c>
      <c r="AK452" s="14" t="n">
        <f aca="false">MAX(Inputs!$F$43+CHOOSE(Operations!$F$441,0,Inputs!$F$39,0),Inputs!$F$41-Inputs!$F$42/100*CHOOSE(Operations!$F$441,1,Inputs!$F$38,Inputs!$F$40)*Time!AK$8)</f>
        <v>0.62</v>
      </c>
      <c r="AL452" s="14" t="n">
        <f aca="false">MAX(Inputs!$F$43+CHOOSE(Operations!$F$441,0,Inputs!$F$39,0),Inputs!$F$41-Inputs!$F$42/100*CHOOSE(Operations!$F$441,1,Inputs!$F$38,Inputs!$F$40)*Time!AL$8)</f>
        <v>0.62</v>
      </c>
      <c r="AM452" s="14" t="n">
        <f aca="false">MAX(Inputs!$F$43+CHOOSE(Operations!$F$441,0,Inputs!$F$39,0),Inputs!$F$41-Inputs!$F$42/100*CHOOSE(Operations!$F$441,1,Inputs!$F$38,Inputs!$F$40)*Time!AM$8)</f>
        <v>0.62</v>
      </c>
      <c r="AN452" s="14" t="n">
        <f aca="false">MAX(Inputs!$F$43+CHOOSE(Operations!$F$441,0,Inputs!$F$39,0),Inputs!$F$41-Inputs!$F$42/100*CHOOSE(Operations!$F$441,1,Inputs!$F$38,Inputs!$F$40)*Time!AN$8)</f>
        <v>0.62</v>
      </c>
      <c r="AO452" s="14" t="n">
        <f aca="false">MAX(Inputs!$F$43+CHOOSE(Operations!$F$441,0,Inputs!$F$39,0),Inputs!$F$41-Inputs!$F$42/100*CHOOSE(Operations!$F$441,1,Inputs!$F$38,Inputs!$F$40)*Time!AO$8)</f>
        <v>0.62</v>
      </c>
      <c r="AP452" s="14" t="n">
        <f aca="false">MAX(Inputs!$F$43+CHOOSE(Operations!$F$441,0,Inputs!$F$39,0),Inputs!$F$41-Inputs!$F$42/100*CHOOSE(Operations!$F$441,1,Inputs!$F$38,Inputs!$F$40)*Time!AP$8)</f>
        <v>0.62</v>
      </c>
      <c r="AQ452" s="14" t="n">
        <f aca="false">MAX(Inputs!$F$43+CHOOSE(Operations!$F$441,0,Inputs!$F$39,0),Inputs!$F$41-Inputs!$F$42/100*CHOOSE(Operations!$F$441,1,Inputs!$F$38,Inputs!$F$40)*Time!AQ$8)</f>
        <v>0.62</v>
      </c>
      <c r="AR452" s="14" t="n">
        <f aca="false">MAX(Inputs!$F$43+CHOOSE(Operations!$F$441,0,Inputs!$F$39,0),Inputs!$F$41-Inputs!$F$42/100*CHOOSE(Operations!$F$441,1,Inputs!$F$38,Inputs!$F$40)*Time!AR$8)</f>
        <v>0.62</v>
      </c>
      <c r="AS452" s="14" t="n">
        <f aca="false">MAX(Inputs!$F$43+CHOOSE(Operations!$F$441,0,Inputs!$F$39,0),Inputs!$F$41-Inputs!$F$42/100*CHOOSE(Operations!$F$441,1,Inputs!$F$38,Inputs!$F$40)*Time!AS$8)</f>
        <v>0.62</v>
      </c>
      <c r="AT452" s="14" t="n">
        <f aca="false">MAX(Inputs!$F$43+CHOOSE(Operations!$F$441,0,Inputs!$F$39,0),Inputs!$F$41-Inputs!$F$42/100*CHOOSE(Operations!$F$441,1,Inputs!$F$38,Inputs!$F$40)*Time!AT$8)</f>
        <v>0.62</v>
      </c>
      <c r="AU452" s="14" t="n">
        <f aca="false">MAX(Inputs!$F$43+CHOOSE(Operations!$F$441,0,Inputs!$F$39,0),Inputs!$F$41-Inputs!$F$42/100*CHOOSE(Operations!$F$441,1,Inputs!$F$38,Inputs!$F$40)*Time!AU$8)</f>
        <v>0.62</v>
      </c>
    </row>
    <row r="453" customFormat="false" ht="15" hidden="false" customHeight="false" outlineLevel="0" collapsed="false">
      <c r="D453" s="0" t="s">
        <v>452</v>
      </c>
      <c r="E453" s="0" t="s">
        <v>54</v>
      </c>
      <c r="J453" s="14" t="n">
        <f aca="false">MAX(Inputs!$F$47+CHOOSE(Operations!$F$441,0,Inputs!$F$39,0),Inputs!$F$45-Inputs!$F$46/100*CHOOSE(Operations!$F$441,1,Inputs!$F$38,Inputs!$F$40)*Time!J$8)</f>
        <v>0.66</v>
      </c>
      <c r="K453" s="14" t="n">
        <f aca="false">MAX(Inputs!$F$47+CHOOSE(Operations!$F$441,0,Inputs!$F$39,0),Inputs!$F$45-Inputs!$F$46/100*CHOOSE(Operations!$F$441,1,Inputs!$F$38,Inputs!$F$40)*Time!K$8)</f>
        <v>0.655</v>
      </c>
      <c r="L453" s="14" t="n">
        <f aca="false">MAX(Inputs!$F$47+CHOOSE(Operations!$F$441,0,Inputs!$F$39,0),Inputs!$F$45-Inputs!$F$46/100*CHOOSE(Operations!$F$441,1,Inputs!$F$38,Inputs!$F$40)*Time!L$8)</f>
        <v>0.65</v>
      </c>
      <c r="M453" s="14" t="n">
        <f aca="false">MAX(Inputs!$F$47+CHOOSE(Operations!$F$441,0,Inputs!$F$39,0),Inputs!$F$45-Inputs!$F$46/100*CHOOSE(Operations!$F$441,1,Inputs!$F$38,Inputs!$F$40)*Time!M$8)</f>
        <v>0.645</v>
      </c>
      <c r="N453" s="14" t="n">
        <f aca="false">MAX(Inputs!$F$47+CHOOSE(Operations!$F$441,0,Inputs!$F$39,0),Inputs!$F$45-Inputs!$F$46/100*CHOOSE(Operations!$F$441,1,Inputs!$F$38,Inputs!$F$40)*Time!N$8)</f>
        <v>0.64</v>
      </c>
      <c r="O453" s="14" t="n">
        <f aca="false">MAX(Inputs!$F$47+CHOOSE(Operations!$F$441,0,Inputs!$F$39,0),Inputs!$F$45-Inputs!$F$46/100*CHOOSE(Operations!$F$441,1,Inputs!$F$38,Inputs!$F$40)*Time!O$8)</f>
        <v>0.635</v>
      </c>
      <c r="P453" s="14" t="n">
        <f aca="false">MAX(Inputs!$F$47+CHOOSE(Operations!$F$441,0,Inputs!$F$39,0),Inputs!$F$45-Inputs!$F$46/100*CHOOSE(Operations!$F$441,1,Inputs!$F$38,Inputs!$F$40)*Time!P$8)</f>
        <v>0.63</v>
      </c>
      <c r="Q453" s="14" t="n">
        <f aca="false">MAX(Inputs!$F$47+CHOOSE(Operations!$F$441,0,Inputs!$F$39,0),Inputs!$F$45-Inputs!$F$46/100*CHOOSE(Operations!$F$441,1,Inputs!$F$38,Inputs!$F$40)*Time!Q$8)</f>
        <v>0.625</v>
      </c>
      <c r="R453" s="14" t="n">
        <f aca="false">MAX(Inputs!$F$47+CHOOSE(Operations!$F$441,0,Inputs!$F$39,0),Inputs!$F$45-Inputs!$F$46/100*CHOOSE(Operations!$F$441,1,Inputs!$F$38,Inputs!$F$40)*Time!R$8)</f>
        <v>0.62</v>
      </c>
      <c r="S453" s="14" t="n">
        <f aca="false">MAX(Inputs!$F$47+CHOOSE(Operations!$F$441,0,Inputs!$F$39,0),Inputs!$F$45-Inputs!$F$46/100*CHOOSE(Operations!$F$441,1,Inputs!$F$38,Inputs!$F$40)*Time!S$8)</f>
        <v>0.615</v>
      </c>
      <c r="T453" s="14" t="n">
        <f aca="false">MAX(Inputs!$F$47+CHOOSE(Operations!$F$441,0,Inputs!$F$39,0),Inputs!$F$45-Inputs!$F$46/100*CHOOSE(Operations!$F$441,1,Inputs!$F$38,Inputs!$F$40)*Time!T$8)</f>
        <v>0.61</v>
      </c>
      <c r="U453" s="14" t="n">
        <f aca="false">MAX(Inputs!$F$47+CHOOSE(Operations!$F$441,0,Inputs!$F$39,0),Inputs!$F$45-Inputs!$F$46/100*CHOOSE(Operations!$F$441,1,Inputs!$F$38,Inputs!$F$40)*Time!U$8)</f>
        <v>0.605</v>
      </c>
      <c r="V453" s="14" t="n">
        <f aca="false">MAX(Inputs!$F$47+CHOOSE(Operations!$F$441,0,Inputs!$F$39,0),Inputs!$F$45-Inputs!$F$46/100*CHOOSE(Operations!$F$441,1,Inputs!$F$38,Inputs!$F$40)*Time!V$8)</f>
        <v>0.6</v>
      </c>
      <c r="W453" s="14" t="n">
        <f aca="false">MAX(Inputs!$F$47+CHOOSE(Operations!$F$441,0,Inputs!$F$39,0),Inputs!$F$45-Inputs!$F$46/100*CHOOSE(Operations!$F$441,1,Inputs!$F$38,Inputs!$F$40)*Time!W$8)</f>
        <v>0.595</v>
      </c>
      <c r="X453" s="14" t="n">
        <f aca="false">MAX(Inputs!$F$47+CHOOSE(Operations!$F$441,0,Inputs!$F$39,0),Inputs!$F$45-Inputs!$F$46/100*CHOOSE(Operations!$F$441,1,Inputs!$F$38,Inputs!$F$40)*Time!X$8)</f>
        <v>0.59</v>
      </c>
      <c r="Y453" s="14" t="n">
        <f aca="false">MAX(Inputs!$F$47+CHOOSE(Operations!$F$441,0,Inputs!$F$39,0),Inputs!$F$45-Inputs!$F$46/100*CHOOSE(Operations!$F$441,1,Inputs!$F$38,Inputs!$F$40)*Time!Y$8)</f>
        <v>0.585</v>
      </c>
      <c r="Z453" s="14" t="n">
        <f aca="false">MAX(Inputs!$F$47+CHOOSE(Operations!$F$441,0,Inputs!$F$39,0),Inputs!$F$45-Inputs!$F$46/100*CHOOSE(Operations!$F$441,1,Inputs!$F$38,Inputs!$F$40)*Time!Z$8)</f>
        <v>0.58</v>
      </c>
      <c r="AA453" s="14" t="n">
        <f aca="false">MAX(Inputs!$F$47+CHOOSE(Operations!$F$441,0,Inputs!$F$39,0),Inputs!$F$45-Inputs!$F$46/100*CHOOSE(Operations!$F$441,1,Inputs!$F$38,Inputs!$F$40)*Time!AA$8)</f>
        <v>0.58</v>
      </c>
      <c r="AB453" s="14" t="n">
        <f aca="false">MAX(Inputs!$F$47+CHOOSE(Operations!$F$441,0,Inputs!$F$39,0),Inputs!$F$45-Inputs!$F$46/100*CHOOSE(Operations!$F$441,1,Inputs!$F$38,Inputs!$F$40)*Time!AB$8)</f>
        <v>0.58</v>
      </c>
      <c r="AC453" s="14" t="n">
        <f aca="false">MAX(Inputs!$F$47+CHOOSE(Operations!$F$441,0,Inputs!$F$39,0),Inputs!$F$45-Inputs!$F$46/100*CHOOSE(Operations!$F$441,1,Inputs!$F$38,Inputs!$F$40)*Time!AC$8)</f>
        <v>0.58</v>
      </c>
      <c r="AD453" s="14" t="n">
        <f aca="false">MAX(Inputs!$F$47+CHOOSE(Operations!$F$441,0,Inputs!$F$39,0),Inputs!$F$45-Inputs!$F$46/100*CHOOSE(Operations!$F$441,1,Inputs!$F$38,Inputs!$F$40)*Time!AD$8)</f>
        <v>0.58</v>
      </c>
      <c r="AE453" s="14" t="n">
        <f aca="false">MAX(Inputs!$F$47+CHOOSE(Operations!$F$441,0,Inputs!$F$39,0),Inputs!$F$45-Inputs!$F$46/100*CHOOSE(Operations!$F$441,1,Inputs!$F$38,Inputs!$F$40)*Time!AE$8)</f>
        <v>0.58</v>
      </c>
      <c r="AF453" s="14" t="n">
        <f aca="false">MAX(Inputs!$F$47+CHOOSE(Operations!$F$441,0,Inputs!$F$39,0),Inputs!$F$45-Inputs!$F$46/100*CHOOSE(Operations!$F$441,1,Inputs!$F$38,Inputs!$F$40)*Time!AF$8)</f>
        <v>0.58</v>
      </c>
      <c r="AG453" s="14" t="n">
        <f aca="false">MAX(Inputs!$F$47+CHOOSE(Operations!$F$441,0,Inputs!$F$39,0),Inputs!$F$45-Inputs!$F$46/100*CHOOSE(Operations!$F$441,1,Inputs!$F$38,Inputs!$F$40)*Time!AG$8)</f>
        <v>0.58</v>
      </c>
      <c r="AH453" s="14" t="n">
        <f aca="false">MAX(Inputs!$F$47+CHOOSE(Operations!$F$441,0,Inputs!$F$39,0),Inputs!$F$45-Inputs!$F$46/100*CHOOSE(Operations!$F$441,1,Inputs!$F$38,Inputs!$F$40)*Time!AH$8)</f>
        <v>0.58</v>
      </c>
      <c r="AI453" s="14" t="n">
        <f aca="false">MAX(Inputs!$F$47+CHOOSE(Operations!$F$441,0,Inputs!$F$39,0),Inputs!$F$45-Inputs!$F$46/100*CHOOSE(Operations!$F$441,1,Inputs!$F$38,Inputs!$F$40)*Time!AI$8)</f>
        <v>0.58</v>
      </c>
      <c r="AJ453" s="14" t="n">
        <f aca="false">MAX(Inputs!$F$47+CHOOSE(Operations!$F$441,0,Inputs!$F$39,0),Inputs!$F$45-Inputs!$F$46/100*CHOOSE(Operations!$F$441,1,Inputs!$F$38,Inputs!$F$40)*Time!AJ$8)</f>
        <v>0.58</v>
      </c>
      <c r="AK453" s="14" t="n">
        <f aca="false">MAX(Inputs!$F$47+CHOOSE(Operations!$F$441,0,Inputs!$F$39,0),Inputs!$F$45-Inputs!$F$46/100*CHOOSE(Operations!$F$441,1,Inputs!$F$38,Inputs!$F$40)*Time!AK$8)</f>
        <v>0.58</v>
      </c>
      <c r="AL453" s="14" t="n">
        <f aca="false">MAX(Inputs!$F$47+CHOOSE(Operations!$F$441,0,Inputs!$F$39,0),Inputs!$F$45-Inputs!$F$46/100*CHOOSE(Operations!$F$441,1,Inputs!$F$38,Inputs!$F$40)*Time!AL$8)</f>
        <v>0.58</v>
      </c>
      <c r="AM453" s="14" t="n">
        <f aca="false">MAX(Inputs!$F$47+CHOOSE(Operations!$F$441,0,Inputs!$F$39,0),Inputs!$F$45-Inputs!$F$46/100*CHOOSE(Operations!$F$441,1,Inputs!$F$38,Inputs!$F$40)*Time!AM$8)</f>
        <v>0.58</v>
      </c>
      <c r="AN453" s="14" t="n">
        <f aca="false">MAX(Inputs!$F$47+CHOOSE(Operations!$F$441,0,Inputs!$F$39,0),Inputs!$F$45-Inputs!$F$46/100*CHOOSE(Operations!$F$441,1,Inputs!$F$38,Inputs!$F$40)*Time!AN$8)</f>
        <v>0.58</v>
      </c>
      <c r="AO453" s="14" t="n">
        <f aca="false">MAX(Inputs!$F$47+CHOOSE(Operations!$F$441,0,Inputs!$F$39,0),Inputs!$F$45-Inputs!$F$46/100*CHOOSE(Operations!$F$441,1,Inputs!$F$38,Inputs!$F$40)*Time!AO$8)</f>
        <v>0.58</v>
      </c>
      <c r="AP453" s="14" t="n">
        <f aca="false">MAX(Inputs!$F$47+CHOOSE(Operations!$F$441,0,Inputs!$F$39,0),Inputs!$F$45-Inputs!$F$46/100*CHOOSE(Operations!$F$441,1,Inputs!$F$38,Inputs!$F$40)*Time!AP$8)</f>
        <v>0.58</v>
      </c>
      <c r="AQ453" s="14" t="n">
        <f aca="false">MAX(Inputs!$F$47+CHOOSE(Operations!$F$441,0,Inputs!$F$39,0),Inputs!$F$45-Inputs!$F$46/100*CHOOSE(Operations!$F$441,1,Inputs!$F$38,Inputs!$F$40)*Time!AQ$8)</f>
        <v>0.58</v>
      </c>
      <c r="AR453" s="14" t="n">
        <f aca="false">MAX(Inputs!$F$47+CHOOSE(Operations!$F$441,0,Inputs!$F$39,0),Inputs!$F$45-Inputs!$F$46/100*CHOOSE(Operations!$F$441,1,Inputs!$F$38,Inputs!$F$40)*Time!AR$8)</f>
        <v>0.58</v>
      </c>
      <c r="AS453" s="14" t="n">
        <f aca="false">MAX(Inputs!$F$47+CHOOSE(Operations!$F$441,0,Inputs!$F$39,0),Inputs!$F$45-Inputs!$F$46/100*CHOOSE(Operations!$F$441,1,Inputs!$F$38,Inputs!$F$40)*Time!AS$8)</f>
        <v>0.58</v>
      </c>
      <c r="AT453" s="14" t="n">
        <f aca="false">MAX(Inputs!$F$47+CHOOSE(Operations!$F$441,0,Inputs!$F$39,0),Inputs!$F$45-Inputs!$F$46/100*CHOOSE(Operations!$F$441,1,Inputs!$F$38,Inputs!$F$40)*Time!AT$8)</f>
        <v>0.58</v>
      </c>
      <c r="AU453" s="14" t="n">
        <f aca="false">MAX(Inputs!$F$47+CHOOSE(Operations!$F$441,0,Inputs!$F$39,0),Inputs!$F$45-Inputs!$F$46/100*CHOOSE(Operations!$F$441,1,Inputs!$F$38,Inputs!$F$40)*Time!AU$8)</f>
        <v>0.58</v>
      </c>
    </row>
    <row r="454" customFormat="false" ht="15" hidden="false" customHeight="false" outlineLevel="0" collapsed="false">
      <c r="D454" s="0" t="s">
        <v>453</v>
      </c>
      <c r="E454" s="0" t="s">
        <v>54</v>
      </c>
      <c r="J454" s="14" t="n">
        <f aca="false">MAX(Inputs!$F$51+CHOOSE(Operations!$F$441,0,Inputs!$F$39,0),Inputs!$F$49-Inputs!$F$50/100*CHOOSE(Operations!$F$441,1,Inputs!$F$38,Inputs!$F$40)*Time!J$8)+Operations!$F$443/100</f>
        <v>0.86</v>
      </c>
      <c r="K454" s="14" t="n">
        <f aca="false">MAX(Inputs!$F$51+CHOOSE(Operations!$F$441,0,Inputs!$F$39,0),Inputs!$F$49-Inputs!$F$50/100*CHOOSE(Operations!$F$441,1,Inputs!$F$38,Inputs!$F$40)*Time!K$8)+Operations!$F$443/100</f>
        <v>0.84</v>
      </c>
      <c r="L454" s="14" t="n">
        <f aca="false">MAX(Inputs!$F$51+CHOOSE(Operations!$F$441,0,Inputs!$F$39,0),Inputs!$F$49-Inputs!$F$50/100*CHOOSE(Operations!$F$441,1,Inputs!$F$38,Inputs!$F$40)*Time!L$8)+Operations!$F$443/100</f>
        <v>0.82</v>
      </c>
      <c r="M454" s="14" t="n">
        <f aca="false">MAX(Inputs!$F$51+CHOOSE(Operations!$F$441,0,Inputs!$F$39,0),Inputs!$F$49-Inputs!$F$50/100*CHOOSE(Operations!$F$441,1,Inputs!$F$38,Inputs!$F$40)*Time!M$8)+Operations!$F$443/100</f>
        <v>0.8</v>
      </c>
      <c r="N454" s="14" t="n">
        <f aca="false">MAX(Inputs!$F$51+CHOOSE(Operations!$F$441,0,Inputs!$F$39,0),Inputs!$F$49-Inputs!$F$50/100*CHOOSE(Operations!$F$441,1,Inputs!$F$38,Inputs!$F$40)*Time!N$8)+Operations!$F$443/100</f>
        <v>0.78</v>
      </c>
      <c r="O454" s="14" t="n">
        <f aca="false">MAX(Inputs!$F$51+CHOOSE(Operations!$F$441,0,Inputs!$F$39,0),Inputs!$F$49-Inputs!$F$50/100*CHOOSE(Operations!$F$441,1,Inputs!$F$38,Inputs!$F$40)*Time!O$8)+Operations!$F$443/100</f>
        <v>0.76</v>
      </c>
      <c r="P454" s="14" t="n">
        <f aca="false">MAX(Inputs!$F$51+CHOOSE(Operations!$F$441,0,Inputs!$F$39,0),Inputs!$F$49-Inputs!$F$50/100*CHOOSE(Operations!$F$441,1,Inputs!$F$38,Inputs!$F$40)*Time!P$8)+Operations!$F$443/100</f>
        <v>0.74</v>
      </c>
      <c r="Q454" s="14" t="n">
        <f aca="false">MAX(Inputs!$F$51+CHOOSE(Operations!$F$441,0,Inputs!$F$39,0),Inputs!$F$49-Inputs!$F$50/100*CHOOSE(Operations!$F$441,1,Inputs!$F$38,Inputs!$F$40)*Time!Q$8)+Operations!$F$443/100</f>
        <v>0.72</v>
      </c>
      <c r="R454" s="14" t="n">
        <f aca="false">MAX(Inputs!$F$51+CHOOSE(Operations!$F$441,0,Inputs!$F$39,0),Inputs!$F$49-Inputs!$F$50/100*CHOOSE(Operations!$F$441,1,Inputs!$F$38,Inputs!$F$40)*Time!R$8)+Operations!$F$443/100</f>
        <v>0.7</v>
      </c>
      <c r="S454" s="14" t="n">
        <f aca="false">MAX(Inputs!$F$51+CHOOSE(Operations!$F$441,0,Inputs!$F$39,0),Inputs!$F$49-Inputs!$F$50/100*CHOOSE(Operations!$F$441,1,Inputs!$F$38,Inputs!$F$40)*Time!S$8)+Operations!$F$443/100</f>
        <v>0.68</v>
      </c>
      <c r="T454" s="14" t="n">
        <f aca="false">MAX(Inputs!$F$51+CHOOSE(Operations!$F$441,0,Inputs!$F$39,0),Inputs!$F$49-Inputs!$F$50/100*CHOOSE(Operations!$F$441,1,Inputs!$F$38,Inputs!$F$40)*Time!T$8)+Operations!$F$443/100</f>
        <v>0.66</v>
      </c>
      <c r="U454" s="14" t="n">
        <f aca="false">MAX(Inputs!$F$51+CHOOSE(Operations!$F$441,0,Inputs!$F$39,0),Inputs!$F$49-Inputs!$F$50/100*CHOOSE(Operations!$F$441,1,Inputs!$F$38,Inputs!$F$40)*Time!U$8)+Operations!$F$443/100</f>
        <v>0.64</v>
      </c>
      <c r="V454" s="14" t="n">
        <f aca="false">MAX(Inputs!$F$51+CHOOSE(Operations!$F$441,0,Inputs!$F$39,0),Inputs!$F$49-Inputs!$F$50/100*CHOOSE(Operations!$F$441,1,Inputs!$F$38,Inputs!$F$40)*Time!V$8)+Operations!$F$443/100</f>
        <v>0.62</v>
      </c>
      <c r="W454" s="14" t="n">
        <f aca="false">MAX(Inputs!$F$51+CHOOSE(Operations!$F$441,0,Inputs!$F$39,0),Inputs!$F$49-Inputs!$F$50/100*CHOOSE(Operations!$F$441,1,Inputs!$F$38,Inputs!$F$40)*Time!W$8)+Operations!$F$443/100</f>
        <v>0.6</v>
      </c>
      <c r="X454" s="14" t="n">
        <f aca="false">MAX(Inputs!$F$51+CHOOSE(Operations!$F$441,0,Inputs!$F$39,0),Inputs!$F$49-Inputs!$F$50/100*CHOOSE(Operations!$F$441,1,Inputs!$F$38,Inputs!$F$40)*Time!X$8)+Operations!$F$443/100</f>
        <v>0.6</v>
      </c>
      <c r="Y454" s="14" t="n">
        <f aca="false">MAX(Inputs!$F$51+CHOOSE(Operations!$F$441,0,Inputs!$F$39,0),Inputs!$F$49-Inputs!$F$50/100*CHOOSE(Operations!$F$441,1,Inputs!$F$38,Inputs!$F$40)*Time!Y$8)+Operations!$F$443/100</f>
        <v>0.6</v>
      </c>
      <c r="Z454" s="14" t="n">
        <f aca="false">MAX(Inputs!$F$51+CHOOSE(Operations!$F$441,0,Inputs!$F$39,0),Inputs!$F$49-Inputs!$F$50/100*CHOOSE(Operations!$F$441,1,Inputs!$F$38,Inputs!$F$40)*Time!Z$8)+Operations!$F$443/100</f>
        <v>0.6</v>
      </c>
      <c r="AA454" s="14" t="n">
        <f aca="false">MAX(Inputs!$F$51+CHOOSE(Operations!$F$441,0,Inputs!$F$39,0),Inputs!$F$49-Inputs!$F$50/100*CHOOSE(Operations!$F$441,1,Inputs!$F$38,Inputs!$F$40)*Time!AA$8)+Operations!$F$443/100</f>
        <v>0.6</v>
      </c>
      <c r="AB454" s="14" t="n">
        <f aca="false">MAX(Inputs!$F$51+CHOOSE(Operations!$F$441,0,Inputs!$F$39,0),Inputs!$F$49-Inputs!$F$50/100*CHOOSE(Operations!$F$441,1,Inputs!$F$38,Inputs!$F$40)*Time!AB$8)+Operations!$F$443/100</f>
        <v>0.6</v>
      </c>
      <c r="AC454" s="14" t="n">
        <f aca="false">MAX(Inputs!$F$51+CHOOSE(Operations!$F$441,0,Inputs!$F$39,0),Inputs!$F$49-Inputs!$F$50/100*CHOOSE(Operations!$F$441,1,Inputs!$F$38,Inputs!$F$40)*Time!AC$8)+Operations!$F$443/100</f>
        <v>0.6</v>
      </c>
      <c r="AD454" s="14" t="n">
        <f aca="false">MAX(Inputs!$F$51+CHOOSE(Operations!$F$441,0,Inputs!$F$39,0),Inputs!$F$49-Inputs!$F$50/100*CHOOSE(Operations!$F$441,1,Inputs!$F$38,Inputs!$F$40)*Time!AD$8)+Operations!$F$443/100</f>
        <v>0.6</v>
      </c>
      <c r="AE454" s="14" t="n">
        <f aca="false">MAX(Inputs!$F$51+CHOOSE(Operations!$F$441,0,Inputs!$F$39,0),Inputs!$F$49-Inputs!$F$50/100*CHOOSE(Operations!$F$441,1,Inputs!$F$38,Inputs!$F$40)*Time!AE$8)+Operations!$F$443/100</f>
        <v>0.6</v>
      </c>
      <c r="AF454" s="14" t="n">
        <f aca="false">MAX(Inputs!$F$51+CHOOSE(Operations!$F$441,0,Inputs!$F$39,0),Inputs!$F$49-Inputs!$F$50/100*CHOOSE(Operations!$F$441,1,Inputs!$F$38,Inputs!$F$40)*Time!AF$8)+Operations!$F$443/100</f>
        <v>0.6</v>
      </c>
      <c r="AG454" s="14" t="n">
        <f aca="false">MAX(Inputs!$F$51+CHOOSE(Operations!$F$441,0,Inputs!$F$39,0),Inputs!$F$49-Inputs!$F$50/100*CHOOSE(Operations!$F$441,1,Inputs!$F$38,Inputs!$F$40)*Time!AG$8)+Operations!$F$443/100</f>
        <v>0.6</v>
      </c>
      <c r="AH454" s="14" t="n">
        <f aca="false">MAX(Inputs!$F$51+CHOOSE(Operations!$F$441,0,Inputs!$F$39,0),Inputs!$F$49-Inputs!$F$50/100*CHOOSE(Operations!$F$441,1,Inputs!$F$38,Inputs!$F$40)*Time!AH$8)+Operations!$F$443/100</f>
        <v>0.6</v>
      </c>
      <c r="AI454" s="14" t="n">
        <f aca="false">MAX(Inputs!$F$51+CHOOSE(Operations!$F$441,0,Inputs!$F$39,0),Inputs!$F$49-Inputs!$F$50/100*CHOOSE(Operations!$F$441,1,Inputs!$F$38,Inputs!$F$40)*Time!AI$8)+Operations!$F$443/100</f>
        <v>0.6</v>
      </c>
      <c r="AJ454" s="14" t="n">
        <f aca="false">MAX(Inputs!$F$51+CHOOSE(Operations!$F$441,0,Inputs!$F$39,0),Inputs!$F$49-Inputs!$F$50/100*CHOOSE(Operations!$F$441,1,Inputs!$F$38,Inputs!$F$40)*Time!AJ$8)+Operations!$F$443/100</f>
        <v>0.6</v>
      </c>
      <c r="AK454" s="14" t="n">
        <f aca="false">MAX(Inputs!$F$51+CHOOSE(Operations!$F$441,0,Inputs!$F$39,0),Inputs!$F$49-Inputs!$F$50/100*CHOOSE(Operations!$F$441,1,Inputs!$F$38,Inputs!$F$40)*Time!AK$8)+Operations!$F$443/100</f>
        <v>0.6</v>
      </c>
      <c r="AL454" s="14" t="n">
        <f aca="false">MAX(Inputs!$F$51+CHOOSE(Operations!$F$441,0,Inputs!$F$39,0),Inputs!$F$49-Inputs!$F$50/100*CHOOSE(Operations!$F$441,1,Inputs!$F$38,Inputs!$F$40)*Time!AL$8)+Operations!$F$443/100</f>
        <v>0.6</v>
      </c>
      <c r="AM454" s="14" t="n">
        <f aca="false">MAX(Inputs!$F$51+CHOOSE(Operations!$F$441,0,Inputs!$F$39,0),Inputs!$F$49-Inputs!$F$50/100*CHOOSE(Operations!$F$441,1,Inputs!$F$38,Inputs!$F$40)*Time!AM$8)+Operations!$F$443/100</f>
        <v>0.6</v>
      </c>
      <c r="AN454" s="14" t="n">
        <f aca="false">MAX(Inputs!$F$51+CHOOSE(Operations!$F$441,0,Inputs!$F$39,0),Inputs!$F$49-Inputs!$F$50/100*CHOOSE(Operations!$F$441,1,Inputs!$F$38,Inputs!$F$40)*Time!AN$8)+Operations!$F$443/100</f>
        <v>0.6</v>
      </c>
      <c r="AO454" s="14" t="n">
        <f aca="false">MAX(Inputs!$F$51+CHOOSE(Operations!$F$441,0,Inputs!$F$39,0),Inputs!$F$49-Inputs!$F$50/100*CHOOSE(Operations!$F$441,1,Inputs!$F$38,Inputs!$F$40)*Time!AO$8)+Operations!$F$443/100</f>
        <v>0.6</v>
      </c>
      <c r="AP454" s="14" t="n">
        <f aca="false">MAX(Inputs!$F$51+CHOOSE(Operations!$F$441,0,Inputs!$F$39,0),Inputs!$F$49-Inputs!$F$50/100*CHOOSE(Operations!$F$441,1,Inputs!$F$38,Inputs!$F$40)*Time!AP$8)+Operations!$F$443/100</f>
        <v>0.6</v>
      </c>
      <c r="AQ454" s="14" t="n">
        <f aca="false">MAX(Inputs!$F$51+CHOOSE(Operations!$F$441,0,Inputs!$F$39,0),Inputs!$F$49-Inputs!$F$50/100*CHOOSE(Operations!$F$441,1,Inputs!$F$38,Inputs!$F$40)*Time!AQ$8)+Operations!$F$443/100</f>
        <v>0.6</v>
      </c>
      <c r="AR454" s="14" t="n">
        <f aca="false">MAX(Inputs!$F$51+CHOOSE(Operations!$F$441,0,Inputs!$F$39,0),Inputs!$F$49-Inputs!$F$50/100*CHOOSE(Operations!$F$441,1,Inputs!$F$38,Inputs!$F$40)*Time!AR$8)+Operations!$F$443/100</f>
        <v>0.6</v>
      </c>
      <c r="AS454" s="14" t="n">
        <f aca="false">MAX(Inputs!$F$51+CHOOSE(Operations!$F$441,0,Inputs!$F$39,0),Inputs!$F$49-Inputs!$F$50/100*CHOOSE(Operations!$F$441,1,Inputs!$F$38,Inputs!$F$40)*Time!AS$8)+Operations!$F$443/100</f>
        <v>0.6</v>
      </c>
      <c r="AT454" s="14" t="n">
        <f aca="false">MAX(Inputs!$F$51+CHOOSE(Operations!$F$441,0,Inputs!$F$39,0),Inputs!$F$49-Inputs!$F$50/100*CHOOSE(Operations!$F$441,1,Inputs!$F$38,Inputs!$F$40)*Time!AT$8)+Operations!$F$443/100</f>
        <v>0.6</v>
      </c>
      <c r="AU454" s="14" t="n">
        <f aca="false">MAX(Inputs!$F$51+CHOOSE(Operations!$F$441,0,Inputs!$F$39,0),Inputs!$F$49-Inputs!$F$50/100*CHOOSE(Operations!$F$441,1,Inputs!$F$38,Inputs!$F$40)*Time!AU$8)+Operations!$F$443/100</f>
        <v>0.6</v>
      </c>
    </row>
    <row r="455" customFormat="false" ht="15" hidden="false" customHeight="false" outlineLevel="0" collapsed="false">
      <c r="D455" s="0" t="s">
        <v>454</v>
      </c>
      <c r="E455" s="0" t="s">
        <v>54</v>
      </c>
      <c r="J455" s="14" t="n">
        <f aca="false">MAX(Inputs!$F$55+CHOOSE(Operations!$F$441,0,Inputs!$F$39,0),Inputs!$F$53-Inputs!$F$54/100*CHOOSE(Operations!$F$441,1,Inputs!$F$38,Inputs!$F$40)*Time!J$8)</f>
        <v>0.9</v>
      </c>
      <c r="K455" s="14" t="n">
        <f aca="false">MAX(Inputs!$F$55+CHOOSE(Operations!$F$441,0,Inputs!$F$39,0),Inputs!$F$53-Inputs!$F$54/100*CHOOSE(Operations!$F$441,1,Inputs!$F$38,Inputs!$F$40)*Time!K$8)</f>
        <v>0.882</v>
      </c>
      <c r="L455" s="14" t="n">
        <f aca="false">MAX(Inputs!$F$55+CHOOSE(Operations!$F$441,0,Inputs!$F$39,0),Inputs!$F$53-Inputs!$F$54/100*CHOOSE(Operations!$F$441,1,Inputs!$F$38,Inputs!$F$40)*Time!L$8)</f>
        <v>0.864</v>
      </c>
      <c r="M455" s="14" t="n">
        <f aca="false">MAX(Inputs!$F$55+CHOOSE(Operations!$F$441,0,Inputs!$F$39,0),Inputs!$F$53-Inputs!$F$54/100*CHOOSE(Operations!$F$441,1,Inputs!$F$38,Inputs!$F$40)*Time!M$8)</f>
        <v>0.846</v>
      </c>
      <c r="N455" s="14" t="n">
        <f aca="false">MAX(Inputs!$F$55+CHOOSE(Operations!$F$441,0,Inputs!$F$39,0),Inputs!$F$53-Inputs!$F$54/100*CHOOSE(Operations!$F$441,1,Inputs!$F$38,Inputs!$F$40)*Time!N$8)</f>
        <v>0.828</v>
      </c>
      <c r="O455" s="14" t="n">
        <f aca="false">MAX(Inputs!$F$55+CHOOSE(Operations!$F$441,0,Inputs!$F$39,0),Inputs!$F$53-Inputs!$F$54/100*CHOOSE(Operations!$F$441,1,Inputs!$F$38,Inputs!$F$40)*Time!O$8)</f>
        <v>0.81</v>
      </c>
      <c r="P455" s="14" t="n">
        <f aca="false">MAX(Inputs!$F$55+CHOOSE(Operations!$F$441,0,Inputs!$F$39,0),Inputs!$F$53-Inputs!$F$54/100*CHOOSE(Operations!$F$441,1,Inputs!$F$38,Inputs!$F$40)*Time!P$8)</f>
        <v>0.792</v>
      </c>
      <c r="Q455" s="14" t="n">
        <f aca="false">MAX(Inputs!$F$55+CHOOSE(Operations!$F$441,0,Inputs!$F$39,0),Inputs!$F$53-Inputs!$F$54/100*CHOOSE(Operations!$F$441,1,Inputs!$F$38,Inputs!$F$40)*Time!Q$8)</f>
        <v>0.774</v>
      </c>
      <c r="R455" s="14" t="n">
        <f aca="false">MAX(Inputs!$F$55+CHOOSE(Operations!$F$441,0,Inputs!$F$39,0),Inputs!$F$53-Inputs!$F$54/100*CHOOSE(Operations!$F$441,1,Inputs!$F$38,Inputs!$F$40)*Time!R$8)</f>
        <v>0.756</v>
      </c>
      <c r="S455" s="14" t="n">
        <f aca="false">MAX(Inputs!$F$55+CHOOSE(Operations!$F$441,0,Inputs!$F$39,0),Inputs!$F$53-Inputs!$F$54/100*CHOOSE(Operations!$F$441,1,Inputs!$F$38,Inputs!$F$40)*Time!S$8)</f>
        <v>0.738</v>
      </c>
      <c r="T455" s="14" t="n">
        <f aca="false">MAX(Inputs!$F$55+CHOOSE(Operations!$F$441,0,Inputs!$F$39,0),Inputs!$F$53-Inputs!$F$54/100*CHOOSE(Operations!$F$441,1,Inputs!$F$38,Inputs!$F$40)*Time!T$8)</f>
        <v>0.72</v>
      </c>
      <c r="U455" s="14" t="n">
        <f aca="false">MAX(Inputs!$F$55+CHOOSE(Operations!$F$441,0,Inputs!$F$39,0),Inputs!$F$53-Inputs!$F$54/100*CHOOSE(Operations!$F$441,1,Inputs!$F$38,Inputs!$F$40)*Time!U$8)</f>
        <v>0.702</v>
      </c>
      <c r="V455" s="14" t="n">
        <f aca="false">MAX(Inputs!$F$55+CHOOSE(Operations!$F$441,0,Inputs!$F$39,0),Inputs!$F$53-Inputs!$F$54/100*CHOOSE(Operations!$F$441,1,Inputs!$F$38,Inputs!$F$40)*Time!V$8)</f>
        <v>0.684</v>
      </c>
      <c r="W455" s="14" t="n">
        <f aca="false">MAX(Inputs!$F$55+CHOOSE(Operations!$F$441,0,Inputs!$F$39,0),Inputs!$F$53-Inputs!$F$54/100*CHOOSE(Operations!$F$441,1,Inputs!$F$38,Inputs!$F$40)*Time!W$8)</f>
        <v>0.666</v>
      </c>
      <c r="X455" s="14" t="n">
        <f aca="false">MAX(Inputs!$F$55+CHOOSE(Operations!$F$441,0,Inputs!$F$39,0),Inputs!$F$53-Inputs!$F$54/100*CHOOSE(Operations!$F$441,1,Inputs!$F$38,Inputs!$F$40)*Time!X$8)</f>
        <v>0.648</v>
      </c>
      <c r="Y455" s="14" t="n">
        <f aca="false">MAX(Inputs!$F$55+CHOOSE(Operations!$F$441,0,Inputs!$F$39,0),Inputs!$F$53-Inputs!$F$54/100*CHOOSE(Operations!$F$441,1,Inputs!$F$38,Inputs!$F$40)*Time!Y$8)</f>
        <v>0.64</v>
      </c>
      <c r="Z455" s="14" t="n">
        <f aca="false">MAX(Inputs!$F$55+CHOOSE(Operations!$F$441,0,Inputs!$F$39,0),Inputs!$F$53-Inputs!$F$54/100*CHOOSE(Operations!$F$441,1,Inputs!$F$38,Inputs!$F$40)*Time!Z$8)</f>
        <v>0.64</v>
      </c>
      <c r="AA455" s="14" t="n">
        <f aca="false">MAX(Inputs!$F$55+CHOOSE(Operations!$F$441,0,Inputs!$F$39,0),Inputs!$F$53-Inputs!$F$54/100*CHOOSE(Operations!$F$441,1,Inputs!$F$38,Inputs!$F$40)*Time!AA$8)</f>
        <v>0.64</v>
      </c>
      <c r="AB455" s="14" t="n">
        <f aca="false">MAX(Inputs!$F$55+CHOOSE(Operations!$F$441,0,Inputs!$F$39,0),Inputs!$F$53-Inputs!$F$54/100*CHOOSE(Operations!$F$441,1,Inputs!$F$38,Inputs!$F$40)*Time!AB$8)</f>
        <v>0.64</v>
      </c>
      <c r="AC455" s="14" t="n">
        <f aca="false">MAX(Inputs!$F$55+CHOOSE(Operations!$F$441,0,Inputs!$F$39,0),Inputs!$F$53-Inputs!$F$54/100*CHOOSE(Operations!$F$441,1,Inputs!$F$38,Inputs!$F$40)*Time!AC$8)</f>
        <v>0.64</v>
      </c>
      <c r="AD455" s="14" t="n">
        <f aca="false">MAX(Inputs!$F$55+CHOOSE(Operations!$F$441,0,Inputs!$F$39,0),Inputs!$F$53-Inputs!$F$54/100*CHOOSE(Operations!$F$441,1,Inputs!$F$38,Inputs!$F$40)*Time!AD$8)</f>
        <v>0.64</v>
      </c>
      <c r="AE455" s="14" t="n">
        <f aca="false">MAX(Inputs!$F$55+CHOOSE(Operations!$F$441,0,Inputs!$F$39,0),Inputs!$F$53-Inputs!$F$54/100*CHOOSE(Operations!$F$441,1,Inputs!$F$38,Inputs!$F$40)*Time!AE$8)</f>
        <v>0.64</v>
      </c>
      <c r="AF455" s="14" t="n">
        <f aca="false">MAX(Inputs!$F$55+CHOOSE(Operations!$F$441,0,Inputs!$F$39,0),Inputs!$F$53-Inputs!$F$54/100*CHOOSE(Operations!$F$441,1,Inputs!$F$38,Inputs!$F$40)*Time!AF$8)</f>
        <v>0.64</v>
      </c>
      <c r="AG455" s="14" t="n">
        <f aca="false">MAX(Inputs!$F$55+CHOOSE(Operations!$F$441,0,Inputs!$F$39,0),Inputs!$F$53-Inputs!$F$54/100*CHOOSE(Operations!$F$441,1,Inputs!$F$38,Inputs!$F$40)*Time!AG$8)</f>
        <v>0.64</v>
      </c>
      <c r="AH455" s="14" t="n">
        <f aca="false">MAX(Inputs!$F$55+CHOOSE(Operations!$F$441,0,Inputs!$F$39,0),Inputs!$F$53-Inputs!$F$54/100*CHOOSE(Operations!$F$441,1,Inputs!$F$38,Inputs!$F$40)*Time!AH$8)</f>
        <v>0.64</v>
      </c>
      <c r="AI455" s="14" t="n">
        <f aca="false">MAX(Inputs!$F$55+CHOOSE(Operations!$F$441,0,Inputs!$F$39,0),Inputs!$F$53-Inputs!$F$54/100*CHOOSE(Operations!$F$441,1,Inputs!$F$38,Inputs!$F$40)*Time!AI$8)</f>
        <v>0.64</v>
      </c>
      <c r="AJ455" s="14" t="n">
        <f aca="false">MAX(Inputs!$F$55+CHOOSE(Operations!$F$441,0,Inputs!$F$39,0),Inputs!$F$53-Inputs!$F$54/100*CHOOSE(Operations!$F$441,1,Inputs!$F$38,Inputs!$F$40)*Time!AJ$8)</f>
        <v>0.64</v>
      </c>
      <c r="AK455" s="14" t="n">
        <f aca="false">MAX(Inputs!$F$55+CHOOSE(Operations!$F$441,0,Inputs!$F$39,0),Inputs!$F$53-Inputs!$F$54/100*CHOOSE(Operations!$F$441,1,Inputs!$F$38,Inputs!$F$40)*Time!AK$8)</f>
        <v>0.64</v>
      </c>
      <c r="AL455" s="14" t="n">
        <f aca="false">MAX(Inputs!$F$55+CHOOSE(Operations!$F$441,0,Inputs!$F$39,0),Inputs!$F$53-Inputs!$F$54/100*CHOOSE(Operations!$F$441,1,Inputs!$F$38,Inputs!$F$40)*Time!AL$8)</f>
        <v>0.64</v>
      </c>
      <c r="AM455" s="14" t="n">
        <f aca="false">MAX(Inputs!$F$55+CHOOSE(Operations!$F$441,0,Inputs!$F$39,0),Inputs!$F$53-Inputs!$F$54/100*CHOOSE(Operations!$F$441,1,Inputs!$F$38,Inputs!$F$40)*Time!AM$8)</f>
        <v>0.64</v>
      </c>
      <c r="AN455" s="14" t="n">
        <f aca="false">MAX(Inputs!$F$55+CHOOSE(Operations!$F$441,0,Inputs!$F$39,0),Inputs!$F$53-Inputs!$F$54/100*CHOOSE(Operations!$F$441,1,Inputs!$F$38,Inputs!$F$40)*Time!AN$8)</f>
        <v>0.64</v>
      </c>
      <c r="AO455" s="14" t="n">
        <f aca="false">MAX(Inputs!$F$55+CHOOSE(Operations!$F$441,0,Inputs!$F$39,0),Inputs!$F$53-Inputs!$F$54/100*CHOOSE(Operations!$F$441,1,Inputs!$F$38,Inputs!$F$40)*Time!AO$8)</f>
        <v>0.64</v>
      </c>
      <c r="AP455" s="14" t="n">
        <f aca="false">MAX(Inputs!$F$55+CHOOSE(Operations!$F$441,0,Inputs!$F$39,0),Inputs!$F$53-Inputs!$F$54/100*CHOOSE(Operations!$F$441,1,Inputs!$F$38,Inputs!$F$40)*Time!AP$8)</f>
        <v>0.64</v>
      </c>
      <c r="AQ455" s="14" t="n">
        <f aca="false">MAX(Inputs!$F$55+CHOOSE(Operations!$F$441,0,Inputs!$F$39,0),Inputs!$F$53-Inputs!$F$54/100*CHOOSE(Operations!$F$441,1,Inputs!$F$38,Inputs!$F$40)*Time!AQ$8)</f>
        <v>0.64</v>
      </c>
      <c r="AR455" s="14" t="n">
        <f aca="false">MAX(Inputs!$F$55+CHOOSE(Operations!$F$441,0,Inputs!$F$39,0),Inputs!$F$53-Inputs!$F$54/100*CHOOSE(Operations!$F$441,1,Inputs!$F$38,Inputs!$F$40)*Time!AR$8)</f>
        <v>0.64</v>
      </c>
      <c r="AS455" s="14" t="n">
        <f aca="false">MAX(Inputs!$F$55+CHOOSE(Operations!$F$441,0,Inputs!$F$39,0),Inputs!$F$53-Inputs!$F$54/100*CHOOSE(Operations!$F$441,1,Inputs!$F$38,Inputs!$F$40)*Time!AS$8)</f>
        <v>0.64</v>
      </c>
      <c r="AT455" s="14" t="n">
        <f aca="false">MAX(Inputs!$F$55+CHOOSE(Operations!$F$441,0,Inputs!$F$39,0),Inputs!$F$53-Inputs!$F$54/100*CHOOSE(Operations!$F$441,1,Inputs!$F$38,Inputs!$F$40)*Time!AT$8)</f>
        <v>0.64</v>
      </c>
      <c r="AU455" s="14" t="n">
        <f aca="false">MAX(Inputs!$F$55+CHOOSE(Operations!$F$441,0,Inputs!$F$39,0),Inputs!$F$53-Inputs!$F$54/100*CHOOSE(Operations!$F$441,1,Inputs!$F$38,Inputs!$F$40)*Time!AU$8)</f>
        <v>0.64</v>
      </c>
    </row>
    <row r="456" customFormat="false" ht="15" hidden="false" customHeight="false" outlineLevel="0" collapsed="false">
      <c r="D456" s="0" t="s">
        <v>455</v>
      </c>
      <c r="E456" s="0" t="s">
        <v>54</v>
      </c>
      <c r="J456" s="14" t="n">
        <f aca="false">MAX(Inputs!$F$59+CHOOSE(Operations!$F$441,0,Inputs!$F$39,0),Inputs!$F$57-Inputs!$F$58/100*CHOOSE(Operations!$F$441,1,Inputs!$F$38,Inputs!$F$40)*Time!J$8)</f>
        <v>0.92</v>
      </c>
      <c r="K456" s="14" t="n">
        <f aca="false">MAX(Inputs!$F$59+CHOOSE(Operations!$F$441,0,Inputs!$F$39,0),Inputs!$F$57-Inputs!$F$58/100*CHOOSE(Operations!$F$441,1,Inputs!$F$38,Inputs!$F$40)*Time!K$8)</f>
        <v>0.917</v>
      </c>
      <c r="L456" s="14" t="n">
        <f aca="false">MAX(Inputs!$F$59+CHOOSE(Operations!$F$441,0,Inputs!$F$39,0),Inputs!$F$57-Inputs!$F$58/100*CHOOSE(Operations!$F$441,1,Inputs!$F$38,Inputs!$F$40)*Time!L$8)</f>
        <v>0.914</v>
      </c>
      <c r="M456" s="14" t="n">
        <f aca="false">MAX(Inputs!$F$59+CHOOSE(Operations!$F$441,0,Inputs!$F$39,0),Inputs!$F$57-Inputs!$F$58/100*CHOOSE(Operations!$F$441,1,Inputs!$F$38,Inputs!$F$40)*Time!M$8)</f>
        <v>0.911</v>
      </c>
      <c r="N456" s="14" t="n">
        <f aca="false">MAX(Inputs!$F$59+CHOOSE(Operations!$F$441,0,Inputs!$F$39,0),Inputs!$F$57-Inputs!$F$58/100*CHOOSE(Operations!$F$441,1,Inputs!$F$38,Inputs!$F$40)*Time!N$8)</f>
        <v>0.908</v>
      </c>
      <c r="O456" s="14" t="n">
        <f aca="false">MAX(Inputs!$F$59+CHOOSE(Operations!$F$441,0,Inputs!$F$39,0),Inputs!$F$57-Inputs!$F$58/100*CHOOSE(Operations!$F$441,1,Inputs!$F$38,Inputs!$F$40)*Time!O$8)</f>
        <v>0.905</v>
      </c>
      <c r="P456" s="14" t="n">
        <f aca="false">MAX(Inputs!$F$59+CHOOSE(Operations!$F$441,0,Inputs!$F$39,0),Inputs!$F$57-Inputs!$F$58/100*CHOOSE(Operations!$F$441,1,Inputs!$F$38,Inputs!$F$40)*Time!P$8)</f>
        <v>0.902</v>
      </c>
      <c r="Q456" s="14" t="n">
        <f aca="false">MAX(Inputs!$F$59+CHOOSE(Operations!$F$441,0,Inputs!$F$39,0),Inputs!$F$57-Inputs!$F$58/100*CHOOSE(Operations!$F$441,1,Inputs!$F$38,Inputs!$F$40)*Time!Q$8)</f>
        <v>0.899</v>
      </c>
      <c r="R456" s="14" t="n">
        <f aca="false">MAX(Inputs!$F$59+CHOOSE(Operations!$F$441,0,Inputs!$F$39,0),Inputs!$F$57-Inputs!$F$58/100*CHOOSE(Operations!$F$441,1,Inputs!$F$38,Inputs!$F$40)*Time!R$8)</f>
        <v>0.896</v>
      </c>
      <c r="S456" s="14" t="n">
        <f aca="false">MAX(Inputs!$F$59+CHOOSE(Operations!$F$441,0,Inputs!$F$39,0),Inputs!$F$57-Inputs!$F$58/100*CHOOSE(Operations!$F$441,1,Inputs!$F$38,Inputs!$F$40)*Time!S$8)</f>
        <v>0.893</v>
      </c>
      <c r="T456" s="14" t="n">
        <f aca="false">MAX(Inputs!$F$59+CHOOSE(Operations!$F$441,0,Inputs!$F$39,0),Inputs!$F$57-Inputs!$F$58/100*CHOOSE(Operations!$F$441,1,Inputs!$F$38,Inputs!$F$40)*Time!T$8)</f>
        <v>0.89</v>
      </c>
      <c r="U456" s="14" t="n">
        <f aca="false">MAX(Inputs!$F$59+CHOOSE(Operations!$F$441,0,Inputs!$F$39,0),Inputs!$F$57-Inputs!$F$58/100*CHOOSE(Operations!$F$441,1,Inputs!$F$38,Inputs!$F$40)*Time!U$8)</f>
        <v>0.887</v>
      </c>
      <c r="V456" s="14" t="n">
        <f aca="false">MAX(Inputs!$F$59+CHOOSE(Operations!$F$441,0,Inputs!$F$39,0),Inputs!$F$57-Inputs!$F$58/100*CHOOSE(Operations!$F$441,1,Inputs!$F$38,Inputs!$F$40)*Time!V$8)</f>
        <v>0.884</v>
      </c>
      <c r="W456" s="14" t="n">
        <f aca="false">MAX(Inputs!$F$59+CHOOSE(Operations!$F$441,0,Inputs!$F$39,0),Inputs!$F$57-Inputs!$F$58/100*CHOOSE(Operations!$F$441,1,Inputs!$F$38,Inputs!$F$40)*Time!W$8)</f>
        <v>0.881</v>
      </c>
      <c r="X456" s="14" t="n">
        <f aca="false">MAX(Inputs!$F$59+CHOOSE(Operations!$F$441,0,Inputs!$F$39,0),Inputs!$F$57-Inputs!$F$58/100*CHOOSE(Operations!$F$441,1,Inputs!$F$38,Inputs!$F$40)*Time!X$8)</f>
        <v>0.878</v>
      </c>
      <c r="Y456" s="14" t="n">
        <f aca="false">MAX(Inputs!$F$59+CHOOSE(Operations!$F$441,0,Inputs!$F$39,0),Inputs!$F$57-Inputs!$F$58/100*CHOOSE(Operations!$F$441,1,Inputs!$F$38,Inputs!$F$40)*Time!Y$8)</f>
        <v>0.875</v>
      </c>
      <c r="Z456" s="14" t="n">
        <f aca="false">MAX(Inputs!$F$59+CHOOSE(Operations!$F$441,0,Inputs!$F$39,0),Inputs!$F$57-Inputs!$F$58/100*CHOOSE(Operations!$F$441,1,Inputs!$F$38,Inputs!$F$40)*Time!Z$8)</f>
        <v>0.872</v>
      </c>
      <c r="AA456" s="14" t="n">
        <f aca="false">MAX(Inputs!$F$59+CHOOSE(Operations!$F$441,0,Inputs!$F$39,0),Inputs!$F$57-Inputs!$F$58/100*CHOOSE(Operations!$F$441,1,Inputs!$F$38,Inputs!$F$40)*Time!AA$8)</f>
        <v>0.869</v>
      </c>
      <c r="AB456" s="14" t="n">
        <f aca="false">MAX(Inputs!$F$59+CHOOSE(Operations!$F$441,0,Inputs!$F$39,0),Inputs!$F$57-Inputs!$F$58/100*CHOOSE(Operations!$F$441,1,Inputs!$F$38,Inputs!$F$40)*Time!AB$8)</f>
        <v>0.866</v>
      </c>
      <c r="AC456" s="14" t="n">
        <f aca="false">MAX(Inputs!$F$59+CHOOSE(Operations!$F$441,0,Inputs!$F$39,0),Inputs!$F$57-Inputs!$F$58/100*CHOOSE(Operations!$F$441,1,Inputs!$F$38,Inputs!$F$40)*Time!AC$8)</f>
        <v>0.863</v>
      </c>
      <c r="AD456" s="14" t="n">
        <f aca="false">MAX(Inputs!$F$59+CHOOSE(Operations!$F$441,0,Inputs!$F$39,0),Inputs!$F$57-Inputs!$F$58/100*CHOOSE(Operations!$F$441,1,Inputs!$F$38,Inputs!$F$40)*Time!AD$8)</f>
        <v>0.86</v>
      </c>
      <c r="AE456" s="14" t="n">
        <f aca="false">MAX(Inputs!$F$59+CHOOSE(Operations!$F$441,0,Inputs!$F$39,0),Inputs!$F$57-Inputs!$F$58/100*CHOOSE(Operations!$F$441,1,Inputs!$F$38,Inputs!$F$40)*Time!AE$8)</f>
        <v>0.857</v>
      </c>
      <c r="AF456" s="14" t="n">
        <f aca="false">MAX(Inputs!$F$59+CHOOSE(Operations!$F$441,0,Inputs!$F$39,0),Inputs!$F$57-Inputs!$F$58/100*CHOOSE(Operations!$F$441,1,Inputs!$F$38,Inputs!$F$40)*Time!AF$8)</f>
        <v>0.854</v>
      </c>
      <c r="AG456" s="14" t="n">
        <f aca="false">MAX(Inputs!$F$59+CHOOSE(Operations!$F$441,0,Inputs!$F$39,0),Inputs!$F$57-Inputs!$F$58/100*CHOOSE(Operations!$F$441,1,Inputs!$F$38,Inputs!$F$40)*Time!AG$8)</f>
        <v>0.851</v>
      </c>
      <c r="AH456" s="14" t="n">
        <f aca="false">MAX(Inputs!$F$59+CHOOSE(Operations!$F$441,0,Inputs!$F$39,0),Inputs!$F$57-Inputs!$F$58/100*CHOOSE(Operations!$F$441,1,Inputs!$F$38,Inputs!$F$40)*Time!AH$8)</f>
        <v>0.85</v>
      </c>
      <c r="AI456" s="14" t="n">
        <f aca="false">MAX(Inputs!$F$59+CHOOSE(Operations!$F$441,0,Inputs!$F$39,0),Inputs!$F$57-Inputs!$F$58/100*CHOOSE(Operations!$F$441,1,Inputs!$F$38,Inputs!$F$40)*Time!AI$8)</f>
        <v>0.85</v>
      </c>
      <c r="AJ456" s="14" t="n">
        <f aca="false">MAX(Inputs!$F$59+CHOOSE(Operations!$F$441,0,Inputs!$F$39,0),Inputs!$F$57-Inputs!$F$58/100*CHOOSE(Operations!$F$441,1,Inputs!$F$38,Inputs!$F$40)*Time!AJ$8)</f>
        <v>0.85</v>
      </c>
      <c r="AK456" s="14" t="n">
        <f aca="false">MAX(Inputs!$F$59+CHOOSE(Operations!$F$441,0,Inputs!$F$39,0),Inputs!$F$57-Inputs!$F$58/100*CHOOSE(Operations!$F$441,1,Inputs!$F$38,Inputs!$F$40)*Time!AK$8)</f>
        <v>0.85</v>
      </c>
      <c r="AL456" s="14" t="n">
        <f aca="false">MAX(Inputs!$F$59+CHOOSE(Operations!$F$441,0,Inputs!$F$39,0),Inputs!$F$57-Inputs!$F$58/100*CHOOSE(Operations!$F$441,1,Inputs!$F$38,Inputs!$F$40)*Time!AL$8)</f>
        <v>0.85</v>
      </c>
      <c r="AM456" s="14" t="n">
        <f aca="false">MAX(Inputs!$F$59+CHOOSE(Operations!$F$441,0,Inputs!$F$39,0),Inputs!$F$57-Inputs!$F$58/100*CHOOSE(Operations!$F$441,1,Inputs!$F$38,Inputs!$F$40)*Time!AM$8)</f>
        <v>0.85</v>
      </c>
      <c r="AN456" s="14" t="n">
        <f aca="false">MAX(Inputs!$F$59+CHOOSE(Operations!$F$441,0,Inputs!$F$39,0),Inputs!$F$57-Inputs!$F$58/100*CHOOSE(Operations!$F$441,1,Inputs!$F$38,Inputs!$F$40)*Time!AN$8)</f>
        <v>0.85</v>
      </c>
      <c r="AO456" s="14" t="n">
        <f aca="false">MAX(Inputs!$F$59+CHOOSE(Operations!$F$441,0,Inputs!$F$39,0),Inputs!$F$57-Inputs!$F$58/100*CHOOSE(Operations!$F$441,1,Inputs!$F$38,Inputs!$F$40)*Time!AO$8)</f>
        <v>0.85</v>
      </c>
      <c r="AP456" s="14" t="n">
        <f aca="false">MAX(Inputs!$F$59+CHOOSE(Operations!$F$441,0,Inputs!$F$39,0),Inputs!$F$57-Inputs!$F$58/100*CHOOSE(Operations!$F$441,1,Inputs!$F$38,Inputs!$F$40)*Time!AP$8)</f>
        <v>0.85</v>
      </c>
      <c r="AQ456" s="14" t="n">
        <f aca="false">MAX(Inputs!$F$59+CHOOSE(Operations!$F$441,0,Inputs!$F$39,0),Inputs!$F$57-Inputs!$F$58/100*CHOOSE(Operations!$F$441,1,Inputs!$F$38,Inputs!$F$40)*Time!AQ$8)</f>
        <v>0.85</v>
      </c>
      <c r="AR456" s="14" t="n">
        <f aca="false">MAX(Inputs!$F$59+CHOOSE(Operations!$F$441,0,Inputs!$F$39,0),Inputs!$F$57-Inputs!$F$58/100*CHOOSE(Operations!$F$441,1,Inputs!$F$38,Inputs!$F$40)*Time!AR$8)</f>
        <v>0.85</v>
      </c>
      <c r="AS456" s="14" t="n">
        <f aca="false">MAX(Inputs!$F$59+CHOOSE(Operations!$F$441,0,Inputs!$F$39,0),Inputs!$F$57-Inputs!$F$58/100*CHOOSE(Operations!$F$441,1,Inputs!$F$38,Inputs!$F$40)*Time!AS$8)</f>
        <v>0.85</v>
      </c>
      <c r="AT456" s="14" t="n">
        <f aca="false">MAX(Inputs!$F$59+CHOOSE(Operations!$F$441,0,Inputs!$F$39,0),Inputs!$F$57-Inputs!$F$58/100*CHOOSE(Operations!$F$441,1,Inputs!$F$38,Inputs!$F$40)*Time!AT$8)</f>
        <v>0.85</v>
      </c>
      <c r="AU456" s="14" t="n">
        <f aca="false">MAX(Inputs!$F$59+CHOOSE(Operations!$F$441,0,Inputs!$F$39,0),Inputs!$F$57-Inputs!$F$58/100*CHOOSE(Operations!$F$441,1,Inputs!$F$38,Inputs!$F$40)*Time!AU$8)</f>
        <v>0.85</v>
      </c>
    </row>
    <row r="457" customFormat="false" ht="15" hidden="false" customHeight="false" outlineLevel="0" collapsed="false">
      <c r="D457" s="19" t="s">
        <v>456</v>
      </c>
    </row>
    <row r="458" customFormat="false" ht="15" hidden="false" customHeight="false" outlineLevel="0" collapsed="false">
      <c r="D458" s="0" t="s">
        <v>457</v>
      </c>
      <c r="E458" s="0" t="s">
        <v>458</v>
      </c>
      <c r="J458" s="14" t="n">
        <f aca="false">MAX(0,MIN(Inputs!$F$90,Time!J$6)-MAX(Inputs!$F$89,Time!J$5))/Time!J$7</f>
        <v>1</v>
      </c>
      <c r="K458" s="14" t="n">
        <f aca="false">MAX(0,MIN(Inputs!$F$90,Time!K$6)-MAX(Inputs!$F$89,Time!K$5))/Time!K$7</f>
        <v>1</v>
      </c>
      <c r="L458" s="14" t="n">
        <f aca="false">MAX(0,MIN(Inputs!$F$90,Time!L$6)-MAX(Inputs!$F$89,Time!L$5))/Time!L$7</f>
        <v>1</v>
      </c>
      <c r="M458" s="14" t="n">
        <f aca="false">MAX(0,MIN(Inputs!$F$90,Time!M$6)-MAX(Inputs!$F$89,Time!M$5))/Time!M$7</f>
        <v>1</v>
      </c>
      <c r="N458" s="14" t="n">
        <f aca="false">MAX(0,MIN(Inputs!$F$90,Time!N$6)-MAX(Inputs!$F$89,Time!N$5))/Time!N$7</f>
        <v>1</v>
      </c>
      <c r="O458" s="14" t="n">
        <f aca="false">MAX(0,MIN(Inputs!$F$90,Time!O$6)-MAX(Inputs!$F$89,Time!O$5))/Time!O$7</f>
        <v>1</v>
      </c>
      <c r="P458" s="14" t="n">
        <f aca="false">MAX(0,MIN(Inputs!$F$90,Time!P$6)-MAX(Inputs!$F$89,Time!P$5))/Time!P$7</f>
        <v>1</v>
      </c>
      <c r="Q458" s="14" t="n">
        <f aca="false">MAX(0,MIN(Inputs!$F$90,Time!Q$6)-MAX(Inputs!$F$89,Time!Q$5))/Time!Q$7</f>
        <v>1</v>
      </c>
      <c r="R458" s="14" t="n">
        <f aca="false">MAX(0,MIN(Inputs!$F$90,Time!R$6)-MAX(Inputs!$F$89,Time!R$5))/Time!R$7</f>
        <v>1</v>
      </c>
      <c r="S458" s="14" t="n">
        <f aca="false">MAX(0,MIN(Inputs!$F$90,Time!S$6)-MAX(Inputs!$F$89,Time!S$5))/Time!S$7</f>
        <v>1</v>
      </c>
      <c r="T458" s="14" t="n">
        <f aca="false">MAX(0,MIN(Inputs!$F$90,Time!T$6)-MAX(Inputs!$F$89,Time!T$5))/Time!T$7</f>
        <v>1</v>
      </c>
      <c r="U458" s="14" t="n">
        <f aca="false">MAX(0,MIN(Inputs!$F$90,Time!U$6)-MAX(Inputs!$F$89,Time!U$5))/Time!U$7</f>
        <v>1</v>
      </c>
      <c r="V458" s="14" t="n">
        <f aca="false">MAX(0,MIN(Inputs!$F$90,Time!V$6)-MAX(Inputs!$F$89,Time!V$5))/Time!V$7</f>
        <v>1</v>
      </c>
      <c r="W458" s="14" t="n">
        <f aca="false">MAX(0,MIN(Inputs!$F$90,Time!W$6)-MAX(Inputs!$F$89,Time!W$5))/Time!W$7</f>
        <v>1</v>
      </c>
      <c r="X458" s="14" t="n">
        <f aca="false">MAX(0,MIN(Inputs!$F$90,Time!X$6)-MAX(Inputs!$F$89,Time!X$5))/Time!X$7</f>
        <v>1</v>
      </c>
      <c r="Y458" s="14" t="n">
        <f aca="false">MAX(0,MIN(Inputs!$F$90,Time!Y$6)-MAX(Inputs!$F$89,Time!Y$5))/Time!Y$7</f>
        <v>1</v>
      </c>
      <c r="Z458" s="14" t="n">
        <f aca="false">MAX(0,MIN(Inputs!$F$90,Time!Z$6)-MAX(Inputs!$F$89,Time!Z$5))/Time!Z$7</f>
        <v>1</v>
      </c>
      <c r="AA458" s="14" t="n">
        <f aca="false">MAX(0,MIN(Inputs!$F$90,Time!AA$6)-MAX(Inputs!$F$89,Time!AA$5))/Time!AA$7</f>
        <v>1</v>
      </c>
      <c r="AB458" s="14" t="n">
        <f aca="false">MAX(0,MIN(Inputs!$F$90,Time!AB$6)-MAX(Inputs!$F$89,Time!AB$5))/Time!AB$7</f>
        <v>1</v>
      </c>
      <c r="AC458" s="14" t="n">
        <f aca="false">MAX(0,MIN(Inputs!$F$90,Time!AC$6)-MAX(Inputs!$F$89,Time!AC$5))/Time!AC$7</f>
        <v>1</v>
      </c>
      <c r="AD458" s="14" t="n">
        <f aca="false">MAX(0,MIN(Inputs!$F$90,Time!AD$6)-MAX(Inputs!$F$89,Time!AD$5))/Time!AD$7</f>
        <v>1</v>
      </c>
      <c r="AE458" s="14" t="n">
        <f aca="false">MAX(0,MIN(Inputs!$F$90,Time!AE$6)-MAX(Inputs!$F$89,Time!AE$5))/Time!AE$7</f>
        <v>1</v>
      </c>
      <c r="AF458" s="14" t="n">
        <f aca="false">MAX(0,MIN(Inputs!$F$90,Time!AF$6)-MAX(Inputs!$F$89,Time!AF$5))/Time!AF$7</f>
        <v>1</v>
      </c>
      <c r="AG458" s="14" t="n">
        <f aca="false">MAX(0,MIN(Inputs!$F$90,Time!AG$6)-MAX(Inputs!$F$89,Time!AG$5))/Time!AG$7</f>
        <v>0</v>
      </c>
      <c r="AH458" s="14" t="n">
        <f aca="false">MAX(0,MIN(Inputs!$F$90,Time!AH$6)-MAX(Inputs!$F$89,Time!AH$5))/Time!AH$7</f>
        <v>0</v>
      </c>
      <c r="AI458" s="14" t="n">
        <f aca="false">MAX(0,MIN(Inputs!$F$90,Time!AI$6)-MAX(Inputs!$F$89,Time!AI$5))/Time!AI$7</f>
        <v>0</v>
      </c>
      <c r="AJ458" s="14" t="n">
        <f aca="false">MAX(0,MIN(Inputs!$F$90,Time!AJ$6)-MAX(Inputs!$F$89,Time!AJ$5))/Time!AJ$7</f>
        <v>0</v>
      </c>
      <c r="AK458" s="14" t="n">
        <f aca="false">MAX(0,MIN(Inputs!$F$90,Time!AK$6)-MAX(Inputs!$F$89,Time!AK$5))/Time!AK$7</f>
        <v>0</v>
      </c>
      <c r="AL458" s="14" t="n">
        <f aca="false">MAX(0,MIN(Inputs!$F$90,Time!AL$6)-MAX(Inputs!$F$89,Time!AL$5))/Time!AL$7</f>
        <v>0</v>
      </c>
      <c r="AM458" s="14" t="n">
        <f aca="false">MAX(0,MIN(Inputs!$F$90,Time!AM$6)-MAX(Inputs!$F$89,Time!AM$5))/Time!AM$7</f>
        <v>0</v>
      </c>
      <c r="AN458" s="14" t="n">
        <f aca="false">MAX(0,MIN(Inputs!$F$90,Time!AN$6)-MAX(Inputs!$F$89,Time!AN$5))/Time!AN$7</f>
        <v>0</v>
      </c>
      <c r="AO458" s="14" t="n">
        <f aca="false">MAX(0,MIN(Inputs!$F$90,Time!AO$6)-MAX(Inputs!$F$89,Time!AO$5))/Time!AO$7</f>
        <v>0</v>
      </c>
      <c r="AP458" s="14" t="n">
        <f aca="false">MAX(0,MIN(Inputs!$F$90,Time!AP$6)-MAX(Inputs!$F$89,Time!AP$5))/Time!AP$7</f>
        <v>0</v>
      </c>
      <c r="AQ458" s="14" t="n">
        <f aca="false">MAX(0,MIN(Inputs!$F$90,Time!AQ$6)-MAX(Inputs!$F$89,Time!AQ$5))/Time!AQ$7</f>
        <v>0</v>
      </c>
      <c r="AR458" s="14" t="n">
        <f aca="false">MAX(0,MIN(Inputs!$F$90,Time!AR$6)-MAX(Inputs!$F$89,Time!AR$5))/Time!AR$7</f>
        <v>0</v>
      </c>
      <c r="AS458" s="14" t="n">
        <f aca="false">MAX(0,MIN(Inputs!$F$90,Time!AS$6)-MAX(Inputs!$F$89,Time!AS$5))/Time!AS$7</f>
        <v>0</v>
      </c>
      <c r="AT458" s="14" t="n">
        <f aca="false">MAX(0,MIN(Inputs!$F$90,Time!AT$6)-MAX(Inputs!$F$89,Time!AT$5))/Time!AT$7</f>
        <v>0</v>
      </c>
      <c r="AU458" s="14" t="n">
        <f aca="false">MAX(0,MIN(Inputs!$F$90,Time!AU$6)-MAX(Inputs!$F$89,Time!AU$5))/Time!AU$7</f>
        <v>0</v>
      </c>
    </row>
    <row r="459" customFormat="false" ht="15" hidden="false" customHeight="false" outlineLevel="0" collapsed="false">
      <c r="D459" s="0" t="s">
        <v>459</v>
      </c>
      <c r="E459" s="0" t="s">
        <v>458</v>
      </c>
      <c r="J459" s="14" t="n">
        <f aca="false">MAX(0,MIN(Inputs!$F$90,Time!J$6)-MAX(MAX(Inputs!$F$91,Inputs!$F$89),Time!J$5))/Time!J$7</f>
        <v>0.778082191780822</v>
      </c>
      <c r="K459" s="14" t="n">
        <f aca="false">MAX(0,MIN(Inputs!$F$90,Time!K$6)-MAX(MAX(Inputs!$F$91,Inputs!$F$89),Time!K$5))/Time!K$7</f>
        <v>1</v>
      </c>
      <c r="L459" s="14" t="n">
        <f aca="false">MAX(0,MIN(Inputs!$F$90,Time!L$6)-MAX(MAX(Inputs!$F$91,Inputs!$F$89),Time!L$5))/Time!L$7</f>
        <v>1</v>
      </c>
      <c r="M459" s="14" t="n">
        <f aca="false">MAX(0,MIN(Inputs!$F$90,Time!M$6)-MAX(MAX(Inputs!$F$91,Inputs!$F$89),Time!M$5))/Time!M$7</f>
        <v>1</v>
      </c>
      <c r="N459" s="14" t="n">
        <f aca="false">MAX(0,MIN(Inputs!$F$90,Time!N$6)-MAX(MAX(Inputs!$F$91,Inputs!$F$89),Time!N$5))/Time!N$7</f>
        <v>1</v>
      </c>
      <c r="O459" s="14" t="n">
        <f aca="false">MAX(0,MIN(Inputs!$F$90,Time!O$6)-MAX(MAX(Inputs!$F$91,Inputs!$F$89),Time!O$5))/Time!O$7</f>
        <v>1</v>
      </c>
      <c r="P459" s="14" t="n">
        <f aca="false">MAX(0,MIN(Inputs!$F$90,Time!P$6)-MAX(MAX(Inputs!$F$91,Inputs!$F$89),Time!P$5))/Time!P$7</f>
        <v>1</v>
      </c>
      <c r="Q459" s="14" t="n">
        <f aca="false">MAX(0,MIN(Inputs!$F$90,Time!Q$6)-MAX(MAX(Inputs!$F$91,Inputs!$F$89),Time!Q$5))/Time!Q$7</f>
        <v>1</v>
      </c>
      <c r="R459" s="14" t="n">
        <f aca="false">MAX(0,MIN(Inputs!$F$90,Time!R$6)-MAX(MAX(Inputs!$F$91,Inputs!$F$89),Time!R$5))/Time!R$7</f>
        <v>1</v>
      </c>
      <c r="S459" s="14" t="n">
        <f aca="false">MAX(0,MIN(Inputs!$F$90,Time!S$6)-MAX(MAX(Inputs!$F$91,Inputs!$F$89),Time!S$5))/Time!S$7</f>
        <v>1</v>
      </c>
      <c r="T459" s="14" t="n">
        <f aca="false">MAX(0,MIN(Inputs!$F$90,Time!T$6)-MAX(MAX(Inputs!$F$91,Inputs!$F$89),Time!T$5))/Time!T$7</f>
        <v>1</v>
      </c>
      <c r="U459" s="14" t="n">
        <f aca="false">MAX(0,MIN(Inputs!$F$90,Time!U$6)-MAX(MAX(Inputs!$F$91,Inputs!$F$89),Time!U$5))/Time!U$7</f>
        <v>1</v>
      </c>
      <c r="V459" s="14" t="n">
        <f aca="false">MAX(0,MIN(Inputs!$F$90,Time!V$6)-MAX(MAX(Inputs!$F$91,Inputs!$F$89),Time!V$5))/Time!V$7</f>
        <v>1</v>
      </c>
      <c r="W459" s="14" t="n">
        <f aca="false">MAX(0,MIN(Inputs!$F$90,Time!W$6)-MAX(MAX(Inputs!$F$91,Inputs!$F$89),Time!W$5))/Time!W$7</f>
        <v>1</v>
      </c>
      <c r="X459" s="14" t="n">
        <f aca="false">MAX(0,MIN(Inputs!$F$90,Time!X$6)-MAX(MAX(Inputs!$F$91,Inputs!$F$89),Time!X$5))/Time!X$7</f>
        <v>1</v>
      </c>
      <c r="Y459" s="14" t="n">
        <f aca="false">MAX(0,MIN(Inputs!$F$90,Time!Y$6)-MAX(MAX(Inputs!$F$91,Inputs!$F$89),Time!Y$5))/Time!Y$7</f>
        <v>1</v>
      </c>
      <c r="Z459" s="14" t="n">
        <f aca="false">MAX(0,MIN(Inputs!$F$90,Time!Z$6)-MAX(MAX(Inputs!$F$91,Inputs!$F$89),Time!Z$5))/Time!Z$7</f>
        <v>1</v>
      </c>
      <c r="AA459" s="14" t="n">
        <f aca="false">MAX(0,MIN(Inputs!$F$90,Time!AA$6)-MAX(MAX(Inputs!$F$91,Inputs!$F$89),Time!AA$5))/Time!AA$7</f>
        <v>1</v>
      </c>
      <c r="AB459" s="14" t="n">
        <f aca="false">MAX(0,MIN(Inputs!$F$90,Time!AB$6)-MAX(MAX(Inputs!$F$91,Inputs!$F$89),Time!AB$5))/Time!AB$7</f>
        <v>1</v>
      </c>
      <c r="AC459" s="14" t="n">
        <f aca="false">MAX(0,MIN(Inputs!$F$90,Time!AC$6)-MAX(MAX(Inputs!$F$91,Inputs!$F$89),Time!AC$5))/Time!AC$7</f>
        <v>1</v>
      </c>
      <c r="AD459" s="14" t="n">
        <f aca="false">MAX(0,MIN(Inputs!$F$90,Time!AD$6)-MAX(MAX(Inputs!$F$91,Inputs!$F$89),Time!AD$5))/Time!AD$7</f>
        <v>1</v>
      </c>
      <c r="AE459" s="14" t="n">
        <f aca="false">MAX(0,MIN(Inputs!$F$90,Time!AE$6)-MAX(MAX(Inputs!$F$91,Inputs!$F$89),Time!AE$5))/Time!AE$7</f>
        <v>1</v>
      </c>
      <c r="AF459" s="14" t="n">
        <f aca="false">MAX(0,MIN(Inputs!$F$90,Time!AF$6)-MAX(MAX(Inputs!$F$91,Inputs!$F$89),Time!AF$5))/Time!AF$7</f>
        <v>1</v>
      </c>
      <c r="AG459" s="14" t="n">
        <f aca="false">MAX(0,MIN(Inputs!$F$90,Time!AG$6)-MAX(MAX(Inputs!$F$91,Inputs!$F$89),Time!AG$5))/Time!AG$7</f>
        <v>0</v>
      </c>
      <c r="AH459" s="14" t="n">
        <f aca="false">MAX(0,MIN(Inputs!$F$90,Time!AH$6)-MAX(MAX(Inputs!$F$91,Inputs!$F$89),Time!AH$5))/Time!AH$7</f>
        <v>0</v>
      </c>
      <c r="AI459" s="14" t="n">
        <f aca="false">MAX(0,MIN(Inputs!$F$90,Time!AI$6)-MAX(MAX(Inputs!$F$91,Inputs!$F$89),Time!AI$5))/Time!AI$7</f>
        <v>0</v>
      </c>
      <c r="AJ459" s="14" t="n">
        <f aca="false">MAX(0,MIN(Inputs!$F$90,Time!AJ$6)-MAX(MAX(Inputs!$F$91,Inputs!$F$89),Time!AJ$5))/Time!AJ$7</f>
        <v>0</v>
      </c>
      <c r="AK459" s="14" t="n">
        <f aca="false">MAX(0,MIN(Inputs!$F$90,Time!AK$6)-MAX(MAX(Inputs!$F$91,Inputs!$F$89),Time!AK$5))/Time!AK$7</f>
        <v>0</v>
      </c>
      <c r="AL459" s="14" t="n">
        <f aca="false">MAX(0,MIN(Inputs!$F$90,Time!AL$6)-MAX(MAX(Inputs!$F$91,Inputs!$F$89),Time!AL$5))/Time!AL$7</f>
        <v>0</v>
      </c>
      <c r="AM459" s="14" t="n">
        <f aca="false">MAX(0,MIN(Inputs!$F$90,Time!AM$6)-MAX(MAX(Inputs!$F$91,Inputs!$F$89),Time!AM$5))/Time!AM$7</f>
        <v>0</v>
      </c>
      <c r="AN459" s="14" t="n">
        <f aca="false">MAX(0,MIN(Inputs!$F$90,Time!AN$6)-MAX(MAX(Inputs!$F$91,Inputs!$F$89),Time!AN$5))/Time!AN$7</f>
        <v>0</v>
      </c>
      <c r="AO459" s="14" t="n">
        <f aca="false">MAX(0,MIN(Inputs!$F$90,Time!AO$6)-MAX(MAX(Inputs!$F$91,Inputs!$F$89),Time!AO$5))/Time!AO$7</f>
        <v>0</v>
      </c>
      <c r="AP459" s="14" t="n">
        <f aca="false">MAX(0,MIN(Inputs!$F$90,Time!AP$6)-MAX(MAX(Inputs!$F$91,Inputs!$F$89),Time!AP$5))/Time!AP$7</f>
        <v>0</v>
      </c>
      <c r="AQ459" s="14" t="n">
        <f aca="false">MAX(0,MIN(Inputs!$F$90,Time!AQ$6)-MAX(MAX(Inputs!$F$91,Inputs!$F$89),Time!AQ$5))/Time!AQ$7</f>
        <v>0</v>
      </c>
      <c r="AR459" s="14" t="n">
        <f aca="false">MAX(0,MIN(Inputs!$F$90,Time!AR$6)-MAX(MAX(Inputs!$F$91,Inputs!$F$89),Time!AR$5))/Time!AR$7</f>
        <v>0</v>
      </c>
      <c r="AS459" s="14" t="n">
        <f aca="false">MAX(0,MIN(Inputs!$F$90,Time!AS$6)-MAX(MAX(Inputs!$F$91,Inputs!$F$89),Time!AS$5))/Time!AS$7</f>
        <v>0</v>
      </c>
      <c r="AT459" s="14" t="n">
        <f aca="false">MAX(0,MIN(Inputs!$F$90,Time!AT$6)-MAX(MAX(Inputs!$F$91,Inputs!$F$89),Time!AT$5))/Time!AT$7</f>
        <v>0</v>
      </c>
      <c r="AU459" s="14" t="n">
        <f aca="false">MAX(0,MIN(Inputs!$F$90,Time!AU$6)-MAX(MAX(Inputs!$F$91,Inputs!$F$89),Time!AU$5))/Time!AU$7</f>
        <v>0</v>
      </c>
    </row>
    <row r="460" customFormat="false" ht="15" hidden="false" customHeight="false" outlineLevel="0" collapsed="false">
      <c r="D460" s="0" t="s">
        <v>460</v>
      </c>
      <c r="E460" s="0" t="s">
        <v>458</v>
      </c>
      <c r="J460" s="14" t="n">
        <f aca="false">IF(Operations!J458&gt;0,Operations!J459/Operations!J458,0)</f>
        <v>0.778082191780822</v>
      </c>
      <c r="K460" s="14" t="n">
        <f aca="false">IF(Operations!K458&gt;0,Operations!K459/Operations!K458,0)</f>
        <v>1</v>
      </c>
      <c r="L460" s="14" t="n">
        <f aca="false">IF(Operations!L458&gt;0,Operations!L459/Operations!L458,0)</f>
        <v>1</v>
      </c>
      <c r="M460" s="14" t="n">
        <f aca="false">IF(Operations!M458&gt;0,Operations!M459/Operations!M458,0)</f>
        <v>1</v>
      </c>
      <c r="N460" s="14" t="n">
        <f aca="false">IF(Operations!N458&gt;0,Operations!N459/Operations!N458,0)</f>
        <v>1</v>
      </c>
      <c r="O460" s="14" t="n">
        <f aca="false">IF(Operations!O458&gt;0,Operations!O459/Operations!O458,0)</f>
        <v>1</v>
      </c>
      <c r="P460" s="14" t="n">
        <f aca="false">IF(Operations!P458&gt;0,Operations!P459/Operations!P458,0)</f>
        <v>1</v>
      </c>
      <c r="Q460" s="14" t="n">
        <f aca="false">IF(Operations!Q458&gt;0,Operations!Q459/Operations!Q458,0)</f>
        <v>1</v>
      </c>
      <c r="R460" s="14" t="n">
        <f aca="false">IF(Operations!R458&gt;0,Operations!R459/Operations!R458,0)</f>
        <v>1</v>
      </c>
      <c r="S460" s="14" t="n">
        <f aca="false">IF(Operations!S458&gt;0,Operations!S459/Operations!S458,0)</f>
        <v>1</v>
      </c>
      <c r="T460" s="14" t="n">
        <f aca="false">IF(Operations!T458&gt;0,Operations!T459/Operations!T458,0)</f>
        <v>1</v>
      </c>
      <c r="U460" s="14" t="n">
        <f aca="false">IF(Operations!U458&gt;0,Operations!U459/Operations!U458,0)</f>
        <v>1</v>
      </c>
      <c r="V460" s="14" t="n">
        <f aca="false">IF(Operations!V458&gt;0,Operations!V459/Operations!V458,0)</f>
        <v>1</v>
      </c>
      <c r="W460" s="14" t="n">
        <f aca="false">IF(Operations!W458&gt;0,Operations!W459/Operations!W458,0)</f>
        <v>1</v>
      </c>
      <c r="X460" s="14" t="n">
        <f aca="false">IF(Operations!X458&gt;0,Operations!X459/Operations!X458,0)</f>
        <v>1</v>
      </c>
      <c r="Y460" s="14" t="n">
        <f aca="false">IF(Operations!Y458&gt;0,Operations!Y459/Operations!Y458,0)</f>
        <v>1</v>
      </c>
      <c r="Z460" s="14" t="n">
        <f aca="false">IF(Operations!Z458&gt;0,Operations!Z459/Operations!Z458,0)</f>
        <v>1</v>
      </c>
      <c r="AA460" s="14" t="n">
        <f aca="false">IF(Operations!AA458&gt;0,Operations!AA459/Operations!AA458,0)</f>
        <v>1</v>
      </c>
      <c r="AB460" s="14" t="n">
        <f aca="false">IF(Operations!AB458&gt;0,Operations!AB459/Operations!AB458,0)</f>
        <v>1</v>
      </c>
      <c r="AC460" s="14" t="n">
        <f aca="false">IF(Operations!AC458&gt;0,Operations!AC459/Operations!AC458,0)</f>
        <v>1</v>
      </c>
      <c r="AD460" s="14" t="n">
        <f aca="false">IF(Operations!AD458&gt;0,Operations!AD459/Operations!AD458,0)</f>
        <v>1</v>
      </c>
      <c r="AE460" s="14" t="n">
        <f aca="false">IF(Operations!AE458&gt;0,Operations!AE459/Operations!AE458,0)</f>
        <v>1</v>
      </c>
      <c r="AF460" s="14" t="n">
        <f aca="false">IF(Operations!AF458&gt;0,Operations!AF459/Operations!AF458,0)</f>
        <v>1</v>
      </c>
      <c r="AG460" s="14" t="n">
        <f aca="false">IF(Operations!AG458&gt;0,Operations!AG459/Operations!AG458,0)</f>
        <v>0</v>
      </c>
      <c r="AH460" s="14" t="n">
        <f aca="false">IF(Operations!AH458&gt;0,Operations!AH459/Operations!AH458,0)</f>
        <v>0</v>
      </c>
      <c r="AI460" s="14" t="n">
        <f aca="false">IF(Operations!AI458&gt;0,Operations!AI459/Operations!AI458,0)</f>
        <v>0</v>
      </c>
      <c r="AJ460" s="14" t="n">
        <f aca="false">IF(Operations!AJ458&gt;0,Operations!AJ459/Operations!AJ458,0)</f>
        <v>0</v>
      </c>
      <c r="AK460" s="14" t="n">
        <f aca="false">IF(Operations!AK458&gt;0,Operations!AK459/Operations!AK458,0)</f>
        <v>0</v>
      </c>
      <c r="AL460" s="14" t="n">
        <f aca="false">IF(Operations!AL458&gt;0,Operations!AL459/Operations!AL458,0)</f>
        <v>0</v>
      </c>
      <c r="AM460" s="14" t="n">
        <f aca="false">IF(Operations!AM458&gt;0,Operations!AM459/Operations!AM458,0)</f>
        <v>0</v>
      </c>
      <c r="AN460" s="14" t="n">
        <f aca="false">IF(Operations!AN458&gt;0,Operations!AN459/Operations!AN458,0)</f>
        <v>0</v>
      </c>
      <c r="AO460" s="14" t="n">
        <f aca="false">IF(Operations!AO458&gt;0,Operations!AO459/Operations!AO458,0)</f>
        <v>0</v>
      </c>
      <c r="AP460" s="14" t="n">
        <f aca="false">IF(Operations!AP458&gt;0,Operations!AP459/Operations!AP458,0)</f>
        <v>0</v>
      </c>
      <c r="AQ460" s="14" t="n">
        <f aca="false">IF(Operations!AQ458&gt;0,Operations!AQ459/Operations!AQ458,0)</f>
        <v>0</v>
      </c>
      <c r="AR460" s="14" t="n">
        <f aca="false">IF(Operations!AR458&gt;0,Operations!AR459/Operations!AR458,0)</f>
        <v>0</v>
      </c>
      <c r="AS460" s="14" t="n">
        <f aca="false">IF(Operations!AS458&gt;0,Operations!AS459/Operations!AS458,0)</f>
        <v>0</v>
      </c>
      <c r="AT460" s="14" t="n">
        <f aca="false">IF(Operations!AT458&gt;0,Operations!AT459/Operations!AT458,0)</f>
        <v>0</v>
      </c>
      <c r="AU460" s="14" t="n">
        <f aca="false">IF(Operations!AU458&gt;0,Operations!AU459/Operations!AU458,0)</f>
        <v>0</v>
      </c>
    </row>
    <row r="461" customFormat="false" ht="15" hidden="false" customHeight="false" outlineLevel="0" collapsed="false">
      <c r="D461" s="0" t="s">
        <v>461</v>
      </c>
      <c r="E461" s="0" t="s">
        <v>96</v>
      </c>
      <c r="J461" s="18" t="n">
        <f aca="false">Operations!J448</f>
        <v>72.2128</v>
      </c>
      <c r="K461" s="18" t="n">
        <f aca="false">Operations!K448</f>
        <v>59.2416</v>
      </c>
      <c r="L461" s="18" t="n">
        <f aca="false">Operations!L448</f>
        <v>29.1368</v>
      </c>
      <c r="M461" s="18" t="n">
        <f aca="false">Operations!M448</f>
        <v>38.5264</v>
      </c>
      <c r="N461" s="18" t="n">
        <f aca="false">Operations!N448</f>
        <v>43.1728</v>
      </c>
      <c r="O461" s="18" t="n">
        <f aca="false">Operations!O448</f>
        <v>45.7864</v>
      </c>
      <c r="P461" s="18" t="n">
        <f aca="false">Operations!P448</f>
        <v>47.5288</v>
      </c>
      <c r="Q461" s="18" t="n">
        <f aca="false">Operations!Q448</f>
        <v>48.7872</v>
      </c>
      <c r="R461" s="18" t="n">
        <f aca="false">Operations!R448</f>
        <v>50.1424</v>
      </c>
      <c r="S461" s="18" t="n">
        <f aca="false">Operations!S448</f>
        <v>51.14912</v>
      </c>
      <c r="T461" s="18" t="n">
        <f aca="false">Operations!T448</f>
        <v>52.1752</v>
      </c>
      <c r="U461" s="18" t="n">
        <f aca="false">Operations!U448</f>
        <v>53.22064</v>
      </c>
      <c r="V461" s="18" t="n">
        <f aca="false">Operations!V448</f>
        <v>54.28544</v>
      </c>
      <c r="W461" s="18" t="n">
        <f aca="false">Operations!W448</f>
        <v>55.3696</v>
      </c>
      <c r="X461" s="18" t="n">
        <f aca="false">Operations!X448</f>
        <v>56.47312</v>
      </c>
      <c r="Y461" s="18" t="n">
        <f aca="false">Operations!Y448</f>
        <v>57.60568</v>
      </c>
      <c r="Z461" s="18" t="n">
        <f aca="false">Operations!Z448</f>
        <v>58.7576</v>
      </c>
      <c r="AA461" s="18" t="n">
        <f aca="false">Operations!AA448</f>
        <v>59.92888</v>
      </c>
      <c r="AB461" s="18" t="n">
        <f aca="false">Operations!AB448</f>
        <v>61.1292</v>
      </c>
      <c r="AC461" s="18" t="n">
        <f aca="false">Operations!AC448</f>
        <v>62.34888</v>
      </c>
      <c r="AD461" s="18" t="n">
        <f aca="false">Operations!AD448</f>
        <v>63.5976</v>
      </c>
      <c r="AE461" s="18" t="n">
        <f aca="false">Operations!AE448</f>
        <v>64.86568</v>
      </c>
      <c r="AF461" s="18" t="n">
        <f aca="false">Operations!AF448</f>
        <v>66.1628</v>
      </c>
      <c r="AG461" s="18" t="n">
        <f aca="false">Operations!AG448</f>
        <v>67.48896</v>
      </c>
      <c r="AH461" s="18" t="n">
        <f aca="false">Operations!AH448</f>
        <v>68.83448</v>
      </c>
      <c r="AI461" s="18" t="n">
        <f aca="false">Operations!AI448</f>
        <v>70.20904</v>
      </c>
      <c r="AJ461" s="18" t="n">
        <f aca="false">Operations!AJ448</f>
        <v>71.61264</v>
      </c>
      <c r="AK461" s="18" t="n">
        <f aca="false">Operations!AK448</f>
        <v>73.04528</v>
      </c>
      <c r="AL461" s="18" t="n">
        <f aca="false">Operations!AL448</f>
        <v>74.50696</v>
      </c>
      <c r="AM461" s="18" t="n">
        <f aca="false">Operations!AM448</f>
        <v>75.99768</v>
      </c>
      <c r="AN461" s="18" t="n">
        <f aca="false">Operations!AN448</f>
        <v>77.51744</v>
      </c>
      <c r="AO461" s="18" t="n">
        <f aca="false">Operations!AO448</f>
        <v>79.06624</v>
      </c>
      <c r="AP461" s="18" t="n">
        <f aca="false">Operations!AP448</f>
        <v>80.64408</v>
      </c>
      <c r="AQ461" s="18" t="n">
        <f aca="false">Operations!AQ448</f>
        <v>82.26064</v>
      </c>
      <c r="AR461" s="18" t="n">
        <f aca="false">Operations!AR448</f>
        <v>83.90624</v>
      </c>
      <c r="AS461" s="18" t="n">
        <f aca="false">Operations!AS448</f>
        <v>85.58088</v>
      </c>
      <c r="AT461" s="18" t="n">
        <f aca="false">Operations!AT448</f>
        <v>87.29424</v>
      </c>
      <c r="AU461" s="18" t="n">
        <f aca="false">Operations!AU448</f>
        <v>89.03664</v>
      </c>
    </row>
    <row r="462" customFormat="false" ht="15" hidden="false" customHeight="false" outlineLevel="0" collapsed="false">
      <c r="D462" s="0" t="s">
        <v>462</v>
      </c>
      <c r="E462" s="0" t="s">
        <v>27</v>
      </c>
      <c r="J462" s="14" t="n">
        <f aca="false">CHOOSE(Operations!$F$442,1,Inputs!$F$95/100,Inputs!$F$96/100,Operations!$F$12/100)</f>
        <v>1</v>
      </c>
      <c r="K462" s="14" t="n">
        <f aca="false">CHOOSE(Operations!$F$442,1,Inputs!$F$95/100,Inputs!$F$96/100,Operations!$F$12/100)</f>
        <v>1</v>
      </c>
      <c r="L462" s="14" t="n">
        <f aca="false">CHOOSE(Operations!$F$442,1,Inputs!$F$95/100,Inputs!$F$96/100,Operations!$F$12/100)</f>
        <v>1</v>
      </c>
      <c r="M462" s="14" t="n">
        <f aca="false">CHOOSE(Operations!$F$442,1,Inputs!$F$95/100,Inputs!$F$96/100,Operations!$F$12/100)</f>
        <v>1</v>
      </c>
      <c r="N462" s="14" t="n">
        <f aca="false">CHOOSE(Operations!$F$442,1,Inputs!$F$95/100,Inputs!$F$96/100,Operations!$F$12/100)</f>
        <v>1</v>
      </c>
      <c r="O462" s="14" t="n">
        <f aca="false">CHOOSE(Operations!$F$442,1,Inputs!$F$95/100,Inputs!$F$96/100,Operations!$F$12/100)</f>
        <v>1</v>
      </c>
      <c r="P462" s="14" t="n">
        <f aca="false">CHOOSE(Operations!$F$442,1,Inputs!$F$95/100,Inputs!$F$96/100,Operations!$F$12/100)</f>
        <v>1</v>
      </c>
      <c r="Q462" s="14" t="n">
        <f aca="false">CHOOSE(Operations!$F$442,1,Inputs!$F$95/100,Inputs!$F$96/100,Operations!$F$12/100)</f>
        <v>1</v>
      </c>
      <c r="R462" s="14" t="n">
        <f aca="false">CHOOSE(Operations!$F$442,1,Inputs!$F$95/100,Inputs!$F$96/100,Operations!$F$12/100)</f>
        <v>1</v>
      </c>
      <c r="S462" s="14" t="n">
        <f aca="false">CHOOSE(Operations!$F$442,1,Inputs!$F$95/100,Inputs!$F$96/100,Operations!$F$12/100)</f>
        <v>1</v>
      </c>
      <c r="T462" s="14" t="n">
        <f aca="false">CHOOSE(Operations!$F$442,1,Inputs!$F$95/100,Inputs!$F$96/100,Operations!$F$12/100)</f>
        <v>1</v>
      </c>
      <c r="U462" s="14" t="n">
        <f aca="false">CHOOSE(Operations!$F$442,1,Inputs!$F$95/100,Inputs!$F$96/100,Operations!$F$12/100)</f>
        <v>1</v>
      </c>
      <c r="V462" s="14" t="n">
        <f aca="false">CHOOSE(Operations!$F$442,1,Inputs!$F$95/100,Inputs!$F$96/100,Operations!$F$12/100)</f>
        <v>1</v>
      </c>
      <c r="W462" s="14" t="n">
        <f aca="false">CHOOSE(Operations!$F$442,1,Inputs!$F$95/100,Inputs!$F$96/100,Operations!$F$12/100)</f>
        <v>1</v>
      </c>
      <c r="X462" s="14" t="n">
        <f aca="false">CHOOSE(Operations!$F$442,1,Inputs!$F$95/100,Inputs!$F$96/100,Operations!$F$12/100)</f>
        <v>1</v>
      </c>
      <c r="Y462" s="14" t="n">
        <f aca="false">CHOOSE(Operations!$F$442,1,Inputs!$F$95/100,Inputs!$F$96/100,Operations!$F$12/100)</f>
        <v>1</v>
      </c>
      <c r="Z462" s="14" t="n">
        <f aca="false">CHOOSE(Operations!$F$442,1,Inputs!$F$95/100,Inputs!$F$96/100,Operations!$F$12/100)</f>
        <v>1</v>
      </c>
      <c r="AA462" s="14" t="n">
        <f aca="false">CHOOSE(Operations!$F$442,1,Inputs!$F$95/100,Inputs!$F$96/100,Operations!$F$12/100)</f>
        <v>1</v>
      </c>
      <c r="AB462" s="14" t="n">
        <f aca="false">CHOOSE(Operations!$F$442,1,Inputs!$F$95/100,Inputs!$F$96/100,Operations!$F$12/100)</f>
        <v>1</v>
      </c>
      <c r="AC462" s="14" t="n">
        <f aca="false">CHOOSE(Operations!$F$442,1,Inputs!$F$95/100,Inputs!$F$96/100,Operations!$F$12/100)</f>
        <v>1</v>
      </c>
      <c r="AD462" s="14" t="n">
        <f aca="false">CHOOSE(Operations!$F$442,1,Inputs!$F$95/100,Inputs!$F$96/100,Operations!$F$12/100)</f>
        <v>1</v>
      </c>
      <c r="AE462" s="14" t="n">
        <f aca="false">CHOOSE(Operations!$F$442,1,Inputs!$F$95/100,Inputs!$F$96/100,Operations!$F$12/100)</f>
        <v>1</v>
      </c>
      <c r="AF462" s="14" t="n">
        <f aca="false">CHOOSE(Operations!$F$442,1,Inputs!$F$95/100,Inputs!$F$96/100,Operations!$F$12/100)</f>
        <v>1</v>
      </c>
      <c r="AG462" s="14" t="n">
        <f aca="false">CHOOSE(Operations!$F$442,1,Inputs!$F$95/100,Inputs!$F$96/100,Operations!$F$12/100)</f>
        <v>1</v>
      </c>
      <c r="AH462" s="14" t="n">
        <f aca="false">CHOOSE(Operations!$F$442,1,Inputs!$F$95/100,Inputs!$F$96/100,Operations!$F$12/100)</f>
        <v>1</v>
      </c>
      <c r="AI462" s="14" t="n">
        <f aca="false">CHOOSE(Operations!$F$442,1,Inputs!$F$95/100,Inputs!$F$96/100,Operations!$F$12/100)</f>
        <v>1</v>
      </c>
      <c r="AJ462" s="14" t="n">
        <f aca="false">CHOOSE(Operations!$F$442,1,Inputs!$F$95/100,Inputs!$F$96/100,Operations!$F$12/100)</f>
        <v>1</v>
      </c>
      <c r="AK462" s="14" t="n">
        <f aca="false">CHOOSE(Operations!$F$442,1,Inputs!$F$95/100,Inputs!$F$96/100,Operations!$F$12/100)</f>
        <v>1</v>
      </c>
      <c r="AL462" s="14" t="n">
        <f aca="false">CHOOSE(Operations!$F$442,1,Inputs!$F$95/100,Inputs!$F$96/100,Operations!$F$12/100)</f>
        <v>1</v>
      </c>
      <c r="AM462" s="14" t="n">
        <f aca="false">CHOOSE(Operations!$F$442,1,Inputs!$F$95/100,Inputs!$F$96/100,Operations!$F$12/100)</f>
        <v>1</v>
      </c>
      <c r="AN462" s="14" t="n">
        <f aca="false">CHOOSE(Operations!$F$442,1,Inputs!$F$95/100,Inputs!$F$96/100,Operations!$F$12/100)</f>
        <v>1</v>
      </c>
      <c r="AO462" s="14" t="n">
        <f aca="false">CHOOSE(Operations!$F$442,1,Inputs!$F$95/100,Inputs!$F$96/100,Operations!$F$12/100)</f>
        <v>1</v>
      </c>
      <c r="AP462" s="14" t="n">
        <f aca="false">CHOOSE(Operations!$F$442,1,Inputs!$F$95/100,Inputs!$F$96/100,Operations!$F$12/100)</f>
        <v>1</v>
      </c>
      <c r="AQ462" s="14" t="n">
        <f aca="false">CHOOSE(Operations!$F$442,1,Inputs!$F$95/100,Inputs!$F$96/100,Operations!$F$12/100)</f>
        <v>1</v>
      </c>
      <c r="AR462" s="14" t="n">
        <f aca="false">CHOOSE(Operations!$F$442,1,Inputs!$F$95/100,Inputs!$F$96/100,Operations!$F$12/100)</f>
        <v>1</v>
      </c>
      <c r="AS462" s="14" t="n">
        <f aca="false">CHOOSE(Operations!$F$442,1,Inputs!$F$95/100,Inputs!$F$96/100,Operations!$F$12/100)</f>
        <v>1</v>
      </c>
      <c r="AT462" s="14" t="n">
        <f aca="false">CHOOSE(Operations!$F$442,1,Inputs!$F$95/100,Inputs!$F$96/100,Operations!$F$12/100)</f>
        <v>1</v>
      </c>
      <c r="AU462" s="14" t="n">
        <f aca="false">CHOOSE(Operations!$F$442,1,Inputs!$F$95/100,Inputs!$F$96/100,Operations!$F$12/100)</f>
        <v>1</v>
      </c>
    </row>
    <row r="463" customFormat="false" ht="15" hidden="false" customHeight="false" outlineLevel="0" collapsed="false">
      <c r="D463" s="0" t="s">
        <v>463</v>
      </c>
      <c r="E463" s="0" t="s">
        <v>27</v>
      </c>
      <c r="J463" s="14" t="n">
        <f aca="false">(1-Inputs!$F$97/100)^MAX(0,Time!J$4-Inputs!$F$98)</f>
        <v>1</v>
      </c>
      <c r="K463" s="14" t="n">
        <f aca="false">(1-Inputs!$F$97/100)^MAX(0,Time!K$4-Inputs!$F$98)</f>
        <v>0.998</v>
      </c>
      <c r="L463" s="14" t="n">
        <f aca="false">(1-Inputs!$F$97/100)^MAX(0,Time!L$4-Inputs!$F$98)</f>
        <v>0.996004</v>
      </c>
      <c r="M463" s="14" t="n">
        <f aca="false">(1-Inputs!$F$97/100)^MAX(0,Time!M$4-Inputs!$F$98)</f>
        <v>0.994011992</v>
      </c>
      <c r="N463" s="14" t="n">
        <f aca="false">(1-Inputs!$F$97/100)^MAX(0,Time!N$4-Inputs!$F$98)</f>
        <v>0.992023968016</v>
      </c>
      <c r="O463" s="14" t="n">
        <f aca="false">(1-Inputs!$F$97/100)^MAX(0,Time!O$4-Inputs!$F$98)</f>
        <v>0.990039920079968</v>
      </c>
      <c r="P463" s="14" t="n">
        <f aca="false">(1-Inputs!$F$97/100)^MAX(0,Time!P$4-Inputs!$F$98)</f>
        <v>0.988059840239808</v>
      </c>
      <c r="Q463" s="14" t="n">
        <f aca="false">(1-Inputs!$F$97/100)^MAX(0,Time!Q$4-Inputs!$F$98)</f>
        <v>0.986083720559329</v>
      </c>
      <c r="R463" s="14" t="n">
        <f aca="false">(1-Inputs!$F$97/100)^MAX(0,Time!R$4-Inputs!$F$98)</f>
        <v>0.98411155311821</v>
      </c>
      <c r="S463" s="14" t="n">
        <f aca="false">(1-Inputs!$F$97/100)^MAX(0,Time!S$4-Inputs!$F$98)</f>
        <v>0.982143330011973</v>
      </c>
      <c r="T463" s="14" t="n">
        <f aca="false">(1-Inputs!$F$97/100)^MAX(0,Time!T$4-Inputs!$F$98)</f>
        <v>0.980179043351949</v>
      </c>
      <c r="U463" s="14" t="n">
        <f aca="false">(1-Inputs!$F$97/100)^MAX(0,Time!U$4-Inputs!$F$98)</f>
        <v>0.978218685265246</v>
      </c>
      <c r="V463" s="14" t="n">
        <f aca="false">(1-Inputs!$F$97/100)^MAX(0,Time!V$4-Inputs!$F$98)</f>
        <v>0.976262247894715</v>
      </c>
      <c r="W463" s="14" t="n">
        <f aca="false">(1-Inputs!$F$97/100)^MAX(0,Time!W$4-Inputs!$F$98)</f>
        <v>0.974309723398926</v>
      </c>
      <c r="X463" s="14" t="n">
        <f aca="false">(1-Inputs!$F$97/100)^MAX(0,Time!X$4-Inputs!$F$98)</f>
        <v>0.972361103952128</v>
      </c>
      <c r="Y463" s="14" t="n">
        <f aca="false">(1-Inputs!$F$97/100)^MAX(0,Time!Y$4-Inputs!$F$98)</f>
        <v>0.970416381744224</v>
      </c>
      <c r="Z463" s="14" t="n">
        <f aca="false">(1-Inputs!$F$97/100)^MAX(0,Time!Z$4-Inputs!$F$98)</f>
        <v>0.968475548980735</v>
      </c>
      <c r="AA463" s="14" t="n">
        <f aca="false">(1-Inputs!$F$97/100)^MAX(0,Time!AA$4-Inputs!$F$98)</f>
        <v>0.966538597882774</v>
      </c>
      <c r="AB463" s="14" t="n">
        <f aca="false">(1-Inputs!$F$97/100)^MAX(0,Time!AB$4-Inputs!$F$98)</f>
        <v>0.964605520687008</v>
      </c>
      <c r="AC463" s="14" t="n">
        <f aca="false">(1-Inputs!$F$97/100)^MAX(0,Time!AC$4-Inputs!$F$98)</f>
        <v>0.962676309645634</v>
      </c>
      <c r="AD463" s="14" t="n">
        <f aca="false">(1-Inputs!$F$97/100)^MAX(0,Time!AD$4-Inputs!$F$98)</f>
        <v>0.960750957026343</v>
      </c>
      <c r="AE463" s="14" t="n">
        <f aca="false">(1-Inputs!$F$97/100)^MAX(0,Time!AE$4-Inputs!$F$98)</f>
        <v>0.95882945511229</v>
      </c>
      <c r="AF463" s="14" t="n">
        <f aca="false">(1-Inputs!$F$97/100)^MAX(0,Time!AF$4-Inputs!$F$98)</f>
        <v>0.956911796202066</v>
      </c>
      <c r="AG463" s="14" t="n">
        <f aca="false">(1-Inputs!$F$97/100)^MAX(0,Time!AG$4-Inputs!$F$98)</f>
        <v>0.954997972609661</v>
      </c>
      <c r="AH463" s="14" t="n">
        <f aca="false">(1-Inputs!$F$97/100)^MAX(0,Time!AH$4-Inputs!$F$98)</f>
        <v>0.953087976664442</v>
      </c>
      <c r="AI463" s="14" t="n">
        <f aca="false">(1-Inputs!$F$97/100)^MAX(0,Time!AI$4-Inputs!$F$98)</f>
        <v>0.951181800711113</v>
      </c>
      <c r="AJ463" s="14" t="n">
        <f aca="false">(1-Inputs!$F$97/100)^MAX(0,Time!AJ$4-Inputs!$F$98)</f>
        <v>0.949279437109691</v>
      </c>
      <c r="AK463" s="14" t="n">
        <f aca="false">(1-Inputs!$F$97/100)^MAX(0,Time!AK$4-Inputs!$F$98)</f>
        <v>0.947380878235472</v>
      </c>
      <c r="AL463" s="14" t="n">
        <f aca="false">(1-Inputs!$F$97/100)^MAX(0,Time!AL$4-Inputs!$F$98)</f>
        <v>0.945486116479001</v>
      </c>
      <c r="AM463" s="14" t="n">
        <f aca="false">(1-Inputs!$F$97/100)^MAX(0,Time!AM$4-Inputs!$F$98)</f>
        <v>0.943595144246043</v>
      </c>
      <c r="AN463" s="14" t="n">
        <f aca="false">(1-Inputs!$F$97/100)^MAX(0,Time!AN$4-Inputs!$F$98)</f>
        <v>0.941707953957551</v>
      </c>
      <c r="AO463" s="14" t="n">
        <f aca="false">(1-Inputs!$F$97/100)^MAX(0,Time!AO$4-Inputs!$F$98)</f>
        <v>0.939824538049635</v>
      </c>
      <c r="AP463" s="14" t="n">
        <f aca="false">(1-Inputs!$F$97/100)^MAX(0,Time!AP$4-Inputs!$F$98)</f>
        <v>0.937944888973536</v>
      </c>
      <c r="AQ463" s="14" t="n">
        <f aca="false">(1-Inputs!$F$97/100)^MAX(0,Time!AQ$4-Inputs!$F$98)</f>
        <v>0.936068999195589</v>
      </c>
      <c r="AR463" s="14" t="n">
        <f aca="false">(1-Inputs!$F$97/100)^MAX(0,Time!AR$4-Inputs!$F$98)</f>
        <v>0.934196861197198</v>
      </c>
      <c r="AS463" s="14" t="n">
        <f aca="false">(1-Inputs!$F$97/100)^MAX(0,Time!AS$4-Inputs!$F$98)</f>
        <v>0.932328467474804</v>
      </c>
      <c r="AT463" s="14" t="n">
        <f aca="false">(1-Inputs!$F$97/100)^MAX(0,Time!AT$4-Inputs!$F$98)</f>
        <v>0.930463810539854</v>
      </c>
      <c r="AU463" s="14" t="n">
        <f aca="false">(1-Inputs!$F$97/100)^MAX(0,Time!AU$4-Inputs!$F$98)</f>
        <v>0.928602882918774</v>
      </c>
    </row>
    <row r="464" customFormat="false" ht="15" hidden="false" customHeight="false" outlineLevel="0" collapsed="false">
      <c r="D464" s="0" t="s">
        <v>464</v>
      </c>
      <c r="E464" s="0" t="s">
        <v>458</v>
      </c>
      <c r="J464" s="14" t="n">
        <f aca="false">(IF(Time!J$4&gt;=Inputs!$F$61,Inputs!$F$63,Inputs!$F$62+(Inputs!$F$63-Inputs!$F$62)*(Time!J$4-Inputs!$F$23)/(Inputs!$F$61-Inputs!$F$23))+Operations!$F$444)/100</f>
        <v>0.045</v>
      </c>
      <c r="K464" s="14" t="n">
        <f aca="false">(IF(Time!K$4&gt;=Inputs!$F$61,Inputs!$F$63,Inputs!$F$62+(Inputs!$F$63-Inputs!$F$62)*(Time!K$4-Inputs!$F$23)/(Inputs!$F$61-Inputs!$F$23))+Operations!$F$444)/100</f>
        <v>0.05</v>
      </c>
      <c r="L464" s="14" t="n">
        <f aca="false">(IF(Time!L$4&gt;=Inputs!$F$61,Inputs!$F$63,Inputs!$F$62+(Inputs!$F$63-Inputs!$F$62)*(Time!L$4-Inputs!$F$23)/(Inputs!$F$61-Inputs!$F$23))+Operations!$F$444)/100</f>
        <v>0.055</v>
      </c>
      <c r="M464" s="14" t="n">
        <f aca="false">(IF(Time!M$4&gt;=Inputs!$F$61,Inputs!$F$63,Inputs!$F$62+(Inputs!$F$63-Inputs!$F$62)*(Time!M$4-Inputs!$F$23)/(Inputs!$F$61-Inputs!$F$23))+Operations!$F$444)/100</f>
        <v>0.06</v>
      </c>
      <c r="N464" s="14" t="n">
        <f aca="false">(IF(Time!N$4&gt;=Inputs!$F$61,Inputs!$F$63,Inputs!$F$62+(Inputs!$F$63-Inputs!$F$62)*(Time!N$4-Inputs!$F$23)/(Inputs!$F$61-Inputs!$F$23))+Operations!$F$444)/100</f>
        <v>0.06</v>
      </c>
      <c r="O464" s="14" t="n">
        <f aca="false">(IF(Time!O$4&gt;=Inputs!$F$61,Inputs!$F$63,Inputs!$F$62+(Inputs!$F$63-Inputs!$F$62)*(Time!O$4-Inputs!$F$23)/(Inputs!$F$61-Inputs!$F$23))+Operations!$F$444)/100</f>
        <v>0.06</v>
      </c>
      <c r="P464" s="14" t="n">
        <f aca="false">(IF(Time!P$4&gt;=Inputs!$F$61,Inputs!$F$63,Inputs!$F$62+(Inputs!$F$63-Inputs!$F$62)*(Time!P$4-Inputs!$F$23)/(Inputs!$F$61-Inputs!$F$23))+Operations!$F$444)/100</f>
        <v>0.06</v>
      </c>
      <c r="Q464" s="14" t="n">
        <f aca="false">(IF(Time!Q$4&gt;=Inputs!$F$61,Inputs!$F$63,Inputs!$F$62+(Inputs!$F$63-Inputs!$F$62)*(Time!Q$4-Inputs!$F$23)/(Inputs!$F$61-Inputs!$F$23))+Operations!$F$444)/100</f>
        <v>0.06</v>
      </c>
      <c r="R464" s="14" t="n">
        <f aca="false">(IF(Time!R$4&gt;=Inputs!$F$61,Inputs!$F$63,Inputs!$F$62+(Inputs!$F$63-Inputs!$F$62)*(Time!R$4-Inputs!$F$23)/(Inputs!$F$61-Inputs!$F$23))+Operations!$F$444)/100</f>
        <v>0.06</v>
      </c>
      <c r="S464" s="14" t="n">
        <f aca="false">(IF(Time!S$4&gt;=Inputs!$F$61,Inputs!$F$63,Inputs!$F$62+(Inputs!$F$63-Inputs!$F$62)*(Time!S$4-Inputs!$F$23)/(Inputs!$F$61-Inputs!$F$23))+Operations!$F$444)/100</f>
        <v>0.06</v>
      </c>
      <c r="T464" s="14" t="n">
        <f aca="false">(IF(Time!T$4&gt;=Inputs!$F$61,Inputs!$F$63,Inputs!$F$62+(Inputs!$F$63-Inputs!$F$62)*(Time!T$4-Inputs!$F$23)/(Inputs!$F$61-Inputs!$F$23))+Operations!$F$444)/100</f>
        <v>0.06</v>
      </c>
      <c r="U464" s="14" t="n">
        <f aca="false">(IF(Time!U$4&gt;=Inputs!$F$61,Inputs!$F$63,Inputs!$F$62+(Inputs!$F$63-Inputs!$F$62)*(Time!U$4-Inputs!$F$23)/(Inputs!$F$61-Inputs!$F$23))+Operations!$F$444)/100</f>
        <v>0.06</v>
      </c>
      <c r="V464" s="14" t="n">
        <f aca="false">(IF(Time!V$4&gt;=Inputs!$F$61,Inputs!$F$63,Inputs!$F$62+(Inputs!$F$63-Inputs!$F$62)*(Time!V$4-Inputs!$F$23)/(Inputs!$F$61-Inputs!$F$23))+Operations!$F$444)/100</f>
        <v>0.06</v>
      </c>
      <c r="W464" s="14" t="n">
        <f aca="false">(IF(Time!W$4&gt;=Inputs!$F$61,Inputs!$F$63,Inputs!$F$62+(Inputs!$F$63-Inputs!$F$62)*(Time!W$4-Inputs!$F$23)/(Inputs!$F$61-Inputs!$F$23))+Operations!$F$444)/100</f>
        <v>0.06</v>
      </c>
      <c r="X464" s="14" t="n">
        <f aca="false">(IF(Time!X$4&gt;=Inputs!$F$61,Inputs!$F$63,Inputs!$F$62+(Inputs!$F$63-Inputs!$F$62)*(Time!X$4-Inputs!$F$23)/(Inputs!$F$61-Inputs!$F$23))+Operations!$F$444)/100</f>
        <v>0.06</v>
      </c>
      <c r="Y464" s="14" t="n">
        <f aca="false">(IF(Time!Y$4&gt;=Inputs!$F$61,Inputs!$F$63,Inputs!$F$62+(Inputs!$F$63-Inputs!$F$62)*(Time!Y$4-Inputs!$F$23)/(Inputs!$F$61-Inputs!$F$23))+Operations!$F$444)/100</f>
        <v>0.06</v>
      </c>
      <c r="Z464" s="14" t="n">
        <f aca="false">(IF(Time!Z$4&gt;=Inputs!$F$61,Inputs!$F$63,Inputs!$F$62+(Inputs!$F$63-Inputs!$F$62)*(Time!Z$4-Inputs!$F$23)/(Inputs!$F$61-Inputs!$F$23))+Operations!$F$444)/100</f>
        <v>0.06</v>
      </c>
      <c r="AA464" s="14" t="n">
        <f aca="false">(IF(Time!AA$4&gt;=Inputs!$F$61,Inputs!$F$63,Inputs!$F$62+(Inputs!$F$63-Inputs!$F$62)*(Time!AA$4-Inputs!$F$23)/(Inputs!$F$61-Inputs!$F$23))+Operations!$F$444)/100</f>
        <v>0.06</v>
      </c>
      <c r="AB464" s="14" t="n">
        <f aca="false">(IF(Time!AB$4&gt;=Inputs!$F$61,Inputs!$F$63,Inputs!$F$62+(Inputs!$F$63-Inputs!$F$62)*(Time!AB$4-Inputs!$F$23)/(Inputs!$F$61-Inputs!$F$23))+Operations!$F$444)/100</f>
        <v>0.06</v>
      </c>
      <c r="AC464" s="14" t="n">
        <f aca="false">(IF(Time!AC$4&gt;=Inputs!$F$61,Inputs!$F$63,Inputs!$F$62+(Inputs!$F$63-Inputs!$F$62)*(Time!AC$4-Inputs!$F$23)/(Inputs!$F$61-Inputs!$F$23))+Operations!$F$444)/100</f>
        <v>0.06</v>
      </c>
      <c r="AD464" s="14" t="n">
        <f aca="false">(IF(Time!AD$4&gt;=Inputs!$F$61,Inputs!$F$63,Inputs!$F$62+(Inputs!$F$63-Inputs!$F$62)*(Time!AD$4-Inputs!$F$23)/(Inputs!$F$61-Inputs!$F$23))+Operations!$F$444)/100</f>
        <v>0.06</v>
      </c>
      <c r="AE464" s="14" t="n">
        <f aca="false">(IF(Time!AE$4&gt;=Inputs!$F$61,Inputs!$F$63,Inputs!$F$62+(Inputs!$F$63-Inputs!$F$62)*(Time!AE$4-Inputs!$F$23)/(Inputs!$F$61-Inputs!$F$23))+Operations!$F$444)/100</f>
        <v>0.06</v>
      </c>
      <c r="AF464" s="14" t="n">
        <f aca="false">(IF(Time!AF$4&gt;=Inputs!$F$61,Inputs!$F$63,Inputs!$F$62+(Inputs!$F$63-Inputs!$F$62)*(Time!AF$4-Inputs!$F$23)/(Inputs!$F$61-Inputs!$F$23))+Operations!$F$444)/100</f>
        <v>0.06</v>
      </c>
      <c r="AG464" s="14" t="n">
        <f aca="false">(IF(Time!AG$4&gt;=Inputs!$F$61,Inputs!$F$63,Inputs!$F$62+(Inputs!$F$63-Inputs!$F$62)*(Time!AG$4-Inputs!$F$23)/(Inputs!$F$61-Inputs!$F$23))+Operations!$F$444)/100</f>
        <v>0.06</v>
      </c>
      <c r="AH464" s="14" t="n">
        <f aca="false">(IF(Time!AH$4&gt;=Inputs!$F$61,Inputs!$F$63,Inputs!$F$62+(Inputs!$F$63-Inputs!$F$62)*(Time!AH$4-Inputs!$F$23)/(Inputs!$F$61-Inputs!$F$23))+Operations!$F$444)/100</f>
        <v>0.06</v>
      </c>
      <c r="AI464" s="14" t="n">
        <f aca="false">(IF(Time!AI$4&gt;=Inputs!$F$61,Inputs!$F$63,Inputs!$F$62+(Inputs!$F$63-Inputs!$F$62)*(Time!AI$4-Inputs!$F$23)/(Inputs!$F$61-Inputs!$F$23))+Operations!$F$444)/100</f>
        <v>0.06</v>
      </c>
      <c r="AJ464" s="14" t="n">
        <f aca="false">(IF(Time!AJ$4&gt;=Inputs!$F$61,Inputs!$F$63,Inputs!$F$62+(Inputs!$F$63-Inputs!$F$62)*(Time!AJ$4-Inputs!$F$23)/(Inputs!$F$61-Inputs!$F$23))+Operations!$F$444)/100</f>
        <v>0.06</v>
      </c>
      <c r="AK464" s="14" t="n">
        <f aca="false">(IF(Time!AK$4&gt;=Inputs!$F$61,Inputs!$F$63,Inputs!$F$62+(Inputs!$F$63-Inputs!$F$62)*(Time!AK$4-Inputs!$F$23)/(Inputs!$F$61-Inputs!$F$23))+Operations!$F$444)/100</f>
        <v>0.06</v>
      </c>
      <c r="AL464" s="14" t="n">
        <f aca="false">(IF(Time!AL$4&gt;=Inputs!$F$61,Inputs!$F$63,Inputs!$F$62+(Inputs!$F$63-Inputs!$F$62)*(Time!AL$4-Inputs!$F$23)/(Inputs!$F$61-Inputs!$F$23))+Operations!$F$444)/100</f>
        <v>0.06</v>
      </c>
      <c r="AM464" s="14" t="n">
        <f aca="false">(IF(Time!AM$4&gt;=Inputs!$F$61,Inputs!$F$63,Inputs!$F$62+(Inputs!$F$63-Inputs!$F$62)*(Time!AM$4-Inputs!$F$23)/(Inputs!$F$61-Inputs!$F$23))+Operations!$F$444)/100</f>
        <v>0.06</v>
      </c>
      <c r="AN464" s="14" t="n">
        <f aca="false">(IF(Time!AN$4&gt;=Inputs!$F$61,Inputs!$F$63,Inputs!$F$62+(Inputs!$F$63-Inputs!$F$62)*(Time!AN$4-Inputs!$F$23)/(Inputs!$F$61-Inputs!$F$23))+Operations!$F$444)/100</f>
        <v>0.06</v>
      </c>
      <c r="AO464" s="14" t="n">
        <f aca="false">(IF(Time!AO$4&gt;=Inputs!$F$61,Inputs!$F$63,Inputs!$F$62+(Inputs!$F$63-Inputs!$F$62)*(Time!AO$4-Inputs!$F$23)/(Inputs!$F$61-Inputs!$F$23))+Operations!$F$444)/100</f>
        <v>0.06</v>
      </c>
      <c r="AP464" s="14" t="n">
        <f aca="false">(IF(Time!AP$4&gt;=Inputs!$F$61,Inputs!$F$63,Inputs!$F$62+(Inputs!$F$63-Inputs!$F$62)*(Time!AP$4-Inputs!$F$23)/(Inputs!$F$61-Inputs!$F$23))+Operations!$F$444)/100</f>
        <v>0.06</v>
      </c>
      <c r="AQ464" s="14" t="n">
        <f aca="false">(IF(Time!AQ$4&gt;=Inputs!$F$61,Inputs!$F$63,Inputs!$F$62+(Inputs!$F$63-Inputs!$F$62)*(Time!AQ$4-Inputs!$F$23)/(Inputs!$F$61-Inputs!$F$23))+Operations!$F$444)/100</f>
        <v>0.06</v>
      </c>
      <c r="AR464" s="14" t="n">
        <f aca="false">(IF(Time!AR$4&gt;=Inputs!$F$61,Inputs!$F$63,Inputs!$F$62+(Inputs!$F$63-Inputs!$F$62)*(Time!AR$4-Inputs!$F$23)/(Inputs!$F$61-Inputs!$F$23))+Operations!$F$444)/100</f>
        <v>0.06</v>
      </c>
      <c r="AS464" s="14" t="n">
        <f aca="false">(IF(Time!AS$4&gt;=Inputs!$F$61,Inputs!$F$63,Inputs!$F$62+(Inputs!$F$63-Inputs!$F$62)*(Time!AS$4-Inputs!$F$23)/(Inputs!$F$61-Inputs!$F$23))+Operations!$F$444)/100</f>
        <v>0.06</v>
      </c>
      <c r="AT464" s="14" t="n">
        <f aca="false">(IF(Time!AT$4&gt;=Inputs!$F$61,Inputs!$F$63,Inputs!$F$62+(Inputs!$F$63-Inputs!$F$62)*(Time!AT$4-Inputs!$F$23)/(Inputs!$F$61-Inputs!$F$23))+Operations!$F$444)/100</f>
        <v>0.06</v>
      </c>
      <c r="AU464" s="14" t="n">
        <f aca="false">(IF(Time!AU$4&gt;=Inputs!$F$61,Inputs!$F$63,Inputs!$F$62+(Inputs!$F$63-Inputs!$F$62)*(Time!AU$4-Inputs!$F$23)/(Inputs!$F$61-Inputs!$F$23))+Operations!$F$444)/100</f>
        <v>0.06</v>
      </c>
    </row>
    <row r="465" customFormat="false" ht="15" hidden="false" customHeight="false" outlineLevel="0" collapsed="false">
      <c r="D465" s="0" t="s">
        <v>465</v>
      </c>
      <c r="E465" s="0" t="s">
        <v>466</v>
      </c>
      <c r="J465" s="20" t="n">
        <f aca="false">Inputs!$F$94*Operations!J462*Inputs!$F$192/100*Operations!J463*(1-Operations!J464)</f>
        <v>664.489</v>
      </c>
      <c r="K465" s="20" t="n">
        <f aca="false">Inputs!$F$94*Operations!K462*Inputs!$F$192/100*Operations!K463*(1-Operations!K464)</f>
        <v>659.68798</v>
      </c>
      <c r="L465" s="20" t="n">
        <f aca="false">Inputs!$F$94*Operations!L462*Inputs!$F$192/100*Operations!L463*(1-Operations!L464)</f>
        <v>654.903506124</v>
      </c>
      <c r="M465" s="20" t="n">
        <f aca="false">Inputs!$F$94*Operations!M462*Inputs!$F$192/100*Operations!M463*(1-Operations!M464)</f>
        <v>650.135531391584</v>
      </c>
      <c r="N465" s="20" t="n">
        <f aca="false">Inputs!$F$94*Operations!N462*Inputs!$F$192/100*Operations!N463*(1-Operations!N464)</f>
        <v>648.835260328801</v>
      </c>
      <c r="O465" s="20" t="n">
        <f aca="false">Inputs!$F$94*Operations!O462*Inputs!$F$192/100*Operations!O463*(1-Operations!O464)</f>
        <v>647.537589808143</v>
      </c>
      <c r="P465" s="20" t="n">
        <f aca="false">Inputs!$F$94*Operations!P462*Inputs!$F$192/100*Operations!P463*(1-Operations!P464)</f>
        <v>646.242514628527</v>
      </c>
      <c r="Q465" s="20" t="n">
        <f aca="false">Inputs!$F$94*Operations!Q462*Inputs!$F$192/100*Operations!Q463*(1-Operations!Q464)</f>
        <v>644.95002959927</v>
      </c>
      <c r="R465" s="20" t="n">
        <f aca="false">Inputs!$F$94*Operations!R462*Inputs!$F$192/100*Operations!R463*(1-Operations!R464)</f>
        <v>643.660129540071</v>
      </c>
      <c r="S465" s="20" t="n">
        <f aca="false">Inputs!$F$94*Operations!S462*Inputs!$F$192/100*Operations!S463*(1-Operations!S464)</f>
        <v>642.372809280991</v>
      </c>
      <c r="T465" s="20" t="n">
        <f aca="false">Inputs!$F$94*Operations!T462*Inputs!$F$192/100*Operations!T463*(1-Operations!T464)</f>
        <v>641.088063662429</v>
      </c>
      <c r="U465" s="20" t="n">
        <f aca="false">Inputs!$F$94*Operations!U462*Inputs!$F$192/100*Operations!U463*(1-Operations!U464)</f>
        <v>639.805887535104</v>
      </c>
      <c r="V465" s="20" t="n">
        <f aca="false">Inputs!$F$94*Operations!V462*Inputs!$F$192/100*Operations!V463*(1-Operations!V464)</f>
        <v>638.526275760034</v>
      </c>
      <c r="W465" s="20" t="n">
        <f aca="false">Inputs!$F$94*Operations!W462*Inputs!$F$192/100*Operations!W463*(1-Operations!W464)</f>
        <v>637.249223208514</v>
      </c>
      <c r="X465" s="20" t="n">
        <f aca="false">Inputs!$F$94*Operations!X462*Inputs!$F$192/100*Operations!X463*(1-Operations!X464)</f>
        <v>635.974724762097</v>
      </c>
      <c r="Y465" s="20" t="n">
        <f aca="false">Inputs!$F$94*Operations!Y462*Inputs!$F$192/100*Operations!Y463*(1-Operations!Y464)</f>
        <v>634.702775312573</v>
      </c>
      <c r="Z465" s="20" t="n">
        <f aca="false">Inputs!$F$94*Operations!Z462*Inputs!$F$192/100*Operations!Z463*(1-Operations!Z464)</f>
        <v>633.433369761948</v>
      </c>
      <c r="AA465" s="20" t="n">
        <f aca="false">Inputs!$F$94*Operations!AA462*Inputs!$F$192/100*Operations!AA463*(1-Operations!AA464)</f>
        <v>632.166503022424</v>
      </c>
      <c r="AB465" s="20" t="n">
        <f aca="false">Inputs!$F$94*Operations!AB462*Inputs!$F$192/100*Operations!AB463*(1-Operations!AB464)</f>
        <v>630.902170016379</v>
      </c>
      <c r="AC465" s="20" t="n">
        <f aca="false">Inputs!$F$94*Operations!AC462*Inputs!$F$192/100*Operations!AC463*(1-Operations!AC464)</f>
        <v>629.640365676346</v>
      </c>
      <c r="AD465" s="20" t="n">
        <f aca="false">Inputs!$F$94*Operations!AD462*Inputs!$F$192/100*Operations!AD463*(1-Operations!AD464)</f>
        <v>628.381084944993</v>
      </c>
      <c r="AE465" s="20" t="n">
        <f aca="false">Inputs!$F$94*Operations!AE462*Inputs!$F$192/100*Operations!AE463*(1-Operations!AE464)</f>
        <v>627.124322775104</v>
      </c>
      <c r="AF465" s="20" t="n">
        <f aca="false">Inputs!$F$94*Operations!AF462*Inputs!$F$192/100*Operations!AF463*(1-Operations!AF464)</f>
        <v>625.870074129553</v>
      </c>
      <c r="AG465" s="20" t="n">
        <f aca="false">Inputs!$F$94*Operations!AG462*Inputs!$F$192/100*Operations!AG463*(1-Operations!AG464)</f>
        <v>624.618333981294</v>
      </c>
      <c r="AH465" s="20" t="n">
        <f aca="false">Inputs!$F$94*Operations!AH462*Inputs!$F$192/100*Operations!AH463*(1-Operations!AH464)</f>
        <v>623.369097313332</v>
      </c>
      <c r="AI465" s="20" t="n">
        <f aca="false">Inputs!$F$94*Operations!AI462*Inputs!$F$192/100*Operations!AI463*(1-Operations!AI464)</f>
        <v>622.122359118705</v>
      </c>
      <c r="AJ465" s="20" t="n">
        <f aca="false">Inputs!$F$94*Operations!AJ462*Inputs!$F$192/100*Operations!AJ463*(1-Operations!AJ464)</f>
        <v>620.878114400467</v>
      </c>
      <c r="AK465" s="20" t="n">
        <f aca="false">Inputs!$F$94*Operations!AK462*Inputs!$F$192/100*Operations!AK463*(1-Operations!AK464)</f>
        <v>619.636358171666</v>
      </c>
      <c r="AL465" s="20" t="n">
        <f aca="false">Inputs!$F$94*Operations!AL462*Inputs!$F$192/100*Operations!AL463*(1-Operations!AL464)</f>
        <v>618.397085455323</v>
      </c>
      <c r="AM465" s="20" t="n">
        <f aca="false">Inputs!$F$94*Operations!AM462*Inputs!$F$192/100*Operations!AM463*(1-Operations!AM464)</f>
        <v>617.160291284412</v>
      </c>
      <c r="AN465" s="20" t="n">
        <f aca="false">Inputs!$F$94*Operations!AN462*Inputs!$F$192/100*Operations!AN463*(1-Operations!AN464)</f>
        <v>615.925970701844</v>
      </c>
      <c r="AO465" s="20" t="n">
        <f aca="false">Inputs!$F$94*Operations!AO462*Inputs!$F$192/100*Operations!AO463*(1-Operations!AO464)</f>
        <v>614.69411876044</v>
      </c>
      <c r="AP465" s="20" t="n">
        <f aca="false">Inputs!$F$94*Operations!AP462*Inputs!$F$192/100*Operations!AP463*(1-Operations!AP464)</f>
        <v>613.464730522919</v>
      </c>
      <c r="AQ465" s="20" t="n">
        <f aca="false">Inputs!$F$94*Operations!AQ462*Inputs!$F$192/100*Operations!AQ463*(1-Operations!AQ464)</f>
        <v>612.237801061873</v>
      </c>
      <c r="AR465" s="20" t="n">
        <f aca="false">Inputs!$F$94*Operations!AR462*Inputs!$F$192/100*Operations!AR463*(1-Operations!AR464)</f>
        <v>611.01332545975</v>
      </c>
      <c r="AS465" s="20" t="n">
        <f aca="false">Inputs!$F$94*Operations!AS462*Inputs!$F$192/100*Operations!AS463*(1-Operations!AS464)</f>
        <v>609.79129880883</v>
      </c>
      <c r="AT465" s="20" t="n">
        <f aca="false">Inputs!$F$94*Operations!AT462*Inputs!$F$192/100*Operations!AT463*(1-Operations!AT464)</f>
        <v>608.571716211212</v>
      </c>
      <c r="AU465" s="20" t="n">
        <f aca="false">Inputs!$F$94*Operations!AU462*Inputs!$F$192/100*Operations!AU463*(1-Operations!AU464)</f>
        <v>607.35457277879</v>
      </c>
    </row>
    <row r="466" customFormat="false" ht="15" hidden="false" customHeight="false" outlineLevel="0" collapsed="false">
      <c r="D466" s="0" t="s">
        <v>467</v>
      </c>
      <c r="E466" s="0" t="s">
        <v>466</v>
      </c>
      <c r="G466" s="20" t="n">
        <f aca="false">SUM(J466:AU466)</f>
        <v>14737.6791912689</v>
      </c>
      <c r="J466" s="20" t="n">
        <f aca="false">Operations!J465*Operations!J458</f>
        <v>664.489</v>
      </c>
      <c r="K466" s="20" t="n">
        <f aca="false">Operations!K465*Operations!K458</f>
        <v>659.68798</v>
      </c>
      <c r="L466" s="20" t="n">
        <f aca="false">Operations!L465*Operations!L458</f>
        <v>654.903506124</v>
      </c>
      <c r="M466" s="20" t="n">
        <f aca="false">Operations!M465*Operations!M458</f>
        <v>650.135531391584</v>
      </c>
      <c r="N466" s="20" t="n">
        <f aca="false">Operations!N465*Operations!N458</f>
        <v>648.835260328801</v>
      </c>
      <c r="O466" s="20" t="n">
        <f aca="false">Operations!O465*Operations!O458</f>
        <v>647.537589808143</v>
      </c>
      <c r="P466" s="20" t="n">
        <f aca="false">Operations!P465*Operations!P458</f>
        <v>646.242514628527</v>
      </c>
      <c r="Q466" s="20" t="n">
        <f aca="false">Operations!Q465*Operations!Q458</f>
        <v>644.95002959927</v>
      </c>
      <c r="R466" s="20" t="n">
        <f aca="false">Operations!R465*Operations!R458</f>
        <v>643.660129540071</v>
      </c>
      <c r="S466" s="20" t="n">
        <f aca="false">Operations!S465*Operations!S458</f>
        <v>642.372809280991</v>
      </c>
      <c r="T466" s="20" t="n">
        <f aca="false">Operations!T465*Operations!T458</f>
        <v>641.088063662429</v>
      </c>
      <c r="U466" s="20" t="n">
        <f aca="false">Operations!U465*Operations!U458</f>
        <v>639.805887535104</v>
      </c>
      <c r="V466" s="20" t="n">
        <f aca="false">Operations!V465*Operations!V458</f>
        <v>638.526275760034</v>
      </c>
      <c r="W466" s="20" t="n">
        <f aca="false">Operations!W465*Operations!W458</f>
        <v>637.249223208514</v>
      </c>
      <c r="X466" s="20" t="n">
        <f aca="false">Operations!X465*Operations!X458</f>
        <v>635.974724762097</v>
      </c>
      <c r="Y466" s="20" t="n">
        <f aca="false">Operations!Y465*Operations!Y458</f>
        <v>634.702775312573</v>
      </c>
      <c r="Z466" s="20" t="n">
        <f aca="false">Operations!Z465*Operations!Z458</f>
        <v>633.433369761948</v>
      </c>
      <c r="AA466" s="20" t="n">
        <f aca="false">Operations!AA465*Operations!AA458</f>
        <v>632.166503022424</v>
      </c>
      <c r="AB466" s="20" t="n">
        <f aca="false">Operations!AB465*Operations!AB458</f>
        <v>630.902170016379</v>
      </c>
      <c r="AC466" s="20" t="n">
        <f aca="false">Operations!AC465*Operations!AC458</f>
        <v>629.640365676346</v>
      </c>
      <c r="AD466" s="20" t="n">
        <f aca="false">Operations!AD465*Operations!AD458</f>
        <v>628.381084944993</v>
      </c>
      <c r="AE466" s="20" t="n">
        <f aca="false">Operations!AE465*Operations!AE458</f>
        <v>627.124322775104</v>
      </c>
      <c r="AF466" s="20" t="n">
        <f aca="false">Operations!AF465*Operations!AF458</f>
        <v>625.870074129553</v>
      </c>
      <c r="AG466" s="20" t="n">
        <f aca="false">Operations!AG465*Operations!AG458</f>
        <v>0</v>
      </c>
      <c r="AH466" s="20" t="n">
        <f aca="false">Operations!AH465*Operations!AH458</f>
        <v>0</v>
      </c>
      <c r="AI466" s="20" t="n">
        <f aca="false">Operations!AI465*Operations!AI458</f>
        <v>0</v>
      </c>
      <c r="AJ466" s="20" t="n">
        <f aca="false">Operations!AJ465*Operations!AJ458</f>
        <v>0</v>
      </c>
      <c r="AK466" s="20" t="n">
        <f aca="false">Operations!AK465*Operations!AK458</f>
        <v>0</v>
      </c>
      <c r="AL466" s="20" t="n">
        <f aca="false">Operations!AL465*Operations!AL458</f>
        <v>0</v>
      </c>
      <c r="AM466" s="20" t="n">
        <f aca="false">Operations!AM465*Operations!AM458</f>
        <v>0</v>
      </c>
      <c r="AN466" s="20" t="n">
        <f aca="false">Operations!AN465*Operations!AN458</f>
        <v>0</v>
      </c>
      <c r="AO466" s="20" t="n">
        <f aca="false">Operations!AO465*Operations!AO458</f>
        <v>0</v>
      </c>
      <c r="AP466" s="20" t="n">
        <f aca="false">Operations!AP465*Operations!AP458</f>
        <v>0</v>
      </c>
      <c r="AQ466" s="20" t="n">
        <f aca="false">Operations!AQ465*Operations!AQ458</f>
        <v>0</v>
      </c>
      <c r="AR466" s="20" t="n">
        <f aca="false">Operations!AR465*Operations!AR458</f>
        <v>0</v>
      </c>
      <c r="AS466" s="20" t="n">
        <f aca="false">Operations!AS465*Operations!AS458</f>
        <v>0</v>
      </c>
      <c r="AT466" s="20" t="n">
        <f aca="false">Operations!AT465*Operations!AT458</f>
        <v>0</v>
      </c>
      <c r="AU466" s="20" t="n">
        <f aca="false">Operations!AU465*Operations!AU458</f>
        <v>0</v>
      </c>
    </row>
    <row r="467" customFormat="false" ht="15" hidden="false" customHeight="false" outlineLevel="0" collapsed="false">
      <c r="D467" s="0" t="s">
        <v>468</v>
      </c>
      <c r="E467" s="0" t="s">
        <v>54</v>
      </c>
      <c r="J467" s="14" t="n">
        <f aca="false">Operations!J452</f>
        <v>0.74</v>
      </c>
      <c r="K467" s="14" t="n">
        <f aca="false">Operations!K452</f>
        <v>0.734</v>
      </c>
      <c r="L467" s="14" t="n">
        <f aca="false">Operations!L452</f>
        <v>0.728</v>
      </c>
      <c r="M467" s="14" t="n">
        <f aca="false">Operations!M452</f>
        <v>0.722</v>
      </c>
      <c r="N467" s="14" t="n">
        <f aca="false">Operations!N452</f>
        <v>0.716</v>
      </c>
      <c r="O467" s="14" t="n">
        <f aca="false">Operations!O452</f>
        <v>0.71</v>
      </c>
      <c r="P467" s="14" t="n">
        <f aca="false">Operations!P452</f>
        <v>0.704</v>
      </c>
      <c r="Q467" s="14" t="n">
        <f aca="false">Operations!Q452</f>
        <v>0.698</v>
      </c>
      <c r="R467" s="14" t="n">
        <f aca="false">Operations!R452</f>
        <v>0.692</v>
      </c>
      <c r="S467" s="14" t="n">
        <f aca="false">Operations!S452</f>
        <v>0.686</v>
      </c>
      <c r="T467" s="14" t="n">
        <f aca="false">Operations!T452</f>
        <v>0.68</v>
      </c>
      <c r="U467" s="14" t="n">
        <f aca="false">Operations!U452</f>
        <v>0.674</v>
      </c>
      <c r="V467" s="14" t="n">
        <f aca="false">Operations!V452</f>
        <v>0.668</v>
      </c>
      <c r="W467" s="14" t="n">
        <f aca="false">Operations!W452</f>
        <v>0.662</v>
      </c>
      <c r="X467" s="14" t="n">
        <f aca="false">Operations!X452</f>
        <v>0.656</v>
      </c>
      <c r="Y467" s="14" t="n">
        <f aca="false">Operations!Y452</f>
        <v>0.65</v>
      </c>
      <c r="Z467" s="14" t="n">
        <f aca="false">Operations!Z452</f>
        <v>0.644</v>
      </c>
      <c r="AA467" s="14" t="n">
        <f aca="false">Operations!AA452</f>
        <v>0.638</v>
      </c>
      <c r="AB467" s="14" t="n">
        <f aca="false">Operations!AB452</f>
        <v>0.632</v>
      </c>
      <c r="AC467" s="14" t="n">
        <f aca="false">Operations!AC452</f>
        <v>0.626</v>
      </c>
      <c r="AD467" s="14" t="n">
        <f aca="false">Operations!AD452</f>
        <v>0.62</v>
      </c>
      <c r="AE467" s="14" t="n">
        <f aca="false">Operations!AE452</f>
        <v>0.62</v>
      </c>
      <c r="AF467" s="14" t="n">
        <f aca="false">Operations!AF452</f>
        <v>0.62</v>
      </c>
      <c r="AG467" s="14" t="n">
        <f aca="false">Operations!AG452</f>
        <v>0.62</v>
      </c>
      <c r="AH467" s="14" t="n">
        <f aca="false">Operations!AH452</f>
        <v>0.62</v>
      </c>
      <c r="AI467" s="14" t="n">
        <f aca="false">Operations!AI452</f>
        <v>0.62</v>
      </c>
      <c r="AJ467" s="14" t="n">
        <f aca="false">Operations!AJ452</f>
        <v>0.62</v>
      </c>
      <c r="AK467" s="14" t="n">
        <f aca="false">Operations!AK452</f>
        <v>0.62</v>
      </c>
      <c r="AL467" s="14" t="n">
        <f aca="false">Operations!AL452</f>
        <v>0.62</v>
      </c>
      <c r="AM467" s="14" t="n">
        <f aca="false">Operations!AM452</f>
        <v>0.62</v>
      </c>
      <c r="AN467" s="14" t="n">
        <f aca="false">Operations!AN452</f>
        <v>0.62</v>
      </c>
      <c r="AO467" s="14" t="n">
        <f aca="false">Operations!AO452</f>
        <v>0.62</v>
      </c>
      <c r="AP467" s="14" t="n">
        <f aca="false">Operations!AP452</f>
        <v>0.62</v>
      </c>
      <c r="AQ467" s="14" t="n">
        <f aca="false">Operations!AQ452</f>
        <v>0.62</v>
      </c>
      <c r="AR467" s="14" t="n">
        <f aca="false">Operations!AR452</f>
        <v>0.62</v>
      </c>
      <c r="AS467" s="14" t="n">
        <f aca="false">Operations!AS452</f>
        <v>0.62</v>
      </c>
      <c r="AT467" s="14" t="n">
        <f aca="false">Operations!AT452</f>
        <v>0.62</v>
      </c>
      <c r="AU467" s="14" t="n">
        <f aca="false">Operations!AU452</f>
        <v>0.62</v>
      </c>
    </row>
    <row r="468" customFormat="false" ht="15" hidden="false" customHeight="false" outlineLevel="0" collapsed="false">
      <c r="D468" s="0" t="s">
        <v>469</v>
      </c>
      <c r="E468" s="0" t="s">
        <v>54</v>
      </c>
      <c r="J468" s="14" t="n">
        <f aca="false">Operations!J467-Inputs!$F$44</f>
        <v>0.7</v>
      </c>
      <c r="K468" s="14" t="n">
        <f aca="false">Operations!K467-Inputs!$F$44</f>
        <v>0.694</v>
      </c>
      <c r="L468" s="14" t="n">
        <f aca="false">Operations!L467-Inputs!$F$44</f>
        <v>0.688</v>
      </c>
      <c r="M468" s="14" t="n">
        <f aca="false">Operations!M467-Inputs!$F$44</f>
        <v>0.682</v>
      </c>
      <c r="N468" s="14" t="n">
        <f aca="false">Operations!N467-Inputs!$F$44</f>
        <v>0.676</v>
      </c>
      <c r="O468" s="14" t="n">
        <f aca="false">Operations!O467-Inputs!$F$44</f>
        <v>0.67</v>
      </c>
      <c r="P468" s="14" t="n">
        <f aca="false">Operations!P467-Inputs!$F$44</f>
        <v>0.664</v>
      </c>
      <c r="Q468" s="14" t="n">
        <f aca="false">Operations!Q467-Inputs!$F$44</f>
        <v>0.658</v>
      </c>
      <c r="R468" s="14" t="n">
        <f aca="false">Operations!R467-Inputs!$F$44</f>
        <v>0.652</v>
      </c>
      <c r="S468" s="14" t="n">
        <f aca="false">Operations!S467-Inputs!$F$44</f>
        <v>0.646</v>
      </c>
      <c r="T468" s="14" t="n">
        <f aca="false">Operations!T467-Inputs!$F$44</f>
        <v>0.64</v>
      </c>
      <c r="U468" s="14" t="n">
        <f aca="false">Operations!U467-Inputs!$F$44</f>
        <v>0.634</v>
      </c>
      <c r="V468" s="14" t="n">
        <f aca="false">Operations!V467-Inputs!$F$44</f>
        <v>0.628</v>
      </c>
      <c r="W468" s="14" t="n">
        <f aca="false">Operations!W467-Inputs!$F$44</f>
        <v>0.622</v>
      </c>
      <c r="X468" s="14" t="n">
        <f aca="false">Operations!X467-Inputs!$F$44</f>
        <v>0.616</v>
      </c>
      <c r="Y468" s="14" t="n">
        <f aca="false">Operations!Y467-Inputs!$F$44</f>
        <v>0.61</v>
      </c>
      <c r="Z468" s="14" t="n">
        <f aca="false">Operations!Z467-Inputs!$F$44</f>
        <v>0.604</v>
      </c>
      <c r="AA468" s="14" t="n">
        <f aca="false">Operations!AA467-Inputs!$F$44</f>
        <v>0.598</v>
      </c>
      <c r="AB468" s="14" t="n">
        <f aca="false">Operations!AB467-Inputs!$F$44</f>
        <v>0.592</v>
      </c>
      <c r="AC468" s="14" t="n">
        <f aca="false">Operations!AC467-Inputs!$F$44</f>
        <v>0.586</v>
      </c>
      <c r="AD468" s="14" t="n">
        <f aca="false">Operations!AD467-Inputs!$F$44</f>
        <v>0.58</v>
      </c>
      <c r="AE468" s="14" t="n">
        <f aca="false">Operations!AE467-Inputs!$F$44</f>
        <v>0.58</v>
      </c>
      <c r="AF468" s="14" t="n">
        <f aca="false">Operations!AF467-Inputs!$F$44</f>
        <v>0.58</v>
      </c>
      <c r="AG468" s="14" t="n">
        <f aca="false">Operations!AG467-Inputs!$F$44</f>
        <v>0.58</v>
      </c>
      <c r="AH468" s="14" t="n">
        <f aca="false">Operations!AH467-Inputs!$F$44</f>
        <v>0.58</v>
      </c>
      <c r="AI468" s="14" t="n">
        <f aca="false">Operations!AI467-Inputs!$F$44</f>
        <v>0.58</v>
      </c>
      <c r="AJ468" s="14" t="n">
        <f aca="false">Operations!AJ467-Inputs!$F$44</f>
        <v>0.58</v>
      </c>
      <c r="AK468" s="14" t="n">
        <f aca="false">Operations!AK467-Inputs!$F$44</f>
        <v>0.58</v>
      </c>
      <c r="AL468" s="14" t="n">
        <f aca="false">Operations!AL467-Inputs!$F$44</f>
        <v>0.58</v>
      </c>
      <c r="AM468" s="14" t="n">
        <f aca="false">Operations!AM467-Inputs!$F$44</f>
        <v>0.58</v>
      </c>
      <c r="AN468" s="14" t="n">
        <f aca="false">Operations!AN467-Inputs!$F$44</f>
        <v>0.58</v>
      </c>
      <c r="AO468" s="14" t="n">
        <f aca="false">Operations!AO467-Inputs!$F$44</f>
        <v>0.58</v>
      </c>
      <c r="AP468" s="14" t="n">
        <f aca="false">Operations!AP467-Inputs!$F$44</f>
        <v>0.58</v>
      </c>
      <c r="AQ468" s="14" t="n">
        <f aca="false">Operations!AQ467-Inputs!$F$44</f>
        <v>0.58</v>
      </c>
      <c r="AR468" s="14" t="n">
        <f aca="false">Operations!AR467-Inputs!$F$44</f>
        <v>0.58</v>
      </c>
      <c r="AS468" s="14" t="n">
        <f aca="false">Operations!AS467-Inputs!$F$44</f>
        <v>0.58</v>
      </c>
      <c r="AT468" s="14" t="n">
        <f aca="false">Operations!AT467-Inputs!$F$44</f>
        <v>0.58</v>
      </c>
      <c r="AU468" s="14" t="n">
        <f aca="false">Operations!AU467-Inputs!$F$44</f>
        <v>0.58</v>
      </c>
    </row>
    <row r="469" customFormat="false" ht="15" hidden="false" customHeight="false" outlineLevel="0" collapsed="false">
      <c r="D469" s="0" t="s">
        <v>470</v>
      </c>
      <c r="E469" s="0" t="s">
        <v>96</v>
      </c>
      <c r="J469" s="18" t="n">
        <f aca="false">Operations!J461*Operations!J468</f>
        <v>50.54896</v>
      </c>
      <c r="K469" s="18" t="n">
        <f aca="false">Operations!K461*Operations!K468</f>
        <v>41.1136704</v>
      </c>
      <c r="L469" s="18" t="n">
        <f aca="false">Operations!L461*Operations!L468</f>
        <v>20.0461184</v>
      </c>
      <c r="M469" s="18" t="n">
        <f aca="false">Operations!M461*Operations!M468</f>
        <v>26.2750048</v>
      </c>
      <c r="N469" s="18" t="n">
        <f aca="false">Operations!N461*Operations!N468</f>
        <v>29.1848128</v>
      </c>
      <c r="O469" s="18" t="n">
        <f aca="false">Operations!O461*Operations!O468</f>
        <v>30.676888</v>
      </c>
      <c r="P469" s="18" t="n">
        <f aca="false">Operations!P461*Operations!P468</f>
        <v>31.5591232</v>
      </c>
      <c r="Q469" s="18" t="n">
        <f aca="false">Operations!Q461*Operations!Q468</f>
        <v>32.1019776</v>
      </c>
      <c r="R469" s="18" t="n">
        <f aca="false">Operations!R461*Operations!R468</f>
        <v>32.6928448</v>
      </c>
      <c r="S469" s="18" t="n">
        <f aca="false">Operations!S461*Operations!S468</f>
        <v>33.04233152</v>
      </c>
      <c r="T469" s="18" t="n">
        <f aca="false">Operations!T461*Operations!T468</f>
        <v>33.392128</v>
      </c>
      <c r="U469" s="18" t="n">
        <f aca="false">Operations!U461*Operations!U468</f>
        <v>33.74188576</v>
      </c>
      <c r="V469" s="18" t="n">
        <f aca="false">Operations!V461*Operations!V468</f>
        <v>34.09125632</v>
      </c>
      <c r="W469" s="18" t="n">
        <f aca="false">Operations!W461*Operations!W468</f>
        <v>34.4398912</v>
      </c>
      <c r="X469" s="18" t="n">
        <f aca="false">Operations!X461*Operations!X468</f>
        <v>34.78744192</v>
      </c>
      <c r="Y469" s="18" t="n">
        <f aca="false">Operations!Y461*Operations!Y468</f>
        <v>35.1394648</v>
      </c>
      <c r="Z469" s="18" t="n">
        <f aca="false">Operations!Z461*Operations!Z468</f>
        <v>35.4895904</v>
      </c>
      <c r="AA469" s="18" t="n">
        <f aca="false">Operations!AA461*Operations!AA468</f>
        <v>35.83747024</v>
      </c>
      <c r="AB469" s="18" t="n">
        <f aca="false">Operations!AB461*Operations!AB468</f>
        <v>36.1884864</v>
      </c>
      <c r="AC469" s="18" t="n">
        <f aca="false">Operations!AC461*Operations!AC468</f>
        <v>36.53644368</v>
      </c>
      <c r="AD469" s="18" t="n">
        <f aca="false">Operations!AD461*Operations!AD468</f>
        <v>36.886608</v>
      </c>
      <c r="AE469" s="18" t="n">
        <f aca="false">Operations!AE461*Operations!AE468</f>
        <v>37.6220944</v>
      </c>
      <c r="AF469" s="18" t="n">
        <f aca="false">Operations!AF461*Operations!AF468</f>
        <v>38.374424</v>
      </c>
      <c r="AG469" s="18" t="n">
        <f aca="false">Operations!AG461*Operations!AG468</f>
        <v>39.1435968</v>
      </c>
      <c r="AH469" s="18" t="n">
        <f aca="false">Operations!AH461*Operations!AH468</f>
        <v>39.9239984</v>
      </c>
      <c r="AI469" s="18" t="n">
        <f aca="false">Operations!AI461*Operations!AI468</f>
        <v>40.7212432</v>
      </c>
      <c r="AJ469" s="18" t="n">
        <f aca="false">Operations!AJ461*Operations!AJ468</f>
        <v>41.5353312</v>
      </c>
      <c r="AK469" s="18" t="n">
        <f aca="false">Operations!AK461*Operations!AK468</f>
        <v>42.3662624</v>
      </c>
      <c r="AL469" s="18" t="n">
        <f aca="false">Operations!AL461*Operations!AL468</f>
        <v>43.2140368</v>
      </c>
      <c r="AM469" s="18" t="n">
        <f aca="false">Operations!AM461*Operations!AM468</f>
        <v>44.0786544</v>
      </c>
      <c r="AN469" s="18" t="n">
        <f aca="false">Operations!AN461*Operations!AN468</f>
        <v>44.9601152</v>
      </c>
      <c r="AO469" s="18" t="n">
        <f aca="false">Operations!AO461*Operations!AO468</f>
        <v>45.8584192</v>
      </c>
      <c r="AP469" s="18" t="n">
        <f aca="false">Operations!AP461*Operations!AP468</f>
        <v>46.7735664</v>
      </c>
      <c r="AQ469" s="18" t="n">
        <f aca="false">Operations!AQ461*Operations!AQ468</f>
        <v>47.7111712</v>
      </c>
      <c r="AR469" s="18" t="n">
        <f aca="false">Operations!AR461*Operations!AR468</f>
        <v>48.6656192</v>
      </c>
      <c r="AS469" s="18" t="n">
        <f aca="false">Operations!AS461*Operations!AS468</f>
        <v>49.6369104</v>
      </c>
      <c r="AT469" s="18" t="n">
        <f aca="false">Operations!AT461*Operations!AT468</f>
        <v>50.6306592</v>
      </c>
      <c r="AU469" s="18" t="n">
        <f aca="false">Operations!AU461*Operations!AU468</f>
        <v>51.6412512</v>
      </c>
    </row>
    <row r="470" customFormat="false" ht="15" hidden="false" customHeight="false" outlineLevel="0" collapsed="false">
      <c r="D470" s="0" t="s">
        <v>471</v>
      </c>
      <c r="E470" s="0" t="s">
        <v>458</v>
      </c>
      <c r="J470" s="14" t="n">
        <f aca="false">MAX(0,MIN(Inputs!$F$200,Time!J$6)-MAX(Inputs!$F$199-1,Time!J$5))/Time!J$7</f>
        <v>0</v>
      </c>
      <c r="K470" s="14" t="n">
        <f aca="false">MAX(0,MIN(Inputs!$F$200,Time!K$6)-MAX(Inputs!$F$199-1,Time!K$5))/Time!K$7</f>
        <v>1</v>
      </c>
      <c r="L470" s="14" t="n">
        <f aca="false">MAX(0,MIN(Inputs!$F$200,Time!L$6)-MAX(Inputs!$F$199-1,Time!L$5))/Time!L$7</f>
        <v>1</v>
      </c>
      <c r="M470" s="14" t="n">
        <f aca="false">MAX(0,MIN(Inputs!$F$200,Time!M$6)-MAX(Inputs!$F$199-1,Time!M$5))/Time!M$7</f>
        <v>1</v>
      </c>
      <c r="N470" s="14" t="n">
        <f aca="false">MAX(0,MIN(Inputs!$F$200,Time!N$6)-MAX(Inputs!$F$199-1,Time!N$5))/Time!N$7</f>
        <v>1</v>
      </c>
      <c r="O470" s="14" t="n">
        <f aca="false">MAX(0,MIN(Inputs!$F$200,Time!O$6)-MAX(Inputs!$F$199-1,Time!O$5))/Time!O$7</f>
        <v>1</v>
      </c>
      <c r="P470" s="14" t="n">
        <f aca="false">MAX(0,MIN(Inputs!$F$200,Time!P$6)-MAX(Inputs!$F$199-1,Time!P$5))/Time!P$7</f>
        <v>0</v>
      </c>
      <c r="Q470" s="14" t="n">
        <f aca="false">MAX(0,MIN(Inputs!$F$200,Time!Q$6)-MAX(Inputs!$F$199-1,Time!Q$5))/Time!Q$7</f>
        <v>0</v>
      </c>
      <c r="R470" s="14" t="n">
        <f aca="false">MAX(0,MIN(Inputs!$F$200,Time!R$6)-MAX(Inputs!$F$199-1,Time!R$5))/Time!R$7</f>
        <v>0</v>
      </c>
      <c r="S470" s="14" t="n">
        <f aca="false">MAX(0,MIN(Inputs!$F$200,Time!S$6)-MAX(Inputs!$F$199-1,Time!S$5))/Time!S$7</f>
        <v>0</v>
      </c>
      <c r="T470" s="14" t="n">
        <f aca="false">MAX(0,MIN(Inputs!$F$200,Time!T$6)-MAX(Inputs!$F$199-1,Time!T$5))/Time!T$7</f>
        <v>0</v>
      </c>
      <c r="U470" s="14" t="n">
        <f aca="false">MAX(0,MIN(Inputs!$F$200,Time!U$6)-MAX(Inputs!$F$199-1,Time!U$5))/Time!U$7</f>
        <v>0</v>
      </c>
      <c r="V470" s="14" t="n">
        <f aca="false">MAX(0,MIN(Inputs!$F$200,Time!V$6)-MAX(Inputs!$F$199-1,Time!V$5))/Time!V$7</f>
        <v>0</v>
      </c>
      <c r="W470" s="14" t="n">
        <f aca="false">MAX(0,MIN(Inputs!$F$200,Time!W$6)-MAX(Inputs!$F$199-1,Time!W$5))/Time!W$7</f>
        <v>0</v>
      </c>
      <c r="X470" s="14" t="n">
        <f aca="false">MAX(0,MIN(Inputs!$F$200,Time!X$6)-MAX(Inputs!$F$199-1,Time!X$5))/Time!X$7</f>
        <v>0</v>
      </c>
      <c r="Y470" s="14" t="n">
        <f aca="false">MAX(0,MIN(Inputs!$F$200,Time!Y$6)-MAX(Inputs!$F$199-1,Time!Y$5))/Time!Y$7</f>
        <v>0</v>
      </c>
      <c r="Z470" s="14" t="n">
        <f aca="false">MAX(0,MIN(Inputs!$F$200,Time!Z$6)-MAX(Inputs!$F$199-1,Time!Z$5))/Time!Z$7</f>
        <v>0</v>
      </c>
      <c r="AA470" s="14" t="n">
        <f aca="false">MAX(0,MIN(Inputs!$F$200,Time!AA$6)-MAX(Inputs!$F$199-1,Time!AA$5))/Time!AA$7</f>
        <v>0</v>
      </c>
      <c r="AB470" s="14" t="n">
        <f aca="false">MAX(0,MIN(Inputs!$F$200,Time!AB$6)-MAX(Inputs!$F$199-1,Time!AB$5))/Time!AB$7</f>
        <v>0</v>
      </c>
      <c r="AC470" s="14" t="n">
        <f aca="false">MAX(0,MIN(Inputs!$F$200,Time!AC$6)-MAX(Inputs!$F$199-1,Time!AC$5))/Time!AC$7</f>
        <v>0</v>
      </c>
      <c r="AD470" s="14" t="n">
        <f aca="false">MAX(0,MIN(Inputs!$F$200,Time!AD$6)-MAX(Inputs!$F$199-1,Time!AD$5))/Time!AD$7</f>
        <v>0</v>
      </c>
      <c r="AE470" s="14" t="n">
        <f aca="false">MAX(0,MIN(Inputs!$F$200,Time!AE$6)-MAX(Inputs!$F$199-1,Time!AE$5))/Time!AE$7</f>
        <v>0</v>
      </c>
      <c r="AF470" s="14" t="n">
        <f aca="false">MAX(0,MIN(Inputs!$F$200,Time!AF$6)-MAX(Inputs!$F$199-1,Time!AF$5))/Time!AF$7</f>
        <v>0</v>
      </c>
      <c r="AG470" s="14" t="n">
        <f aca="false">MAX(0,MIN(Inputs!$F$200,Time!AG$6)-MAX(Inputs!$F$199-1,Time!AG$5))/Time!AG$7</f>
        <v>0</v>
      </c>
      <c r="AH470" s="14" t="n">
        <f aca="false">MAX(0,MIN(Inputs!$F$200,Time!AH$6)-MAX(Inputs!$F$199-1,Time!AH$5))/Time!AH$7</f>
        <v>0</v>
      </c>
      <c r="AI470" s="14" t="n">
        <f aca="false">MAX(0,MIN(Inputs!$F$200,Time!AI$6)-MAX(Inputs!$F$199-1,Time!AI$5))/Time!AI$7</f>
        <v>0</v>
      </c>
      <c r="AJ470" s="14" t="n">
        <f aca="false">MAX(0,MIN(Inputs!$F$200,Time!AJ$6)-MAX(Inputs!$F$199-1,Time!AJ$5))/Time!AJ$7</f>
        <v>0</v>
      </c>
      <c r="AK470" s="14" t="n">
        <f aca="false">MAX(0,MIN(Inputs!$F$200,Time!AK$6)-MAX(Inputs!$F$199-1,Time!AK$5))/Time!AK$7</f>
        <v>0</v>
      </c>
      <c r="AL470" s="14" t="n">
        <f aca="false">MAX(0,MIN(Inputs!$F$200,Time!AL$6)-MAX(Inputs!$F$199-1,Time!AL$5))/Time!AL$7</f>
        <v>0</v>
      </c>
      <c r="AM470" s="14" t="n">
        <f aca="false">MAX(0,MIN(Inputs!$F$200,Time!AM$6)-MAX(Inputs!$F$199-1,Time!AM$5))/Time!AM$7</f>
        <v>0</v>
      </c>
      <c r="AN470" s="14" t="n">
        <f aca="false">MAX(0,MIN(Inputs!$F$200,Time!AN$6)-MAX(Inputs!$F$199-1,Time!AN$5))/Time!AN$7</f>
        <v>0</v>
      </c>
      <c r="AO470" s="14" t="n">
        <f aca="false">MAX(0,MIN(Inputs!$F$200,Time!AO$6)-MAX(Inputs!$F$199-1,Time!AO$5))/Time!AO$7</f>
        <v>0</v>
      </c>
      <c r="AP470" s="14" t="n">
        <f aca="false">MAX(0,MIN(Inputs!$F$200,Time!AP$6)-MAX(Inputs!$F$199-1,Time!AP$5))/Time!AP$7</f>
        <v>0</v>
      </c>
      <c r="AQ470" s="14" t="n">
        <f aca="false">MAX(0,MIN(Inputs!$F$200,Time!AQ$6)-MAX(Inputs!$F$199-1,Time!AQ$5))/Time!AQ$7</f>
        <v>0</v>
      </c>
      <c r="AR470" s="14" t="n">
        <f aca="false">MAX(0,MIN(Inputs!$F$200,Time!AR$6)-MAX(Inputs!$F$199-1,Time!AR$5))/Time!AR$7</f>
        <v>0</v>
      </c>
      <c r="AS470" s="14" t="n">
        <f aca="false">MAX(0,MIN(Inputs!$F$200,Time!AS$6)-MAX(Inputs!$F$199-1,Time!AS$5))/Time!AS$7</f>
        <v>0</v>
      </c>
      <c r="AT470" s="14" t="n">
        <f aca="false">MAX(0,MIN(Inputs!$F$200,Time!AT$6)-MAX(Inputs!$F$199-1,Time!AT$5))/Time!AT$7</f>
        <v>0</v>
      </c>
      <c r="AU470" s="14" t="n">
        <f aca="false">MAX(0,MIN(Inputs!$F$200,Time!AU$6)-MAX(Inputs!$F$199-1,Time!AU$5))/Time!AU$7</f>
        <v>0</v>
      </c>
    </row>
    <row r="471" customFormat="false" ht="15" hidden="false" customHeight="false" outlineLevel="0" collapsed="false">
      <c r="D471" s="0" t="s">
        <v>472</v>
      </c>
      <c r="E471" s="0" t="s">
        <v>466</v>
      </c>
      <c r="J471" s="20" t="n">
        <f aca="false">Inputs!$F$197*Time!J$7*Inputs!$F$201/1000*Operations!J470</f>
        <v>0</v>
      </c>
      <c r="K471" s="20" t="n">
        <f aca="false">Inputs!$F$197*Time!K$7*Inputs!$F$201/1000*Operations!K470</f>
        <v>350.4</v>
      </c>
      <c r="L471" s="20" t="n">
        <f aca="false">Inputs!$F$197*Time!L$7*Inputs!$F$201/1000*Operations!L470</f>
        <v>351.36</v>
      </c>
      <c r="M471" s="20" t="n">
        <f aca="false">Inputs!$F$197*Time!M$7*Inputs!$F$201/1000*Operations!M470</f>
        <v>350.4</v>
      </c>
      <c r="N471" s="20" t="n">
        <f aca="false">Inputs!$F$197*Time!N$7*Inputs!$F$201/1000*Operations!N470</f>
        <v>350.4</v>
      </c>
      <c r="O471" s="20" t="n">
        <f aca="false">Inputs!$F$197*Time!O$7*Inputs!$F$201/1000*Operations!O470</f>
        <v>350.4</v>
      </c>
      <c r="P471" s="20" t="n">
        <f aca="false">Inputs!$F$197*Time!P$7*Inputs!$F$201/1000*Operations!P470</f>
        <v>0</v>
      </c>
      <c r="Q471" s="20" t="n">
        <f aca="false">Inputs!$F$197*Time!Q$7*Inputs!$F$201/1000*Operations!Q470</f>
        <v>0</v>
      </c>
      <c r="R471" s="20" t="n">
        <f aca="false">Inputs!$F$197*Time!R$7*Inputs!$F$201/1000*Operations!R470</f>
        <v>0</v>
      </c>
      <c r="S471" s="20" t="n">
        <f aca="false">Inputs!$F$197*Time!S$7*Inputs!$F$201/1000*Operations!S470</f>
        <v>0</v>
      </c>
      <c r="T471" s="20" t="n">
        <f aca="false">Inputs!$F$197*Time!T$7*Inputs!$F$201/1000*Operations!T470</f>
        <v>0</v>
      </c>
      <c r="U471" s="20" t="n">
        <f aca="false">Inputs!$F$197*Time!U$7*Inputs!$F$201/1000*Operations!U470</f>
        <v>0</v>
      </c>
      <c r="V471" s="20" t="n">
        <f aca="false">Inputs!$F$197*Time!V$7*Inputs!$F$201/1000*Operations!V470</f>
        <v>0</v>
      </c>
      <c r="W471" s="20" t="n">
        <f aca="false">Inputs!$F$197*Time!W$7*Inputs!$F$201/1000*Operations!W470</f>
        <v>0</v>
      </c>
      <c r="X471" s="20" t="n">
        <f aca="false">Inputs!$F$197*Time!X$7*Inputs!$F$201/1000*Operations!X470</f>
        <v>0</v>
      </c>
      <c r="Y471" s="20" t="n">
        <f aca="false">Inputs!$F$197*Time!Y$7*Inputs!$F$201/1000*Operations!Y470</f>
        <v>0</v>
      </c>
      <c r="Z471" s="20" t="n">
        <f aca="false">Inputs!$F$197*Time!Z$7*Inputs!$F$201/1000*Operations!Z470</f>
        <v>0</v>
      </c>
      <c r="AA471" s="20" t="n">
        <f aca="false">Inputs!$F$197*Time!AA$7*Inputs!$F$201/1000*Operations!AA470</f>
        <v>0</v>
      </c>
      <c r="AB471" s="20" t="n">
        <f aca="false">Inputs!$F$197*Time!AB$7*Inputs!$F$201/1000*Operations!AB470</f>
        <v>0</v>
      </c>
      <c r="AC471" s="20" t="n">
        <f aca="false">Inputs!$F$197*Time!AC$7*Inputs!$F$201/1000*Operations!AC470</f>
        <v>0</v>
      </c>
      <c r="AD471" s="20" t="n">
        <f aca="false">Inputs!$F$197*Time!AD$7*Inputs!$F$201/1000*Operations!AD470</f>
        <v>0</v>
      </c>
      <c r="AE471" s="20" t="n">
        <f aca="false">Inputs!$F$197*Time!AE$7*Inputs!$F$201/1000*Operations!AE470</f>
        <v>0</v>
      </c>
      <c r="AF471" s="20" t="n">
        <f aca="false">Inputs!$F$197*Time!AF$7*Inputs!$F$201/1000*Operations!AF470</f>
        <v>0</v>
      </c>
      <c r="AG471" s="20" t="n">
        <f aca="false">Inputs!$F$197*Time!AG$7*Inputs!$F$201/1000*Operations!AG470</f>
        <v>0</v>
      </c>
      <c r="AH471" s="20" t="n">
        <f aca="false">Inputs!$F$197*Time!AH$7*Inputs!$F$201/1000*Operations!AH470</f>
        <v>0</v>
      </c>
      <c r="AI471" s="20" t="n">
        <f aca="false">Inputs!$F$197*Time!AI$7*Inputs!$F$201/1000*Operations!AI470</f>
        <v>0</v>
      </c>
      <c r="AJ471" s="20" t="n">
        <f aca="false">Inputs!$F$197*Time!AJ$7*Inputs!$F$201/1000*Operations!AJ470</f>
        <v>0</v>
      </c>
      <c r="AK471" s="20" t="n">
        <f aca="false">Inputs!$F$197*Time!AK$7*Inputs!$F$201/1000*Operations!AK470</f>
        <v>0</v>
      </c>
      <c r="AL471" s="20" t="n">
        <f aca="false">Inputs!$F$197*Time!AL$7*Inputs!$F$201/1000*Operations!AL470</f>
        <v>0</v>
      </c>
      <c r="AM471" s="20" t="n">
        <f aca="false">Inputs!$F$197*Time!AM$7*Inputs!$F$201/1000*Operations!AM470</f>
        <v>0</v>
      </c>
      <c r="AN471" s="20" t="n">
        <f aca="false">Inputs!$F$197*Time!AN$7*Inputs!$F$201/1000*Operations!AN470</f>
        <v>0</v>
      </c>
      <c r="AO471" s="20" t="n">
        <f aca="false">Inputs!$F$197*Time!AO$7*Inputs!$F$201/1000*Operations!AO470</f>
        <v>0</v>
      </c>
      <c r="AP471" s="20" t="n">
        <f aca="false">Inputs!$F$197*Time!AP$7*Inputs!$F$201/1000*Operations!AP470</f>
        <v>0</v>
      </c>
      <c r="AQ471" s="20" t="n">
        <f aca="false">Inputs!$F$197*Time!AQ$7*Inputs!$F$201/1000*Operations!AQ470</f>
        <v>0</v>
      </c>
      <c r="AR471" s="20" t="n">
        <f aca="false">Inputs!$F$197*Time!AR$7*Inputs!$F$201/1000*Operations!AR470</f>
        <v>0</v>
      </c>
      <c r="AS471" s="20" t="n">
        <f aca="false">Inputs!$F$197*Time!AS$7*Inputs!$F$201/1000*Operations!AS470</f>
        <v>0</v>
      </c>
      <c r="AT471" s="20" t="n">
        <f aca="false">Inputs!$F$197*Time!AT$7*Inputs!$F$201/1000*Operations!AT470</f>
        <v>0</v>
      </c>
      <c r="AU471" s="20" t="n">
        <f aca="false">Inputs!$F$197*Time!AU$7*Inputs!$F$201/1000*Operations!AU470</f>
        <v>0</v>
      </c>
    </row>
    <row r="472" customFormat="false" ht="15" hidden="false" customHeight="false" outlineLevel="0" collapsed="false">
      <c r="D472" s="0" t="s">
        <v>473</v>
      </c>
      <c r="E472" s="0" t="s">
        <v>47</v>
      </c>
      <c r="G472" s="20" t="n">
        <f aca="false">SUM(J472:AU472)</f>
        <v>8.913603072</v>
      </c>
      <c r="J472" s="20" t="n">
        <f aca="false">Operations!J471*(Inputs!$F$198-Operations!J461)/1000</f>
        <v>-0</v>
      </c>
      <c r="K472" s="20" t="n">
        <f aca="false">Operations!K471*(Inputs!$F$198-Operations!K461)/1000</f>
        <v>-3.85145664</v>
      </c>
      <c r="L472" s="20" t="n">
        <f aca="false">Operations!L471*(Inputs!$F$198-Operations!L461)/1000</f>
        <v>6.715613952</v>
      </c>
      <c r="M472" s="20" t="n">
        <f aca="false">Operations!M471*(Inputs!$F$198-Operations!M461)/1000</f>
        <v>3.40714944</v>
      </c>
      <c r="N472" s="20" t="n">
        <f aca="false">Operations!N471*(Inputs!$F$198-Operations!N461)/1000</f>
        <v>1.77905088</v>
      </c>
      <c r="O472" s="20" t="n">
        <f aca="false">Operations!O471*(Inputs!$F$198-Operations!O461)/1000</f>
        <v>0.863245440000002</v>
      </c>
      <c r="P472" s="20" t="n">
        <f aca="false">Operations!P471*(Inputs!$F$198-Operations!P461)/1000</f>
        <v>0</v>
      </c>
      <c r="Q472" s="20" t="n">
        <f aca="false">Operations!Q471*(Inputs!$F$198-Operations!Q461)/1000</f>
        <v>-0</v>
      </c>
      <c r="R472" s="20" t="n">
        <f aca="false">Operations!R471*(Inputs!$F$198-Operations!R461)/1000</f>
        <v>-0</v>
      </c>
      <c r="S472" s="20" t="n">
        <f aca="false">Operations!S471*(Inputs!$F$198-Operations!S461)/1000</f>
        <v>-0</v>
      </c>
      <c r="T472" s="20" t="n">
        <f aca="false">Operations!T471*(Inputs!$F$198-Operations!T461)/1000</f>
        <v>-0</v>
      </c>
      <c r="U472" s="20" t="n">
        <f aca="false">Operations!U471*(Inputs!$F$198-Operations!U461)/1000</f>
        <v>-0</v>
      </c>
      <c r="V472" s="20" t="n">
        <f aca="false">Operations!V471*(Inputs!$F$198-Operations!V461)/1000</f>
        <v>-0</v>
      </c>
      <c r="W472" s="20" t="n">
        <f aca="false">Operations!W471*(Inputs!$F$198-Operations!W461)/1000</f>
        <v>-0</v>
      </c>
      <c r="X472" s="20" t="n">
        <f aca="false">Operations!X471*(Inputs!$F$198-Operations!X461)/1000</f>
        <v>-0</v>
      </c>
      <c r="Y472" s="20" t="n">
        <f aca="false">Operations!Y471*(Inputs!$F$198-Operations!Y461)/1000</f>
        <v>-0</v>
      </c>
      <c r="Z472" s="20" t="n">
        <f aca="false">Operations!Z471*(Inputs!$F$198-Operations!Z461)/1000</f>
        <v>-0</v>
      </c>
      <c r="AA472" s="20" t="n">
        <f aca="false">Operations!AA471*(Inputs!$F$198-Operations!AA461)/1000</f>
        <v>-0</v>
      </c>
      <c r="AB472" s="20" t="n">
        <f aca="false">Operations!AB471*(Inputs!$F$198-Operations!AB461)/1000</f>
        <v>-0</v>
      </c>
      <c r="AC472" s="20" t="n">
        <f aca="false">Operations!AC471*(Inputs!$F$198-Operations!AC461)/1000</f>
        <v>-0</v>
      </c>
      <c r="AD472" s="20" t="n">
        <f aca="false">Operations!AD471*(Inputs!$F$198-Operations!AD461)/1000</f>
        <v>-0</v>
      </c>
      <c r="AE472" s="20" t="n">
        <f aca="false">Operations!AE471*(Inputs!$F$198-Operations!AE461)/1000</f>
        <v>-0</v>
      </c>
      <c r="AF472" s="20" t="n">
        <f aca="false">Operations!AF471*(Inputs!$F$198-Operations!AF461)/1000</f>
        <v>-0</v>
      </c>
      <c r="AG472" s="20" t="n">
        <f aca="false">Operations!AG471*(Inputs!$F$198-Operations!AG461)/1000</f>
        <v>-0</v>
      </c>
      <c r="AH472" s="20" t="n">
        <f aca="false">Operations!AH471*(Inputs!$F$198-Operations!AH461)/1000</f>
        <v>-0</v>
      </c>
      <c r="AI472" s="20" t="n">
        <f aca="false">Operations!AI471*(Inputs!$F$198-Operations!AI461)/1000</f>
        <v>-0</v>
      </c>
      <c r="AJ472" s="20" t="n">
        <f aca="false">Operations!AJ471*(Inputs!$F$198-Operations!AJ461)/1000</f>
        <v>-0</v>
      </c>
      <c r="AK472" s="20" t="n">
        <f aca="false">Operations!AK471*(Inputs!$F$198-Operations!AK461)/1000</f>
        <v>-0</v>
      </c>
      <c r="AL472" s="20" t="n">
        <f aca="false">Operations!AL471*(Inputs!$F$198-Operations!AL461)/1000</f>
        <v>-0</v>
      </c>
      <c r="AM472" s="20" t="n">
        <f aca="false">Operations!AM471*(Inputs!$F$198-Operations!AM461)/1000</f>
        <v>-0</v>
      </c>
      <c r="AN472" s="20" t="n">
        <f aca="false">Operations!AN471*(Inputs!$F$198-Operations!AN461)/1000</f>
        <v>-0</v>
      </c>
      <c r="AO472" s="20" t="n">
        <f aca="false">Operations!AO471*(Inputs!$F$198-Operations!AO461)/1000</f>
        <v>-0</v>
      </c>
      <c r="AP472" s="20" t="n">
        <f aca="false">Operations!AP471*(Inputs!$F$198-Operations!AP461)/1000</f>
        <v>-0</v>
      </c>
      <c r="AQ472" s="20" t="n">
        <f aca="false">Operations!AQ471*(Inputs!$F$198-Operations!AQ461)/1000</f>
        <v>-0</v>
      </c>
      <c r="AR472" s="20" t="n">
        <f aca="false">Operations!AR471*(Inputs!$F$198-Operations!AR461)/1000</f>
        <v>-0</v>
      </c>
      <c r="AS472" s="20" t="n">
        <f aca="false">Operations!AS471*(Inputs!$F$198-Operations!AS461)/1000</f>
        <v>-0</v>
      </c>
      <c r="AT472" s="20" t="n">
        <f aca="false">Operations!AT471*(Inputs!$F$198-Operations!AT461)/1000</f>
        <v>-0</v>
      </c>
      <c r="AU472" s="20" t="n">
        <f aca="false">Operations!AU471*(Inputs!$F$198-Operations!AU461)/1000</f>
        <v>-0</v>
      </c>
    </row>
    <row r="473" customFormat="false" ht="15" hidden="false" customHeight="false" outlineLevel="0" collapsed="false">
      <c r="D473" s="0" t="s">
        <v>474</v>
      </c>
      <c r="E473" s="0" t="s">
        <v>466</v>
      </c>
      <c r="J473" s="20" t="n">
        <f aca="false">Operations!J466</f>
        <v>664.489</v>
      </c>
      <c r="K473" s="20" t="n">
        <f aca="false">Operations!K466</f>
        <v>659.68798</v>
      </c>
      <c r="L473" s="20" t="n">
        <f aca="false">Operations!L466</f>
        <v>654.903506124</v>
      </c>
      <c r="M473" s="20" t="n">
        <f aca="false">Operations!M466</f>
        <v>650.135531391584</v>
      </c>
      <c r="N473" s="20" t="n">
        <f aca="false">Operations!N466</f>
        <v>648.835260328801</v>
      </c>
      <c r="O473" s="20" t="n">
        <f aca="false">Operations!O466</f>
        <v>647.537589808143</v>
      </c>
      <c r="P473" s="20" t="n">
        <f aca="false">Operations!P466</f>
        <v>646.242514628527</v>
      </c>
      <c r="Q473" s="20" t="n">
        <f aca="false">Operations!Q466</f>
        <v>644.95002959927</v>
      </c>
      <c r="R473" s="20" t="n">
        <f aca="false">Operations!R466</f>
        <v>643.660129540071</v>
      </c>
      <c r="S473" s="20" t="n">
        <f aca="false">Operations!S466</f>
        <v>642.372809280991</v>
      </c>
      <c r="T473" s="20" t="n">
        <f aca="false">Operations!T466</f>
        <v>641.088063662429</v>
      </c>
      <c r="U473" s="20" t="n">
        <f aca="false">Operations!U466</f>
        <v>639.805887535104</v>
      </c>
      <c r="V473" s="20" t="n">
        <f aca="false">Operations!V466</f>
        <v>638.526275760034</v>
      </c>
      <c r="W473" s="20" t="n">
        <f aca="false">Operations!W466</f>
        <v>637.249223208514</v>
      </c>
      <c r="X473" s="20" t="n">
        <f aca="false">Operations!X466</f>
        <v>635.974724762097</v>
      </c>
      <c r="Y473" s="20" t="n">
        <f aca="false">Operations!Y466</f>
        <v>634.702775312573</v>
      </c>
      <c r="Z473" s="20" t="n">
        <f aca="false">Operations!Z466</f>
        <v>633.433369761948</v>
      </c>
      <c r="AA473" s="20" t="n">
        <f aca="false">Operations!AA466</f>
        <v>632.166503022424</v>
      </c>
      <c r="AB473" s="20" t="n">
        <f aca="false">Operations!AB466</f>
        <v>630.902170016379</v>
      </c>
      <c r="AC473" s="20" t="n">
        <f aca="false">Operations!AC466</f>
        <v>629.640365676346</v>
      </c>
      <c r="AD473" s="20" t="n">
        <f aca="false">Operations!AD466</f>
        <v>628.381084944993</v>
      </c>
      <c r="AE473" s="20" t="n">
        <f aca="false">Operations!AE466</f>
        <v>627.124322775104</v>
      </c>
      <c r="AF473" s="20" t="n">
        <f aca="false">Operations!AF466</f>
        <v>625.870074129553</v>
      </c>
      <c r="AG473" s="20" t="n">
        <f aca="false">Operations!AG466</f>
        <v>0</v>
      </c>
      <c r="AH473" s="20" t="n">
        <f aca="false">Operations!AH466</f>
        <v>0</v>
      </c>
      <c r="AI473" s="20" t="n">
        <f aca="false">Operations!AI466</f>
        <v>0</v>
      </c>
      <c r="AJ473" s="20" t="n">
        <f aca="false">Operations!AJ466</f>
        <v>0</v>
      </c>
      <c r="AK473" s="20" t="n">
        <f aca="false">Operations!AK466</f>
        <v>0</v>
      </c>
      <c r="AL473" s="20" t="n">
        <f aca="false">Operations!AL466</f>
        <v>0</v>
      </c>
      <c r="AM473" s="20" t="n">
        <f aca="false">Operations!AM466</f>
        <v>0</v>
      </c>
      <c r="AN473" s="20" t="n">
        <f aca="false">Operations!AN466</f>
        <v>0</v>
      </c>
      <c r="AO473" s="20" t="n">
        <f aca="false">Operations!AO466</f>
        <v>0</v>
      </c>
      <c r="AP473" s="20" t="n">
        <f aca="false">Operations!AP466</f>
        <v>0</v>
      </c>
      <c r="AQ473" s="20" t="n">
        <f aca="false">Operations!AQ466</f>
        <v>0</v>
      </c>
      <c r="AR473" s="20" t="n">
        <f aca="false">Operations!AR466</f>
        <v>0</v>
      </c>
      <c r="AS473" s="20" t="n">
        <f aca="false">Operations!AS466</f>
        <v>0</v>
      </c>
      <c r="AT473" s="20" t="n">
        <f aca="false">Operations!AT466</f>
        <v>0</v>
      </c>
      <c r="AU473" s="20" t="n">
        <f aca="false">Operations!AU466</f>
        <v>0</v>
      </c>
    </row>
    <row r="474" customFormat="false" ht="15" hidden="false" customHeight="false" outlineLevel="0" collapsed="false">
      <c r="D474" s="0" t="s">
        <v>475</v>
      </c>
      <c r="E474" s="0" t="s">
        <v>47</v>
      </c>
      <c r="J474" s="20" t="n">
        <f aca="false">0</f>
        <v>0</v>
      </c>
      <c r="K474" s="20" t="n">
        <f aca="false">0</f>
        <v>0</v>
      </c>
      <c r="L474" s="20" t="n">
        <f aca="false">0</f>
        <v>0</v>
      </c>
      <c r="M474" s="20" t="n">
        <f aca="false">0</f>
        <v>0</v>
      </c>
      <c r="N474" s="20" t="n">
        <f aca="false">0</f>
        <v>0</v>
      </c>
      <c r="O474" s="20" t="n">
        <f aca="false">0</f>
        <v>0</v>
      </c>
      <c r="P474" s="20" t="n">
        <f aca="false">0</f>
        <v>0</v>
      </c>
      <c r="Q474" s="20" t="n">
        <f aca="false">0</f>
        <v>0</v>
      </c>
      <c r="R474" s="20" t="n">
        <f aca="false">0</f>
        <v>0</v>
      </c>
      <c r="S474" s="20" t="n">
        <f aca="false">0</f>
        <v>0</v>
      </c>
      <c r="T474" s="20" t="n">
        <f aca="false">0</f>
        <v>0</v>
      </c>
      <c r="U474" s="20" t="n">
        <f aca="false">0</f>
        <v>0</v>
      </c>
      <c r="V474" s="20" t="n">
        <f aca="false">0</f>
        <v>0</v>
      </c>
      <c r="W474" s="20" t="n">
        <f aca="false">0</f>
        <v>0</v>
      </c>
      <c r="X474" s="20" t="n">
        <f aca="false">0</f>
        <v>0</v>
      </c>
      <c r="Y474" s="20" t="n">
        <f aca="false">0</f>
        <v>0</v>
      </c>
      <c r="Z474" s="20" t="n">
        <f aca="false">0</f>
        <v>0</v>
      </c>
      <c r="AA474" s="20" t="n">
        <f aca="false">0</f>
        <v>0</v>
      </c>
      <c r="AB474" s="20" t="n">
        <f aca="false">0</f>
        <v>0</v>
      </c>
      <c r="AC474" s="20" t="n">
        <f aca="false">0</f>
        <v>0</v>
      </c>
      <c r="AD474" s="20" t="n">
        <f aca="false">0</f>
        <v>0</v>
      </c>
      <c r="AE474" s="20" t="n">
        <f aca="false">0</f>
        <v>0</v>
      </c>
      <c r="AF474" s="20" t="n">
        <f aca="false">0</f>
        <v>0</v>
      </c>
      <c r="AG474" s="20" t="n">
        <f aca="false">0</f>
        <v>0</v>
      </c>
      <c r="AH474" s="20" t="n">
        <f aca="false">0</f>
        <v>0</v>
      </c>
      <c r="AI474" s="20" t="n">
        <f aca="false">0</f>
        <v>0</v>
      </c>
      <c r="AJ474" s="20" t="n">
        <f aca="false">0</f>
        <v>0</v>
      </c>
      <c r="AK474" s="20" t="n">
        <f aca="false">0</f>
        <v>0</v>
      </c>
      <c r="AL474" s="20" t="n">
        <f aca="false">0</f>
        <v>0</v>
      </c>
      <c r="AM474" s="20" t="n">
        <f aca="false">0</f>
        <v>0</v>
      </c>
      <c r="AN474" s="20" t="n">
        <f aca="false">0</f>
        <v>0</v>
      </c>
      <c r="AO474" s="20" t="n">
        <f aca="false">0</f>
        <v>0</v>
      </c>
      <c r="AP474" s="20" t="n">
        <f aca="false">0</f>
        <v>0</v>
      </c>
      <c r="AQ474" s="20" t="n">
        <f aca="false">0</f>
        <v>0</v>
      </c>
      <c r="AR474" s="20" t="n">
        <f aca="false">0</f>
        <v>0</v>
      </c>
      <c r="AS474" s="20" t="n">
        <f aca="false">0</f>
        <v>0</v>
      </c>
      <c r="AT474" s="20" t="n">
        <f aca="false">0</f>
        <v>0</v>
      </c>
      <c r="AU474" s="20" t="n">
        <f aca="false">0</f>
        <v>0</v>
      </c>
    </row>
    <row r="475" customFormat="false" ht="15" hidden="false" customHeight="false" outlineLevel="0" collapsed="false">
      <c r="D475" s="0" t="s">
        <v>476</v>
      </c>
      <c r="E475" s="0" t="s">
        <v>47</v>
      </c>
      <c r="J475" s="20" t="n">
        <f aca="false">Operations!J471*Inputs!$F$198/1000</f>
        <v>0</v>
      </c>
      <c r="K475" s="20" t="n">
        <f aca="false">Operations!K471*Inputs!$F$198/1000</f>
        <v>16.9068</v>
      </c>
      <c r="L475" s="20" t="n">
        <f aca="false">Operations!L471*Inputs!$F$198/1000</f>
        <v>16.95312</v>
      </c>
      <c r="M475" s="20" t="n">
        <f aca="false">Operations!M471*Inputs!$F$198/1000</f>
        <v>16.9068</v>
      </c>
      <c r="N475" s="20" t="n">
        <f aca="false">Operations!N471*Inputs!$F$198/1000</f>
        <v>16.9068</v>
      </c>
      <c r="O475" s="20" t="n">
        <f aca="false">Operations!O471*Inputs!$F$198/1000</f>
        <v>16.9068</v>
      </c>
      <c r="P475" s="20" t="n">
        <f aca="false">Operations!P471*Inputs!$F$198/1000</f>
        <v>0</v>
      </c>
      <c r="Q475" s="20" t="n">
        <f aca="false">Operations!Q471*Inputs!$F$198/1000</f>
        <v>0</v>
      </c>
      <c r="R475" s="20" t="n">
        <f aca="false">Operations!R471*Inputs!$F$198/1000</f>
        <v>0</v>
      </c>
      <c r="S475" s="20" t="n">
        <f aca="false">Operations!S471*Inputs!$F$198/1000</f>
        <v>0</v>
      </c>
      <c r="T475" s="20" t="n">
        <f aca="false">Operations!T471*Inputs!$F$198/1000</f>
        <v>0</v>
      </c>
      <c r="U475" s="20" t="n">
        <f aca="false">Operations!U471*Inputs!$F$198/1000</f>
        <v>0</v>
      </c>
      <c r="V475" s="20" t="n">
        <f aca="false">Operations!V471*Inputs!$F$198/1000</f>
        <v>0</v>
      </c>
      <c r="W475" s="20" t="n">
        <f aca="false">Operations!W471*Inputs!$F$198/1000</f>
        <v>0</v>
      </c>
      <c r="X475" s="20" t="n">
        <f aca="false">Operations!X471*Inputs!$F$198/1000</f>
        <v>0</v>
      </c>
      <c r="Y475" s="20" t="n">
        <f aca="false">Operations!Y471*Inputs!$F$198/1000</f>
        <v>0</v>
      </c>
      <c r="Z475" s="20" t="n">
        <f aca="false">Operations!Z471*Inputs!$F$198/1000</f>
        <v>0</v>
      </c>
      <c r="AA475" s="20" t="n">
        <f aca="false">Operations!AA471*Inputs!$F$198/1000</f>
        <v>0</v>
      </c>
      <c r="AB475" s="20" t="n">
        <f aca="false">Operations!AB471*Inputs!$F$198/1000</f>
        <v>0</v>
      </c>
      <c r="AC475" s="20" t="n">
        <f aca="false">Operations!AC471*Inputs!$F$198/1000</f>
        <v>0</v>
      </c>
      <c r="AD475" s="20" t="n">
        <f aca="false">Operations!AD471*Inputs!$F$198/1000</f>
        <v>0</v>
      </c>
      <c r="AE475" s="20" t="n">
        <f aca="false">Operations!AE471*Inputs!$F$198/1000</f>
        <v>0</v>
      </c>
      <c r="AF475" s="20" t="n">
        <f aca="false">Operations!AF471*Inputs!$F$198/1000</f>
        <v>0</v>
      </c>
      <c r="AG475" s="20" t="n">
        <f aca="false">Operations!AG471*Inputs!$F$198/1000</f>
        <v>0</v>
      </c>
      <c r="AH475" s="20" t="n">
        <f aca="false">Operations!AH471*Inputs!$F$198/1000</f>
        <v>0</v>
      </c>
      <c r="AI475" s="20" t="n">
        <f aca="false">Operations!AI471*Inputs!$F$198/1000</f>
        <v>0</v>
      </c>
      <c r="AJ475" s="20" t="n">
        <f aca="false">Operations!AJ471*Inputs!$F$198/1000</f>
        <v>0</v>
      </c>
      <c r="AK475" s="20" t="n">
        <f aca="false">Operations!AK471*Inputs!$F$198/1000</f>
        <v>0</v>
      </c>
      <c r="AL475" s="20" t="n">
        <f aca="false">Operations!AL471*Inputs!$F$198/1000</f>
        <v>0</v>
      </c>
      <c r="AM475" s="20" t="n">
        <f aca="false">Operations!AM471*Inputs!$F$198/1000</f>
        <v>0</v>
      </c>
      <c r="AN475" s="20" t="n">
        <f aca="false">Operations!AN471*Inputs!$F$198/1000</f>
        <v>0</v>
      </c>
      <c r="AO475" s="20" t="n">
        <f aca="false">Operations!AO471*Inputs!$F$198/1000</f>
        <v>0</v>
      </c>
      <c r="AP475" s="20" t="n">
        <f aca="false">Operations!AP471*Inputs!$F$198/1000</f>
        <v>0</v>
      </c>
      <c r="AQ475" s="20" t="n">
        <f aca="false">Operations!AQ471*Inputs!$F$198/1000</f>
        <v>0</v>
      </c>
      <c r="AR475" s="20" t="n">
        <f aca="false">Operations!AR471*Inputs!$F$198/1000</f>
        <v>0</v>
      </c>
      <c r="AS475" s="20" t="n">
        <f aca="false">Operations!AS471*Inputs!$F$198/1000</f>
        <v>0</v>
      </c>
      <c r="AT475" s="20" t="n">
        <f aca="false">Operations!AT471*Inputs!$F$198/1000</f>
        <v>0</v>
      </c>
      <c r="AU475" s="20" t="n">
        <f aca="false">Operations!AU471*Inputs!$F$198/1000</f>
        <v>0</v>
      </c>
    </row>
    <row r="476" customFormat="false" ht="15" hidden="false" customHeight="false" outlineLevel="0" collapsed="false">
      <c r="D476" s="0" t="s">
        <v>477</v>
      </c>
      <c r="E476" s="0" t="s">
        <v>47</v>
      </c>
      <c r="G476" s="20" t="n">
        <f aca="false">SUM(J476:AU476)</f>
        <v>505.989470385293</v>
      </c>
      <c r="J476" s="20" t="n">
        <f aca="false">Operations!J473*Operations!J469/1000</f>
        <v>33.58922788144</v>
      </c>
      <c r="K476" s="20" t="n">
        <f aca="false">Operations!K473*Operations!K469/1000</f>
        <v>27.1221941765618</v>
      </c>
      <c r="L476" s="20" t="n">
        <f aca="false">Operations!L473*Operations!L469/1000</f>
        <v>13.1282732243368</v>
      </c>
      <c r="M476" s="20" t="n">
        <f aca="false">Operations!M473*Operations!M469/1000</f>
        <v>17.0823142079644</v>
      </c>
      <c r="N476" s="20" t="n">
        <f aca="false">Operations!N473*Operations!N469/1000</f>
        <v>18.9361356107353</v>
      </c>
      <c r="O476" s="20" t="n">
        <f aca="false">Operations!O473*Operations!O469/1000</f>
        <v>19.8644381183343</v>
      </c>
      <c r="P476" s="20" t="n">
        <f aca="false">Operations!P473*Operations!P469/1000</f>
        <v>20.3948471362395</v>
      </c>
      <c r="Q476" s="20" t="n">
        <f aca="false">Operations!Q473*Operations!Q469/1000</f>
        <v>20.7041714033151</v>
      </c>
      <c r="R476" s="20" t="n">
        <f aca="false">Operations!R473*Operations!R469/1000</f>
        <v>21.0430807190014</v>
      </c>
      <c r="S476" s="20" t="n">
        <f aca="false">Operations!S473*Operations!S469/1000</f>
        <v>21.2254953236962</v>
      </c>
      <c r="T476" s="20" t="n">
        <f aca="false">Operations!T473*Operations!T469/1000</f>
        <v>21.407294681088</v>
      </c>
      <c r="U476" s="20" t="n">
        <f aca="false">Operations!U473*Operations!U469/1000</f>
        <v>21.5882571657849</v>
      </c>
      <c r="V476" s="20" t="n">
        <f aca="false">Operations!V473*Operations!V469/1000</f>
        <v>21.7681629339903</v>
      </c>
      <c r="W476" s="20" t="n">
        <f aca="false">Operations!W473*Operations!W469/1000</f>
        <v>21.9467939145857</v>
      </c>
      <c r="X476" s="20" t="n">
        <f aca="false">Operations!X473*Operations!X469/1000</f>
        <v>22.1239338002494</v>
      </c>
      <c r="Y476" s="20" t="n">
        <f aca="false">Operations!Y473*Operations!Y469/1000</f>
        <v>22.3031158315585</v>
      </c>
      <c r="Z476" s="20" t="n">
        <f aca="false">Operations!Z473*Operations!Z469/1000</f>
        <v>22.4802908385433</v>
      </c>
      <c r="AA476" s="20" t="n">
        <f aca="false">Operations!AA473*Operations!AA469/1000</f>
        <v>22.655248238791</v>
      </c>
      <c r="AB476" s="20" t="n">
        <f aca="false">Operations!AB473*Operations!AB469/1000</f>
        <v>22.8313945993682</v>
      </c>
      <c r="AC476" s="20" t="n">
        <f aca="false">Operations!AC473*Operations!AC469/1000</f>
        <v>23.0048197591884</v>
      </c>
      <c r="AD476" s="20" t="n">
        <f aca="false">Operations!AD473*Operations!AD469/1000</f>
        <v>23.1788467549807</v>
      </c>
      <c r="AE476" s="20" t="n">
        <f aca="false">Operations!AE473*Operations!AE469/1000</f>
        <v>23.593730471981</v>
      </c>
      <c r="AF476" s="20" t="n">
        <f aca="false">Operations!AF473*Operations!AF469/1000</f>
        <v>24.0174035935589</v>
      </c>
      <c r="AG476" s="20" t="n">
        <f aca="false">Operations!AG473*Operations!AG469/1000</f>
        <v>0</v>
      </c>
      <c r="AH476" s="20" t="n">
        <f aca="false">Operations!AH473*Operations!AH469/1000</f>
        <v>0</v>
      </c>
      <c r="AI476" s="20" t="n">
        <f aca="false">Operations!AI473*Operations!AI469/1000</f>
        <v>0</v>
      </c>
      <c r="AJ476" s="20" t="n">
        <f aca="false">Operations!AJ473*Operations!AJ469/1000</f>
        <v>0</v>
      </c>
      <c r="AK476" s="20" t="n">
        <f aca="false">Operations!AK473*Operations!AK469/1000</f>
        <v>0</v>
      </c>
      <c r="AL476" s="20" t="n">
        <f aca="false">Operations!AL473*Operations!AL469/1000</f>
        <v>0</v>
      </c>
      <c r="AM476" s="20" t="n">
        <f aca="false">Operations!AM473*Operations!AM469/1000</f>
        <v>0</v>
      </c>
      <c r="AN476" s="20" t="n">
        <f aca="false">Operations!AN473*Operations!AN469/1000</f>
        <v>0</v>
      </c>
      <c r="AO476" s="20" t="n">
        <f aca="false">Operations!AO473*Operations!AO469/1000</f>
        <v>0</v>
      </c>
      <c r="AP476" s="20" t="n">
        <f aca="false">Operations!AP473*Operations!AP469/1000</f>
        <v>0</v>
      </c>
      <c r="AQ476" s="20" t="n">
        <f aca="false">Operations!AQ473*Operations!AQ469/1000</f>
        <v>0</v>
      </c>
      <c r="AR476" s="20" t="n">
        <f aca="false">Operations!AR473*Operations!AR469/1000</f>
        <v>0</v>
      </c>
      <c r="AS476" s="20" t="n">
        <f aca="false">Operations!AS473*Operations!AS469/1000</f>
        <v>0</v>
      </c>
      <c r="AT476" s="20" t="n">
        <f aca="false">Operations!AT473*Operations!AT469/1000</f>
        <v>0</v>
      </c>
      <c r="AU476" s="20" t="n">
        <f aca="false">Operations!AU473*Operations!AU469/1000</f>
        <v>0</v>
      </c>
    </row>
    <row r="477" customFormat="false" ht="15" hidden="false" customHeight="false" outlineLevel="0" collapsed="false">
      <c r="D477" s="0" t="s">
        <v>478</v>
      </c>
      <c r="E477" s="0" t="s">
        <v>47</v>
      </c>
      <c r="G477" s="20" t="n">
        <f aca="false">SUM(J477:AU477)</f>
        <v>514.903073457293</v>
      </c>
      <c r="J477" s="20" t="n">
        <f aca="false">Operations!J476+Operations!J472</f>
        <v>33.58922788144</v>
      </c>
      <c r="K477" s="20" t="n">
        <f aca="false">Operations!K476+Operations!K472</f>
        <v>23.2707375365618</v>
      </c>
      <c r="L477" s="20" t="n">
        <f aca="false">Operations!L476+Operations!L472</f>
        <v>19.8438871763368</v>
      </c>
      <c r="M477" s="20" t="n">
        <f aca="false">Operations!M476+Operations!M472</f>
        <v>20.4894636479644</v>
      </c>
      <c r="N477" s="20" t="n">
        <f aca="false">Operations!N476+Operations!N472</f>
        <v>20.7151864907353</v>
      </c>
      <c r="O477" s="20" t="n">
        <f aca="false">Operations!O476+Operations!O472</f>
        <v>20.7276835583343</v>
      </c>
      <c r="P477" s="20" t="n">
        <f aca="false">Operations!P476+Operations!P472</f>
        <v>20.3948471362395</v>
      </c>
      <c r="Q477" s="20" t="n">
        <f aca="false">Operations!Q476+Operations!Q472</f>
        <v>20.7041714033151</v>
      </c>
      <c r="R477" s="20" t="n">
        <f aca="false">Operations!R476+Operations!R472</f>
        <v>21.0430807190014</v>
      </c>
      <c r="S477" s="20" t="n">
        <f aca="false">Operations!S476+Operations!S472</f>
        <v>21.2254953236962</v>
      </c>
      <c r="T477" s="20" t="n">
        <f aca="false">Operations!T476+Operations!T472</f>
        <v>21.407294681088</v>
      </c>
      <c r="U477" s="20" t="n">
        <f aca="false">Operations!U476+Operations!U472</f>
        <v>21.5882571657849</v>
      </c>
      <c r="V477" s="20" t="n">
        <f aca="false">Operations!V476+Operations!V472</f>
        <v>21.7681629339903</v>
      </c>
      <c r="W477" s="20" t="n">
        <f aca="false">Operations!W476+Operations!W472</f>
        <v>21.9467939145857</v>
      </c>
      <c r="X477" s="20" t="n">
        <f aca="false">Operations!X476+Operations!X472</f>
        <v>22.1239338002494</v>
      </c>
      <c r="Y477" s="20" t="n">
        <f aca="false">Operations!Y476+Operations!Y472</f>
        <v>22.3031158315585</v>
      </c>
      <c r="Z477" s="20" t="n">
        <f aca="false">Operations!Z476+Operations!Z472</f>
        <v>22.4802908385433</v>
      </c>
      <c r="AA477" s="20" t="n">
        <f aca="false">Operations!AA476+Operations!AA472</f>
        <v>22.655248238791</v>
      </c>
      <c r="AB477" s="20" t="n">
        <f aca="false">Operations!AB476+Operations!AB472</f>
        <v>22.8313945993682</v>
      </c>
      <c r="AC477" s="20" t="n">
        <f aca="false">Operations!AC476+Operations!AC472</f>
        <v>23.0048197591884</v>
      </c>
      <c r="AD477" s="20" t="n">
        <f aca="false">Operations!AD476+Operations!AD472</f>
        <v>23.1788467549807</v>
      </c>
      <c r="AE477" s="20" t="n">
        <f aca="false">Operations!AE476+Operations!AE472</f>
        <v>23.593730471981</v>
      </c>
      <c r="AF477" s="20" t="n">
        <f aca="false">Operations!AF476+Operations!AF472</f>
        <v>24.0174035935589</v>
      </c>
      <c r="AG477" s="20" t="n">
        <f aca="false">Operations!AG476+Operations!AG472</f>
        <v>0</v>
      </c>
      <c r="AH477" s="20" t="n">
        <f aca="false">Operations!AH476+Operations!AH472</f>
        <v>0</v>
      </c>
      <c r="AI477" s="20" t="n">
        <f aca="false">Operations!AI476+Operations!AI472</f>
        <v>0</v>
      </c>
      <c r="AJ477" s="20" t="n">
        <f aca="false">Operations!AJ476+Operations!AJ472</f>
        <v>0</v>
      </c>
      <c r="AK477" s="20" t="n">
        <f aca="false">Operations!AK476+Operations!AK472</f>
        <v>0</v>
      </c>
      <c r="AL477" s="20" t="n">
        <f aca="false">Operations!AL476+Operations!AL472</f>
        <v>0</v>
      </c>
      <c r="AM477" s="20" t="n">
        <f aca="false">Operations!AM476+Operations!AM472</f>
        <v>0</v>
      </c>
      <c r="AN477" s="20" t="n">
        <f aca="false">Operations!AN476+Operations!AN472</f>
        <v>0</v>
      </c>
      <c r="AO477" s="20" t="n">
        <f aca="false">Operations!AO476+Operations!AO472</f>
        <v>0</v>
      </c>
      <c r="AP477" s="20" t="n">
        <f aca="false">Operations!AP476+Operations!AP472</f>
        <v>0</v>
      </c>
      <c r="AQ477" s="20" t="n">
        <f aca="false">Operations!AQ476+Operations!AQ472</f>
        <v>0</v>
      </c>
      <c r="AR477" s="20" t="n">
        <f aca="false">Operations!AR476+Operations!AR472</f>
        <v>0</v>
      </c>
      <c r="AS477" s="20" t="n">
        <f aca="false">Operations!AS476+Operations!AS472</f>
        <v>0</v>
      </c>
      <c r="AT477" s="20" t="n">
        <f aca="false">Operations!AT476+Operations!AT472</f>
        <v>0</v>
      </c>
      <c r="AU477" s="20" t="n">
        <f aca="false">Operations!AU476+Operations!AU472</f>
        <v>0</v>
      </c>
    </row>
    <row r="478" customFormat="false" ht="15" hidden="false" customHeight="false" outlineLevel="0" collapsed="false">
      <c r="D478" s="0" t="s">
        <v>479</v>
      </c>
      <c r="E478" s="0" t="s">
        <v>47</v>
      </c>
      <c r="J478" s="20" t="n">
        <f aca="false">Operations!J477-Operations!J474-Operations!J475</f>
        <v>33.58922788144</v>
      </c>
      <c r="K478" s="20" t="n">
        <f aca="false">Operations!K477-Operations!K474-Operations!K475</f>
        <v>6.36393753656179</v>
      </c>
      <c r="L478" s="20" t="n">
        <f aca="false">Operations!L477-Operations!L474-Operations!L475</f>
        <v>2.89076717633683</v>
      </c>
      <c r="M478" s="20" t="n">
        <f aca="false">Operations!M477-Operations!M474-Operations!M475</f>
        <v>3.58266364796441</v>
      </c>
      <c r="N478" s="20" t="n">
        <f aca="false">Operations!N477-Operations!N474-Operations!N475</f>
        <v>3.80838649073531</v>
      </c>
      <c r="O478" s="20" t="n">
        <f aca="false">Operations!O477-Operations!O474-Operations!O475</f>
        <v>3.82088355833434</v>
      </c>
      <c r="P478" s="20" t="n">
        <f aca="false">Operations!P477-Operations!P474-Operations!P475</f>
        <v>20.3948471362395</v>
      </c>
      <c r="Q478" s="20" t="n">
        <f aca="false">Operations!Q477-Operations!Q474-Operations!Q475</f>
        <v>20.7041714033151</v>
      </c>
      <c r="R478" s="20" t="n">
        <f aca="false">Operations!R477-Operations!R474-Operations!R475</f>
        <v>21.0430807190014</v>
      </c>
      <c r="S478" s="20" t="n">
        <f aca="false">Operations!S477-Operations!S474-Operations!S475</f>
        <v>21.2254953236962</v>
      </c>
      <c r="T478" s="20" t="n">
        <f aca="false">Operations!T477-Operations!T474-Operations!T475</f>
        <v>21.407294681088</v>
      </c>
      <c r="U478" s="20" t="n">
        <f aca="false">Operations!U477-Operations!U474-Operations!U475</f>
        <v>21.5882571657849</v>
      </c>
      <c r="V478" s="20" t="n">
        <f aca="false">Operations!V477-Operations!V474-Operations!V475</f>
        <v>21.7681629339903</v>
      </c>
      <c r="W478" s="20" t="n">
        <f aca="false">Operations!W477-Operations!W474-Operations!W475</f>
        <v>21.9467939145857</v>
      </c>
      <c r="X478" s="20" t="n">
        <f aca="false">Operations!X477-Operations!X474-Operations!X475</f>
        <v>22.1239338002494</v>
      </c>
      <c r="Y478" s="20" t="n">
        <f aca="false">Operations!Y477-Operations!Y474-Operations!Y475</f>
        <v>22.3031158315585</v>
      </c>
      <c r="Z478" s="20" t="n">
        <f aca="false">Operations!Z477-Operations!Z474-Operations!Z475</f>
        <v>22.4802908385433</v>
      </c>
      <c r="AA478" s="20" t="n">
        <f aca="false">Operations!AA477-Operations!AA474-Operations!AA475</f>
        <v>22.655248238791</v>
      </c>
      <c r="AB478" s="20" t="n">
        <f aca="false">Operations!AB477-Operations!AB474-Operations!AB475</f>
        <v>22.8313945993682</v>
      </c>
      <c r="AC478" s="20" t="n">
        <f aca="false">Operations!AC477-Operations!AC474-Operations!AC475</f>
        <v>23.0048197591884</v>
      </c>
      <c r="AD478" s="20" t="n">
        <f aca="false">Operations!AD477-Operations!AD474-Operations!AD475</f>
        <v>23.1788467549807</v>
      </c>
      <c r="AE478" s="20" t="n">
        <f aca="false">Operations!AE477-Operations!AE474-Operations!AE475</f>
        <v>23.593730471981</v>
      </c>
      <c r="AF478" s="20" t="n">
        <f aca="false">Operations!AF477-Operations!AF474-Operations!AF475</f>
        <v>24.0174035935589</v>
      </c>
      <c r="AG478" s="20" t="n">
        <f aca="false">Operations!AG477-Operations!AG474-Operations!AG475</f>
        <v>0</v>
      </c>
      <c r="AH478" s="20" t="n">
        <f aca="false">Operations!AH477-Operations!AH474-Operations!AH475</f>
        <v>0</v>
      </c>
      <c r="AI478" s="20" t="n">
        <f aca="false">Operations!AI477-Operations!AI474-Operations!AI475</f>
        <v>0</v>
      </c>
      <c r="AJ478" s="20" t="n">
        <f aca="false">Operations!AJ477-Operations!AJ474-Operations!AJ475</f>
        <v>0</v>
      </c>
      <c r="AK478" s="20" t="n">
        <f aca="false">Operations!AK477-Operations!AK474-Operations!AK475</f>
        <v>0</v>
      </c>
      <c r="AL478" s="20" t="n">
        <f aca="false">Operations!AL477-Operations!AL474-Operations!AL475</f>
        <v>0</v>
      </c>
      <c r="AM478" s="20" t="n">
        <f aca="false">Operations!AM477-Operations!AM474-Operations!AM475</f>
        <v>0</v>
      </c>
      <c r="AN478" s="20" t="n">
        <f aca="false">Operations!AN477-Operations!AN474-Operations!AN475</f>
        <v>0</v>
      </c>
      <c r="AO478" s="20" t="n">
        <f aca="false">Operations!AO477-Operations!AO474-Operations!AO475</f>
        <v>0</v>
      </c>
      <c r="AP478" s="20" t="n">
        <f aca="false">Operations!AP477-Operations!AP474-Operations!AP475</f>
        <v>0</v>
      </c>
      <c r="AQ478" s="20" t="n">
        <f aca="false">Operations!AQ477-Operations!AQ474-Operations!AQ475</f>
        <v>0</v>
      </c>
      <c r="AR478" s="20" t="n">
        <f aca="false">Operations!AR477-Operations!AR474-Operations!AR475</f>
        <v>0</v>
      </c>
      <c r="AS478" s="20" t="n">
        <f aca="false">Operations!AS477-Operations!AS474-Operations!AS475</f>
        <v>0</v>
      </c>
      <c r="AT478" s="20" t="n">
        <f aca="false">Operations!AT477-Operations!AT474-Operations!AT475</f>
        <v>0</v>
      </c>
      <c r="AU478" s="20" t="n">
        <f aca="false">Operations!AU477-Operations!AU474-Operations!AU475</f>
        <v>0</v>
      </c>
    </row>
    <row r="479" customFormat="false" ht="15" hidden="false" customHeight="false" outlineLevel="0" collapsed="false">
      <c r="D479" s="0" t="s">
        <v>480</v>
      </c>
      <c r="E479" s="0" t="s">
        <v>47</v>
      </c>
      <c r="J479" s="20" t="n">
        <f aca="false">Inputs!$F$92*Inputs!$F$88/1000*Time!J$9*Time!J$10*Operations!J458*Operations!$F$445</f>
        <v>8.3664</v>
      </c>
      <c r="K479" s="20" t="n">
        <f aca="false">Inputs!$F$92*Inputs!$F$88/1000*Time!K$9*Time!K$10*Operations!K458*Operations!$F$445</f>
        <v>8.85855348</v>
      </c>
      <c r="L479" s="20" t="n">
        <f aca="false">Inputs!$F$92*Inputs!$F$88/1000*Time!L$9*Time!L$10*Operations!L458*Operations!$F$445</f>
        <v>9.080017317</v>
      </c>
      <c r="M479" s="20" t="n">
        <f aca="false">Inputs!$F$92*Inputs!$F$88/1000*Time!M$9*Time!M$10*Operations!M458*Operations!$F$445</f>
        <v>9.307017749925</v>
      </c>
      <c r="N479" s="20" t="n">
        <f aca="false">Inputs!$F$92*Inputs!$F$88/1000*Time!N$9*Time!N$10*Operations!N458*Operations!$F$445</f>
        <v>9.53969319367312</v>
      </c>
      <c r="O479" s="20" t="n">
        <f aca="false">Inputs!$F$92*Inputs!$F$88/1000*Time!O$9*Time!O$10*Operations!O458*Operations!$F$445</f>
        <v>9.77818552351495</v>
      </c>
      <c r="P479" s="20" t="n">
        <f aca="false">Inputs!$F$92*Inputs!$F$88/1000*Time!P$9*Time!P$10*Operations!P458*Operations!$F$445</f>
        <v>10.0226401616028</v>
      </c>
      <c r="Q479" s="20" t="n">
        <f aca="false">Inputs!$F$92*Inputs!$F$88/1000*Time!Q$9*Time!Q$10*Operations!Q458*Operations!$F$445</f>
        <v>10.2732061656429</v>
      </c>
      <c r="R479" s="20" t="n">
        <f aca="false">Inputs!$F$92*Inputs!$F$88/1000*Time!R$9*Time!R$10*Operations!R458*Operations!$F$445</f>
        <v>10.530036319784</v>
      </c>
      <c r="S479" s="20" t="n">
        <f aca="false">Inputs!$F$92*Inputs!$F$88/1000*Time!S$9*Time!S$10*Operations!S458*Operations!$F$445</f>
        <v>10.7932872277786</v>
      </c>
      <c r="T479" s="20" t="n">
        <f aca="false">Inputs!$F$92*Inputs!$F$88/1000*Time!T$9*Time!T$10*Operations!T458*Operations!$F$445</f>
        <v>11.063119408473</v>
      </c>
      <c r="U479" s="20" t="n">
        <f aca="false">Inputs!$F$92*Inputs!$F$88/1000*Time!U$9*Time!U$10*Operations!U458*Operations!$F$445</f>
        <v>11.3396973936849</v>
      </c>
      <c r="V479" s="20" t="n">
        <f aca="false">Inputs!$F$92*Inputs!$F$88/1000*Time!V$9*Time!V$10*Operations!V458*Operations!$F$445</f>
        <v>11.623189828527</v>
      </c>
      <c r="W479" s="20" t="n">
        <f aca="false">Inputs!$F$92*Inputs!$F$88/1000*Time!W$9*Time!W$10*Operations!W458*Operations!$F$445</f>
        <v>11.9137695742401</v>
      </c>
      <c r="X479" s="20" t="n">
        <f aca="false">Inputs!$F$92*Inputs!$F$88/1000*Time!X$9*Time!X$10*Operations!X458*Operations!$F$445</f>
        <v>12.2116138135961</v>
      </c>
      <c r="Y479" s="20" t="n">
        <f aca="false">Inputs!$F$92*Inputs!$F$88/1000*Time!Y$9*Time!Y$10*Operations!Y458*Operations!$F$445</f>
        <v>12.516904158936</v>
      </c>
      <c r="Z479" s="20" t="n">
        <f aca="false">Inputs!$F$92*Inputs!$F$88/1000*Time!Z$9*Time!Z$10*Operations!Z458*Operations!$F$445</f>
        <v>12.8298267629094</v>
      </c>
      <c r="AA479" s="20" t="n">
        <f aca="false">Inputs!$F$92*Inputs!$F$88/1000*Time!AA$9*Time!AA$10*Operations!AA458*Operations!$F$445</f>
        <v>13.1505724319822</v>
      </c>
      <c r="AB479" s="20" t="n">
        <f aca="false">Inputs!$F$92*Inputs!$F$88/1000*Time!AB$9*Time!AB$10*Operations!AB458*Operations!$F$445</f>
        <v>13.4793367427817</v>
      </c>
      <c r="AC479" s="20" t="n">
        <f aca="false">Inputs!$F$92*Inputs!$F$88/1000*Time!AC$9*Time!AC$10*Operations!AC458*Operations!$F$445</f>
        <v>13.8163201613513</v>
      </c>
      <c r="AD479" s="20" t="n">
        <f aca="false">Inputs!$F$92*Inputs!$F$88/1000*Time!AD$9*Time!AD$10*Operations!AD458*Operations!$F$445</f>
        <v>14.1617281653851</v>
      </c>
      <c r="AE479" s="20" t="n">
        <f aca="false">Inputs!$F$92*Inputs!$F$88/1000*Time!AE$9*Time!AE$10*Operations!AE458*Operations!$F$445</f>
        <v>14.5157713695197</v>
      </c>
      <c r="AF479" s="20" t="n">
        <f aca="false">Inputs!$F$92*Inputs!$F$88/1000*Time!AF$9*Time!AF$10*Operations!AF458*Operations!$F$445</f>
        <v>14.8786656537577</v>
      </c>
      <c r="AG479" s="20" t="n">
        <f aca="false">Inputs!$F$92*Inputs!$F$88/1000*Time!AG$9*Time!AG$10*Operations!AG458*Operations!$F$445</f>
        <v>0</v>
      </c>
      <c r="AH479" s="20" t="n">
        <f aca="false">Inputs!$F$92*Inputs!$F$88/1000*Time!AH$9*Time!AH$10*Operations!AH458*Operations!$F$445</f>
        <v>0</v>
      </c>
      <c r="AI479" s="20" t="n">
        <f aca="false">Inputs!$F$92*Inputs!$F$88/1000*Time!AI$9*Time!AI$10*Operations!AI458*Operations!$F$445</f>
        <v>0</v>
      </c>
      <c r="AJ479" s="20" t="n">
        <f aca="false">Inputs!$F$92*Inputs!$F$88/1000*Time!AJ$9*Time!AJ$10*Operations!AJ458*Operations!$F$445</f>
        <v>0</v>
      </c>
      <c r="AK479" s="20" t="n">
        <f aca="false">Inputs!$F$92*Inputs!$F$88/1000*Time!AK$9*Time!AK$10*Operations!AK458*Operations!$F$445</f>
        <v>0</v>
      </c>
      <c r="AL479" s="20" t="n">
        <f aca="false">Inputs!$F$92*Inputs!$F$88/1000*Time!AL$9*Time!AL$10*Operations!AL458*Operations!$F$445</f>
        <v>0</v>
      </c>
      <c r="AM479" s="20" t="n">
        <f aca="false">Inputs!$F$92*Inputs!$F$88/1000*Time!AM$9*Time!AM$10*Operations!AM458*Operations!$F$445</f>
        <v>0</v>
      </c>
      <c r="AN479" s="20" t="n">
        <f aca="false">Inputs!$F$92*Inputs!$F$88/1000*Time!AN$9*Time!AN$10*Operations!AN458*Operations!$F$445</f>
        <v>0</v>
      </c>
      <c r="AO479" s="20" t="n">
        <f aca="false">Inputs!$F$92*Inputs!$F$88/1000*Time!AO$9*Time!AO$10*Operations!AO458*Operations!$F$445</f>
        <v>0</v>
      </c>
      <c r="AP479" s="20" t="n">
        <f aca="false">Inputs!$F$92*Inputs!$F$88/1000*Time!AP$9*Time!AP$10*Operations!AP458*Operations!$F$445</f>
        <v>0</v>
      </c>
      <c r="AQ479" s="20" t="n">
        <f aca="false">Inputs!$F$92*Inputs!$F$88/1000*Time!AQ$9*Time!AQ$10*Operations!AQ458*Operations!$F$445</f>
        <v>0</v>
      </c>
      <c r="AR479" s="20" t="n">
        <f aca="false">Inputs!$F$92*Inputs!$F$88/1000*Time!AR$9*Time!AR$10*Operations!AR458*Operations!$F$445</f>
        <v>0</v>
      </c>
      <c r="AS479" s="20" t="n">
        <f aca="false">Inputs!$F$92*Inputs!$F$88/1000*Time!AS$9*Time!AS$10*Operations!AS458*Operations!$F$445</f>
        <v>0</v>
      </c>
      <c r="AT479" s="20" t="n">
        <f aca="false">Inputs!$F$92*Inputs!$F$88/1000*Time!AT$9*Time!AT$10*Operations!AT458*Operations!$F$445</f>
        <v>0</v>
      </c>
      <c r="AU479" s="20" t="n">
        <f aca="false">Inputs!$F$92*Inputs!$F$88/1000*Time!AU$9*Time!AU$10*Operations!AU458*Operations!$F$445</f>
        <v>0</v>
      </c>
    </row>
    <row r="480" customFormat="false" ht="15" hidden="false" customHeight="false" outlineLevel="0" collapsed="false">
      <c r="D480" s="0" t="s">
        <v>481</v>
      </c>
      <c r="E480" s="0" t="s">
        <v>47</v>
      </c>
      <c r="J480" s="20" t="n">
        <f aca="false">Inputs!$F$239/100*Operations!J477</f>
        <v>1.3435691152576</v>
      </c>
      <c r="K480" s="20" t="n">
        <f aca="false">Inputs!$F$239/100*Operations!K477</f>
        <v>0.930829501462472</v>
      </c>
      <c r="L480" s="20" t="n">
        <f aca="false">Inputs!$F$239/100*Operations!L477</f>
        <v>0.793755487053473</v>
      </c>
      <c r="M480" s="20" t="n">
        <f aca="false">Inputs!$F$239/100*Operations!M477</f>
        <v>0.819578545918577</v>
      </c>
      <c r="N480" s="20" t="n">
        <f aca="false">Inputs!$F$239/100*Operations!N477</f>
        <v>0.828607459629413</v>
      </c>
      <c r="O480" s="20" t="n">
        <f aca="false">Inputs!$F$239/100*Operations!O477</f>
        <v>0.829107342333374</v>
      </c>
      <c r="P480" s="20" t="n">
        <f aca="false">Inputs!$F$239/100*Operations!P477</f>
        <v>0.815793885449579</v>
      </c>
      <c r="Q480" s="20" t="n">
        <f aca="false">Inputs!$F$239/100*Operations!Q477</f>
        <v>0.828166856132604</v>
      </c>
      <c r="R480" s="20" t="n">
        <f aca="false">Inputs!$F$239/100*Operations!R477</f>
        <v>0.841723228760058</v>
      </c>
      <c r="S480" s="20" t="n">
        <f aca="false">Inputs!$F$239/100*Operations!S477</f>
        <v>0.84901981294785</v>
      </c>
      <c r="T480" s="20" t="n">
        <f aca="false">Inputs!$F$239/100*Operations!T477</f>
        <v>0.856291787243519</v>
      </c>
      <c r="U480" s="20" t="n">
        <f aca="false">Inputs!$F$239/100*Operations!U477</f>
        <v>0.863530286631396</v>
      </c>
      <c r="V480" s="20" t="n">
        <f aca="false">Inputs!$F$239/100*Operations!V477</f>
        <v>0.870726517359613</v>
      </c>
      <c r="W480" s="20" t="n">
        <f aca="false">Inputs!$F$239/100*Operations!W477</f>
        <v>0.877871756583429</v>
      </c>
      <c r="X480" s="20" t="n">
        <f aca="false">Inputs!$F$239/100*Operations!X477</f>
        <v>0.884957352009977</v>
      </c>
      <c r="Y480" s="20" t="n">
        <f aca="false">Inputs!$F$239/100*Operations!Y477</f>
        <v>0.892124633262339</v>
      </c>
      <c r="Z480" s="20" t="n">
        <f aca="false">Inputs!$F$239/100*Operations!Z477</f>
        <v>0.899211633541731</v>
      </c>
      <c r="AA480" s="20" t="n">
        <f aca="false">Inputs!$F$239/100*Operations!AA477</f>
        <v>0.906209929551639</v>
      </c>
      <c r="AB480" s="20" t="n">
        <f aca="false">Inputs!$F$239/100*Operations!AB477</f>
        <v>0.913255783974729</v>
      </c>
      <c r="AC480" s="20" t="n">
        <f aca="false">Inputs!$F$239/100*Operations!AC477</f>
        <v>0.920192790367537</v>
      </c>
      <c r="AD480" s="20" t="n">
        <f aca="false">Inputs!$F$239/100*Operations!AD477</f>
        <v>0.927153870199227</v>
      </c>
      <c r="AE480" s="20" t="n">
        <f aca="false">Inputs!$F$239/100*Operations!AE477</f>
        <v>0.94374921887924</v>
      </c>
      <c r="AF480" s="20" t="n">
        <f aca="false">Inputs!$F$239/100*Operations!AF477</f>
        <v>0.960696143742356</v>
      </c>
      <c r="AG480" s="20" t="n">
        <f aca="false">Inputs!$F$239/100*Operations!AG477</f>
        <v>0</v>
      </c>
      <c r="AH480" s="20" t="n">
        <f aca="false">Inputs!$F$239/100*Operations!AH477</f>
        <v>0</v>
      </c>
      <c r="AI480" s="20" t="n">
        <f aca="false">Inputs!$F$239/100*Operations!AI477</f>
        <v>0</v>
      </c>
      <c r="AJ480" s="20" t="n">
        <f aca="false">Inputs!$F$239/100*Operations!AJ477</f>
        <v>0</v>
      </c>
      <c r="AK480" s="20" t="n">
        <f aca="false">Inputs!$F$239/100*Operations!AK477</f>
        <v>0</v>
      </c>
      <c r="AL480" s="20" t="n">
        <f aca="false">Inputs!$F$239/100*Operations!AL477</f>
        <v>0</v>
      </c>
      <c r="AM480" s="20" t="n">
        <f aca="false">Inputs!$F$239/100*Operations!AM477</f>
        <v>0</v>
      </c>
      <c r="AN480" s="20" t="n">
        <f aca="false">Inputs!$F$239/100*Operations!AN477</f>
        <v>0</v>
      </c>
      <c r="AO480" s="20" t="n">
        <f aca="false">Inputs!$F$239/100*Operations!AO477</f>
        <v>0</v>
      </c>
      <c r="AP480" s="20" t="n">
        <f aca="false">Inputs!$F$239/100*Operations!AP477</f>
        <v>0</v>
      </c>
      <c r="AQ480" s="20" t="n">
        <f aca="false">Inputs!$F$239/100*Operations!AQ477</f>
        <v>0</v>
      </c>
      <c r="AR480" s="20" t="n">
        <f aca="false">Inputs!$F$239/100*Operations!AR477</f>
        <v>0</v>
      </c>
      <c r="AS480" s="20" t="n">
        <f aca="false">Inputs!$F$239/100*Operations!AS477</f>
        <v>0</v>
      </c>
      <c r="AT480" s="20" t="n">
        <f aca="false">Inputs!$F$239/100*Operations!AT477</f>
        <v>0</v>
      </c>
      <c r="AU480" s="20" t="n">
        <f aca="false">Inputs!$F$239/100*Operations!AU477</f>
        <v>0</v>
      </c>
    </row>
    <row r="481" customFormat="false" ht="15" hidden="false" customHeight="false" outlineLevel="0" collapsed="false">
      <c r="D481" s="0" t="s">
        <v>482</v>
      </c>
      <c r="E481" s="0" t="s">
        <v>47</v>
      </c>
      <c r="J481" s="20" t="n">
        <f aca="false">Inputs!$F$243/100*Inputs!$F$93*Inputs!$F$88/1000*Time!J$9*Operations!J458</f>
        <v>0.0749952</v>
      </c>
      <c r="K481" s="20" t="n">
        <f aca="false">Inputs!$F$243/100*Inputs!$F$93*Inputs!$F$88/1000*Time!K$9*Operations!K458</f>
        <v>0.07687008</v>
      </c>
      <c r="L481" s="20" t="n">
        <f aca="false">Inputs!$F$243/100*Inputs!$F$93*Inputs!$F$88/1000*Time!L$9*Operations!L458</f>
        <v>0.078791832</v>
      </c>
      <c r="M481" s="20" t="n">
        <f aca="false">Inputs!$F$243/100*Inputs!$F$93*Inputs!$F$88/1000*Time!M$9*Operations!M458</f>
        <v>0.0807616278</v>
      </c>
      <c r="N481" s="20" t="n">
        <f aca="false">Inputs!$F$243/100*Inputs!$F$93*Inputs!$F$88/1000*Time!N$9*Operations!N458</f>
        <v>0.082780668495</v>
      </c>
      <c r="O481" s="20" t="n">
        <f aca="false">Inputs!$F$243/100*Inputs!$F$93*Inputs!$F$88/1000*Time!O$9*Operations!O458</f>
        <v>0.084850185207375</v>
      </c>
      <c r="P481" s="20" t="n">
        <f aca="false">Inputs!$F$243/100*Inputs!$F$93*Inputs!$F$88/1000*Time!P$9*Operations!P458</f>
        <v>0.0869714398375593</v>
      </c>
      <c r="Q481" s="20" t="n">
        <f aca="false">Inputs!$F$243/100*Inputs!$F$93*Inputs!$F$88/1000*Time!Q$9*Operations!Q458</f>
        <v>0.0891457258334983</v>
      </c>
      <c r="R481" s="20" t="n">
        <f aca="false">Inputs!$F$243/100*Inputs!$F$93*Inputs!$F$88/1000*Time!R$9*Operations!R458</f>
        <v>0.0913743689793358</v>
      </c>
      <c r="S481" s="20" t="n">
        <f aca="false">Inputs!$F$243/100*Inputs!$F$93*Inputs!$F$88/1000*Time!S$9*Operations!S458</f>
        <v>0.0936587282038191</v>
      </c>
      <c r="T481" s="20" t="n">
        <f aca="false">Inputs!$F$243/100*Inputs!$F$93*Inputs!$F$88/1000*Time!T$9*Operations!T458</f>
        <v>0.0960001964089146</v>
      </c>
      <c r="U481" s="20" t="n">
        <f aca="false">Inputs!$F$243/100*Inputs!$F$93*Inputs!$F$88/1000*Time!U$9*Operations!U458</f>
        <v>0.0984002013191375</v>
      </c>
      <c r="V481" s="20" t="n">
        <f aca="false">Inputs!$F$243/100*Inputs!$F$93*Inputs!$F$88/1000*Time!V$9*Operations!V458</f>
        <v>0.100860206352116</v>
      </c>
      <c r="W481" s="20" t="n">
        <f aca="false">Inputs!$F$243/100*Inputs!$F$93*Inputs!$F$88/1000*Time!W$9*Operations!W458</f>
        <v>0.103381711510919</v>
      </c>
      <c r="X481" s="20" t="n">
        <f aca="false">Inputs!$F$243/100*Inputs!$F$93*Inputs!$F$88/1000*Time!X$9*Operations!X458</f>
        <v>0.105966254298692</v>
      </c>
      <c r="Y481" s="20" t="n">
        <f aca="false">Inputs!$F$243/100*Inputs!$F$93*Inputs!$F$88/1000*Time!Y$9*Operations!Y458</f>
        <v>0.108615410656159</v>
      </c>
      <c r="Z481" s="20" t="n">
        <f aca="false">Inputs!$F$243/100*Inputs!$F$93*Inputs!$F$88/1000*Time!Z$9*Operations!Z458</f>
        <v>0.111330795922563</v>
      </c>
      <c r="AA481" s="20" t="n">
        <f aca="false">Inputs!$F$243/100*Inputs!$F$93*Inputs!$F$88/1000*Time!AA$9*Operations!AA458</f>
        <v>0.114114065820627</v>
      </c>
      <c r="AB481" s="20" t="n">
        <f aca="false">Inputs!$F$243/100*Inputs!$F$93*Inputs!$F$88/1000*Time!AB$9*Operations!AB458</f>
        <v>0.116966917466143</v>
      </c>
      <c r="AC481" s="20" t="n">
        <f aca="false">Inputs!$F$243/100*Inputs!$F$93*Inputs!$F$88/1000*Time!AC$9*Operations!AC458</f>
        <v>0.119891090402796</v>
      </c>
      <c r="AD481" s="20" t="n">
        <f aca="false">Inputs!$F$243/100*Inputs!$F$93*Inputs!$F$88/1000*Time!AD$9*Operations!AD458</f>
        <v>0.122888367662866</v>
      </c>
      <c r="AE481" s="20" t="n">
        <f aca="false">Inputs!$F$243/100*Inputs!$F$93*Inputs!$F$88/1000*Time!AE$9*Operations!AE458</f>
        <v>0.125960576854438</v>
      </c>
      <c r="AF481" s="20" t="n">
        <f aca="false">Inputs!$F$243/100*Inputs!$F$93*Inputs!$F$88/1000*Time!AF$9*Operations!AF458</f>
        <v>0.129109591275799</v>
      </c>
      <c r="AG481" s="20" t="n">
        <f aca="false">Inputs!$F$243/100*Inputs!$F$93*Inputs!$F$88/1000*Time!AG$9*Operations!AG458</f>
        <v>0</v>
      </c>
      <c r="AH481" s="20" t="n">
        <f aca="false">Inputs!$F$243/100*Inputs!$F$93*Inputs!$F$88/1000*Time!AH$9*Operations!AH458</f>
        <v>0</v>
      </c>
      <c r="AI481" s="20" t="n">
        <f aca="false">Inputs!$F$243/100*Inputs!$F$93*Inputs!$F$88/1000*Time!AI$9*Operations!AI458</f>
        <v>0</v>
      </c>
      <c r="AJ481" s="20" t="n">
        <f aca="false">Inputs!$F$243/100*Inputs!$F$93*Inputs!$F$88/1000*Time!AJ$9*Operations!AJ458</f>
        <v>0</v>
      </c>
      <c r="AK481" s="20" t="n">
        <f aca="false">Inputs!$F$243/100*Inputs!$F$93*Inputs!$F$88/1000*Time!AK$9*Operations!AK458</f>
        <v>0</v>
      </c>
      <c r="AL481" s="20" t="n">
        <f aca="false">Inputs!$F$243/100*Inputs!$F$93*Inputs!$F$88/1000*Time!AL$9*Operations!AL458</f>
        <v>0</v>
      </c>
      <c r="AM481" s="20" t="n">
        <f aca="false">Inputs!$F$243/100*Inputs!$F$93*Inputs!$F$88/1000*Time!AM$9*Operations!AM458</f>
        <v>0</v>
      </c>
      <c r="AN481" s="20" t="n">
        <f aca="false">Inputs!$F$243/100*Inputs!$F$93*Inputs!$F$88/1000*Time!AN$9*Operations!AN458</f>
        <v>0</v>
      </c>
      <c r="AO481" s="20" t="n">
        <f aca="false">Inputs!$F$243/100*Inputs!$F$93*Inputs!$F$88/1000*Time!AO$9*Operations!AO458</f>
        <v>0</v>
      </c>
      <c r="AP481" s="20" t="n">
        <f aca="false">Inputs!$F$243/100*Inputs!$F$93*Inputs!$F$88/1000*Time!AP$9*Operations!AP458</f>
        <v>0</v>
      </c>
      <c r="AQ481" s="20" t="n">
        <f aca="false">Inputs!$F$243/100*Inputs!$F$93*Inputs!$F$88/1000*Time!AQ$9*Operations!AQ458</f>
        <v>0</v>
      </c>
      <c r="AR481" s="20" t="n">
        <f aca="false">Inputs!$F$243/100*Inputs!$F$93*Inputs!$F$88/1000*Time!AR$9*Operations!AR458</f>
        <v>0</v>
      </c>
      <c r="AS481" s="20" t="n">
        <f aca="false">Inputs!$F$243/100*Inputs!$F$93*Inputs!$F$88/1000*Time!AS$9*Operations!AS458</f>
        <v>0</v>
      </c>
      <c r="AT481" s="20" t="n">
        <f aca="false">Inputs!$F$243/100*Inputs!$F$93*Inputs!$F$88/1000*Time!AT$9*Operations!AT458</f>
        <v>0</v>
      </c>
      <c r="AU481" s="20" t="n">
        <f aca="false">Inputs!$F$243/100*Inputs!$F$93*Inputs!$F$88/1000*Time!AU$9*Operations!AU458</f>
        <v>0</v>
      </c>
    </row>
    <row r="482" customFormat="false" ht="15" hidden="false" customHeight="false" outlineLevel="0" collapsed="false">
      <c r="D482" s="0" t="s">
        <v>483</v>
      </c>
      <c r="E482" s="0" t="s">
        <v>47</v>
      </c>
      <c r="J482" s="20" t="n">
        <f aca="false">Inputs!$F$244/100*Inputs!$F$245/100*Operations!J477</f>
        <v>0.17634344637756</v>
      </c>
      <c r="K482" s="20" t="n">
        <f aca="false">Inputs!$F$244/100*Inputs!$F$245/100*Operations!K477</f>
        <v>0.122171372066949</v>
      </c>
      <c r="L482" s="20" t="n">
        <f aca="false">Inputs!$F$244/100*Inputs!$F$245/100*Operations!L477</f>
        <v>0.104180407675768</v>
      </c>
      <c r="M482" s="20" t="n">
        <f aca="false">Inputs!$F$244/100*Inputs!$F$245/100*Operations!M477</f>
        <v>0.107569684151813</v>
      </c>
      <c r="N482" s="20" t="n">
        <f aca="false">Inputs!$F$244/100*Inputs!$F$245/100*Operations!N477</f>
        <v>0.10875472907636</v>
      </c>
      <c r="O482" s="20" t="n">
        <f aca="false">Inputs!$F$244/100*Inputs!$F$245/100*Operations!O477</f>
        <v>0.108820338681255</v>
      </c>
      <c r="P482" s="20" t="n">
        <f aca="false">Inputs!$F$244/100*Inputs!$F$245/100*Operations!P477</f>
        <v>0.107072947465257</v>
      </c>
      <c r="Q482" s="20" t="n">
        <f aca="false">Inputs!$F$244/100*Inputs!$F$245/100*Operations!Q477</f>
        <v>0.108696899867404</v>
      </c>
      <c r="R482" s="20" t="n">
        <f aca="false">Inputs!$F$244/100*Inputs!$F$245/100*Operations!R477</f>
        <v>0.110476173774758</v>
      </c>
      <c r="S482" s="20" t="n">
        <f aca="false">Inputs!$F$244/100*Inputs!$F$245/100*Operations!S477</f>
        <v>0.111433850449405</v>
      </c>
      <c r="T482" s="20" t="n">
        <f aca="false">Inputs!$F$244/100*Inputs!$F$245/100*Operations!T477</f>
        <v>0.112388297075712</v>
      </c>
      <c r="U482" s="20" t="n">
        <f aca="false">Inputs!$F$244/100*Inputs!$F$245/100*Operations!U477</f>
        <v>0.113338350120371</v>
      </c>
      <c r="V482" s="20" t="n">
        <f aca="false">Inputs!$F$244/100*Inputs!$F$245/100*Operations!V477</f>
        <v>0.114282855403449</v>
      </c>
      <c r="W482" s="20" t="n">
        <f aca="false">Inputs!$F$244/100*Inputs!$F$245/100*Operations!W477</f>
        <v>0.115220668051575</v>
      </c>
      <c r="X482" s="20" t="n">
        <f aca="false">Inputs!$F$244/100*Inputs!$F$245/100*Operations!X477</f>
        <v>0.11615065245131</v>
      </c>
      <c r="Y482" s="20" t="n">
        <f aca="false">Inputs!$F$244/100*Inputs!$F$245/100*Operations!Y477</f>
        <v>0.117091358115682</v>
      </c>
      <c r="Z482" s="20" t="n">
        <f aca="false">Inputs!$F$244/100*Inputs!$F$245/100*Operations!Z477</f>
        <v>0.118021526902352</v>
      </c>
      <c r="AA482" s="20" t="n">
        <f aca="false">Inputs!$F$244/100*Inputs!$F$245/100*Operations!AA477</f>
        <v>0.118940053253653</v>
      </c>
      <c r="AB482" s="20" t="n">
        <f aca="false">Inputs!$F$244/100*Inputs!$F$245/100*Operations!AB477</f>
        <v>0.119864821646683</v>
      </c>
      <c r="AC482" s="20" t="n">
        <f aca="false">Inputs!$F$244/100*Inputs!$F$245/100*Operations!AC477</f>
        <v>0.120775303735739</v>
      </c>
      <c r="AD482" s="20" t="n">
        <f aca="false">Inputs!$F$244/100*Inputs!$F$245/100*Operations!AD477</f>
        <v>0.121688945463649</v>
      </c>
      <c r="AE482" s="20" t="n">
        <f aca="false">Inputs!$F$244/100*Inputs!$F$245/100*Operations!AE477</f>
        <v>0.1238670849779</v>
      </c>
      <c r="AF482" s="20" t="n">
        <f aca="false">Inputs!$F$244/100*Inputs!$F$245/100*Operations!AF477</f>
        <v>0.126091368866184</v>
      </c>
      <c r="AG482" s="20" t="n">
        <f aca="false">Inputs!$F$244/100*Inputs!$F$245/100*Operations!AG477</f>
        <v>0</v>
      </c>
      <c r="AH482" s="20" t="n">
        <f aca="false">Inputs!$F$244/100*Inputs!$F$245/100*Operations!AH477</f>
        <v>0</v>
      </c>
      <c r="AI482" s="20" t="n">
        <f aca="false">Inputs!$F$244/100*Inputs!$F$245/100*Operations!AI477</f>
        <v>0</v>
      </c>
      <c r="AJ482" s="20" t="n">
        <f aca="false">Inputs!$F$244/100*Inputs!$F$245/100*Operations!AJ477</f>
        <v>0</v>
      </c>
      <c r="AK482" s="20" t="n">
        <f aca="false">Inputs!$F$244/100*Inputs!$F$245/100*Operations!AK477</f>
        <v>0</v>
      </c>
      <c r="AL482" s="20" t="n">
        <f aca="false">Inputs!$F$244/100*Inputs!$F$245/100*Operations!AL477</f>
        <v>0</v>
      </c>
      <c r="AM482" s="20" t="n">
        <f aca="false">Inputs!$F$244/100*Inputs!$F$245/100*Operations!AM477</f>
        <v>0</v>
      </c>
      <c r="AN482" s="20" t="n">
        <f aca="false">Inputs!$F$244/100*Inputs!$F$245/100*Operations!AN477</f>
        <v>0</v>
      </c>
      <c r="AO482" s="20" t="n">
        <f aca="false">Inputs!$F$244/100*Inputs!$F$245/100*Operations!AO477</f>
        <v>0</v>
      </c>
      <c r="AP482" s="20" t="n">
        <f aca="false">Inputs!$F$244/100*Inputs!$F$245/100*Operations!AP477</f>
        <v>0</v>
      </c>
      <c r="AQ482" s="20" t="n">
        <f aca="false">Inputs!$F$244/100*Inputs!$F$245/100*Operations!AQ477</f>
        <v>0</v>
      </c>
      <c r="AR482" s="20" t="n">
        <f aca="false">Inputs!$F$244/100*Inputs!$F$245/100*Operations!AR477</f>
        <v>0</v>
      </c>
      <c r="AS482" s="20" t="n">
        <f aca="false">Inputs!$F$244/100*Inputs!$F$245/100*Operations!AS477</f>
        <v>0</v>
      </c>
      <c r="AT482" s="20" t="n">
        <f aca="false">Inputs!$F$244/100*Inputs!$F$245/100*Operations!AT477</f>
        <v>0</v>
      </c>
      <c r="AU482" s="20" t="n">
        <f aca="false">Inputs!$F$244/100*Inputs!$F$245/100*Operations!AU477</f>
        <v>0</v>
      </c>
    </row>
    <row r="483" customFormat="false" ht="15" hidden="false" customHeight="false" outlineLevel="0" collapsed="false">
      <c r="D483" s="0" t="s">
        <v>484</v>
      </c>
      <c r="E483" s="0" t="s">
        <v>47</v>
      </c>
      <c r="G483" s="20" t="n">
        <f aca="false">SUM(J483:AU483)</f>
        <v>225.260471536977</v>
      </c>
      <c r="J483" s="20" t="n">
        <f aca="false">Operations!J477-Operations!J479-Operations!J480-Operations!J481-Operations!J482</f>
        <v>23.6279201198048</v>
      </c>
      <c r="K483" s="20" t="n">
        <f aca="false">Operations!K477-Operations!K479-Operations!K480-Operations!K481-Operations!K482</f>
        <v>13.2823131030324</v>
      </c>
      <c r="L483" s="20" t="n">
        <f aca="false">Operations!L477-Operations!L479-Operations!L480-Operations!L481-Operations!L482</f>
        <v>9.78714213260759</v>
      </c>
      <c r="M483" s="20" t="n">
        <f aca="false">Operations!M477-Operations!M479-Operations!M480-Operations!M481-Operations!M482</f>
        <v>10.174536040169</v>
      </c>
      <c r="N483" s="20" t="n">
        <f aca="false">Operations!N477-Operations!N479-Operations!N480-Operations!N481-Operations!N482</f>
        <v>10.1553504398614</v>
      </c>
      <c r="O483" s="20" t="n">
        <f aca="false">Operations!O477-Operations!O479-Operations!O480-Operations!O481-Operations!O482</f>
        <v>9.92672016859739</v>
      </c>
      <c r="P483" s="20" t="n">
        <f aca="false">Operations!P477-Operations!P479-Operations!P480-Operations!P481-Operations!P482</f>
        <v>9.36236870188427</v>
      </c>
      <c r="Q483" s="20" t="n">
        <f aca="false">Operations!Q477-Operations!Q479-Operations!Q480-Operations!Q481-Operations!Q482</f>
        <v>9.4049557558387</v>
      </c>
      <c r="R483" s="20" t="n">
        <f aca="false">Operations!R477-Operations!R479-Operations!R480-Operations!R481-Operations!R482</f>
        <v>9.46947062770333</v>
      </c>
      <c r="S483" s="20" t="n">
        <f aca="false">Operations!S477-Operations!S479-Operations!S480-Operations!S481-Operations!S482</f>
        <v>9.37809570431661</v>
      </c>
      <c r="T483" s="20" t="n">
        <f aca="false">Operations!T477-Operations!T479-Operations!T480-Operations!T481-Operations!T482</f>
        <v>9.27949499188681</v>
      </c>
      <c r="U483" s="20" t="n">
        <f aca="false">Operations!U477-Operations!U479-Operations!U480-Operations!U481-Operations!U482</f>
        <v>9.17329093402914</v>
      </c>
      <c r="V483" s="20" t="n">
        <f aca="false">Operations!V477-Operations!V479-Operations!V480-Operations!V481-Operations!V482</f>
        <v>9.05910352634817</v>
      </c>
      <c r="W483" s="20" t="n">
        <f aca="false">Operations!W477-Operations!W479-Operations!W480-Operations!W481-Operations!W482</f>
        <v>8.93655020419967</v>
      </c>
      <c r="X483" s="20" t="n">
        <f aca="false">Operations!X477-Operations!X479-Operations!X480-Operations!X481-Operations!X482</f>
        <v>8.80524572789331</v>
      </c>
      <c r="Y483" s="20" t="n">
        <f aca="false">Operations!Y477-Operations!Y479-Operations!Y480-Operations!Y481-Operations!Y482</f>
        <v>8.66838027058824</v>
      </c>
      <c r="Z483" s="20" t="n">
        <f aca="false">Operations!Z477-Operations!Z479-Operations!Z480-Operations!Z481-Operations!Z482</f>
        <v>8.52190011926718</v>
      </c>
      <c r="AA483" s="20" t="n">
        <f aca="false">Operations!AA477-Operations!AA479-Operations!AA480-Operations!AA481-Operations!AA482</f>
        <v>8.36541175818288</v>
      </c>
      <c r="AB483" s="20" t="n">
        <f aca="false">Operations!AB477-Operations!AB479-Operations!AB480-Operations!AB481-Operations!AB482</f>
        <v>8.20197033349893</v>
      </c>
      <c r="AC483" s="20" t="n">
        <f aca="false">Operations!AC477-Operations!AC479-Operations!AC480-Operations!AC481-Operations!AC482</f>
        <v>8.02764041333108</v>
      </c>
      <c r="AD483" s="20" t="n">
        <f aca="false">Operations!AD477-Operations!AD479-Operations!AD480-Operations!AD481-Operations!AD482</f>
        <v>7.84538740626987</v>
      </c>
      <c r="AE483" s="20" t="n">
        <f aca="false">Operations!AE477-Operations!AE479-Operations!AE480-Operations!AE481-Operations!AE482</f>
        <v>7.88438222174975</v>
      </c>
      <c r="AF483" s="20" t="n">
        <f aca="false">Operations!AF477-Operations!AF479-Operations!AF480-Operations!AF481-Operations!AF482</f>
        <v>7.92284083591689</v>
      </c>
      <c r="AG483" s="20" t="n">
        <f aca="false">Operations!AG477-Operations!AG479-Operations!AG480-Operations!AG481-Operations!AG482</f>
        <v>0</v>
      </c>
      <c r="AH483" s="20" t="n">
        <f aca="false">Operations!AH477-Operations!AH479-Operations!AH480-Operations!AH481-Operations!AH482</f>
        <v>0</v>
      </c>
      <c r="AI483" s="20" t="n">
        <f aca="false">Operations!AI477-Operations!AI479-Operations!AI480-Operations!AI481-Operations!AI482</f>
        <v>0</v>
      </c>
      <c r="AJ483" s="20" t="n">
        <f aca="false">Operations!AJ477-Operations!AJ479-Operations!AJ480-Operations!AJ481-Operations!AJ482</f>
        <v>0</v>
      </c>
      <c r="AK483" s="20" t="n">
        <f aca="false">Operations!AK477-Operations!AK479-Operations!AK480-Operations!AK481-Operations!AK482</f>
        <v>0</v>
      </c>
      <c r="AL483" s="20" t="n">
        <f aca="false">Operations!AL477-Operations!AL479-Operations!AL480-Operations!AL481-Operations!AL482</f>
        <v>0</v>
      </c>
      <c r="AM483" s="20" t="n">
        <f aca="false">Operations!AM477-Operations!AM479-Operations!AM480-Operations!AM481-Operations!AM482</f>
        <v>0</v>
      </c>
      <c r="AN483" s="20" t="n">
        <f aca="false">Operations!AN477-Operations!AN479-Operations!AN480-Operations!AN481-Operations!AN482</f>
        <v>0</v>
      </c>
      <c r="AO483" s="20" t="n">
        <f aca="false">Operations!AO477-Operations!AO479-Operations!AO480-Operations!AO481-Operations!AO482</f>
        <v>0</v>
      </c>
      <c r="AP483" s="20" t="n">
        <f aca="false">Operations!AP477-Operations!AP479-Operations!AP480-Operations!AP481-Operations!AP482</f>
        <v>0</v>
      </c>
      <c r="AQ483" s="20" t="n">
        <f aca="false">Operations!AQ477-Operations!AQ479-Operations!AQ480-Operations!AQ481-Operations!AQ482</f>
        <v>0</v>
      </c>
      <c r="AR483" s="20" t="n">
        <f aca="false">Operations!AR477-Operations!AR479-Operations!AR480-Operations!AR481-Operations!AR482</f>
        <v>0</v>
      </c>
      <c r="AS483" s="20" t="n">
        <f aca="false">Operations!AS477-Operations!AS479-Operations!AS480-Operations!AS481-Operations!AS482</f>
        <v>0</v>
      </c>
      <c r="AT483" s="20" t="n">
        <f aca="false">Operations!AT477-Operations!AT479-Operations!AT480-Operations!AT481-Operations!AT482</f>
        <v>0</v>
      </c>
      <c r="AU483" s="20" t="n">
        <f aca="false">Operations!AU477-Operations!AU479-Operations!AU480-Operations!AU481-Operations!AU482</f>
        <v>0</v>
      </c>
    </row>
    <row r="484" customFormat="false" ht="15" hidden="false" customHeight="false" outlineLevel="0" collapsed="false">
      <c r="D484" s="0" t="s">
        <v>485</v>
      </c>
      <c r="E484" s="0" t="s">
        <v>47</v>
      </c>
      <c r="J484" s="20" t="n">
        <f aca="false">0</f>
        <v>0</v>
      </c>
      <c r="K484" s="20" t="n">
        <f aca="false">0</f>
        <v>0</v>
      </c>
      <c r="L484" s="20" t="n">
        <f aca="false">0</f>
        <v>0</v>
      </c>
      <c r="M484" s="20" t="n">
        <f aca="false">0</f>
        <v>0</v>
      </c>
      <c r="N484" s="20" t="n">
        <f aca="false">0</f>
        <v>0</v>
      </c>
      <c r="O484" s="20" t="n">
        <f aca="false">0</f>
        <v>0</v>
      </c>
      <c r="P484" s="20" t="n">
        <f aca="false">0</f>
        <v>0</v>
      </c>
      <c r="Q484" s="20" t="n">
        <f aca="false">0</f>
        <v>0</v>
      </c>
      <c r="R484" s="20" t="n">
        <f aca="false">0</f>
        <v>0</v>
      </c>
      <c r="S484" s="20" t="n">
        <f aca="false">0</f>
        <v>0</v>
      </c>
      <c r="T484" s="20" t="n">
        <f aca="false">0</f>
        <v>0</v>
      </c>
      <c r="U484" s="20" t="n">
        <f aca="false">0</f>
        <v>0</v>
      </c>
      <c r="V484" s="20" t="n">
        <f aca="false">0</f>
        <v>0</v>
      </c>
      <c r="W484" s="20" t="n">
        <f aca="false">0</f>
        <v>0</v>
      </c>
      <c r="X484" s="20" t="n">
        <f aca="false">0</f>
        <v>0</v>
      </c>
      <c r="Y484" s="20" t="n">
        <f aca="false">0</f>
        <v>0</v>
      </c>
      <c r="Z484" s="20" t="n">
        <f aca="false">0</f>
        <v>0</v>
      </c>
      <c r="AA484" s="20" t="n">
        <f aca="false">0</f>
        <v>0</v>
      </c>
      <c r="AB484" s="20" t="n">
        <f aca="false">0</f>
        <v>0</v>
      </c>
      <c r="AC484" s="20" t="n">
        <f aca="false">0</f>
        <v>0</v>
      </c>
      <c r="AD484" s="20" t="n">
        <f aca="false">0</f>
        <v>0</v>
      </c>
      <c r="AE484" s="20" t="n">
        <f aca="false">0</f>
        <v>0</v>
      </c>
      <c r="AF484" s="20" t="n">
        <f aca="false">0</f>
        <v>0</v>
      </c>
      <c r="AG484" s="20" t="n">
        <f aca="false">0</f>
        <v>0</v>
      </c>
      <c r="AH484" s="20" t="n">
        <f aca="false">0</f>
        <v>0</v>
      </c>
      <c r="AI484" s="20" t="n">
        <f aca="false">0</f>
        <v>0</v>
      </c>
      <c r="AJ484" s="20" t="n">
        <f aca="false">0</f>
        <v>0</v>
      </c>
      <c r="AK484" s="20" t="n">
        <f aca="false">0</f>
        <v>0</v>
      </c>
      <c r="AL484" s="20" t="n">
        <f aca="false">0</f>
        <v>0</v>
      </c>
      <c r="AM484" s="20" t="n">
        <f aca="false">0</f>
        <v>0</v>
      </c>
      <c r="AN484" s="20" t="n">
        <f aca="false">0</f>
        <v>0</v>
      </c>
      <c r="AO484" s="20" t="n">
        <f aca="false">0</f>
        <v>0</v>
      </c>
      <c r="AP484" s="20" t="n">
        <f aca="false">0</f>
        <v>0</v>
      </c>
      <c r="AQ484" s="20" t="n">
        <f aca="false">0</f>
        <v>0</v>
      </c>
      <c r="AR484" s="20" t="n">
        <f aca="false">0</f>
        <v>0</v>
      </c>
      <c r="AS484" s="20" t="n">
        <f aca="false">0</f>
        <v>0</v>
      </c>
      <c r="AT484" s="20" t="n">
        <f aca="false">0</f>
        <v>0</v>
      </c>
      <c r="AU484" s="20" t="n">
        <f aca="false">0</f>
        <v>0</v>
      </c>
    </row>
    <row r="485" customFormat="false" ht="15" hidden="false" customHeight="false" outlineLevel="0" collapsed="false">
      <c r="D485" s="0" t="s">
        <v>486</v>
      </c>
      <c r="E485" s="0" t="s">
        <v>47</v>
      </c>
      <c r="J485" s="20" t="n">
        <f aca="false">IF(Time!J$4=YEAR(Inputs!$F$90),Inputs!$F$93*Inputs!$F$88/1000*Time!J$9,0)</f>
        <v>0</v>
      </c>
      <c r="K485" s="20" t="n">
        <f aca="false">IF(Time!K$4=YEAR(Inputs!$F$90),Inputs!$F$93*Inputs!$F$88/1000*Time!K$9,0)</f>
        <v>0</v>
      </c>
      <c r="L485" s="20" t="n">
        <f aca="false">IF(Time!L$4=YEAR(Inputs!$F$90),Inputs!$F$93*Inputs!$F$88/1000*Time!L$9,0)</f>
        <v>0</v>
      </c>
      <c r="M485" s="20" t="n">
        <f aca="false">IF(Time!M$4=YEAR(Inputs!$F$90),Inputs!$F$93*Inputs!$F$88/1000*Time!M$9,0)</f>
        <v>0</v>
      </c>
      <c r="N485" s="20" t="n">
        <f aca="false">IF(Time!N$4=YEAR(Inputs!$F$90),Inputs!$F$93*Inputs!$F$88/1000*Time!N$9,0)</f>
        <v>0</v>
      </c>
      <c r="O485" s="20" t="n">
        <f aca="false">IF(Time!O$4=YEAR(Inputs!$F$90),Inputs!$F$93*Inputs!$F$88/1000*Time!O$9,0)</f>
        <v>0</v>
      </c>
      <c r="P485" s="20" t="n">
        <f aca="false">IF(Time!P$4=YEAR(Inputs!$F$90),Inputs!$F$93*Inputs!$F$88/1000*Time!P$9,0)</f>
        <v>0</v>
      </c>
      <c r="Q485" s="20" t="n">
        <f aca="false">IF(Time!Q$4=YEAR(Inputs!$F$90),Inputs!$F$93*Inputs!$F$88/1000*Time!Q$9,0)</f>
        <v>0</v>
      </c>
      <c r="R485" s="20" t="n">
        <f aca="false">IF(Time!R$4=YEAR(Inputs!$F$90),Inputs!$F$93*Inputs!$F$88/1000*Time!R$9,0)</f>
        <v>0</v>
      </c>
      <c r="S485" s="20" t="n">
        <f aca="false">IF(Time!S$4=YEAR(Inputs!$F$90),Inputs!$F$93*Inputs!$F$88/1000*Time!S$9,0)</f>
        <v>0</v>
      </c>
      <c r="T485" s="20" t="n">
        <f aca="false">IF(Time!T$4=YEAR(Inputs!$F$90),Inputs!$F$93*Inputs!$F$88/1000*Time!T$9,0)</f>
        <v>0</v>
      </c>
      <c r="U485" s="20" t="n">
        <f aca="false">IF(Time!U$4=YEAR(Inputs!$F$90),Inputs!$F$93*Inputs!$F$88/1000*Time!U$9,0)</f>
        <v>0</v>
      </c>
      <c r="V485" s="20" t="n">
        <f aca="false">IF(Time!V$4=YEAR(Inputs!$F$90),Inputs!$F$93*Inputs!$F$88/1000*Time!V$9,0)</f>
        <v>0</v>
      </c>
      <c r="W485" s="20" t="n">
        <f aca="false">IF(Time!W$4=YEAR(Inputs!$F$90),Inputs!$F$93*Inputs!$F$88/1000*Time!W$9,0)</f>
        <v>0</v>
      </c>
      <c r="X485" s="20" t="n">
        <f aca="false">IF(Time!X$4=YEAR(Inputs!$F$90),Inputs!$F$93*Inputs!$F$88/1000*Time!X$9,0)</f>
        <v>0</v>
      </c>
      <c r="Y485" s="20" t="n">
        <f aca="false">IF(Time!Y$4=YEAR(Inputs!$F$90),Inputs!$F$93*Inputs!$F$88/1000*Time!Y$9,0)</f>
        <v>0</v>
      </c>
      <c r="Z485" s="20" t="n">
        <f aca="false">IF(Time!Z$4=YEAR(Inputs!$F$90),Inputs!$F$93*Inputs!$F$88/1000*Time!Z$9,0)</f>
        <v>0</v>
      </c>
      <c r="AA485" s="20" t="n">
        <f aca="false">IF(Time!AA$4=YEAR(Inputs!$F$90),Inputs!$F$93*Inputs!$F$88/1000*Time!AA$9,0)</f>
        <v>0</v>
      </c>
      <c r="AB485" s="20" t="n">
        <f aca="false">IF(Time!AB$4=YEAR(Inputs!$F$90),Inputs!$F$93*Inputs!$F$88/1000*Time!AB$9,0)</f>
        <v>0</v>
      </c>
      <c r="AC485" s="20" t="n">
        <f aca="false">IF(Time!AC$4=YEAR(Inputs!$F$90),Inputs!$F$93*Inputs!$F$88/1000*Time!AC$9,0)</f>
        <v>0</v>
      </c>
      <c r="AD485" s="20" t="n">
        <f aca="false">IF(Time!AD$4=YEAR(Inputs!$F$90),Inputs!$F$93*Inputs!$F$88/1000*Time!AD$9,0)</f>
        <v>0</v>
      </c>
      <c r="AE485" s="20" t="n">
        <f aca="false">IF(Time!AE$4=YEAR(Inputs!$F$90),Inputs!$F$93*Inputs!$F$88/1000*Time!AE$9,0)</f>
        <v>0</v>
      </c>
      <c r="AF485" s="20" t="n">
        <f aca="false">IF(Time!AF$4=YEAR(Inputs!$F$90),Inputs!$F$93*Inputs!$F$88/1000*Time!AF$9,0)</f>
        <v>21.5182652126331</v>
      </c>
      <c r="AG485" s="20" t="n">
        <f aca="false">IF(Time!AG$4=YEAR(Inputs!$F$90),Inputs!$F$93*Inputs!$F$88/1000*Time!AG$9,0)</f>
        <v>0</v>
      </c>
      <c r="AH485" s="20" t="n">
        <f aca="false">IF(Time!AH$4=YEAR(Inputs!$F$90),Inputs!$F$93*Inputs!$F$88/1000*Time!AH$9,0)</f>
        <v>0</v>
      </c>
      <c r="AI485" s="20" t="n">
        <f aca="false">IF(Time!AI$4=YEAR(Inputs!$F$90),Inputs!$F$93*Inputs!$F$88/1000*Time!AI$9,0)</f>
        <v>0</v>
      </c>
      <c r="AJ485" s="20" t="n">
        <f aca="false">IF(Time!AJ$4=YEAR(Inputs!$F$90),Inputs!$F$93*Inputs!$F$88/1000*Time!AJ$9,0)</f>
        <v>0</v>
      </c>
      <c r="AK485" s="20" t="n">
        <f aca="false">IF(Time!AK$4=YEAR(Inputs!$F$90),Inputs!$F$93*Inputs!$F$88/1000*Time!AK$9,0)</f>
        <v>0</v>
      </c>
      <c r="AL485" s="20" t="n">
        <f aca="false">IF(Time!AL$4=YEAR(Inputs!$F$90),Inputs!$F$93*Inputs!$F$88/1000*Time!AL$9,0)</f>
        <v>0</v>
      </c>
      <c r="AM485" s="20" t="n">
        <f aca="false">IF(Time!AM$4=YEAR(Inputs!$F$90),Inputs!$F$93*Inputs!$F$88/1000*Time!AM$9,0)</f>
        <v>0</v>
      </c>
      <c r="AN485" s="20" t="n">
        <f aca="false">IF(Time!AN$4=YEAR(Inputs!$F$90),Inputs!$F$93*Inputs!$F$88/1000*Time!AN$9,0)</f>
        <v>0</v>
      </c>
      <c r="AO485" s="20" t="n">
        <f aca="false">IF(Time!AO$4=YEAR(Inputs!$F$90),Inputs!$F$93*Inputs!$F$88/1000*Time!AO$9,0)</f>
        <v>0</v>
      </c>
      <c r="AP485" s="20" t="n">
        <f aca="false">IF(Time!AP$4=YEAR(Inputs!$F$90),Inputs!$F$93*Inputs!$F$88/1000*Time!AP$9,0)</f>
        <v>0</v>
      </c>
      <c r="AQ485" s="20" t="n">
        <f aca="false">IF(Time!AQ$4=YEAR(Inputs!$F$90),Inputs!$F$93*Inputs!$F$88/1000*Time!AQ$9,0)</f>
        <v>0</v>
      </c>
      <c r="AR485" s="20" t="n">
        <f aca="false">IF(Time!AR$4=YEAR(Inputs!$F$90),Inputs!$F$93*Inputs!$F$88/1000*Time!AR$9,0)</f>
        <v>0</v>
      </c>
      <c r="AS485" s="20" t="n">
        <f aca="false">IF(Time!AS$4=YEAR(Inputs!$F$90),Inputs!$F$93*Inputs!$F$88/1000*Time!AS$9,0)</f>
        <v>0</v>
      </c>
      <c r="AT485" s="20" t="n">
        <f aca="false">IF(Time!AT$4=YEAR(Inputs!$F$90),Inputs!$F$93*Inputs!$F$88/1000*Time!AT$9,0)</f>
        <v>0</v>
      </c>
      <c r="AU485" s="20" t="n">
        <f aca="false">IF(Time!AU$4=YEAR(Inputs!$F$90),Inputs!$F$93*Inputs!$F$88/1000*Time!AU$9,0)</f>
        <v>0</v>
      </c>
    </row>
    <row r="486" customFormat="false" ht="15" hidden="false" customHeight="false" outlineLevel="0" collapsed="false">
      <c r="D486" s="0" t="s">
        <v>487</v>
      </c>
      <c r="E486" s="0" t="s">
        <v>47</v>
      </c>
      <c r="G486" s="20" t="n">
        <f aca="false">SUM(J486:AU486)</f>
        <v>203.742206324344</v>
      </c>
      <c r="J486" s="20" t="n">
        <f aca="false">Operations!J483-Operations!J484-Operations!J485</f>
        <v>23.6279201198048</v>
      </c>
      <c r="K486" s="20" t="n">
        <f aca="false">Operations!K483-Operations!K484-Operations!K485</f>
        <v>13.2823131030324</v>
      </c>
      <c r="L486" s="20" t="n">
        <f aca="false">Operations!L483-Operations!L484-Operations!L485</f>
        <v>9.78714213260759</v>
      </c>
      <c r="M486" s="20" t="n">
        <f aca="false">Operations!M483-Operations!M484-Operations!M485</f>
        <v>10.174536040169</v>
      </c>
      <c r="N486" s="20" t="n">
        <f aca="false">Operations!N483-Operations!N484-Operations!N485</f>
        <v>10.1553504398614</v>
      </c>
      <c r="O486" s="20" t="n">
        <f aca="false">Operations!O483-Operations!O484-Operations!O485</f>
        <v>9.92672016859739</v>
      </c>
      <c r="P486" s="20" t="n">
        <f aca="false">Operations!P483-Operations!P484-Operations!P485</f>
        <v>9.36236870188427</v>
      </c>
      <c r="Q486" s="20" t="n">
        <f aca="false">Operations!Q483-Operations!Q484-Operations!Q485</f>
        <v>9.4049557558387</v>
      </c>
      <c r="R486" s="20" t="n">
        <f aca="false">Operations!R483-Operations!R484-Operations!R485</f>
        <v>9.46947062770333</v>
      </c>
      <c r="S486" s="20" t="n">
        <f aca="false">Operations!S483-Operations!S484-Operations!S485</f>
        <v>9.37809570431661</v>
      </c>
      <c r="T486" s="20" t="n">
        <f aca="false">Operations!T483-Operations!T484-Operations!T485</f>
        <v>9.27949499188681</v>
      </c>
      <c r="U486" s="20" t="n">
        <f aca="false">Operations!U483-Operations!U484-Operations!U485</f>
        <v>9.17329093402914</v>
      </c>
      <c r="V486" s="20" t="n">
        <f aca="false">Operations!V483-Operations!V484-Operations!V485</f>
        <v>9.05910352634817</v>
      </c>
      <c r="W486" s="20" t="n">
        <f aca="false">Operations!W483-Operations!W484-Operations!W485</f>
        <v>8.93655020419967</v>
      </c>
      <c r="X486" s="20" t="n">
        <f aca="false">Operations!X483-Operations!X484-Operations!X485</f>
        <v>8.80524572789331</v>
      </c>
      <c r="Y486" s="20" t="n">
        <f aca="false">Operations!Y483-Operations!Y484-Operations!Y485</f>
        <v>8.66838027058824</v>
      </c>
      <c r="Z486" s="20" t="n">
        <f aca="false">Operations!Z483-Operations!Z484-Operations!Z485</f>
        <v>8.52190011926718</v>
      </c>
      <c r="AA486" s="20" t="n">
        <f aca="false">Operations!AA483-Operations!AA484-Operations!AA485</f>
        <v>8.36541175818288</v>
      </c>
      <c r="AB486" s="20" t="n">
        <f aca="false">Operations!AB483-Operations!AB484-Operations!AB485</f>
        <v>8.20197033349893</v>
      </c>
      <c r="AC486" s="20" t="n">
        <f aca="false">Operations!AC483-Operations!AC484-Operations!AC485</f>
        <v>8.02764041333108</v>
      </c>
      <c r="AD486" s="20" t="n">
        <f aca="false">Operations!AD483-Operations!AD484-Operations!AD485</f>
        <v>7.84538740626987</v>
      </c>
      <c r="AE486" s="20" t="n">
        <f aca="false">Operations!AE483-Operations!AE484-Operations!AE485</f>
        <v>7.88438222174975</v>
      </c>
      <c r="AF486" s="20" t="n">
        <f aca="false">Operations!AF483-Operations!AF484-Operations!AF485</f>
        <v>-13.5954243767162</v>
      </c>
      <c r="AG486" s="20" t="n">
        <f aca="false">Operations!AG483-Operations!AG484-Operations!AG485</f>
        <v>0</v>
      </c>
      <c r="AH486" s="20" t="n">
        <f aca="false">Operations!AH483-Operations!AH484-Operations!AH485</f>
        <v>0</v>
      </c>
      <c r="AI486" s="20" t="n">
        <f aca="false">Operations!AI483-Operations!AI484-Operations!AI485</f>
        <v>0</v>
      </c>
      <c r="AJ486" s="20" t="n">
        <f aca="false">Operations!AJ483-Operations!AJ484-Operations!AJ485</f>
        <v>0</v>
      </c>
      <c r="AK486" s="20" t="n">
        <f aca="false">Operations!AK483-Operations!AK484-Operations!AK485</f>
        <v>0</v>
      </c>
      <c r="AL486" s="20" t="n">
        <f aca="false">Operations!AL483-Operations!AL484-Operations!AL485</f>
        <v>0</v>
      </c>
      <c r="AM486" s="20" t="n">
        <f aca="false">Operations!AM483-Operations!AM484-Operations!AM485</f>
        <v>0</v>
      </c>
      <c r="AN486" s="20" t="n">
        <f aca="false">Operations!AN483-Operations!AN484-Operations!AN485</f>
        <v>0</v>
      </c>
      <c r="AO486" s="20" t="n">
        <f aca="false">Operations!AO483-Operations!AO484-Operations!AO485</f>
        <v>0</v>
      </c>
      <c r="AP486" s="20" t="n">
        <f aca="false">Operations!AP483-Operations!AP484-Operations!AP485</f>
        <v>0</v>
      </c>
      <c r="AQ486" s="20" t="n">
        <f aca="false">Operations!AQ483-Operations!AQ484-Operations!AQ485</f>
        <v>0</v>
      </c>
      <c r="AR486" s="20" t="n">
        <f aca="false">Operations!AR483-Operations!AR484-Operations!AR485</f>
        <v>0</v>
      </c>
      <c r="AS486" s="20" t="n">
        <f aca="false">Operations!AS483-Operations!AS484-Operations!AS485</f>
        <v>0</v>
      </c>
      <c r="AT486" s="20" t="n">
        <f aca="false">Operations!AT483-Operations!AT484-Operations!AT485</f>
        <v>0</v>
      </c>
      <c r="AU486" s="20" t="n">
        <f aca="false">Operations!AU483-Operations!AU484-Operations!AU485</f>
        <v>0</v>
      </c>
    </row>
    <row r="487" customFormat="false" ht="15" hidden="false" customHeight="false" outlineLevel="0" collapsed="false">
      <c r="D487" s="0" t="s">
        <v>488</v>
      </c>
      <c r="E487" s="0" t="s">
        <v>458</v>
      </c>
      <c r="J487" s="14" t="n">
        <f aca="false">0</f>
        <v>0</v>
      </c>
      <c r="K487" s="14" t="n">
        <f aca="false">0</f>
        <v>0</v>
      </c>
      <c r="L487" s="14" t="n">
        <f aca="false">0</f>
        <v>0</v>
      </c>
      <c r="M487" s="14" t="n">
        <f aca="false">0</f>
        <v>0</v>
      </c>
      <c r="N487" s="14" t="n">
        <f aca="false">0</f>
        <v>0</v>
      </c>
      <c r="O487" s="14" t="n">
        <f aca="false">0</f>
        <v>0</v>
      </c>
      <c r="P487" s="14" t="n">
        <f aca="false">0</f>
        <v>0</v>
      </c>
      <c r="Q487" s="14" t="n">
        <f aca="false">0</f>
        <v>0</v>
      </c>
      <c r="R487" s="14" t="n">
        <f aca="false">0</f>
        <v>0</v>
      </c>
      <c r="S487" s="14" t="n">
        <f aca="false">0</f>
        <v>0</v>
      </c>
      <c r="T487" s="14" t="n">
        <f aca="false">0</f>
        <v>0</v>
      </c>
      <c r="U487" s="14" t="n">
        <f aca="false">0</f>
        <v>0</v>
      </c>
      <c r="V487" s="14" t="n">
        <f aca="false">0</f>
        <v>0</v>
      </c>
      <c r="W487" s="14" t="n">
        <f aca="false">0</f>
        <v>0</v>
      </c>
      <c r="X487" s="14" t="n">
        <f aca="false">0</f>
        <v>0</v>
      </c>
      <c r="Y487" s="14" t="n">
        <f aca="false">0</f>
        <v>0</v>
      </c>
      <c r="Z487" s="14" t="n">
        <f aca="false">0</f>
        <v>0</v>
      </c>
      <c r="AA487" s="14" t="n">
        <f aca="false">0</f>
        <v>0</v>
      </c>
      <c r="AB487" s="14" t="n">
        <f aca="false">0</f>
        <v>0</v>
      </c>
      <c r="AC487" s="14" t="n">
        <f aca="false">0</f>
        <v>0</v>
      </c>
      <c r="AD487" s="14" t="n">
        <f aca="false">0</f>
        <v>0</v>
      </c>
      <c r="AE487" s="14" t="n">
        <f aca="false">0</f>
        <v>0</v>
      </c>
      <c r="AF487" s="14" t="n">
        <f aca="false">0</f>
        <v>0</v>
      </c>
      <c r="AG487" s="14" t="n">
        <f aca="false">0</f>
        <v>0</v>
      </c>
      <c r="AH487" s="14" t="n">
        <f aca="false">0</f>
        <v>0</v>
      </c>
      <c r="AI487" s="14" t="n">
        <f aca="false">0</f>
        <v>0</v>
      </c>
      <c r="AJ487" s="14" t="n">
        <f aca="false">0</f>
        <v>0</v>
      </c>
      <c r="AK487" s="14" t="n">
        <f aca="false">0</f>
        <v>0</v>
      </c>
      <c r="AL487" s="14" t="n">
        <f aca="false">0</f>
        <v>0</v>
      </c>
      <c r="AM487" s="14" t="n">
        <f aca="false">0</f>
        <v>0</v>
      </c>
      <c r="AN487" s="14" t="n">
        <f aca="false">0</f>
        <v>0</v>
      </c>
      <c r="AO487" s="14" t="n">
        <f aca="false">0</f>
        <v>0</v>
      </c>
      <c r="AP487" s="14" t="n">
        <f aca="false">0</f>
        <v>0</v>
      </c>
      <c r="AQ487" s="14" t="n">
        <f aca="false">0</f>
        <v>0</v>
      </c>
      <c r="AR487" s="14" t="n">
        <f aca="false">0</f>
        <v>0</v>
      </c>
      <c r="AS487" s="14" t="n">
        <f aca="false">0</f>
        <v>0</v>
      </c>
      <c r="AT487" s="14" t="n">
        <f aca="false">0</f>
        <v>0</v>
      </c>
      <c r="AU487" s="14" t="n">
        <f aca="false">0</f>
        <v>0</v>
      </c>
    </row>
    <row r="488" customFormat="false" ht="15" hidden="false" customHeight="false" outlineLevel="0" collapsed="false">
      <c r="D488" s="0" t="s">
        <v>489</v>
      </c>
      <c r="E488" s="0" t="s">
        <v>458</v>
      </c>
      <c r="J488" s="14" t="n">
        <f aca="false">1</f>
        <v>1</v>
      </c>
      <c r="K488" s="14" t="n">
        <f aca="false">1</f>
        <v>1</v>
      </c>
      <c r="L488" s="14" t="n">
        <f aca="false">1</f>
        <v>1</v>
      </c>
      <c r="M488" s="14" t="n">
        <f aca="false">1</f>
        <v>1</v>
      </c>
      <c r="N488" s="14" t="n">
        <f aca="false">1</f>
        <v>1</v>
      </c>
      <c r="O488" s="14" t="n">
        <f aca="false">1</f>
        <v>1</v>
      </c>
      <c r="P488" s="14" t="n">
        <f aca="false">1</f>
        <v>1</v>
      </c>
      <c r="Q488" s="14" t="n">
        <f aca="false">1</f>
        <v>1</v>
      </c>
      <c r="R488" s="14" t="n">
        <f aca="false">1</f>
        <v>1</v>
      </c>
      <c r="S488" s="14" t="n">
        <f aca="false">1</f>
        <v>1</v>
      </c>
      <c r="T488" s="14" t="n">
        <f aca="false">1</f>
        <v>1</v>
      </c>
      <c r="U488" s="14" t="n">
        <f aca="false">1</f>
        <v>1</v>
      </c>
      <c r="V488" s="14" t="n">
        <f aca="false">1</f>
        <v>1</v>
      </c>
      <c r="W488" s="14" t="n">
        <f aca="false">1</f>
        <v>1</v>
      </c>
      <c r="X488" s="14" t="n">
        <f aca="false">1</f>
        <v>1</v>
      </c>
      <c r="Y488" s="14" t="n">
        <f aca="false">1</f>
        <v>1</v>
      </c>
      <c r="Z488" s="14" t="n">
        <f aca="false">1</f>
        <v>1</v>
      </c>
      <c r="AA488" s="14" t="n">
        <f aca="false">1</f>
        <v>1</v>
      </c>
      <c r="AB488" s="14" t="n">
        <f aca="false">1</f>
        <v>1</v>
      </c>
      <c r="AC488" s="14" t="n">
        <f aca="false">1</f>
        <v>1</v>
      </c>
      <c r="AD488" s="14" t="n">
        <f aca="false">1</f>
        <v>1</v>
      </c>
      <c r="AE488" s="14" t="n">
        <f aca="false">1</f>
        <v>1</v>
      </c>
      <c r="AF488" s="14" t="n">
        <f aca="false">1</f>
        <v>1</v>
      </c>
      <c r="AG488" s="14" t="n">
        <f aca="false">1</f>
        <v>1</v>
      </c>
      <c r="AH488" s="14" t="n">
        <f aca="false">1</f>
        <v>1</v>
      </c>
      <c r="AI488" s="14" t="n">
        <f aca="false">1</f>
        <v>1</v>
      </c>
      <c r="AJ488" s="14" t="n">
        <f aca="false">1</f>
        <v>1</v>
      </c>
      <c r="AK488" s="14" t="n">
        <f aca="false">1</f>
        <v>1</v>
      </c>
      <c r="AL488" s="14" t="n">
        <f aca="false">1</f>
        <v>1</v>
      </c>
      <c r="AM488" s="14" t="n">
        <f aca="false">1</f>
        <v>1</v>
      </c>
      <c r="AN488" s="14" t="n">
        <f aca="false">1</f>
        <v>1</v>
      </c>
      <c r="AO488" s="14" t="n">
        <f aca="false">1</f>
        <v>1</v>
      </c>
      <c r="AP488" s="14" t="n">
        <f aca="false">1</f>
        <v>1</v>
      </c>
      <c r="AQ488" s="14" t="n">
        <f aca="false">1</f>
        <v>1</v>
      </c>
      <c r="AR488" s="14" t="n">
        <f aca="false">1</f>
        <v>1</v>
      </c>
      <c r="AS488" s="14" t="n">
        <f aca="false">1</f>
        <v>1</v>
      </c>
      <c r="AT488" s="14" t="n">
        <f aca="false">1</f>
        <v>1</v>
      </c>
      <c r="AU488" s="14" t="n">
        <f aca="false">1</f>
        <v>1</v>
      </c>
    </row>
    <row r="489" customFormat="false" ht="15" hidden="false" customHeight="false" outlineLevel="0" collapsed="false">
      <c r="D489" s="0" t="s">
        <v>490</v>
      </c>
      <c r="E489" s="0" t="s">
        <v>47</v>
      </c>
      <c r="G489" s="20" t="n">
        <f aca="false">SUM(J489:AU489)</f>
        <v>198.498750078579</v>
      </c>
      <c r="J489" s="20" t="n">
        <f aca="false">Operations!J486*(1-Operations!J487)*Operations!J460</f>
        <v>18.3844638740399</v>
      </c>
      <c r="K489" s="20" t="n">
        <f aca="false">Operations!K486*(1-Operations!K487)*Operations!K460</f>
        <v>13.2823131030324</v>
      </c>
      <c r="L489" s="20" t="n">
        <f aca="false">Operations!L486*(1-Operations!L487)*Operations!L460</f>
        <v>9.78714213260759</v>
      </c>
      <c r="M489" s="20" t="n">
        <f aca="false">Operations!M486*(1-Operations!M487)*Operations!M460</f>
        <v>10.174536040169</v>
      </c>
      <c r="N489" s="20" t="n">
        <f aca="false">Operations!N486*(1-Operations!N487)*Operations!N460</f>
        <v>10.1553504398614</v>
      </c>
      <c r="O489" s="20" t="n">
        <f aca="false">Operations!O486*(1-Operations!O487)*Operations!O460</f>
        <v>9.92672016859739</v>
      </c>
      <c r="P489" s="20" t="n">
        <f aca="false">Operations!P486*(1-Operations!P487)*Operations!P460</f>
        <v>9.36236870188427</v>
      </c>
      <c r="Q489" s="20" t="n">
        <f aca="false">Operations!Q486*(1-Operations!Q487)*Operations!Q460</f>
        <v>9.4049557558387</v>
      </c>
      <c r="R489" s="20" t="n">
        <f aca="false">Operations!R486*(1-Operations!R487)*Operations!R460</f>
        <v>9.46947062770333</v>
      </c>
      <c r="S489" s="20" t="n">
        <f aca="false">Operations!S486*(1-Operations!S487)*Operations!S460</f>
        <v>9.37809570431661</v>
      </c>
      <c r="T489" s="20" t="n">
        <f aca="false">Operations!T486*(1-Operations!T487)*Operations!T460</f>
        <v>9.27949499188681</v>
      </c>
      <c r="U489" s="20" t="n">
        <f aca="false">Operations!U486*(1-Operations!U487)*Operations!U460</f>
        <v>9.17329093402914</v>
      </c>
      <c r="V489" s="20" t="n">
        <f aca="false">Operations!V486*(1-Operations!V487)*Operations!V460</f>
        <v>9.05910352634817</v>
      </c>
      <c r="W489" s="20" t="n">
        <f aca="false">Operations!W486*(1-Operations!W487)*Operations!W460</f>
        <v>8.93655020419967</v>
      </c>
      <c r="X489" s="20" t="n">
        <f aca="false">Operations!X486*(1-Operations!X487)*Operations!X460</f>
        <v>8.80524572789331</v>
      </c>
      <c r="Y489" s="20" t="n">
        <f aca="false">Operations!Y486*(1-Operations!Y487)*Operations!Y460</f>
        <v>8.66838027058824</v>
      </c>
      <c r="Z489" s="20" t="n">
        <f aca="false">Operations!Z486*(1-Operations!Z487)*Operations!Z460</f>
        <v>8.52190011926718</v>
      </c>
      <c r="AA489" s="20" t="n">
        <f aca="false">Operations!AA486*(1-Operations!AA487)*Operations!AA460</f>
        <v>8.36541175818288</v>
      </c>
      <c r="AB489" s="20" t="n">
        <f aca="false">Operations!AB486*(1-Operations!AB487)*Operations!AB460</f>
        <v>8.20197033349893</v>
      </c>
      <c r="AC489" s="20" t="n">
        <f aca="false">Operations!AC486*(1-Operations!AC487)*Operations!AC460</f>
        <v>8.02764041333108</v>
      </c>
      <c r="AD489" s="20" t="n">
        <f aca="false">Operations!AD486*(1-Operations!AD487)*Operations!AD460</f>
        <v>7.84538740626987</v>
      </c>
      <c r="AE489" s="20" t="n">
        <f aca="false">Operations!AE486*(1-Operations!AE487)*Operations!AE460</f>
        <v>7.88438222174975</v>
      </c>
      <c r="AF489" s="20" t="n">
        <f aca="false">Operations!AF486*(1-Operations!AF487)*Operations!AF460</f>
        <v>-13.5954243767162</v>
      </c>
      <c r="AG489" s="20" t="n">
        <f aca="false">Operations!AG486*(1-Operations!AG487)*Operations!AG460</f>
        <v>0</v>
      </c>
      <c r="AH489" s="20" t="n">
        <f aca="false">Operations!AH486*(1-Operations!AH487)*Operations!AH460</f>
        <v>0</v>
      </c>
      <c r="AI489" s="20" t="n">
        <f aca="false">Operations!AI486*(1-Operations!AI487)*Operations!AI460</f>
        <v>0</v>
      </c>
      <c r="AJ489" s="20" t="n">
        <f aca="false">Operations!AJ486*(1-Operations!AJ487)*Operations!AJ460</f>
        <v>0</v>
      </c>
      <c r="AK489" s="20" t="n">
        <f aca="false">Operations!AK486*(1-Operations!AK487)*Operations!AK460</f>
        <v>0</v>
      </c>
      <c r="AL489" s="20" t="n">
        <f aca="false">Operations!AL486*(1-Operations!AL487)*Operations!AL460</f>
        <v>0</v>
      </c>
      <c r="AM489" s="20" t="n">
        <f aca="false">Operations!AM486*(1-Operations!AM487)*Operations!AM460</f>
        <v>0</v>
      </c>
      <c r="AN489" s="20" t="n">
        <f aca="false">Operations!AN486*(1-Operations!AN487)*Operations!AN460</f>
        <v>0</v>
      </c>
      <c r="AO489" s="20" t="n">
        <f aca="false">Operations!AO486*(1-Operations!AO487)*Operations!AO460</f>
        <v>0</v>
      </c>
      <c r="AP489" s="20" t="n">
        <f aca="false">Operations!AP486*(1-Operations!AP487)*Operations!AP460</f>
        <v>0</v>
      </c>
      <c r="AQ489" s="20" t="n">
        <f aca="false">Operations!AQ486*(1-Operations!AQ487)*Operations!AQ460</f>
        <v>0</v>
      </c>
      <c r="AR489" s="20" t="n">
        <f aca="false">Operations!AR486*(1-Operations!AR487)*Operations!AR460</f>
        <v>0</v>
      </c>
      <c r="AS489" s="20" t="n">
        <f aca="false">Operations!AS486*(1-Operations!AS487)*Operations!AS460</f>
        <v>0</v>
      </c>
      <c r="AT489" s="20" t="n">
        <f aca="false">Operations!AT486*(1-Operations!AT487)*Operations!AT460</f>
        <v>0</v>
      </c>
      <c r="AU489" s="20" t="n">
        <f aca="false">Operations!AU486*(1-Operations!AU487)*Operations!AU460</f>
        <v>0</v>
      </c>
    </row>
    <row r="490" customFormat="false" ht="15" hidden="false" customHeight="false" outlineLevel="0" collapsed="false">
      <c r="D490" s="0" t="s">
        <v>491</v>
      </c>
      <c r="E490" s="0" t="s">
        <v>47</v>
      </c>
      <c r="J490" s="20" t="n">
        <f aca="false">Operations!J486*Operations!J488*Operations!J460</f>
        <v>18.3844638740399</v>
      </c>
      <c r="K490" s="20" t="n">
        <f aca="false">Operations!K486*Operations!K488*Operations!K460</f>
        <v>13.2823131030324</v>
      </c>
      <c r="L490" s="20" t="n">
        <f aca="false">Operations!L486*Operations!L488*Operations!L460</f>
        <v>9.78714213260759</v>
      </c>
      <c r="M490" s="20" t="n">
        <f aca="false">Operations!M486*Operations!M488*Operations!M460</f>
        <v>10.174536040169</v>
      </c>
      <c r="N490" s="20" t="n">
        <f aca="false">Operations!N486*Operations!N488*Operations!N460</f>
        <v>10.1553504398614</v>
      </c>
      <c r="O490" s="20" t="n">
        <f aca="false">Operations!O486*Operations!O488*Operations!O460</f>
        <v>9.92672016859739</v>
      </c>
      <c r="P490" s="20" t="n">
        <f aca="false">Operations!P486*Operations!P488*Operations!P460</f>
        <v>9.36236870188427</v>
      </c>
      <c r="Q490" s="20" t="n">
        <f aca="false">Operations!Q486*Operations!Q488*Operations!Q460</f>
        <v>9.4049557558387</v>
      </c>
      <c r="R490" s="20" t="n">
        <f aca="false">Operations!R486*Operations!R488*Operations!R460</f>
        <v>9.46947062770333</v>
      </c>
      <c r="S490" s="20" t="n">
        <f aca="false">Operations!S486*Operations!S488*Operations!S460</f>
        <v>9.37809570431661</v>
      </c>
      <c r="T490" s="20" t="n">
        <f aca="false">Operations!T486*Operations!T488*Operations!T460</f>
        <v>9.27949499188681</v>
      </c>
      <c r="U490" s="20" t="n">
        <f aca="false">Operations!U486*Operations!U488*Operations!U460</f>
        <v>9.17329093402914</v>
      </c>
      <c r="V490" s="20" t="n">
        <f aca="false">Operations!V486*Operations!V488*Operations!V460</f>
        <v>9.05910352634817</v>
      </c>
      <c r="W490" s="20" t="n">
        <f aca="false">Operations!W486*Operations!W488*Operations!W460</f>
        <v>8.93655020419967</v>
      </c>
      <c r="X490" s="20" t="n">
        <f aca="false">Operations!X486*Operations!X488*Operations!X460</f>
        <v>8.80524572789331</v>
      </c>
      <c r="Y490" s="20" t="n">
        <f aca="false">Operations!Y486*Operations!Y488*Operations!Y460</f>
        <v>8.66838027058824</v>
      </c>
      <c r="Z490" s="20" t="n">
        <f aca="false">Operations!Z486*Operations!Z488*Operations!Z460</f>
        <v>8.52190011926718</v>
      </c>
      <c r="AA490" s="20" t="n">
        <f aca="false">Operations!AA486*Operations!AA488*Operations!AA460</f>
        <v>8.36541175818288</v>
      </c>
      <c r="AB490" s="20" t="n">
        <f aca="false">Operations!AB486*Operations!AB488*Operations!AB460</f>
        <v>8.20197033349893</v>
      </c>
      <c r="AC490" s="20" t="n">
        <f aca="false">Operations!AC486*Operations!AC488*Operations!AC460</f>
        <v>8.02764041333108</v>
      </c>
      <c r="AD490" s="20" t="n">
        <f aca="false">Operations!AD486*Operations!AD488*Operations!AD460</f>
        <v>7.84538740626987</v>
      </c>
      <c r="AE490" s="20" t="n">
        <f aca="false">Operations!AE486*Operations!AE488*Operations!AE460</f>
        <v>7.88438222174975</v>
      </c>
      <c r="AF490" s="20" t="n">
        <f aca="false">Operations!AF486*Operations!AF488*Operations!AF460</f>
        <v>-13.5954243767162</v>
      </c>
      <c r="AG490" s="20" t="n">
        <f aca="false">Operations!AG486*Operations!AG488*Operations!AG460</f>
        <v>0</v>
      </c>
      <c r="AH490" s="20" t="n">
        <f aca="false">Operations!AH486*Operations!AH488*Operations!AH460</f>
        <v>0</v>
      </c>
      <c r="AI490" s="20" t="n">
        <f aca="false">Operations!AI486*Operations!AI488*Operations!AI460</f>
        <v>0</v>
      </c>
      <c r="AJ490" s="20" t="n">
        <f aca="false">Operations!AJ486*Operations!AJ488*Operations!AJ460</f>
        <v>0</v>
      </c>
      <c r="AK490" s="20" t="n">
        <f aca="false">Operations!AK486*Operations!AK488*Operations!AK460</f>
        <v>0</v>
      </c>
      <c r="AL490" s="20" t="n">
        <f aca="false">Operations!AL486*Operations!AL488*Operations!AL460</f>
        <v>0</v>
      </c>
      <c r="AM490" s="20" t="n">
        <f aca="false">Operations!AM486*Operations!AM488*Operations!AM460</f>
        <v>0</v>
      </c>
      <c r="AN490" s="20" t="n">
        <f aca="false">Operations!AN486*Operations!AN488*Operations!AN460</f>
        <v>0</v>
      </c>
      <c r="AO490" s="20" t="n">
        <f aca="false">Operations!AO486*Operations!AO488*Operations!AO460</f>
        <v>0</v>
      </c>
      <c r="AP490" s="20" t="n">
        <f aca="false">Operations!AP486*Operations!AP488*Operations!AP460</f>
        <v>0</v>
      </c>
      <c r="AQ490" s="20" t="n">
        <f aca="false">Operations!AQ486*Operations!AQ488*Operations!AQ460</f>
        <v>0</v>
      </c>
      <c r="AR490" s="20" t="n">
        <f aca="false">Operations!AR486*Operations!AR488*Operations!AR460</f>
        <v>0</v>
      </c>
      <c r="AS490" s="20" t="n">
        <f aca="false">Operations!AS486*Operations!AS488*Operations!AS460</f>
        <v>0</v>
      </c>
      <c r="AT490" s="20" t="n">
        <f aca="false">Operations!AT486*Operations!AT488*Operations!AT460</f>
        <v>0</v>
      </c>
      <c r="AU490" s="20" t="n">
        <f aca="false">Operations!AU486*Operations!AU488*Operations!AU460</f>
        <v>0</v>
      </c>
    </row>
    <row r="491" customFormat="false" ht="15" hidden="false" customHeight="false" outlineLevel="0" collapsed="false">
      <c r="D491" s="0" t="s">
        <v>492</v>
      </c>
      <c r="E491" s="0" t="s">
        <v>47</v>
      </c>
      <c r="J491" s="20" t="n">
        <f aca="false">Operations!J489-Inputs!$F$248/100*Operations!J490</f>
        <v>14.5237264604915</v>
      </c>
      <c r="K491" s="20" t="n">
        <f aca="false">Operations!K489-Inputs!$F$248/100*Operations!K490</f>
        <v>10.4930273513956</v>
      </c>
      <c r="L491" s="20" t="n">
        <f aca="false">Operations!L489-Inputs!$F$248/100*Operations!L490</f>
        <v>7.73184228475999</v>
      </c>
      <c r="M491" s="20" t="n">
        <f aca="false">Operations!M489-Inputs!$F$248/100*Operations!M490</f>
        <v>8.03788347173353</v>
      </c>
      <c r="N491" s="20" t="n">
        <f aca="false">Operations!N489-Inputs!$F$248/100*Operations!N490</f>
        <v>8.02272684749052</v>
      </c>
      <c r="O491" s="20" t="n">
        <f aca="false">Operations!O489-Inputs!$F$248/100*Operations!O490</f>
        <v>7.84210893319194</v>
      </c>
      <c r="P491" s="20" t="n">
        <f aca="false">Operations!P489-Inputs!$F$248/100*Operations!P490</f>
        <v>7.39627127448857</v>
      </c>
      <c r="Q491" s="20" t="n">
        <f aca="false">Operations!Q489-Inputs!$F$248/100*Operations!Q490</f>
        <v>7.42991504711257</v>
      </c>
      <c r="R491" s="20" t="n">
        <f aca="false">Operations!R489-Inputs!$F$248/100*Operations!R490</f>
        <v>7.48088179588563</v>
      </c>
      <c r="S491" s="20" t="n">
        <f aca="false">Operations!S489-Inputs!$F$248/100*Operations!S490</f>
        <v>7.40869560641012</v>
      </c>
      <c r="T491" s="20" t="n">
        <f aca="false">Operations!T489-Inputs!$F$248/100*Operations!T490</f>
        <v>7.33080104359058</v>
      </c>
      <c r="U491" s="20" t="n">
        <f aca="false">Operations!U489-Inputs!$F$248/100*Operations!U490</f>
        <v>7.24689983788302</v>
      </c>
      <c r="V491" s="20" t="n">
        <f aca="false">Operations!V489-Inputs!$F$248/100*Operations!V490</f>
        <v>7.15669178581506</v>
      </c>
      <c r="W491" s="20" t="n">
        <f aca="false">Operations!W489-Inputs!$F$248/100*Operations!W490</f>
        <v>7.05987466131774</v>
      </c>
      <c r="X491" s="20" t="n">
        <f aca="false">Operations!X489-Inputs!$F$248/100*Operations!X490</f>
        <v>6.95614412503571</v>
      </c>
      <c r="Y491" s="20" t="n">
        <f aca="false">Operations!Y489-Inputs!$F$248/100*Operations!Y490</f>
        <v>6.84802041376471</v>
      </c>
      <c r="Z491" s="20" t="n">
        <f aca="false">Operations!Z489-Inputs!$F$248/100*Operations!Z490</f>
        <v>6.73230109422107</v>
      </c>
      <c r="AA491" s="20" t="n">
        <f aca="false">Operations!AA489-Inputs!$F$248/100*Operations!AA490</f>
        <v>6.60867528896447</v>
      </c>
      <c r="AB491" s="20" t="n">
        <f aca="false">Operations!AB489-Inputs!$F$248/100*Operations!AB490</f>
        <v>6.47955656346415</v>
      </c>
      <c r="AC491" s="20" t="n">
        <f aca="false">Operations!AC489-Inputs!$F$248/100*Operations!AC490</f>
        <v>6.34183592653155</v>
      </c>
      <c r="AD491" s="20" t="n">
        <f aca="false">Operations!AD489-Inputs!$F$248/100*Operations!AD490</f>
        <v>6.1978560509532</v>
      </c>
      <c r="AE491" s="20" t="n">
        <f aca="false">Operations!AE489-Inputs!$F$248/100*Operations!AE490</f>
        <v>6.2286619551823</v>
      </c>
      <c r="AF491" s="20" t="n">
        <f aca="false">Operations!AF489-Inputs!$F$248/100*Operations!AF490</f>
        <v>-10.7403852576058</v>
      </c>
      <c r="AG491" s="20" t="n">
        <f aca="false">Operations!AG489-Inputs!$F$248/100*Operations!AG490</f>
        <v>0</v>
      </c>
      <c r="AH491" s="20" t="n">
        <f aca="false">Operations!AH489-Inputs!$F$248/100*Operations!AH490</f>
        <v>0</v>
      </c>
      <c r="AI491" s="20" t="n">
        <f aca="false">Operations!AI489-Inputs!$F$248/100*Operations!AI490</f>
        <v>0</v>
      </c>
      <c r="AJ491" s="20" t="n">
        <f aca="false">Operations!AJ489-Inputs!$F$248/100*Operations!AJ490</f>
        <v>0</v>
      </c>
      <c r="AK491" s="20" t="n">
        <f aca="false">Operations!AK489-Inputs!$F$248/100*Operations!AK490</f>
        <v>0</v>
      </c>
      <c r="AL491" s="20" t="n">
        <f aca="false">Operations!AL489-Inputs!$F$248/100*Operations!AL490</f>
        <v>0</v>
      </c>
      <c r="AM491" s="20" t="n">
        <f aca="false">Operations!AM489-Inputs!$F$248/100*Operations!AM490</f>
        <v>0</v>
      </c>
      <c r="AN491" s="20" t="n">
        <f aca="false">Operations!AN489-Inputs!$F$248/100*Operations!AN490</f>
        <v>0</v>
      </c>
      <c r="AO491" s="20" t="n">
        <f aca="false">Operations!AO489-Inputs!$F$248/100*Operations!AO490</f>
        <v>0</v>
      </c>
      <c r="AP491" s="20" t="n">
        <f aca="false">Operations!AP489-Inputs!$F$248/100*Operations!AP490</f>
        <v>0</v>
      </c>
      <c r="AQ491" s="20" t="n">
        <f aca="false">Operations!AQ489-Inputs!$F$248/100*Operations!AQ490</f>
        <v>0</v>
      </c>
      <c r="AR491" s="20" t="n">
        <f aca="false">Operations!AR489-Inputs!$F$248/100*Operations!AR490</f>
        <v>0</v>
      </c>
      <c r="AS491" s="20" t="n">
        <f aca="false">Operations!AS489-Inputs!$F$248/100*Operations!AS490</f>
        <v>0</v>
      </c>
      <c r="AT491" s="20" t="n">
        <f aca="false">Operations!AT489-Inputs!$F$248/100*Operations!AT490</f>
        <v>0</v>
      </c>
      <c r="AU491" s="20" t="n">
        <f aca="false">Operations!AU489-Inputs!$F$248/100*Operations!AU490</f>
        <v>0</v>
      </c>
    </row>
    <row r="492" customFormat="false" ht="15" hidden="false" customHeight="false" outlineLevel="0" collapsed="false">
      <c r="D492" s="0" t="s">
        <v>493</v>
      </c>
      <c r="E492" s="0" t="s">
        <v>458</v>
      </c>
      <c r="J492" s="14" t="n">
        <f aca="false">IF(Operations!J477=0,0,Operations!J474/Operations!J477)</f>
        <v>0</v>
      </c>
      <c r="K492" s="14" t="n">
        <f aca="false">IF(Operations!K477=0,0,Operations!K474/Operations!K477)</f>
        <v>0</v>
      </c>
      <c r="L492" s="14" t="n">
        <f aca="false">IF(Operations!L477=0,0,Operations!L474/Operations!L477)</f>
        <v>0</v>
      </c>
      <c r="M492" s="14" t="n">
        <f aca="false">IF(Operations!M477=0,0,Operations!M474/Operations!M477)</f>
        <v>0</v>
      </c>
      <c r="N492" s="14" t="n">
        <f aca="false">IF(Operations!N477=0,0,Operations!N474/Operations!N477)</f>
        <v>0</v>
      </c>
      <c r="O492" s="14" t="n">
        <f aca="false">IF(Operations!O477=0,0,Operations!O474/Operations!O477)</f>
        <v>0</v>
      </c>
      <c r="P492" s="14" t="n">
        <f aca="false">IF(Operations!P477=0,0,Operations!P474/Operations!P477)</f>
        <v>0</v>
      </c>
      <c r="Q492" s="14" t="n">
        <f aca="false">IF(Operations!Q477=0,0,Operations!Q474/Operations!Q477)</f>
        <v>0</v>
      </c>
      <c r="R492" s="14" t="n">
        <f aca="false">IF(Operations!R477=0,0,Operations!R474/Operations!R477)</f>
        <v>0</v>
      </c>
      <c r="S492" s="14" t="n">
        <f aca="false">IF(Operations!S477=0,0,Operations!S474/Operations!S477)</f>
        <v>0</v>
      </c>
      <c r="T492" s="14" t="n">
        <f aca="false">IF(Operations!T477=0,0,Operations!T474/Operations!T477)</f>
        <v>0</v>
      </c>
      <c r="U492" s="14" t="n">
        <f aca="false">IF(Operations!U477=0,0,Operations!U474/Operations!U477)</f>
        <v>0</v>
      </c>
      <c r="V492" s="14" t="n">
        <f aca="false">IF(Operations!V477=0,0,Operations!V474/Operations!V477)</f>
        <v>0</v>
      </c>
      <c r="W492" s="14" t="n">
        <f aca="false">IF(Operations!W477=0,0,Operations!W474/Operations!W477)</f>
        <v>0</v>
      </c>
      <c r="X492" s="14" t="n">
        <f aca="false">IF(Operations!X477=0,0,Operations!X474/Operations!X477)</f>
        <v>0</v>
      </c>
      <c r="Y492" s="14" t="n">
        <f aca="false">IF(Operations!Y477=0,0,Operations!Y474/Operations!Y477)</f>
        <v>0</v>
      </c>
      <c r="Z492" s="14" t="n">
        <f aca="false">IF(Operations!Z477=0,0,Operations!Z474/Operations!Z477)</f>
        <v>0</v>
      </c>
      <c r="AA492" s="14" t="n">
        <f aca="false">IF(Operations!AA477=0,0,Operations!AA474/Operations!AA477)</f>
        <v>0</v>
      </c>
      <c r="AB492" s="14" t="n">
        <f aca="false">IF(Operations!AB477=0,0,Operations!AB474/Operations!AB477)</f>
        <v>0</v>
      </c>
      <c r="AC492" s="14" t="n">
        <f aca="false">IF(Operations!AC477=0,0,Operations!AC474/Operations!AC477)</f>
        <v>0</v>
      </c>
      <c r="AD492" s="14" t="n">
        <f aca="false">IF(Operations!AD477=0,0,Operations!AD474/Operations!AD477)</f>
        <v>0</v>
      </c>
      <c r="AE492" s="14" t="n">
        <f aca="false">IF(Operations!AE477=0,0,Operations!AE474/Operations!AE477)</f>
        <v>0</v>
      </c>
      <c r="AF492" s="14" t="n">
        <f aca="false">IF(Operations!AF477=0,0,Operations!AF474/Operations!AF477)</f>
        <v>0</v>
      </c>
      <c r="AG492" s="14" t="n">
        <f aca="false">IF(Operations!AG477=0,0,Operations!AG474/Operations!AG477)</f>
        <v>0</v>
      </c>
      <c r="AH492" s="14" t="n">
        <f aca="false">IF(Operations!AH477=0,0,Operations!AH474/Operations!AH477)</f>
        <v>0</v>
      </c>
      <c r="AI492" s="14" t="n">
        <f aca="false">IF(Operations!AI477=0,0,Operations!AI474/Operations!AI477)</f>
        <v>0</v>
      </c>
      <c r="AJ492" s="14" t="n">
        <f aca="false">IF(Operations!AJ477=0,0,Operations!AJ474/Operations!AJ477)</f>
        <v>0</v>
      </c>
      <c r="AK492" s="14" t="n">
        <f aca="false">IF(Operations!AK477=0,0,Operations!AK474/Operations!AK477)</f>
        <v>0</v>
      </c>
      <c r="AL492" s="14" t="n">
        <f aca="false">IF(Operations!AL477=0,0,Operations!AL474/Operations!AL477)</f>
        <v>0</v>
      </c>
      <c r="AM492" s="14" t="n">
        <f aca="false">IF(Operations!AM477=0,0,Operations!AM474/Operations!AM477)</f>
        <v>0</v>
      </c>
      <c r="AN492" s="14" t="n">
        <f aca="false">IF(Operations!AN477=0,0,Operations!AN474/Operations!AN477)</f>
        <v>0</v>
      </c>
      <c r="AO492" s="14" t="n">
        <f aca="false">IF(Operations!AO477=0,0,Operations!AO474/Operations!AO477)</f>
        <v>0</v>
      </c>
      <c r="AP492" s="14" t="n">
        <f aca="false">IF(Operations!AP477=0,0,Operations!AP474/Operations!AP477)</f>
        <v>0</v>
      </c>
      <c r="AQ492" s="14" t="n">
        <f aca="false">IF(Operations!AQ477=0,0,Operations!AQ474/Operations!AQ477)</f>
        <v>0</v>
      </c>
      <c r="AR492" s="14" t="n">
        <f aca="false">IF(Operations!AR477=0,0,Operations!AR474/Operations!AR477)</f>
        <v>0</v>
      </c>
      <c r="AS492" s="14" t="n">
        <f aca="false">IF(Operations!AS477=0,0,Operations!AS474/Operations!AS477)</f>
        <v>0</v>
      </c>
      <c r="AT492" s="14" t="n">
        <f aca="false">IF(Operations!AT477=0,0,Operations!AT474/Operations!AT477)</f>
        <v>0</v>
      </c>
      <c r="AU492" s="14" t="n">
        <f aca="false">IF(Operations!AU477=0,0,Operations!AU474/Operations!AU477)</f>
        <v>0</v>
      </c>
    </row>
    <row r="493" customFormat="false" ht="15" hidden="false" customHeight="false" outlineLevel="0" collapsed="false">
      <c r="D493" s="0" t="s">
        <v>494</v>
      </c>
      <c r="E493" s="0" t="s">
        <v>458</v>
      </c>
      <c r="J493" s="14" t="n">
        <f aca="false">IF(Operations!J477=0,0,Operations!J475/Operations!J477)</f>
        <v>0</v>
      </c>
      <c r="K493" s="14" t="n">
        <f aca="false">IF(Operations!K477=0,0,Operations!K475/Operations!K477)</f>
        <v>0.726526177927833</v>
      </c>
      <c r="L493" s="14" t="n">
        <f aca="false">IF(Operations!L477=0,0,Operations!L475/Operations!L477)</f>
        <v>0.854324550898275</v>
      </c>
      <c r="M493" s="14" t="n">
        <f aca="false">IF(Operations!M477=0,0,Operations!M475/Operations!M477)</f>
        <v>0.825146050208086</v>
      </c>
      <c r="N493" s="14" t="n">
        <f aca="false">IF(Operations!N477=0,0,Operations!N475/Operations!N477)</f>
        <v>0.816154853713792</v>
      </c>
      <c r="O493" s="14" t="n">
        <f aca="false">IF(Operations!O477=0,0,Operations!O475/Operations!O477)</f>
        <v>0.815662780282169</v>
      </c>
      <c r="P493" s="14" t="n">
        <f aca="false">IF(Operations!P477=0,0,Operations!P475/Operations!P477)</f>
        <v>0</v>
      </c>
      <c r="Q493" s="14" t="n">
        <f aca="false">IF(Operations!Q477=0,0,Operations!Q475/Operations!Q477)</f>
        <v>0</v>
      </c>
      <c r="R493" s="14" t="n">
        <f aca="false">IF(Operations!R477=0,0,Operations!R475/Operations!R477)</f>
        <v>0</v>
      </c>
      <c r="S493" s="14" t="n">
        <f aca="false">IF(Operations!S477=0,0,Operations!S475/Operations!S477)</f>
        <v>0</v>
      </c>
      <c r="T493" s="14" t="n">
        <f aca="false">IF(Operations!T477=0,0,Operations!T475/Operations!T477)</f>
        <v>0</v>
      </c>
      <c r="U493" s="14" t="n">
        <f aca="false">IF(Operations!U477=0,0,Operations!U475/Operations!U477)</f>
        <v>0</v>
      </c>
      <c r="V493" s="14" t="n">
        <f aca="false">IF(Operations!V477=0,0,Operations!V475/Operations!V477)</f>
        <v>0</v>
      </c>
      <c r="W493" s="14" t="n">
        <f aca="false">IF(Operations!W477=0,0,Operations!W475/Operations!W477)</f>
        <v>0</v>
      </c>
      <c r="X493" s="14" t="n">
        <f aca="false">IF(Operations!X477=0,0,Operations!X475/Operations!X477)</f>
        <v>0</v>
      </c>
      <c r="Y493" s="14" t="n">
        <f aca="false">IF(Operations!Y477=0,0,Operations!Y475/Operations!Y477)</f>
        <v>0</v>
      </c>
      <c r="Z493" s="14" t="n">
        <f aca="false">IF(Operations!Z477=0,0,Operations!Z475/Operations!Z477)</f>
        <v>0</v>
      </c>
      <c r="AA493" s="14" t="n">
        <f aca="false">IF(Operations!AA477=0,0,Operations!AA475/Operations!AA477)</f>
        <v>0</v>
      </c>
      <c r="AB493" s="14" t="n">
        <f aca="false">IF(Operations!AB477=0,0,Operations!AB475/Operations!AB477)</f>
        <v>0</v>
      </c>
      <c r="AC493" s="14" t="n">
        <f aca="false">IF(Operations!AC477=0,0,Operations!AC475/Operations!AC477)</f>
        <v>0</v>
      </c>
      <c r="AD493" s="14" t="n">
        <f aca="false">IF(Operations!AD477=0,0,Operations!AD475/Operations!AD477)</f>
        <v>0</v>
      </c>
      <c r="AE493" s="14" t="n">
        <f aca="false">IF(Operations!AE477=0,0,Operations!AE475/Operations!AE477)</f>
        <v>0</v>
      </c>
      <c r="AF493" s="14" t="n">
        <f aca="false">IF(Operations!AF477=0,0,Operations!AF475/Operations!AF477)</f>
        <v>0</v>
      </c>
      <c r="AG493" s="14" t="n">
        <f aca="false">IF(Operations!AG477=0,0,Operations!AG475/Operations!AG477)</f>
        <v>0</v>
      </c>
      <c r="AH493" s="14" t="n">
        <f aca="false">IF(Operations!AH477=0,0,Operations!AH475/Operations!AH477)</f>
        <v>0</v>
      </c>
      <c r="AI493" s="14" t="n">
        <f aca="false">IF(Operations!AI477=0,0,Operations!AI475/Operations!AI477)</f>
        <v>0</v>
      </c>
      <c r="AJ493" s="14" t="n">
        <f aca="false">IF(Operations!AJ477=0,0,Operations!AJ475/Operations!AJ477)</f>
        <v>0</v>
      </c>
      <c r="AK493" s="14" t="n">
        <f aca="false">IF(Operations!AK477=0,0,Operations!AK475/Operations!AK477)</f>
        <v>0</v>
      </c>
      <c r="AL493" s="14" t="n">
        <f aca="false">IF(Operations!AL477=0,0,Operations!AL475/Operations!AL477)</f>
        <v>0</v>
      </c>
      <c r="AM493" s="14" t="n">
        <f aca="false">IF(Operations!AM477=0,0,Operations!AM475/Operations!AM477)</f>
        <v>0</v>
      </c>
      <c r="AN493" s="14" t="n">
        <f aca="false">IF(Operations!AN477=0,0,Operations!AN475/Operations!AN477)</f>
        <v>0</v>
      </c>
      <c r="AO493" s="14" t="n">
        <f aca="false">IF(Operations!AO477=0,0,Operations!AO475/Operations!AO477)</f>
        <v>0</v>
      </c>
      <c r="AP493" s="14" t="n">
        <f aca="false">IF(Operations!AP477=0,0,Operations!AP475/Operations!AP477)</f>
        <v>0</v>
      </c>
      <c r="AQ493" s="14" t="n">
        <f aca="false">IF(Operations!AQ477=0,0,Operations!AQ475/Operations!AQ477)</f>
        <v>0</v>
      </c>
      <c r="AR493" s="14" t="n">
        <f aca="false">IF(Operations!AR477=0,0,Operations!AR475/Operations!AR477)</f>
        <v>0</v>
      </c>
      <c r="AS493" s="14" t="n">
        <f aca="false">IF(Operations!AS477=0,0,Operations!AS475/Operations!AS477)</f>
        <v>0</v>
      </c>
      <c r="AT493" s="14" t="n">
        <f aca="false">IF(Operations!AT477=0,0,Operations!AT475/Operations!AT477)</f>
        <v>0</v>
      </c>
      <c r="AU493" s="14" t="n">
        <f aca="false">IF(Operations!AU477=0,0,Operations!AU475/Operations!AU477)</f>
        <v>0</v>
      </c>
    </row>
    <row r="494" customFormat="false" ht="15" hidden="false" customHeight="false" outlineLevel="0" collapsed="false">
      <c r="D494" s="0" t="s">
        <v>495</v>
      </c>
      <c r="E494" s="0" t="s">
        <v>458</v>
      </c>
      <c r="J494" s="14" t="n">
        <f aca="false">1-Operations!J492-Operations!J493</f>
        <v>1</v>
      </c>
      <c r="K494" s="14" t="n">
        <f aca="false">1-Operations!K492-Operations!K493</f>
        <v>0.273473822072167</v>
      </c>
      <c r="L494" s="14" t="n">
        <f aca="false">1-Operations!L492-Operations!L493</f>
        <v>0.145675449101725</v>
      </c>
      <c r="M494" s="14" t="n">
        <f aca="false">1-Operations!M492-Operations!M493</f>
        <v>0.174853949791914</v>
      </c>
      <c r="N494" s="14" t="n">
        <f aca="false">1-Operations!N492-Operations!N493</f>
        <v>0.183845146286208</v>
      </c>
      <c r="O494" s="14" t="n">
        <f aca="false">1-Operations!O492-Operations!O493</f>
        <v>0.184337219717831</v>
      </c>
      <c r="P494" s="14" t="n">
        <f aca="false">1-Operations!P492-Operations!P493</f>
        <v>1</v>
      </c>
      <c r="Q494" s="14" t="n">
        <f aca="false">1-Operations!Q492-Operations!Q493</f>
        <v>1</v>
      </c>
      <c r="R494" s="14" t="n">
        <f aca="false">1-Operations!R492-Operations!R493</f>
        <v>1</v>
      </c>
      <c r="S494" s="14" t="n">
        <f aca="false">1-Operations!S492-Operations!S493</f>
        <v>1</v>
      </c>
      <c r="T494" s="14" t="n">
        <f aca="false">1-Operations!T492-Operations!T493</f>
        <v>1</v>
      </c>
      <c r="U494" s="14" t="n">
        <f aca="false">1-Operations!U492-Operations!U493</f>
        <v>1</v>
      </c>
      <c r="V494" s="14" t="n">
        <f aca="false">1-Operations!V492-Operations!V493</f>
        <v>1</v>
      </c>
      <c r="W494" s="14" t="n">
        <f aca="false">1-Operations!W492-Operations!W493</f>
        <v>1</v>
      </c>
      <c r="X494" s="14" t="n">
        <f aca="false">1-Operations!X492-Operations!X493</f>
        <v>1</v>
      </c>
      <c r="Y494" s="14" t="n">
        <f aca="false">1-Operations!Y492-Operations!Y493</f>
        <v>1</v>
      </c>
      <c r="Z494" s="14" t="n">
        <f aca="false">1-Operations!Z492-Operations!Z493</f>
        <v>1</v>
      </c>
      <c r="AA494" s="14" t="n">
        <f aca="false">1-Operations!AA492-Operations!AA493</f>
        <v>1</v>
      </c>
      <c r="AB494" s="14" t="n">
        <f aca="false">1-Operations!AB492-Operations!AB493</f>
        <v>1</v>
      </c>
      <c r="AC494" s="14" t="n">
        <f aca="false">1-Operations!AC492-Operations!AC493</f>
        <v>1</v>
      </c>
      <c r="AD494" s="14" t="n">
        <f aca="false">1-Operations!AD492-Operations!AD493</f>
        <v>1</v>
      </c>
      <c r="AE494" s="14" t="n">
        <f aca="false">1-Operations!AE492-Operations!AE493</f>
        <v>1</v>
      </c>
      <c r="AF494" s="14" t="n">
        <f aca="false">1-Operations!AF492-Operations!AF493</f>
        <v>1</v>
      </c>
      <c r="AG494" s="14" t="n">
        <f aca="false">1-Operations!AG492-Operations!AG493</f>
        <v>1</v>
      </c>
      <c r="AH494" s="14" t="n">
        <f aca="false">1-Operations!AH492-Operations!AH493</f>
        <v>1</v>
      </c>
      <c r="AI494" s="14" t="n">
        <f aca="false">1-Operations!AI492-Operations!AI493</f>
        <v>1</v>
      </c>
      <c r="AJ494" s="14" t="n">
        <f aca="false">1-Operations!AJ492-Operations!AJ493</f>
        <v>1</v>
      </c>
      <c r="AK494" s="14" t="n">
        <f aca="false">1-Operations!AK492-Operations!AK493</f>
        <v>1</v>
      </c>
      <c r="AL494" s="14" t="n">
        <f aca="false">1-Operations!AL492-Operations!AL493</f>
        <v>1</v>
      </c>
      <c r="AM494" s="14" t="n">
        <f aca="false">1-Operations!AM492-Operations!AM493</f>
        <v>1</v>
      </c>
      <c r="AN494" s="14" t="n">
        <f aca="false">1-Operations!AN492-Operations!AN493</f>
        <v>1</v>
      </c>
      <c r="AO494" s="14" t="n">
        <f aca="false">1-Operations!AO492-Operations!AO493</f>
        <v>1</v>
      </c>
      <c r="AP494" s="14" t="n">
        <f aca="false">1-Operations!AP492-Operations!AP493</f>
        <v>1</v>
      </c>
      <c r="AQ494" s="14" t="n">
        <f aca="false">1-Operations!AQ492-Operations!AQ493</f>
        <v>1</v>
      </c>
      <c r="AR494" s="14" t="n">
        <f aca="false">1-Operations!AR492-Operations!AR493</f>
        <v>1</v>
      </c>
      <c r="AS494" s="14" t="n">
        <f aca="false">1-Operations!AS492-Operations!AS493</f>
        <v>1</v>
      </c>
      <c r="AT494" s="14" t="n">
        <f aca="false">1-Operations!AT492-Operations!AT493</f>
        <v>1</v>
      </c>
      <c r="AU494" s="14" t="n">
        <f aca="false">1-Operations!AU492-Operations!AU493</f>
        <v>1</v>
      </c>
    </row>
    <row r="495" customFormat="false" ht="15" hidden="false" customHeight="false" outlineLevel="0" collapsed="false">
      <c r="D495" s="0" t="s">
        <v>496</v>
      </c>
      <c r="E495" s="0" t="s">
        <v>47</v>
      </c>
      <c r="J495" s="20" t="n">
        <f aca="false">Operations!J474*Operations!J460*(1-Operations!J487)</f>
        <v>0</v>
      </c>
      <c r="K495" s="20" t="n">
        <f aca="false">Operations!K474*Operations!K460*(1-Operations!K487)</f>
        <v>0</v>
      </c>
      <c r="L495" s="20" t="n">
        <f aca="false">Operations!L474*Operations!L460*(1-Operations!L487)</f>
        <v>0</v>
      </c>
      <c r="M495" s="20" t="n">
        <f aca="false">Operations!M474*Operations!M460*(1-Operations!M487)</f>
        <v>0</v>
      </c>
      <c r="N495" s="20" t="n">
        <f aca="false">Operations!N474*Operations!N460*(1-Operations!N487)</f>
        <v>0</v>
      </c>
      <c r="O495" s="20" t="n">
        <f aca="false">Operations!O474*Operations!O460*(1-Operations!O487)</f>
        <v>0</v>
      </c>
      <c r="P495" s="20" t="n">
        <f aca="false">Operations!P474*Operations!P460*(1-Operations!P487)</f>
        <v>0</v>
      </c>
      <c r="Q495" s="20" t="n">
        <f aca="false">Operations!Q474*Operations!Q460*(1-Operations!Q487)</f>
        <v>0</v>
      </c>
      <c r="R495" s="20" t="n">
        <f aca="false">Operations!R474*Operations!R460*(1-Operations!R487)</f>
        <v>0</v>
      </c>
      <c r="S495" s="20" t="n">
        <f aca="false">Operations!S474*Operations!S460*(1-Operations!S487)</f>
        <v>0</v>
      </c>
      <c r="T495" s="20" t="n">
        <f aca="false">Operations!T474*Operations!T460*(1-Operations!T487)</f>
        <v>0</v>
      </c>
      <c r="U495" s="20" t="n">
        <f aca="false">Operations!U474*Operations!U460*(1-Operations!U487)</f>
        <v>0</v>
      </c>
      <c r="V495" s="20" t="n">
        <f aca="false">Operations!V474*Operations!V460*(1-Operations!V487)</f>
        <v>0</v>
      </c>
      <c r="W495" s="20" t="n">
        <f aca="false">Operations!W474*Operations!W460*(1-Operations!W487)</f>
        <v>0</v>
      </c>
      <c r="X495" s="20" t="n">
        <f aca="false">Operations!X474*Operations!X460*(1-Operations!X487)</f>
        <v>0</v>
      </c>
      <c r="Y495" s="20" t="n">
        <f aca="false">Operations!Y474*Operations!Y460*(1-Operations!Y487)</f>
        <v>0</v>
      </c>
      <c r="Z495" s="20" t="n">
        <f aca="false">Operations!Z474*Operations!Z460*(1-Operations!Z487)</f>
        <v>0</v>
      </c>
      <c r="AA495" s="20" t="n">
        <f aca="false">Operations!AA474*Operations!AA460*(1-Operations!AA487)</f>
        <v>0</v>
      </c>
      <c r="AB495" s="20" t="n">
        <f aca="false">Operations!AB474*Operations!AB460*(1-Operations!AB487)</f>
        <v>0</v>
      </c>
      <c r="AC495" s="20" t="n">
        <f aca="false">Operations!AC474*Operations!AC460*(1-Operations!AC487)</f>
        <v>0</v>
      </c>
      <c r="AD495" s="20" t="n">
        <f aca="false">Operations!AD474*Operations!AD460*(1-Operations!AD487)</f>
        <v>0</v>
      </c>
      <c r="AE495" s="20" t="n">
        <f aca="false">Operations!AE474*Operations!AE460*(1-Operations!AE487)</f>
        <v>0</v>
      </c>
      <c r="AF495" s="20" t="n">
        <f aca="false">Operations!AF474*Operations!AF460*(1-Operations!AF487)</f>
        <v>0</v>
      </c>
      <c r="AG495" s="20" t="n">
        <f aca="false">Operations!AG474*Operations!AG460*(1-Operations!AG487)</f>
        <v>0</v>
      </c>
      <c r="AH495" s="20" t="n">
        <f aca="false">Operations!AH474*Operations!AH460*(1-Operations!AH487)</f>
        <v>0</v>
      </c>
      <c r="AI495" s="20" t="n">
        <f aca="false">Operations!AI474*Operations!AI460*(1-Operations!AI487)</f>
        <v>0</v>
      </c>
      <c r="AJ495" s="20" t="n">
        <f aca="false">Operations!AJ474*Operations!AJ460*(1-Operations!AJ487)</f>
        <v>0</v>
      </c>
      <c r="AK495" s="20" t="n">
        <f aca="false">Operations!AK474*Operations!AK460*(1-Operations!AK487)</f>
        <v>0</v>
      </c>
      <c r="AL495" s="20" t="n">
        <f aca="false">Operations!AL474*Operations!AL460*(1-Operations!AL487)</f>
        <v>0</v>
      </c>
      <c r="AM495" s="20" t="n">
        <f aca="false">Operations!AM474*Operations!AM460*(1-Operations!AM487)</f>
        <v>0</v>
      </c>
      <c r="AN495" s="20" t="n">
        <f aca="false">Operations!AN474*Operations!AN460*(1-Operations!AN487)</f>
        <v>0</v>
      </c>
      <c r="AO495" s="20" t="n">
        <f aca="false">Operations!AO474*Operations!AO460*(1-Operations!AO487)</f>
        <v>0</v>
      </c>
      <c r="AP495" s="20" t="n">
        <f aca="false">Operations!AP474*Operations!AP460*(1-Operations!AP487)</f>
        <v>0</v>
      </c>
      <c r="AQ495" s="20" t="n">
        <f aca="false">Operations!AQ474*Operations!AQ460*(1-Operations!AQ487)</f>
        <v>0</v>
      </c>
      <c r="AR495" s="20" t="n">
        <f aca="false">Operations!AR474*Operations!AR460*(1-Operations!AR487)</f>
        <v>0</v>
      </c>
      <c r="AS495" s="20" t="n">
        <f aca="false">Operations!AS474*Operations!AS460*(1-Operations!AS487)</f>
        <v>0</v>
      </c>
      <c r="AT495" s="20" t="n">
        <f aca="false">Operations!AT474*Operations!AT460*(1-Operations!AT487)</f>
        <v>0</v>
      </c>
      <c r="AU495" s="20" t="n">
        <f aca="false">Operations!AU474*Operations!AU460*(1-Operations!AU487)</f>
        <v>0</v>
      </c>
    </row>
    <row r="496" customFormat="false" ht="15" hidden="false" customHeight="false" outlineLevel="0" collapsed="false">
      <c r="D496" s="0" t="s">
        <v>497</v>
      </c>
      <c r="E496" s="0" t="s">
        <v>47</v>
      </c>
      <c r="J496" s="20" t="n">
        <f aca="false">Operations!J475*Operations!J460*(1-Operations!J487)</f>
        <v>0</v>
      </c>
      <c r="K496" s="20" t="n">
        <f aca="false">Operations!K475*Operations!K460*(1-Operations!K487)</f>
        <v>16.9068</v>
      </c>
      <c r="L496" s="20" t="n">
        <f aca="false">Operations!L475*Operations!L460*(1-Operations!L487)</f>
        <v>16.95312</v>
      </c>
      <c r="M496" s="20" t="n">
        <f aca="false">Operations!M475*Operations!M460*(1-Operations!M487)</f>
        <v>16.9068</v>
      </c>
      <c r="N496" s="20" t="n">
        <f aca="false">Operations!N475*Operations!N460*(1-Operations!N487)</f>
        <v>16.9068</v>
      </c>
      <c r="O496" s="20" t="n">
        <f aca="false">Operations!O475*Operations!O460*(1-Operations!O487)</f>
        <v>16.9068</v>
      </c>
      <c r="P496" s="20" t="n">
        <f aca="false">Operations!P475*Operations!P460*(1-Operations!P487)</f>
        <v>0</v>
      </c>
      <c r="Q496" s="20" t="n">
        <f aca="false">Operations!Q475*Operations!Q460*(1-Operations!Q487)</f>
        <v>0</v>
      </c>
      <c r="R496" s="20" t="n">
        <f aca="false">Operations!R475*Operations!R460*(1-Operations!R487)</f>
        <v>0</v>
      </c>
      <c r="S496" s="20" t="n">
        <f aca="false">Operations!S475*Operations!S460*(1-Operations!S487)</f>
        <v>0</v>
      </c>
      <c r="T496" s="20" t="n">
        <f aca="false">Operations!T475*Operations!T460*(1-Operations!T487)</f>
        <v>0</v>
      </c>
      <c r="U496" s="20" t="n">
        <f aca="false">Operations!U475*Operations!U460*(1-Operations!U487)</f>
        <v>0</v>
      </c>
      <c r="V496" s="20" t="n">
        <f aca="false">Operations!V475*Operations!V460*(1-Operations!V487)</f>
        <v>0</v>
      </c>
      <c r="W496" s="20" t="n">
        <f aca="false">Operations!W475*Operations!W460*(1-Operations!W487)</f>
        <v>0</v>
      </c>
      <c r="X496" s="20" t="n">
        <f aca="false">Operations!X475*Operations!X460*(1-Operations!X487)</f>
        <v>0</v>
      </c>
      <c r="Y496" s="20" t="n">
        <f aca="false">Operations!Y475*Operations!Y460*(1-Operations!Y487)</f>
        <v>0</v>
      </c>
      <c r="Z496" s="20" t="n">
        <f aca="false">Operations!Z475*Operations!Z460*(1-Operations!Z487)</f>
        <v>0</v>
      </c>
      <c r="AA496" s="20" t="n">
        <f aca="false">Operations!AA475*Operations!AA460*(1-Operations!AA487)</f>
        <v>0</v>
      </c>
      <c r="AB496" s="20" t="n">
        <f aca="false">Operations!AB475*Operations!AB460*(1-Operations!AB487)</f>
        <v>0</v>
      </c>
      <c r="AC496" s="20" t="n">
        <f aca="false">Operations!AC475*Operations!AC460*(1-Operations!AC487)</f>
        <v>0</v>
      </c>
      <c r="AD496" s="20" t="n">
        <f aca="false">Operations!AD475*Operations!AD460*(1-Operations!AD487)</f>
        <v>0</v>
      </c>
      <c r="AE496" s="20" t="n">
        <f aca="false">Operations!AE475*Operations!AE460*(1-Operations!AE487)</f>
        <v>0</v>
      </c>
      <c r="AF496" s="20" t="n">
        <f aca="false">Operations!AF475*Operations!AF460*(1-Operations!AF487)</f>
        <v>0</v>
      </c>
      <c r="AG496" s="20" t="n">
        <f aca="false">Operations!AG475*Operations!AG460*(1-Operations!AG487)</f>
        <v>0</v>
      </c>
      <c r="AH496" s="20" t="n">
        <f aca="false">Operations!AH475*Operations!AH460*(1-Operations!AH487)</f>
        <v>0</v>
      </c>
      <c r="AI496" s="20" t="n">
        <f aca="false">Operations!AI475*Operations!AI460*(1-Operations!AI487)</f>
        <v>0</v>
      </c>
      <c r="AJ496" s="20" t="n">
        <f aca="false">Operations!AJ475*Operations!AJ460*(1-Operations!AJ487)</f>
        <v>0</v>
      </c>
      <c r="AK496" s="20" t="n">
        <f aca="false">Operations!AK475*Operations!AK460*(1-Operations!AK487)</f>
        <v>0</v>
      </c>
      <c r="AL496" s="20" t="n">
        <f aca="false">Operations!AL475*Operations!AL460*(1-Operations!AL487)</f>
        <v>0</v>
      </c>
      <c r="AM496" s="20" t="n">
        <f aca="false">Operations!AM475*Operations!AM460*(1-Operations!AM487)</f>
        <v>0</v>
      </c>
      <c r="AN496" s="20" t="n">
        <f aca="false">Operations!AN475*Operations!AN460*(1-Operations!AN487)</f>
        <v>0</v>
      </c>
      <c r="AO496" s="20" t="n">
        <f aca="false">Operations!AO475*Operations!AO460*(1-Operations!AO487)</f>
        <v>0</v>
      </c>
      <c r="AP496" s="20" t="n">
        <f aca="false">Operations!AP475*Operations!AP460*(1-Operations!AP487)</f>
        <v>0</v>
      </c>
      <c r="AQ496" s="20" t="n">
        <f aca="false">Operations!AQ475*Operations!AQ460*(1-Operations!AQ487)</f>
        <v>0</v>
      </c>
      <c r="AR496" s="20" t="n">
        <f aca="false">Operations!AR475*Operations!AR460*(1-Operations!AR487)</f>
        <v>0</v>
      </c>
      <c r="AS496" s="20" t="n">
        <f aca="false">Operations!AS475*Operations!AS460*(1-Operations!AS487)</f>
        <v>0</v>
      </c>
      <c r="AT496" s="20" t="n">
        <f aca="false">Operations!AT475*Operations!AT460*(1-Operations!AT487)</f>
        <v>0</v>
      </c>
      <c r="AU496" s="20" t="n">
        <f aca="false">Operations!AU475*Operations!AU460*(1-Operations!AU487)</f>
        <v>0</v>
      </c>
    </row>
    <row r="497" customFormat="false" ht="15" hidden="false" customHeight="false" outlineLevel="0" collapsed="false">
      <c r="D497" s="0" t="s">
        <v>498</v>
      </c>
      <c r="E497" s="0" t="s">
        <v>47</v>
      </c>
      <c r="J497" s="20" t="n">
        <f aca="false">Operations!J478*Operations!J460*(1-Operations!J487)</f>
        <v>26.1351800502163</v>
      </c>
      <c r="K497" s="20" t="n">
        <f aca="false">Operations!K478*Operations!K460*(1-Operations!K487)</f>
        <v>6.36393753656179</v>
      </c>
      <c r="L497" s="20" t="n">
        <f aca="false">Operations!L478*Operations!L460*(1-Operations!L487)</f>
        <v>2.89076717633683</v>
      </c>
      <c r="M497" s="20" t="n">
        <f aca="false">Operations!M478*Operations!M460*(1-Operations!M487)</f>
        <v>3.58266364796441</v>
      </c>
      <c r="N497" s="20" t="n">
        <f aca="false">Operations!N478*Operations!N460*(1-Operations!N487)</f>
        <v>3.80838649073531</v>
      </c>
      <c r="O497" s="20" t="n">
        <f aca="false">Operations!O478*Operations!O460*(1-Operations!O487)</f>
        <v>3.82088355833434</v>
      </c>
      <c r="P497" s="20" t="n">
        <f aca="false">Operations!P478*Operations!P460*(1-Operations!P487)</f>
        <v>20.3948471362395</v>
      </c>
      <c r="Q497" s="20" t="n">
        <f aca="false">Operations!Q478*Operations!Q460*(1-Operations!Q487)</f>
        <v>20.7041714033151</v>
      </c>
      <c r="R497" s="20" t="n">
        <f aca="false">Operations!R478*Operations!R460*(1-Operations!R487)</f>
        <v>21.0430807190014</v>
      </c>
      <c r="S497" s="20" t="n">
        <f aca="false">Operations!S478*Operations!S460*(1-Operations!S487)</f>
        <v>21.2254953236962</v>
      </c>
      <c r="T497" s="20" t="n">
        <f aca="false">Operations!T478*Operations!T460*(1-Operations!T487)</f>
        <v>21.407294681088</v>
      </c>
      <c r="U497" s="20" t="n">
        <f aca="false">Operations!U478*Operations!U460*(1-Operations!U487)</f>
        <v>21.5882571657849</v>
      </c>
      <c r="V497" s="20" t="n">
        <f aca="false">Operations!V478*Operations!V460*(1-Operations!V487)</f>
        <v>21.7681629339903</v>
      </c>
      <c r="W497" s="20" t="n">
        <f aca="false">Operations!W478*Operations!W460*(1-Operations!W487)</f>
        <v>21.9467939145857</v>
      </c>
      <c r="X497" s="20" t="n">
        <f aca="false">Operations!X478*Operations!X460*(1-Operations!X487)</f>
        <v>22.1239338002494</v>
      </c>
      <c r="Y497" s="20" t="n">
        <f aca="false">Operations!Y478*Operations!Y460*(1-Operations!Y487)</f>
        <v>22.3031158315585</v>
      </c>
      <c r="Z497" s="20" t="n">
        <f aca="false">Operations!Z478*Operations!Z460*(1-Operations!Z487)</f>
        <v>22.4802908385433</v>
      </c>
      <c r="AA497" s="20" t="n">
        <f aca="false">Operations!AA478*Operations!AA460*(1-Operations!AA487)</f>
        <v>22.655248238791</v>
      </c>
      <c r="AB497" s="20" t="n">
        <f aca="false">Operations!AB478*Operations!AB460*(1-Operations!AB487)</f>
        <v>22.8313945993682</v>
      </c>
      <c r="AC497" s="20" t="n">
        <f aca="false">Operations!AC478*Operations!AC460*(1-Operations!AC487)</f>
        <v>23.0048197591884</v>
      </c>
      <c r="AD497" s="20" t="n">
        <f aca="false">Operations!AD478*Operations!AD460*(1-Operations!AD487)</f>
        <v>23.1788467549807</v>
      </c>
      <c r="AE497" s="20" t="n">
        <f aca="false">Operations!AE478*Operations!AE460*(1-Operations!AE487)</f>
        <v>23.593730471981</v>
      </c>
      <c r="AF497" s="20" t="n">
        <f aca="false">Operations!AF478*Operations!AF460*(1-Operations!AF487)</f>
        <v>24.0174035935589</v>
      </c>
      <c r="AG497" s="20" t="n">
        <f aca="false">Operations!AG478*Operations!AG460*(1-Operations!AG487)</f>
        <v>0</v>
      </c>
      <c r="AH497" s="20" t="n">
        <f aca="false">Operations!AH478*Operations!AH460*(1-Operations!AH487)</f>
        <v>0</v>
      </c>
      <c r="AI497" s="20" t="n">
        <f aca="false">Operations!AI478*Operations!AI460*(1-Operations!AI487)</f>
        <v>0</v>
      </c>
      <c r="AJ497" s="20" t="n">
        <f aca="false">Operations!AJ478*Operations!AJ460*(1-Operations!AJ487)</f>
        <v>0</v>
      </c>
      <c r="AK497" s="20" t="n">
        <f aca="false">Operations!AK478*Operations!AK460*(1-Operations!AK487)</f>
        <v>0</v>
      </c>
      <c r="AL497" s="20" t="n">
        <f aca="false">Operations!AL478*Operations!AL460*(1-Operations!AL487)</f>
        <v>0</v>
      </c>
      <c r="AM497" s="20" t="n">
        <f aca="false">Operations!AM478*Operations!AM460*(1-Operations!AM487)</f>
        <v>0</v>
      </c>
      <c r="AN497" s="20" t="n">
        <f aca="false">Operations!AN478*Operations!AN460*(1-Operations!AN487)</f>
        <v>0</v>
      </c>
      <c r="AO497" s="20" t="n">
        <f aca="false">Operations!AO478*Operations!AO460*(1-Operations!AO487)</f>
        <v>0</v>
      </c>
      <c r="AP497" s="20" t="n">
        <f aca="false">Operations!AP478*Operations!AP460*(1-Operations!AP487)</f>
        <v>0</v>
      </c>
      <c r="AQ497" s="20" t="n">
        <f aca="false">Operations!AQ478*Operations!AQ460*(1-Operations!AQ487)</f>
        <v>0</v>
      </c>
      <c r="AR497" s="20" t="n">
        <f aca="false">Operations!AR478*Operations!AR460*(1-Operations!AR487)</f>
        <v>0</v>
      </c>
      <c r="AS497" s="20" t="n">
        <f aca="false">Operations!AS478*Operations!AS460*(1-Operations!AS487)</f>
        <v>0</v>
      </c>
      <c r="AT497" s="20" t="n">
        <f aca="false">Operations!AT478*Operations!AT460*(1-Operations!AT487)</f>
        <v>0</v>
      </c>
      <c r="AU497" s="20" t="n">
        <f aca="false">Operations!AU478*Operations!AU460*(1-Operations!AU487)</f>
        <v>0</v>
      </c>
    </row>
    <row r="498" customFormat="false" ht="15" hidden="false" customHeight="false" outlineLevel="0" collapsed="false">
      <c r="D498" s="0" t="s">
        <v>499</v>
      </c>
      <c r="E498" s="0" t="s">
        <v>47</v>
      </c>
      <c r="J498" s="20" t="n">
        <f aca="false">Operations!J477*Operations!J460*(1-Operations!J487)</f>
        <v>26.1351800502163</v>
      </c>
      <c r="K498" s="20" t="n">
        <f aca="false">Operations!K477*Operations!K460*(1-Operations!K487)</f>
        <v>23.2707375365618</v>
      </c>
      <c r="L498" s="20" t="n">
        <f aca="false">Operations!L477*Operations!L460*(1-Operations!L487)</f>
        <v>19.8438871763368</v>
      </c>
      <c r="M498" s="20" t="n">
        <f aca="false">Operations!M477*Operations!M460*(1-Operations!M487)</f>
        <v>20.4894636479644</v>
      </c>
      <c r="N498" s="20" t="n">
        <f aca="false">Operations!N477*Operations!N460*(1-Operations!N487)</f>
        <v>20.7151864907353</v>
      </c>
      <c r="O498" s="20" t="n">
        <f aca="false">Operations!O477*Operations!O460*(1-Operations!O487)</f>
        <v>20.7276835583343</v>
      </c>
      <c r="P498" s="20" t="n">
        <f aca="false">Operations!P477*Operations!P460*(1-Operations!P487)</f>
        <v>20.3948471362395</v>
      </c>
      <c r="Q498" s="20" t="n">
        <f aca="false">Operations!Q477*Operations!Q460*(1-Operations!Q487)</f>
        <v>20.7041714033151</v>
      </c>
      <c r="R498" s="20" t="n">
        <f aca="false">Operations!R477*Operations!R460*(1-Operations!R487)</f>
        <v>21.0430807190014</v>
      </c>
      <c r="S498" s="20" t="n">
        <f aca="false">Operations!S477*Operations!S460*(1-Operations!S487)</f>
        <v>21.2254953236962</v>
      </c>
      <c r="T498" s="20" t="n">
        <f aca="false">Operations!T477*Operations!T460*(1-Operations!T487)</f>
        <v>21.407294681088</v>
      </c>
      <c r="U498" s="20" t="n">
        <f aca="false">Operations!U477*Operations!U460*(1-Operations!U487)</f>
        <v>21.5882571657849</v>
      </c>
      <c r="V498" s="20" t="n">
        <f aca="false">Operations!V477*Operations!V460*(1-Operations!V487)</f>
        <v>21.7681629339903</v>
      </c>
      <c r="W498" s="20" t="n">
        <f aca="false">Operations!W477*Operations!W460*(1-Operations!W487)</f>
        <v>21.9467939145857</v>
      </c>
      <c r="X498" s="20" t="n">
        <f aca="false">Operations!X477*Operations!X460*(1-Operations!X487)</f>
        <v>22.1239338002494</v>
      </c>
      <c r="Y498" s="20" t="n">
        <f aca="false">Operations!Y477*Operations!Y460*(1-Operations!Y487)</f>
        <v>22.3031158315585</v>
      </c>
      <c r="Z498" s="20" t="n">
        <f aca="false">Operations!Z477*Operations!Z460*(1-Operations!Z487)</f>
        <v>22.4802908385433</v>
      </c>
      <c r="AA498" s="20" t="n">
        <f aca="false">Operations!AA477*Operations!AA460*(1-Operations!AA487)</f>
        <v>22.655248238791</v>
      </c>
      <c r="AB498" s="20" t="n">
        <f aca="false">Operations!AB477*Operations!AB460*(1-Operations!AB487)</f>
        <v>22.8313945993682</v>
      </c>
      <c r="AC498" s="20" t="n">
        <f aca="false">Operations!AC477*Operations!AC460*(1-Operations!AC487)</f>
        <v>23.0048197591884</v>
      </c>
      <c r="AD498" s="20" t="n">
        <f aca="false">Operations!AD477*Operations!AD460*(1-Operations!AD487)</f>
        <v>23.1788467549807</v>
      </c>
      <c r="AE498" s="20" t="n">
        <f aca="false">Operations!AE477*Operations!AE460*(1-Operations!AE487)</f>
        <v>23.593730471981</v>
      </c>
      <c r="AF498" s="20" t="n">
        <f aca="false">Operations!AF477*Operations!AF460*(1-Operations!AF487)</f>
        <v>24.0174035935589</v>
      </c>
      <c r="AG498" s="20" t="n">
        <f aca="false">Operations!AG477*Operations!AG460*(1-Operations!AG487)</f>
        <v>0</v>
      </c>
      <c r="AH498" s="20" t="n">
        <f aca="false">Operations!AH477*Operations!AH460*(1-Operations!AH487)</f>
        <v>0</v>
      </c>
      <c r="AI498" s="20" t="n">
        <f aca="false">Operations!AI477*Operations!AI460*(1-Operations!AI487)</f>
        <v>0</v>
      </c>
      <c r="AJ498" s="20" t="n">
        <f aca="false">Operations!AJ477*Operations!AJ460*(1-Operations!AJ487)</f>
        <v>0</v>
      </c>
      <c r="AK498" s="20" t="n">
        <f aca="false">Operations!AK477*Operations!AK460*(1-Operations!AK487)</f>
        <v>0</v>
      </c>
      <c r="AL498" s="20" t="n">
        <f aca="false">Operations!AL477*Operations!AL460*(1-Operations!AL487)</f>
        <v>0</v>
      </c>
      <c r="AM498" s="20" t="n">
        <f aca="false">Operations!AM477*Operations!AM460*(1-Operations!AM487)</f>
        <v>0</v>
      </c>
      <c r="AN498" s="20" t="n">
        <f aca="false">Operations!AN477*Operations!AN460*(1-Operations!AN487)</f>
        <v>0</v>
      </c>
      <c r="AO498" s="20" t="n">
        <f aca="false">Operations!AO477*Operations!AO460*(1-Operations!AO487)</f>
        <v>0</v>
      </c>
      <c r="AP498" s="20" t="n">
        <f aca="false">Operations!AP477*Operations!AP460*(1-Operations!AP487)</f>
        <v>0</v>
      </c>
      <c r="AQ498" s="20" t="n">
        <f aca="false">Operations!AQ477*Operations!AQ460*(1-Operations!AQ487)</f>
        <v>0</v>
      </c>
      <c r="AR498" s="20" t="n">
        <f aca="false">Operations!AR477*Operations!AR460*(1-Operations!AR487)</f>
        <v>0</v>
      </c>
      <c r="AS498" s="20" t="n">
        <f aca="false">Operations!AS477*Operations!AS460*(1-Operations!AS487)</f>
        <v>0</v>
      </c>
      <c r="AT498" s="20" t="n">
        <f aca="false">Operations!AT477*Operations!AT460*(1-Operations!AT487)</f>
        <v>0</v>
      </c>
      <c r="AU498" s="20" t="n">
        <f aca="false">Operations!AU477*Operations!AU460*(1-Operations!AU487)</f>
        <v>0</v>
      </c>
    </row>
    <row r="499" customFormat="false" ht="15" hidden="false" customHeight="false" outlineLevel="0" collapsed="false">
      <c r="D499" s="19" t="s">
        <v>500</v>
      </c>
    </row>
    <row r="500" customFormat="false" ht="15" hidden="false" customHeight="false" outlineLevel="0" collapsed="false">
      <c r="D500" s="0" t="s">
        <v>501</v>
      </c>
      <c r="E500" s="0" t="s">
        <v>458</v>
      </c>
      <c r="J500" s="14" t="n">
        <f aca="false">MAX(0,MIN(Inputs!$F$101,Time!J$6)-MAX(Inputs!$F$100,Time!J$5))/Time!J$7</f>
        <v>1</v>
      </c>
      <c r="K500" s="14" t="n">
        <f aca="false">MAX(0,MIN(Inputs!$F$101,Time!K$6)-MAX(Inputs!$F$100,Time!K$5))/Time!K$7</f>
        <v>1</v>
      </c>
      <c r="L500" s="14" t="n">
        <f aca="false">MAX(0,MIN(Inputs!$F$101,Time!L$6)-MAX(Inputs!$F$100,Time!L$5))/Time!L$7</f>
        <v>1</v>
      </c>
      <c r="M500" s="14" t="n">
        <f aca="false">MAX(0,MIN(Inputs!$F$101,Time!M$6)-MAX(Inputs!$F$100,Time!M$5))/Time!M$7</f>
        <v>1</v>
      </c>
      <c r="N500" s="14" t="n">
        <f aca="false">MAX(0,MIN(Inputs!$F$101,Time!N$6)-MAX(Inputs!$F$100,Time!N$5))/Time!N$7</f>
        <v>1</v>
      </c>
      <c r="O500" s="14" t="n">
        <f aca="false">MAX(0,MIN(Inputs!$F$101,Time!O$6)-MAX(Inputs!$F$100,Time!O$5))/Time!O$7</f>
        <v>1</v>
      </c>
      <c r="P500" s="14" t="n">
        <f aca="false">MAX(0,MIN(Inputs!$F$101,Time!P$6)-MAX(Inputs!$F$100,Time!P$5))/Time!P$7</f>
        <v>1</v>
      </c>
      <c r="Q500" s="14" t="n">
        <f aca="false">MAX(0,MIN(Inputs!$F$101,Time!Q$6)-MAX(Inputs!$F$100,Time!Q$5))/Time!Q$7</f>
        <v>1</v>
      </c>
      <c r="R500" s="14" t="n">
        <f aca="false">MAX(0,MIN(Inputs!$F$101,Time!R$6)-MAX(Inputs!$F$100,Time!R$5))/Time!R$7</f>
        <v>1</v>
      </c>
      <c r="S500" s="14" t="n">
        <f aca="false">MAX(0,MIN(Inputs!$F$101,Time!S$6)-MAX(Inputs!$F$100,Time!S$5))/Time!S$7</f>
        <v>1</v>
      </c>
      <c r="T500" s="14" t="n">
        <f aca="false">MAX(0,MIN(Inputs!$F$101,Time!T$6)-MAX(Inputs!$F$100,Time!T$5))/Time!T$7</f>
        <v>1</v>
      </c>
      <c r="U500" s="14" t="n">
        <f aca="false">MAX(0,MIN(Inputs!$F$101,Time!U$6)-MAX(Inputs!$F$100,Time!U$5))/Time!U$7</f>
        <v>1</v>
      </c>
      <c r="V500" s="14" t="n">
        <f aca="false">MAX(0,MIN(Inputs!$F$101,Time!V$6)-MAX(Inputs!$F$100,Time!V$5))/Time!V$7</f>
        <v>1</v>
      </c>
      <c r="W500" s="14" t="n">
        <f aca="false">MAX(0,MIN(Inputs!$F$101,Time!W$6)-MAX(Inputs!$F$100,Time!W$5))/Time!W$7</f>
        <v>1</v>
      </c>
      <c r="X500" s="14" t="n">
        <f aca="false">MAX(0,MIN(Inputs!$F$101,Time!X$6)-MAX(Inputs!$F$100,Time!X$5))/Time!X$7</f>
        <v>1</v>
      </c>
      <c r="Y500" s="14" t="n">
        <f aca="false">MAX(0,MIN(Inputs!$F$101,Time!Y$6)-MAX(Inputs!$F$100,Time!Y$5))/Time!Y$7</f>
        <v>1</v>
      </c>
      <c r="Z500" s="14" t="n">
        <f aca="false">MAX(0,MIN(Inputs!$F$101,Time!Z$6)-MAX(Inputs!$F$100,Time!Z$5))/Time!Z$7</f>
        <v>1</v>
      </c>
      <c r="AA500" s="14" t="n">
        <f aca="false">MAX(0,MIN(Inputs!$F$101,Time!AA$6)-MAX(Inputs!$F$100,Time!AA$5))/Time!AA$7</f>
        <v>1</v>
      </c>
      <c r="AB500" s="14" t="n">
        <f aca="false">MAX(0,MIN(Inputs!$F$101,Time!AB$6)-MAX(Inputs!$F$100,Time!AB$5))/Time!AB$7</f>
        <v>1</v>
      </c>
      <c r="AC500" s="14" t="n">
        <f aca="false">MAX(0,MIN(Inputs!$F$101,Time!AC$6)-MAX(Inputs!$F$100,Time!AC$5))/Time!AC$7</f>
        <v>1</v>
      </c>
      <c r="AD500" s="14" t="n">
        <f aca="false">MAX(0,MIN(Inputs!$F$101,Time!AD$6)-MAX(Inputs!$F$100,Time!AD$5))/Time!AD$7</f>
        <v>1</v>
      </c>
      <c r="AE500" s="14" t="n">
        <f aca="false">MAX(0,MIN(Inputs!$F$101,Time!AE$6)-MAX(Inputs!$F$100,Time!AE$5))/Time!AE$7</f>
        <v>1</v>
      </c>
      <c r="AF500" s="14" t="n">
        <f aca="false">MAX(0,MIN(Inputs!$F$101,Time!AF$6)-MAX(Inputs!$F$100,Time!AF$5))/Time!AF$7</f>
        <v>1</v>
      </c>
      <c r="AG500" s="14" t="n">
        <f aca="false">MAX(0,MIN(Inputs!$F$101,Time!AG$6)-MAX(Inputs!$F$100,Time!AG$5))/Time!AG$7</f>
        <v>1</v>
      </c>
      <c r="AH500" s="14" t="n">
        <f aca="false">MAX(0,MIN(Inputs!$F$101,Time!AH$6)-MAX(Inputs!$F$100,Time!AH$5))/Time!AH$7</f>
        <v>1</v>
      </c>
      <c r="AI500" s="14" t="n">
        <f aca="false">MAX(0,MIN(Inputs!$F$101,Time!AI$6)-MAX(Inputs!$F$100,Time!AI$5))/Time!AI$7</f>
        <v>0.495890410958904</v>
      </c>
      <c r="AJ500" s="14" t="n">
        <f aca="false">MAX(0,MIN(Inputs!$F$101,Time!AJ$6)-MAX(Inputs!$F$100,Time!AJ$5))/Time!AJ$7</f>
        <v>0</v>
      </c>
      <c r="AK500" s="14" t="n">
        <f aca="false">MAX(0,MIN(Inputs!$F$101,Time!AK$6)-MAX(Inputs!$F$100,Time!AK$5))/Time!AK$7</f>
        <v>0</v>
      </c>
      <c r="AL500" s="14" t="n">
        <f aca="false">MAX(0,MIN(Inputs!$F$101,Time!AL$6)-MAX(Inputs!$F$100,Time!AL$5))/Time!AL$7</f>
        <v>0</v>
      </c>
      <c r="AM500" s="14" t="n">
        <f aca="false">MAX(0,MIN(Inputs!$F$101,Time!AM$6)-MAX(Inputs!$F$100,Time!AM$5))/Time!AM$7</f>
        <v>0</v>
      </c>
      <c r="AN500" s="14" t="n">
        <f aca="false">MAX(0,MIN(Inputs!$F$101,Time!AN$6)-MAX(Inputs!$F$100,Time!AN$5))/Time!AN$7</f>
        <v>0</v>
      </c>
      <c r="AO500" s="14" t="n">
        <f aca="false">MAX(0,MIN(Inputs!$F$101,Time!AO$6)-MAX(Inputs!$F$100,Time!AO$5))/Time!AO$7</f>
        <v>0</v>
      </c>
      <c r="AP500" s="14" t="n">
        <f aca="false">MAX(0,MIN(Inputs!$F$101,Time!AP$6)-MAX(Inputs!$F$100,Time!AP$5))/Time!AP$7</f>
        <v>0</v>
      </c>
      <c r="AQ500" s="14" t="n">
        <f aca="false">MAX(0,MIN(Inputs!$F$101,Time!AQ$6)-MAX(Inputs!$F$100,Time!AQ$5))/Time!AQ$7</f>
        <v>0</v>
      </c>
      <c r="AR500" s="14" t="n">
        <f aca="false">MAX(0,MIN(Inputs!$F$101,Time!AR$6)-MAX(Inputs!$F$100,Time!AR$5))/Time!AR$7</f>
        <v>0</v>
      </c>
      <c r="AS500" s="14" t="n">
        <f aca="false">MAX(0,MIN(Inputs!$F$101,Time!AS$6)-MAX(Inputs!$F$100,Time!AS$5))/Time!AS$7</f>
        <v>0</v>
      </c>
      <c r="AT500" s="14" t="n">
        <f aca="false">MAX(0,MIN(Inputs!$F$101,Time!AT$6)-MAX(Inputs!$F$100,Time!AT$5))/Time!AT$7</f>
        <v>0</v>
      </c>
      <c r="AU500" s="14" t="n">
        <f aca="false">MAX(0,MIN(Inputs!$F$101,Time!AU$6)-MAX(Inputs!$F$100,Time!AU$5))/Time!AU$7</f>
        <v>0</v>
      </c>
    </row>
    <row r="501" customFormat="false" ht="15" hidden="false" customHeight="false" outlineLevel="0" collapsed="false">
      <c r="D501" s="0" t="s">
        <v>502</v>
      </c>
      <c r="E501" s="0" t="s">
        <v>458</v>
      </c>
      <c r="J501" s="14" t="n">
        <f aca="false">MAX(0,MIN(Inputs!$F$101,Time!J$6)-MAX(MAX(Inputs!$F$102,Inputs!$F$100),Time!J$5))/Time!J$7</f>
        <v>0.778082191780822</v>
      </c>
      <c r="K501" s="14" t="n">
        <f aca="false">MAX(0,MIN(Inputs!$F$101,Time!K$6)-MAX(MAX(Inputs!$F$102,Inputs!$F$100),Time!K$5))/Time!K$7</f>
        <v>1</v>
      </c>
      <c r="L501" s="14" t="n">
        <f aca="false">MAX(0,MIN(Inputs!$F$101,Time!L$6)-MAX(MAX(Inputs!$F$102,Inputs!$F$100),Time!L$5))/Time!L$7</f>
        <v>1</v>
      </c>
      <c r="M501" s="14" t="n">
        <f aca="false">MAX(0,MIN(Inputs!$F$101,Time!M$6)-MAX(MAX(Inputs!$F$102,Inputs!$F$100),Time!M$5))/Time!M$7</f>
        <v>1</v>
      </c>
      <c r="N501" s="14" t="n">
        <f aca="false">MAX(0,MIN(Inputs!$F$101,Time!N$6)-MAX(MAX(Inputs!$F$102,Inputs!$F$100),Time!N$5))/Time!N$7</f>
        <v>1</v>
      </c>
      <c r="O501" s="14" t="n">
        <f aca="false">MAX(0,MIN(Inputs!$F$101,Time!O$6)-MAX(MAX(Inputs!$F$102,Inputs!$F$100),Time!O$5))/Time!O$7</f>
        <v>1</v>
      </c>
      <c r="P501" s="14" t="n">
        <f aca="false">MAX(0,MIN(Inputs!$F$101,Time!P$6)-MAX(MAX(Inputs!$F$102,Inputs!$F$100),Time!P$5))/Time!P$7</f>
        <v>1</v>
      </c>
      <c r="Q501" s="14" t="n">
        <f aca="false">MAX(0,MIN(Inputs!$F$101,Time!Q$6)-MAX(MAX(Inputs!$F$102,Inputs!$F$100),Time!Q$5))/Time!Q$7</f>
        <v>1</v>
      </c>
      <c r="R501" s="14" t="n">
        <f aca="false">MAX(0,MIN(Inputs!$F$101,Time!R$6)-MAX(MAX(Inputs!$F$102,Inputs!$F$100),Time!R$5))/Time!R$7</f>
        <v>1</v>
      </c>
      <c r="S501" s="14" t="n">
        <f aca="false">MAX(0,MIN(Inputs!$F$101,Time!S$6)-MAX(MAX(Inputs!$F$102,Inputs!$F$100),Time!S$5))/Time!S$7</f>
        <v>1</v>
      </c>
      <c r="T501" s="14" t="n">
        <f aca="false">MAX(0,MIN(Inputs!$F$101,Time!T$6)-MAX(MAX(Inputs!$F$102,Inputs!$F$100),Time!T$5))/Time!T$7</f>
        <v>1</v>
      </c>
      <c r="U501" s="14" t="n">
        <f aca="false">MAX(0,MIN(Inputs!$F$101,Time!U$6)-MAX(MAX(Inputs!$F$102,Inputs!$F$100),Time!U$5))/Time!U$7</f>
        <v>1</v>
      </c>
      <c r="V501" s="14" t="n">
        <f aca="false">MAX(0,MIN(Inputs!$F$101,Time!V$6)-MAX(MAX(Inputs!$F$102,Inputs!$F$100),Time!V$5))/Time!V$7</f>
        <v>1</v>
      </c>
      <c r="W501" s="14" t="n">
        <f aca="false">MAX(0,MIN(Inputs!$F$101,Time!W$6)-MAX(MAX(Inputs!$F$102,Inputs!$F$100),Time!W$5))/Time!W$7</f>
        <v>1</v>
      </c>
      <c r="X501" s="14" t="n">
        <f aca="false">MAX(0,MIN(Inputs!$F$101,Time!X$6)-MAX(MAX(Inputs!$F$102,Inputs!$F$100),Time!X$5))/Time!X$7</f>
        <v>1</v>
      </c>
      <c r="Y501" s="14" t="n">
        <f aca="false">MAX(0,MIN(Inputs!$F$101,Time!Y$6)-MAX(MAX(Inputs!$F$102,Inputs!$F$100),Time!Y$5))/Time!Y$7</f>
        <v>1</v>
      </c>
      <c r="Z501" s="14" t="n">
        <f aca="false">MAX(0,MIN(Inputs!$F$101,Time!Z$6)-MAX(MAX(Inputs!$F$102,Inputs!$F$100),Time!Z$5))/Time!Z$7</f>
        <v>1</v>
      </c>
      <c r="AA501" s="14" t="n">
        <f aca="false">MAX(0,MIN(Inputs!$F$101,Time!AA$6)-MAX(MAX(Inputs!$F$102,Inputs!$F$100),Time!AA$5))/Time!AA$7</f>
        <v>1</v>
      </c>
      <c r="AB501" s="14" t="n">
        <f aca="false">MAX(0,MIN(Inputs!$F$101,Time!AB$6)-MAX(MAX(Inputs!$F$102,Inputs!$F$100),Time!AB$5))/Time!AB$7</f>
        <v>1</v>
      </c>
      <c r="AC501" s="14" t="n">
        <f aca="false">MAX(0,MIN(Inputs!$F$101,Time!AC$6)-MAX(MAX(Inputs!$F$102,Inputs!$F$100),Time!AC$5))/Time!AC$7</f>
        <v>1</v>
      </c>
      <c r="AD501" s="14" t="n">
        <f aca="false">MAX(0,MIN(Inputs!$F$101,Time!AD$6)-MAX(MAX(Inputs!$F$102,Inputs!$F$100),Time!AD$5))/Time!AD$7</f>
        <v>1</v>
      </c>
      <c r="AE501" s="14" t="n">
        <f aca="false">MAX(0,MIN(Inputs!$F$101,Time!AE$6)-MAX(MAX(Inputs!$F$102,Inputs!$F$100),Time!AE$5))/Time!AE$7</f>
        <v>1</v>
      </c>
      <c r="AF501" s="14" t="n">
        <f aca="false">MAX(0,MIN(Inputs!$F$101,Time!AF$6)-MAX(MAX(Inputs!$F$102,Inputs!$F$100),Time!AF$5))/Time!AF$7</f>
        <v>1</v>
      </c>
      <c r="AG501" s="14" t="n">
        <f aca="false">MAX(0,MIN(Inputs!$F$101,Time!AG$6)-MAX(MAX(Inputs!$F$102,Inputs!$F$100),Time!AG$5))/Time!AG$7</f>
        <v>1</v>
      </c>
      <c r="AH501" s="14" t="n">
        <f aca="false">MAX(0,MIN(Inputs!$F$101,Time!AH$6)-MAX(MAX(Inputs!$F$102,Inputs!$F$100),Time!AH$5))/Time!AH$7</f>
        <v>1</v>
      </c>
      <c r="AI501" s="14" t="n">
        <f aca="false">MAX(0,MIN(Inputs!$F$101,Time!AI$6)-MAX(MAX(Inputs!$F$102,Inputs!$F$100),Time!AI$5))/Time!AI$7</f>
        <v>0.495890410958904</v>
      </c>
      <c r="AJ501" s="14" t="n">
        <f aca="false">MAX(0,MIN(Inputs!$F$101,Time!AJ$6)-MAX(MAX(Inputs!$F$102,Inputs!$F$100),Time!AJ$5))/Time!AJ$7</f>
        <v>0</v>
      </c>
      <c r="AK501" s="14" t="n">
        <f aca="false">MAX(0,MIN(Inputs!$F$101,Time!AK$6)-MAX(MAX(Inputs!$F$102,Inputs!$F$100),Time!AK$5))/Time!AK$7</f>
        <v>0</v>
      </c>
      <c r="AL501" s="14" t="n">
        <f aca="false">MAX(0,MIN(Inputs!$F$101,Time!AL$6)-MAX(MAX(Inputs!$F$102,Inputs!$F$100),Time!AL$5))/Time!AL$7</f>
        <v>0</v>
      </c>
      <c r="AM501" s="14" t="n">
        <f aca="false">MAX(0,MIN(Inputs!$F$101,Time!AM$6)-MAX(MAX(Inputs!$F$102,Inputs!$F$100),Time!AM$5))/Time!AM$7</f>
        <v>0</v>
      </c>
      <c r="AN501" s="14" t="n">
        <f aca="false">MAX(0,MIN(Inputs!$F$101,Time!AN$6)-MAX(MAX(Inputs!$F$102,Inputs!$F$100),Time!AN$5))/Time!AN$7</f>
        <v>0</v>
      </c>
      <c r="AO501" s="14" t="n">
        <f aca="false">MAX(0,MIN(Inputs!$F$101,Time!AO$6)-MAX(MAX(Inputs!$F$102,Inputs!$F$100),Time!AO$5))/Time!AO$7</f>
        <v>0</v>
      </c>
      <c r="AP501" s="14" t="n">
        <f aca="false">MAX(0,MIN(Inputs!$F$101,Time!AP$6)-MAX(MAX(Inputs!$F$102,Inputs!$F$100),Time!AP$5))/Time!AP$7</f>
        <v>0</v>
      </c>
      <c r="AQ501" s="14" t="n">
        <f aca="false">MAX(0,MIN(Inputs!$F$101,Time!AQ$6)-MAX(MAX(Inputs!$F$102,Inputs!$F$100),Time!AQ$5))/Time!AQ$7</f>
        <v>0</v>
      </c>
      <c r="AR501" s="14" t="n">
        <f aca="false">MAX(0,MIN(Inputs!$F$101,Time!AR$6)-MAX(MAX(Inputs!$F$102,Inputs!$F$100),Time!AR$5))/Time!AR$7</f>
        <v>0</v>
      </c>
      <c r="AS501" s="14" t="n">
        <f aca="false">MAX(0,MIN(Inputs!$F$101,Time!AS$6)-MAX(MAX(Inputs!$F$102,Inputs!$F$100),Time!AS$5))/Time!AS$7</f>
        <v>0</v>
      </c>
      <c r="AT501" s="14" t="n">
        <f aca="false">MAX(0,MIN(Inputs!$F$101,Time!AT$6)-MAX(MAX(Inputs!$F$102,Inputs!$F$100),Time!AT$5))/Time!AT$7</f>
        <v>0</v>
      </c>
      <c r="AU501" s="14" t="n">
        <f aca="false">MAX(0,MIN(Inputs!$F$101,Time!AU$6)-MAX(MAX(Inputs!$F$102,Inputs!$F$100),Time!AU$5))/Time!AU$7</f>
        <v>0</v>
      </c>
    </row>
    <row r="502" customFormat="false" ht="15" hidden="false" customHeight="false" outlineLevel="0" collapsed="false">
      <c r="D502" s="0" t="s">
        <v>503</v>
      </c>
      <c r="E502" s="0" t="s">
        <v>458</v>
      </c>
      <c r="J502" s="14" t="n">
        <f aca="false">IF(Operations!J500&gt;0,Operations!J501/Operations!J500,0)</f>
        <v>0.778082191780822</v>
      </c>
      <c r="K502" s="14" t="n">
        <f aca="false">IF(Operations!K500&gt;0,Operations!K501/Operations!K500,0)</f>
        <v>1</v>
      </c>
      <c r="L502" s="14" t="n">
        <f aca="false">IF(Operations!L500&gt;0,Operations!L501/Operations!L500,0)</f>
        <v>1</v>
      </c>
      <c r="M502" s="14" t="n">
        <f aca="false">IF(Operations!M500&gt;0,Operations!M501/Operations!M500,0)</f>
        <v>1</v>
      </c>
      <c r="N502" s="14" t="n">
        <f aca="false">IF(Operations!N500&gt;0,Operations!N501/Operations!N500,0)</f>
        <v>1</v>
      </c>
      <c r="O502" s="14" t="n">
        <f aca="false">IF(Operations!O500&gt;0,Operations!O501/Operations!O500,0)</f>
        <v>1</v>
      </c>
      <c r="P502" s="14" t="n">
        <f aca="false">IF(Operations!P500&gt;0,Operations!P501/Operations!P500,0)</f>
        <v>1</v>
      </c>
      <c r="Q502" s="14" t="n">
        <f aca="false">IF(Operations!Q500&gt;0,Operations!Q501/Operations!Q500,0)</f>
        <v>1</v>
      </c>
      <c r="R502" s="14" t="n">
        <f aca="false">IF(Operations!R500&gt;0,Operations!R501/Operations!R500,0)</f>
        <v>1</v>
      </c>
      <c r="S502" s="14" t="n">
        <f aca="false">IF(Operations!S500&gt;0,Operations!S501/Operations!S500,0)</f>
        <v>1</v>
      </c>
      <c r="T502" s="14" t="n">
        <f aca="false">IF(Operations!T500&gt;0,Operations!T501/Operations!T500,0)</f>
        <v>1</v>
      </c>
      <c r="U502" s="14" t="n">
        <f aca="false">IF(Operations!U500&gt;0,Operations!U501/Operations!U500,0)</f>
        <v>1</v>
      </c>
      <c r="V502" s="14" t="n">
        <f aca="false">IF(Operations!V500&gt;0,Operations!V501/Operations!V500,0)</f>
        <v>1</v>
      </c>
      <c r="W502" s="14" t="n">
        <f aca="false">IF(Operations!W500&gt;0,Operations!W501/Operations!W500,0)</f>
        <v>1</v>
      </c>
      <c r="X502" s="14" t="n">
        <f aca="false">IF(Operations!X500&gt;0,Operations!X501/Operations!X500,0)</f>
        <v>1</v>
      </c>
      <c r="Y502" s="14" t="n">
        <f aca="false">IF(Operations!Y500&gt;0,Operations!Y501/Operations!Y500,0)</f>
        <v>1</v>
      </c>
      <c r="Z502" s="14" t="n">
        <f aca="false">IF(Operations!Z500&gt;0,Operations!Z501/Operations!Z500,0)</f>
        <v>1</v>
      </c>
      <c r="AA502" s="14" t="n">
        <f aca="false">IF(Operations!AA500&gt;0,Operations!AA501/Operations!AA500,0)</f>
        <v>1</v>
      </c>
      <c r="AB502" s="14" t="n">
        <f aca="false">IF(Operations!AB500&gt;0,Operations!AB501/Operations!AB500,0)</f>
        <v>1</v>
      </c>
      <c r="AC502" s="14" t="n">
        <f aca="false">IF(Operations!AC500&gt;0,Operations!AC501/Operations!AC500,0)</f>
        <v>1</v>
      </c>
      <c r="AD502" s="14" t="n">
        <f aca="false">IF(Operations!AD500&gt;0,Operations!AD501/Operations!AD500,0)</f>
        <v>1</v>
      </c>
      <c r="AE502" s="14" t="n">
        <f aca="false">IF(Operations!AE500&gt;0,Operations!AE501/Operations!AE500,0)</f>
        <v>1</v>
      </c>
      <c r="AF502" s="14" t="n">
        <f aca="false">IF(Operations!AF500&gt;0,Operations!AF501/Operations!AF500,0)</f>
        <v>1</v>
      </c>
      <c r="AG502" s="14" t="n">
        <f aca="false">IF(Operations!AG500&gt;0,Operations!AG501/Operations!AG500,0)</f>
        <v>1</v>
      </c>
      <c r="AH502" s="14" t="n">
        <f aca="false">IF(Operations!AH500&gt;0,Operations!AH501/Operations!AH500,0)</f>
        <v>1</v>
      </c>
      <c r="AI502" s="14" t="n">
        <f aca="false">IF(Operations!AI500&gt;0,Operations!AI501/Operations!AI500,0)</f>
        <v>1</v>
      </c>
      <c r="AJ502" s="14" t="n">
        <f aca="false">IF(Operations!AJ500&gt;0,Operations!AJ501/Operations!AJ500,0)</f>
        <v>0</v>
      </c>
      <c r="AK502" s="14" t="n">
        <f aca="false">IF(Operations!AK500&gt;0,Operations!AK501/Operations!AK500,0)</f>
        <v>0</v>
      </c>
      <c r="AL502" s="14" t="n">
        <f aca="false">IF(Operations!AL500&gt;0,Operations!AL501/Operations!AL500,0)</f>
        <v>0</v>
      </c>
      <c r="AM502" s="14" t="n">
        <f aca="false">IF(Operations!AM500&gt;0,Operations!AM501/Operations!AM500,0)</f>
        <v>0</v>
      </c>
      <c r="AN502" s="14" t="n">
        <f aca="false">IF(Operations!AN500&gt;0,Operations!AN501/Operations!AN500,0)</f>
        <v>0</v>
      </c>
      <c r="AO502" s="14" t="n">
        <f aca="false">IF(Operations!AO500&gt;0,Operations!AO501/Operations!AO500,0)</f>
        <v>0</v>
      </c>
      <c r="AP502" s="14" t="n">
        <f aca="false">IF(Operations!AP500&gt;0,Operations!AP501/Operations!AP500,0)</f>
        <v>0</v>
      </c>
      <c r="AQ502" s="14" t="n">
        <f aca="false">IF(Operations!AQ500&gt;0,Operations!AQ501/Operations!AQ500,0)</f>
        <v>0</v>
      </c>
      <c r="AR502" s="14" t="n">
        <f aca="false">IF(Operations!AR500&gt;0,Operations!AR501/Operations!AR500,0)</f>
        <v>0</v>
      </c>
      <c r="AS502" s="14" t="n">
        <f aca="false">IF(Operations!AS500&gt;0,Operations!AS501/Operations!AS500,0)</f>
        <v>0</v>
      </c>
      <c r="AT502" s="14" t="n">
        <f aca="false">IF(Operations!AT500&gt;0,Operations!AT501/Operations!AT500,0)</f>
        <v>0</v>
      </c>
      <c r="AU502" s="14" t="n">
        <f aca="false">IF(Operations!AU500&gt;0,Operations!AU501/Operations!AU500,0)</f>
        <v>0</v>
      </c>
    </row>
    <row r="503" customFormat="false" ht="15" hidden="false" customHeight="false" outlineLevel="0" collapsed="false">
      <c r="D503" s="0" t="s">
        <v>504</v>
      </c>
      <c r="E503" s="0" t="s">
        <v>96</v>
      </c>
      <c r="J503" s="18" t="n">
        <f aca="false">Operations!J449</f>
        <v>73.9286</v>
      </c>
      <c r="K503" s="18" t="n">
        <f aca="false">Operations!K449</f>
        <v>60.6492</v>
      </c>
      <c r="L503" s="18" t="n">
        <f aca="false">Operations!L449</f>
        <v>29.8291</v>
      </c>
      <c r="M503" s="18" t="n">
        <f aca="false">Operations!M449</f>
        <v>39.4418</v>
      </c>
      <c r="N503" s="18" t="n">
        <f aca="false">Operations!N449</f>
        <v>44.1986</v>
      </c>
      <c r="O503" s="18" t="n">
        <f aca="false">Operations!O449</f>
        <v>46.8743</v>
      </c>
      <c r="P503" s="18" t="n">
        <f aca="false">Operations!P449</f>
        <v>48.6581</v>
      </c>
      <c r="Q503" s="18" t="n">
        <f aca="false">Operations!Q449</f>
        <v>49.9464</v>
      </c>
      <c r="R503" s="18" t="n">
        <f aca="false">Operations!R449</f>
        <v>51.3338</v>
      </c>
      <c r="S503" s="18" t="n">
        <f aca="false">Operations!S449</f>
        <v>52.36444</v>
      </c>
      <c r="T503" s="18" t="n">
        <f aca="false">Operations!T449</f>
        <v>53.4149</v>
      </c>
      <c r="U503" s="18" t="n">
        <f aca="false">Operations!U449</f>
        <v>54.48518</v>
      </c>
      <c r="V503" s="18" t="n">
        <f aca="false">Operations!V449</f>
        <v>55.57528</v>
      </c>
      <c r="W503" s="18" t="n">
        <f aca="false">Operations!W449</f>
        <v>56.6852</v>
      </c>
      <c r="X503" s="18" t="n">
        <f aca="false">Operations!X449</f>
        <v>57.81494</v>
      </c>
      <c r="Y503" s="18" t="n">
        <f aca="false">Operations!Y449</f>
        <v>58.97441</v>
      </c>
      <c r="Z503" s="18" t="n">
        <f aca="false">Operations!Z449</f>
        <v>60.1537</v>
      </c>
      <c r="AA503" s="18" t="n">
        <f aca="false">Operations!AA449</f>
        <v>61.35281</v>
      </c>
      <c r="AB503" s="18" t="n">
        <f aca="false">Operations!AB449</f>
        <v>62.58165</v>
      </c>
      <c r="AC503" s="18" t="n">
        <f aca="false">Operations!AC449</f>
        <v>63.83031</v>
      </c>
      <c r="AD503" s="18" t="n">
        <f aca="false">Operations!AD449</f>
        <v>65.1087</v>
      </c>
      <c r="AE503" s="18" t="n">
        <f aca="false">Operations!AE449</f>
        <v>66.40691</v>
      </c>
      <c r="AF503" s="18" t="n">
        <f aca="false">Operations!AF449</f>
        <v>67.73485</v>
      </c>
      <c r="AG503" s="18" t="n">
        <f aca="false">Operations!AG449</f>
        <v>69.09252</v>
      </c>
      <c r="AH503" s="18" t="n">
        <f aca="false">Operations!AH449</f>
        <v>70.47001</v>
      </c>
      <c r="AI503" s="18" t="n">
        <f aca="false">Operations!AI449</f>
        <v>71.87723</v>
      </c>
      <c r="AJ503" s="18" t="n">
        <f aca="false">Operations!AJ449</f>
        <v>73.31418</v>
      </c>
      <c r="AK503" s="18" t="n">
        <f aca="false">Operations!AK449</f>
        <v>74.78086</v>
      </c>
      <c r="AL503" s="18" t="n">
        <f aca="false">Operations!AL449</f>
        <v>76.27727</v>
      </c>
      <c r="AM503" s="18" t="n">
        <f aca="false">Operations!AM449</f>
        <v>77.80341</v>
      </c>
      <c r="AN503" s="18" t="n">
        <f aca="false">Operations!AN449</f>
        <v>79.35928</v>
      </c>
      <c r="AO503" s="18" t="n">
        <f aca="false">Operations!AO449</f>
        <v>80.94488</v>
      </c>
      <c r="AP503" s="18" t="n">
        <f aca="false">Operations!AP449</f>
        <v>82.56021</v>
      </c>
      <c r="AQ503" s="18" t="n">
        <f aca="false">Operations!AQ449</f>
        <v>84.21518</v>
      </c>
      <c r="AR503" s="18" t="n">
        <f aca="false">Operations!AR449</f>
        <v>85.89988</v>
      </c>
      <c r="AS503" s="18" t="n">
        <f aca="false">Operations!AS449</f>
        <v>87.61431</v>
      </c>
      <c r="AT503" s="18" t="n">
        <f aca="false">Operations!AT449</f>
        <v>89.36838</v>
      </c>
      <c r="AU503" s="18" t="n">
        <f aca="false">Operations!AU449</f>
        <v>91.15218</v>
      </c>
    </row>
    <row r="504" customFormat="false" ht="15" hidden="false" customHeight="false" outlineLevel="0" collapsed="false">
      <c r="D504" s="0" t="s">
        <v>505</v>
      </c>
      <c r="E504" s="0" t="s">
        <v>27</v>
      </c>
      <c r="J504" s="14" t="n">
        <f aca="false">CHOOSE(Operations!$F$442,1,Inputs!$F$106/100,Inputs!$F$107/100,Operations!$F$18/100)</f>
        <v>1</v>
      </c>
      <c r="K504" s="14" t="n">
        <f aca="false">CHOOSE(Operations!$F$442,1,Inputs!$F$106/100,Inputs!$F$107/100,Operations!$F$18/100)</f>
        <v>1</v>
      </c>
      <c r="L504" s="14" t="n">
        <f aca="false">CHOOSE(Operations!$F$442,1,Inputs!$F$106/100,Inputs!$F$107/100,Operations!$F$18/100)</f>
        <v>1</v>
      </c>
      <c r="M504" s="14" t="n">
        <f aca="false">CHOOSE(Operations!$F$442,1,Inputs!$F$106/100,Inputs!$F$107/100,Operations!$F$18/100)</f>
        <v>1</v>
      </c>
      <c r="N504" s="14" t="n">
        <f aca="false">CHOOSE(Operations!$F$442,1,Inputs!$F$106/100,Inputs!$F$107/100,Operations!$F$18/100)</f>
        <v>1</v>
      </c>
      <c r="O504" s="14" t="n">
        <f aca="false">CHOOSE(Operations!$F$442,1,Inputs!$F$106/100,Inputs!$F$107/100,Operations!$F$18/100)</f>
        <v>1</v>
      </c>
      <c r="P504" s="14" t="n">
        <f aca="false">CHOOSE(Operations!$F$442,1,Inputs!$F$106/100,Inputs!$F$107/100,Operations!$F$18/100)</f>
        <v>1</v>
      </c>
      <c r="Q504" s="14" t="n">
        <f aca="false">CHOOSE(Operations!$F$442,1,Inputs!$F$106/100,Inputs!$F$107/100,Operations!$F$18/100)</f>
        <v>1</v>
      </c>
      <c r="R504" s="14" t="n">
        <f aca="false">CHOOSE(Operations!$F$442,1,Inputs!$F$106/100,Inputs!$F$107/100,Operations!$F$18/100)</f>
        <v>1</v>
      </c>
      <c r="S504" s="14" t="n">
        <f aca="false">CHOOSE(Operations!$F$442,1,Inputs!$F$106/100,Inputs!$F$107/100,Operations!$F$18/100)</f>
        <v>1</v>
      </c>
      <c r="T504" s="14" t="n">
        <f aca="false">CHOOSE(Operations!$F$442,1,Inputs!$F$106/100,Inputs!$F$107/100,Operations!$F$18/100)</f>
        <v>1</v>
      </c>
      <c r="U504" s="14" t="n">
        <f aca="false">CHOOSE(Operations!$F$442,1,Inputs!$F$106/100,Inputs!$F$107/100,Operations!$F$18/100)</f>
        <v>1</v>
      </c>
      <c r="V504" s="14" t="n">
        <f aca="false">CHOOSE(Operations!$F$442,1,Inputs!$F$106/100,Inputs!$F$107/100,Operations!$F$18/100)</f>
        <v>1</v>
      </c>
      <c r="W504" s="14" t="n">
        <f aca="false">CHOOSE(Operations!$F$442,1,Inputs!$F$106/100,Inputs!$F$107/100,Operations!$F$18/100)</f>
        <v>1</v>
      </c>
      <c r="X504" s="14" t="n">
        <f aca="false">CHOOSE(Operations!$F$442,1,Inputs!$F$106/100,Inputs!$F$107/100,Operations!$F$18/100)</f>
        <v>1</v>
      </c>
      <c r="Y504" s="14" t="n">
        <f aca="false">CHOOSE(Operations!$F$442,1,Inputs!$F$106/100,Inputs!$F$107/100,Operations!$F$18/100)</f>
        <v>1</v>
      </c>
      <c r="Z504" s="14" t="n">
        <f aca="false">CHOOSE(Operations!$F$442,1,Inputs!$F$106/100,Inputs!$F$107/100,Operations!$F$18/100)</f>
        <v>1</v>
      </c>
      <c r="AA504" s="14" t="n">
        <f aca="false">CHOOSE(Operations!$F$442,1,Inputs!$F$106/100,Inputs!$F$107/100,Operations!$F$18/100)</f>
        <v>1</v>
      </c>
      <c r="AB504" s="14" t="n">
        <f aca="false">CHOOSE(Operations!$F$442,1,Inputs!$F$106/100,Inputs!$F$107/100,Operations!$F$18/100)</f>
        <v>1</v>
      </c>
      <c r="AC504" s="14" t="n">
        <f aca="false">CHOOSE(Operations!$F$442,1,Inputs!$F$106/100,Inputs!$F$107/100,Operations!$F$18/100)</f>
        <v>1</v>
      </c>
      <c r="AD504" s="14" t="n">
        <f aca="false">CHOOSE(Operations!$F$442,1,Inputs!$F$106/100,Inputs!$F$107/100,Operations!$F$18/100)</f>
        <v>1</v>
      </c>
      <c r="AE504" s="14" t="n">
        <f aca="false">CHOOSE(Operations!$F$442,1,Inputs!$F$106/100,Inputs!$F$107/100,Operations!$F$18/100)</f>
        <v>1</v>
      </c>
      <c r="AF504" s="14" t="n">
        <f aca="false">CHOOSE(Operations!$F$442,1,Inputs!$F$106/100,Inputs!$F$107/100,Operations!$F$18/100)</f>
        <v>1</v>
      </c>
      <c r="AG504" s="14" t="n">
        <f aca="false">CHOOSE(Operations!$F$442,1,Inputs!$F$106/100,Inputs!$F$107/100,Operations!$F$18/100)</f>
        <v>1</v>
      </c>
      <c r="AH504" s="14" t="n">
        <f aca="false">CHOOSE(Operations!$F$442,1,Inputs!$F$106/100,Inputs!$F$107/100,Operations!$F$18/100)</f>
        <v>1</v>
      </c>
      <c r="AI504" s="14" t="n">
        <f aca="false">CHOOSE(Operations!$F$442,1,Inputs!$F$106/100,Inputs!$F$107/100,Operations!$F$18/100)</f>
        <v>1</v>
      </c>
      <c r="AJ504" s="14" t="n">
        <f aca="false">CHOOSE(Operations!$F$442,1,Inputs!$F$106/100,Inputs!$F$107/100,Operations!$F$18/100)</f>
        <v>1</v>
      </c>
      <c r="AK504" s="14" t="n">
        <f aca="false">CHOOSE(Operations!$F$442,1,Inputs!$F$106/100,Inputs!$F$107/100,Operations!$F$18/100)</f>
        <v>1</v>
      </c>
      <c r="AL504" s="14" t="n">
        <f aca="false">CHOOSE(Operations!$F$442,1,Inputs!$F$106/100,Inputs!$F$107/100,Operations!$F$18/100)</f>
        <v>1</v>
      </c>
      <c r="AM504" s="14" t="n">
        <f aca="false">CHOOSE(Operations!$F$442,1,Inputs!$F$106/100,Inputs!$F$107/100,Operations!$F$18/100)</f>
        <v>1</v>
      </c>
      <c r="AN504" s="14" t="n">
        <f aca="false">CHOOSE(Operations!$F$442,1,Inputs!$F$106/100,Inputs!$F$107/100,Operations!$F$18/100)</f>
        <v>1</v>
      </c>
      <c r="AO504" s="14" t="n">
        <f aca="false">CHOOSE(Operations!$F$442,1,Inputs!$F$106/100,Inputs!$F$107/100,Operations!$F$18/100)</f>
        <v>1</v>
      </c>
      <c r="AP504" s="14" t="n">
        <f aca="false">CHOOSE(Operations!$F$442,1,Inputs!$F$106/100,Inputs!$F$107/100,Operations!$F$18/100)</f>
        <v>1</v>
      </c>
      <c r="AQ504" s="14" t="n">
        <f aca="false">CHOOSE(Operations!$F$442,1,Inputs!$F$106/100,Inputs!$F$107/100,Operations!$F$18/100)</f>
        <v>1</v>
      </c>
      <c r="AR504" s="14" t="n">
        <f aca="false">CHOOSE(Operations!$F$442,1,Inputs!$F$106/100,Inputs!$F$107/100,Operations!$F$18/100)</f>
        <v>1</v>
      </c>
      <c r="AS504" s="14" t="n">
        <f aca="false">CHOOSE(Operations!$F$442,1,Inputs!$F$106/100,Inputs!$F$107/100,Operations!$F$18/100)</f>
        <v>1</v>
      </c>
      <c r="AT504" s="14" t="n">
        <f aca="false">CHOOSE(Operations!$F$442,1,Inputs!$F$106/100,Inputs!$F$107/100,Operations!$F$18/100)</f>
        <v>1</v>
      </c>
      <c r="AU504" s="14" t="n">
        <f aca="false">CHOOSE(Operations!$F$442,1,Inputs!$F$106/100,Inputs!$F$107/100,Operations!$F$18/100)</f>
        <v>1</v>
      </c>
    </row>
    <row r="505" customFormat="false" ht="15" hidden="false" customHeight="false" outlineLevel="0" collapsed="false">
      <c r="D505" s="0" t="s">
        <v>506</v>
      </c>
      <c r="E505" s="0" t="s">
        <v>27</v>
      </c>
      <c r="J505" s="14" t="n">
        <f aca="false">(1-Inputs!$F$108/100)^MAX(0,Time!J$4-Inputs!$F$109)</f>
        <v>1</v>
      </c>
      <c r="K505" s="14" t="n">
        <f aca="false">(1-Inputs!$F$108/100)^MAX(0,Time!K$4-Inputs!$F$109)</f>
        <v>0.998</v>
      </c>
      <c r="L505" s="14" t="n">
        <f aca="false">(1-Inputs!$F$108/100)^MAX(0,Time!L$4-Inputs!$F$109)</f>
        <v>0.996004</v>
      </c>
      <c r="M505" s="14" t="n">
        <f aca="false">(1-Inputs!$F$108/100)^MAX(0,Time!M$4-Inputs!$F$109)</f>
        <v>0.994011992</v>
      </c>
      <c r="N505" s="14" t="n">
        <f aca="false">(1-Inputs!$F$108/100)^MAX(0,Time!N$4-Inputs!$F$109)</f>
        <v>0.992023968016</v>
      </c>
      <c r="O505" s="14" t="n">
        <f aca="false">(1-Inputs!$F$108/100)^MAX(0,Time!O$4-Inputs!$F$109)</f>
        <v>0.990039920079968</v>
      </c>
      <c r="P505" s="14" t="n">
        <f aca="false">(1-Inputs!$F$108/100)^MAX(0,Time!P$4-Inputs!$F$109)</f>
        <v>0.988059840239808</v>
      </c>
      <c r="Q505" s="14" t="n">
        <f aca="false">(1-Inputs!$F$108/100)^MAX(0,Time!Q$4-Inputs!$F$109)</f>
        <v>0.986083720559329</v>
      </c>
      <c r="R505" s="14" t="n">
        <f aca="false">(1-Inputs!$F$108/100)^MAX(0,Time!R$4-Inputs!$F$109)</f>
        <v>0.98411155311821</v>
      </c>
      <c r="S505" s="14" t="n">
        <f aca="false">(1-Inputs!$F$108/100)^MAX(0,Time!S$4-Inputs!$F$109)</f>
        <v>0.982143330011973</v>
      </c>
      <c r="T505" s="14" t="n">
        <f aca="false">(1-Inputs!$F$108/100)^MAX(0,Time!T$4-Inputs!$F$109)</f>
        <v>0.980179043351949</v>
      </c>
      <c r="U505" s="14" t="n">
        <f aca="false">(1-Inputs!$F$108/100)^MAX(0,Time!U$4-Inputs!$F$109)</f>
        <v>0.978218685265246</v>
      </c>
      <c r="V505" s="14" t="n">
        <f aca="false">(1-Inputs!$F$108/100)^MAX(0,Time!V$4-Inputs!$F$109)</f>
        <v>0.976262247894715</v>
      </c>
      <c r="W505" s="14" t="n">
        <f aca="false">(1-Inputs!$F$108/100)^MAX(0,Time!W$4-Inputs!$F$109)</f>
        <v>0.974309723398926</v>
      </c>
      <c r="X505" s="14" t="n">
        <f aca="false">(1-Inputs!$F$108/100)^MAX(0,Time!X$4-Inputs!$F$109)</f>
        <v>0.972361103952128</v>
      </c>
      <c r="Y505" s="14" t="n">
        <f aca="false">(1-Inputs!$F$108/100)^MAX(0,Time!Y$4-Inputs!$F$109)</f>
        <v>0.970416381744224</v>
      </c>
      <c r="Z505" s="14" t="n">
        <f aca="false">(1-Inputs!$F$108/100)^MAX(0,Time!Z$4-Inputs!$F$109)</f>
        <v>0.968475548980735</v>
      </c>
      <c r="AA505" s="14" t="n">
        <f aca="false">(1-Inputs!$F$108/100)^MAX(0,Time!AA$4-Inputs!$F$109)</f>
        <v>0.966538597882774</v>
      </c>
      <c r="AB505" s="14" t="n">
        <f aca="false">(1-Inputs!$F$108/100)^MAX(0,Time!AB$4-Inputs!$F$109)</f>
        <v>0.964605520687008</v>
      </c>
      <c r="AC505" s="14" t="n">
        <f aca="false">(1-Inputs!$F$108/100)^MAX(0,Time!AC$4-Inputs!$F$109)</f>
        <v>0.962676309645634</v>
      </c>
      <c r="AD505" s="14" t="n">
        <f aca="false">(1-Inputs!$F$108/100)^MAX(0,Time!AD$4-Inputs!$F$109)</f>
        <v>0.960750957026343</v>
      </c>
      <c r="AE505" s="14" t="n">
        <f aca="false">(1-Inputs!$F$108/100)^MAX(0,Time!AE$4-Inputs!$F$109)</f>
        <v>0.95882945511229</v>
      </c>
      <c r="AF505" s="14" t="n">
        <f aca="false">(1-Inputs!$F$108/100)^MAX(0,Time!AF$4-Inputs!$F$109)</f>
        <v>0.956911796202066</v>
      </c>
      <c r="AG505" s="14" t="n">
        <f aca="false">(1-Inputs!$F$108/100)^MAX(0,Time!AG$4-Inputs!$F$109)</f>
        <v>0.954997972609661</v>
      </c>
      <c r="AH505" s="14" t="n">
        <f aca="false">(1-Inputs!$F$108/100)^MAX(0,Time!AH$4-Inputs!$F$109)</f>
        <v>0.953087976664442</v>
      </c>
      <c r="AI505" s="14" t="n">
        <f aca="false">(1-Inputs!$F$108/100)^MAX(0,Time!AI$4-Inputs!$F$109)</f>
        <v>0.951181800711113</v>
      </c>
      <c r="AJ505" s="14" t="n">
        <f aca="false">(1-Inputs!$F$108/100)^MAX(0,Time!AJ$4-Inputs!$F$109)</f>
        <v>0.949279437109691</v>
      </c>
      <c r="AK505" s="14" t="n">
        <f aca="false">(1-Inputs!$F$108/100)^MAX(0,Time!AK$4-Inputs!$F$109)</f>
        <v>0.947380878235472</v>
      </c>
      <c r="AL505" s="14" t="n">
        <f aca="false">(1-Inputs!$F$108/100)^MAX(0,Time!AL$4-Inputs!$F$109)</f>
        <v>0.945486116479001</v>
      </c>
      <c r="AM505" s="14" t="n">
        <f aca="false">(1-Inputs!$F$108/100)^MAX(0,Time!AM$4-Inputs!$F$109)</f>
        <v>0.943595144246043</v>
      </c>
      <c r="AN505" s="14" t="n">
        <f aca="false">(1-Inputs!$F$108/100)^MAX(0,Time!AN$4-Inputs!$F$109)</f>
        <v>0.941707953957551</v>
      </c>
      <c r="AO505" s="14" t="n">
        <f aca="false">(1-Inputs!$F$108/100)^MAX(0,Time!AO$4-Inputs!$F$109)</f>
        <v>0.939824538049635</v>
      </c>
      <c r="AP505" s="14" t="n">
        <f aca="false">(1-Inputs!$F$108/100)^MAX(0,Time!AP$4-Inputs!$F$109)</f>
        <v>0.937944888973536</v>
      </c>
      <c r="AQ505" s="14" t="n">
        <f aca="false">(1-Inputs!$F$108/100)^MAX(0,Time!AQ$4-Inputs!$F$109)</f>
        <v>0.936068999195589</v>
      </c>
      <c r="AR505" s="14" t="n">
        <f aca="false">(1-Inputs!$F$108/100)^MAX(0,Time!AR$4-Inputs!$F$109)</f>
        <v>0.934196861197198</v>
      </c>
      <c r="AS505" s="14" t="n">
        <f aca="false">(1-Inputs!$F$108/100)^MAX(0,Time!AS$4-Inputs!$F$109)</f>
        <v>0.932328467474804</v>
      </c>
      <c r="AT505" s="14" t="n">
        <f aca="false">(1-Inputs!$F$108/100)^MAX(0,Time!AT$4-Inputs!$F$109)</f>
        <v>0.930463810539854</v>
      </c>
      <c r="AU505" s="14" t="n">
        <f aca="false">(1-Inputs!$F$108/100)^MAX(0,Time!AU$4-Inputs!$F$109)</f>
        <v>0.928602882918774</v>
      </c>
    </row>
    <row r="506" customFormat="false" ht="15" hidden="false" customHeight="false" outlineLevel="0" collapsed="false">
      <c r="D506" s="0" t="s">
        <v>507</v>
      </c>
      <c r="E506" s="0" t="s">
        <v>458</v>
      </c>
      <c r="J506" s="14" t="n">
        <f aca="false">(IF(Time!J$4&gt;=Inputs!$F$61,Inputs!$F$71,Inputs!$F$70+(Inputs!$F$71-Inputs!$F$70)*(Time!J$4-Inputs!$F$23)/(Inputs!$F$61-Inputs!$F$23))+Operations!$F$444)/100</f>
        <v>0.015</v>
      </c>
      <c r="K506" s="14" t="n">
        <f aca="false">(IF(Time!K$4&gt;=Inputs!$F$61,Inputs!$F$71,Inputs!$F$70+(Inputs!$F$71-Inputs!$F$70)*(Time!K$4-Inputs!$F$23)/(Inputs!$F$61-Inputs!$F$23))+Operations!$F$444)/100</f>
        <v>0.015</v>
      </c>
      <c r="L506" s="14" t="n">
        <f aca="false">(IF(Time!L$4&gt;=Inputs!$F$61,Inputs!$F$71,Inputs!$F$70+(Inputs!$F$71-Inputs!$F$70)*(Time!L$4-Inputs!$F$23)/(Inputs!$F$61-Inputs!$F$23))+Operations!$F$444)/100</f>
        <v>0.015</v>
      </c>
      <c r="M506" s="14" t="n">
        <f aca="false">(IF(Time!M$4&gt;=Inputs!$F$61,Inputs!$F$71,Inputs!$F$70+(Inputs!$F$71-Inputs!$F$70)*(Time!M$4-Inputs!$F$23)/(Inputs!$F$61-Inputs!$F$23))+Operations!$F$444)/100</f>
        <v>0.015</v>
      </c>
      <c r="N506" s="14" t="n">
        <f aca="false">(IF(Time!N$4&gt;=Inputs!$F$61,Inputs!$F$71,Inputs!$F$70+(Inputs!$F$71-Inputs!$F$70)*(Time!N$4-Inputs!$F$23)/(Inputs!$F$61-Inputs!$F$23))+Operations!$F$444)/100</f>
        <v>0.015</v>
      </c>
      <c r="O506" s="14" t="n">
        <f aca="false">(IF(Time!O$4&gt;=Inputs!$F$61,Inputs!$F$71,Inputs!$F$70+(Inputs!$F$71-Inputs!$F$70)*(Time!O$4-Inputs!$F$23)/(Inputs!$F$61-Inputs!$F$23))+Operations!$F$444)/100</f>
        <v>0.015</v>
      </c>
      <c r="P506" s="14" t="n">
        <f aca="false">(IF(Time!P$4&gt;=Inputs!$F$61,Inputs!$F$71,Inputs!$F$70+(Inputs!$F$71-Inputs!$F$70)*(Time!P$4-Inputs!$F$23)/(Inputs!$F$61-Inputs!$F$23))+Operations!$F$444)/100</f>
        <v>0.015</v>
      </c>
      <c r="Q506" s="14" t="n">
        <f aca="false">(IF(Time!Q$4&gt;=Inputs!$F$61,Inputs!$F$71,Inputs!$F$70+(Inputs!$F$71-Inputs!$F$70)*(Time!Q$4-Inputs!$F$23)/(Inputs!$F$61-Inputs!$F$23))+Operations!$F$444)/100</f>
        <v>0.015</v>
      </c>
      <c r="R506" s="14" t="n">
        <f aca="false">(IF(Time!R$4&gt;=Inputs!$F$61,Inputs!$F$71,Inputs!$F$70+(Inputs!$F$71-Inputs!$F$70)*(Time!R$4-Inputs!$F$23)/(Inputs!$F$61-Inputs!$F$23))+Operations!$F$444)/100</f>
        <v>0.015</v>
      </c>
      <c r="S506" s="14" t="n">
        <f aca="false">(IF(Time!S$4&gt;=Inputs!$F$61,Inputs!$F$71,Inputs!$F$70+(Inputs!$F$71-Inputs!$F$70)*(Time!S$4-Inputs!$F$23)/(Inputs!$F$61-Inputs!$F$23))+Operations!$F$444)/100</f>
        <v>0.015</v>
      </c>
      <c r="T506" s="14" t="n">
        <f aca="false">(IF(Time!T$4&gt;=Inputs!$F$61,Inputs!$F$71,Inputs!$F$70+(Inputs!$F$71-Inputs!$F$70)*(Time!T$4-Inputs!$F$23)/(Inputs!$F$61-Inputs!$F$23))+Operations!$F$444)/100</f>
        <v>0.015</v>
      </c>
      <c r="U506" s="14" t="n">
        <f aca="false">(IF(Time!U$4&gt;=Inputs!$F$61,Inputs!$F$71,Inputs!$F$70+(Inputs!$F$71-Inputs!$F$70)*(Time!U$4-Inputs!$F$23)/(Inputs!$F$61-Inputs!$F$23))+Operations!$F$444)/100</f>
        <v>0.015</v>
      </c>
      <c r="V506" s="14" t="n">
        <f aca="false">(IF(Time!V$4&gt;=Inputs!$F$61,Inputs!$F$71,Inputs!$F$70+(Inputs!$F$71-Inputs!$F$70)*(Time!V$4-Inputs!$F$23)/(Inputs!$F$61-Inputs!$F$23))+Operations!$F$444)/100</f>
        <v>0.015</v>
      </c>
      <c r="W506" s="14" t="n">
        <f aca="false">(IF(Time!W$4&gt;=Inputs!$F$61,Inputs!$F$71,Inputs!$F$70+(Inputs!$F$71-Inputs!$F$70)*(Time!W$4-Inputs!$F$23)/(Inputs!$F$61-Inputs!$F$23))+Operations!$F$444)/100</f>
        <v>0.015</v>
      </c>
      <c r="X506" s="14" t="n">
        <f aca="false">(IF(Time!X$4&gt;=Inputs!$F$61,Inputs!$F$71,Inputs!$F$70+(Inputs!$F$71-Inputs!$F$70)*(Time!X$4-Inputs!$F$23)/(Inputs!$F$61-Inputs!$F$23))+Operations!$F$444)/100</f>
        <v>0.015</v>
      </c>
      <c r="Y506" s="14" t="n">
        <f aca="false">(IF(Time!Y$4&gt;=Inputs!$F$61,Inputs!$F$71,Inputs!$F$70+(Inputs!$F$71-Inputs!$F$70)*(Time!Y$4-Inputs!$F$23)/(Inputs!$F$61-Inputs!$F$23))+Operations!$F$444)/100</f>
        <v>0.015</v>
      </c>
      <c r="Z506" s="14" t="n">
        <f aca="false">(IF(Time!Z$4&gt;=Inputs!$F$61,Inputs!$F$71,Inputs!$F$70+(Inputs!$F$71-Inputs!$F$70)*(Time!Z$4-Inputs!$F$23)/(Inputs!$F$61-Inputs!$F$23))+Operations!$F$444)/100</f>
        <v>0.015</v>
      </c>
      <c r="AA506" s="14" t="n">
        <f aca="false">(IF(Time!AA$4&gt;=Inputs!$F$61,Inputs!$F$71,Inputs!$F$70+(Inputs!$F$71-Inputs!$F$70)*(Time!AA$4-Inputs!$F$23)/(Inputs!$F$61-Inputs!$F$23))+Operations!$F$444)/100</f>
        <v>0.015</v>
      </c>
      <c r="AB506" s="14" t="n">
        <f aca="false">(IF(Time!AB$4&gt;=Inputs!$F$61,Inputs!$F$71,Inputs!$F$70+(Inputs!$F$71-Inputs!$F$70)*(Time!AB$4-Inputs!$F$23)/(Inputs!$F$61-Inputs!$F$23))+Operations!$F$444)/100</f>
        <v>0.015</v>
      </c>
      <c r="AC506" s="14" t="n">
        <f aca="false">(IF(Time!AC$4&gt;=Inputs!$F$61,Inputs!$F$71,Inputs!$F$70+(Inputs!$F$71-Inputs!$F$70)*(Time!AC$4-Inputs!$F$23)/(Inputs!$F$61-Inputs!$F$23))+Operations!$F$444)/100</f>
        <v>0.015</v>
      </c>
      <c r="AD506" s="14" t="n">
        <f aca="false">(IF(Time!AD$4&gt;=Inputs!$F$61,Inputs!$F$71,Inputs!$F$70+(Inputs!$F$71-Inputs!$F$70)*(Time!AD$4-Inputs!$F$23)/(Inputs!$F$61-Inputs!$F$23))+Operations!$F$444)/100</f>
        <v>0.015</v>
      </c>
      <c r="AE506" s="14" t="n">
        <f aca="false">(IF(Time!AE$4&gt;=Inputs!$F$61,Inputs!$F$71,Inputs!$F$70+(Inputs!$F$71-Inputs!$F$70)*(Time!AE$4-Inputs!$F$23)/(Inputs!$F$61-Inputs!$F$23))+Operations!$F$444)/100</f>
        <v>0.015</v>
      </c>
      <c r="AF506" s="14" t="n">
        <f aca="false">(IF(Time!AF$4&gt;=Inputs!$F$61,Inputs!$F$71,Inputs!$F$70+(Inputs!$F$71-Inputs!$F$70)*(Time!AF$4-Inputs!$F$23)/(Inputs!$F$61-Inputs!$F$23))+Operations!$F$444)/100</f>
        <v>0.015</v>
      </c>
      <c r="AG506" s="14" t="n">
        <f aca="false">(IF(Time!AG$4&gt;=Inputs!$F$61,Inputs!$F$71,Inputs!$F$70+(Inputs!$F$71-Inputs!$F$70)*(Time!AG$4-Inputs!$F$23)/(Inputs!$F$61-Inputs!$F$23))+Operations!$F$444)/100</f>
        <v>0.015</v>
      </c>
      <c r="AH506" s="14" t="n">
        <f aca="false">(IF(Time!AH$4&gt;=Inputs!$F$61,Inputs!$F$71,Inputs!$F$70+(Inputs!$F$71-Inputs!$F$70)*(Time!AH$4-Inputs!$F$23)/(Inputs!$F$61-Inputs!$F$23))+Operations!$F$444)/100</f>
        <v>0.015</v>
      </c>
      <c r="AI506" s="14" t="n">
        <f aca="false">(IF(Time!AI$4&gt;=Inputs!$F$61,Inputs!$F$71,Inputs!$F$70+(Inputs!$F$71-Inputs!$F$70)*(Time!AI$4-Inputs!$F$23)/(Inputs!$F$61-Inputs!$F$23))+Operations!$F$444)/100</f>
        <v>0.015</v>
      </c>
      <c r="AJ506" s="14" t="n">
        <f aca="false">(IF(Time!AJ$4&gt;=Inputs!$F$61,Inputs!$F$71,Inputs!$F$70+(Inputs!$F$71-Inputs!$F$70)*(Time!AJ$4-Inputs!$F$23)/(Inputs!$F$61-Inputs!$F$23))+Operations!$F$444)/100</f>
        <v>0.015</v>
      </c>
      <c r="AK506" s="14" t="n">
        <f aca="false">(IF(Time!AK$4&gt;=Inputs!$F$61,Inputs!$F$71,Inputs!$F$70+(Inputs!$F$71-Inputs!$F$70)*(Time!AK$4-Inputs!$F$23)/(Inputs!$F$61-Inputs!$F$23))+Operations!$F$444)/100</f>
        <v>0.015</v>
      </c>
      <c r="AL506" s="14" t="n">
        <f aca="false">(IF(Time!AL$4&gt;=Inputs!$F$61,Inputs!$F$71,Inputs!$F$70+(Inputs!$F$71-Inputs!$F$70)*(Time!AL$4-Inputs!$F$23)/(Inputs!$F$61-Inputs!$F$23))+Operations!$F$444)/100</f>
        <v>0.015</v>
      </c>
      <c r="AM506" s="14" t="n">
        <f aca="false">(IF(Time!AM$4&gt;=Inputs!$F$61,Inputs!$F$71,Inputs!$F$70+(Inputs!$F$71-Inputs!$F$70)*(Time!AM$4-Inputs!$F$23)/(Inputs!$F$61-Inputs!$F$23))+Operations!$F$444)/100</f>
        <v>0.015</v>
      </c>
      <c r="AN506" s="14" t="n">
        <f aca="false">(IF(Time!AN$4&gt;=Inputs!$F$61,Inputs!$F$71,Inputs!$F$70+(Inputs!$F$71-Inputs!$F$70)*(Time!AN$4-Inputs!$F$23)/(Inputs!$F$61-Inputs!$F$23))+Operations!$F$444)/100</f>
        <v>0.015</v>
      </c>
      <c r="AO506" s="14" t="n">
        <f aca="false">(IF(Time!AO$4&gt;=Inputs!$F$61,Inputs!$F$71,Inputs!$F$70+(Inputs!$F$71-Inputs!$F$70)*(Time!AO$4-Inputs!$F$23)/(Inputs!$F$61-Inputs!$F$23))+Operations!$F$444)/100</f>
        <v>0.015</v>
      </c>
      <c r="AP506" s="14" t="n">
        <f aca="false">(IF(Time!AP$4&gt;=Inputs!$F$61,Inputs!$F$71,Inputs!$F$70+(Inputs!$F$71-Inputs!$F$70)*(Time!AP$4-Inputs!$F$23)/(Inputs!$F$61-Inputs!$F$23))+Operations!$F$444)/100</f>
        <v>0.015</v>
      </c>
      <c r="AQ506" s="14" t="n">
        <f aca="false">(IF(Time!AQ$4&gt;=Inputs!$F$61,Inputs!$F$71,Inputs!$F$70+(Inputs!$F$71-Inputs!$F$70)*(Time!AQ$4-Inputs!$F$23)/(Inputs!$F$61-Inputs!$F$23))+Operations!$F$444)/100</f>
        <v>0.015</v>
      </c>
      <c r="AR506" s="14" t="n">
        <f aca="false">(IF(Time!AR$4&gt;=Inputs!$F$61,Inputs!$F$71,Inputs!$F$70+(Inputs!$F$71-Inputs!$F$70)*(Time!AR$4-Inputs!$F$23)/(Inputs!$F$61-Inputs!$F$23))+Operations!$F$444)/100</f>
        <v>0.015</v>
      </c>
      <c r="AS506" s="14" t="n">
        <f aca="false">(IF(Time!AS$4&gt;=Inputs!$F$61,Inputs!$F$71,Inputs!$F$70+(Inputs!$F$71-Inputs!$F$70)*(Time!AS$4-Inputs!$F$23)/(Inputs!$F$61-Inputs!$F$23))+Operations!$F$444)/100</f>
        <v>0.015</v>
      </c>
      <c r="AT506" s="14" t="n">
        <f aca="false">(IF(Time!AT$4&gt;=Inputs!$F$61,Inputs!$F$71,Inputs!$F$70+(Inputs!$F$71-Inputs!$F$70)*(Time!AT$4-Inputs!$F$23)/(Inputs!$F$61-Inputs!$F$23))+Operations!$F$444)/100</f>
        <v>0.015</v>
      </c>
      <c r="AU506" s="14" t="n">
        <f aca="false">(IF(Time!AU$4&gt;=Inputs!$F$61,Inputs!$F$71,Inputs!$F$70+(Inputs!$F$71-Inputs!$F$70)*(Time!AU$4-Inputs!$F$23)/(Inputs!$F$61-Inputs!$F$23))+Operations!$F$444)/100</f>
        <v>0.015</v>
      </c>
    </row>
    <row r="507" customFormat="false" ht="15" hidden="false" customHeight="false" outlineLevel="0" collapsed="false">
      <c r="D507" s="0" t="s">
        <v>508</v>
      </c>
      <c r="E507" s="0" t="s">
        <v>466</v>
      </c>
      <c r="J507" s="20" t="n">
        <f aca="false">Inputs!$F$105*Operations!J504*Inputs!$F$192/100*Operations!J505*(1-Operations!J506)</f>
        <v>773.7175</v>
      </c>
      <c r="K507" s="20" t="n">
        <f aca="false">Inputs!$F$105*Operations!K504*Inputs!$F$192/100*Operations!K505*(1-Operations!K506)</f>
        <v>772.170065</v>
      </c>
      <c r="L507" s="20" t="n">
        <f aca="false">Inputs!$F$105*Operations!L504*Inputs!$F$192/100*Operations!L505*(1-Operations!L506)</f>
        <v>770.62572487</v>
      </c>
      <c r="M507" s="20" t="n">
        <f aca="false">Inputs!$F$105*Operations!M504*Inputs!$F$192/100*Operations!M505*(1-Operations!M506)</f>
        <v>769.08447342026</v>
      </c>
      <c r="N507" s="20" t="n">
        <f aca="false">Inputs!$F$105*Operations!N504*Inputs!$F$192/100*Operations!N505*(1-Operations!N506)</f>
        <v>767.54630447342</v>
      </c>
      <c r="O507" s="20" t="n">
        <f aca="false">Inputs!$F$105*Operations!O504*Inputs!$F$192/100*Operations!O505*(1-Operations!O506)</f>
        <v>766.011211864473</v>
      </c>
      <c r="P507" s="20" t="n">
        <f aca="false">Inputs!$F$105*Operations!P504*Inputs!$F$192/100*Operations!P505*(1-Operations!P506)</f>
        <v>764.479189440744</v>
      </c>
      <c r="Q507" s="20" t="n">
        <f aca="false">Inputs!$F$105*Operations!Q504*Inputs!$F$192/100*Operations!Q505*(1-Operations!Q506)</f>
        <v>762.950231061862</v>
      </c>
      <c r="R507" s="20" t="n">
        <f aca="false">Inputs!$F$105*Operations!R504*Inputs!$F$192/100*Operations!R505*(1-Operations!R506)</f>
        <v>761.424330599739</v>
      </c>
      <c r="S507" s="20" t="n">
        <f aca="false">Inputs!$F$105*Operations!S504*Inputs!$F$192/100*Operations!S505*(1-Operations!S506)</f>
        <v>759.901481938539</v>
      </c>
      <c r="T507" s="20" t="n">
        <f aca="false">Inputs!$F$105*Operations!T504*Inputs!$F$192/100*Operations!T505*(1-Operations!T506)</f>
        <v>758.381678974662</v>
      </c>
      <c r="U507" s="20" t="n">
        <f aca="false">Inputs!$F$105*Operations!U504*Inputs!$F$192/100*Operations!U505*(1-Operations!U506)</f>
        <v>756.864915616713</v>
      </c>
      <c r="V507" s="20" t="n">
        <f aca="false">Inputs!$F$105*Operations!V504*Inputs!$F$192/100*Operations!V505*(1-Operations!V506)</f>
        <v>755.351185785479</v>
      </c>
      <c r="W507" s="20" t="n">
        <f aca="false">Inputs!$F$105*Operations!W504*Inputs!$F$192/100*Operations!W505*(1-Operations!W506)</f>
        <v>753.840483413908</v>
      </c>
      <c r="X507" s="20" t="n">
        <f aca="false">Inputs!$F$105*Operations!X504*Inputs!$F$192/100*Operations!X505*(1-Operations!X506)</f>
        <v>752.33280244708</v>
      </c>
      <c r="Y507" s="20" t="n">
        <f aca="false">Inputs!$F$105*Operations!Y504*Inputs!$F$192/100*Operations!Y505*(1-Operations!Y506)</f>
        <v>750.828136842186</v>
      </c>
      <c r="Z507" s="20" t="n">
        <f aca="false">Inputs!$F$105*Operations!Z504*Inputs!$F$192/100*Operations!Z505*(1-Operations!Z506)</f>
        <v>749.326480568502</v>
      </c>
      <c r="AA507" s="20" t="n">
        <f aca="false">Inputs!$F$105*Operations!AA504*Inputs!$F$192/100*Operations!AA505*(1-Operations!AA506)</f>
        <v>747.827827607365</v>
      </c>
      <c r="AB507" s="20" t="n">
        <f aca="false">Inputs!$F$105*Operations!AB504*Inputs!$F$192/100*Operations!AB505*(1-Operations!AB506)</f>
        <v>746.33217195215</v>
      </c>
      <c r="AC507" s="20" t="n">
        <f aca="false">Inputs!$F$105*Operations!AC504*Inputs!$F$192/100*Operations!AC505*(1-Operations!AC506)</f>
        <v>744.839507608246</v>
      </c>
      <c r="AD507" s="20" t="n">
        <f aca="false">Inputs!$F$105*Operations!AD504*Inputs!$F$192/100*Operations!AD505*(1-Operations!AD506)</f>
        <v>743.349828593029</v>
      </c>
      <c r="AE507" s="20" t="n">
        <f aca="false">Inputs!$F$105*Operations!AE504*Inputs!$F$192/100*Operations!AE505*(1-Operations!AE506)</f>
        <v>741.863128935843</v>
      </c>
      <c r="AF507" s="20" t="n">
        <f aca="false">Inputs!$F$105*Operations!AF504*Inputs!$F$192/100*Operations!AF505*(1-Operations!AF506)</f>
        <v>740.379402677972</v>
      </c>
      <c r="AG507" s="20" t="n">
        <f aca="false">Inputs!$F$105*Operations!AG504*Inputs!$F$192/100*Operations!AG505*(1-Operations!AG506)</f>
        <v>738.898643872616</v>
      </c>
      <c r="AH507" s="20" t="n">
        <f aca="false">Inputs!$F$105*Operations!AH504*Inputs!$F$192/100*Operations!AH505*(1-Operations!AH506)</f>
        <v>737.42084658487</v>
      </c>
      <c r="AI507" s="20" t="n">
        <f aca="false">Inputs!$F$105*Operations!AI504*Inputs!$F$192/100*Operations!AI505*(1-Operations!AI506)</f>
        <v>735.946004891701</v>
      </c>
      <c r="AJ507" s="20" t="n">
        <f aca="false">Inputs!$F$105*Operations!AJ504*Inputs!$F$192/100*Operations!AJ505*(1-Operations!AJ506)</f>
        <v>734.474112881917</v>
      </c>
      <c r="AK507" s="20" t="n">
        <f aca="false">Inputs!$F$105*Operations!AK504*Inputs!$F$192/100*Operations!AK505*(1-Operations!AK506)</f>
        <v>733.005164656153</v>
      </c>
      <c r="AL507" s="20" t="n">
        <f aca="false">Inputs!$F$105*Operations!AL504*Inputs!$F$192/100*Operations!AL505*(1-Operations!AL506)</f>
        <v>731.539154326841</v>
      </c>
      <c r="AM507" s="20" t="n">
        <f aca="false">Inputs!$F$105*Operations!AM504*Inputs!$F$192/100*Operations!AM505*(1-Operations!AM506)</f>
        <v>730.076076018187</v>
      </c>
      <c r="AN507" s="20" t="n">
        <f aca="false">Inputs!$F$105*Operations!AN504*Inputs!$F$192/100*Operations!AN505*(1-Operations!AN506)</f>
        <v>728.615923866151</v>
      </c>
      <c r="AO507" s="20" t="n">
        <f aca="false">Inputs!$F$105*Operations!AO504*Inputs!$F$192/100*Operations!AO505*(1-Operations!AO506)</f>
        <v>727.158692018419</v>
      </c>
      <c r="AP507" s="20" t="n">
        <f aca="false">Inputs!$F$105*Operations!AP504*Inputs!$F$192/100*Operations!AP505*(1-Operations!AP506)</f>
        <v>725.704374634382</v>
      </c>
      <c r="AQ507" s="20" t="n">
        <f aca="false">Inputs!$F$105*Operations!AQ504*Inputs!$F$192/100*Operations!AQ505*(1-Operations!AQ506)</f>
        <v>724.252965885113</v>
      </c>
      <c r="AR507" s="20" t="n">
        <f aca="false">Inputs!$F$105*Operations!AR504*Inputs!$F$192/100*Operations!AR505*(1-Operations!AR506)</f>
        <v>722.804459953343</v>
      </c>
      <c r="AS507" s="20" t="n">
        <f aca="false">Inputs!$F$105*Operations!AS504*Inputs!$F$192/100*Operations!AS505*(1-Operations!AS506)</f>
        <v>721.358851033436</v>
      </c>
      <c r="AT507" s="20" t="n">
        <f aca="false">Inputs!$F$105*Operations!AT504*Inputs!$F$192/100*Operations!AT505*(1-Operations!AT506)</f>
        <v>719.916133331369</v>
      </c>
      <c r="AU507" s="20" t="n">
        <f aca="false">Inputs!$F$105*Operations!AU504*Inputs!$F$192/100*Operations!AU505*(1-Operations!AU506)</f>
        <v>718.476301064707</v>
      </c>
    </row>
    <row r="508" customFormat="false" ht="15" hidden="false" customHeight="false" outlineLevel="0" collapsed="false">
      <c r="D508" s="0" t="s">
        <v>509</v>
      </c>
      <c r="E508" s="0" t="s">
        <v>466</v>
      </c>
      <c r="G508" s="20" t="n">
        <f aca="false">SUM(J508:AU508)</f>
        <v>19250.696120959</v>
      </c>
      <c r="J508" s="20" t="n">
        <f aca="false">Operations!J507*Operations!J500</f>
        <v>773.7175</v>
      </c>
      <c r="K508" s="20" t="n">
        <f aca="false">Operations!K507*Operations!K500</f>
        <v>772.170065</v>
      </c>
      <c r="L508" s="20" t="n">
        <f aca="false">Operations!L507*Operations!L500</f>
        <v>770.62572487</v>
      </c>
      <c r="M508" s="20" t="n">
        <f aca="false">Operations!M507*Operations!M500</f>
        <v>769.08447342026</v>
      </c>
      <c r="N508" s="20" t="n">
        <f aca="false">Operations!N507*Operations!N500</f>
        <v>767.54630447342</v>
      </c>
      <c r="O508" s="20" t="n">
        <f aca="false">Operations!O507*Operations!O500</f>
        <v>766.011211864473</v>
      </c>
      <c r="P508" s="20" t="n">
        <f aca="false">Operations!P507*Operations!P500</f>
        <v>764.479189440744</v>
      </c>
      <c r="Q508" s="20" t="n">
        <f aca="false">Operations!Q507*Operations!Q500</f>
        <v>762.950231061862</v>
      </c>
      <c r="R508" s="20" t="n">
        <f aca="false">Operations!R507*Operations!R500</f>
        <v>761.424330599739</v>
      </c>
      <c r="S508" s="20" t="n">
        <f aca="false">Operations!S507*Operations!S500</f>
        <v>759.901481938539</v>
      </c>
      <c r="T508" s="20" t="n">
        <f aca="false">Operations!T507*Operations!T500</f>
        <v>758.381678974662</v>
      </c>
      <c r="U508" s="20" t="n">
        <f aca="false">Operations!U507*Operations!U500</f>
        <v>756.864915616713</v>
      </c>
      <c r="V508" s="20" t="n">
        <f aca="false">Operations!V507*Operations!V500</f>
        <v>755.351185785479</v>
      </c>
      <c r="W508" s="20" t="n">
        <f aca="false">Operations!W507*Operations!W500</f>
        <v>753.840483413908</v>
      </c>
      <c r="X508" s="20" t="n">
        <f aca="false">Operations!X507*Operations!X500</f>
        <v>752.33280244708</v>
      </c>
      <c r="Y508" s="20" t="n">
        <f aca="false">Operations!Y507*Operations!Y500</f>
        <v>750.828136842186</v>
      </c>
      <c r="Z508" s="20" t="n">
        <f aca="false">Operations!Z507*Operations!Z500</f>
        <v>749.326480568502</v>
      </c>
      <c r="AA508" s="20" t="n">
        <f aca="false">Operations!AA507*Operations!AA500</f>
        <v>747.827827607365</v>
      </c>
      <c r="AB508" s="20" t="n">
        <f aca="false">Operations!AB507*Operations!AB500</f>
        <v>746.33217195215</v>
      </c>
      <c r="AC508" s="20" t="n">
        <f aca="false">Operations!AC507*Operations!AC500</f>
        <v>744.839507608246</v>
      </c>
      <c r="AD508" s="20" t="n">
        <f aca="false">Operations!AD507*Operations!AD500</f>
        <v>743.349828593029</v>
      </c>
      <c r="AE508" s="20" t="n">
        <f aca="false">Operations!AE507*Operations!AE500</f>
        <v>741.863128935843</v>
      </c>
      <c r="AF508" s="20" t="n">
        <f aca="false">Operations!AF507*Operations!AF500</f>
        <v>740.379402677972</v>
      </c>
      <c r="AG508" s="20" t="n">
        <f aca="false">Operations!AG507*Operations!AG500</f>
        <v>738.898643872616</v>
      </c>
      <c r="AH508" s="20" t="n">
        <f aca="false">Operations!AH507*Operations!AH500</f>
        <v>737.42084658487</v>
      </c>
      <c r="AI508" s="20" t="n">
        <f aca="false">Operations!AI507*Operations!AI500</f>
        <v>364.948566809309</v>
      </c>
      <c r="AJ508" s="20" t="n">
        <f aca="false">Operations!AJ507*Operations!AJ500</f>
        <v>0</v>
      </c>
      <c r="AK508" s="20" t="n">
        <f aca="false">Operations!AK507*Operations!AK500</f>
        <v>0</v>
      </c>
      <c r="AL508" s="20" t="n">
        <f aca="false">Operations!AL507*Operations!AL500</f>
        <v>0</v>
      </c>
      <c r="AM508" s="20" t="n">
        <f aca="false">Operations!AM507*Operations!AM500</f>
        <v>0</v>
      </c>
      <c r="AN508" s="20" t="n">
        <f aca="false">Operations!AN507*Operations!AN500</f>
        <v>0</v>
      </c>
      <c r="AO508" s="20" t="n">
        <f aca="false">Operations!AO507*Operations!AO500</f>
        <v>0</v>
      </c>
      <c r="AP508" s="20" t="n">
        <f aca="false">Operations!AP507*Operations!AP500</f>
        <v>0</v>
      </c>
      <c r="AQ508" s="20" t="n">
        <f aca="false">Operations!AQ507*Operations!AQ500</f>
        <v>0</v>
      </c>
      <c r="AR508" s="20" t="n">
        <f aca="false">Operations!AR507*Operations!AR500</f>
        <v>0</v>
      </c>
      <c r="AS508" s="20" t="n">
        <f aca="false">Operations!AS507*Operations!AS500</f>
        <v>0</v>
      </c>
      <c r="AT508" s="20" t="n">
        <f aca="false">Operations!AT507*Operations!AT500</f>
        <v>0</v>
      </c>
      <c r="AU508" s="20" t="n">
        <f aca="false">Operations!AU507*Operations!AU500</f>
        <v>0</v>
      </c>
    </row>
    <row r="509" customFormat="false" ht="15" hidden="false" customHeight="false" outlineLevel="0" collapsed="false">
      <c r="D509" s="0" t="s">
        <v>510</v>
      </c>
      <c r="E509" s="0" t="s">
        <v>54</v>
      </c>
      <c r="J509" s="14" t="n">
        <f aca="false">Operations!J456</f>
        <v>0.92</v>
      </c>
      <c r="K509" s="14" t="n">
        <f aca="false">Operations!K456</f>
        <v>0.917</v>
      </c>
      <c r="L509" s="14" t="n">
        <f aca="false">Operations!L456</f>
        <v>0.914</v>
      </c>
      <c r="M509" s="14" t="n">
        <f aca="false">Operations!M456</f>
        <v>0.911</v>
      </c>
      <c r="N509" s="14" t="n">
        <f aca="false">Operations!N456</f>
        <v>0.908</v>
      </c>
      <c r="O509" s="14" t="n">
        <f aca="false">Operations!O456</f>
        <v>0.905</v>
      </c>
      <c r="P509" s="14" t="n">
        <f aca="false">Operations!P456</f>
        <v>0.902</v>
      </c>
      <c r="Q509" s="14" t="n">
        <f aca="false">Operations!Q456</f>
        <v>0.899</v>
      </c>
      <c r="R509" s="14" t="n">
        <f aca="false">Operations!R456</f>
        <v>0.896</v>
      </c>
      <c r="S509" s="14" t="n">
        <f aca="false">Operations!S456</f>
        <v>0.893</v>
      </c>
      <c r="T509" s="14" t="n">
        <f aca="false">Operations!T456</f>
        <v>0.89</v>
      </c>
      <c r="U509" s="14" t="n">
        <f aca="false">Operations!U456</f>
        <v>0.887</v>
      </c>
      <c r="V509" s="14" t="n">
        <f aca="false">Operations!V456</f>
        <v>0.884</v>
      </c>
      <c r="W509" s="14" t="n">
        <f aca="false">Operations!W456</f>
        <v>0.881</v>
      </c>
      <c r="X509" s="14" t="n">
        <f aca="false">Operations!X456</f>
        <v>0.878</v>
      </c>
      <c r="Y509" s="14" t="n">
        <f aca="false">Operations!Y456</f>
        <v>0.875</v>
      </c>
      <c r="Z509" s="14" t="n">
        <f aca="false">Operations!Z456</f>
        <v>0.872</v>
      </c>
      <c r="AA509" s="14" t="n">
        <f aca="false">Operations!AA456</f>
        <v>0.869</v>
      </c>
      <c r="AB509" s="14" t="n">
        <f aca="false">Operations!AB456</f>
        <v>0.866</v>
      </c>
      <c r="AC509" s="14" t="n">
        <f aca="false">Operations!AC456</f>
        <v>0.863</v>
      </c>
      <c r="AD509" s="14" t="n">
        <f aca="false">Operations!AD456</f>
        <v>0.86</v>
      </c>
      <c r="AE509" s="14" t="n">
        <f aca="false">Operations!AE456</f>
        <v>0.857</v>
      </c>
      <c r="AF509" s="14" t="n">
        <f aca="false">Operations!AF456</f>
        <v>0.854</v>
      </c>
      <c r="AG509" s="14" t="n">
        <f aca="false">Operations!AG456</f>
        <v>0.851</v>
      </c>
      <c r="AH509" s="14" t="n">
        <f aca="false">Operations!AH456</f>
        <v>0.85</v>
      </c>
      <c r="AI509" s="14" t="n">
        <f aca="false">Operations!AI456</f>
        <v>0.85</v>
      </c>
      <c r="AJ509" s="14" t="n">
        <f aca="false">Operations!AJ456</f>
        <v>0.85</v>
      </c>
      <c r="AK509" s="14" t="n">
        <f aca="false">Operations!AK456</f>
        <v>0.85</v>
      </c>
      <c r="AL509" s="14" t="n">
        <f aca="false">Operations!AL456</f>
        <v>0.85</v>
      </c>
      <c r="AM509" s="14" t="n">
        <f aca="false">Operations!AM456</f>
        <v>0.85</v>
      </c>
      <c r="AN509" s="14" t="n">
        <f aca="false">Operations!AN456</f>
        <v>0.85</v>
      </c>
      <c r="AO509" s="14" t="n">
        <f aca="false">Operations!AO456</f>
        <v>0.85</v>
      </c>
      <c r="AP509" s="14" t="n">
        <f aca="false">Operations!AP456</f>
        <v>0.85</v>
      </c>
      <c r="AQ509" s="14" t="n">
        <f aca="false">Operations!AQ456</f>
        <v>0.85</v>
      </c>
      <c r="AR509" s="14" t="n">
        <f aca="false">Operations!AR456</f>
        <v>0.85</v>
      </c>
      <c r="AS509" s="14" t="n">
        <f aca="false">Operations!AS456</f>
        <v>0.85</v>
      </c>
      <c r="AT509" s="14" t="n">
        <f aca="false">Operations!AT456</f>
        <v>0.85</v>
      </c>
      <c r="AU509" s="14" t="n">
        <f aca="false">Operations!AU456</f>
        <v>0.85</v>
      </c>
    </row>
    <row r="510" customFormat="false" ht="15" hidden="false" customHeight="false" outlineLevel="0" collapsed="false">
      <c r="D510" s="0" t="s">
        <v>511</v>
      </c>
      <c r="E510" s="0" t="s">
        <v>54</v>
      </c>
      <c r="J510" s="14" t="n">
        <f aca="false">Operations!J509-Inputs!$F$60</f>
        <v>0.91</v>
      </c>
      <c r="K510" s="14" t="n">
        <f aca="false">Operations!K509-Inputs!$F$60</f>
        <v>0.907</v>
      </c>
      <c r="L510" s="14" t="n">
        <f aca="false">Operations!L509-Inputs!$F$60</f>
        <v>0.904</v>
      </c>
      <c r="M510" s="14" t="n">
        <f aca="false">Operations!M509-Inputs!$F$60</f>
        <v>0.901</v>
      </c>
      <c r="N510" s="14" t="n">
        <f aca="false">Operations!N509-Inputs!$F$60</f>
        <v>0.898</v>
      </c>
      <c r="O510" s="14" t="n">
        <f aca="false">Operations!O509-Inputs!$F$60</f>
        <v>0.895</v>
      </c>
      <c r="P510" s="14" t="n">
        <f aca="false">Operations!P509-Inputs!$F$60</f>
        <v>0.892</v>
      </c>
      <c r="Q510" s="14" t="n">
        <f aca="false">Operations!Q509-Inputs!$F$60</f>
        <v>0.889</v>
      </c>
      <c r="R510" s="14" t="n">
        <f aca="false">Operations!R509-Inputs!$F$60</f>
        <v>0.886</v>
      </c>
      <c r="S510" s="14" t="n">
        <f aca="false">Operations!S509-Inputs!$F$60</f>
        <v>0.883</v>
      </c>
      <c r="T510" s="14" t="n">
        <f aca="false">Operations!T509-Inputs!$F$60</f>
        <v>0.88</v>
      </c>
      <c r="U510" s="14" t="n">
        <f aca="false">Operations!U509-Inputs!$F$60</f>
        <v>0.877</v>
      </c>
      <c r="V510" s="14" t="n">
        <f aca="false">Operations!V509-Inputs!$F$60</f>
        <v>0.874</v>
      </c>
      <c r="W510" s="14" t="n">
        <f aca="false">Operations!W509-Inputs!$F$60</f>
        <v>0.871</v>
      </c>
      <c r="X510" s="14" t="n">
        <f aca="false">Operations!X509-Inputs!$F$60</f>
        <v>0.868</v>
      </c>
      <c r="Y510" s="14" t="n">
        <f aca="false">Operations!Y509-Inputs!$F$60</f>
        <v>0.865</v>
      </c>
      <c r="Z510" s="14" t="n">
        <f aca="false">Operations!Z509-Inputs!$F$60</f>
        <v>0.862</v>
      </c>
      <c r="AA510" s="14" t="n">
        <f aca="false">Operations!AA509-Inputs!$F$60</f>
        <v>0.859</v>
      </c>
      <c r="AB510" s="14" t="n">
        <f aca="false">Operations!AB509-Inputs!$F$60</f>
        <v>0.856</v>
      </c>
      <c r="AC510" s="14" t="n">
        <f aca="false">Operations!AC509-Inputs!$F$60</f>
        <v>0.853</v>
      </c>
      <c r="AD510" s="14" t="n">
        <f aca="false">Operations!AD509-Inputs!$F$60</f>
        <v>0.85</v>
      </c>
      <c r="AE510" s="14" t="n">
        <f aca="false">Operations!AE509-Inputs!$F$60</f>
        <v>0.847</v>
      </c>
      <c r="AF510" s="14" t="n">
        <f aca="false">Operations!AF509-Inputs!$F$60</f>
        <v>0.844</v>
      </c>
      <c r="AG510" s="14" t="n">
        <f aca="false">Operations!AG509-Inputs!$F$60</f>
        <v>0.841</v>
      </c>
      <c r="AH510" s="14" t="n">
        <f aca="false">Operations!AH509-Inputs!$F$60</f>
        <v>0.84</v>
      </c>
      <c r="AI510" s="14" t="n">
        <f aca="false">Operations!AI509-Inputs!$F$60</f>
        <v>0.84</v>
      </c>
      <c r="AJ510" s="14" t="n">
        <f aca="false">Operations!AJ509-Inputs!$F$60</f>
        <v>0.84</v>
      </c>
      <c r="AK510" s="14" t="n">
        <f aca="false">Operations!AK509-Inputs!$F$60</f>
        <v>0.84</v>
      </c>
      <c r="AL510" s="14" t="n">
        <f aca="false">Operations!AL509-Inputs!$F$60</f>
        <v>0.84</v>
      </c>
      <c r="AM510" s="14" t="n">
        <f aca="false">Operations!AM509-Inputs!$F$60</f>
        <v>0.84</v>
      </c>
      <c r="AN510" s="14" t="n">
        <f aca="false">Operations!AN509-Inputs!$F$60</f>
        <v>0.84</v>
      </c>
      <c r="AO510" s="14" t="n">
        <f aca="false">Operations!AO509-Inputs!$F$60</f>
        <v>0.84</v>
      </c>
      <c r="AP510" s="14" t="n">
        <f aca="false">Operations!AP509-Inputs!$F$60</f>
        <v>0.84</v>
      </c>
      <c r="AQ510" s="14" t="n">
        <f aca="false">Operations!AQ509-Inputs!$F$60</f>
        <v>0.84</v>
      </c>
      <c r="AR510" s="14" t="n">
        <f aca="false">Operations!AR509-Inputs!$F$60</f>
        <v>0.84</v>
      </c>
      <c r="AS510" s="14" t="n">
        <f aca="false">Operations!AS509-Inputs!$F$60</f>
        <v>0.84</v>
      </c>
      <c r="AT510" s="14" t="n">
        <f aca="false">Operations!AT509-Inputs!$F$60</f>
        <v>0.84</v>
      </c>
      <c r="AU510" s="14" t="n">
        <f aca="false">Operations!AU509-Inputs!$F$60</f>
        <v>0.84</v>
      </c>
    </row>
    <row r="511" customFormat="false" ht="15" hidden="false" customHeight="false" outlineLevel="0" collapsed="false">
      <c r="D511" s="0" t="s">
        <v>512</v>
      </c>
      <c r="E511" s="0" t="s">
        <v>96</v>
      </c>
      <c r="J511" s="18" t="n">
        <f aca="false">Operations!J503*Operations!J510</f>
        <v>67.275026</v>
      </c>
      <c r="K511" s="18" t="n">
        <f aca="false">Operations!K503*Operations!K510</f>
        <v>55.0088244</v>
      </c>
      <c r="L511" s="18" t="n">
        <f aca="false">Operations!L503*Operations!L510</f>
        <v>26.9655064</v>
      </c>
      <c r="M511" s="18" t="n">
        <f aca="false">Operations!M503*Operations!M510</f>
        <v>35.5370618</v>
      </c>
      <c r="N511" s="18" t="n">
        <f aca="false">Operations!N503*Operations!N510</f>
        <v>39.6903428</v>
      </c>
      <c r="O511" s="18" t="n">
        <f aca="false">Operations!O503*Operations!O510</f>
        <v>41.9524985</v>
      </c>
      <c r="P511" s="18" t="n">
        <f aca="false">Operations!P503*Operations!P510</f>
        <v>43.4030252</v>
      </c>
      <c r="Q511" s="18" t="n">
        <f aca="false">Operations!Q503*Operations!Q510</f>
        <v>44.4023496</v>
      </c>
      <c r="R511" s="18" t="n">
        <f aca="false">Operations!R503*Operations!R510</f>
        <v>45.4817468</v>
      </c>
      <c r="S511" s="18" t="n">
        <f aca="false">Operations!S503*Operations!S510</f>
        <v>46.23780052</v>
      </c>
      <c r="T511" s="18" t="n">
        <f aca="false">Operations!T503*Operations!T510</f>
        <v>47.005112</v>
      </c>
      <c r="U511" s="18" t="n">
        <f aca="false">Operations!U503*Operations!U510</f>
        <v>47.78350286</v>
      </c>
      <c r="V511" s="18" t="n">
        <f aca="false">Operations!V503*Operations!V510</f>
        <v>48.57279472</v>
      </c>
      <c r="W511" s="18" t="n">
        <f aca="false">Operations!W503*Operations!W510</f>
        <v>49.3728092</v>
      </c>
      <c r="X511" s="18" t="n">
        <f aca="false">Operations!X503*Operations!X510</f>
        <v>50.18336792</v>
      </c>
      <c r="Y511" s="18" t="n">
        <f aca="false">Operations!Y503*Operations!Y510</f>
        <v>51.01286465</v>
      </c>
      <c r="Z511" s="18" t="n">
        <f aca="false">Operations!Z503*Operations!Z510</f>
        <v>51.8524894</v>
      </c>
      <c r="AA511" s="18" t="n">
        <f aca="false">Operations!AA503*Operations!AA510</f>
        <v>52.70206379</v>
      </c>
      <c r="AB511" s="18" t="n">
        <f aca="false">Operations!AB503*Operations!AB510</f>
        <v>53.5698924</v>
      </c>
      <c r="AC511" s="18" t="n">
        <f aca="false">Operations!AC503*Operations!AC510</f>
        <v>54.44725443</v>
      </c>
      <c r="AD511" s="18" t="n">
        <f aca="false">Operations!AD503*Operations!AD510</f>
        <v>55.342395</v>
      </c>
      <c r="AE511" s="18" t="n">
        <f aca="false">Operations!AE503*Operations!AE510</f>
        <v>56.24665277</v>
      </c>
      <c r="AF511" s="18" t="n">
        <f aca="false">Operations!AF503*Operations!AF510</f>
        <v>57.1682134</v>
      </c>
      <c r="AG511" s="18" t="n">
        <f aca="false">Operations!AG503*Operations!AG510</f>
        <v>58.10680932</v>
      </c>
      <c r="AH511" s="18" t="n">
        <f aca="false">Operations!AH503*Operations!AH510</f>
        <v>59.1948084</v>
      </c>
      <c r="AI511" s="18" t="n">
        <f aca="false">Operations!AI503*Operations!AI510</f>
        <v>60.3768732</v>
      </c>
      <c r="AJ511" s="18" t="n">
        <f aca="false">Operations!AJ503*Operations!AJ510</f>
        <v>61.5839112</v>
      </c>
      <c r="AK511" s="18" t="n">
        <f aca="false">Operations!AK503*Operations!AK510</f>
        <v>62.8159224</v>
      </c>
      <c r="AL511" s="18" t="n">
        <f aca="false">Operations!AL503*Operations!AL510</f>
        <v>64.0729068</v>
      </c>
      <c r="AM511" s="18" t="n">
        <f aca="false">Operations!AM503*Operations!AM510</f>
        <v>65.3548644</v>
      </c>
      <c r="AN511" s="18" t="n">
        <f aca="false">Operations!AN503*Operations!AN510</f>
        <v>66.6617952</v>
      </c>
      <c r="AO511" s="18" t="n">
        <f aca="false">Operations!AO503*Operations!AO510</f>
        <v>67.9936992</v>
      </c>
      <c r="AP511" s="18" t="n">
        <f aca="false">Operations!AP503*Operations!AP510</f>
        <v>69.3505764</v>
      </c>
      <c r="AQ511" s="18" t="n">
        <f aca="false">Operations!AQ503*Operations!AQ510</f>
        <v>70.7407512</v>
      </c>
      <c r="AR511" s="18" t="n">
        <f aca="false">Operations!AR503*Operations!AR510</f>
        <v>72.1558992</v>
      </c>
      <c r="AS511" s="18" t="n">
        <f aca="false">Operations!AS503*Operations!AS510</f>
        <v>73.5960204</v>
      </c>
      <c r="AT511" s="18" t="n">
        <f aca="false">Operations!AT503*Operations!AT510</f>
        <v>75.0694392</v>
      </c>
      <c r="AU511" s="18" t="n">
        <f aca="false">Operations!AU503*Operations!AU510</f>
        <v>76.5678312</v>
      </c>
    </row>
    <row r="512" customFormat="false" ht="15" hidden="false" customHeight="false" outlineLevel="0" collapsed="false">
      <c r="D512" s="0" t="s">
        <v>513</v>
      </c>
      <c r="E512" s="0" t="s">
        <v>458</v>
      </c>
      <c r="J512" s="14" t="n">
        <f aca="false">MAX(0,MIN(Inputs!$F$203,Time!J$6)-MAX(Inputs!$F$100,Time!J$5))/Time!J$7</f>
        <v>1</v>
      </c>
      <c r="K512" s="14" t="n">
        <f aca="false">MAX(0,MIN(Inputs!$F$203,Time!K$6)-MAX(Inputs!$F$100,Time!K$5))/Time!K$7</f>
        <v>1</v>
      </c>
      <c r="L512" s="14" t="n">
        <f aca="false">MAX(0,MIN(Inputs!$F$203,Time!L$6)-MAX(Inputs!$F$100,Time!L$5))/Time!L$7</f>
        <v>1</v>
      </c>
      <c r="M512" s="14" t="n">
        <f aca="false">MAX(0,MIN(Inputs!$F$203,Time!M$6)-MAX(Inputs!$F$100,Time!M$5))/Time!M$7</f>
        <v>1</v>
      </c>
      <c r="N512" s="14" t="n">
        <f aca="false">MAX(0,MIN(Inputs!$F$203,Time!N$6)-MAX(Inputs!$F$100,Time!N$5))/Time!N$7</f>
        <v>1</v>
      </c>
      <c r="O512" s="14" t="n">
        <f aca="false">MAX(0,MIN(Inputs!$F$203,Time!O$6)-MAX(Inputs!$F$100,Time!O$5))/Time!O$7</f>
        <v>1</v>
      </c>
      <c r="P512" s="14" t="n">
        <f aca="false">MAX(0,MIN(Inputs!$F$203,Time!P$6)-MAX(Inputs!$F$100,Time!P$5))/Time!P$7</f>
        <v>1</v>
      </c>
      <c r="Q512" s="14" t="n">
        <f aca="false">MAX(0,MIN(Inputs!$F$203,Time!Q$6)-MAX(Inputs!$F$100,Time!Q$5))/Time!Q$7</f>
        <v>0.495890410958904</v>
      </c>
      <c r="R512" s="14" t="n">
        <f aca="false">MAX(0,MIN(Inputs!$F$203,Time!R$6)-MAX(Inputs!$F$100,Time!R$5))/Time!R$7</f>
        <v>0</v>
      </c>
      <c r="S512" s="14" t="n">
        <f aca="false">MAX(0,MIN(Inputs!$F$203,Time!S$6)-MAX(Inputs!$F$100,Time!S$5))/Time!S$7</f>
        <v>0</v>
      </c>
      <c r="T512" s="14" t="n">
        <f aca="false">MAX(0,MIN(Inputs!$F$203,Time!T$6)-MAX(Inputs!$F$100,Time!T$5))/Time!T$7</f>
        <v>0</v>
      </c>
      <c r="U512" s="14" t="n">
        <f aca="false">MAX(0,MIN(Inputs!$F$203,Time!U$6)-MAX(Inputs!$F$100,Time!U$5))/Time!U$7</f>
        <v>0</v>
      </c>
      <c r="V512" s="14" t="n">
        <f aca="false">MAX(0,MIN(Inputs!$F$203,Time!V$6)-MAX(Inputs!$F$100,Time!V$5))/Time!V$7</f>
        <v>0</v>
      </c>
      <c r="W512" s="14" t="n">
        <f aca="false">MAX(0,MIN(Inputs!$F$203,Time!W$6)-MAX(Inputs!$F$100,Time!W$5))/Time!W$7</f>
        <v>0</v>
      </c>
      <c r="X512" s="14" t="n">
        <f aca="false">MAX(0,MIN(Inputs!$F$203,Time!X$6)-MAX(Inputs!$F$100,Time!X$5))/Time!X$7</f>
        <v>0</v>
      </c>
      <c r="Y512" s="14" t="n">
        <f aca="false">MAX(0,MIN(Inputs!$F$203,Time!Y$6)-MAX(Inputs!$F$100,Time!Y$5))/Time!Y$7</f>
        <v>0</v>
      </c>
      <c r="Z512" s="14" t="n">
        <f aca="false">MAX(0,MIN(Inputs!$F$203,Time!Z$6)-MAX(Inputs!$F$100,Time!Z$5))/Time!Z$7</f>
        <v>0</v>
      </c>
      <c r="AA512" s="14" t="n">
        <f aca="false">MAX(0,MIN(Inputs!$F$203,Time!AA$6)-MAX(Inputs!$F$100,Time!AA$5))/Time!AA$7</f>
        <v>0</v>
      </c>
      <c r="AB512" s="14" t="n">
        <f aca="false">MAX(0,MIN(Inputs!$F$203,Time!AB$6)-MAX(Inputs!$F$100,Time!AB$5))/Time!AB$7</f>
        <v>0</v>
      </c>
      <c r="AC512" s="14" t="n">
        <f aca="false">MAX(0,MIN(Inputs!$F$203,Time!AC$6)-MAX(Inputs!$F$100,Time!AC$5))/Time!AC$7</f>
        <v>0</v>
      </c>
      <c r="AD512" s="14" t="n">
        <f aca="false">MAX(0,MIN(Inputs!$F$203,Time!AD$6)-MAX(Inputs!$F$100,Time!AD$5))/Time!AD$7</f>
        <v>0</v>
      </c>
      <c r="AE512" s="14" t="n">
        <f aca="false">MAX(0,MIN(Inputs!$F$203,Time!AE$6)-MAX(Inputs!$F$100,Time!AE$5))/Time!AE$7</f>
        <v>0</v>
      </c>
      <c r="AF512" s="14" t="n">
        <f aca="false">MAX(0,MIN(Inputs!$F$203,Time!AF$6)-MAX(Inputs!$F$100,Time!AF$5))/Time!AF$7</f>
        <v>0</v>
      </c>
      <c r="AG512" s="14" t="n">
        <f aca="false">MAX(0,MIN(Inputs!$F$203,Time!AG$6)-MAX(Inputs!$F$100,Time!AG$5))/Time!AG$7</f>
        <v>0</v>
      </c>
      <c r="AH512" s="14" t="n">
        <f aca="false">MAX(0,MIN(Inputs!$F$203,Time!AH$6)-MAX(Inputs!$F$100,Time!AH$5))/Time!AH$7</f>
        <v>0</v>
      </c>
      <c r="AI512" s="14" t="n">
        <f aca="false">MAX(0,MIN(Inputs!$F$203,Time!AI$6)-MAX(Inputs!$F$100,Time!AI$5))/Time!AI$7</f>
        <v>0</v>
      </c>
      <c r="AJ512" s="14" t="n">
        <f aca="false">MAX(0,MIN(Inputs!$F$203,Time!AJ$6)-MAX(Inputs!$F$100,Time!AJ$5))/Time!AJ$7</f>
        <v>0</v>
      </c>
      <c r="AK512" s="14" t="n">
        <f aca="false">MAX(0,MIN(Inputs!$F$203,Time!AK$6)-MAX(Inputs!$F$100,Time!AK$5))/Time!AK$7</f>
        <v>0</v>
      </c>
      <c r="AL512" s="14" t="n">
        <f aca="false">MAX(0,MIN(Inputs!$F$203,Time!AL$6)-MAX(Inputs!$F$100,Time!AL$5))/Time!AL$7</f>
        <v>0</v>
      </c>
      <c r="AM512" s="14" t="n">
        <f aca="false">MAX(0,MIN(Inputs!$F$203,Time!AM$6)-MAX(Inputs!$F$100,Time!AM$5))/Time!AM$7</f>
        <v>0</v>
      </c>
      <c r="AN512" s="14" t="n">
        <f aca="false">MAX(0,MIN(Inputs!$F$203,Time!AN$6)-MAX(Inputs!$F$100,Time!AN$5))/Time!AN$7</f>
        <v>0</v>
      </c>
      <c r="AO512" s="14" t="n">
        <f aca="false">MAX(0,MIN(Inputs!$F$203,Time!AO$6)-MAX(Inputs!$F$100,Time!AO$5))/Time!AO$7</f>
        <v>0</v>
      </c>
      <c r="AP512" s="14" t="n">
        <f aca="false">MAX(0,MIN(Inputs!$F$203,Time!AP$6)-MAX(Inputs!$F$100,Time!AP$5))/Time!AP$7</f>
        <v>0</v>
      </c>
      <c r="AQ512" s="14" t="n">
        <f aca="false">MAX(0,MIN(Inputs!$F$203,Time!AQ$6)-MAX(Inputs!$F$100,Time!AQ$5))/Time!AQ$7</f>
        <v>0</v>
      </c>
      <c r="AR512" s="14" t="n">
        <f aca="false">MAX(0,MIN(Inputs!$F$203,Time!AR$6)-MAX(Inputs!$F$100,Time!AR$5))/Time!AR$7</f>
        <v>0</v>
      </c>
      <c r="AS512" s="14" t="n">
        <f aca="false">MAX(0,MIN(Inputs!$F$203,Time!AS$6)-MAX(Inputs!$F$100,Time!AS$5))/Time!AS$7</f>
        <v>0</v>
      </c>
      <c r="AT512" s="14" t="n">
        <f aca="false">MAX(0,MIN(Inputs!$F$203,Time!AT$6)-MAX(Inputs!$F$100,Time!AT$5))/Time!AT$7</f>
        <v>0</v>
      </c>
      <c r="AU512" s="14" t="n">
        <f aca="false">MAX(0,MIN(Inputs!$F$203,Time!AU$6)-MAX(Inputs!$F$100,Time!AU$5))/Time!AU$7</f>
        <v>0</v>
      </c>
    </row>
    <row r="513" customFormat="false" ht="15" hidden="false" customHeight="false" outlineLevel="0" collapsed="false">
      <c r="D513" s="0" t="s">
        <v>514</v>
      </c>
      <c r="E513" s="0" t="s">
        <v>466</v>
      </c>
      <c r="J513" s="20" t="n">
        <f aca="false">Operations!J507*Operations!J512</f>
        <v>773.7175</v>
      </c>
      <c r="K513" s="20" t="n">
        <f aca="false">Operations!K507*Operations!K512</f>
        <v>772.170065</v>
      </c>
      <c r="L513" s="20" t="n">
        <f aca="false">Operations!L507*Operations!L512</f>
        <v>770.62572487</v>
      </c>
      <c r="M513" s="20" t="n">
        <f aca="false">Operations!M507*Operations!M512</f>
        <v>769.08447342026</v>
      </c>
      <c r="N513" s="20" t="n">
        <f aca="false">Operations!N507*Operations!N512</f>
        <v>767.54630447342</v>
      </c>
      <c r="O513" s="20" t="n">
        <f aca="false">Operations!O507*Operations!O512</f>
        <v>766.011211864473</v>
      </c>
      <c r="P513" s="20" t="n">
        <f aca="false">Operations!P507*Operations!P512</f>
        <v>764.479189440744</v>
      </c>
      <c r="Q513" s="20" t="n">
        <f aca="false">Operations!Q507*Operations!Q512</f>
        <v>378.339703622458</v>
      </c>
      <c r="R513" s="20" t="n">
        <f aca="false">Operations!R507*Operations!R512</f>
        <v>0</v>
      </c>
      <c r="S513" s="20" t="n">
        <f aca="false">Operations!S507*Operations!S512</f>
        <v>0</v>
      </c>
      <c r="T513" s="20" t="n">
        <f aca="false">Operations!T507*Operations!T512</f>
        <v>0</v>
      </c>
      <c r="U513" s="20" t="n">
        <f aca="false">Operations!U507*Operations!U512</f>
        <v>0</v>
      </c>
      <c r="V513" s="20" t="n">
        <f aca="false">Operations!V507*Operations!V512</f>
        <v>0</v>
      </c>
      <c r="W513" s="20" t="n">
        <f aca="false">Operations!W507*Operations!W512</f>
        <v>0</v>
      </c>
      <c r="X513" s="20" t="n">
        <f aca="false">Operations!X507*Operations!X512</f>
        <v>0</v>
      </c>
      <c r="Y513" s="20" t="n">
        <f aca="false">Operations!Y507*Operations!Y512</f>
        <v>0</v>
      </c>
      <c r="Z513" s="20" t="n">
        <f aca="false">Operations!Z507*Operations!Z512</f>
        <v>0</v>
      </c>
      <c r="AA513" s="20" t="n">
        <f aca="false">Operations!AA507*Operations!AA512</f>
        <v>0</v>
      </c>
      <c r="AB513" s="20" t="n">
        <f aca="false">Operations!AB507*Operations!AB512</f>
        <v>0</v>
      </c>
      <c r="AC513" s="20" t="n">
        <f aca="false">Operations!AC507*Operations!AC512</f>
        <v>0</v>
      </c>
      <c r="AD513" s="20" t="n">
        <f aca="false">Operations!AD507*Operations!AD512</f>
        <v>0</v>
      </c>
      <c r="AE513" s="20" t="n">
        <f aca="false">Operations!AE507*Operations!AE512</f>
        <v>0</v>
      </c>
      <c r="AF513" s="20" t="n">
        <f aca="false">Operations!AF507*Operations!AF512</f>
        <v>0</v>
      </c>
      <c r="AG513" s="20" t="n">
        <f aca="false">Operations!AG507*Operations!AG512</f>
        <v>0</v>
      </c>
      <c r="AH513" s="20" t="n">
        <f aca="false">Operations!AH507*Operations!AH512</f>
        <v>0</v>
      </c>
      <c r="AI513" s="20" t="n">
        <f aca="false">Operations!AI507*Operations!AI512</f>
        <v>0</v>
      </c>
      <c r="AJ513" s="20" t="n">
        <f aca="false">Operations!AJ507*Operations!AJ512</f>
        <v>0</v>
      </c>
      <c r="AK513" s="20" t="n">
        <f aca="false">Operations!AK507*Operations!AK512</f>
        <v>0</v>
      </c>
      <c r="AL513" s="20" t="n">
        <f aca="false">Operations!AL507*Operations!AL512</f>
        <v>0</v>
      </c>
      <c r="AM513" s="20" t="n">
        <f aca="false">Operations!AM507*Operations!AM512</f>
        <v>0</v>
      </c>
      <c r="AN513" s="20" t="n">
        <f aca="false">Operations!AN507*Operations!AN512</f>
        <v>0</v>
      </c>
      <c r="AO513" s="20" t="n">
        <f aca="false">Operations!AO507*Operations!AO512</f>
        <v>0</v>
      </c>
      <c r="AP513" s="20" t="n">
        <f aca="false">Operations!AP507*Operations!AP512</f>
        <v>0</v>
      </c>
      <c r="AQ513" s="20" t="n">
        <f aca="false">Operations!AQ507*Operations!AQ512</f>
        <v>0</v>
      </c>
      <c r="AR513" s="20" t="n">
        <f aca="false">Operations!AR507*Operations!AR512</f>
        <v>0</v>
      </c>
      <c r="AS513" s="20" t="n">
        <f aca="false">Operations!AS507*Operations!AS512</f>
        <v>0</v>
      </c>
      <c r="AT513" s="20" t="n">
        <f aca="false">Operations!AT507*Operations!AT512</f>
        <v>0</v>
      </c>
      <c r="AU513" s="20" t="n">
        <f aca="false">Operations!AU507*Operations!AU512</f>
        <v>0</v>
      </c>
    </row>
    <row r="514" customFormat="false" ht="15" hidden="false" customHeight="false" outlineLevel="0" collapsed="false">
      <c r="D514" s="0" t="s">
        <v>515</v>
      </c>
      <c r="E514" s="0" t="s">
        <v>47</v>
      </c>
      <c r="G514" s="20" t="n">
        <f aca="false">SUM(J514:AU514)</f>
        <v>180.925989022508</v>
      </c>
      <c r="J514" s="20" t="n">
        <f aca="false">Operations!J513*Inputs!$F$202/1000</f>
        <v>24.2947295</v>
      </c>
      <c r="K514" s="20" t="n">
        <f aca="false">Operations!K513*Inputs!$F$202/1000</f>
        <v>24.246140041</v>
      </c>
      <c r="L514" s="20" t="n">
        <f aca="false">Operations!L513*Inputs!$F$202/1000</f>
        <v>24.197647760918</v>
      </c>
      <c r="M514" s="20" t="n">
        <f aca="false">Operations!M513*Inputs!$F$202/1000</f>
        <v>24.1492524653962</v>
      </c>
      <c r="N514" s="20" t="n">
        <f aca="false">Operations!N513*Inputs!$F$202/1000</f>
        <v>24.1009539604654</v>
      </c>
      <c r="O514" s="20" t="n">
        <f aca="false">Operations!O513*Inputs!$F$202/1000</f>
        <v>24.0527520525444</v>
      </c>
      <c r="P514" s="20" t="n">
        <f aca="false">Operations!P513*Inputs!$F$202/1000</f>
        <v>24.0046465484394</v>
      </c>
      <c r="Q514" s="20" t="n">
        <f aca="false">Operations!Q513*Inputs!$F$202/1000</f>
        <v>11.8798666937452</v>
      </c>
      <c r="R514" s="20" t="n">
        <f aca="false">Operations!R513*Inputs!$F$202/1000</f>
        <v>0</v>
      </c>
      <c r="S514" s="20" t="n">
        <f aca="false">Operations!S513*Inputs!$F$202/1000</f>
        <v>0</v>
      </c>
      <c r="T514" s="20" t="n">
        <f aca="false">Operations!T513*Inputs!$F$202/1000</f>
        <v>0</v>
      </c>
      <c r="U514" s="20" t="n">
        <f aca="false">Operations!U513*Inputs!$F$202/1000</f>
        <v>0</v>
      </c>
      <c r="V514" s="20" t="n">
        <f aca="false">Operations!V513*Inputs!$F$202/1000</f>
        <v>0</v>
      </c>
      <c r="W514" s="20" t="n">
        <f aca="false">Operations!W513*Inputs!$F$202/1000</f>
        <v>0</v>
      </c>
      <c r="X514" s="20" t="n">
        <f aca="false">Operations!X513*Inputs!$F$202/1000</f>
        <v>0</v>
      </c>
      <c r="Y514" s="20" t="n">
        <f aca="false">Operations!Y513*Inputs!$F$202/1000</f>
        <v>0</v>
      </c>
      <c r="Z514" s="20" t="n">
        <f aca="false">Operations!Z513*Inputs!$F$202/1000</f>
        <v>0</v>
      </c>
      <c r="AA514" s="20" t="n">
        <f aca="false">Operations!AA513*Inputs!$F$202/1000</f>
        <v>0</v>
      </c>
      <c r="AB514" s="20" t="n">
        <f aca="false">Operations!AB513*Inputs!$F$202/1000</f>
        <v>0</v>
      </c>
      <c r="AC514" s="20" t="n">
        <f aca="false">Operations!AC513*Inputs!$F$202/1000</f>
        <v>0</v>
      </c>
      <c r="AD514" s="20" t="n">
        <f aca="false">Operations!AD513*Inputs!$F$202/1000</f>
        <v>0</v>
      </c>
      <c r="AE514" s="20" t="n">
        <f aca="false">Operations!AE513*Inputs!$F$202/1000</f>
        <v>0</v>
      </c>
      <c r="AF514" s="20" t="n">
        <f aca="false">Operations!AF513*Inputs!$F$202/1000</f>
        <v>0</v>
      </c>
      <c r="AG514" s="20" t="n">
        <f aca="false">Operations!AG513*Inputs!$F$202/1000</f>
        <v>0</v>
      </c>
      <c r="AH514" s="20" t="n">
        <f aca="false">Operations!AH513*Inputs!$F$202/1000</f>
        <v>0</v>
      </c>
      <c r="AI514" s="20" t="n">
        <f aca="false">Operations!AI513*Inputs!$F$202/1000</f>
        <v>0</v>
      </c>
      <c r="AJ514" s="20" t="n">
        <f aca="false">Operations!AJ513*Inputs!$F$202/1000</f>
        <v>0</v>
      </c>
      <c r="AK514" s="20" t="n">
        <f aca="false">Operations!AK513*Inputs!$F$202/1000</f>
        <v>0</v>
      </c>
      <c r="AL514" s="20" t="n">
        <f aca="false">Operations!AL513*Inputs!$F$202/1000</f>
        <v>0</v>
      </c>
      <c r="AM514" s="20" t="n">
        <f aca="false">Operations!AM513*Inputs!$F$202/1000</f>
        <v>0</v>
      </c>
      <c r="AN514" s="20" t="n">
        <f aca="false">Operations!AN513*Inputs!$F$202/1000</f>
        <v>0</v>
      </c>
      <c r="AO514" s="20" t="n">
        <f aca="false">Operations!AO513*Inputs!$F$202/1000</f>
        <v>0</v>
      </c>
      <c r="AP514" s="20" t="n">
        <f aca="false">Operations!AP513*Inputs!$F$202/1000</f>
        <v>0</v>
      </c>
      <c r="AQ514" s="20" t="n">
        <f aca="false">Operations!AQ513*Inputs!$F$202/1000</f>
        <v>0</v>
      </c>
      <c r="AR514" s="20" t="n">
        <f aca="false">Operations!AR513*Inputs!$F$202/1000</f>
        <v>0</v>
      </c>
      <c r="AS514" s="20" t="n">
        <f aca="false">Operations!AS513*Inputs!$F$202/1000</f>
        <v>0</v>
      </c>
      <c r="AT514" s="20" t="n">
        <f aca="false">Operations!AT513*Inputs!$F$202/1000</f>
        <v>0</v>
      </c>
      <c r="AU514" s="20" t="n">
        <f aca="false">Operations!AU513*Inputs!$F$202/1000</f>
        <v>0</v>
      </c>
    </row>
    <row r="515" customFormat="false" ht="15" hidden="false" customHeight="false" outlineLevel="0" collapsed="false">
      <c r="D515" s="0" t="s">
        <v>516</v>
      </c>
      <c r="E515" s="0" t="s">
        <v>466</v>
      </c>
      <c r="J515" s="20" t="n">
        <f aca="false">Operations!J508-Operations!J513</f>
        <v>0</v>
      </c>
      <c r="K515" s="20" t="n">
        <f aca="false">Operations!K508-Operations!K513</f>
        <v>0</v>
      </c>
      <c r="L515" s="20" t="n">
        <f aca="false">Operations!L508-Operations!L513</f>
        <v>0</v>
      </c>
      <c r="M515" s="20" t="n">
        <f aca="false">Operations!M508-Operations!M513</f>
        <v>0</v>
      </c>
      <c r="N515" s="20" t="n">
        <f aca="false">Operations!N508-Operations!N513</f>
        <v>0</v>
      </c>
      <c r="O515" s="20" t="n">
        <f aca="false">Operations!O508-Operations!O513</f>
        <v>0</v>
      </c>
      <c r="P515" s="20" t="n">
        <f aca="false">Operations!P508-Operations!P513</f>
        <v>0</v>
      </c>
      <c r="Q515" s="20" t="n">
        <f aca="false">Operations!Q508-Operations!Q513</f>
        <v>384.610527439404</v>
      </c>
      <c r="R515" s="20" t="n">
        <f aca="false">Operations!R508-Operations!R513</f>
        <v>761.424330599739</v>
      </c>
      <c r="S515" s="20" t="n">
        <f aca="false">Operations!S508-Operations!S513</f>
        <v>759.901481938539</v>
      </c>
      <c r="T515" s="20" t="n">
        <f aca="false">Operations!T508-Operations!T513</f>
        <v>758.381678974662</v>
      </c>
      <c r="U515" s="20" t="n">
        <f aca="false">Operations!U508-Operations!U513</f>
        <v>756.864915616713</v>
      </c>
      <c r="V515" s="20" t="n">
        <f aca="false">Operations!V508-Operations!V513</f>
        <v>755.351185785479</v>
      </c>
      <c r="W515" s="20" t="n">
        <f aca="false">Operations!W508-Operations!W513</f>
        <v>753.840483413908</v>
      </c>
      <c r="X515" s="20" t="n">
        <f aca="false">Operations!X508-Operations!X513</f>
        <v>752.33280244708</v>
      </c>
      <c r="Y515" s="20" t="n">
        <f aca="false">Operations!Y508-Operations!Y513</f>
        <v>750.828136842186</v>
      </c>
      <c r="Z515" s="20" t="n">
        <f aca="false">Operations!Z508-Operations!Z513</f>
        <v>749.326480568502</v>
      </c>
      <c r="AA515" s="20" t="n">
        <f aca="false">Operations!AA508-Operations!AA513</f>
        <v>747.827827607365</v>
      </c>
      <c r="AB515" s="20" t="n">
        <f aca="false">Operations!AB508-Operations!AB513</f>
        <v>746.33217195215</v>
      </c>
      <c r="AC515" s="20" t="n">
        <f aca="false">Operations!AC508-Operations!AC513</f>
        <v>744.839507608246</v>
      </c>
      <c r="AD515" s="20" t="n">
        <f aca="false">Operations!AD508-Operations!AD513</f>
        <v>743.349828593029</v>
      </c>
      <c r="AE515" s="20" t="n">
        <f aca="false">Operations!AE508-Operations!AE513</f>
        <v>741.863128935843</v>
      </c>
      <c r="AF515" s="20" t="n">
        <f aca="false">Operations!AF508-Operations!AF513</f>
        <v>740.379402677972</v>
      </c>
      <c r="AG515" s="20" t="n">
        <f aca="false">Operations!AG508-Operations!AG513</f>
        <v>738.898643872616</v>
      </c>
      <c r="AH515" s="20" t="n">
        <f aca="false">Operations!AH508-Operations!AH513</f>
        <v>737.42084658487</v>
      </c>
      <c r="AI515" s="20" t="n">
        <f aca="false">Operations!AI508-Operations!AI513</f>
        <v>364.948566809309</v>
      </c>
      <c r="AJ515" s="20" t="n">
        <f aca="false">Operations!AJ508-Operations!AJ513</f>
        <v>0</v>
      </c>
      <c r="AK515" s="20" t="n">
        <f aca="false">Operations!AK508-Operations!AK513</f>
        <v>0</v>
      </c>
      <c r="AL515" s="20" t="n">
        <f aca="false">Operations!AL508-Operations!AL513</f>
        <v>0</v>
      </c>
      <c r="AM515" s="20" t="n">
        <f aca="false">Operations!AM508-Operations!AM513</f>
        <v>0</v>
      </c>
      <c r="AN515" s="20" t="n">
        <f aca="false">Operations!AN508-Operations!AN513</f>
        <v>0</v>
      </c>
      <c r="AO515" s="20" t="n">
        <f aca="false">Operations!AO508-Operations!AO513</f>
        <v>0</v>
      </c>
      <c r="AP515" s="20" t="n">
        <f aca="false">Operations!AP508-Operations!AP513</f>
        <v>0</v>
      </c>
      <c r="AQ515" s="20" t="n">
        <f aca="false">Operations!AQ508-Operations!AQ513</f>
        <v>0</v>
      </c>
      <c r="AR515" s="20" t="n">
        <f aca="false">Operations!AR508-Operations!AR513</f>
        <v>0</v>
      </c>
      <c r="AS515" s="20" t="n">
        <f aca="false">Operations!AS508-Operations!AS513</f>
        <v>0</v>
      </c>
      <c r="AT515" s="20" t="n">
        <f aca="false">Operations!AT508-Operations!AT513</f>
        <v>0</v>
      </c>
      <c r="AU515" s="20" t="n">
        <f aca="false">Operations!AU508-Operations!AU513</f>
        <v>0</v>
      </c>
    </row>
    <row r="516" customFormat="false" ht="15" hidden="false" customHeight="false" outlineLevel="0" collapsed="false">
      <c r="D516" s="0" t="s">
        <v>517</v>
      </c>
      <c r="E516" s="0" t="s">
        <v>47</v>
      </c>
      <c r="J516" s="20" t="n">
        <f aca="false">Operations!J514</f>
        <v>24.2947295</v>
      </c>
      <c r="K516" s="20" t="n">
        <f aca="false">Operations!K514</f>
        <v>24.246140041</v>
      </c>
      <c r="L516" s="20" t="n">
        <f aca="false">Operations!L514</f>
        <v>24.197647760918</v>
      </c>
      <c r="M516" s="20" t="n">
        <f aca="false">Operations!M514</f>
        <v>24.1492524653962</v>
      </c>
      <c r="N516" s="20" t="n">
        <f aca="false">Operations!N514</f>
        <v>24.1009539604654</v>
      </c>
      <c r="O516" s="20" t="n">
        <f aca="false">Operations!O514</f>
        <v>24.0527520525444</v>
      </c>
      <c r="P516" s="20" t="n">
        <f aca="false">Operations!P514</f>
        <v>24.0046465484394</v>
      </c>
      <c r="Q516" s="20" t="n">
        <f aca="false">Operations!Q514</f>
        <v>11.8798666937452</v>
      </c>
      <c r="R516" s="20" t="n">
        <f aca="false">Operations!R514</f>
        <v>0</v>
      </c>
      <c r="S516" s="20" t="n">
        <f aca="false">Operations!S514</f>
        <v>0</v>
      </c>
      <c r="T516" s="20" t="n">
        <f aca="false">Operations!T514</f>
        <v>0</v>
      </c>
      <c r="U516" s="20" t="n">
        <f aca="false">Operations!U514</f>
        <v>0</v>
      </c>
      <c r="V516" s="20" t="n">
        <f aca="false">Operations!V514</f>
        <v>0</v>
      </c>
      <c r="W516" s="20" t="n">
        <f aca="false">Operations!W514</f>
        <v>0</v>
      </c>
      <c r="X516" s="20" t="n">
        <f aca="false">Operations!X514</f>
        <v>0</v>
      </c>
      <c r="Y516" s="20" t="n">
        <f aca="false">Operations!Y514</f>
        <v>0</v>
      </c>
      <c r="Z516" s="20" t="n">
        <f aca="false">Operations!Z514</f>
        <v>0</v>
      </c>
      <c r="AA516" s="20" t="n">
        <f aca="false">Operations!AA514</f>
        <v>0</v>
      </c>
      <c r="AB516" s="20" t="n">
        <f aca="false">Operations!AB514</f>
        <v>0</v>
      </c>
      <c r="AC516" s="20" t="n">
        <f aca="false">Operations!AC514</f>
        <v>0</v>
      </c>
      <c r="AD516" s="20" t="n">
        <f aca="false">Operations!AD514</f>
        <v>0</v>
      </c>
      <c r="AE516" s="20" t="n">
        <f aca="false">Operations!AE514</f>
        <v>0</v>
      </c>
      <c r="AF516" s="20" t="n">
        <f aca="false">Operations!AF514</f>
        <v>0</v>
      </c>
      <c r="AG516" s="20" t="n">
        <f aca="false">Operations!AG514</f>
        <v>0</v>
      </c>
      <c r="AH516" s="20" t="n">
        <f aca="false">Operations!AH514</f>
        <v>0</v>
      </c>
      <c r="AI516" s="20" t="n">
        <f aca="false">Operations!AI514</f>
        <v>0</v>
      </c>
      <c r="AJ516" s="20" t="n">
        <f aca="false">Operations!AJ514</f>
        <v>0</v>
      </c>
      <c r="AK516" s="20" t="n">
        <f aca="false">Operations!AK514</f>
        <v>0</v>
      </c>
      <c r="AL516" s="20" t="n">
        <f aca="false">Operations!AL514</f>
        <v>0</v>
      </c>
      <c r="AM516" s="20" t="n">
        <f aca="false">Operations!AM514</f>
        <v>0</v>
      </c>
      <c r="AN516" s="20" t="n">
        <f aca="false">Operations!AN514</f>
        <v>0</v>
      </c>
      <c r="AO516" s="20" t="n">
        <f aca="false">Operations!AO514</f>
        <v>0</v>
      </c>
      <c r="AP516" s="20" t="n">
        <f aca="false">Operations!AP514</f>
        <v>0</v>
      </c>
      <c r="AQ516" s="20" t="n">
        <f aca="false">Operations!AQ514</f>
        <v>0</v>
      </c>
      <c r="AR516" s="20" t="n">
        <f aca="false">Operations!AR514</f>
        <v>0</v>
      </c>
      <c r="AS516" s="20" t="n">
        <f aca="false">Operations!AS514</f>
        <v>0</v>
      </c>
      <c r="AT516" s="20" t="n">
        <f aca="false">Operations!AT514</f>
        <v>0</v>
      </c>
      <c r="AU516" s="20" t="n">
        <f aca="false">Operations!AU514</f>
        <v>0</v>
      </c>
    </row>
    <row r="517" customFormat="false" ht="15" hidden="false" customHeight="false" outlineLevel="0" collapsed="false">
      <c r="D517" s="0" t="s">
        <v>518</v>
      </c>
      <c r="E517" s="0" t="s">
        <v>47</v>
      </c>
      <c r="J517" s="20" t="n">
        <f aca="false">0</f>
        <v>0</v>
      </c>
      <c r="K517" s="20" t="n">
        <f aca="false">0</f>
        <v>0</v>
      </c>
      <c r="L517" s="20" t="n">
        <f aca="false">0</f>
        <v>0</v>
      </c>
      <c r="M517" s="20" t="n">
        <f aca="false">0</f>
        <v>0</v>
      </c>
      <c r="N517" s="20" t="n">
        <f aca="false">0</f>
        <v>0</v>
      </c>
      <c r="O517" s="20" t="n">
        <f aca="false">0</f>
        <v>0</v>
      </c>
      <c r="P517" s="20" t="n">
        <f aca="false">0</f>
        <v>0</v>
      </c>
      <c r="Q517" s="20" t="n">
        <f aca="false">0</f>
        <v>0</v>
      </c>
      <c r="R517" s="20" t="n">
        <f aca="false">0</f>
        <v>0</v>
      </c>
      <c r="S517" s="20" t="n">
        <f aca="false">0</f>
        <v>0</v>
      </c>
      <c r="T517" s="20" t="n">
        <f aca="false">0</f>
        <v>0</v>
      </c>
      <c r="U517" s="20" t="n">
        <f aca="false">0</f>
        <v>0</v>
      </c>
      <c r="V517" s="20" t="n">
        <f aca="false">0</f>
        <v>0</v>
      </c>
      <c r="W517" s="20" t="n">
        <f aca="false">0</f>
        <v>0</v>
      </c>
      <c r="X517" s="20" t="n">
        <f aca="false">0</f>
        <v>0</v>
      </c>
      <c r="Y517" s="20" t="n">
        <f aca="false">0</f>
        <v>0</v>
      </c>
      <c r="Z517" s="20" t="n">
        <f aca="false">0</f>
        <v>0</v>
      </c>
      <c r="AA517" s="20" t="n">
        <f aca="false">0</f>
        <v>0</v>
      </c>
      <c r="AB517" s="20" t="n">
        <f aca="false">0</f>
        <v>0</v>
      </c>
      <c r="AC517" s="20" t="n">
        <f aca="false">0</f>
        <v>0</v>
      </c>
      <c r="AD517" s="20" t="n">
        <f aca="false">0</f>
        <v>0</v>
      </c>
      <c r="AE517" s="20" t="n">
        <f aca="false">0</f>
        <v>0</v>
      </c>
      <c r="AF517" s="20" t="n">
        <f aca="false">0</f>
        <v>0</v>
      </c>
      <c r="AG517" s="20" t="n">
        <f aca="false">0</f>
        <v>0</v>
      </c>
      <c r="AH517" s="20" t="n">
        <f aca="false">0</f>
        <v>0</v>
      </c>
      <c r="AI517" s="20" t="n">
        <f aca="false">0</f>
        <v>0</v>
      </c>
      <c r="AJ517" s="20" t="n">
        <f aca="false">0</f>
        <v>0</v>
      </c>
      <c r="AK517" s="20" t="n">
        <f aca="false">0</f>
        <v>0</v>
      </c>
      <c r="AL517" s="20" t="n">
        <f aca="false">0</f>
        <v>0</v>
      </c>
      <c r="AM517" s="20" t="n">
        <f aca="false">0</f>
        <v>0</v>
      </c>
      <c r="AN517" s="20" t="n">
        <f aca="false">0</f>
        <v>0</v>
      </c>
      <c r="AO517" s="20" t="n">
        <f aca="false">0</f>
        <v>0</v>
      </c>
      <c r="AP517" s="20" t="n">
        <f aca="false">0</f>
        <v>0</v>
      </c>
      <c r="AQ517" s="20" t="n">
        <f aca="false">0</f>
        <v>0</v>
      </c>
      <c r="AR517" s="20" t="n">
        <f aca="false">0</f>
        <v>0</v>
      </c>
      <c r="AS517" s="20" t="n">
        <f aca="false">0</f>
        <v>0</v>
      </c>
      <c r="AT517" s="20" t="n">
        <f aca="false">0</f>
        <v>0</v>
      </c>
      <c r="AU517" s="20" t="n">
        <f aca="false">0</f>
        <v>0</v>
      </c>
    </row>
    <row r="518" customFormat="false" ht="15" hidden="false" customHeight="false" outlineLevel="0" collapsed="false">
      <c r="D518" s="0" t="s">
        <v>519</v>
      </c>
      <c r="E518" s="0" t="s">
        <v>47</v>
      </c>
      <c r="G518" s="20" t="n">
        <f aca="false">SUM(J518:AU518)</f>
        <v>701.23853446082</v>
      </c>
      <c r="J518" s="20" t="n">
        <f aca="false">Operations!J515*Operations!J511/1000</f>
        <v>0</v>
      </c>
      <c r="K518" s="20" t="n">
        <f aca="false">Operations!K515*Operations!K511/1000</f>
        <v>0</v>
      </c>
      <c r="L518" s="20" t="n">
        <f aca="false">Operations!L515*Operations!L511/1000</f>
        <v>0</v>
      </c>
      <c r="M518" s="20" t="n">
        <f aca="false">Operations!M515*Operations!M511/1000</f>
        <v>0</v>
      </c>
      <c r="N518" s="20" t="n">
        <f aca="false">Operations!N515*Operations!N511/1000</f>
        <v>0</v>
      </c>
      <c r="O518" s="20" t="n">
        <f aca="false">Operations!O515*Operations!O511/1000</f>
        <v>0</v>
      </c>
      <c r="P518" s="20" t="n">
        <f aca="false">Operations!P515*Operations!P511/1000</f>
        <v>0</v>
      </c>
      <c r="Q518" s="20" t="n">
        <f aca="false">Operations!Q515*Operations!Q511/1000</f>
        <v>17.0776110992048</v>
      </c>
      <c r="R518" s="20" t="n">
        <f aca="false">Operations!R515*Operations!R511/1000</f>
        <v>34.6309086116968</v>
      </c>
      <c r="S518" s="20" t="n">
        <f aca="false">Operations!S515*Operations!S511/1000</f>
        <v>35.1361731367266</v>
      </c>
      <c r="T518" s="20" t="n">
        <f aca="false">Operations!T515*Operations!T511/1000</f>
        <v>35.647815758952</v>
      </c>
      <c r="U518" s="20" t="n">
        <f aca="false">Operations!U515*Operations!U511/1000</f>
        <v>36.1656568600048</v>
      </c>
      <c r="V518" s="20" t="n">
        <f aca="false">Operations!V515*Operations!V511/1000</f>
        <v>36.6895180886667</v>
      </c>
      <c r="W518" s="20" t="n">
        <f aca="false">Operations!W515*Operations!W511/1000</f>
        <v>37.2192223548307</v>
      </c>
      <c r="X518" s="20" t="n">
        <f aca="false">Operations!X515*Operations!X511/1000</f>
        <v>37.7545938234865</v>
      </c>
      <c r="Y518" s="20" t="n">
        <f aca="false">Operations!Y515*Operations!Y511/1000</f>
        <v>38.3018941201421</v>
      </c>
      <c r="Z518" s="20" t="n">
        <f aca="false">Operations!Z515*Operations!Z511/1000</f>
        <v>38.8544433908176</v>
      </c>
      <c r="AA518" s="20" t="n">
        <f aca="false">Operations!AA515*Operations!AA511/1000</f>
        <v>39.4120698745005</v>
      </c>
      <c r="AB518" s="20" t="n">
        <f aca="false">Operations!AB515*Operations!AB511/1000</f>
        <v>39.980934146135</v>
      </c>
      <c r="AC518" s="20" t="n">
        <f aca="false">Operations!AC515*Operations!AC511/1000</f>
        <v>40.5544661802621</v>
      </c>
      <c r="AD518" s="20" t="n">
        <f aca="false">Operations!AD515*Operations!AD511/1000</f>
        <v>41.1387598371777</v>
      </c>
      <c r="AE518" s="20" t="n">
        <f aca="false">Operations!AE515*Operations!AE511/1000</f>
        <v>41.7273178161201</v>
      </c>
      <c r="AF518" s="20" t="n">
        <f aca="false">Operations!AF515*Operations!AF511/1000</f>
        <v>42.3261676892588</v>
      </c>
      <c r="AG518" s="20" t="n">
        <f aca="false">Operations!AG515*Operations!AG511/1000</f>
        <v>42.9350426063127</v>
      </c>
      <c r="AH518" s="20" t="n">
        <f aca="false">Operations!AH515*Operations!AH511/1000</f>
        <v>43.6514857237572</v>
      </c>
      <c r="AI518" s="20" t="n">
        <f aca="false">Operations!AI515*Operations!AI511/1000</f>
        <v>22.0344533427674</v>
      </c>
      <c r="AJ518" s="20" t="n">
        <f aca="false">Operations!AJ515*Operations!AJ511/1000</f>
        <v>0</v>
      </c>
      <c r="AK518" s="20" t="n">
        <f aca="false">Operations!AK515*Operations!AK511/1000</f>
        <v>0</v>
      </c>
      <c r="AL518" s="20" t="n">
        <f aca="false">Operations!AL515*Operations!AL511/1000</f>
        <v>0</v>
      </c>
      <c r="AM518" s="20" t="n">
        <f aca="false">Operations!AM515*Operations!AM511/1000</f>
        <v>0</v>
      </c>
      <c r="AN518" s="20" t="n">
        <f aca="false">Operations!AN515*Operations!AN511/1000</f>
        <v>0</v>
      </c>
      <c r="AO518" s="20" t="n">
        <f aca="false">Operations!AO515*Operations!AO511/1000</f>
        <v>0</v>
      </c>
      <c r="AP518" s="20" t="n">
        <f aca="false">Operations!AP515*Operations!AP511/1000</f>
        <v>0</v>
      </c>
      <c r="AQ518" s="20" t="n">
        <f aca="false">Operations!AQ515*Operations!AQ511/1000</f>
        <v>0</v>
      </c>
      <c r="AR518" s="20" t="n">
        <f aca="false">Operations!AR515*Operations!AR511/1000</f>
        <v>0</v>
      </c>
      <c r="AS518" s="20" t="n">
        <f aca="false">Operations!AS515*Operations!AS511/1000</f>
        <v>0</v>
      </c>
      <c r="AT518" s="20" t="n">
        <f aca="false">Operations!AT515*Operations!AT511/1000</f>
        <v>0</v>
      </c>
      <c r="AU518" s="20" t="n">
        <f aca="false">Operations!AU515*Operations!AU511/1000</f>
        <v>0</v>
      </c>
    </row>
    <row r="519" customFormat="false" ht="15" hidden="false" customHeight="false" outlineLevel="0" collapsed="false">
      <c r="D519" s="0" t="s">
        <v>520</v>
      </c>
      <c r="E519" s="0" t="s">
        <v>47</v>
      </c>
      <c r="G519" s="20" t="n">
        <f aca="false">SUM(J519:AU519)</f>
        <v>882.164523483329</v>
      </c>
      <c r="J519" s="20" t="n">
        <f aca="false">Operations!J518+Operations!J514</f>
        <v>24.2947295</v>
      </c>
      <c r="K519" s="20" t="n">
        <f aca="false">Operations!K518+Operations!K514</f>
        <v>24.246140041</v>
      </c>
      <c r="L519" s="20" t="n">
        <f aca="false">Operations!L518+Operations!L514</f>
        <v>24.197647760918</v>
      </c>
      <c r="M519" s="20" t="n">
        <f aca="false">Operations!M518+Operations!M514</f>
        <v>24.1492524653962</v>
      </c>
      <c r="N519" s="20" t="n">
        <f aca="false">Operations!N518+Operations!N514</f>
        <v>24.1009539604654</v>
      </c>
      <c r="O519" s="20" t="n">
        <f aca="false">Operations!O518+Operations!O514</f>
        <v>24.0527520525444</v>
      </c>
      <c r="P519" s="20" t="n">
        <f aca="false">Operations!P518+Operations!P514</f>
        <v>24.0046465484394</v>
      </c>
      <c r="Q519" s="20" t="n">
        <f aca="false">Operations!Q518+Operations!Q514</f>
        <v>28.95747779295</v>
      </c>
      <c r="R519" s="20" t="n">
        <f aca="false">Operations!R518+Operations!R514</f>
        <v>34.6309086116968</v>
      </c>
      <c r="S519" s="20" t="n">
        <f aca="false">Operations!S518+Operations!S514</f>
        <v>35.1361731367266</v>
      </c>
      <c r="T519" s="20" t="n">
        <f aca="false">Operations!T518+Operations!T514</f>
        <v>35.647815758952</v>
      </c>
      <c r="U519" s="20" t="n">
        <f aca="false">Operations!U518+Operations!U514</f>
        <v>36.1656568600048</v>
      </c>
      <c r="V519" s="20" t="n">
        <f aca="false">Operations!V518+Operations!V514</f>
        <v>36.6895180886667</v>
      </c>
      <c r="W519" s="20" t="n">
        <f aca="false">Operations!W518+Operations!W514</f>
        <v>37.2192223548307</v>
      </c>
      <c r="X519" s="20" t="n">
        <f aca="false">Operations!X518+Operations!X514</f>
        <v>37.7545938234865</v>
      </c>
      <c r="Y519" s="20" t="n">
        <f aca="false">Operations!Y518+Operations!Y514</f>
        <v>38.3018941201421</v>
      </c>
      <c r="Z519" s="20" t="n">
        <f aca="false">Operations!Z518+Operations!Z514</f>
        <v>38.8544433908176</v>
      </c>
      <c r="AA519" s="20" t="n">
        <f aca="false">Operations!AA518+Operations!AA514</f>
        <v>39.4120698745005</v>
      </c>
      <c r="AB519" s="20" t="n">
        <f aca="false">Operations!AB518+Operations!AB514</f>
        <v>39.980934146135</v>
      </c>
      <c r="AC519" s="20" t="n">
        <f aca="false">Operations!AC518+Operations!AC514</f>
        <v>40.5544661802621</v>
      </c>
      <c r="AD519" s="20" t="n">
        <f aca="false">Operations!AD518+Operations!AD514</f>
        <v>41.1387598371777</v>
      </c>
      <c r="AE519" s="20" t="n">
        <f aca="false">Operations!AE518+Operations!AE514</f>
        <v>41.7273178161201</v>
      </c>
      <c r="AF519" s="20" t="n">
        <f aca="false">Operations!AF518+Operations!AF514</f>
        <v>42.3261676892588</v>
      </c>
      <c r="AG519" s="20" t="n">
        <f aca="false">Operations!AG518+Operations!AG514</f>
        <v>42.9350426063127</v>
      </c>
      <c r="AH519" s="20" t="n">
        <f aca="false">Operations!AH518+Operations!AH514</f>
        <v>43.6514857237572</v>
      </c>
      <c r="AI519" s="20" t="n">
        <f aca="false">Operations!AI518+Operations!AI514</f>
        <v>22.0344533427674</v>
      </c>
      <c r="AJ519" s="20" t="n">
        <f aca="false">Operations!AJ518+Operations!AJ514</f>
        <v>0</v>
      </c>
      <c r="AK519" s="20" t="n">
        <f aca="false">Operations!AK518+Operations!AK514</f>
        <v>0</v>
      </c>
      <c r="AL519" s="20" t="n">
        <f aca="false">Operations!AL518+Operations!AL514</f>
        <v>0</v>
      </c>
      <c r="AM519" s="20" t="n">
        <f aca="false">Operations!AM518+Operations!AM514</f>
        <v>0</v>
      </c>
      <c r="AN519" s="20" t="n">
        <f aca="false">Operations!AN518+Operations!AN514</f>
        <v>0</v>
      </c>
      <c r="AO519" s="20" t="n">
        <f aca="false">Operations!AO518+Operations!AO514</f>
        <v>0</v>
      </c>
      <c r="AP519" s="20" t="n">
        <f aca="false">Operations!AP518+Operations!AP514</f>
        <v>0</v>
      </c>
      <c r="AQ519" s="20" t="n">
        <f aca="false">Operations!AQ518+Operations!AQ514</f>
        <v>0</v>
      </c>
      <c r="AR519" s="20" t="n">
        <f aca="false">Operations!AR518+Operations!AR514</f>
        <v>0</v>
      </c>
      <c r="AS519" s="20" t="n">
        <f aca="false">Operations!AS518+Operations!AS514</f>
        <v>0</v>
      </c>
      <c r="AT519" s="20" t="n">
        <f aca="false">Operations!AT518+Operations!AT514</f>
        <v>0</v>
      </c>
      <c r="AU519" s="20" t="n">
        <f aca="false">Operations!AU518+Operations!AU514</f>
        <v>0</v>
      </c>
    </row>
    <row r="520" customFormat="false" ht="15" hidden="false" customHeight="false" outlineLevel="0" collapsed="false">
      <c r="D520" s="0" t="s">
        <v>521</v>
      </c>
      <c r="E520" s="0" t="s">
        <v>47</v>
      </c>
      <c r="J520" s="20" t="n">
        <f aca="false">Operations!J519-Operations!J516-Operations!J517</f>
        <v>0</v>
      </c>
      <c r="K520" s="20" t="n">
        <f aca="false">Operations!K519-Operations!K516-Operations!K517</f>
        <v>0</v>
      </c>
      <c r="L520" s="20" t="n">
        <f aca="false">Operations!L519-Operations!L516-Operations!L517</f>
        <v>0</v>
      </c>
      <c r="M520" s="20" t="n">
        <f aca="false">Operations!M519-Operations!M516-Operations!M517</f>
        <v>0</v>
      </c>
      <c r="N520" s="20" t="n">
        <f aca="false">Operations!N519-Operations!N516-Operations!N517</f>
        <v>0</v>
      </c>
      <c r="O520" s="20" t="n">
        <f aca="false">Operations!O519-Operations!O516-Operations!O517</f>
        <v>0</v>
      </c>
      <c r="P520" s="20" t="n">
        <f aca="false">Operations!P519-Operations!P516-Operations!P517</f>
        <v>0</v>
      </c>
      <c r="Q520" s="20" t="n">
        <f aca="false">Operations!Q519-Operations!Q516-Operations!Q517</f>
        <v>17.0776110992048</v>
      </c>
      <c r="R520" s="20" t="n">
        <f aca="false">Operations!R519-Operations!R516-Operations!R517</f>
        <v>34.6309086116968</v>
      </c>
      <c r="S520" s="20" t="n">
        <f aca="false">Operations!S519-Operations!S516-Operations!S517</f>
        <v>35.1361731367266</v>
      </c>
      <c r="T520" s="20" t="n">
        <f aca="false">Operations!T519-Operations!T516-Operations!T517</f>
        <v>35.647815758952</v>
      </c>
      <c r="U520" s="20" t="n">
        <f aca="false">Operations!U519-Operations!U516-Operations!U517</f>
        <v>36.1656568600048</v>
      </c>
      <c r="V520" s="20" t="n">
        <f aca="false">Operations!V519-Operations!V516-Operations!V517</f>
        <v>36.6895180886667</v>
      </c>
      <c r="W520" s="20" t="n">
        <f aca="false">Operations!W519-Operations!W516-Operations!W517</f>
        <v>37.2192223548307</v>
      </c>
      <c r="X520" s="20" t="n">
        <f aca="false">Operations!X519-Operations!X516-Operations!X517</f>
        <v>37.7545938234865</v>
      </c>
      <c r="Y520" s="20" t="n">
        <f aca="false">Operations!Y519-Operations!Y516-Operations!Y517</f>
        <v>38.3018941201421</v>
      </c>
      <c r="Z520" s="20" t="n">
        <f aca="false">Operations!Z519-Operations!Z516-Operations!Z517</f>
        <v>38.8544433908176</v>
      </c>
      <c r="AA520" s="20" t="n">
        <f aca="false">Operations!AA519-Operations!AA516-Operations!AA517</f>
        <v>39.4120698745005</v>
      </c>
      <c r="AB520" s="20" t="n">
        <f aca="false">Operations!AB519-Operations!AB516-Operations!AB517</f>
        <v>39.980934146135</v>
      </c>
      <c r="AC520" s="20" t="n">
        <f aca="false">Operations!AC519-Operations!AC516-Operations!AC517</f>
        <v>40.5544661802621</v>
      </c>
      <c r="AD520" s="20" t="n">
        <f aca="false">Operations!AD519-Operations!AD516-Operations!AD517</f>
        <v>41.1387598371777</v>
      </c>
      <c r="AE520" s="20" t="n">
        <f aca="false">Operations!AE519-Operations!AE516-Operations!AE517</f>
        <v>41.7273178161201</v>
      </c>
      <c r="AF520" s="20" t="n">
        <f aca="false">Operations!AF519-Operations!AF516-Operations!AF517</f>
        <v>42.3261676892588</v>
      </c>
      <c r="AG520" s="20" t="n">
        <f aca="false">Operations!AG519-Operations!AG516-Operations!AG517</f>
        <v>42.9350426063127</v>
      </c>
      <c r="AH520" s="20" t="n">
        <f aca="false">Operations!AH519-Operations!AH516-Operations!AH517</f>
        <v>43.6514857237572</v>
      </c>
      <c r="AI520" s="20" t="n">
        <f aca="false">Operations!AI519-Operations!AI516-Operations!AI517</f>
        <v>22.0344533427674</v>
      </c>
      <c r="AJ520" s="20" t="n">
        <f aca="false">Operations!AJ519-Operations!AJ516-Operations!AJ517</f>
        <v>0</v>
      </c>
      <c r="AK520" s="20" t="n">
        <f aca="false">Operations!AK519-Operations!AK516-Operations!AK517</f>
        <v>0</v>
      </c>
      <c r="AL520" s="20" t="n">
        <f aca="false">Operations!AL519-Operations!AL516-Operations!AL517</f>
        <v>0</v>
      </c>
      <c r="AM520" s="20" t="n">
        <f aca="false">Operations!AM519-Operations!AM516-Operations!AM517</f>
        <v>0</v>
      </c>
      <c r="AN520" s="20" t="n">
        <f aca="false">Operations!AN519-Operations!AN516-Operations!AN517</f>
        <v>0</v>
      </c>
      <c r="AO520" s="20" t="n">
        <f aca="false">Operations!AO519-Operations!AO516-Operations!AO517</f>
        <v>0</v>
      </c>
      <c r="AP520" s="20" t="n">
        <f aca="false">Operations!AP519-Operations!AP516-Operations!AP517</f>
        <v>0</v>
      </c>
      <c r="AQ520" s="20" t="n">
        <f aca="false">Operations!AQ519-Operations!AQ516-Operations!AQ517</f>
        <v>0</v>
      </c>
      <c r="AR520" s="20" t="n">
        <f aca="false">Operations!AR519-Operations!AR516-Operations!AR517</f>
        <v>0</v>
      </c>
      <c r="AS520" s="20" t="n">
        <f aca="false">Operations!AS519-Operations!AS516-Operations!AS517</f>
        <v>0</v>
      </c>
      <c r="AT520" s="20" t="n">
        <f aca="false">Operations!AT519-Operations!AT516-Operations!AT517</f>
        <v>0</v>
      </c>
      <c r="AU520" s="20" t="n">
        <f aca="false">Operations!AU519-Operations!AU516-Operations!AU517</f>
        <v>0</v>
      </c>
    </row>
    <row r="521" customFormat="false" ht="15" hidden="false" customHeight="false" outlineLevel="0" collapsed="false">
      <c r="D521" s="0" t="s">
        <v>522</v>
      </c>
      <c r="E521" s="0" t="s">
        <v>47</v>
      </c>
      <c r="J521" s="20" t="n">
        <f aca="false">Inputs!$F$103*Inputs!$F$99/1000*Time!J$9*Time!J$10*Operations!J500*Operations!$F$445</f>
        <v>10.3086</v>
      </c>
      <c r="K521" s="20" t="n">
        <f aca="false">Inputs!$F$103*Inputs!$F$99/1000*Time!K$9*Time!K$10*Operations!K500*Operations!$F$445</f>
        <v>10.915003395</v>
      </c>
      <c r="L521" s="20" t="n">
        <f aca="false">Inputs!$F$103*Inputs!$F$99/1000*Time!L$9*Time!L$10*Operations!L500*Operations!$F$445</f>
        <v>11.187878479875</v>
      </c>
      <c r="M521" s="20" t="n">
        <f aca="false">Inputs!$F$103*Inputs!$F$99/1000*Time!M$9*Time!M$10*Operations!M500*Operations!$F$445</f>
        <v>11.4675754418719</v>
      </c>
      <c r="N521" s="20" t="n">
        <f aca="false">Inputs!$F$103*Inputs!$F$99/1000*Time!N$9*Time!N$10*Operations!N500*Operations!$F$445</f>
        <v>11.7542648279187</v>
      </c>
      <c r="O521" s="20" t="n">
        <f aca="false">Inputs!$F$103*Inputs!$F$99/1000*Time!O$9*Time!O$10*Operations!O500*Operations!$F$445</f>
        <v>12.0481214486166</v>
      </c>
      <c r="P521" s="20" t="n">
        <f aca="false">Inputs!$F$103*Inputs!$F$99/1000*Time!P$9*Time!P$10*Operations!P500*Operations!$F$445</f>
        <v>12.349324484832</v>
      </c>
      <c r="Q521" s="20" t="n">
        <f aca="false">Inputs!$F$103*Inputs!$F$99/1000*Time!Q$9*Time!Q$10*Operations!Q500*Operations!$F$445</f>
        <v>12.6580575969529</v>
      </c>
      <c r="R521" s="20" t="n">
        <f aca="false">Inputs!$F$103*Inputs!$F$99/1000*Time!R$9*Time!R$10*Operations!R500*Operations!$F$445</f>
        <v>12.9745090368767</v>
      </c>
      <c r="S521" s="20" t="n">
        <f aca="false">Inputs!$F$103*Inputs!$F$99/1000*Time!S$9*Time!S$10*Operations!S500*Operations!$F$445</f>
        <v>13.2988717627986</v>
      </c>
      <c r="T521" s="20" t="n">
        <f aca="false">Inputs!$F$103*Inputs!$F$99/1000*Time!T$9*Time!T$10*Operations!T500*Operations!$F$445</f>
        <v>13.6313435568685</v>
      </c>
      <c r="U521" s="20" t="n">
        <f aca="false">Inputs!$F$103*Inputs!$F$99/1000*Time!U$9*Time!U$10*Operations!U500*Operations!$F$445</f>
        <v>13.9721271457903</v>
      </c>
      <c r="V521" s="20" t="n">
        <f aca="false">Inputs!$F$103*Inputs!$F$99/1000*Time!V$9*Time!V$10*Operations!V500*Operations!$F$445</f>
        <v>14.321430324435</v>
      </c>
      <c r="W521" s="20" t="n">
        <f aca="false">Inputs!$F$103*Inputs!$F$99/1000*Time!W$9*Time!W$10*Operations!W500*Operations!$F$445</f>
        <v>14.6794660825459</v>
      </c>
      <c r="X521" s="20" t="n">
        <f aca="false">Inputs!$F$103*Inputs!$F$99/1000*Time!X$9*Time!X$10*Operations!X500*Operations!$F$445</f>
        <v>15.0464527346095</v>
      </c>
      <c r="Y521" s="20" t="n">
        <f aca="false">Inputs!$F$103*Inputs!$F$99/1000*Time!Y$9*Time!Y$10*Operations!Y500*Operations!$F$445</f>
        <v>15.4226140529748</v>
      </c>
      <c r="Z521" s="20" t="n">
        <f aca="false">Inputs!$F$103*Inputs!$F$99/1000*Time!Z$9*Time!Z$10*Operations!Z500*Operations!$F$445</f>
        <v>15.8081794042991</v>
      </c>
      <c r="AA521" s="20" t="n">
        <f aca="false">Inputs!$F$103*Inputs!$F$99/1000*Time!AA$9*Time!AA$10*Operations!AA500*Operations!$F$445</f>
        <v>16.2033838894066</v>
      </c>
      <c r="AB521" s="20" t="n">
        <f aca="false">Inputs!$F$103*Inputs!$F$99/1000*Time!AB$9*Time!AB$10*Operations!AB500*Operations!$F$445</f>
        <v>16.6084684866418</v>
      </c>
      <c r="AC521" s="20" t="n">
        <f aca="false">Inputs!$F$103*Inputs!$F$99/1000*Time!AC$9*Time!AC$10*Operations!AC500*Operations!$F$445</f>
        <v>17.0236801988078</v>
      </c>
      <c r="AD521" s="20" t="n">
        <f aca="false">Inputs!$F$103*Inputs!$F$99/1000*Time!AD$9*Time!AD$10*Operations!AD500*Operations!$F$445</f>
        <v>17.449272203778</v>
      </c>
      <c r="AE521" s="20" t="n">
        <f aca="false">Inputs!$F$103*Inputs!$F$99/1000*Time!AE$9*Time!AE$10*Operations!AE500*Operations!$F$445</f>
        <v>17.8855040088725</v>
      </c>
      <c r="AF521" s="20" t="n">
        <f aca="false">Inputs!$F$103*Inputs!$F$99/1000*Time!AF$9*Time!AF$10*Operations!AF500*Operations!$F$445</f>
        <v>18.3326416090943</v>
      </c>
      <c r="AG521" s="20" t="n">
        <f aca="false">Inputs!$F$103*Inputs!$F$99/1000*Time!AG$9*Time!AG$10*Operations!AG500*Operations!$F$445</f>
        <v>18.7909576493216</v>
      </c>
      <c r="AH521" s="20" t="n">
        <f aca="false">Inputs!$F$103*Inputs!$F$99/1000*Time!AH$9*Time!AH$10*Operations!AH500*Operations!$F$445</f>
        <v>19.2607315905547</v>
      </c>
      <c r="AI521" s="20" t="n">
        <f aca="false">Inputs!$F$103*Inputs!$F$99/1000*Time!AI$9*Time!AI$10*Operations!AI500*Operations!$F$445</f>
        <v>9.78999240640454</v>
      </c>
      <c r="AJ521" s="20" t="n">
        <f aca="false">Inputs!$F$103*Inputs!$F$99/1000*Time!AJ$9*Time!AJ$10*Operations!AJ500*Operations!$F$445</f>
        <v>0</v>
      </c>
      <c r="AK521" s="20" t="n">
        <f aca="false">Inputs!$F$103*Inputs!$F$99/1000*Time!AK$9*Time!AK$10*Operations!AK500*Operations!$F$445</f>
        <v>0</v>
      </c>
      <c r="AL521" s="20" t="n">
        <f aca="false">Inputs!$F$103*Inputs!$F$99/1000*Time!AL$9*Time!AL$10*Operations!AL500*Operations!$F$445</f>
        <v>0</v>
      </c>
      <c r="AM521" s="20" t="n">
        <f aca="false">Inputs!$F$103*Inputs!$F$99/1000*Time!AM$9*Time!AM$10*Operations!AM500*Operations!$F$445</f>
        <v>0</v>
      </c>
      <c r="AN521" s="20" t="n">
        <f aca="false">Inputs!$F$103*Inputs!$F$99/1000*Time!AN$9*Time!AN$10*Operations!AN500*Operations!$F$445</f>
        <v>0</v>
      </c>
      <c r="AO521" s="20" t="n">
        <f aca="false">Inputs!$F$103*Inputs!$F$99/1000*Time!AO$9*Time!AO$10*Operations!AO500*Operations!$F$445</f>
        <v>0</v>
      </c>
      <c r="AP521" s="20" t="n">
        <f aca="false">Inputs!$F$103*Inputs!$F$99/1000*Time!AP$9*Time!AP$10*Operations!AP500*Operations!$F$445</f>
        <v>0</v>
      </c>
      <c r="AQ521" s="20" t="n">
        <f aca="false">Inputs!$F$103*Inputs!$F$99/1000*Time!AQ$9*Time!AQ$10*Operations!AQ500*Operations!$F$445</f>
        <v>0</v>
      </c>
      <c r="AR521" s="20" t="n">
        <f aca="false">Inputs!$F$103*Inputs!$F$99/1000*Time!AR$9*Time!AR$10*Operations!AR500*Operations!$F$445</f>
        <v>0</v>
      </c>
      <c r="AS521" s="20" t="n">
        <f aca="false">Inputs!$F$103*Inputs!$F$99/1000*Time!AS$9*Time!AS$10*Operations!AS500*Operations!$F$445</f>
        <v>0</v>
      </c>
      <c r="AT521" s="20" t="n">
        <f aca="false">Inputs!$F$103*Inputs!$F$99/1000*Time!AT$9*Time!AT$10*Operations!AT500*Operations!$F$445</f>
        <v>0</v>
      </c>
      <c r="AU521" s="20" t="n">
        <f aca="false">Inputs!$F$103*Inputs!$F$99/1000*Time!AU$9*Time!AU$10*Operations!AU500*Operations!$F$445</f>
        <v>0</v>
      </c>
    </row>
    <row r="522" customFormat="false" ht="15" hidden="false" customHeight="false" outlineLevel="0" collapsed="false">
      <c r="D522" s="0" t="s">
        <v>523</v>
      </c>
      <c r="E522" s="0" t="s">
        <v>47</v>
      </c>
      <c r="J522" s="20" t="n">
        <f aca="false">Inputs!$F$239/100*Operations!J519</f>
        <v>0.97178918</v>
      </c>
      <c r="K522" s="20" t="n">
        <f aca="false">Inputs!$F$239/100*Operations!K519</f>
        <v>0.96984560164</v>
      </c>
      <c r="L522" s="20" t="n">
        <f aca="false">Inputs!$F$239/100*Operations!L519</f>
        <v>0.96790591043672</v>
      </c>
      <c r="M522" s="20" t="n">
        <f aca="false">Inputs!$F$239/100*Operations!M519</f>
        <v>0.965970098615847</v>
      </c>
      <c r="N522" s="20" t="n">
        <f aca="false">Inputs!$F$239/100*Operations!N519</f>
        <v>0.964038158418615</v>
      </c>
      <c r="O522" s="20" t="n">
        <f aca="false">Inputs!$F$239/100*Operations!O519</f>
        <v>0.962110082101778</v>
      </c>
      <c r="P522" s="20" t="n">
        <f aca="false">Inputs!$F$239/100*Operations!P519</f>
        <v>0.960185861937574</v>
      </c>
      <c r="Q522" s="20" t="n">
        <f aca="false">Inputs!$F$239/100*Operations!Q519</f>
        <v>1.158299111718</v>
      </c>
      <c r="R522" s="20" t="n">
        <f aca="false">Inputs!$F$239/100*Operations!R519</f>
        <v>1.38523634446787</v>
      </c>
      <c r="S522" s="20" t="n">
        <f aca="false">Inputs!$F$239/100*Operations!S519</f>
        <v>1.40544692546906</v>
      </c>
      <c r="T522" s="20" t="n">
        <f aca="false">Inputs!$F$239/100*Operations!T519</f>
        <v>1.42591263035808</v>
      </c>
      <c r="U522" s="20" t="n">
        <f aca="false">Inputs!$F$239/100*Operations!U519</f>
        <v>1.44662627440019</v>
      </c>
      <c r="V522" s="20" t="n">
        <f aca="false">Inputs!$F$239/100*Operations!V519</f>
        <v>1.46758072354667</v>
      </c>
      <c r="W522" s="20" t="n">
        <f aca="false">Inputs!$F$239/100*Operations!W519</f>
        <v>1.48876889419323</v>
      </c>
      <c r="X522" s="20" t="n">
        <f aca="false">Inputs!$F$239/100*Operations!X519</f>
        <v>1.51018375293946</v>
      </c>
      <c r="Y522" s="20" t="n">
        <f aca="false">Inputs!$F$239/100*Operations!Y519</f>
        <v>1.53207576480568</v>
      </c>
      <c r="Z522" s="20" t="n">
        <f aca="false">Inputs!$F$239/100*Operations!Z519</f>
        <v>1.5541777356327</v>
      </c>
      <c r="AA522" s="20" t="n">
        <f aca="false">Inputs!$F$239/100*Operations!AA519</f>
        <v>1.57648279498002</v>
      </c>
      <c r="AB522" s="20" t="n">
        <f aca="false">Inputs!$F$239/100*Operations!AB519</f>
        <v>1.5992373658454</v>
      </c>
      <c r="AC522" s="20" t="n">
        <f aca="false">Inputs!$F$239/100*Operations!AC519</f>
        <v>1.62217864721048</v>
      </c>
      <c r="AD522" s="20" t="n">
        <f aca="false">Inputs!$F$239/100*Operations!AD519</f>
        <v>1.64555039348711</v>
      </c>
      <c r="AE522" s="20" t="n">
        <f aca="false">Inputs!$F$239/100*Operations!AE519</f>
        <v>1.6690927126448</v>
      </c>
      <c r="AF522" s="20" t="n">
        <f aca="false">Inputs!$F$239/100*Operations!AF519</f>
        <v>1.69304670757035</v>
      </c>
      <c r="AG522" s="20" t="n">
        <f aca="false">Inputs!$F$239/100*Operations!AG519</f>
        <v>1.71740170425251</v>
      </c>
      <c r="AH522" s="20" t="n">
        <f aca="false">Inputs!$F$239/100*Operations!AH519</f>
        <v>1.74605942895029</v>
      </c>
      <c r="AI522" s="20" t="n">
        <f aca="false">Inputs!$F$239/100*Operations!AI519</f>
        <v>0.881378133710695</v>
      </c>
      <c r="AJ522" s="20" t="n">
        <f aca="false">Inputs!$F$239/100*Operations!AJ519</f>
        <v>0</v>
      </c>
      <c r="AK522" s="20" t="n">
        <f aca="false">Inputs!$F$239/100*Operations!AK519</f>
        <v>0</v>
      </c>
      <c r="AL522" s="20" t="n">
        <f aca="false">Inputs!$F$239/100*Operations!AL519</f>
        <v>0</v>
      </c>
      <c r="AM522" s="20" t="n">
        <f aca="false">Inputs!$F$239/100*Operations!AM519</f>
        <v>0</v>
      </c>
      <c r="AN522" s="20" t="n">
        <f aca="false">Inputs!$F$239/100*Operations!AN519</f>
        <v>0</v>
      </c>
      <c r="AO522" s="20" t="n">
        <f aca="false">Inputs!$F$239/100*Operations!AO519</f>
        <v>0</v>
      </c>
      <c r="AP522" s="20" t="n">
        <f aca="false">Inputs!$F$239/100*Operations!AP519</f>
        <v>0</v>
      </c>
      <c r="AQ522" s="20" t="n">
        <f aca="false">Inputs!$F$239/100*Operations!AQ519</f>
        <v>0</v>
      </c>
      <c r="AR522" s="20" t="n">
        <f aca="false">Inputs!$F$239/100*Operations!AR519</f>
        <v>0</v>
      </c>
      <c r="AS522" s="20" t="n">
        <f aca="false">Inputs!$F$239/100*Operations!AS519</f>
        <v>0</v>
      </c>
      <c r="AT522" s="20" t="n">
        <f aca="false">Inputs!$F$239/100*Operations!AT519</f>
        <v>0</v>
      </c>
      <c r="AU522" s="20" t="n">
        <f aca="false">Inputs!$F$239/100*Operations!AU519</f>
        <v>0</v>
      </c>
    </row>
    <row r="523" customFormat="false" ht="15" hidden="false" customHeight="false" outlineLevel="0" collapsed="false">
      <c r="D523" s="0" t="s">
        <v>524</v>
      </c>
      <c r="E523" s="0" t="s">
        <v>47</v>
      </c>
      <c r="J523" s="20" t="n">
        <f aca="false">Inputs!$F$243/100*Inputs!$F$104*Inputs!$F$99/1000*Time!J$9*Operations!J500</f>
        <v>0.0924048</v>
      </c>
      <c r="K523" s="20" t="n">
        <f aca="false">Inputs!$F$243/100*Inputs!$F$104*Inputs!$F$99/1000*Time!K$9*Operations!K500</f>
        <v>0.09471492</v>
      </c>
      <c r="L523" s="20" t="n">
        <f aca="false">Inputs!$F$243/100*Inputs!$F$104*Inputs!$F$99/1000*Time!L$9*Operations!L500</f>
        <v>0.097082793</v>
      </c>
      <c r="M523" s="20" t="n">
        <f aca="false">Inputs!$F$243/100*Inputs!$F$104*Inputs!$F$99/1000*Time!M$9*Operations!M500</f>
        <v>0.099509862825</v>
      </c>
      <c r="N523" s="20" t="n">
        <f aca="false">Inputs!$F$243/100*Inputs!$F$104*Inputs!$F$99/1000*Time!N$9*Operations!N500</f>
        <v>0.101997609395625</v>
      </c>
      <c r="O523" s="20" t="n">
        <f aca="false">Inputs!$F$243/100*Inputs!$F$104*Inputs!$F$99/1000*Time!O$9*Operations!O500</f>
        <v>0.104547549630516</v>
      </c>
      <c r="P523" s="20" t="n">
        <f aca="false">Inputs!$F$243/100*Inputs!$F$104*Inputs!$F$99/1000*Time!P$9*Operations!P500</f>
        <v>0.107161238371278</v>
      </c>
      <c r="Q523" s="20" t="n">
        <f aca="false">Inputs!$F$243/100*Inputs!$F$104*Inputs!$F$99/1000*Time!Q$9*Operations!Q500</f>
        <v>0.10984026933056</v>
      </c>
      <c r="R523" s="20" t="n">
        <f aca="false">Inputs!$F$243/100*Inputs!$F$104*Inputs!$F$99/1000*Time!R$9*Operations!R500</f>
        <v>0.112586276063824</v>
      </c>
      <c r="S523" s="20" t="n">
        <f aca="false">Inputs!$F$243/100*Inputs!$F$104*Inputs!$F$99/1000*Time!S$9*Operations!S500</f>
        <v>0.11540093296542</v>
      </c>
      <c r="T523" s="20" t="n">
        <f aca="false">Inputs!$F$243/100*Inputs!$F$104*Inputs!$F$99/1000*Time!T$9*Operations!T500</f>
        <v>0.118285956289555</v>
      </c>
      <c r="U523" s="20" t="n">
        <f aca="false">Inputs!$F$243/100*Inputs!$F$104*Inputs!$F$99/1000*Time!U$9*Operations!U500</f>
        <v>0.121243105196794</v>
      </c>
      <c r="V523" s="20" t="n">
        <f aca="false">Inputs!$F$243/100*Inputs!$F$104*Inputs!$F$99/1000*Time!V$9*Operations!V500</f>
        <v>0.124274182826714</v>
      </c>
      <c r="W523" s="20" t="n">
        <f aca="false">Inputs!$F$243/100*Inputs!$F$104*Inputs!$F$99/1000*Time!W$9*Operations!W500</f>
        <v>0.127381037397382</v>
      </c>
      <c r="X523" s="20" t="n">
        <f aca="false">Inputs!$F$243/100*Inputs!$F$104*Inputs!$F$99/1000*Time!X$9*Operations!X500</f>
        <v>0.130565563332317</v>
      </c>
      <c r="Y523" s="20" t="n">
        <f aca="false">Inputs!$F$243/100*Inputs!$F$104*Inputs!$F$99/1000*Time!Y$9*Operations!Y500</f>
        <v>0.133829702415625</v>
      </c>
      <c r="Z523" s="20" t="n">
        <f aca="false">Inputs!$F$243/100*Inputs!$F$104*Inputs!$F$99/1000*Time!Z$9*Operations!Z500</f>
        <v>0.137175444976015</v>
      </c>
      <c r="AA523" s="20" t="n">
        <f aca="false">Inputs!$F$243/100*Inputs!$F$104*Inputs!$F$99/1000*Time!AA$9*Operations!AA500</f>
        <v>0.140604831100415</v>
      </c>
      <c r="AB523" s="20" t="n">
        <f aca="false">Inputs!$F$243/100*Inputs!$F$104*Inputs!$F$99/1000*Time!AB$9*Operations!AB500</f>
        <v>0.144119951877926</v>
      </c>
      <c r="AC523" s="20" t="n">
        <f aca="false">Inputs!$F$243/100*Inputs!$F$104*Inputs!$F$99/1000*Time!AC$9*Operations!AC500</f>
        <v>0.147722950674874</v>
      </c>
      <c r="AD523" s="20" t="n">
        <f aca="false">Inputs!$F$243/100*Inputs!$F$104*Inputs!$F$99/1000*Time!AD$9*Operations!AD500</f>
        <v>0.151416024441746</v>
      </c>
      <c r="AE523" s="20" t="n">
        <f aca="false">Inputs!$F$243/100*Inputs!$F$104*Inputs!$F$99/1000*Time!AE$9*Operations!AE500</f>
        <v>0.155201425052789</v>
      </c>
      <c r="AF523" s="20" t="n">
        <f aca="false">Inputs!$F$243/100*Inputs!$F$104*Inputs!$F$99/1000*Time!AF$9*Operations!AF500</f>
        <v>0.159081460679109</v>
      </c>
      <c r="AG523" s="20" t="n">
        <f aca="false">Inputs!$F$243/100*Inputs!$F$104*Inputs!$F$99/1000*Time!AG$9*Operations!AG500</f>
        <v>0.163058497196087</v>
      </c>
      <c r="AH523" s="20" t="n">
        <f aca="false">Inputs!$F$243/100*Inputs!$F$104*Inputs!$F$99/1000*Time!AH$9*Operations!AH500</f>
        <v>0.167134959625989</v>
      </c>
      <c r="AI523" s="20" t="n">
        <f aca="false">Inputs!$F$243/100*Inputs!$F$104*Inputs!$F$99/1000*Time!AI$9*Operations!AI500</f>
        <v>0.0849526394098948</v>
      </c>
      <c r="AJ523" s="20" t="n">
        <f aca="false">Inputs!$F$243/100*Inputs!$F$104*Inputs!$F$99/1000*Time!AJ$9*Operations!AJ500</f>
        <v>0</v>
      </c>
      <c r="AK523" s="20" t="n">
        <f aca="false">Inputs!$F$243/100*Inputs!$F$104*Inputs!$F$99/1000*Time!AK$9*Operations!AK500</f>
        <v>0</v>
      </c>
      <c r="AL523" s="20" t="n">
        <f aca="false">Inputs!$F$243/100*Inputs!$F$104*Inputs!$F$99/1000*Time!AL$9*Operations!AL500</f>
        <v>0</v>
      </c>
      <c r="AM523" s="20" t="n">
        <f aca="false">Inputs!$F$243/100*Inputs!$F$104*Inputs!$F$99/1000*Time!AM$9*Operations!AM500</f>
        <v>0</v>
      </c>
      <c r="AN523" s="20" t="n">
        <f aca="false">Inputs!$F$243/100*Inputs!$F$104*Inputs!$F$99/1000*Time!AN$9*Operations!AN500</f>
        <v>0</v>
      </c>
      <c r="AO523" s="20" t="n">
        <f aca="false">Inputs!$F$243/100*Inputs!$F$104*Inputs!$F$99/1000*Time!AO$9*Operations!AO500</f>
        <v>0</v>
      </c>
      <c r="AP523" s="20" t="n">
        <f aca="false">Inputs!$F$243/100*Inputs!$F$104*Inputs!$F$99/1000*Time!AP$9*Operations!AP500</f>
        <v>0</v>
      </c>
      <c r="AQ523" s="20" t="n">
        <f aca="false">Inputs!$F$243/100*Inputs!$F$104*Inputs!$F$99/1000*Time!AQ$9*Operations!AQ500</f>
        <v>0</v>
      </c>
      <c r="AR523" s="20" t="n">
        <f aca="false">Inputs!$F$243/100*Inputs!$F$104*Inputs!$F$99/1000*Time!AR$9*Operations!AR500</f>
        <v>0</v>
      </c>
      <c r="AS523" s="20" t="n">
        <f aca="false">Inputs!$F$243/100*Inputs!$F$104*Inputs!$F$99/1000*Time!AS$9*Operations!AS500</f>
        <v>0</v>
      </c>
      <c r="AT523" s="20" t="n">
        <f aca="false">Inputs!$F$243/100*Inputs!$F$104*Inputs!$F$99/1000*Time!AT$9*Operations!AT500</f>
        <v>0</v>
      </c>
      <c r="AU523" s="20" t="n">
        <f aca="false">Inputs!$F$243/100*Inputs!$F$104*Inputs!$F$99/1000*Time!AU$9*Operations!AU500</f>
        <v>0</v>
      </c>
    </row>
    <row r="524" customFormat="false" ht="15" hidden="false" customHeight="false" outlineLevel="0" collapsed="false">
      <c r="D524" s="0" t="s">
        <v>525</v>
      </c>
      <c r="E524" s="0" t="s">
        <v>47</v>
      </c>
      <c r="J524" s="20" t="n">
        <f aca="false">Inputs!$F$244/100*Inputs!$F$245/100*Operations!J519</f>
        <v>0.127547329875</v>
      </c>
      <c r="K524" s="20" t="n">
        <f aca="false">Inputs!$F$244/100*Inputs!$F$245/100*Operations!K519</f>
        <v>0.12729223521525</v>
      </c>
      <c r="L524" s="20" t="n">
        <f aca="false">Inputs!$F$244/100*Inputs!$F$245/100*Operations!L519</f>
        <v>0.12703765074482</v>
      </c>
      <c r="M524" s="20" t="n">
        <f aca="false">Inputs!$F$244/100*Inputs!$F$245/100*Operations!M519</f>
        <v>0.12678357544333</v>
      </c>
      <c r="N524" s="20" t="n">
        <f aca="false">Inputs!$F$244/100*Inputs!$F$245/100*Operations!N519</f>
        <v>0.126530008292443</v>
      </c>
      <c r="O524" s="20" t="n">
        <f aca="false">Inputs!$F$244/100*Inputs!$F$245/100*Operations!O519</f>
        <v>0.126276948275858</v>
      </c>
      <c r="P524" s="20" t="n">
        <f aca="false">Inputs!$F$244/100*Inputs!$F$245/100*Operations!P519</f>
        <v>0.126024394379307</v>
      </c>
      <c r="Q524" s="20" t="n">
        <f aca="false">Inputs!$F$244/100*Inputs!$F$245/100*Operations!Q519</f>
        <v>0.152026758412988</v>
      </c>
      <c r="R524" s="20" t="n">
        <f aca="false">Inputs!$F$244/100*Inputs!$F$245/100*Operations!R519</f>
        <v>0.181812270211408</v>
      </c>
      <c r="S524" s="20" t="n">
        <f aca="false">Inputs!$F$244/100*Inputs!$F$245/100*Operations!S519</f>
        <v>0.184464908967814</v>
      </c>
      <c r="T524" s="20" t="n">
        <f aca="false">Inputs!$F$244/100*Inputs!$F$245/100*Operations!T519</f>
        <v>0.187151032734498</v>
      </c>
      <c r="U524" s="20" t="n">
        <f aca="false">Inputs!$F$244/100*Inputs!$F$245/100*Operations!U519</f>
        <v>0.189869698515025</v>
      </c>
      <c r="V524" s="20" t="n">
        <f aca="false">Inputs!$F$244/100*Inputs!$F$245/100*Operations!V519</f>
        <v>0.1926199699655</v>
      </c>
      <c r="W524" s="20" t="n">
        <f aca="false">Inputs!$F$244/100*Inputs!$F$245/100*Operations!W519</f>
        <v>0.195400917362861</v>
      </c>
      <c r="X524" s="20" t="n">
        <f aca="false">Inputs!$F$244/100*Inputs!$F$245/100*Operations!X519</f>
        <v>0.198211617573304</v>
      </c>
      <c r="Y524" s="20" t="n">
        <f aca="false">Inputs!$F$244/100*Inputs!$F$245/100*Operations!Y519</f>
        <v>0.201084944130746</v>
      </c>
      <c r="Z524" s="20" t="n">
        <f aca="false">Inputs!$F$244/100*Inputs!$F$245/100*Operations!Z519</f>
        <v>0.203985827801792</v>
      </c>
      <c r="AA524" s="20" t="n">
        <f aca="false">Inputs!$F$244/100*Inputs!$F$245/100*Operations!AA519</f>
        <v>0.206913366841127</v>
      </c>
      <c r="AB524" s="20" t="n">
        <f aca="false">Inputs!$F$244/100*Inputs!$F$245/100*Operations!AB519</f>
        <v>0.209899904267209</v>
      </c>
      <c r="AC524" s="20" t="n">
        <f aca="false">Inputs!$F$244/100*Inputs!$F$245/100*Operations!AC519</f>
        <v>0.212910947446376</v>
      </c>
      <c r="AD524" s="20" t="n">
        <f aca="false">Inputs!$F$244/100*Inputs!$F$245/100*Operations!AD519</f>
        <v>0.215978489145183</v>
      </c>
      <c r="AE524" s="20" t="n">
        <f aca="false">Inputs!$F$244/100*Inputs!$F$245/100*Operations!AE519</f>
        <v>0.219068418534631</v>
      </c>
      <c r="AF524" s="20" t="n">
        <f aca="false">Inputs!$F$244/100*Inputs!$F$245/100*Operations!AF519</f>
        <v>0.222212380368609</v>
      </c>
      <c r="AG524" s="20" t="n">
        <f aca="false">Inputs!$F$244/100*Inputs!$F$245/100*Operations!AG519</f>
        <v>0.225408973683141</v>
      </c>
      <c r="AH524" s="20" t="n">
        <f aca="false">Inputs!$F$244/100*Inputs!$F$245/100*Operations!AH519</f>
        <v>0.229170300049725</v>
      </c>
      <c r="AI524" s="20" t="n">
        <f aca="false">Inputs!$F$244/100*Inputs!$F$245/100*Operations!AI519</f>
        <v>0.115680880049529</v>
      </c>
      <c r="AJ524" s="20" t="n">
        <f aca="false">Inputs!$F$244/100*Inputs!$F$245/100*Operations!AJ519</f>
        <v>0</v>
      </c>
      <c r="AK524" s="20" t="n">
        <f aca="false">Inputs!$F$244/100*Inputs!$F$245/100*Operations!AK519</f>
        <v>0</v>
      </c>
      <c r="AL524" s="20" t="n">
        <f aca="false">Inputs!$F$244/100*Inputs!$F$245/100*Operations!AL519</f>
        <v>0</v>
      </c>
      <c r="AM524" s="20" t="n">
        <f aca="false">Inputs!$F$244/100*Inputs!$F$245/100*Operations!AM519</f>
        <v>0</v>
      </c>
      <c r="AN524" s="20" t="n">
        <f aca="false">Inputs!$F$244/100*Inputs!$F$245/100*Operations!AN519</f>
        <v>0</v>
      </c>
      <c r="AO524" s="20" t="n">
        <f aca="false">Inputs!$F$244/100*Inputs!$F$245/100*Operations!AO519</f>
        <v>0</v>
      </c>
      <c r="AP524" s="20" t="n">
        <f aca="false">Inputs!$F$244/100*Inputs!$F$245/100*Operations!AP519</f>
        <v>0</v>
      </c>
      <c r="AQ524" s="20" t="n">
        <f aca="false">Inputs!$F$244/100*Inputs!$F$245/100*Operations!AQ519</f>
        <v>0</v>
      </c>
      <c r="AR524" s="20" t="n">
        <f aca="false">Inputs!$F$244/100*Inputs!$F$245/100*Operations!AR519</f>
        <v>0</v>
      </c>
      <c r="AS524" s="20" t="n">
        <f aca="false">Inputs!$F$244/100*Inputs!$F$245/100*Operations!AS519</f>
        <v>0</v>
      </c>
      <c r="AT524" s="20" t="n">
        <f aca="false">Inputs!$F$244/100*Inputs!$F$245/100*Operations!AT519</f>
        <v>0</v>
      </c>
      <c r="AU524" s="20" t="n">
        <f aca="false">Inputs!$F$244/100*Inputs!$F$245/100*Operations!AU519</f>
        <v>0</v>
      </c>
    </row>
    <row r="525" customFormat="false" ht="15" hidden="false" customHeight="false" outlineLevel="0" collapsed="false">
      <c r="D525" s="0" t="s">
        <v>526</v>
      </c>
      <c r="E525" s="0" t="s">
        <v>47</v>
      </c>
      <c r="G525" s="20" t="n">
        <f aca="false">SUM(J525:AU525)</f>
        <v>465.816832992485</v>
      </c>
      <c r="J525" s="20" t="n">
        <f aca="false">Operations!J519-Operations!J521-Operations!J522-Operations!J523-Operations!J524</f>
        <v>12.794388190125</v>
      </c>
      <c r="K525" s="20" t="n">
        <f aca="false">Operations!K519-Operations!K521-Operations!K522-Operations!K523-Operations!K524</f>
        <v>12.1392838891447</v>
      </c>
      <c r="L525" s="20" t="n">
        <f aca="false">Operations!L519-Operations!L521-Operations!L522-Operations!L523-Operations!L524</f>
        <v>11.8177429268615</v>
      </c>
      <c r="M525" s="20" t="n">
        <f aca="false">Operations!M519-Operations!M521-Operations!M522-Operations!M523-Operations!M524</f>
        <v>11.4894134866401</v>
      </c>
      <c r="N525" s="20" t="n">
        <f aca="false">Operations!N519-Operations!N521-Operations!N522-Operations!N523-Operations!N524</f>
        <v>11.15412335644</v>
      </c>
      <c r="O525" s="20" t="n">
        <f aca="false">Operations!O519-Operations!O521-Operations!O522-Operations!O523-Operations!O524</f>
        <v>10.8116960239197</v>
      </c>
      <c r="P525" s="20" t="n">
        <f aca="false">Operations!P519-Operations!P521-Operations!P522-Operations!P523-Operations!P524</f>
        <v>10.4619505689191</v>
      </c>
      <c r="Q525" s="20" t="n">
        <f aca="false">Operations!Q519-Operations!Q521-Operations!Q522-Operations!Q523-Operations!Q524</f>
        <v>14.8792540565356</v>
      </c>
      <c r="R525" s="20" t="n">
        <f aca="false">Operations!R519-Operations!R521-Operations!R522-Operations!R523-Operations!R524</f>
        <v>19.976764684077</v>
      </c>
      <c r="S525" s="20" t="n">
        <f aca="false">Operations!S519-Operations!S521-Operations!S522-Operations!S523-Operations!S524</f>
        <v>20.1319886065257</v>
      </c>
      <c r="T525" s="20" t="n">
        <f aca="false">Operations!T519-Operations!T521-Operations!T522-Operations!T523-Operations!T524</f>
        <v>20.2851225827014</v>
      </c>
      <c r="U525" s="20" t="n">
        <f aca="false">Operations!U519-Operations!U521-Operations!U522-Operations!U523-Operations!U524</f>
        <v>20.4357906361026</v>
      </c>
      <c r="V525" s="20" t="n">
        <f aca="false">Operations!V519-Operations!V521-Operations!V522-Operations!V523-Operations!V524</f>
        <v>20.5836128878928</v>
      </c>
      <c r="W525" s="20" t="n">
        <f aca="false">Operations!W519-Operations!W521-Operations!W522-Operations!W523-Operations!W524</f>
        <v>20.7282054233313</v>
      </c>
      <c r="X525" s="20" t="n">
        <f aca="false">Operations!X519-Operations!X521-Operations!X522-Operations!X523-Operations!X524</f>
        <v>20.8691801550319</v>
      </c>
      <c r="Y525" s="20" t="n">
        <f aca="false">Operations!Y519-Operations!Y521-Operations!Y522-Operations!Y523-Operations!Y524</f>
        <v>21.0122896558153</v>
      </c>
      <c r="Z525" s="20" t="n">
        <f aca="false">Operations!Z519-Operations!Z521-Operations!Z522-Operations!Z523-Operations!Z524</f>
        <v>21.1509249781079</v>
      </c>
      <c r="AA525" s="20" t="n">
        <f aca="false">Operations!AA519-Operations!AA521-Operations!AA522-Operations!AA523-Operations!AA524</f>
        <v>21.2846849921723</v>
      </c>
      <c r="AB525" s="20" t="n">
        <f aca="false">Operations!AB519-Operations!AB521-Operations!AB522-Operations!AB523-Operations!AB524</f>
        <v>21.4192084375027</v>
      </c>
      <c r="AC525" s="20" t="n">
        <f aca="false">Operations!AC519-Operations!AC521-Operations!AC522-Operations!AC523-Operations!AC524</f>
        <v>21.5479734361225</v>
      </c>
      <c r="AD525" s="20" t="n">
        <f aca="false">Operations!AD519-Operations!AD521-Operations!AD522-Operations!AD523-Operations!AD524</f>
        <v>21.6765427263257</v>
      </c>
      <c r="AE525" s="20" t="n">
        <f aca="false">Operations!AE519-Operations!AE521-Operations!AE522-Operations!AE523-Operations!AE524</f>
        <v>21.7984512510154</v>
      </c>
      <c r="AF525" s="20" t="n">
        <f aca="false">Operations!AF519-Operations!AF521-Operations!AF522-Operations!AF523-Operations!AF524</f>
        <v>21.9191855315465</v>
      </c>
      <c r="AG525" s="20" t="n">
        <f aca="false">Operations!AG519-Operations!AG521-Operations!AG522-Operations!AG523-Operations!AG524</f>
        <v>22.0382157818593</v>
      </c>
      <c r="AH525" s="20" t="n">
        <f aca="false">Operations!AH519-Operations!AH521-Operations!AH522-Operations!AH523-Operations!AH524</f>
        <v>22.2483894445765</v>
      </c>
      <c r="AI525" s="20" t="n">
        <f aca="false">Operations!AI519-Operations!AI521-Operations!AI522-Operations!AI523-Operations!AI524</f>
        <v>11.1624492831927</v>
      </c>
      <c r="AJ525" s="20" t="n">
        <f aca="false">Operations!AJ519-Operations!AJ521-Operations!AJ522-Operations!AJ523-Operations!AJ524</f>
        <v>0</v>
      </c>
      <c r="AK525" s="20" t="n">
        <f aca="false">Operations!AK519-Operations!AK521-Operations!AK522-Operations!AK523-Operations!AK524</f>
        <v>0</v>
      </c>
      <c r="AL525" s="20" t="n">
        <f aca="false">Operations!AL519-Operations!AL521-Operations!AL522-Operations!AL523-Operations!AL524</f>
        <v>0</v>
      </c>
      <c r="AM525" s="20" t="n">
        <f aca="false">Operations!AM519-Operations!AM521-Operations!AM522-Operations!AM523-Operations!AM524</f>
        <v>0</v>
      </c>
      <c r="AN525" s="20" t="n">
        <f aca="false">Operations!AN519-Operations!AN521-Operations!AN522-Operations!AN523-Operations!AN524</f>
        <v>0</v>
      </c>
      <c r="AO525" s="20" t="n">
        <f aca="false">Operations!AO519-Operations!AO521-Operations!AO522-Operations!AO523-Operations!AO524</f>
        <v>0</v>
      </c>
      <c r="AP525" s="20" t="n">
        <f aca="false">Operations!AP519-Operations!AP521-Operations!AP522-Operations!AP523-Operations!AP524</f>
        <v>0</v>
      </c>
      <c r="AQ525" s="20" t="n">
        <f aca="false">Operations!AQ519-Operations!AQ521-Operations!AQ522-Operations!AQ523-Operations!AQ524</f>
        <v>0</v>
      </c>
      <c r="AR525" s="20" t="n">
        <f aca="false">Operations!AR519-Operations!AR521-Operations!AR522-Operations!AR523-Operations!AR524</f>
        <v>0</v>
      </c>
      <c r="AS525" s="20" t="n">
        <f aca="false">Operations!AS519-Operations!AS521-Operations!AS522-Operations!AS523-Operations!AS524</f>
        <v>0</v>
      </c>
      <c r="AT525" s="20" t="n">
        <f aca="false">Operations!AT519-Operations!AT521-Operations!AT522-Operations!AT523-Operations!AT524</f>
        <v>0</v>
      </c>
      <c r="AU525" s="20" t="n">
        <f aca="false">Operations!AU519-Operations!AU521-Operations!AU522-Operations!AU523-Operations!AU524</f>
        <v>0</v>
      </c>
    </row>
    <row r="526" customFormat="false" ht="15" hidden="false" customHeight="false" outlineLevel="0" collapsed="false">
      <c r="D526" s="0" t="s">
        <v>527</v>
      </c>
      <c r="E526" s="0" t="s">
        <v>47</v>
      </c>
      <c r="J526" s="20" t="n">
        <f aca="false">0</f>
        <v>0</v>
      </c>
      <c r="K526" s="20" t="n">
        <f aca="false">0</f>
        <v>0</v>
      </c>
      <c r="L526" s="20" t="n">
        <f aca="false">0</f>
        <v>0</v>
      </c>
      <c r="M526" s="20" t="n">
        <f aca="false">0</f>
        <v>0</v>
      </c>
      <c r="N526" s="20" t="n">
        <f aca="false">0</f>
        <v>0</v>
      </c>
      <c r="O526" s="20" t="n">
        <f aca="false">0</f>
        <v>0</v>
      </c>
      <c r="P526" s="20" t="n">
        <f aca="false">0</f>
        <v>0</v>
      </c>
      <c r="Q526" s="20" t="n">
        <f aca="false">0</f>
        <v>0</v>
      </c>
      <c r="R526" s="20" t="n">
        <f aca="false">0</f>
        <v>0</v>
      </c>
      <c r="S526" s="20" t="n">
        <f aca="false">0</f>
        <v>0</v>
      </c>
      <c r="T526" s="20" t="n">
        <f aca="false">0</f>
        <v>0</v>
      </c>
      <c r="U526" s="20" t="n">
        <f aca="false">0</f>
        <v>0</v>
      </c>
      <c r="V526" s="20" t="n">
        <f aca="false">0</f>
        <v>0</v>
      </c>
      <c r="W526" s="20" t="n">
        <f aca="false">0</f>
        <v>0</v>
      </c>
      <c r="X526" s="20" t="n">
        <f aca="false">0</f>
        <v>0</v>
      </c>
      <c r="Y526" s="20" t="n">
        <f aca="false">0</f>
        <v>0</v>
      </c>
      <c r="Z526" s="20" t="n">
        <f aca="false">0</f>
        <v>0</v>
      </c>
      <c r="AA526" s="20" t="n">
        <f aca="false">0</f>
        <v>0</v>
      </c>
      <c r="AB526" s="20" t="n">
        <f aca="false">0</f>
        <v>0</v>
      </c>
      <c r="AC526" s="20" t="n">
        <f aca="false">0</f>
        <v>0</v>
      </c>
      <c r="AD526" s="20" t="n">
        <f aca="false">0</f>
        <v>0</v>
      </c>
      <c r="AE526" s="20" t="n">
        <f aca="false">0</f>
        <v>0</v>
      </c>
      <c r="AF526" s="20" t="n">
        <f aca="false">0</f>
        <v>0</v>
      </c>
      <c r="AG526" s="20" t="n">
        <f aca="false">0</f>
        <v>0</v>
      </c>
      <c r="AH526" s="20" t="n">
        <f aca="false">0</f>
        <v>0</v>
      </c>
      <c r="AI526" s="20" t="n">
        <f aca="false">0</f>
        <v>0</v>
      </c>
      <c r="AJ526" s="20" t="n">
        <f aca="false">0</f>
        <v>0</v>
      </c>
      <c r="AK526" s="20" t="n">
        <f aca="false">0</f>
        <v>0</v>
      </c>
      <c r="AL526" s="20" t="n">
        <f aca="false">0</f>
        <v>0</v>
      </c>
      <c r="AM526" s="20" t="n">
        <f aca="false">0</f>
        <v>0</v>
      </c>
      <c r="AN526" s="20" t="n">
        <f aca="false">0</f>
        <v>0</v>
      </c>
      <c r="AO526" s="20" t="n">
        <f aca="false">0</f>
        <v>0</v>
      </c>
      <c r="AP526" s="20" t="n">
        <f aca="false">0</f>
        <v>0</v>
      </c>
      <c r="AQ526" s="20" t="n">
        <f aca="false">0</f>
        <v>0</v>
      </c>
      <c r="AR526" s="20" t="n">
        <f aca="false">0</f>
        <v>0</v>
      </c>
      <c r="AS526" s="20" t="n">
        <f aca="false">0</f>
        <v>0</v>
      </c>
      <c r="AT526" s="20" t="n">
        <f aca="false">0</f>
        <v>0</v>
      </c>
      <c r="AU526" s="20" t="n">
        <f aca="false">0</f>
        <v>0</v>
      </c>
    </row>
    <row r="527" customFormat="false" ht="15" hidden="false" customHeight="false" outlineLevel="0" collapsed="false">
      <c r="D527" s="0" t="s">
        <v>528</v>
      </c>
      <c r="E527" s="0" t="s">
        <v>47</v>
      </c>
      <c r="J527" s="20" t="n">
        <f aca="false">IF(Time!J$4=YEAR(Inputs!$F$101),Inputs!$F$104*Inputs!$F$99/1000*Time!J$9,0)</f>
        <v>0</v>
      </c>
      <c r="K527" s="20" t="n">
        <f aca="false">IF(Time!K$4=YEAR(Inputs!$F$101),Inputs!$F$104*Inputs!$F$99/1000*Time!K$9,0)</f>
        <v>0</v>
      </c>
      <c r="L527" s="20" t="n">
        <f aca="false">IF(Time!L$4=YEAR(Inputs!$F$101),Inputs!$F$104*Inputs!$F$99/1000*Time!L$9,0)</f>
        <v>0</v>
      </c>
      <c r="M527" s="20" t="n">
        <f aca="false">IF(Time!M$4=YEAR(Inputs!$F$101),Inputs!$F$104*Inputs!$F$99/1000*Time!M$9,0)</f>
        <v>0</v>
      </c>
      <c r="N527" s="20" t="n">
        <f aca="false">IF(Time!N$4=YEAR(Inputs!$F$101),Inputs!$F$104*Inputs!$F$99/1000*Time!N$9,0)</f>
        <v>0</v>
      </c>
      <c r="O527" s="20" t="n">
        <f aca="false">IF(Time!O$4=YEAR(Inputs!$F$101),Inputs!$F$104*Inputs!$F$99/1000*Time!O$9,0)</f>
        <v>0</v>
      </c>
      <c r="P527" s="20" t="n">
        <f aca="false">IF(Time!P$4=YEAR(Inputs!$F$101),Inputs!$F$104*Inputs!$F$99/1000*Time!P$9,0)</f>
        <v>0</v>
      </c>
      <c r="Q527" s="20" t="n">
        <f aca="false">IF(Time!Q$4=YEAR(Inputs!$F$101),Inputs!$F$104*Inputs!$F$99/1000*Time!Q$9,0)</f>
        <v>0</v>
      </c>
      <c r="R527" s="20" t="n">
        <f aca="false">IF(Time!R$4=YEAR(Inputs!$F$101),Inputs!$F$104*Inputs!$F$99/1000*Time!R$9,0)</f>
        <v>0</v>
      </c>
      <c r="S527" s="20" t="n">
        <f aca="false">IF(Time!S$4=YEAR(Inputs!$F$101),Inputs!$F$104*Inputs!$F$99/1000*Time!S$9,0)</f>
        <v>0</v>
      </c>
      <c r="T527" s="20" t="n">
        <f aca="false">IF(Time!T$4=YEAR(Inputs!$F$101),Inputs!$F$104*Inputs!$F$99/1000*Time!T$9,0)</f>
        <v>0</v>
      </c>
      <c r="U527" s="20" t="n">
        <f aca="false">IF(Time!U$4=YEAR(Inputs!$F$101),Inputs!$F$104*Inputs!$F$99/1000*Time!U$9,0)</f>
        <v>0</v>
      </c>
      <c r="V527" s="20" t="n">
        <f aca="false">IF(Time!V$4=YEAR(Inputs!$F$101),Inputs!$F$104*Inputs!$F$99/1000*Time!V$9,0)</f>
        <v>0</v>
      </c>
      <c r="W527" s="20" t="n">
        <f aca="false">IF(Time!W$4=YEAR(Inputs!$F$101),Inputs!$F$104*Inputs!$F$99/1000*Time!W$9,0)</f>
        <v>0</v>
      </c>
      <c r="X527" s="20" t="n">
        <f aca="false">IF(Time!X$4=YEAR(Inputs!$F$101),Inputs!$F$104*Inputs!$F$99/1000*Time!X$9,0)</f>
        <v>0</v>
      </c>
      <c r="Y527" s="20" t="n">
        <f aca="false">IF(Time!Y$4=YEAR(Inputs!$F$101),Inputs!$F$104*Inputs!$F$99/1000*Time!Y$9,0)</f>
        <v>0</v>
      </c>
      <c r="Z527" s="20" t="n">
        <f aca="false">IF(Time!Z$4=YEAR(Inputs!$F$101),Inputs!$F$104*Inputs!$F$99/1000*Time!Z$9,0)</f>
        <v>0</v>
      </c>
      <c r="AA527" s="20" t="n">
        <f aca="false">IF(Time!AA$4=YEAR(Inputs!$F$101),Inputs!$F$104*Inputs!$F$99/1000*Time!AA$9,0)</f>
        <v>0</v>
      </c>
      <c r="AB527" s="20" t="n">
        <f aca="false">IF(Time!AB$4=YEAR(Inputs!$F$101),Inputs!$F$104*Inputs!$F$99/1000*Time!AB$9,0)</f>
        <v>0</v>
      </c>
      <c r="AC527" s="20" t="n">
        <f aca="false">IF(Time!AC$4=YEAR(Inputs!$F$101),Inputs!$F$104*Inputs!$F$99/1000*Time!AC$9,0)</f>
        <v>0</v>
      </c>
      <c r="AD527" s="20" t="n">
        <f aca="false">IF(Time!AD$4=YEAR(Inputs!$F$101),Inputs!$F$104*Inputs!$F$99/1000*Time!AD$9,0)</f>
        <v>0</v>
      </c>
      <c r="AE527" s="20" t="n">
        <f aca="false">IF(Time!AE$4=YEAR(Inputs!$F$101),Inputs!$F$104*Inputs!$F$99/1000*Time!AE$9,0)</f>
        <v>0</v>
      </c>
      <c r="AF527" s="20" t="n">
        <f aca="false">IF(Time!AF$4=YEAR(Inputs!$F$101),Inputs!$F$104*Inputs!$F$99/1000*Time!AF$9,0)</f>
        <v>0</v>
      </c>
      <c r="AG527" s="20" t="n">
        <f aca="false">IF(Time!AG$4=YEAR(Inputs!$F$101),Inputs!$F$104*Inputs!$F$99/1000*Time!AG$9,0)</f>
        <v>0</v>
      </c>
      <c r="AH527" s="20" t="n">
        <f aca="false">IF(Time!AH$4=YEAR(Inputs!$F$101),Inputs!$F$104*Inputs!$F$99/1000*Time!AH$9,0)</f>
        <v>0</v>
      </c>
      <c r="AI527" s="20" t="n">
        <f aca="false">IF(Time!AI$4=YEAR(Inputs!$F$101),Inputs!$F$104*Inputs!$F$99/1000*Time!AI$9,0)</f>
        <v>28.5522222694398</v>
      </c>
      <c r="AJ527" s="20" t="n">
        <f aca="false">IF(Time!AJ$4=YEAR(Inputs!$F$101),Inputs!$F$104*Inputs!$F$99/1000*Time!AJ$9,0)</f>
        <v>0</v>
      </c>
      <c r="AK527" s="20" t="n">
        <f aca="false">IF(Time!AK$4=YEAR(Inputs!$F$101),Inputs!$F$104*Inputs!$F$99/1000*Time!AK$9,0)</f>
        <v>0</v>
      </c>
      <c r="AL527" s="20" t="n">
        <f aca="false">IF(Time!AL$4=YEAR(Inputs!$F$101),Inputs!$F$104*Inputs!$F$99/1000*Time!AL$9,0)</f>
        <v>0</v>
      </c>
      <c r="AM527" s="20" t="n">
        <f aca="false">IF(Time!AM$4=YEAR(Inputs!$F$101),Inputs!$F$104*Inputs!$F$99/1000*Time!AM$9,0)</f>
        <v>0</v>
      </c>
      <c r="AN527" s="20" t="n">
        <f aca="false">IF(Time!AN$4=YEAR(Inputs!$F$101),Inputs!$F$104*Inputs!$F$99/1000*Time!AN$9,0)</f>
        <v>0</v>
      </c>
      <c r="AO527" s="20" t="n">
        <f aca="false">IF(Time!AO$4=YEAR(Inputs!$F$101),Inputs!$F$104*Inputs!$F$99/1000*Time!AO$9,0)</f>
        <v>0</v>
      </c>
      <c r="AP527" s="20" t="n">
        <f aca="false">IF(Time!AP$4=YEAR(Inputs!$F$101),Inputs!$F$104*Inputs!$F$99/1000*Time!AP$9,0)</f>
        <v>0</v>
      </c>
      <c r="AQ527" s="20" t="n">
        <f aca="false">IF(Time!AQ$4=YEAR(Inputs!$F$101),Inputs!$F$104*Inputs!$F$99/1000*Time!AQ$9,0)</f>
        <v>0</v>
      </c>
      <c r="AR527" s="20" t="n">
        <f aca="false">IF(Time!AR$4=YEAR(Inputs!$F$101),Inputs!$F$104*Inputs!$F$99/1000*Time!AR$9,0)</f>
        <v>0</v>
      </c>
      <c r="AS527" s="20" t="n">
        <f aca="false">IF(Time!AS$4=YEAR(Inputs!$F$101),Inputs!$F$104*Inputs!$F$99/1000*Time!AS$9,0)</f>
        <v>0</v>
      </c>
      <c r="AT527" s="20" t="n">
        <f aca="false">IF(Time!AT$4=YEAR(Inputs!$F$101),Inputs!$F$104*Inputs!$F$99/1000*Time!AT$9,0)</f>
        <v>0</v>
      </c>
      <c r="AU527" s="20" t="n">
        <f aca="false">IF(Time!AU$4=YEAR(Inputs!$F$101),Inputs!$F$104*Inputs!$F$99/1000*Time!AU$9,0)</f>
        <v>0</v>
      </c>
    </row>
    <row r="528" customFormat="false" ht="15" hidden="false" customHeight="false" outlineLevel="0" collapsed="false">
      <c r="D528" s="0" t="s">
        <v>529</v>
      </c>
      <c r="E528" s="0" t="s">
        <v>47</v>
      </c>
      <c r="G528" s="20" t="n">
        <f aca="false">SUM(J528:AU528)</f>
        <v>437.264610723045</v>
      </c>
      <c r="J528" s="20" t="n">
        <f aca="false">Operations!J525-Operations!J526-Operations!J527</f>
        <v>12.794388190125</v>
      </c>
      <c r="K528" s="20" t="n">
        <f aca="false">Operations!K525-Operations!K526-Operations!K527</f>
        <v>12.1392838891447</v>
      </c>
      <c r="L528" s="20" t="n">
        <f aca="false">Operations!L525-Operations!L526-Operations!L527</f>
        <v>11.8177429268615</v>
      </c>
      <c r="M528" s="20" t="n">
        <f aca="false">Operations!M525-Operations!M526-Operations!M527</f>
        <v>11.4894134866401</v>
      </c>
      <c r="N528" s="20" t="n">
        <f aca="false">Operations!N525-Operations!N526-Operations!N527</f>
        <v>11.15412335644</v>
      </c>
      <c r="O528" s="20" t="n">
        <f aca="false">Operations!O525-Operations!O526-Operations!O527</f>
        <v>10.8116960239197</v>
      </c>
      <c r="P528" s="20" t="n">
        <f aca="false">Operations!P525-Operations!P526-Operations!P527</f>
        <v>10.4619505689191</v>
      </c>
      <c r="Q528" s="20" t="n">
        <f aca="false">Operations!Q525-Operations!Q526-Operations!Q527</f>
        <v>14.8792540565356</v>
      </c>
      <c r="R528" s="20" t="n">
        <f aca="false">Operations!R525-Operations!R526-Operations!R527</f>
        <v>19.976764684077</v>
      </c>
      <c r="S528" s="20" t="n">
        <f aca="false">Operations!S525-Operations!S526-Operations!S527</f>
        <v>20.1319886065257</v>
      </c>
      <c r="T528" s="20" t="n">
        <f aca="false">Operations!T525-Operations!T526-Operations!T527</f>
        <v>20.2851225827014</v>
      </c>
      <c r="U528" s="20" t="n">
        <f aca="false">Operations!U525-Operations!U526-Operations!U527</f>
        <v>20.4357906361026</v>
      </c>
      <c r="V528" s="20" t="n">
        <f aca="false">Operations!V525-Operations!V526-Operations!V527</f>
        <v>20.5836128878928</v>
      </c>
      <c r="W528" s="20" t="n">
        <f aca="false">Operations!W525-Operations!W526-Operations!W527</f>
        <v>20.7282054233313</v>
      </c>
      <c r="X528" s="20" t="n">
        <f aca="false">Operations!X525-Operations!X526-Operations!X527</f>
        <v>20.8691801550319</v>
      </c>
      <c r="Y528" s="20" t="n">
        <f aca="false">Operations!Y525-Operations!Y526-Operations!Y527</f>
        <v>21.0122896558153</v>
      </c>
      <c r="Z528" s="20" t="n">
        <f aca="false">Operations!Z525-Operations!Z526-Operations!Z527</f>
        <v>21.1509249781079</v>
      </c>
      <c r="AA528" s="20" t="n">
        <f aca="false">Operations!AA525-Operations!AA526-Operations!AA527</f>
        <v>21.2846849921723</v>
      </c>
      <c r="AB528" s="20" t="n">
        <f aca="false">Operations!AB525-Operations!AB526-Operations!AB527</f>
        <v>21.4192084375027</v>
      </c>
      <c r="AC528" s="20" t="n">
        <f aca="false">Operations!AC525-Operations!AC526-Operations!AC527</f>
        <v>21.5479734361225</v>
      </c>
      <c r="AD528" s="20" t="n">
        <f aca="false">Operations!AD525-Operations!AD526-Operations!AD527</f>
        <v>21.6765427263257</v>
      </c>
      <c r="AE528" s="20" t="n">
        <f aca="false">Operations!AE525-Operations!AE526-Operations!AE527</f>
        <v>21.7984512510154</v>
      </c>
      <c r="AF528" s="20" t="n">
        <f aca="false">Operations!AF525-Operations!AF526-Operations!AF527</f>
        <v>21.9191855315465</v>
      </c>
      <c r="AG528" s="20" t="n">
        <f aca="false">Operations!AG525-Operations!AG526-Operations!AG527</f>
        <v>22.0382157818593</v>
      </c>
      <c r="AH528" s="20" t="n">
        <f aca="false">Operations!AH525-Operations!AH526-Operations!AH527</f>
        <v>22.2483894445765</v>
      </c>
      <c r="AI528" s="20" t="n">
        <f aca="false">Operations!AI525-Operations!AI526-Operations!AI527</f>
        <v>-17.3897729862471</v>
      </c>
      <c r="AJ528" s="20" t="n">
        <f aca="false">Operations!AJ525-Operations!AJ526-Operations!AJ527</f>
        <v>0</v>
      </c>
      <c r="AK528" s="20" t="n">
        <f aca="false">Operations!AK525-Operations!AK526-Operations!AK527</f>
        <v>0</v>
      </c>
      <c r="AL528" s="20" t="n">
        <f aca="false">Operations!AL525-Operations!AL526-Operations!AL527</f>
        <v>0</v>
      </c>
      <c r="AM528" s="20" t="n">
        <f aca="false">Operations!AM525-Operations!AM526-Operations!AM527</f>
        <v>0</v>
      </c>
      <c r="AN528" s="20" t="n">
        <f aca="false">Operations!AN525-Operations!AN526-Operations!AN527</f>
        <v>0</v>
      </c>
      <c r="AO528" s="20" t="n">
        <f aca="false">Operations!AO525-Operations!AO526-Operations!AO527</f>
        <v>0</v>
      </c>
      <c r="AP528" s="20" t="n">
        <f aca="false">Operations!AP525-Operations!AP526-Operations!AP527</f>
        <v>0</v>
      </c>
      <c r="AQ528" s="20" t="n">
        <f aca="false">Operations!AQ525-Operations!AQ526-Operations!AQ527</f>
        <v>0</v>
      </c>
      <c r="AR528" s="20" t="n">
        <f aca="false">Operations!AR525-Operations!AR526-Operations!AR527</f>
        <v>0</v>
      </c>
      <c r="AS528" s="20" t="n">
        <f aca="false">Operations!AS525-Operations!AS526-Operations!AS527</f>
        <v>0</v>
      </c>
      <c r="AT528" s="20" t="n">
        <f aca="false">Operations!AT525-Operations!AT526-Operations!AT527</f>
        <v>0</v>
      </c>
      <c r="AU528" s="20" t="n">
        <f aca="false">Operations!AU525-Operations!AU526-Operations!AU527</f>
        <v>0</v>
      </c>
    </row>
    <row r="529" customFormat="false" ht="15" hidden="false" customHeight="false" outlineLevel="0" collapsed="false">
      <c r="D529" s="0" t="s">
        <v>530</v>
      </c>
      <c r="E529" s="0" t="s">
        <v>458</v>
      </c>
      <c r="J529" s="14" t="n">
        <f aca="false">0</f>
        <v>0</v>
      </c>
      <c r="K529" s="14" t="n">
        <f aca="false">0</f>
        <v>0</v>
      </c>
      <c r="L529" s="14" t="n">
        <f aca="false">0</f>
        <v>0</v>
      </c>
      <c r="M529" s="14" t="n">
        <f aca="false">0</f>
        <v>0</v>
      </c>
      <c r="N529" s="14" t="n">
        <f aca="false">0</f>
        <v>0</v>
      </c>
      <c r="O529" s="14" t="n">
        <f aca="false">0</f>
        <v>0</v>
      </c>
      <c r="P529" s="14" t="n">
        <f aca="false">0</f>
        <v>0</v>
      </c>
      <c r="Q529" s="14" t="n">
        <f aca="false">0</f>
        <v>0</v>
      </c>
      <c r="R529" s="14" t="n">
        <f aca="false">0</f>
        <v>0</v>
      </c>
      <c r="S529" s="14" t="n">
        <f aca="false">0</f>
        <v>0</v>
      </c>
      <c r="T529" s="14" t="n">
        <f aca="false">0</f>
        <v>0</v>
      </c>
      <c r="U529" s="14" t="n">
        <f aca="false">0</f>
        <v>0</v>
      </c>
      <c r="V529" s="14" t="n">
        <f aca="false">0</f>
        <v>0</v>
      </c>
      <c r="W529" s="14" t="n">
        <f aca="false">0</f>
        <v>0</v>
      </c>
      <c r="X529" s="14" t="n">
        <f aca="false">0</f>
        <v>0</v>
      </c>
      <c r="Y529" s="14" t="n">
        <f aca="false">0</f>
        <v>0</v>
      </c>
      <c r="Z529" s="14" t="n">
        <f aca="false">0</f>
        <v>0</v>
      </c>
      <c r="AA529" s="14" t="n">
        <f aca="false">0</f>
        <v>0</v>
      </c>
      <c r="AB529" s="14" t="n">
        <f aca="false">0</f>
        <v>0</v>
      </c>
      <c r="AC529" s="14" t="n">
        <f aca="false">0</f>
        <v>0</v>
      </c>
      <c r="AD529" s="14" t="n">
        <f aca="false">0</f>
        <v>0</v>
      </c>
      <c r="AE529" s="14" t="n">
        <f aca="false">0</f>
        <v>0</v>
      </c>
      <c r="AF529" s="14" t="n">
        <f aca="false">0</f>
        <v>0</v>
      </c>
      <c r="AG529" s="14" t="n">
        <f aca="false">0</f>
        <v>0</v>
      </c>
      <c r="AH529" s="14" t="n">
        <f aca="false">0</f>
        <v>0</v>
      </c>
      <c r="AI529" s="14" t="n">
        <f aca="false">0</f>
        <v>0</v>
      </c>
      <c r="AJ529" s="14" t="n">
        <f aca="false">0</f>
        <v>0</v>
      </c>
      <c r="AK529" s="14" t="n">
        <f aca="false">0</f>
        <v>0</v>
      </c>
      <c r="AL529" s="14" t="n">
        <f aca="false">0</f>
        <v>0</v>
      </c>
      <c r="AM529" s="14" t="n">
        <f aca="false">0</f>
        <v>0</v>
      </c>
      <c r="AN529" s="14" t="n">
        <f aca="false">0</f>
        <v>0</v>
      </c>
      <c r="AO529" s="14" t="n">
        <f aca="false">0</f>
        <v>0</v>
      </c>
      <c r="AP529" s="14" t="n">
        <f aca="false">0</f>
        <v>0</v>
      </c>
      <c r="AQ529" s="14" t="n">
        <f aca="false">0</f>
        <v>0</v>
      </c>
      <c r="AR529" s="14" t="n">
        <f aca="false">0</f>
        <v>0</v>
      </c>
      <c r="AS529" s="14" t="n">
        <f aca="false">0</f>
        <v>0</v>
      </c>
      <c r="AT529" s="14" t="n">
        <f aca="false">0</f>
        <v>0</v>
      </c>
      <c r="AU529" s="14" t="n">
        <f aca="false">0</f>
        <v>0</v>
      </c>
    </row>
    <row r="530" customFormat="false" ht="15" hidden="false" customHeight="false" outlineLevel="0" collapsed="false">
      <c r="D530" s="0" t="s">
        <v>531</v>
      </c>
      <c r="E530" s="0" t="s">
        <v>458</v>
      </c>
      <c r="J530" s="14" t="n">
        <f aca="false">1</f>
        <v>1</v>
      </c>
      <c r="K530" s="14" t="n">
        <f aca="false">1</f>
        <v>1</v>
      </c>
      <c r="L530" s="14" t="n">
        <f aca="false">1</f>
        <v>1</v>
      </c>
      <c r="M530" s="14" t="n">
        <f aca="false">1</f>
        <v>1</v>
      </c>
      <c r="N530" s="14" t="n">
        <f aca="false">1</f>
        <v>1</v>
      </c>
      <c r="O530" s="14" t="n">
        <f aca="false">1</f>
        <v>1</v>
      </c>
      <c r="P530" s="14" t="n">
        <f aca="false">1</f>
        <v>1</v>
      </c>
      <c r="Q530" s="14" t="n">
        <f aca="false">1</f>
        <v>1</v>
      </c>
      <c r="R530" s="14" t="n">
        <f aca="false">1</f>
        <v>1</v>
      </c>
      <c r="S530" s="14" t="n">
        <f aca="false">1</f>
        <v>1</v>
      </c>
      <c r="T530" s="14" t="n">
        <f aca="false">1</f>
        <v>1</v>
      </c>
      <c r="U530" s="14" t="n">
        <f aca="false">1</f>
        <v>1</v>
      </c>
      <c r="V530" s="14" t="n">
        <f aca="false">1</f>
        <v>1</v>
      </c>
      <c r="W530" s="14" t="n">
        <f aca="false">1</f>
        <v>1</v>
      </c>
      <c r="X530" s="14" t="n">
        <f aca="false">1</f>
        <v>1</v>
      </c>
      <c r="Y530" s="14" t="n">
        <f aca="false">1</f>
        <v>1</v>
      </c>
      <c r="Z530" s="14" t="n">
        <f aca="false">1</f>
        <v>1</v>
      </c>
      <c r="AA530" s="14" t="n">
        <f aca="false">1</f>
        <v>1</v>
      </c>
      <c r="AB530" s="14" t="n">
        <f aca="false">1</f>
        <v>1</v>
      </c>
      <c r="AC530" s="14" t="n">
        <f aca="false">1</f>
        <v>1</v>
      </c>
      <c r="AD530" s="14" t="n">
        <f aca="false">1</f>
        <v>1</v>
      </c>
      <c r="AE530" s="14" t="n">
        <f aca="false">1</f>
        <v>1</v>
      </c>
      <c r="AF530" s="14" t="n">
        <f aca="false">1</f>
        <v>1</v>
      </c>
      <c r="AG530" s="14" t="n">
        <f aca="false">1</f>
        <v>1</v>
      </c>
      <c r="AH530" s="14" t="n">
        <f aca="false">1</f>
        <v>1</v>
      </c>
      <c r="AI530" s="14" t="n">
        <f aca="false">1</f>
        <v>1</v>
      </c>
      <c r="AJ530" s="14" t="n">
        <f aca="false">1</f>
        <v>1</v>
      </c>
      <c r="AK530" s="14" t="n">
        <f aca="false">1</f>
        <v>1</v>
      </c>
      <c r="AL530" s="14" t="n">
        <f aca="false">1</f>
        <v>1</v>
      </c>
      <c r="AM530" s="14" t="n">
        <f aca="false">1</f>
        <v>1</v>
      </c>
      <c r="AN530" s="14" t="n">
        <f aca="false">1</f>
        <v>1</v>
      </c>
      <c r="AO530" s="14" t="n">
        <f aca="false">1</f>
        <v>1</v>
      </c>
      <c r="AP530" s="14" t="n">
        <f aca="false">1</f>
        <v>1</v>
      </c>
      <c r="AQ530" s="14" t="n">
        <f aca="false">1</f>
        <v>1</v>
      </c>
      <c r="AR530" s="14" t="n">
        <f aca="false">1</f>
        <v>1</v>
      </c>
      <c r="AS530" s="14" t="n">
        <f aca="false">1</f>
        <v>1</v>
      </c>
      <c r="AT530" s="14" t="n">
        <f aca="false">1</f>
        <v>1</v>
      </c>
      <c r="AU530" s="14" t="n">
        <f aca="false">1</f>
        <v>1</v>
      </c>
    </row>
    <row r="531" customFormat="false" ht="15" hidden="false" customHeight="false" outlineLevel="0" collapsed="false">
      <c r="D531" s="0" t="s">
        <v>532</v>
      </c>
      <c r="E531" s="0" t="s">
        <v>47</v>
      </c>
      <c r="G531" s="20" t="n">
        <f aca="false">SUM(J531:AU531)</f>
        <v>434.425308138387</v>
      </c>
      <c r="J531" s="20" t="n">
        <f aca="false">Operations!J528*(1-Operations!J529)*Operations!J502</f>
        <v>9.95508560546712</v>
      </c>
      <c r="K531" s="20" t="n">
        <f aca="false">Operations!K528*(1-Operations!K529)*Operations!K502</f>
        <v>12.1392838891447</v>
      </c>
      <c r="L531" s="20" t="n">
        <f aca="false">Operations!L528*(1-Operations!L529)*Operations!L502</f>
        <v>11.8177429268615</v>
      </c>
      <c r="M531" s="20" t="n">
        <f aca="false">Operations!M528*(1-Operations!M529)*Operations!M502</f>
        <v>11.4894134866401</v>
      </c>
      <c r="N531" s="20" t="n">
        <f aca="false">Operations!N528*(1-Operations!N529)*Operations!N502</f>
        <v>11.15412335644</v>
      </c>
      <c r="O531" s="20" t="n">
        <f aca="false">Operations!O528*(1-Operations!O529)*Operations!O502</f>
        <v>10.8116960239197</v>
      </c>
      <c r="P531" s="20" t="n">
        <f aca="false">Operations!P528*(1-Operations!P529)*Operations!P502</f>
        <v>10.4619505689191</v>
      </c>
      <c r="Q531" s="20" t="n">
        <f aca="false">Operations!Q528*(1-Operations!Q529)*Operations!Q502</f>
        <v>14.8792540565356</v>
      </c>
      <c r="R531" s="20" t="n">
        <f aca="false">Operations!R528*(1-Operations!R529)*Operations!R502</f>
        <v>19.976764684077</v>
      </c>
      <c r="S531" s="20" t="n">
        <f aca="false">Operations!S528*(1-Operations!S529)*Operations!S502</f>
        <v>20.1319886065257</v>
      </c>
      <c r="T531" s="20" t="n">
        <f aca="false">Operations!T528*(1-Operations!T529)*Operations!T502</f>
        <v>20.2851225827014</v>
      </c>
      <c r="U531" s="20" t="n">
        <f aca="false">Operations!U528*(1-Operations!U529)*Operations!U502</f>
        <v>20.4357906361026</v>
      </c>
      <c r="V531" s="20" t="n">
        <f aca="false">Operations!V528*(1-Operations!V529)*Operations!V502</f>
        <v>20.5836128878928</v>
      </c>
      <c r="W531" s="20" t="n">
        <f aca="false">Operations!W528*(1-Operations!W529)*Operations!W502</f>
        <v>20.7282054233313</v>
      </c>
      <c r="X531" s="20" t="n">
        <f aca="false">Operations!X528*(1-Operations!X529)*Operations!X502</f>
        <v>20.8691801550319</v>
      </c>
      <c r="Y531" s="20" t="n">
        <f aca="false">Operations!Y528*(1-Operations!Y529)*Operations!Y502</f>
        <v>21.0122896558153</v>
      </c>
      <c r="Z531" s="20" t="n">
        <f aca="false">Operations!Z528*(1-Operations!Z529)*Operations!Z502</f>
        <v>21.1509249781079</v>
      </c>
      <c r="AA531" s="20" t="n">
        <f aca="false">Operations!AA528*(1-Operations!AA529)*Operations!AA502</f>
        <v>21.2846849921723</v>
      </c>
      <c r="AB531" s="20" t="n">
        <f aca="false">Operations!AB528*(1-Operations!AB529)*Operations!AB502</f>
        <v>21.4192084375027</v>
      </c>
      <c r="AC531" s="20" t="n">
        <f aca="false">Operations!AC528*(1-Operations!AC529)*Operations!AC502</f>
        <v>21.5479734361225</v>
      </c>
      <c r="AD531" s="20" t="n">
        <f aca="false">Operations!AD528*(1-Operations!AD529)*Operations!AD502</f>
        <v>21.6765427263257</v>
      </c>
      <c r="AE531" s="20" t="n">
        <f aca="false">Operations!AE528*(1-Operations!AE529)*Operations!AE502</f>
        <v>21.7984512510154</v>
      </c>
      <c r="AF531" s="20" t="n">
        <f aca="false">Operations!AF528*(1-Operations!AF529)*Operations!AF502</f>
        <v>21.9191855315465</v>
      </c>
      <c r="AG531" s="20" t="n">
        <f aca="false">Operations!AG528*(1-Operations!AG529)*Operations!AG502</f>
        <v>22.0382157818593</v>
      </c>
      <c r="AH531" s="20" t="n">
        <f aca="false">Operations!AH528*(1-Operations!AH529)*Operations!AH502</f>
        <v>22.2483894445765</v>
      </c>
      <c r="AI531" s="20" t="n">
        <f aca="false">Operations!AI528*(1-Operations!AI529)*Operations!AI502</f>
        <v>-17.3897729862471</v>
      </c>
      <c r="AJ531" s="20" t="n">
        <f aca="false">Operations!AJ528*(1-Operations!AJ529)*Operations!AJ502</f>
        <v>0</v>
      </c>
      <c r="AK531" s="20" t="n">
        <f aca="false">Operations!AK528*(1-Operations!AK529)*Operations!AK502</f>
        <v>0</v>
      </c>
      <c r="AL531" s="20" t="n">
        <f aca="false">Operations!AL528*(1-Operations!AL529)*Operations!AL502</f>
        <v>0</v>
      </c>
      <c r="AM531" s="20" t="n">
        <f aca="false">Operations!AM528*(1-Operations!AM529)*Operations!AM502</f>
        <v>0</v>
      </c>
      <c r="AN531" s="20" t="n">
        <f aca="false">Operations!AN528*(1-Operations!AN529)*Operations!AN502</f>
        <v>0</v>
      </c>
      <c r="AO531" s="20" t="n">
        <f aca="false">Operations!AO528*(1-Operations!AO529)*Operations!AO502</f>
        <v>0</v>
      </c>
      <c r="AP531" s="20" t="n">
        <f aca="false">Operations!AP528*(1-Operations!AP529)*Operations!AP502</f>
        <v>0</v>
      </c>
      <c r="AQ531" s="20" t="n">
        <f aca="false">Operations!AQ528*(1-Operations!AQ529)*Operations!AQ502</f>
        <v>0</v>
      </c>
      <c r="AR531" s="20" t="n">
        <f aca="false">Operations!AR528*(1-Operations!AR529)*Operations!AR502</f>
        <v>0</v>
      </c>
      <c r="AS531" s="20" t="n">
        <f aca="false">Operations!AS528*(1-Operations!AS529)*Operations!AS502</f>
        <v>0</v>
      </c>
      <c r="AT531" s="20" t="n">
        <f aca="false">Operations!AT528*(1-Operations!AT529)*Operations!AT502</f>
        <v>0</v>
      </c>
      <c r="AU531" s="20" t="n">
        <f aca="false">Operations!AU528*(1-Operations!AU529)*Operations!AU502</f>
        <v>0</v>
      </c>
    </row>
    <row r="532" customFormat="false" ht="15" hidden="false" customHeight="false" outlineLevel="0" collapsed="false">
      <c r="D532" s="0" t="s">
        <v>533</v>
      </c>
      <c r="E532" s="0" t="s">
        <v>47</v>
      </c>
      <c r="J532" s="20" t="n">
        <f aca="false">Operations!J528*Operations!J530*Operations!J502</f>
        <v>9.95508560546712</v>
      </c>
      <c r="K532" s="20" t="n">
        <f aca="false">Operations!K528*Operations!K530*Operations!K502</f>
        <v>12.1392838891447</v>
      </c>
      <c r="L532" s="20" t="n">
        <f aca="false">Operations!L528*Operations!L530*Operations!L502</f>
        <v>11.8177429268615</v>
      </c>
      <c r="M532" s="20" t="n">
        <f aca="false">Operations!M528*Operations!M530*Operations!M502</f>
        <v>11.4894134866401</v>
      </c>
      <c r="N532" s="20" t="n">
        <f aca="false">Operations!N528*Operations!N530*Operations!N502</f>
        <v>11.15412335644</v>
      </c>
      <c r="O532" s="20" t="n">
        <f aca="false">Operations!O528*Operations!O530*Operations!O502</f>
        <v>10.8116960239197</v>
      </c>
      <c r="P532" s="20" t="n">
        <f aca="false">Operations!P528*Operations!P530*Operations!P502</f>
        <v>10.4619505689191</v>
      </c>
      <c r="Q532" s="20" t="n">
        <f aca="false">Operations!Q528*Operations!Q530*Operations!Q502</f>
        <v>14.8792540565356</v>
      </c>
      <c r="R532" s="20" t="n">
        <f aca="false">Operations!R528*Operations!R530*Operations!R502</f>
        <v>19.976764684077</v>
      </c>
      <c r="S532" s="20" t="n">
        <f aca="false">Operations!S528*Operations!S530*Operations!S502</f>
        <v>20.1319886065257</v>
      </c>
      <c r="T532" s="20" t="n">
        <f aca="false">Operations!T528*Operations!T530*Operations!T502</f>
        <v>20.2851225827014</v>
      </c>
      <c r="U532" s="20" t="n">
        <f aca="false">Operations!U528*Operations!U530*Operations!U502</f>
        <v>20.4357906361026</v>
      </c>
      <c r="V532" s="20" t="n">
        <f aca="false">Operations!V528*Operations!V530*Operations!V502</f>
        <v>20.5836128878928</v>
      </c>
      <c r="W532" s="20" t="n">
        <f aca="false">Operations!W528*Operations!W530*Operations!W502</f>
        <v>20.7282054233313</v>
      </c>
      <c r="X532" s="20" t="n">
        <f aca="false">Operations!X528*Operations!X530*Operations!X502</f>
        <v>20.8691801550319</v>
      </c>
      <c r="Y532" s="20" t="n">
        <f aca="false">Operations!Y528*Operations!Y530*Operations!Y502</f>
        <v>21.0122896558153</v>
      </c>
      <c r="Z532" s="20" t="n">
        <f aca="false">Operations!Z528*Operations!Z530*Operations!Z502</f>
        <v>21.1509249781079</v>
      </c>
      <c r="AA532" s="20" t="n">
        <f aca="false">Operations!AA528*Operations!AA530*Operations!AA502</f>
        <v>21.2846849921723</v>
      </c>
      <c r="AB532" s="20" t="n">
        <f aca="false">Operations!AB528*Operations!AB530*Operations!AB502</f>
        <v>21.4192084375027</v>
      </c>
      <c r="AC532" s="20" t="n">
        <f aca="false">Operations!AC528*Operations!AC530*Operations!AC502</f>
        <v>21.5479734361225</v>
      </c>
      <c r="AD532" s="20" t="n">
        <f aca="false">Operations!AD528*Operations!AD530*Operations!AD502</f>
        <v>21.6765427263257</v>
      </c>
      <c r="AE532" s="20" t="n">
        <f aca="false">Operations!AE528*Operations!AE530*Operations!AE502</f>
        <v>21.7984512510154</v>
      </c>
      <c r="AF532" s="20" t="n">
        <f aca="false">Operations!AF528*Operations!AF530*Operations!AF502</f>
        <v>21.9191855315465</v>
      </c>
      <c r="AG532" s="20" t="n">
        <f aca="false">Operations!AG528*Operations!AG530*Operations!AG502</f>
        <v>22.0382157818593</v>
      </c>
      <c r="AH532" s="20" t="n">
        <f aca="false">Operations!AH528*Operations!AH530*Operations!AH502</f>
        <v>22.2483894445765</v>
      </c>
      <c r="AI532" s="20" t="n">
        <f aca="false">Operations!AI528*Operations!AI530*Operations!AI502</f>
        <v>-17.3897729862471</v>
      </c>
      <c r="AJ532" s="20" t="n">
        <f aca="false">Operations!AJ528*Operations!AJ530*Operations!AJ502</f>
        <v>0</v>
      </c>
      <c r="AK532" s="20" t="n">
        <f aca="false">Operations!AK528*Operations!AK530*Operations!AK502</f>
        <v>0</v>
      </c>
      <c r="AL532" s="20" t="n">
        <f aca="false">Operations!AL528*Operations!AL530*Operations!AL502</f>
        <v>0</v>
      </c>
      <c r="AM532" s="20" t="n">
        <f aca="false">Operations!AM528*Operations!AM530*Operations!AM502</f>
        <v>0</v>
      </c>
      <c r="AN532" s="20" t="n">
        <f aca="false">Operations!AN528*Operations!AN530*Operations!AN502</f>
        <v>0</v>
      </c>
      <c r="AO532" s="20" t="n">
        <f aca="false">Operations!AO528*Operations!AO530*Operations!AO502</f>
        <v>0</v>
      </c>
      <c r="AP532" s="20" t="n">
        <f aca="false">Operations!AP528*Operations!AP530*Operations!AP502</f>
        <v>0</v>
      </c>
      <c r="AQ532" s="20" t="n">
        <f aca="false">Operations!AQ528*Operations!AQ530*Operations!AQ502</f>
        <v>0</v>
      </c>
      <c r="AR532" s="20" t="n">
        <f aca="false">Operations!AR528*Operations!AR530*Operations!AR502</f>
        <v>0</v>
      </c>
      <c r="AS532" s="20" t="n">
        <f aca="false">Operations!AS528*Operations!AS530*Operations!AS502</f>
        <v>0</v>
      </c>
      <c r="AT532" s="20" t="n">
        <f aca="false">Operations!AT528*Operations!AT530*Operations!AT502</f>
        <v>0</v>
      </c>
      <c r="AU532" s="20" t="n">
        <f aca="false">Operations!AU528*Operations!AU530*Operations!AU502</f>
        <v>0</v>
      </c>
    </row>
    <row r="533" customFormat="false" ht="15" hidden="false" customHeight="false" outlineLevel="0" collapsed="false">
      <c r="D533" s="0" t="s">
        <v>534</v>
      </c>
      <c r="E533" s="0" t="s">
        <v>47</v>
      </c>
      <c r="J533" s="20" t="n">
        <f aca="false">Operations!J531-Inputs!$F$248/100*Operations!J532</f>
        <v>7.86451762831903</v>
      </c>
      <c r="K533" s="20" t="n">
        <f aca="false">Operations!K531-Inputs!$F$248/100*Operations!K532</f>
        <v>9.59003427242435</v>
      </c>
      <c r="L533" s="20" t="n">
        <f aca="false">Operations!L531-Inputs!$F$248/100*Operations!L532</f>
        <v>9.33601691222055</v>
      </c>
      <c r="M533" s="20" t="n">
        <f aca="false">Operations!M531-Inputs!$F$248/100*Operations!M532</f>
        <v>9.07663665444569</v>
      </c>
      <c r="N533" s="20" t="n">
        <f aca="false">Operations!N531-Inputs!$F$248/100*Operations!N532</f>
        <v>8.81175745158762</v>
      </c>
      <c r="O533" s="20" t="n">
        <f aca="false">Operations!O531-Inputs!$F$248/100*Operations!O532</f>
        <v>8.54123985889653</v>
      </c>
      <c r="P533" s="20" t="n">
        <f aca="false">Operations!P531-Inputs!$F$248/100*Operations!P532</f>
        <v>8.26494094944612</v>
      </c>
      <c r="Q533" s="20" t="n">
        <f aca="false">Operations!Q531-Inputs!$F$248/100*Operations!Q532</f>
        <v>11.7546107046631</v>
      </c>
      <c r="R533" s="20" t="n">
        <f aca="false">Operations!R531-Inputs!$F$248/100*Operations!R532</f>
        <v>15.7816441004209</v>
      </c>
      <c r="S533" s="20" t="n">
        <f aca="false">Operations!S531-Inputs!$F$248/100*Operations!S532</f>
        <v>15.9042709991553</v>
      </c>
      <c r="T533" s="20" t="n">
        <f aca="false">Operations!T531-Inputs!$F$248/100*Operations!T532</f>
        <v>16.0252468403341</v>
      </c>
      <c r="U533" s="20" t="n">
        <f aca="false">Operations!U531-Inputs!$F$248/100*Operations!U532</f>
        <v>16.144274602521</v>
      </c>
      <c r="V533" s="20" t="n">
        <f aca="false">Operations!V531-Inputs!$F$248/100*Operations!V532</f>
        <v>16.2610541814353</v>
      </c>
      <c r="W533" s="20" t="n">
        <f aca="false">Operations!W531-Inputs!$F$248/100*Operations!W532</f>
        <v>16.3752822844317</v>
      </c>
      <c r="X533" s="20" t="n">
        <f aca="false">Operations!X531-Inputs!$F$248/100*Operations!X532</f>
        <v>16.4866523224752</v>
      </c>
      <c r="Y533" s="20" t="n">
        <f aca="false">Operations!Y531-Inputs!$F$248/100*Operations!Y532</f>
        <v>16.5997088280941</v>
      </c>
      <c r="Z533" s="20" t="n">
        <f aca="false">Operations!Z531-Inputs!$F$248/100*Operations!Z532</f>
        <v>16.7092307327052</v>
      </c>
      <c r="AA533" s="20" t="n">
        <f aca="false">Operations!AA531-Inputs!$F$248/100*Operations!AA532</f>
        <v>16.8149011438161</v>
      </c>
      <c r="AB533" s="20" t="n">
        <f aca="false">Operations!AB531-Inputs!$F$248/100*Operations!AB532</f>
        <v>16.9211746656271</v>
      </c>
      <c r="AC533" s="20" t="n">
        <f aca="false">Operations!AC531-Inputs!$F$248/100*Operations!AC532</f>
        <v>17.0228990145368</v>
      </c>
      <c r="AD533" s="20" t="n">
        <f aca="false">Operations!AD531-Inputs!$F$248/100*Operations!AD532</f>
        <v>17.1244687537973</v>
      </c>
      <c r="AE533" s="20" t="n">
        <f aca="false">Operations!AE531-Inputs!$F$248/100*Operations!AE532</f>
        <v>17.2207764883022</v>
      </c>
      <c r="AF533" s="20" t="n">
        <f aca="false">Operations!AF531-Inputs!$F$248/100*Operations!AF532</f>
        <v>17.3161565699217</v>
      </c>
      <c r="AG533" s="20" t="n">
        <f aca="false">Operations!AG531-Inputs!$F$248/100*Operations!AG532</f>
        <v>17.4101904676688</v>
      </c>
      <c r="AH533" s="20" t="n">
        <f aca="false">Operations!AH531-Inputs!$F$248/100*Operations!AH532</f>
        <v>17.5762276612154</v>
      </c>
      <c r="AI533" s="20" t="n">
        <f aca="false">Operations!AI531-Inputs!$F$248/100*Operations!AI532</f>
        <v>-13.7379206591352</v>
      </c>
      <c r="AJ533" s="20" t="n">
        <f aca="false">Operations!AJ531-Inputs!$F$248/100*Operations!AJ532</f>
        <v>0</v>
      </c>
      <c r="AK533" s="20" t="n">
        <f aca="false">Operations!AK531-Inputs!$F$248/100*Operations!AK532</f>
        <v>0</v>
      </c>
      <c r="AL533" s="20" t="n">
        <f aca="false">Operations!AL531-Inputs!$F$248/100*Operations!AL532</f>
        <v>0</v>
      </c>
      <c r="AM533" s="20" t="n">
        <f aca="false">Operations!AM531-Inputs!$F$248/100*Operations!AM532</f>
        <v>0</v>
      </c>
      <c r="AN533" s="20" t="n">
        <f aca="false">Operations!AN531-Inputs!$F$248/100*Operations!AN532</f>
        <v>0</v>
      </c>
      <c r="AO533" s="20" t="n">
        <f aca="false">Operations!AO531-Inputs!$F$248/100*Operations!AO532</f>
        <v>0</v>
      </c>
      <c r="AP533" s="20" t="n">
        <f aca="false">Operations!AP531-Inputs!$F$248/100*Operations!AP532</f>
        <v>0</v>
      </c>
      <c r="AQ533" s="20" t="n">
        <f aca="false">Operations!AQ531-Inputs!$F$248/100*Operations!AQ532</f>
        <v>0</v>
      </c>
      <c r="AR533" s="20" t="n">
        <f aca="false">Operations!AR531-Inputs!$F$248/100*Operations!AR532</f>
        <v>0</v>
      </c>
      <c r="AS533" s="20" t="n">
        <f aca="false">Operations!AS531-Inputs!$F$248/100*Operations!AS532</f>
        <v>0</v>
      </c>
      <c r="AT533" s="20" t="n">
        <f aca="false">Operations!AT531-Inputs!$F$248/100*Operations!AT532</f>
        <v>0</v>
      </c>
      <c r="AU533" s="20" t="n">
        <f aca="false">Operations!AU531-Inputs!$F$248/100*Operations!AU532</f>
        <v>0</v>
      </c>
    </row>
    <row r="534" customFormat="false" ht="15" hidden="false" customHeight="false" outlineLevel="0" collapsed="false">
      <c r="D534" s="0" t="s">
        <v>535</v>
      </c>
      <c r="E534" s="0" t="s">
        <v>458</v>
      </c>
      <c r="J534" s="14" t="n">
        <f aca="false">IF(Operations!J519=0,0,Operations!J516/Operations!J519)</f>
        <v>1</v>
      </c>
      <c r="K534" s="14" t="n">
        <f aca="false">IF(Operations!K519=0,0,Operations!K516/Operations!K519)</f>
        <v>1</v>
      </c>
      <c r="L534" s="14" t="n">
        <f aca="false">IF(Operations!L519=0,0,Operations!L516/Operations!L519)</f>
        <v>1</v>
      </c>
      <c r="M534" s="14" t="n">
        <f aca="false">IF(Operations!M519=0,0,Operations!M516/Operations!M519)</f>
        <v>1</v>
      </c>
      <c r="N534" s="14" t="n">
        <f aca="false">IF(Operations!N519=0,0,Operations!N516/Operations!N519)</f>
        <v>1</v>
      </c>
      <c r="O534" s="14" t="n">
        <f aca="false">IF(Operations!O519=0,0,Operations!O516/Operations!O519)</f>
        <v>1</v>
      </c>
      <c r="P534" s="14" t="n">
        <f aca="false">IF(Operations!P519=0,0,Operations!P516/Operations!P519)</f>
        <v>1</v>
      </c>
      <c r="Q534" s="14" t="n">
        <f aca="false">IF(Operations!Q519=0,0,Operations!Q516/Operations!Q519)</f>
        <v>0.410252121358354</v>
      </c>
      <c r="R534" s="14" t="n">
        <f aca="false">IF(Operations!R519=0,0,Operations!R516/Operations!R519)</f>
        <v>0</v>
      </c>
      <c r="S534" s="14" t="n">
        <f aca="false">IF(Operations!S519=0,0,Operations!S516/Operations!S519)</f>
        <v>0</v>
      </c>
      <c r="T534" s="14" t="n">
        <f aca="false">IF(Operations!T519=0,0,Operations!T516/Operations!T519)</f>
        <v>0</v>
      </c>
      <c r="U534" s="14" t="n">
        <f aca="false">IF(Operations!U519=0,0,Operations!U516/Operations!U519)</f>
        <v>0</v>
      </c>
      <c r="V534" s="14" t="n">
        <f aca="false">IF(Operations!V519=0,0,Operations!V516/Operations!V519)</f>
        <v>0</v>
      </c>
      <c r="W534" s="14" t="n">
        <f aca="false">IF(Operations!W519=0,0,Operations!W516/Operations!W519)</f>
        <v>0</v>
      </c>
      <c r="X534" s="14" t="n">
        <f aca="false">IF(Operations!X519=0,0,Operations!X516/Operations!X519)</f>
        <v>0</v>
      </c>
      <c r="Y534" s="14" t="n">
        <f aca="false">IF(Operations!Y519=0,0,Operations!Y516/Operations!Y519)</f>
        <v>0</v>
      </c>
      <c r="Z534" s="14" t="n">
        <f aca="false">IF(Operations!Z519=0,0,Operations!Z516/Operations!Z519)</f>
        <v>0</v>
      </c>
      <c r="AA534" s="14" t="n">
        <f aca="false">IF(Operations!AA519=0,0,Operations!AA516/Operations!AA519)</f>
        <v>0</v>
      </c>
      <c r="AB534" s="14" t="n">
        <f aca="false">IF(Operations!AB519=0,0,Operations!AB516/Operations!AB519)</f>
        <v>0</v>
      </c>
      <c r="AC534" s="14" t="n">
        <f aca="false">IF(Operations!AC519=0,0,Operations!AC516/Operations!AC519)</f>
        <v>0</v>
      </c>
      <c r="AD534" s="14" t="n">
        <f aca="false">IF(Operations!AD519=0,0,Operations!AD516/Operations!AD519)</f>
        <v>0</v>
      </c>
      <c r="AE534" s="14" t="n">
        <f aca="false">IF(Operations!AE519=0,0,Operations!AE516/Operations!AE519)</f>
        <v>0</v>
      </c>
      <c r="AF534" s="14" t="n">
        <f aca="false">IF(Operations!AF519=0,0,Operations!AF516/Operations!AF519)</f>
        <v>0</v>
      </c>
      <c r="AG534" s="14" t="n">
        <f aca="false">IF(Operations!AG519=0,0,Operations!AG516/Operations!AG519)</f>
        <v>0</v>
      </c>
      <c r="AH534" s="14" t="n">
        <f aca="false">IF(Operations!AH519=0,0,Operations!AH516/Operations!AH519)</f>
        <v>0</v>
      </c>
      <c r="AI534" s="14" t="n">
        <f aca="false">IF(Operations!AI519=0,0,Operations!AI516/Operations!AI519)</f>
        <v>0</v>
      </c>
      <c r="AJ534" s="14" t="n">
        <f aca="false">IF(Operations!AJ519=0,0,Operations!AJ516/Operations!AJ519)</f>
        <v>0</v>
      </c>
      <c r="AK534" s="14" t="n">
        <f aca="false">IF(Operations!AK519=0,0,Operations!AK516/Operations!AK519)</f>
        <v>0</v>
      </c>
      <c r="AL534" s="14" t="n">
        <f aca="false">IF(Operations!AL519=0,0,Operations!AL516/Operations!AL519)</f>
        <v>0</v>
      </c>
      <c r="AM534" s="14" t="n">
        <f aca="false">IF(Operations!AM519=0,0,Operations!AM516/Operations!AM519)</f>
        <v>0</v>
      </c>
      <c r="AN534" s="14" t="n">
        <f aca="false">IF(Operations!AN519=0,0,Operations!AN516/Operations!AN519)</f>
        <v>0</v>
      </c>
      <c r="AO534" s="14" t="n">
        <f aca="false">IF(Operations!AO519=0,0,Operations!AO516/Operations!AO519)</f>
        <v>0</v>
      </c>
      <c r="AP534" s="14" t="n">
        <f aca="false">IF(Operations!AP519=0,0,Operations!AP516/Operations!AP519)</f>
        <v>0</v>
      </c>
      <c r="AQ534" s="14" t="n">
        <f aca="false">IF(Operations!AQ519=0,0,Operations!AQ516/Operations!AQ519)</f>
        <v>0</v>
      </c>
      <c r="AR534" s="14" t="n">
        <f aca="false">IF(Operations!AR519=0,0,Operations!AR516/Operations!AR519)</f>
        <v>0</v>
      </c>
      <c r="AS534" s="14" t="n">
        <f aca="false">IF(Operations!AS519=0,0,Operations!AS516/Operations!AS519)</f>
        <v>0</v>
      </c>
      <c r="AT534" s="14" t="n">
        <f aca="false">IF(Operations!AT519=0,0,Operations!AT516/Operations!AT519)</f>
        <v>0</v>
      </c>
      <c r="AU534" s="14" t="n">
        <f aca="false">IF(Operations!AU519=0,0,Operations!AU516/Operations!AU519)</f>
        <v>0</v>
      </c>
    </row>
    <row r="535" customFormat="false" ht="15" hidden="false" customHeight="false" outlineLevel="0" collapsed="false">
      <c r="D535" s="0" t="s">
        <v>536</v>
      </c>
      <c r="E535" s="0" t="s">
        <v>458</v>
      </c>
      <c r="J535" s="14" t="n">
        <f aca="false">IF(Operations!J519=0,0,Operations!J517/Operations!J519)</f>
        <v>0</v>
      </c>
      <c r="K535" s="14" t="n">
        <f aca="false">IF(Operations!K519=0,0,Operations!K517/Operations!K519)</f>
        <v>0</v>
      </c>
      <c r="L535" s="14" t="n">
        <f aca="false">IF(Operations!L519=0,0,Operations!L517/Operations!L519)</f>
        <v>0</v>
      </c>
      <c r="M535" s="14" t="n">
        <f aca="false">IF(Operations!M519=0,0,Operations!M517/Operations!M519)</f>
        <v>0</v>
      </c>
      <c r="N535" s="14" t="n">
        <f aca="false">IF(Operations!N519=0,0,Operations!N517/Operations!N519)</f>
        <v>0</v>
      </c>
      <c r="O535" s="14" t="n">
        <f aca="false">IF(Operations!O519=0,0,Operations!O517/Operations!O519)</f>
        <v>0</v>
      </c>
      <c r="P535" s="14" t="n">
        <f aca="false">IF(Operations!P519=0,0,Operations!P517/Operations!P519)</f>
        <v>0</v>
      </c>
      <c r="Q535" s="14" t="n">
        <f aca="false">IF(Operations!Q519=0,0,Operations!Q517/Operations!Q519)</f>
        <v>0</v>
      </c>
      <c r="R535" s="14" t="n">
        <f aca="false">IF(Operations!R519=0,0,Operations!R517/Operations!R519)</f>
        <v>0</v>
      </c>
      <c r="S535" s="14" t="n">
        <f aca="false">IF(Operations!S519=0,0,Operations!S517/Operations!S519)</f>
        <v>0</v>
      </c>
      <c r="T535" s="14" t="n">
        <f aca="false">IF(Operations!T519=0,0,Operations!T517/Operations!T519)</f>
        <v>0</v>
      </c>
      <c r="U535" s="14" t="n">
        <f aca="false">IF(Operations!U519=0,0,Operations!U517/Operations!U519)</f>
        <v>0</v>
      </c>
      <c r="V535" s="14" t="n">
        <f aca="false">IF(Operations!V519=0,0,Operations!V517/Operations!V519)</f>
        <v>0</v>
      </c>
      <c r="W535" s="14" t="n">
        <f aca="false">IF(Operations!W519=0,0,Operations!W517/Operations!W519)</f>
        <v>0</v>
      </c>
      <c r="X535" s="14" t="n">
        <f aca="false">IF(Operations!X519=0,0,Operations!X517/Operations!X519)</f>
        <v>0</v>
      </c>
      <c r="Y535" s="14" t="n">
        <f aca="false">IF(Operations!Y519=0,0,Operations!Y517/Operations!Y519)</f>
        <v>0</v>
      </c>
      <c r="Z535" s="14" t="n">
        <f aca="false">IF(Operations!Z519=0,0,Operations!Z517/Operations!Z519)</f>
        <v>0</v>
      </c>
      <c r="AA535" s="14" t="n">
        <f aca="false">IF(Operations!AA519=0,0,Operations!AA517/Operations!AA519)</f>
        <v>0</v>
      </c>
      <c r="AB535" s="14" t="n">
        <f aca="false">IF(Operations!AB519=0,0,Operations!AB517/Operations!AB519)</f>
        <v>0</v>
      </c>
      <c r="AC535" s="14" t="n">
        <f aca="false">IF(Operations!AC519=0,0,Operations!AC517/Operations!AC519)</f>
        <v>0</v>
      </c>
      <c r="AD535" s="14" t="n">
        <f aca="false">IF(Operations!AD519=0,0,Operations!AD517/Operations!AD519)</f>
        <v>0</v>
      </c>
      <c r="AE535" s="14" t="n">
        <f aca="false">IF(Operations!AE519=0,0,Operations!AE517/Operations!AE519)</f>
        <v>0</v>
      </c>
      <c r="AF535" s="14" t="n">
        <f aca="false">IF(Operations!AF519=0,0,Operations!AF517/Operations!AF519)</f>
        <v>0</v>
      </c>
      <c r="AG535" s="14" t="n">
        <f aca="false">IF(Operations!AG519=0,0,Operations!AG517/Operations!AG519)</f>
        <v>0</v>
      </c>
      <c r="AH535" s="14" t="n">
        <f aca="false">IF(Operations!AH519=0,0,Operations!AH517/Operations!AH519)</f>
        <v>0</v>
      </c>
      <c r="AI535" s="14" t="n">
        <f aca="false">IF(Operations!AI519=0,0,Operations!AI517/Operations!AI519)</f>
        <v>0</v>
      </c>
      <c r="AJ535" s="14" t="n">
        <f aca="false">IF(Operations!AJ519=0,0,Operations!AJ517/Operations!AJ519)</f>
        <v>0</v>
      </c>
      <c r="AK535" s="14" t="n">
        <f aca="false">IF(Operations!AK519=0,0,Operations!AK517/Operations!AK519)</f>
        <v>0</v>
      </c>
      <c r="AL535" s="14" t="n">
        <f aca="false">IF(Operations!AL519=0,0,Operations!AL517/Operations!AL519)</f>
        <v>0</v>
      </c>
      <c r="AM535" s="14" t="n">
        <f aca="false">IF(Operations!AM519=0,0,Operations!AM517/Operations!AM519)</f>
        <v>0</v>
      </c>
      <c r="AN535" s="14" t="n">
        <f aca="false">IF(Operations!AN519=0,0,Operations!AN517/Operations!AN519)</f>
        <v>0</v>
      </c>
      <c r="AO535" s="14" t="n">
        <f aca="false">IF(Operations!AO519=0,0,Operations!AO517/Operations!AO519)</f>
        <v>0</v>
      </c>
      <c r="AP535" s="14" t="n">
        <f aca="false">IF(Operations!AP519=0,0,Operations!AP517/Operations!AP519)</f>
        <v>0</v>
      </c>
      <c r="AQ535" s="14" t="n">
        <f aca="false">IF(Operations!AQ519=0,0,Operations!AQ517/Operations!AQ519)</f>
        <v>0</v>
      </c>
      <c r="AR535" s="14" t="n">
        <f aca="false">IF(Operations!AR519=0,0,Operations!AR517/Operations!AR519)</f>
        <v>0</v>
      </c>
      <c r="AS535" s="14" t="n">
        <f aca="false">IF(Operations!AS519=0,0,Operations!AS517/Operations!AS519)</f>
        <v>0</v>
      </c>
      <c r="AT535" s="14" t="n">
        <f aca="false">IF(Operations!AT519=0,0,Operations!AT517/Operations!AT519)</f>
        <v>0</v>
      </c>
      <c r="AU535" s="14" t="n">
        <f aca="false">IF(Operations!AU519=0,0,Operations!AU517/Operations!AU519)</f>
        <v>0</v>
      </c>
    </row>
    <row r="536" customFormat="false" ht="15" hidden="false" customHeight="false" outlineLevel="0" collapsed="false">
      <c r="D536" s="0" t="s">
        <v>537</v>
      </c>
      <c r="E536" s="0" t="s">
        <v>458</v>
      </c>
      <c r="J536" s="14" t="n">
        <f aca="false">1-Operations!J534-Operations!J535</f>
        <v>0</v>
      </c>
      <c r="K536" s="14" t="n">
        <f aca="false">1-Operations!K534-Operations!K535</f>
        <v>0</v>
      </c>
      <c r="L536" s="14" t="n">
        <f aca="false">1-Operations!L534-Operations!L535</f>
        <v>0</v>
      </c>
      <c r="M536" s="14" t="n">
        <f aca="false">1-Operations!M534-Operations!M535</f>
        <v>0</v>
      </c>
      <c r="N536" s="14" t="n">
        <f aca="false">1-Operations!N534-Operations!N535</f>
        <v>0</v>
      </c>
      <c r="O536" s="14" t="n">
        <f aca="false">1-Operations!O534-Operations!O535</f>
        <v>0</v>
      </c>
      <c r="P536" s="14" t="n">
        <f aca="false">1-Operations!P534-Operations!P535</f>
        <v>0</v>
      </c>
      <c r="Q536" s="14" t="n">
        <f aca="false">1-Operations!Q534-Operations!Q535</f>
        <v>0.589747878641646</v>
      </c>
      <c r="R536" s="14" t="n">
        <f aca="false">1-Operations!R534-Operations!R535</f>
        <v>1</v>
      </c>
      <c r="S536" s="14" t="n">
        <f aca="false">1-Operations!S534-Operations!S535</f>
        <v>1</v>
      </c>
      <c r="T536" s="14" t="n">
        <f aca="false">1-Operations!T534-Operations!T535</f>
        <v>1</v>
      </c>
      <c r="U536" s="14" t="n">
        <f aca="false">1-Operations!U534-Operations!U535</f>
        <v>1</v>
      </c>
      <c r="V536" s="14" t="n">
        <f aca="false">1-Operations!V534-Operations!V535</f>
        <v>1</v>
      </c>
      <c r="W536" s="14" t="n">
        <f aca="false">1-Operations!W534-Operations!W535</f>
        <v>1</v>
      </c>
      <c r="X536" s="14" t="n">
        <f aca="false">1-Operations!X534-Operations!X535</f>
        <v>1</v>
      </c>
      <c r="Y536" s="14" t="n">
        <f aca="false">1-Operations!Y534-Operations!Y535</f>
        <v>1</v>
      </c>
      <c r="Z536" s="14" t="n">
        <f aca="false">1-Operations!Z534-Operations!Z535</f>
        <v>1</v>
      </c>
      <c r="AA536" s="14" t="n">
        <f aca="false">1-Operations!AA534-Operations!AA535</f>
        <v>1</v>
      </c>
      <c r="AB536" s="14" t="n">
        <f aca="false">1-Operations!AB534-Operations!AB535</f>
        <v>1</v>
      </c>
      <c r="AC536" s="14" t="n">
        <f aca="false">1-Operations!AC534-Operations!AC535</f>
        <v>1</v>
      </c>
      <c r="AD536" s="14" t="n">
        <f aca="false">1-Operations!AD534-Operations!AD535</f>
        <v>1</v>
      </c>
      <c r="AE536" s="14" t="n">
        <f aca="false">1-Operations!AE534-Operations!AE535</f>
        <v>1</v>
      </c>
      <c r="AF536" s="14" t="n">
        <f aca="false">1-Operations!AF534-Operations!AF535</f>
        <v>1</v>
      </c>
      <c r="AG536" s="14" t="n">
        <f aca="false">1-Operations!AG534-Operations!AG535</f>
        <v>1</v>
      </c>
      <c r="AH536" s="14" t="n">
        <f aca="false">1-Operations!AH534-Operations!AH535</f>
        <v>1</v>
      </c>
      <c r="AI536" s="14" t="n">
        <f aca="false">1-Operations!AI534-Operations!AI535</f>
        <v>1</v>
      </c>
      <c r="AJ536" s="14" t="n">
        <f aca="false">1-Operations!AJ534-Operations!AJ535</f>
        <v>1</v>
      </c>
      <c r="AK536" s="14" t="n">
        <f aca="false">1-Operations!AK534-Operations!AK535</f>
        <v>1</v>
      </c>
      <c r="AL536" s="14" t="n">
        <f aca="false">1-Operations!AL534-Operations!AL535</f>
        <v>1</v>
      </c>
      <c r="AM536" s="14" t="n">
        <f aca="false">1-Operations!AM534-Operations!AM535</f>
        <v>1</v>
      </c>
      <c r="AN536" s="14" t="n">
        <f aca="false">1-Operations!AN534-Operations!AN535</f>
        <v>1</v>
      </c>
      <c r="AO536" s="14" t="n">
        <f aca="false">1-Operations!AO534-Operations!AO535</f>
        <v>1</v>
      </c>
      <c r="AP536" s="14" t="n">
        <f aca="false">1-Operations!AP534-Operations!AP535</f>
        <v>1</v>
      </c>
      <c r="AQ536" s="14" t="n">
        <f aca="false">1-Operations!AQ534-Operations!AQ535</f>
        <v>1</v>
      </c>
      <c r="AR536" s="14" t="n">
        <f aca="false">1-Operations!AR534-Operations!AR535</f>
        <v>1</v>
      </c>
      <c r="AS536" s="14" t="n">
        <f aca="false">1-Operations!AS534-Operations!AS535</f>
        <v>1</v>
      </c>
      <c r="AT536" s="14" t="n">
        <f aca="false">1-Operations!AT534-Operations!AT535</f>
        <v>1</v>
      </c>
      <c r="AU536" s="14" t="n">
        <f aca="false">1-Operations!AU534-Operations!AU535</f>
        <v>1</v>
      </c>
    </row>
    <row r="537" customFormat="false" ht="15" hidden="false" customHeight="false" outlineLevel="0" collapsed="false">
      <c r="D537" s="0" t="s">
        <v>538</v>
      </c>
      <c r="E537" s="0" t="s">
        <v>47</v>
      </c>
      <c r="J537" s="20" t="n">
        <f aca="false">Operations!J516*Operations!J502*(1-Operations!J529)</f>
        <v>18.9032963780822</v>
      </c>
      <c r="K537" s="20" t="n">
        <f aca="false">Operations!K516*Operations!K502*(1-Operations!K529)</f>
        <v>24.246140041</v>
      </c>
      <c r="L537" s="20" t="n">
        <f aca="false">Operations!L516*Operations!L502*(1-Operations!L529)</f>
        <v>24.197647760918</v>
      </c>
      <c r="M537" s="20" t="n">
        <f aca="false">Operations!M516*Operations!M502*(1-Operations!M529)</f>
        <v>24.1492524653962</v>
      </c>
      <c r="N537" s="20" t="n">
        <f aca="false">Operations!N516*Operations!N502*(1-Operations!N529)</f>
        <v>24.1009539604654</v>
      </c>
      <c r="O537" s="20" t="n">
        <f aca="false">Operations!O516*Operations!O502*(1-Operations!O529)</f>
        <v>24.0527520525444</v>
      </c>
      <c r="P537" s="20" t="n">
        <f aca="false">Operations!P516*Operations!P502*(1-Operations!P529)</f>
        <v>24.0046465484394</v>
      </c>
      <c r="Q537" s="20" t="n">
        <f aca="false">Operations!Q516*Operations!Q502*(1-Operations!Q529)</f>
        <v>11.8798666937452</v>
      </c>
      <c r="R537" s="20" t="n">
        <f aca="false">Operations!R516*Operations!R502*(1-Operations!R529)</f>
        <v>0</v>
      </c>
      <c r="S537" s="20" t="n">
        <f aca="false">Operations!S516*Operations!S502*(1-Operations!S529)</f>
        <v>0</v>
      </c>
      <c r="T537" s="20" t="n">
        <f aca="false">Operations!T516*Operations!T502*(1-Operations!T529)</f>
        <v>0</v>
      </c>
      <c r="U537" s="20" t="n">
        <f aca="false">Operations!U516*Operations!U502*(1-Operations!U529)</f>
        <v>0</v>
      </c>
      <c r="V537" s="20" t="n">
        <f aca="false">Operations!V516*Operations!V502*(1-Operations!V529)</f>
        <v>0</v>
      </c>
      <c r="W537" s="20" t="n">
        <f aca="false">Operations!W516*Operations!W502*(1-Operations!W529)</f>
        <v>0</v>
      </c>
      <c r="X537" s="20" t="n">
        <f aca="false">Operations!X516*Operations!X502*(1-Operations!X529)</f>
        <v>0</v>
      </c>
      <c r="Y537" s="20" t="n">
        <f aca="false">Operations!Y516*Operations!Y502*(1-Operations!Y529)</f>
        <v>0</v>
      </c>
      <c r="Z537" s="20" t="n">
        <f aca="false">Operations!Z516*Operations!Z502*(1-Operations!Z529)</f>
        <v>0</v>
      </c>
      <c r="AA537" s="20" t="n">
        <f aca="false">Operations!AA516*Operations!AA502*(1-Operations!AA529)</f>
        <v>0</v>
      </c>
      <c r="AB537" s="20" t="n">
        <f aca="false">Operations!AB516*Operations!AB502*(1-Operations!AB529)</f>
        <v>0</v>
      </c>
      <c r="AC537" s="20" t="n">
        <f aca="false">Operations!AC516*Operations!AC502*(1-Operations!AC529)</f>
        <v>0</v>
      </c>
      <c r="AD537" s="20" t="n">
        <f aca="false">Operations!AD516*Operations!AD502*(1-Operations!AD529)</f>
        <v>0</v>
      </c>
      <c r="AE537" s="20" t="n">
        <f aca="false">Operations!AE516*Operations!AE502*(1-Operations!AE529)</f>
        <v>0</v>
      </c>
      <c r="AF537" s="20" t="n">
        <f aca="false">Operations!AF516*Operations!AF502*(1-Operations!AF529)</f>
        <v>0</v>
      </c>
      <c r="AG537" s="20" t="n">
        <f aca="false">Operations!AG516*Operations!AG502*(1-Operations!AG529)</f>
        <v>0</v>
      </c>
      <c r="AH537" s="20" t="n">
        <f aca="false">Operations!AH516*Operations!AH502*(1-Operations!AH529)</f>
        <v>0</v>
      </c>
      <c r="AI537" s="20" t="n">
        <f aca="false">Operations!AI516*Operations!AI502*(1-Operations!AI529)</f>
        <v>0</v>
      </c>
      <c r="AJ537" s="20" t="n">
        <f aca="false">Operations!AJ516*Operations!AJ502*(1-Operations!AJ529)</f>
        <v>0</v>
      </c>
      <c r="AK537" s="20" t="n">
        <f aca="false">Operations!AK516*Operations!AK502*(1-Operations!AK529)</f>
        <v>0</v>
      </c>
      <c r="AL537" s="20" t="n">
        <f aca="false">Operations!AL516*Operations!AL502*(1-Operations!AL529)</f>
        <v>0</v>
      </c>
      <c r="AM537" s="20" t="n">
        <f aca="false">Operations!AM516*Operations!AM502*(1-Operations!AM529)</f>
        <v>0</v>
      </c>
      <c r="AN537" s="20" t="n">
        <f aca="false">Operations!AN516*Operations!AN502*(1-Operations!AN529)</f>
        <v>0</v>
      </c>
      <c r="AO537" s="20" t="n">
        <f aca="false">Operations!AO516*Operations!AO502*(1-Operations!AO529)</f>
        <v>0</v>
      </c>
      <c r="AP537" s="20" t="n">
        <f aca="false">Operations!AP516*Operations!AP502*(1-Operations!AP529)</f>
        <v>0</v>
      </c>
      <c r="AQ537" s="20" t="n">
        <f aca="false">Operations!AQ516*Operations!AQ502*(1-Operations!AQ529)</f>
        <v>0</v>
      </c>
      <c r="AR537" s="20" t="n">
        <f aca="false">Operations!AR516*Operations!AR502*(1-Operations!AR529)</f>
        <v>0</v>
      </c>
      <c r="AS537" s="20" t="n">
        <f aca="false">Operations!AS516*Operations!AS502*(1-Operations!AS529)</f>
        <v>0</v>
      </c>
      <c r="AT537" s="20" t="n">
        <f aca="false">Operations!AT516*Operations!AT502*(1-Operations!AT529)</f>
        <v>0</v>
      </c>
      <c r="AU537" s="20" t="n">
        <f aca="false">Operations!AU516*Operations!AU502*(1-Operations!AU529)</f>
        <v>0</v>
      </c>
    </row>
    <row r="538" customFormat="false" ht="15" hidden="false" customHeight="false" outlineLevel="0" collapsed="false">
      <c r="D538" s="0" t="s">
        <v>539</v>
      </c>
      <c r="E538" s="0" t="s">
        <v>47</v>
      </c>
      <c r="J538" s="20" t="n">
        <f aca="false">Operations!J517*Operations!J502*(1-Operations!J529)</f>
        <v>0</v>
      </c>
      <c r="K538" s="20" t="n">
        <f aca="false">Operations!K517*Operations!K502*(1-Operations!K529)</f>
        <v>0</v>
      </c>
      <c r="L538" s="20" t="n">
        <f aca="false">Operations!L517*Operations!L502*(1-Operations!L529)</f>
        <v>0</v>
      </c>
      <c r="M538" s="20" t="n">
        <f aca="false">Operations!M517*Operations!M502*(1-Operations!M529)</f>
        <v>0</v>
      </c>
      <c r="N538" s="20" t="n">
        <f aca="false">Operations!N517*Operations!N502*(1-Operations!N529)</f>
        <v>0</v>
      </c>
      <c r="O538" s="20" t="n">
        <f aca="false">Operations!O517*Operations!O502*(1-Operations!O529)</f>
        <v>0</v>
      </c>
      <c r="P538" s="20" t="n">
        <f aca="false">Operations!P517*Operations!P502*(1-Operations!P529)</f>
        <v>0</v>
      </c>
      <c r="Q538" s="20" t="n">
        <f aca="false">Operations!Q517*Operations!Q502*(1-Operations!Q529)</f>
        <v>0</v>
      </c>
      <c r="R538" s="20" t="n">
        <f aca="false">Operations!R517*Operations!R502*(1-Operations!R529)</f>
        <v>0</v>
      </c>
      <c r="S538" s="20" t="n">
        <f aca="false">Operations!S517*Operations!S502*(1-Operations!S529)</f>
        <v>0</v>
      </c>
      <c r="T538" s="20" t="n">
        <f aca="false">Operations!T517*Operations!T502*(1-Operations!T529)</f>
        <v>0</v>
      </c>
      <c r="U538" s="20" t="n">
        <f aca="false">Operations!U517*Operations!U502*(1-Operations!U529)</f>
        <v>0</v>
      </c>
      <c r="V538" s="20" t="n">
        <f aca="false">Operations!V517*Operations!V502*(1-Operations!V529)</f>
        <v>0</v>
      </c>
      <c r="W538" s="20" t="n">
        <f aca="false">Operations!W517*Operations!W502*(1-Operations!W529)</f>
        <v>0</v>
      </c>
      <c r="X538" s="20" t="n">
        <f aca="false">Operations!X517*Operations!X502*(1-Operations!X529)</f>
        <v>0</v>
      </c>
      <c r="Y538" s="20" t="n">
        <f aca="false">Operations!Y517*Operations!Y502*(1-Operations!Y529)</f>
        <v>0</v>
      </c>
      <c r="Z538" s="20" t="n">
        <f aca="false">Operations!Z517*Operations!Z502*(1-Operations!Z529)</f>
        <v>0</v>
      </c>
      <c r="AA538" s="20" t="n">
        <f aca="false">Operations!AA517*Operations!AA502*(1-Operations!AA529)</f>
        <v>0</v>
      </c>
      <c r="AB538" s="20" t="n">
        <f aca="false">Operations!AB517*Operations!AB502*(1-Operations!AB529)</f>
        <v>0</v>
      </c>
      <c r="AC538" s="20" t="n">
        <f aca="false">Operations!AC517*Operations!AC502*(1-Operations!AC529)</f>
        <v>0</v>
      </c>
      <c r="AD538" s="20" t="n">
        <f aca="false">Operations!AD517*Operations!AD502*(1-Operations!AD529)</f>
        <v>0</v>
      </c>
      <c r="AE538" s="20" t="n">
        <f aca="false">Operations!AE517*Operations!AE502*(1-Operations!AE529)</f>
        <v>0</v>
      </c>
      <c r="AF538" s="20" t="n">
        <f aca="false">Operations!AF517*Operations!AF502*(1-Operations!AF529)</f>
        <v>0</v>
      </c>
      <c r="AG538" s="20" t="n">
        <f aca="false">Operations!AG517*Operations!AG502*(1-Operations!AG529)</f>
        <v>0</v>
      </c>
      <c r="AH538" s="20" t="n">
        <f aca="false">Operations!AH517*Operations!AH502*(1-Operations!AH529)</f>
        <v>0</v>
      </c>
      <c r="AI538" s="20" t="n">
        <f aca="false">Operations!AI517*Operations!AI502*(1-Operations!AI529)</f>
        <v>0</v>
      </c>
      <c r="AJ538" s="20" t="n">
        <f aca="false">Operations!AJ517*Operations!AJ502*(1-Operations!AJ529)</f>
        <v>0</v>
      </c>
      <c r="AK538" s="20" t="n">
        <f aca="false">Operations!AK517*Operations!AK502*(1-Operations!AK529)</f>
        <v>0</v>
      </c>
      <c r="AL538" s="20" t="n">
        <f aca="false">Operations!AL517*Operations!AL502*(1-Operations!AL529)</f>
        <v>0</v>
      </c>
      <c r="AM538" s="20" t="n">
        <f aca="false">Operations!AM517*Operations!AM502*(1-Operations!AM529)</f>
        <v>0</v>
      </c>
      <c r="AN538" s="20" t="n">
        <f aca="false">Operations!AN517*Operations!AN502*(1-Operations!AN529)</f>
        <v>0</v>
      </c>
      <c r="AO538" s="20" t="n">
        <f aca="false">Operations!AO517*Operations!AO502*(1-Operations!AO529)</f>
        <v>0</v>
      </c>
      <c r="AP538" s="20" t="n">
        <f aca="false">Operations!AP517*Operations!AP502*(1-Operations!AP529)</f>
        <v>0</v>
      </c>
      <c r="AQ538" s="20" t="n">
        <f aca="false">Operations!AQ517*Operations!AQ502*(1-Operations!AQ529)</f>
        <v>0</v>
      </c>
      <c r="AR538" s="20" t="n">
        <f aca="false">Operations!AR517*Operations!AR502*(1-Operations!AR529)</f>
        <v>0</v>
      </c>
      <c r="AS538" s="20" t="n">
        <f aca="false">Operations!AS517*Operations!AS502*(1-Operations!AS529)</f>
        <v>0</v>
      </c>
      <c r="AT538" s="20" t="n">
        <f aca="false">Operations!AT517*Operations!AT502*(1-Operations!AT529)</f>
        <v>0</v>
      </c>
      <c r="AU538" s="20" t="n">
        <f aca="false">Operations!AU517*Operations!AU502*(1-Operations!AU529)</f>
        <v>0</v>
      </c>
    </row>
    <row r="539" customFormat="false" ht="15" hidden="false" customHeight="false" outlineLevel="0" collapsed="false">
      <c r="D539" s="0" t="s">
        <v>540</v>
      </c>
      <c r="E539" s="0" t="s">
        <v>47</v>
      </c>
      <c r="J539" s="20" t="n">
        <f aca="false">Operations!J520*Operations!J502*(1-Operations!J529)</f>
        <v>0</v>
      </c>
      <c r="K539" s="20" t="n">
        <f aca="false">Operations!K520*Operations!K502*(1-Operations!K529)</f>
        <v>0</v>
      </c>
      <c r="L539" s="20" t="n">
        <f aca="false">Operations!L520*Operations!L502*(1-Operations!L529)</f>
        <v>0</v>
      </c>
      <c r="M539" s="20" t="n">
        <f aca="false">Operations!M520*Operations!M502*(1-Operations!M529)</f>
        <v>0</v>
      </c>
      <c r="N539" s="20" t="n">
        <f aca="false">Operations!N520*Operations!N502*(1-Operations!N529)</f>
        <v>0</v>
      </c>
      <c r="O539" s="20" t="n">
        <f aca="false">Operations!O520*Operations!O502*(1-Operations!O529)</f>
        <v>0</v>
      </c>
      <c r="P539" s="20" t="n">
        <f aca="false">Operations!P520*Operations!P502*(1-Operations!P529)</f>
        <v>0</v>
      </c>
      <c r="Q539" s="20" t="n">
        <f aca="false">Operations!Q520*Operations!Q502*(1-Operations!Q529)</f>
        <v>17.0776110992048</v>
      </c>
      <c r="R539" s="20" t="n">
        <f aca="false">Operations!R520*Operations!R502*(1-Operations!R529)</f>
        <v>34.6309086116968</v>
      </c>
      <c r="S539" s="20" t="n">
        <f aca="false">Operations!S520*Operations!S502*(1-Operations!S529)</f>
        <v>35.1361731367266</v>
      </c>
      <c r="T539" s="20" t="n">
        <f aca="false">Operations!T520*Operations!T502*(1-Operations!T529)</f>
        <v>35.647815758952</v>
      </c>
      <c r="U539" s="20" t="n">
        <f aca="false">Operations!U520*Operations!U502*(1-Operations!U529)</f>
        <v>36.1656568600048</v>
      </c>
      <c r="V539" s="20" t="n">
        <f aca="false">Operations!V520*Operations!V502*(1-Operations!V529)</f>
        <v>36.6895180886667</v>
      </c>
      <c r="W539" s="20" t="n">
        <f aca="false">Operations!W520*Operations!W502*(1-Operations!W529)</f>
        <v>37.2192223548307</v>
      </c>
      <c r="X539" s="20" t="n">
        <f aca="false">Operations!X520*Operations!X502*(1-Operations!X529)</f>
        <v>37.7545938234865</v>
      </c>
      <c r="Y539" s="20" t="n">
        <f aca="false">Operations!Y520*Operations!Y502*(1-Operations!Y529)</f>
        <v>38.3018941201421</v>
      </c>
      <c r="Z539" s="20" t="n">
        <f aca="false">Operations!Z520*Operations!Z502*(1-Operations!Z529)</f>
        <v>38.8544433908176</v>
      </c>
      <c r="AA539" s="20" t="n">
        <f aca="false">Operations!AA520*Operations!AA502*(1-Operations!AA529)</f>
        <v>39.4120698745005</v>
      </c>
      <c r="AB539" s="20" t="n">
        <f aca="false">Operations!AB520*Operations!AB502*(1-Operations!AB529)</f>
        <v>39.980934146135</v>
      </c>
      <c r="AC539" s="20" t="n">
        <f aca="false">Operations!AC520*Operations!AC502*(1-Operations!AC529)</f>
        <v>40.5544661802621</v>
      </c>
      <c r="AD539" s="20" t="n">
        <f aca="false">Operations!AD520*Operations!AD502*(1-Operations!AD529)</f>
        <v>41.1387598371777</v>
      </c>
      <c r="AE539" s="20" t="n">
        <f aca="false">Operations!AE520*Operations!AE502*(1-Operations!AE529)</f>
        <v>41.7273178161201</v>
      </c>
      <c r="AF539" s="20" t="n">
        <f aca="false">Operations!AF520*Operations!AF502*(1-Operations!AF529)</f>
        <v>42.3261676892588</v>
      </c>
      <c r="AG539" s="20" t="n">
        <f aca="false">Operations!AG520*Operations!AG502*(1-Operations!AG529)</f>
        <v>42.9350426063127</v>
      </c>
      <c r="AH539" s="20" t="n">
        <f aca="false">Operations!AH520*Operations!AH502*(1-Operations!AH529)</f>
        <v>43.6514857237572</v>
      </c>
      <c r="AI539" s="20" t="n">
        <f aca="false">Operations!AI520*Operations!AI502*(1-Operations!AI529)</f>
        <v>22.0344533427674</v>
      </c>
      <c r="AJ539" s="20" t="n">
        <f aca="false">Operations!AJ520*Operations!AJ502*(1-Operations!AJ529)</f>
        <v>0</v>
      </c>
      <c r="AK539" s="20" t="n">
        <f aca="false">Operations!AK520*Operations!AK502*(1-Operations!AK529)</f>
        <v>0</v>
      </c>
      <c r="AL539" s="20" t="n">
        <f aca="false">Operations!AL520*Operations!AL502*(1-Operations!AL529)</f>
        <v>0</v>
      </c>
      <c r="AM539" s="20" t="n">
        <f aca="false">Operations!AM520*Operations!AM502*(1-Operations!AM529)</f>
        <v>0</v>
      </c>
      <c r="AN539" s="20" t="n">
        <f aca="false">Operations!AN520*Operations!AN502*(1-Operations!AN529)</f>
        <v>0</v>
      </c>
      <c r="AO539" s="20" t="n">
        <f aca="false">Operations!AO520*Operations!AO502*(1-Operations!AO529)</f>
        <v>0</v>
      </c>
      <c r="AP539" s="20" t="n">
        <f aca="false">Operations!AP520*Operations!AP502*(1-Operations!AP529)</f>
        <v>0</v>
      </c>
      <c r="AQ539" s="20" t="n">
        <f aca="false">Operations!AQ520*Operations!AQ502*(1-Operations!AQ529)</f>
        <v>0</v>
      </c>
      <c r="AR539" s="20" t="n">
        <f aca="false">Operations!AR520*Operations!AR502*(1-Operations!AR529)</f>
        <v>0</v>
      </c>
      <c r="AS539" s="20" t="n">
        <f aca="false">Operations!AS520*Operations!AS502*(1-Operations!AS529)</f>
        <v>0</v>
      </c>
      <c r="AT539" s="20" t="n">
        <f aca="false">Operations!AT520*Operations!AT502*(1-Operations!AT529)</f>
        <v>0</v>
      </c>
      <c r="AU539" s="20" t="n">
        <f aca="false">Operations!AU520*Operations!AU502*(1-Operations!AU529)</f>
        <v>0</v>
      </c>
    </row>
    <row r="540" customFormat="false" ht="15" hidden="false" customHeight="false" outlineLevel="0" collapsed="false">
      <c r="D540" s="0" t="s">
        <v>541</v>
      </c>
      <c r="E540" s="0" t="s">
        <v>47</v>
      </c>
      <c r="J540" s="20" t="n">
        <f aca="false">Operations!J519*Operations!J502*(1-Operations!J529)</f>
        <v>18.9032963780822</v>
      </c>
      <c r="K540" s="20" t="n">
        <f aca="false">Operations!K519*Operations!K502*(1-Operations!K529)</f>
        <v>24.246140041</v>
      </c>
      <c r="L540" s="20" t="n">
        <f aca="false">Operations!L519*Operations!L502*(1-Operations!L529)</f>
        <v>24.197647760918</v>
      </c>
      <c r="M540" s="20" t="n">
        <f aca="false">Operations!M519*Operations!M502*(1-Operations!M529)</f>
        <v>24.1492524653962</v>
      </c>
      <c r="N540" s="20" t="n">
        <f aca="false">Operations!N519*Operations!N502*(1-Operations!N529)</f>
        <v>24.1009539604654</v>
      </c>
      <c r="O540" s="20" t="n">
        <f aca="false">Operations!O519*Operations!O502*(1-Operations!O529)</f>
        <v>24.0527520525444</v>
      </c>
      <c r="P540" s="20" t="n">
        <f aca="false">Operations!P519*Operations!P502*(1-Operations!P529)</f>
        <v>24.0046465484394</v>
      </c>
      <c r="Q540" s="20" t="n">
        <f aca="false">Operations!Q519*Operations!Q502*(1-Operations!Q529)</f>
        <v>28.95747779295</v>
      </c>
      <c r="R540" s="20" t="n">
        <f aca="false">Operations!R519*Operations!R502*(1-Operations!R529)</f>
        <v>34.6309086116968</v>
      </c>
      <c r="S540" s="20" t="n">
        <f aca="false">Operations!S519*Operations!S502*(1-Operations!S529)</f>
        <v>35.1361731367266</v>
      </c>
      <c r="T540" s="20" t="n">
        <f aca="false">Operations!T519*Operations!T502*(1-Operations!T529)</f>
        <v>35.647815758952</v>
      </c>
      <c r="U540" s="20" t="n">
        <f aca="false">Operations!U519*Operations!U502*(1-Operations!U529)</f>
        <v>36.1656568600048</v>
      </c>
      <c r="V540" s="20" t="n">
        <f aca="false">Operations!V519*Operations!V502*(1-Operations!V529)</f>
        <v>36.6895180886667</v>
      </c>
      <c r="W540" s="20" t="n">
        <f aca="false">Operations!W519*Operations!W502*(1-Operations!W529)</f>
        <v>37.2192223548307</v>
      </c>
      <c r="X540" s="20" t="n">
        <f aca="false">Operations!X519*Operations!X502*(1-Operations!X529)</f>
        <v>37.7545938234865</v>
      </c>
      <c r="Y540" s="20" t="n">
        <f aca="false">Operations!Y519*Operations!Y502*(1-Operations!Y529)</f>
        <v>38.3018941201421</v>
      </c>
      <c r="Z540" s="20" t="n">
        <f aca="false">Operations!Z519*Operations!Z502*(1-Operations!Z529)</f>
        <v>38.8544433908176</v>
      </c>
      <c r="AA540" s="20" t="n">
        <f aca="false">Operations!AA519*Operations!AA502*(1-Operations!AA529)</f>
        <v>39.4120698745005</v>
      </c>
      <c r="AB540" s="20" t="n">
        <f aca="false">Operations!AB519*Operations!AB502*(1-Operations!AB529)</f>
        <v>39.980934146135</v>
      </c>
      <c r="AC540" s="20" t="n">
        <f aca="false">Operations!AC519*Operations!AC502*(1-Operations!AC529)</f>
        <v>40.5544661802621</v>
      </c>
      <c r="AD540" s="20" t="n">
        <f aca="false">Operations!AD519*Operations!AD502*(1-Operations!AD529)</f>
        <v>41.1387598371777</v>
      </c>
      <c r="AE540" s="20" t="n">
        <f aca="false">Operations!AE519*Operations!AE502*(1-Operations!AE529)</f>
        <v>41.7273178161201</v>
      </c>
      <c r="AF540" s="20" t="n">
        <f aca="false">Operations!AF519*Operations!AF502*(1-Operations!AF529)</f>
        <v>42.3261676892588</v>
      </c>
      <c r="AG540" s="20" t="n">
        <f aca="false">Operations!AG519*Operations!AG502*(1-Operations!AG529)</f>
        <v>42.9350426063127</v>
      </c>
      <c r="AH540" s="20" t="n">
        <f aca="false">Operations!AH519*Operations!AH502*(1-Operations!AH529)</f>
        <v>43.6514857237572</v>
      </c>
      <c r="AI540" s="20" t="n">
        <f aca="false">Operations!AI519*Operations!AI502*(1-Operations!AI529)</f>
        <v>22.0344533427674</v>
      </c>
      <c r="AJ540" s="20" t="n">
        <f aca="false">Operations!AJ519*Operations!AJ502*(1-Operations!AJ529)</f>
        <v>0</v>
      </c>
      <c r="AK540" s="20" t="n">
        <f aca="false">Operations!AK519*Operations!AK502*(1-Operations!AK529)</f>
        <v>0</v>
      </c>
      <c r="AL540" s="20" t="n">
        <f aca="false">Operations!AL519*Operations!AL502*(1-Operations!AL529)</f>
        <v>0</v>
      </c>
      <c r="AM540" s="20" t="n">
        <f aca="false">Operations!AM519*Operations!AM502*(1-Operations!AM529)</f>
        <v>0</v>
      </c>
      <c r="AN540" s="20" t="n">
        <f aca="false">Operations!AN519*Operations!AN502*(1-Operations!AN529)</f>
        <v>0</v>
      </c>
      <c r="AO540" s="20" t="n">
        <f aca="false">Operations!AO519*Operations!AO502*(1-Operations!AO529)</f>
        <v>0</v>
      </c>
      <c r="AP540" s="20" t="n">
        <f aca="false">Operations!AP519*Operations!AP502*(1-Operations!AP529)</f>
        <v>0</v>
      </c>
      <c r="AQ540" s="20" t="n">
        <f aca="false">Operations!AQ519*Operations!AQ502*(1-Operations!AQ529)</f>
        <v>0</v>
      </c>
      <c r="AR540" s="20" t="n">
        <f aca="false">Operations!AR519*Operations!AR502*(1-Operations!AR529)</f>
        <v>0</v>
      </c>
      <c r="AS540" s="20" t="n">
        <f aca="false">Operations!AS519*Operations!AS502*(1-Operations!AS529)</f>
        <v>0</v>
      </c>
      <c r="AT540" s="20" t="n">
        <f aca="false">Operations!AT519*Operations!AT502*(1-Operations!AT529)</f>
        <v>0</v>
      </c>
      <c r="AU540" s="20" t="n">
        <f aca="false">Operations!AU519*Operations!AU502*(1-Operations!AU529)</f>
        <v>0</v>
      </c>
    </row>
    <row r="541" customFormat="false" ht="15" hidden="false" customHeight="false" outlineLevel="0" collapsed="false">
      <c r="D541" s="19" t="s">
        <v>542</v>
      </c>
    </row>
    <row r="542" customFormat="false" ht="15" hidden="false" customHeight="false" outlineLevel="0" collapsed="false">
      <c r="D542" s="0" t="s">
        <v>543</v>
      </c>
      <c r="E542" s="0" t="s">
        <v>458</v>
      </c>
      <c r="J542" s="14" t="n">
        <f aca="false">MAX(0,MIN(Inputs!$F$112,Time!J$6)-MAX(Inputs!$F$111,Time!J$5))/Time!J$7</f>
        <v>1</v>
      </c>
      <c r="K542" s="14" t="n">
        <f aca="false">MAX(0,MIN(Inputs!$F$112,Time!K$6)-MAX(Inputs!$F$111,Time!K$5))/Time!K$7</f>
        <v>1</v>
      </c>
      <c r="L542" s="14" t="n">
        <f aca="false">MAX(0,MIN(Inputs!$F$112,Time!L$6)-MAX(Inputs!$F$111,Time!L$5))/Time!L$7</f>
        <v>1</v>
      </c>
      <c r="M542" s="14" t="n">
        <f aca="false">MAX(0,MIN(Inputs!$F$112,Time!M$6)-MAX(Inputs!$F$111,Time!M$5))/Time!M$7</f>
        <v>1</v>
      </c>
      <c r="N542" s="14" t="n">
        <f aca="false">MAX(0,MIN(Inputs!$F$112,Time!N$6)-MAX(Inputs!$F$111,Time!N$5))/Time!N$7</f>
        <v>1</v>
      </c>
      <c r="O542" s="14" t="n">
        <f aca="false">MAX(0,MIN(Inputs!$F$112,Time!O$6)-MAX(Inputs!$F$111,Time!O$5))/Time!O$7</f>
        <v>1</v>
      </c>
      <c r="P542" s="14" t="n">
        <f aca="false">MAX(0,MIN(Inputs!$F$112,Time!P$6)-MAX(Inputs!$F$111,Time!P$5))/Time!P$7</f>
        <v>1</v>
      </c>
      <c r="Q542" s="14" t="n">
        <f aca="false">MAX(0,MIN(Inputs!$F$112,Time!Q$6)-MAX(Inputs!$F$111,Time!Q$5))/Time!Q$7</f>
        <v>1</v>
      </c>
      <c r="R542" s="14" t="n">
        <f aca="false">MAX(0,MIN(Inputs!$F$112,Time!R$6)-MAX(Inputs!$F$111,Time!R$5))/Time!R$7</f>
        <v>1</v>
      </c>
      <c r="S542" s="14" t="n">
        <f aca="false">MAX(0,MIN(Inputs!$F$112,Time!S$6)-MAX(Inputs!$F$111,Time!S$5))/Time!S$7</f>
        <v>1</v>
      </c>
      <c r="T542" s="14" t="n">
        <f aca="false">MAX(0,MIN(Inputs!$F$112,Time!T$6)-MAX(Inputs!$F$111,Time!T$5))/Time!T$7</f>
        <v>1</v>
      </c>
      <c r="U542" s="14" t="n">
        <f aca="false">MAX(0,MIN(Inputs!$F$112,Time!U$6)-MAX(Inputs!$F$111,Time!U$5))/Time!U$7</f>
        <v>1</v>
      </c>
      <c r="V542" s="14" t="n">
        <f aca="false">MAX(0,MIN(Inputs!$F$112,Time!V$6)-MAX(Inputs!$F$111,Time!V$5))/Time!V$7</f>
        <v>1</v>
      </c>
      <c r="W542" s="14" t="n">
        <f aca="false">MAX(0,MIN(Inputs!$F$112,Time!W$6)-MAX(Inputs!$F$111,Time!W$5))/Time!W$7</f>
        <v>1</v>
      </c>
      <c r="X542" s="14" t="n">
        <f aca="false">MAX(0,MIN(Inputs!$F$112,Time!X$6)-MAX(Inputs!$F$111,Time!X$5))/Time!X$7</f>
        <v>1</v>
      </c>
      <c r="Y542" s="14" t="n">
        <f aca="false">MAX(0,MIN(Inputs!$F$112,Time!Y$6)-MAX(Inputs!$F$111,Time!Y$5))/Time!Y$7</f>
        <v>1</v>
      </c>
      <c r="Z542" s="14" t="n">
        <f aca="false">MAX(0,MIN(Inputs!$F$112,Time!Z$6)-MAX(Inputs!$F$111,Time!Z$5))/Time!Z$7</f>
        <v>1</v>
      </c>
      <c r="AA542" s="14" t="n">
        <f aca="false">MAX(0,MIN(Inputs!$F$112,Time!AA$6)-MAX(Inputs!$F$111,Time!AA$5))/Time!AA$7</f>
        <v>1</v>
      </c>
      <c r="AB542" s="14" t="n">
        <f aca="false">MAX(0,MIN(Inputs!$F$112,Time!AB$6)-MAX(Inputs!$F$111,Time!AB$5))/Time!AB$7</f>
        <v>1</v>
      </c>
      <c r="AC542" s="14" t="n">
        <f aca="false">MAX(0,MIN(Inputs!$F$112,Time!AC$6)-MAX(Inputs!$F$111,Time!AC$5))/Time!AC$7</f>
        <v>1</v>
      </c>
      <c r="AD542" s="14" t="n">
        <f aca="false">MAX(0,MIN(Inputs!$F$112,Time!AD$6)-MAX(Inputs!$F$111,Time!AD$5))/Time!AD$7</f>
        <v>1</v>
      </c>
      <c r="AE542" s="14" t="n">
        <f aca="false">MAX(0,MIN(Inputs!$F$112,Time!AE$6)-MAX(Inputs!$F$111,Time!AE$5))/Time!AE$7</f>
        <v>1</v>
      </c>
      <c r="AF542" s="14" t="n">
        <f aca="false">MAX(0,MIN(Inputs!$F$112,Time!AF$6)-MAX(Inputs!$F$111,Time!AF$5))/Time!AF$7</f>
        <v>1</v>
      </c>
      <c r="AG542" s="14" t="n">
        <f aca="false">MAX(0,MIN(Inputs!$F$112,Time!AG$6)-MAX(Inputs!$F$111,Time!AG$5))/Time!AG$7</f>
        <v>1</v>
      </c>
      <c r="AH542" s="14" t="n">
        <f aca="false">MAX(0,MIN(Inputs!$F$112,Time!AH$6)-MAX(Inputs!$F$111,Time!AH$5))/Time!AH$7</f>
        <v>1</v>
      </c>
      <c r="AI542" s="14" t="n">
        <f aca="false">MAX(0,MIN(Inputs!$F$112,Time!AI$6)-MAX(Inputs!$F$111,Time!AI$5))/Time!AI$7</f>
        <v>1</v>
      </c>
      <c r="AJ542" s="14" t="n">
        <f aca="false">MAX(0,MIN(Inputs!$F$112,Time!AJ$6)-MAX(Inputs!$F$111,Time!AJ$5))/Time!AJ$7</f>
        <v>1</v>
      </c>
      <c r="AK542" s="14" t="n">
        <f aca="false">MAX(0,MIN(Inputs!$F$112,Time!AK$6)-MAX(Inputs!$F$111,Time!AK$5))/Time!AK$7</f>
        <v>0.915068493150685</v>
      </c>
      <c r="AL542" s="14" t="n">
        <f aca="false">MAX(0,MIN(Inputs!$F$112,Time!AL$6)-MAX(Inputs!$F$111,Time!AL$5))/Time!AL$7</f>
        <v>0</v>
      </c>
      <c r="AM542" s="14" t="n">
        <f aca="false">MAX(0,MIN(Inputs!$F$112,Time!AM$6)-MAX(Inputs!$F$111,Time!AM$5))/Time!AM$7</f>
        <v>0</v>
      </c>
      <c r="AN542" s="14" t="n">
        <f aca="false">MAX(0,MIN(Inputs!$F$112,Time!AN$6)-MAX(Inputs!$F$111,Time!AN$5))/Time!AN$7</f>
        <v>0</v>
      </c>
      <c r="AO542" s="14" t="n">
        <f aca="false">MAX(0,MIN(Inputs!$F$112,Time!AO$6)-MAX(Inputs!$F$111,Time!AO$5))/Time!AO$7</f>
        <v>0</v>
      </c>
      <c r="AP542" s="14" t="n">
        <f aca="false">MAX(0,MIN(Inputs!$F$112,Time!AP$6)-MAX(Inputs!$F$111,Time!AP$5))/Time!AP$7</f>
        <v>0</v>
      </c>
      <c r="AQ542" s="14" t="n">
        <f aca="false">MAX(0,MIN(Inputs!$F$112,Time!AQ$6)-MAX(Inputs!$F$111,Time!AQ$5))/Time!AQ$7</f>
        <v>0</v>
      </c>
      <c r="AR542" s="14" t="n">
        <f aca="false">MAX(0,MIN(Inputs!$F$112,Time!AR$6)-MAX(Inputs!$F$111,Time!AR$5))/Time!AR$7</f>
        <v>0</v>
      </c>
      <c r="AS542" s="14" t="n">
        <f aca="false">MAX(0,MIN(Inputs!$F$112,Time!AS$6)-MAX(Inputs!$F$111,Time!AS$5))/Time!AS$7</f>
        <v>0</v>
      </c>
      <c r="AT542" s="14" t="n">
        <f aca="false">MAX(0,MIN(Inputs!$F$112,Time!AT$6)-MAX(Inputs!$F$111,Time!AT$5))/Time!AT$7</f>
        <v>0</v>
      </c>
      <c r="AU542" s="14" t="n">
        <f aca="false">MAX(0,MIN(Inputs!$F$112,Time!AU$6)-MAX(Inputs!$F$111,Time!AU$5))/Time!AU$7</f>
        <v>0</v>
      </c>
    </row>
    <row r="543" customFormat="false" ht="15" hidden="false" customHeight="false" outlineLevel="0" collapsed="false">
      <c r="D543" s="0" t="s">
        <v>544</v>
      </c>
      <c r="E543" s="0" t="s">
        <v>458</v>
      </c>
      <c r="J543" s="14" t="n">
        <f aca="false">MAX(0,MIN(Inputs!$F$112,Time!J$6)-MAX(MAX(Inputs!$F$113,Inputs!$F$111),Time!J$5))/Time!J$7</f>
        <v>0.778082191780822</v>
      </c>
      <c r="K543" s="14" t="n">
        <f aca="false">MAX(0,MIN(Inputs!$F$112,Time!K$6)-MAX(MAX(Inputs!$F$113,Inputs!$F$111),Time!K$5))/Time!K$7</f>
        <v>1</v>
      </c>
      <c r="L543" s="14" t="n">
        <f aca="false">MAX(0,MIN(Inputs!$F$112,Time!L$6)-MAX(MAX(Inputs!$F$113,Inputs!$F$111),Time!L$5))/Time!L$7</f>
        <v>1</v>
      </c>
      <c r="M543" s="14" t="n">
        <f aca="false">MAX(0,MIN(Inputs!$F$112,Time!M$6)-MAX(MAX(Inputs!$F$113,Inputs!$F$111),Time!M$5))/Time!M$7</f>
        <v>1</v>
      </c>
      <c r="N543" s="14" t="n">
        <f aca="false">MAX(0,MIN(Inputs!$F$112,Time!N$6)-MAX(MAX(Inputs!$F$113,Inputs!$F$111),Time!N$5))/Time!N$7</f>
        <v>1</v>
      </c>
      <c r="O543" s="14" t="n">
        <f aca="false">MAX(0,MIN(Inputs!$F$112,Time!O$6)-MAX(MAX(Inputs!$F$113,Inputs!$F$111),Time!O$5))/Time!O$7</f>
        <v>1</v>
      </c>
      <c r="P543" s="14" t="n">
        <f aca="false">MAX(0,MIN(Inputs!$F$112,Time!P$6)-MAX(MAX(Inputs!$F$113,Inputs!$F$111),Time!P$5))/Time!P$7</f>
        <v>1</v>
      </c>
      <c r="Q543" s="14" t="n">
        <f aca="false">MAX(0,MIN(Inputs!$F$112,Time!Q$6)-MAX(MAX(Inputs!$F$113,Inputs!$F$111),Time!Q$5))/Time!Q$7</f>
        <v>1</v>
      </c>
      <c r="R543" s="14" t="n">
        <f aca="false">MAX(0,MIN(Inputs!$F$112,Time!R$6)-MAX(MAX(Inputs!$F$113,Inputs!$F$111),Time!R$5))/Time!R$7</f>
        <v>1</v>
      </c>
      <c r="S543" s="14" t="n">
        <f aca="false">MAX(0,MIN(Inputs!$F$112,Time!S$6)-MAX(MAX(Inputs!$F$113,Inputs!$F$111),Time!S$5))/Time!S$7</f>
        <v>1</v>
      </c>
      <c r="T543" s="14" t="n">
        <f aca="false">MAX(0,MIN(Inputs!$F$112,Time!T$6)-MAX(MAX(Inputs!$F$113,Inputs!$F$111),Time!T$5))/Time!T$7</f>
        <v>1</v>
      </c>
      <c r="U543" s="14" t="n">
        <f aca="false">MAX(0,MIN(Inputs!$F$112,Time!U$6)-MAX(MAX(Inputs!$F$113,Inputs!$F$111),Time!U$5))/Time!U$7</f>
        <v>1</v>
      </c>
      <c r="V543" s="14" t="n">
        <f aca="false">MAX(0,MIN(Inputs!$F$112,Time!V$6)-MAX(MAX(Inputs!$F$113,Inputs!$F$111),Time!V$5))/Time!V$7</f>
        <v>1</v>
      </c>
      <c r="W543" s="14" t="n">
        <f aca="false">MAX(0,MIN(Inputs!$F$112,Time!W$6)-MAX(MAX(Inputs!$F$113,Inputs!$F$111),Time!W$5))/Time!W$7</f>
        <v>1</v>
      </c>
      <c r="X543" s="14" t="n">
        <f aca="false">MAX(0,MIN(Inputs!$F$112,Time!X$6)-MAX(MAX(Inputs!$F$113,Inputs!$F$111),Time!X$5))/Time!X$7</f>
        <v>1</v>
      </c>
      <c r="Y543" s="14" t="n">
        <f aca="false">MAX(0,MIN(Inputs!$F$112,Time!Y$6)-MAX(MAX(Inputs!$F$113,Inputs!$F$111),Time!Y$5))/Time!Y$7</f>
        <v>1</v>
      </c>
      <c r="Z543" s="14" t="n">
        <f aca="false">MAX(0,MIN(Inputs!$F$112,Time!Z$6)-MAX(MAX(Inputs!$F$113,Inputs!$F$111),Time!Z$5))/Time!Z$7</f>
        <v>1</v>
      </c>
      <c r="AA543" s="14" t="n">
        <f aca="false">MAX(0,MIN(Inputs!$F$112,Time!AA$6)-MAX(MAX(Inputs!$F$113,Inputs!$F$111),Time!AA$5))/Time!AA$7</f>
        <v>1</v>
      </c>
      <c r="AB543" s="14" t="n">
        <f aca="false">MAX(0,MIN(Inputs!$F$112,Time!AB$6)-MAX(MAX(Inputs!$F$113,Inputs!$F$111),Time!AB$5))/Time!AB$7</f>
        <v>1</v>
      </c>
      <c r="AC543" s="14" t="n">
        <f aca="false">MAX(0,MIN(Inputs!$F$112,Time!AC$6)-MAX(MAX(Inputs!$F$113,Inputs!$F$111),Time!AC$5))/Time!AC$7</f>
        <v>1</v>
      </c>
      <c r="AD543" s="14" t="n">
        <f aca="false">MAX(0,MIN(Inputs!$F$112,Time!AD$6)-MAX(MAX(Inputs!$F$113,Inputs!$F$111),Time!AD$5))/Time!AD$7</f>
        <v>1</v>
      </c>
      <c r="AE543" s="14" t="n">
        <f aca="false">MAX(0,MIN(Inputs!$F$112,Time!AE$6)-MAX(MAX(Inputs!$F$113,Inputs!$F$111),Time!AE$5))/Time!AE$7</f>
        <v>1</v>
      </c>
      <c r="AF543" s="14" t="n">
        <f aca="false">MAX(0,MIN(Inputs!$F$112,Time!AF$6)-MAX(MAX(Inputs!$F$113,Inputs!$F$111),Time!AF$5))/Time!AF$7</f>
        <v>1</v>
      </c>
      <c r="AG543" s="14" t="n">
        <f aca="false">MAX(0,MIN(Inputs!$F$112,Time!AG$6)-MAX(MAX(Inputs!$F$113,Inputs!$F$111),Time!AG$5))/Time!AG$7</f>
        <v>1</v>
      </c>
      <c r="AH543" s="14" t="n">
        <f aca="false">MAX(0,MIN(Inputs!$F$112,Time!AH$6)-MAX(MAX(Inputs!$F$113,Inputs!$F$111),Time!AH$5))/Time!AH$7</f>
        <v>1</v>
      </c>
      <c r="AI543" s="14" t="n">
        <f aca="false">MAX(0,MIN(Inputs!$F$112,Time!AI$6)-MAX(MAX(Inputs!$F$113,Inputs!$F$111),Time!AI$5))/Time!AI$7</f>
        <v>1</v>
      </c>
      <c r="AJ543" s="14" t="n">
        <f aca="false">MAX(0,MIN(Inputs!$F$112,Time!AJ$6)-MAX(MAX(Inputs!$F$113,Inputs!$F$111),Time!AJ$5))/Time!AJ$7</f>
        <v>1</v>
      </c>
      <c r="AK543" s="14" t="n">
        <f aca="false">MAX(0,MIN(Inputs!$F$112,Time!AK$6)-MAX(MAX(Inputs!$F$113,Inputs!$F$111),Time!AK$5))/Time!AK$7</f>
        <v>0.915068493150685</v>
      </c>
      <c r="AL543" s="14" t="n">
        <f aca="false">MAX(0,MIN(Inputs!$F$112,Time!AL$6)-MAX(MAX(Inputs!$F$113,Inputs!$F$111),Time!AL$5))/Time!AL$7</f>
        <v>0</v>
      </c>
      <c r="AM543" s="14" t="n">
        <f aca="false">MAX(0,MIN(Inputs!$F$112,Time!AM$6)-MAX(MAX(Inputs!$F$113,Inputs!$F$111),Time!AM$5))/Time!AM$7</f>
        <v>0</v>
      </c>
      <c r="AN543" s="14" t="n">
        <f aca="false">MAX(0,MIN(Inputs!$F$112,Time!AN$6)-MAX(MAX(Inputs!$F$113,Inputs!$F$111),Time!AN$5))/Time!AN$7</f>
        <v>0</v>
      </c>
      <c r="AO543" s="14" t="n">
        <f aca="false">MAX(0,MIN(Inputs!$F$112,Time!AO$6)-MAX(MAX(Inputs!$F$113,Inputs!$F$111),Time!AO$5))/Time!AO$7</f>
        <v>0</v>
      </c>
      <c r="AP543" s="14" t="n">
        <f aca="false">MAX(0,MIN(Inputs!$F$112,Time!AP$6)-MAX(MAX(Inputs!$F$113,Inputs!$F$111),Time!AP$5))/Time!AP$7</f>
        <v>0</v>
      </c>
      <c r="AQ543" s="14" t="n">
        <f aca="false">MAX(0,MIN(Inputs!$F$112,Time!AQ$6)-MAX(MAX(Inputs!$F$113,Inputs!$F$111),Time!AQ$5))/Time!AQ$7</f>
        <v>0</v>
      </c>
      <c r="AR543" s="14" t="n">
        <f aca="false">MAX(0,MIN(Inputs!$F$112,Time!AR$6)-MAX(MAX(Inputs!$F$113,Inputs!$F$111),Time!AR$5))/Time!AR$7</f>
        <v>0</v>
      </c>
      <c r="AS543" s="14" t="n">
        <f aca="false">MAX(0,MIN(Inputs!$F$112,Time!AS$6)-MAX(MAX(Inputs!$F$113,Inputs!$F$111),Time!AS$5))/Time!AS$7</f>
        <v>0</v>
      </c>
      <c r="AT543" s="14" t="n">
        <f aca="false">MAX(0,MIN(Inputs!$F$112,Time!AT$6)-MAX(MAX(Inputs!$F$113,Inputs!$F$111),Time!AT$5))/Time!AT$7</f>
        <v>0</v>
      </c>
      <c r="AU543" s="14" t="n">
        <f aca="false">MAX(0,MIN(Inputs!$F$112,Time!AU$6)-MAX(MAX(Inputs!$F$113,Inputs!$F$111),Time!AU$5))/Time!AU$7</f>
        <v>0</v>
      </c>
    </row>
    <row r="544" customFormat="false" ht="15" hidden="false" customHeight="false" outlineLevel="0" collapsed="false">
      <c r="D544" s="0" t="s">
        <v>545</v>
      </c>
      <c r="E544" s="0" t="s">
        <v>458</v>
      </c>
      <c r="J544" s="14" t="n">
        <f aca="false">IF(Operations!J542&gt;0,Operations!J543/Operations!J542,0)</f>
        <v>0.778082191780822</v>
      </c>
      <c r="K544" s="14" t="n">
        <f aca="false">IF(Operations!K542&gt;0,Operations!K543/Operations!K542,0)</f>
        <v>1</v>
      </c>
      <c r="L544" s="14" t="n">
        <f aca="false">IF(Operations!L542&gt;0,Operations!L543/Operations!L542,0)</f>
        <v>1</v>
      </c>
      <c r="M544" s="14" t="n">
        <f aca="false">IF(Operations!M542&gt;0,Operations!M543/Operations!M542,0)</f>
        <v>1</v>
      </c>
      <c r="N544" s="14" t="n">
        <f aca="false">IF(Operations!N542&gt;0,Operations!N543/Operations!N542,0)</f>
        <v>1</v>
      </c>
      <c r="O544" s="14" t="n">
        <f aca="false">IF(Operations!O542&gt;0,Operations!O543/Operations!O542,0)</f>
        <v>1</v>
      </c>
      <c r="P544" s="14" t="n">
        <f aca="false">IF(Operations!P542&gt;0,Operations!P543/Operations!P542,0)</f>
        <v>1</v>
      </c>
      <c r="Q544" s="14" t="n">
        <f aca="false">IF(Operations!Q542&gt;0,Operations!Q543/Operations!Q542,0)</f>
        <v>1</v>
      </c>
      <c r="R544" s="14" t="n">
        <f aca="false">IF(Operations!R542&gt;0,Operations!R543/Operations!R542,0)</f>
        <v>1</v>
      </c>
      <c r="S544" s="14" t="n">
        <f aca="false">IF(Operations!S542&gt;0,Operations!S543/Operations!S542,0)</f>
        <v>1</v>
      </c>
      <c r="T544" s="14" t="n">
        <f aca="false">IF(Operations!T542&gt;0,Operations!T543/Operations!T542,0)</f>
        <v>1</v>
      </c>
      <c r="U544" s="14" t="n">
        <f aca="false">IF(Operations!U542&gt;0,Operations!U543/Operations!U542,0)</f>
        <v>1</v>
      </c>
      <c r="V544" s="14" t="n">
        <f aca="false">IF(Operations!V542&gt;0,Operations!V543/Operations!V542,0)</f>
        <v>1</v>
      </c>
      <c r="W544" s="14" t="n">
        <f aca="false">IF(Operations!W542&gt;0,Operations!W543/Operations!W542,0)</f>
        <v>1</v>
      </c>
      <c r="X544" s="14" t="n">
        <f aca="false">IF(Operations!X542&gt;0,Operations!X543/Operations!X542,0)</f>
        <v>1</v>
      </c>
      <c r="Y544" s="14" t="n">
        <f aca="false">IF(Operations!Y542&gt;0,Operations!Y543/Operations!Y542,0)</f>
        <v>1</v>
      </c>
      <c r="Z544" s="14" t="n">
        <f aca="false">IF(Operations!Z542&gt;0,Operations!Z543/Operations!Z542,0)</f>
        <v>1</v>
      </c>
      <c r="AA544" s="14" t="n">
        <f aca="false">IF(Operations!AA542&gt;0,Operations!AA543/Operations!AA542,0)</f>
        <v>1</v>
      </c>
      <c r="AB544" s="14" t="n">
        <f aca="false">IF(Operations!AB542&gt;0,Operations!AB543/Operations!AB542,0)</f>
        <v>1</v>
      </c>
      <c r="AC544" s="14" t="n">
        <f aca="false">IF(Operations!AC542&gt;0,Operations!AC543/Operations!AC542,0)</f>
        <v>1</v>
      </c>
      <c r="AD544" s="14" t="n">
        <f aca="false">IF(Operations!AD542&gt;0,Operations!AD543/Operations!AD542,0)</f>
        <v>1</v>
      </c>
      <c r="AE544" s="14" t="n">
        <f aca="false">IF(Operations!AE542&gt;0,Operations!AE543/Operations!AE542,0)</f>
        <v>1</v>
      </c>
      <c r="AF544" s="14" t="n">
        <f aca="false">IF(Operations!AF542&gt;0,Operations!AF543/Operations!AF542,0)</f>
        <v>1</v>
      </c>
      <c r="AG544" s="14" t="n">
        <f aca="false">IF(Operations!AG542&gt;0,Operations!AG543/Operations!AG542,0)</f>
        <v>1</v>
      </c>
      <c r="AH544" s="14" t="n">
        <f aca="false">IF(Operations!AH542&gt;0,Operations!AH543/Operations!AH542,0)</f>
        <v>1</v>
      </c>
      <c r="AI544" s="14" t="n">
        <f aca="false">IF(Operations!AI542&gt;0,Operations!AI543/Operations!AI542,0)</f>
        <v>1</v>
      </c>
      <c r="AJ544" s="14" t="n">
        <f aca="false">IF(Operations!AJ542&gt;0,Operations!AJ543/Operations!AJ542,0)</f>
        <v>1</v>
      </c>
      <c r="AK544" s="14" t="n">
        <f aca="false">IF(Operations!AK542&gt;0,Operations!AK543/Operations!AK542,0)</f>
        <v>1</v>
      </c>
      <c r="AL544" s="14" t="n">
        <f aca="false">IF(Operations!AL542&gt;0,Operations!AL543/Operations!AL542,0)</f>
        <v>0</v>
      </c>
      <c r="AM544" s="14" t="n">
        <f aca="false">IF(Operations!AM542&gt;0,Operations!AM543/Operations!AM542,0)</f>
        <v>0</v>
      </c>
      <c r="AN544" s="14" t="n">
        <f aca="false">IF(Operations!AN542&gt;0,Operations!AN543/Operations!AN542,0)</f>
        <v>0</v>
      </c>
      <c r="AO544" s="14" t="n">
        <f aca="false">IF(Operations!AO542&gt;0,Operations!AO543/Operations!AO542,0)</f>
        <v>0</v>
      </c>
      <c r="AP544" s="14" t="n">
        <f aca="false">IF(Operations!AP542&gt;0,Operations!AP543/Operations!AP542,0)</f>
        <v>0</v>
      </c>
      <c r="AQ544" s="14" t="n">
        <f aca="false">IF(Operations!AQ542&gt;0,Operations!AQ543/Operations!AQ542,0)</f>
        <v>0</v>
      </c>
      <c r="AR544" s="14" t="n">
        <f aca="false">IF(Operations!AR542&gt;0,Operations!AR543/Operations!AR542,0)</f>
        <v>0</v>
      </c>
      <c r="AS544" s="14" t="n">
        <f aca="false">IF(Operations!AS542&gt;0,Operations!AS543/Operations!AS542,0)</f>
        <v>0</v>
      </c>
      <c r="AT544" s="14" t="n">
        <f aca="false">IF(Operations!AT542&gt;0,Operations!AT543/Operations!AT542,0)</f>
        <v>0</v>
      </c>
      <c r="AU544" s="14" t="n">
        <f aca="false">IF(Operations!AU542&gt;0,Operations!AU543/Operations!AU542,0)</f>
        <v>0</v>
      </c>
    </row>
    <row r="545" customFormat="false" ht="15" hidden="false" customHeight="false" outlineLevel="0" collapsed="false">
      <c r="D545" s="0" t="s">
        <v>546</v>
      </c>
      <c r="E545" s="0" t="s">
        <v>96</v>
      </c>
      <c r="J545" s="18" t="n">
        <f aca="false">Operations!J448</f>
        <v>72.2128</v>
      </c>
      <c r="K545" s="18" t="n">
        <f aca="false">Operations!K448</f>
        <v>59.2416</v>
      </c>
      <c r="L545" s="18" t="n">
        <f aca="false">Operations!L448</f>
        <v>29.1368</v>
      </c>
      <c r="M545" s="18" t="n">
        <f aca="false">Operations!M448</f>
        <v>38.5264</v>
      </c>
      <c r="N545" s="18" t="n">
        <f aca="false">Operations!N448</f>
        <v>43.1728</v>
      </c>
      <c r="O545" s="18" t="n">
        <f aca="false">Operations!O448</f>
        <v>45.7864</v>
      </c>
      <c r="P545" s="18" t="n">
        <f aca="false">Operations!P448</f>
        <v>47.5288</v>
      </c>
      <c r="Q545" s="18" t="n">
        <f aca="false">Operations!Q448</f>
        <v>48.7872</v>
      </c>
      <c r="R545" s="18" t="n">
        <f aca="false">Operations!R448</f>
        <v>50.1424</v>
      </c>
      <c r="S545" s="18" t="n">
        <f aca="false">Operations!S448</f>
        <v>51.14912</v>
      </c>
      <c r="T545" s="18" t="n">
        <f aca="false">Operations!T448</f>
        <v>52.1752</v>
      </c>
      <c r="U545" s="18" t="n">
        <f aca="false">Operations!U448</f>
        <v>53.22064</v>
      </c>
      <c r="V545" s="18" t="n">
        <f aca="false">Operations!V448</f>
        <v>54.28544</v>
      </c>
      <c r="W545" s="18" t="n">
        <f aca="false">Operations!W448</f>
        <v>55.3696</v>
      </c>
      <c r="X545" s="18" t="n">
        <f aca="false">Operations!X448</f>
        <v>56.47312</v>
      </c>
      <c r="Y545" s="18" t="n">
        <f aca="false">Operations!Y448</f>
        <v>57.60568</v>
      </c>
      <c r="Z545" s="18" t="n">
        <f aca="false">Operations!Z448</f>
        <v>58.7576</v>
      </c>
      <c r="AA545" s="18" t="n">
        <f aca="false">Operations!AA448</f>
        <v>59.92888</v>
      </c>
      <c r="AB545" s="18" t="n">
        <f aca="false">Operations!AB448</f>
        <v>61.1292</v>
      </c>
      <c r="AC545" s="18" t="n">
        <f aca="false">Operations!AC448</f>
        <v>62.34888</v>
      </c>
      <c r="AD545" s="18" t="n">
        <f aca="false">Operations!AD448</f>
        <v>63.5976</v>
      </c>
      <c r="AE545" s="18" t="n">
        <f aca="false">Operations!AE448</f>
        <v>64.86568</v>
      </c>
      <c r="AF545" s="18" t="n">
        <f aca="false">Operations!AF448</f>
        <v>66.1628</v>
      </c>
      <c r="AG545" s="18" t="n">
        <f aca="false">Operations!AG448</f>
        <v>67.48896</v>
      </c>
      <c r="AH545" s="18" t="n">
        <f aca="false">Operations!AH448</f>
        <v>68.83448</v>
      </c>
      <c r="AI545" s="18" t="n">
        <f aca="false">Operations!AI448</f>
        <v>70.20904</v>
      </c>
      <c r="AJ545" s="18" t="n">
        <f aca="false">Operations!AJ448</f>
        <v>71.61264</v>
      </c>
      <c r="AK545" s="18" t="n">
        <f aca="false">Operations!AK448</f>
        <v>73.04528</v>
      </c>
      <c r="AL545" s="18" t="n">
        <f aca="false">Operations!AL448</f>
        <v>74.50696</v>
      </c>
      <c r="AM545" s="18" t="n">
        <f aca="false">Operations!AM448</f>
        <v>75.99768</v>
      </c>
      <c r="AN545" s="18" t="n">
        <f aca="false">Operations!AN448</f>
        <v>77.51744</v>
      </c>
      <c r="AO545" s="18" t="n">
        <f aca="false">Operations!AO448</f>
        <v>79.06624</v>
      </c>
      <c r="AP545" s="18" t="n">
        <f aca="false">Operations!AP448</f>
        <v>80.64408</v>
      </c>
      <c r="AQ545" s="18" t="n">
        <f aca="false">Operations!AQ448</f>
        <v>82.26064</v>
      </c>
      <c r="AR545" s="18" t="n">
        <f aca="false">Operations!AR448</f>
        <v>83.90624</v>
      </c>
      <c r="AS545" s="18" t="n">
        <f aca="false">Operations!AS448</f>
        <v>85.58088</v>
      </c>
      <c r="AT545" s="18" t="n">
        <f aca="false">Operations!AT448</f>
        <v>87.29424</v>
      </c>
      <c r="AU545" s="18" t="n">
        <f aca="false">Operations!AU448</f>
        <v>89.03664</v>
      </c>
    </row>
    <row r="546" customFormat="false" ht="15" hidden="false" customHeight="false" outlineLevel="0" collapsed="false">
      <c r="D546" s="0" t="s">
        <v>547</v>
      </c>
      <c r="E546" s="0" t="s">
        <v>27</v>
      </c>
      <c r="J546" s="14" t="n">
        <f aca="false">CHOOSE(Operations!$F$442,1,Inputs!$F$117/100,Inputs!$F$118/100,Operations!$F$24/100)</f>
        <v>1</v>
      </c>
      <c r="K546" s="14" t="n">
        <f aca="false">CHOOSE(Operations!$F$442,1,Inputs!$F$117/100,Inputs!$F$118/100,Operations!$F$24/100)</f>
        <v>1</v>
      </c>
      <c r="L546" s="14" t="n">
        <f aca="false">CHOOSE(Operations!$F$442,1,Inputs!$F$117/100,Inputs!$F$118/100,Operations!$F$24/100)</f>
        <v>1</v>
      </c>
      <c r="M546" s="14" t="n">
        <f aca="false">CHOOSE(Operations!$F$442,1,Inputs!$F$117/100,Inputs!$F$118/100,Operations!$F$24/100)</f>
        <v>1</v>
      </c>
      <c r="N546" s="14" t="n">
        <f aca="false">CHOOSE(Operations!$F$442,1,Inputs!$F$117/100,Inputs!$F$118/100,Operations!$F$24/100)</f>
        <v>1</v>
      </c>
      <c r="O546" s="14" t="n">
        <f aca="false">CHOOSE(Operations!$F$442,1,Inputs!$F$117/100,Inputs!$F$118/100,Operations!$F$24/100)</f>
        <v>1</v>
      </c>
      <c r="P546" s="14" t="n">
        <f aca="false">CHOOSE(Operations!$F$442,1,Inputs!$F$117/100,Inputs!$F$118/100,Operations!$F$24/100)</f>
        <v>1</v>
      </c>
      <c r="Q546" s="14" t="n">
        <f aca="false">CHOOSE(Operations!$F$442,1,Inputs!$F$117/100,Inputs!$F$118/100,Operations!$F$24/100)</f>
        <v>1</v>
      </c>
      <c r="R546" s="14" t="n">
        <f aca="false">CHOOSE(Operations!$F$442,1,Inputs!$F$117/100,Inputs!$F$118/100,Operations!$F$24/100)</f>
        <v>1</v>
      </c>
      <c r="S546" s="14" t="n">
        <f aca="false">CHOOSE(Operations!$F$442,1,Inputs!$F$117/100,Inputs!$F$118/100,Operations!$F$24/100)</f>
        <v>1</v>
      </c>
      <c r="T546" s="14" t="n">
        <f aca="false">CHOOSE(Operations!$F$442,1,Inputs!$F$117/100,Inputs!$F$118/100,Operations!$F$24/100)</f>
        <v>1</v>
      </c>
      <c r="U546" s="14" t="n">
        <f aca="false">CHOOSE(Operations!$F$442,1,Inputs!$F$117/100,Inputs!$F$118/100,Operations!$F$24/100)</f>
        <v>1</v>
      </c>
      <c r="V546" s="14" t="n">
        <f aca="false">CHOOSE(Operations!$F$442,1,Inputs!$F$117/100,Inputs!$F$118/100,Operations!$F$24/100)</f>
        <v>1</v>
      </c>
      <c r="W546" s="14" t="n">
        <f aca="false">CHOOSE(Operations!$F$442,1,Inputs!$F$117/100,Inputs!$F$118/100,Operations!$F$24/100)</f>
        <v>1</v>
      </c>
      <c r="X546" s="14" t="n">
        <f aca="false">CHOOSE(Operations!$F$442,1,Inputs!$F$117/100,Inputs!$F$118/100,Operations!$F$24/100)</f>
        <v>1</v>
      </c>
      <c r="Y546" s="14" t="n">
        <f aca="false">CHOOSE(Operations!$F$442,1,Inputs!$F$117/100,Inputs!$F$118/100,Operations!$F$24/100)</f>
        <v>1</v>
      </c>
      <c r="Z546" s="14" t="n">
        <f aca="false">CHOOSE(Operations!$F$442,1,Inputs!$F$117/100,Inputs!$F$118/100,Operations!$F$24/100)</f>
        <v>1</v>
      </c>
      <c r="AA546" s="14" t="n">
        <f aca="false">CHOOSE(Operations!$F$442,1,Inputs!$F$117/100,Inputs!$F$118/100,Operations!$F$24/100)</f>
        <v>1</v>
      </c>
      <c r="AB546" s="14" t="n">
        <f aca="false">CHOOSE(Operations!$F$442,1,Inputs!$F$117/100,Inputs!$F$118/100,Operations!$F$24/100)</f>
        <v>1</v>
      </c>
      <c r="AC546" s="14" t="n">
        <f aca="false">CHOOSE(Operations!$F$442,1,Inputs!$F$117/100,Inputs!$F$118/100,Operations!$F$24/100)</f>
        <v>1</v>
      </c>
      <c r="AD546" s="14" t="n">
        <f aca="false">CHOOSE(Operations!$F$442,1,Inputs!$F$117/100,Inputs!$F$118/100,Operations!$F$24/100)</f>
        <v>1</v>
      </c>
      <c r="AE546" s="14" t="n">
        <f aca="false">CHOOSE(Operations!$F$442,1,Inputs!$F$117/100,Inputs!$F$118/100,Operations!$F$24/100)</f>
        <v>1</v>
      </c>
      <c r="AF546" s="14" t="n">
        <f aca="false">CHOOSE(Operations!$F$442,1,Inputs!$F$117/100,Inputs!$F$118/100,Operations!$F$24/100)</f>
        <v>1</v>
      </c>
      <c r="AG546" s="14" t="n">
        <f aca="false">CHOOSE(Operations!$F$442,1,Inputs!$F$117/100,Inputs!$F$118/100,Operations!$F$24/100)</f>
        <v>1</v>
      </c>
      <c r="AH546" s="14" t="n">
        <f aca="false">CHOOSE(Operations!$F$442,1,Inputs!$F$117/100,Inputs!$F$118/100,Operations!$F$24/100)</f>
        <v>1</v>
      </c>
      <c r="AI546" s="14" t="n">
        <f aca="false">CHOOSE(Operations!$F$442,1,Inputs!$F$117/100,Inputs!$F$118/100,Operations!$F$24/100)</f>
        <v>1</v>
      </c>
      <c r="AJ546" s="14" t="n">
        <f aca="false">CHOOSE(Operations!$F$442,1,Inputs!$F$117/100,Inputs!$F$118/100,Operations!$F$24/100)</f>
        <v>1</v>
      </c>
      <c r="AK546" s="14" t="n">
        <f aca="false">CHOOSE(Operations!$F$442,1,Inputs!$F$117/100,Inputs!$F$118/100,Operations!$F$24/100)</f>
        <v>1</v>
      </c>
      <c r="AL546" s="14" t="n">
        <f aca="false">CHOOSE(Operations!$F$442,1,Inputs!$F$117/100,Inputs!$F$118/100,Operations!$F$24/100)</f>
        <v>1</v>
      </c>
      <c r="AM546" s="14" t="n">
        <f aca="false">CHOOSE(Operations!$F$442,1,Inputs!$F$117/100,Inputs!$F$118/100,Operations!$F$24/100)</f>
        <v>1</v>
      </c>
      <c r="AN546" s="14" t="n">
        <f aca="false">CHOOSE(Operations!$F$442,1,Inputs!$F$117/100,Inputs!$F$118/100,Operations!$F$24/100)</f>
        <v>1</v>
      </c>
      <c r="AO546" s="14" t="n">
        <f aca="false">CHOOSE(Operations!$F$442,1,Inputs!$F$117/100,Inputs!$F$118/100,Operations!$F$24/100)</f>
        <v>1</v>
      </c>
      <c r="AP546" s="14" t="n">
        <f aca="false">CHOOSE(Operations!$F$442,1,Inputs!$F$117/100,Inputs!$F$118/100,Operations!$F$24/100)</f>
        <v>1</v>
      </c>
      <c r="AQ546" s="14" t="n">
        <f aca="false">CHOOSE(Operations!$F$442,1,Inputs!$F$117/100,Inputs!$F$118/100,Operations!$F$24/100)</f>
        <v>1</v>
      </c>
      <c r="AR546" s="14" t="n">
        <f aca="false">CHOOSE(Operations!$F$442,1,Inputs!$F$117/100,Inputs!$F$118/100,Operations!$F$24/100)</f>
        <v>1</v>
      </c>
      <c r="AS546" s="14" t="n">
        <f aca="false">CHOOSE(Operations!$F$442,1,Inputs!$F$117/100,Inputs!$F$118/100,Operations!$F$24/100)</f>
        <v>1</v>
      </c>
      <c r="AT546" s="14" t="n">
        <f aca="false">CHOOSE(Operations!$F$442,1,Inputs!$F$117/100,Inputs!$F$118/100,Operations!$F$24/100)</f>
        <v>1</v>
      </c>
      <c r="AU546" s="14" t="n">
        <f aca="false">CHOOSE(Operations!$F$442,1,Inputs!$F$117/100,Inputs!$F$118/100,Operations!$F$24/100)</f>
        <v>1</v>
      </c>
    </row>
    <row r="547" customFormat="false" ht="15" hidden="false" customHeight="false" outlineLevel="0" collapsed="false">
      <c r="D547" s="0" t="s">
        <v>548</v>
      </c>
      <c r="E547" s="0" t="s">
        <v>27</v>
      </c>
      <c r="J547" s="14" t="n">
        <f aca="false">(1-Inputs!$F$119/100)^MAX(0,Time!J$4-Inputs!$F$120)</f>
        <v>1</v>
      </c>
      <c r="K547" s="14" t="n">
        <f aca="false">(1-Inputs!$F$119/100)^MAX(0,Time!K$4-Inputs!$F$120)</f>
        <v>0.998</v>
      </c>
      <c r="L547" s="14" t="n">
        <f aca="false">(1-Inputs!$F$119/100)^MAX(0,Time!L$4-Inputs!$F$120)</f>
        <v>0.996004</v>
      </c>
      <c r="M547" s="14" t="n">
        <f aca="false">(1-Inputs!$F$119/100)^MAX(0,Time!M$4-Inputs!$F$120)</f>
        <v>0.994011992</v>
      </c>
      <c r="N547" s="14" t="n">
        <f aca="false">(1-Inputs!$F$119/100)^MAX(0,Time!N$4-Inputs!$F$120)</f>
        <v>0.992023968016</v>
      </c>
      <c r="O547" s="14" t="n">
        <f aca="false">(1-Inputs!$F$119/100)^MAX(0,Time!O$4-Inputs!$F$120)</f>
        <v>0.990039920079968</v>
      </c>
      <c r="P547" s="14" t="n">
        <f aca="false">(1-Inputs!$F$119/100)^MAX(0,Time!P$4-Inputs!$F$120)</f>
        <v>0.988059840239808</v>
      </c>
      <c r="Q547" s="14" t="n">
        <f aca="false">(1-Inputs!$F$119/100)^MAX(0,Time!Q$4-Inputs!$F$120)</f>
        <v>0.986083720559329</v>
      </c>
      <c r="R547" s="14" t="n">
        <f aca="false">(1-Inputs!$F$119/100)^MAX(0,Time!R$4-Inputs!$F$120)</f>
        <v>0.98411155311821</v>
      </c>
      <c r="S547" s="14" t="n">
        <f aca="false">(1-Inputs!$F$119/100)^MAX(0,Time!S$4-Inputs!$F$120)</f>
        <v>0.982143330011973</v>
      </c>
      <c r="T547" s="14" t="n">
        <f aca="false">(1-Inputs!$F$119/100)^MAX(0,Time!T$4-Inputs!$F$120)</f>
        <v>0.980179043351949</v>
      </c>
      <c r="U547" s="14" t="n">
        <f aca="false">(1-Inputs!$F$119/100)^MAX(0,Time!U$4-Inputs!$F$120)</f>
        <v>0.978218685265246</v>
      </c>
      <c r="V547" s="14" t="n">
        <f aca="false">(1-Inputs!$F$119/100)^MAX(0,Time!V$4-Inputs!$F$120)</f>
        <v>0.976262247894715</v>
      </c>
      <c r="W547" s="14" t="n">
        <f aca="false">(1-Inputs!$F$119/100)^MAX(0,Time!W$4-Inputs!$F$120)</f>
        <v>0.974309723398926</v>
      </c>
      <c r="X547" s="14" t="n">
        <f aca="false">(1-Inputs!$F$119/100)^MAX(0,Time!X$4-Inputs!$F$120)</f>
        <v>0.972361103952128</v>
      </c>
      <c r="Y547" s="14" t="n">
        <f aca="false">(1-Inputs!$F$119/100)^MAX(0,Time!Y$4-Inputs!$F$120)</f>
        <v>0.970416381744224</v>
      </c>
      <c r="Z547" s="14" t="n">
        <f aca="false">(1-Inputs!$F$119/100)^MAX(0,Time!Z$4-Inputs!$F$120)</f>
        <v>0.968475548980735</v>
      </c>
      <c r="AA547" s="14" t="n">
        <f aca="false">(1-Inputs!$F$119/100)^MAX(0,Time!AA$4-Inputs!$F$120)</f>
        <v>0.966538597882774</v>
      </c>
      <c r="AB547" s="14" t="n">
        <f aca="false">(1-Inputs!$F$119/100)^MAX(0,Time!AB$4-Inputs!$F$120)</f>
        <v>0.964605520687008</v>
      </c>
      <c r="AC547" s="14" t="n">
        <f aca="false">(1-Inputs!$F$119/100)^MAX(0,Time!AC$4-Inputs!$F$120)</f>
        <v>0.962676309645634</v>
      </c>
      <c r="AD547" s="14" t="n">
        <f aca="false">(1-Inputs!$F$119/100)^MAX(0,Time!AD$4-Inputs!$F$120)</f>
        <v>0.960750957026343</v>
      </c>
      <c r="AE547" s="14" t="n">
        <f aca="false">(1-Inputs!$F$119/100)^MAX(0,Time!AE$4-Inputs!$F$120)</f>
        <v>0.95882945511229</v>
      </c>
      <c r="AF547" s="14" t="n">
        <f aca="false">(1-Inputs!$F$119/100)^MAX(0,Time!AF$4-Inputs!$F$120)</f>
        <v>0.956911796202066</v>
      </c>
      <c r="AG547" s="14" t="n">
        <f aca="false">(1-Inputs!$F$119/100)^MAX(0,Time!AG$4-Inputs!$F$120)</f>
        <v>0.954997972609661</v>
      </c>
      <c r="AH547" s="14" t="n">
        <f aca="false">(1-Inputs!$F$119/100)^MAX(0,Time!AH$4-Inputs!$F$120)</f>
        <v>0.953087976664442</v>
      </c>
      <c r="AI547" s="14" t="n">
        <f aca="false">(1-Inputs!$F$119/100)^MAX(0,Time!AI$4-Inputs!$F$120)</f>
        <v>0.951181800711113</v>
      </c>
      <c r="AJ547" s="14" t="n">
        <f aca="false">(1-Inputs!$F$119/100)^MAX(0,Time!AJ$4-Inputs!$F$120)</f>
        <v>0.949279437109691</v>
      </c>
      <c r="AK547" s="14" t="n">
        <f aca="false">(1-Inputs!$F$119/100)^MAX(0,Time!AK$4-Inputs!$F$120)</f>
        <v>0.947380878235472</v>
      </c>
      <c r="AL547" s="14" t="n">
        <f aca="false">(1-Inputs!$F$119/100)^MAX(0,Time!AL$4-Inputs!$F$120)</f>
        <v>0.945486116479001</v>
      </c>
      <c r="AM547" s="14" t="n">
        <f aca="false">(1-Inputs!$F$119/100)^MAX(0,Time!AM$4-Inputs!$F$120)</f>
        <v>0.943595144246043</v>
      </c>
      <c r="AN547" s="14" t="n">
        <f aca="false">(1-Inputs!$F$119/100)^MAX(0,Time!AN$4-Inputs!$F$120)</f>
        <v>0.941707953957551</v>
      </c>
      <c r="AO547" s="14" t="n">
        <f aca="false">(1-Inputs!$F$119/100)^MAX(0,Time!AO$4-Inputs!$F$120)</f>
        <v>0.939824538049635</v>
      </c>
      <c r="AP547" s="14" t="n">
        <f aca="false">(1-Inputs!$F$119/100)^MAX(0,Time!AP$4-Inputs!$F$120)</f>
        <v>0.937944888973536</v>
      </c>
      <c r="AQ547" s="14" t="n">
        <f aca="false">(1-Inputs!$F$119/100)^MAX(0,Time!AQ$4-Inputs!$F$120)</f>
        <v>0.936068999195589</v>
      </c>
      <c r="AR547" s="14" t="n">
        <f aca="false">(1-Inputs!$F$119/100)^MAX(0,Time!AR$4-Inputs!$F$120)</f>
        <v>0.934196861197198</v>
      </c>
      <c r="AS547" s="14" t="n">
        <f aca="false">(1-Inputs!$F$119/100)^MAX(0,Time!AS$4-Inputs!$F$120)</f>
        <v>0.932328467474804</v>
      </c>
      <c r="AT547" s="14" t="n">
        <f aca="false">(1-Inputs!$F$119/100)^MAX(0,Time!AT$4-Inputs!$F$120)</f>
        <v>0.930463810539854</v>
      </c>
      <c r="AU547" s="14" t="n">
        <f aca="false">(1-Inputs!$F$119/100)^MAX(0,Time!AU$4-Inputs!$F$120)</f>
        <v>0.928602882918774</v>
      </c>
    </row>
    <row r="548" customFormat="false" ht="15" hidden="false" customHeight="false" outlineLevel="0" collapsed="false">
      <c r="D548" s="0" t="s">
        <v>549</v>
      </c>
      <c r="E548" s="0" t="s">
        <v>458</v>
      </c>
      <c r="J548" s="14" t="n">
        <f aca="false">(IF(Time!J$4&gt;=Inputs!$F$61,Inputs!$F$65,Inputs!$F$64+(Inputs!$F$65-Inputs!$F$64)*(Time!J$4-Inputs!$F$23)/(Inputs!$F$61-Inputs!$F$23))+Operations!$F$444)/100</f>
        <v>0.052</v>
      </c>
      <c r="K548" s="14" t="n">
        <f aca="false">(IF(Time!K$4&gt;=Inputs!$F$61,Inputs!$F$65,Inputs!$F$64+(Inputs!$F$65-Inputs!$F$64)*(Time!K$4-Inputs!$F$23)/(Inputs!$F$61-Inputs!$F$23))+Operations!$F$444)/100</f>
        <v>0.058</v>
      </c>
      <c r="L548" s="14" t="n">
        <f aca="false">(IF(Time!L$4&gt;=Inputs!$F$61,Inputs!$F$65,Inputs!$F$64+(Inputs!$F$65-Inputs!$F$64)*(Time!L$4-Inputs!$F$23)/(Inputs!$F$61-Inputs!$F$23))+Operations!$F$444)/100</f>
        <v>0.064</v>
      </c>
      <c r="M548" s="14" t="n">
        <f aca="false">(IF(Time!M$4&gt;=Inputs!$F$61,Inputs!$F$65,Inputs!$F$64+(Inputs!$F$65-Inputs!$F$64)*(Time!M$4-Inputs!$F$23)/(Inputs!$F$61-Inputs!$F$23))+Operations!$F$444)/100</f>
        <v>0.07</v>
      </c>
      <c r="N548" s="14" t="n">
        <f aca="false">(IF(Time!N$4&gt;=Inputs!$F$61,Inputs!$F$65,Inputs!$F$64+(Inputs!$F$65-Inputs!$F$64)*(Time!N$4-Inputs!$F$23)/(Inputs!$F$61-Inputs!$F$23))+Operations!$F$444)/100</f>
        <v>0.07</v>
      </c>
      <c r="O548" s="14" t="n">
        <f aca="false">(IF(Time!O$4&gt;=Inputs!$F$61,Inputs!$F$65,Inputs!$F$64+(Inputs!$F$65-Inputs!$F$64)*(Time!O$4-Inputs!$F$23)/(Inputs!$F$61-Inputs!$F$23))+Operations!$F$444)/100</f>
        <v>0.07</v>
      </c>
      <c r="P548" s="14" t="n">
        <f aca="false">(IF(Time!P$4&gt;=Inputs!$F$61,Inputs!$F$65,Inputs!$F$64+(Inputs!$F$65-Inputs!$F$64)*(Time!P$4-Inputs!$F$23)/(Inputs!$F$61-Inputs!$F$23))+Operations!$F$444)/100</f>
        <v>0.07</v>
      </c>
      <c r="Q548" s="14" t="n">
        <f aca="false">(IF(Time!Q$4&gt;=Inputs!$F$61,Inputs!$F$65,Inputs!$F$64+(Inputs!$F$65-Inputs!$F$64)*(Time!Q$4-Inputs!$F$23)/(Inputs!$F$61-Inputs!$F$23))+Operations!$F$444)/100</f>
        <v>0.07</v>
      </c>
      <c r="R548" s="14" t="n">
        <f aca="false">(IF(Time!R$4&gt;=Inputs!$F$61,Inputs!$F$65,Inputs!$F$64+(Inputs!$F$65-Inputs!$F$64)*(Time!R$4-Inputs!$F$23)/(Inputs!$F$61-Inputs!$F$23))+Operations!$F$444)/100</f>
        <v>0.07</v>
      </c>
      <c r="S548" s="14" t="n">
        <f aca="false">(IF(Time!S$4&gt;=Inputs!$F$61,Inputs!$F$65,Inputs!$F$64+(Inputs!$F$65-Inputs!$F$64)*(Time!S$4-Inputs!$F$23)/(Inputs!$F$61-Inputs!$F$23))+Operations!$F$444)/100</f>
        <v>0.07</v>
      </c>
      <c r="T548" s="14" t="n">
        <f aca="false">(IF(Time!T$4&gt;=Inputs!$F$61,Inputs!$F$65,Inputs!$F$64+(Inputs!$F$65-Inputs!$F$64)*(Time!T$4-Inputs!$F$23)/(Inputs!$F$61-Inputs!$F$23))+Operations!$F$444)/100</f>
        <v>0.07</v>
      </c>
      <c r="U548" s="14" t="n">
        <f aca="false">(IF(Time!U$4&gt;=Inputs!$F$61,Inputs!$F$65,Inputs!$F$64+(Inputs!$F$65-Inputs!$F$64)*(Time!U$4-Inputs!$F$23)/(Inputs!$F$61-Inputs!$F$23))+Operations!$F$444)/100</f>
        <v>0.07</v>
      </c>
      <c r="V548" s="14" t="n">
        <f aca="false">(IF(Time!V$4&gt;=Inputs!$F$61,Inputs!$F$65,Inputs!$F$64+(Inputs!$F$65-Inputs!$F$64)*(Time!V$4-Inputs!$F$23)/(Inputs!$F$61-Inputs!$F$23))+Operations!$F$444)/100</f>
        <v>0.07</v>
      </c>
      <c r="W548" s="14" t="n">
        <f aca="false">(IF(Time!W$4&gt;=Inputs!$F$61,Inputs!$F$65,Inputs!$F$64+(Inputs!$F$65-Inputs!$F$64)*(Time!W$4-Inputs!$F$23)/(Inputs!$F$61-Inputs!$F$23))+Operations!$F$444)/100</f>
        <v>0.07</v>
      </c>
      <c r="X548" s="14" t="n">
        <f aca="false">(IF(Time!X$4&gt;=Inputs!$F$61,Inputs!$F$65,Inputs!$F$64+(Inputs!$F$65-Inputs!$F$64)*(Time!X$4-Inputs!$F$23)/(Inputs!$F$61-Inputs!$F$23))+Operations!$F$444)/100</f>
        <v>0.07</v>
      </c>
      <c r="Y548" s="14" t="n">
        <f aca="false">(IF(Time!Y$4&gt;=Inputs!$F$61,Inputs!$F$65,Inputs!$F$64+(Inputs!$F$65-Inputs!$F$64)*(Time!Y$4-Inputs!$F$23)/(Inputs!$F$61-Inputs!$F$23))+Operations!$F$444)/100</f>
        <v>0.07</v>
      </c>
      <c r="Z548" s="14" t="n">
        <f aca="false">(IF(Time!Z$4&gt;=Inputs!$F$61,Inputs!$F$65,Inputs!$F$64+(Inputs!$F$65-Inputs!$F$64)*(Time!Z$4-Inputs!$F$23)/(Inputs!$F$61-Inputs!$F$23))+Operations!$F$444)/100</f>
        <v>0.07</v>
      </c>
      <c r="AA548" s="14" t="n">
        <f aca="false">(IF(Time!AA$4&gt;=Inputs!$F$61,Inputs!$F$65,Inputs!$F$64+(Inputs!$F$65-Inputs!$F$64)*(Time!AA$4-Inputs!$F$23)/(Inputs!$F$61-Inputs!$F$23))+Operations!$F$444)/100</f>
        <v>0.07</v>
      </c>
      <c r="AB548" s="14" t="n">
        <f aca="false">(IF(Time!AB$4&gt;=Inputs!$F$61,Inputs!$F$65,Inputs!$F$64+(Inputs!$F$65-Inputs!$F$64)*(Time!AB$4-Inputs!$F$23)/(Inputs!$F$61-Inputs!$F$23))+Operations!$F$444)/100</f>
        <v>0.07</v>
      </c>
      <c r="AC548" s="14" t="n">
        <f aca="false">(IF(Time!AC$4&gt;=Inputs!$F$61,Inputs!$F$65,Inputs!$F$64+(Inputs!$F$65-Inputs!$F$64)*(Time!AC$4-Inputs!$F$23)/(Inputs!$F$61-Inputs!$F$23))+Operations!$F$444)/100</f>
        <v>0.07</v>
      </c>
      <c r="AD548" s="14" t="n">
        <f aca="false">(IF(Time!AD$4&gt;=Inputs!$F$61,Inputs!$F$65,Inputs!$F$64+(Inputs!$F$65-Inputs!$F$64)*(Time!AD$4-Inputs!$F$23)/(Inputs!$F$61-Inputs!$F$23))+Operations!$F$444)/100</f>
        <v>0.07</v>
      </c>
      <c r="AE548" s="14" t="n">
        <f aca="false">(IF(Time!AE$4&gt;=Inputs!$F$61,Inputs!$F$65,Inputs!$F$64+(Inputs!$F$65-Inputs!$F$64)*(Time!AE$4-Inputs!$F$23)/(Inputs!$F$61-Inputs!$F$23))+Operations!$F$444)/100</f>
        <v>0.07</v>
      </c>
      <c r="AF548" s="14" t="n">
        <f aca="false">(IF(Time!AF$4&gt;=Inputs!$F$61,Inputs!$F$65,Inputs!$F$64+(Inputs!$F$65-Inputs!$F$64)*(Time!AF$4-Inputs!$F$23)/(Inputs!$F$61-Inputs!$F$23))+Operations!$F$444)/100</f>
        <v>0.07</v>
      </c>
      <c r="AG548" s="14" t="n">
        <f aca="false">(IF(Time!AG$4&gt;=Inputs!$F$61,Inputs!$F$65,Inputs!$F$64+(Inputs!$F$65-Inputs!$F$64)*(Time!AG$4-Inputs!$F$23)/(Inputs!$F$61-Inputs!$F$23))+Operations!$F$444)/100</f>
        <v>0.07</v>
      </c>
      <c r="AH548" s="14" t="n">
        <f aca="false">(IF(Time!AH$4&gt;=Inputs!$F$61,Inputs!$F$65,Inputs!$F$64+(Inputs!$F$65-Inputs!$F$64)*(Time!AH$4-Inputs!$F$23)/(Inputs!$F$61-Inputs!$F$23))+Operations!$F$444)/100</f>
        <v>0.07</v>
      </c>
      <c r="AI548" s="14" t="n">
        <f aca="false">(IF(Time!AI$4&gt;=Inputs!$F$61,Inputs!$F$65,Inputs!$F$64+(Inputs!$F$65-Inputs!$F$64)*(Time!AI$4-Inputs!$F$23)/(Inputs!$F$61-Inputs!$F$23))+Operations!$F$444)/100</f>
        <v>0.07</v>
      </c>
      <c r="AJ548" s="14" t="n">
        <f aca="false">(IF(Time!AJ$4&gt;=Inputs!$F$61,Inputs!$F$65,Inputs!$F$64+(Inputs!$F$65-Inputs!$F$64)*(Time!AJ$4-Inputs!$F$23)/(Inputs!$F$61-Inputs!$F$23))+Operations!$F$444)/100</f>
        <v>0.07</v>
      </c>
      <c r="AK548" s="14" t="n">
        <f aca="false">(IF(Time!AK$4&gt;=Inputs!$F$61,Inputs!$F$65,Inputs!$F$64+(Inputs!$F$65-Inputs!$F$64)*(Time!AK$4-Inputs!$F$23)/(Inputs!$F$61-Inputs!$F$23))+Operations!$F$444)/100</f>
        <v>0.07</v>
      </c>
      <c r="AL548" s="14" t="n">
        <f aca="false">(IF(Time!AL$4&gt;=Inputs!$F$61,Inputs!$F$65,Inputs!$F$64+(Inputs!$F$65-Inputs!$F$64)*(Time!AL$4-Inputs!$F$23)/(Inputs!$F$61-Inputs!$F$23))+Operations!$F$444)/100</f>
        <v>0.07</v>
      </c>
      <c r="AM548" s="14" t="n">
        <f aca="false">(IF(Time!AM$4&gt;=Inputs!$F$61,Inputs!$F$65,Inputs!$F$64+(Inputs!$F$65-Inputs!$F$64)*(Time!AM$4-Inputs!$F$23)/(Inputs!$F$61-Inputs!$F$23))+Operations!$F$444)/100</f>
        <v>0.07</v>
      </c>
      <c r="AN548" s="14" t="n">
        <f aca="false">(IF(Time!AN$4&gt;=Inputs!$F$61,Inputs!$F$65,Inputs!$F$64+(Inputs!$F$65-Inputs!$F$64)*(Time!AN$4-Inputs!$F$23)/(Inputs!$F$61-Inputs!$F$23))+Operations!$F$444)/100</f>
        <v>0.07</v>
      </c>
      <c r="AO548" s="14" t="n">
        <f aca="false">(IF(Time!AO$4&gt;=Inputs!$F$61,Inputs!$F$65,Inputs!$F$64+(Inputs!$F$65-Inputs!$F$64)*(Time!AO$4-Inputs!$F$23)/(Inputs!$F$61-Inputs!$F$23))+Operations!$F$444)/100</f>
        <v>0.07</v>
      </c>
      <c r="AP548" s="14" t="n">
        <f aca="false">(IF(Time!AP$4&gt;=Inputs!$F$61,Inputs!$F$65,Inputs!$F$64+(Inputs!$F$65-Inputs!$F$64)*(Time!AP$4-Inputs!$F$23)/(Inputs!$F$61-Inputs!$F$23))+Operations!$F$444)/100</f>
        <v>0.07</v>
      </c>
      <c r="AQ548" s="14" t="n">
        <f aca="false">(IF(Time!AQ$4&gt;=Inputs!$F$61,Inputs!$F$65,Inputs!$F$64+(Inputs!$F$65-Inputs!$F$64)*(Time!AQ$4-Inputs!$F$23)/(Inputs!$F$61-Inputs!$F$23))+Operations!$F$444)/100</f>
        <v>0.07</v>
      </c>
      <c r="AR548" s="14" t="n">
        <f aca="false">(IF(Time!AR$4&gt;=Inputs!$F$61,Inputs!$F$65,Inputs!$F$64+(Inputs!$F$65-Inputs!$F$64)*(Time!AR$4-Inputs!$F$23)/(Inputs!$F$61-Inputs!$F$23))+Operations!$F$444)/100</f>
        <v>0.07</v>
      </c>
      <c r="AS548" s="14" t="n">
        <f aca="false">(IF(Time!AS$4&gt;=Inputs!$F$61,Inputs!$F$65,Inputs!$F$64+(Inputs!$F$65-Inputs!$F$64)*(Time!AS$4-Inputs!$F$23)/(Inputs!$F$61-Inputs!$F$23))+Operations!$F$444)/100</f>
        <v>0.07</v>
      </c>
      <c r="AT548" s="14" t="n">
        <f aca="false">(IF(Time!AT$4&gt;=Inputs!$F$61,Inputs!$F$65,Inputs!$F$64+(Inputs!$F$65-Inputs!$F$64)*(Time!AT$4-Inputs!$F$23)/(Inputs!$F$61-Inputs!$F$23))+Operations!$F$444)/100</f>
        <v>0.07</v>
      </c>
      <c r="AU548" s="14" t="n">
        <f aca="false">(IF(Time!AU$4&gt;=Inputs!$F$61,Inputs!$F$65,Inputs!$F$64+(Inputs!$F$65-Inputs!$F$64)*(Time!AU$4-Inputs!$F$23)/(Inputs!$F$61-Inputs!$F$23))+Operations!$F$444)/100</f>
        <v>0.07</v>
      </c>
    </row>
    <row r="549" customFormat="false" ht="15" hidden="false" customHeight="false" outlineLevel="0" collapsed="false">
      <c r="D549" s="0" t="s">
        <v>550</v>
      </c>
      <c r="E549" s="0" t="s">
        <v>466</v>
      </c>
      <c r="J549" s="20" t="n">
        <f aca="false">Inputs!$F$116*Operations!J546*Inputs!$F$192/100*Operations!J547*(1-Operations!J548)</f>
        <v>587.0016</v>
      </c>
      <c r="K549" s="20" t="n">
        <f aca="false">Inputs!$F$116*Operations!K546*Inputs!$F$192/100*Operations!K547*(1-Operations!K548)</f>
        <v>582.1198272</v>
      </c>
      <c r="L549" s="20" t="n">
        <f aca="false">Inputs!$F$116*Operations!L546*Inputs!$F$192/100*Operations!L547*(1-Operations!L548)</f>
        <v>577.2552334848</v>
      </c>
      <c r="M549" s="20" t="n">
        <f aca="false">Inputs!$F$116*Operations!M546*Inputs!$F$192/100*Operations!M547*(1-Operations!M548)</f>
        <v>572.407769665152</v>
      </c>
      <c r="N549" s="20" t="n">
        <f aca="false">Inputs!$F$116*Operations!N546*Inputs!$F$192/100*Operations!N547*(1-Operations!N548)</f>
        <v>571.262954125822</v>
      </c>
      <c r="O549" s="20" t="n">
        <f aca="false">Inputs!$F$116*Operations!O546*Inputs!$F$192/100*Operations!O547*(1-Operations!O548)</f>
        <v>570.12042821757</v>
      </c>
      <c r="P549" s="20" t="n">
        <f aca="false">Inputs!$F$116*Operations!P546*Inputs!$F$192/100*Operations!P547*(1-Operations!P548)</f>
        <v>568.980187361135</v>
      </c>
      <c r="Q549" s="20" t="n">
        <f aca="false">Inputs!$F$116*Operations!Q546*Inputs!$F$192/100*Operations!Q547*(1-Operations!Q548)</f>
        <v>567.842226986413</v>
      </c>
      <c r="R549" s="20" t="n">
        <f aca="false">Inputs!$F$116*Operations!R546*Inputs!$F$192/100*Operations!R547*(1-Operations!R548)</f>
        <v>566.70654253244</v>
      </c>
      <c r="S549" s="20" t="n">
        <f aca="false">Inputs!$F$116*Operations!S546*Inputs!$F$192/100*Operations!S547*(1-Operations!S548)</f>
        <v>565.573129447375</v>
      </c>
      <c r="T549" s="20" t="n">
        <f aca="false">Inputs!$F$116*Operations!T546*Inputs!$F$192/100*Operations!T547*(1-Operations!T548)</f>
        <v>564.44198318848</v>
      </c>
      <c r="U549" s="20" t="n">
        <f aca="false">Inputs!$F$116*Operations!U546*Inputs!$F$192/100*Operations!U547*(1-Operations!U548)</f>
        <v>563.313099222103</v>
      </c>
      <c r="V549" s="20" t="n">
        <f aca="false">Inputs!$F$116*Operations!V546*Inputs!$F$192/100*Operations!V547*(1-Operations!V548)</f>
        <v>562.186473023659</v>
      </c>
      <c r="W549" s="20" t="n">
        <f aca="false">Inputs!$F$116*Operations!W546*Inputs!$F$192/100*Operations!W547*(1-Operations!W548)</f>
        <v>561.062100077612</v>
      </c>
      <c r="X549" s="20" t="n">
        <f aca="false">Inputs!$F$116*Operations!X546*Inputs!$F$192/100*Operations!X547*(1-Operations!X548)</f>
        <v>559.939975877457</v>
      </c>
      <c r="Y549" s="20" t="n">
        <f aca="false">Inputs!$F$116*Operations!Y546*Inputs!$F$192/100*Operations!Y547*(1-Operations!Y548)</f>
        <v>558.820095925702</v>
      </c>
      <c r="Z549" s="20" t="n">
        <f aca="false">Inputs!$F$116*Operations!Z546*Inputs!$F$192/100*Operations!Z547*(1-Operations!Z548)</f>
        <v>557.70245573385</v>
      </c>
      <c r="AA549" s="20" t="n">
        <f aca="false">Inputs!$F$116*Operations!AA546*Inputs!$F$192/100*Operations!AA547*(1-Operations!AA548)</f>
        <v>556.587050822383</v>
      </c>
      <c r="AB549" s="20" t="n">
        <f aca="false">Inputs!$F$116*Operations!AB546*Inputs!$F$192/100*Operations!AB547*(1-Operations!AB548)</f>
        <v>555.473876720738</v>
      </c>
      <c r="AC549" s="20" t="n">
        <f aca="false">Inputs!$F$116*Operations!AC546*Inputs!$F$192/100*Operations!AC547*(1-Operations!AC548)</f>
        <v>554.362928967296</v>
      </c>
      <c r="AD549" s="20" t="n">
        <f aca="false">Inputs!$F$116*Operations!AD546*Inputs!$F$192/100*Operations!AD547*(1-Operations!AD548)</f>
        <v>553.254203109362</v>
      </c>
      <c r="AE549" s="20" t="n">
        <f aca="false">Inputs!$F$116*Operations!AE546*Inputs!$F$192/100*Operations!AE547*(1-Operations!AE548)</f>
        <v>552.147694703143</v>
      </c>
      <c r="AF549" s="20" t="n">
        <f aca="false">Inputs!$F$116*Operations!AF546*Inputs!$F$192/100*Operations!AF547*(1-Operations!AF548)</f>
        <v>551.043399313737</v>
      </c>
      <c r="AG549" s="20" t="n">
        <f aca="false">Inputs!$F$116*Operations!AG546*Inputs!$F$192/100*Operations!AG547*(1-Operations!AG548)</f>
        <v>549.941312515109</v>
      </c>
      <c r="AH549" s="20" t="n">
        <f aca="false">Inputs!$F$116*Operations!AH546*Inputs!$F$192/100*Operations!AH547*(1-Operations!AH548)</f>
        <v>548.841429890079</v>
      </c>
      <c r="AI549" s="20" t="n">
        <f aca="false">Inputs!$F$116*Operations!AI546*Inputs!$F$192/100*Operations!AI547*(1-Operations!AI548)</f>
        <v>547.743747030299</v>
      </c>
      <c r="AJ549" s="20" t="n">
        <f aca="false">Inputs!$F$116*Operations!AJ546*Inputs!$F$192/100*Operations!AJ547*(1-Operations!AJ548)</f>
        <v>546.648259536238</v>
      </c>
      <c r="AK549" s="20" t="n">
        <f aca="false">Inputs!$F$116*Operations!AK546*Inputs!$F$192/100*Operations!AK547*(1-Operations!AK548)</f>
        <v>545.554963017166</v>
      </c>
      <c r="AL549" s="20" t="n">
        <f aca="false">Inputs!$F$116*Operations!AL546*Inputs!$F$192/100*Operations!AL547*(1-Operations!AL548)</f>
        <v>544.463853091131</v>
      </c>
      <c r="AM549" s="20" t="n">
        <f aca="false">Inputs!$F$116*Operations!AM546*Inputs!$F$192/100*Operations!AM547*(1-Operations!AM548)</f>
        <v>543.374925384949</v>
      </c>
      <c r="AN549" s="20" t="n">
        <f aca="false">Inputs!$F$116*Operations!AN546*Inputs!$F$192/100*Operations!AN547*(1-Operations!AN548)</f>
        <v>542.288175534179</v>
      </c>
      <c r="AO549" s="20" t="n">
        <f aca="false">Inputs!$F$116*Operations!AO546*Inputs!$F$192/100*Operations!AO547*(1-Operations!AO548)</f>
        <v>541.203599183111</v>
      </c>
      <c r="AP549" s="20" t="n">
        <f aca="false">Inputs!$F$116*Operations!AP546*Inputs!$F$192/100*Operations!AP547*(1-Operations!AP548)</f>
        <v>540.121191984745</v>
      </c>
      <c r="AQ549" s="20" t="n">
        <f aca="false">Inputs!$F$116*Operations!AQ546*Inputs!$F$192/100*Operations!AQ547*(1-Operations!AQ548)</f>
        <v>539.040949600775</v>
      </c>
      <c r="AR549" s="20" t="n">
        <f aca="false">Inputs!$F$116*Operations!AR546*Inputs!$F$192/100*Operations!AR547*(1-Operations!AR548)</f>
        <v>537.962867701574</v>
      </c>
      <c r="AS549" s="20" t="n">
        <f aca="false">Inputs!$F$116*Operations!AS546*Inputs!$F$192/100*Operations!AS547*(1-Operations!AS548)</f>
        <v>536.88694196617</v>
      </c>
      <c r="AT549" s="20" t="n">
        <f aca="false">Inputs!$F$116*Operations!AT546*Inputs!$F$192/100*Operations!AT547*(1-Operations!AT548)</f>
        <v>535.813168082238</v>
      </c>
      <c r="AU549" s="20" t="n">
        <f aca="false">Inputs!$F$116*Operations!AU546*Inputs!$F$192/100*Operations!AU547*(1-Operations!AU548)</f>
        <v>534.741541746074</v>
      </c>
    </row>
    <row r="550" customFormat="false" ht="15" hidden="false" customHeight="false" outlineLevel="0" collapsed="false">
      <c r="D550" s="0" t="s">
        <v>551</v>
      </c>
      <c r="E550" s="0" t="s">
        <v>466</v>
      </c>
      <c r="G550" s="20" t="n">
        <f aca="false">SUM(J550:AU550)</f>
        <v>15672.0001426169</v>
      </c>
      <c r="J550" s="20" t="n">
        <f aca="false">Operations!J549*Operations!J542</f>
        <v>587.0016</v>
      </c>
      <c r="K550" s="20" t="n">
        <f aca="false">Operations!K549*Operations!K542</f>
        <v>582.1198272</v>
      </c>
      <c r="L550" s="20" t="n">
        <f aca="false">Operations!L549*Operations!L542</f>
        <v>577.2552334848</v>
      </c>
      <c r="M550" s="20" t="n">
        <f aca="false">Operations!M549*Operations!M542</f>
        <v>572.407769665152</v>
      </c>
      <c r="N550" s="20" t="n">
        <f aca="false">Operations!N549*Operations!N542</f>
        <v>571.262954125822</v>
      </c>
      <c r="O550" s="20" t="n">
        <f aca="false">Operations!O549*Operations!O542</f>
        <v>570.12042821757</v>
      </c>
      <c r="P550" s="20" t="n">
        <f aca="false">Operations!P549*Operations!P542</f>
        <v>568.980187361135</v>
      </c>
      <c r="Q550" s="20" t="n">
        <f aca="false">Operations!Q549*Operations!Q542</f>
        <v>567.842226986413</v>
      </c>
      <c r="R550" s="20" t="n">
        <f aca="false">Operations!R549*Operations!R542</f>
        <v>566.70654253244</v>
      </c>
      <c r="S550" s="20" t="n">
        <f aca="false">Operations!S549*Operations!S542</f>
        <v>565.573129447375</v>
      </c>
      <c r="T550" s="20" t="n">
        <f aca="false">Operations!T549*Operations!T542</f>
        <v>564.44198318848</v>
      </c>
      <c r="U550" s="20" t="n">
        <f aca="false">Operations!U549*Operations!U542</f>
        <v>563.313099222103</v>
      </c>
      <c r="V550" s="20" t="n">
        <f aca="false">Operations!V549*Operations!V542</f>
        <v>562.186473023659</v>
      </c>
      <c r="W550" s="20" t="n">
        <f aca="false">Operations!W549*Operations!W542</f>
        <v>561.062100077612</v>
      </c>
      <c r="X550" s="20" t="n">
        <f aca="false">Operations!X549*Operations!X542</f>
        <v>559.939975877457</v>
      </c>
      <c r="Y550" s="20" t="n">
        <f aca="false">Operations!Y549*Operations!Y542</f>
        <v>558.820095925702</v>
      </c>
      <c r="Z550" s="20" t="n">
        <f aca="false">Operations!Z549*Operations!Z542</f>
        <v>557.70245573385</v>
      </c>
      <c r="AA550" s="20" t="n">
        <f aca="false">Operations!AA549*Operations!AA542</f>
        <v>556.587050822383</v>
      </c>
      <c r="AB550" s="20" t="n">
        <f aca="false">Operations!AB549*Operations!AB542</f>
        <v>555.473876720738</v>
      </c>
      <c r="AC550" s="20" t="n">
        <f aca="false">Operations!AC549*Operations!AC542</f>
        <v>554.362928967296</v>
      </c>
      <c r="AD550" s="20" t="n">
        <f aca="false">Operations!AD549*Operations!AD542</f>
        <v>553.254203109362</v>
      </c>
      <c r="AE550" s="20" t="n">
        <f aca="false">Operations!AE549*Operations!AE542</f>
        <v>552.147694703143</v>
      </c>
      <c r="AF550" s="20" t="n">
        <f aca="false">Operations!AF549*Operations!AF542</f>
        <v>551.043399313737</v>
      </c>
      <c r="AG550" s="20" t="n">
        <f aca="false">Operations!AG549*Operations!AG542</f>
        <v>549.941312515109</v>
      </c>
      <c r="AH550" s="20" t="n">
        <f aca="false">Operations!AH549*Operations!AH542</f>
        <v>548.841429890079</v>
      </c>
      <c r="AI550" s="20" t="n">
        <f aca="false">Operations!AI549*Operations!AI542</f>
        <v>547.743747030299</v>
      </c>
      <c r="AJ550" s="20" t="n">
        <f aca="false">Operations!AJ549*Operations!AJ542</f>
        <v>546.648259536238</v>
      </c>
      <c r="AK550" s="20" t="n">
        <f aca="false">Operations!AK549*Operations!AK542</f>
        <v>499.220157938995</v>
      </c>
      <c r="AL550" s="20" t="n">
        <f aca="false">Operations!AL549*Operations!AL542</f>
        <v>0</v>
      </c>
      <c r="AM550" s="20" t="n">
        <f aca="false">Operations!AM549*Operations!AM542</f>
        <v>0</v>
      </c>
      <c r="AN550" s="20" t="n">
        <f aca="false">Operations!AN549*Operations!AN542</f>
        <v>0</v>
      </c>
      <c r="AO550" s="20" t="n">
        <f aca="false">Operations!AO549*Operations!AO542</f>
        <v>0</v>
      </c>
      <c r="AP550" s="20" t="n">
        <f aca="false">Operations!AP549*Operations!AP542</f>
        <v>0</v>
      </c>
      <c r="AQ550" s="20" t="n">
        <f aca="false">Operations!AQ549*Operations!AQ542</f>
        <v>0</v>
      </c>
      <c r="AR550" s="20" t="n">
        <f aca="false">Operations!AR549*Operations!AR542</f>
        <v>0</v>
      </c>
      <c r="AS550" s="20" t="n">
        <f aca="false">Operations!AS549*Operations!AS542</f>
        <v>0</v>
      </c>
      <c r="AT550" s="20" t="n">
        <f aca="false">Operations!AT549*Operations!AT542</f>
        <v>0</v>
      </c>
      <c r="AU550" s="20" t="n">
        <f aca="false">Operations!AU549*Operations!AU542</f>
        <v>0</v>
      </c>
    </row>
    <row r="551" customFormat="false" ht="15" hidden="false" customHeight="false" outlineLevel="0" collapsed="false">
      <c r="D551" s="0" t="s">
        <v>552</v>
      </c>
      <c r="E551" s="0" t="s">
        <v>54</v>
      </c>
      <c r="J551" s="14" t="n">
        <f aca="false">Operations!J453</f>
        <v>0.66</v>
      </c>
      <c r="K551" s="14" t="n">
        <f aca="false">Operations!K453</f>
        <v>0.655</v>
      </c>
      <c r="L551" s="14" t="n">
        <f aca="false">Operations!L453</f>
        <v>0.65</v>
      </c>
      <c r="M551" s="14" t="n">
        <f aca="false">Operations!M453</f>
        <v>0.645</v>
      </c>
      <c r="N551" s="14" t="n">
        <f aca="false">Operations!N453</f>
        <v>0.64</v>
      </c>
      <c r="O551" s="14" t="n">
        <f aca="false">Operations!O453</f>
        <v>0.635</v>
      </c>
      <c r="P551" s="14" t="n">
        <f aca="false">Operations!P453</f>
        <v>0.63</v>
      </c>
      <c r="Q551" s="14" t="n">
        <f aca="false">Operations!Q453</f>
        <v>0.625</v>
      </c>
      <c r="R551" s="14" t="n">
        <f aca="false">Operations!R453</f>
        <v>0.62</v>
      </c>
      <c r="S551" s="14" t="n">
        <f aca="false">Operations!S453</f>
        <v>0.615</v>
      </c>
      <c r="T551" s="14" t="n">
        <f aca="false">Operations!T453</f>
        <v>0.61</v>
      </c>
      <c r="U551" s="14" t="n">
        <f aca="false">Operations!U453</f>
        <v>0.605</v>
      </c>
      <c r="V551" s="14" t="n">
        <f aca="false">Operations!V453</f>
        <v>0.6</v>
      </c>
      <c r="W551" s="14" t="n">
        <f aca="false">Operations!W453</f>
        <v>0.595</v>
      </c>
      <c r="X551" s="14" t="n">
        <f aca="false">Operations!X453</f>
        <v>0.59</v>
      </c>
      <c r="Y551" s="14" t="n">
        <f aca="false">Operations!Y453</f>
        <v>0.585</v>
      </c>
      <c r="Z551" s="14" t="n">
        <f aca="false">Operations!Z453</f>
        <v>0.58</v>
      </c>
      <c r="AA551" s="14" t="n">
        <f aca="false">Operations!AA453</f>
        <v>0.58</v>
      </c>
      <c r="AB551" s="14" t="n">
        <f aca="false">Operations!AB453</f>
        <v>0.58</v>
      </c>
      <c r="AC551" s="14" t="n">
        <f aca="false">Operations!AC453</f>
        <v>0.58</v>
      </c>
      <c r="AD551" s="14" t="n">
        <f aca="false">Operations!AD453</f>
        <v>0.58</v>
      </c>
      <c r="AE551" s="14" t="n">
        <f aca="false">Operations!AE453</f>
        <v>0.58</v>
      </c>
      <c r="AF551" s="14" t="n">
        <f aca="false">Operations!AF453</f>
        <v>0.58</v>
      </c>
      <c r="AG551" s="14" t="n">
        <f aca="false">Operations!AG453</f>
        <v>0.58</v>
      </c>
      <c r="AH551" s="14" t="n">
        <f aca="false">Operations!AH453</f>
        <v>0.58</v>
      </c>
      <c r="AI551" s="14" t="n">
        <f aca="false">Operations!AI453</f>
        <v>0.58</v>
      </c>
      <c r="AJ551" s="14" t="n">
        <f aca="false">Operations!AJ453</f>
        <v>0.58</v>
      </c>
      <c r="AK551" s="14" t="n">
        <f aca="false">Operations!AK453</f>
        <v>0.58</v>
      </c>
      <c r="AL551" s="14" t="n">
        <f aca="false">Operations!AL453</f>
        <v>0.58</v>
      </c>
      <c r="AM551" s="14" t="n">
        <f aca="false">Operations!AM453</f>
        <v>0.58</v>
      </c>
      <c r="AN551" s="14" t="n">
        <f aca="false">Operations!AN453</f>
        <v>0.58</v>
      </c>
      <c r="AO551" s="14" t="n">
        <f aca="false">Operations!AO453</f>
        <v>0.58</v>
      </c>
      <c r="AP551" s="14" t="n">
        <f aca="false">Operations!AP453</f>
        <v>0.58</v>
      </c>
      <c r="AQ551" s="14" t="n">
        <f aca="false">Operations!AQ453</f>
        <v>0.58</v>
      </c>
      <c r="AR551" s="14" t="n">
        <f aca="false">Operations!AR453</f>
        <v>0.58</v>
      </c>
      <c r="AS551" s="14" t="n">
        <f aca="false">Operations!AS453</f>
        <v>0.58</v>
      </c>
      <c r="AT551" s="14" t="n">
        <f aca="false">Operations!AT453</f>
        <v>0.58</v>
      </c>
      <c r="AU551" s="14" t="n">
        <f aca="false">Operations!AU453</f>
        <v>0.58</v>
      </c>
    </row>
    <row r="552" customFormat="false" ht="15" hidden="false" customHeight="false" outlineLevel="0" collapsed="false">
      <c r="D552" s="0" t="s">
        <v>553</v>
      </c>
      <c r="E552" s="0" t="s">
        <v>54</v>
      </c>
      <c r="J552" s="14" t="n">
        <f aca="false">Operations!J551-Inputs!$F$48</f>
        <v>0.59</v>
      </c>
      <c r="K552" s="14" t="n">
        <f aca="false">Operations!K551-Inputs!$F$48</f>
        <v>0.585</v>
      </c>
      <c r="L552" s="14" t="n">
        <f aca="false">Operations!L551-Inputs!$F$48</f>
        <v>0.58</v>
      </c>
      <c r="M552" s="14" t="n">
        <f aca="false">Operations!M551-Inputs!$F$48</f>
        <v>0.575</v>
      </c>
      <c r="N552" s="14" t="n">
        <f aca="false">Operations!N551-Inputs!$F$48</f>
        <v>0.57</v>
      </c>
      <c r="O552" s="14" t="n">
        <f aca="false">Operations!O551-Inputs!$F$48</f>
        <v>0.565</v>
      </c>
      <c r="P552" s="14" t="n">
        <f aca="false">Operations!P551-Inputs!$F$48</f>
        <v>0.56</v>
      </c>
      <c r="Q552" s="14" t="n">
        <f aca="false">Operations!Q551-Inputs!$F$48</f>
        <v>0.555</v>
      </c>
      <c r="R552" s="14" t="n">
        <f aca="false">Operations!R551-Inputs!$F$48</f>
        <v>0.55</v>
      </c>
      <c r="S552" s="14" t="n">
        <f aca="false">Operations!S551-Inputs!$F$48</f>
        <v>0.545</v>
      </c>
      <c r="T552" s="14" t="n">
        <f aca="false">Operations!T551-Inputs!$F$48</f>
        <v>0.54</v>
      </c>
      <c r="U552" s="14" t="n">
        <f aca="false">Operations!U551-Inputs!$F$48</f>
        <v>0.535</v>
      </c>
      <c r="V552" s="14" t="n">
        <f aca="false">Operations!V551-Inputs!$F$48</f>
        <v>0.53</v>
      </c>
      <c r="W552" s="14" t="n">
        <f aca="false">Operations!W551-Inputs!$F$48</f>
        <v>0.525</v>
      </c>
      <c r="X552" s="14" t="n">
        <f aca="false">Operations!X551-Inputs!$F$48</f>
        <v>0.52</v>
      </c>
      <c r="Y552" s="14" t="n">
        <f aca="false">Operations!Y551-Inputs!$F$48</f>
        <v>0.515</v>
      </c>
      <c r="Z552" s="14" t="n">
        <f aca="false">Operations!Z551-Inputs!$F$48</f>
        <v>0.51</v>
      </c>
      <c r="AA552" s="14" t="n">
        <f aca="false">Operations!AA551-Inputs!$F$48</f>
        <v>0.51</v>
      </c>
      <c r="AB552" s="14" t="n">
        <f aca="false">Operations!AB551-Inputs!$F$48</f>
        <v>0.51</v>
      </c>
      <c r="AC552" s="14" t="n">
        <f aca="false">Operations!AC551-Inputs!$F$48</f>
        <v>0.51</v>
      </c>
      <c r="AD552" s="14" t="n">
        <f aca="false">Operations!AD551-Inputs!$F$48</f>
        <v>0.51</v>
      </c>
      <c r="AE552" s="14" t="n">
        <f aca="false">Operations!AE551-Inputs!$F$48</f>
        <v>0.51</v>
      </c>
      <c r="AF552" s="14" t="n">
        <f aca="false">Operations!AF551-Inputs!$F$48</f>
        <v>0.51</v>
      </c>
      <c r="AG552" s="14" t="n">
        <f aca="false">Operations!AG551-Inputs!$F$48</f>
        <v>0.51</v>
      </c>
      <c r="AH552" s="14" t="n">
        <f aca="false">Operations!AH551-Inputs!$F$48</f>
        <v>0.51</v>
      </c>
      <c r="AI552" s="14" t="n">
        <f aca="false">Operations!AI551-Inputs!$F$48</f>
        <v>0.51</v>
      </c>
      <c r="AJ552" s="14" t="n">
        <f aca="false">Operations!AJ551-Inputs!$F$48</f>
        <v>0.51</v>
      </c>
      <c r="AK552" s="14" t="n">
        <f aca="false">Operations!AK551-Inputs!$F$48</f>
        <v>0.51</v>
      </c>
      <c r="AL552" s="14" t="n">
        <f aca="false">Operations!AL551-Inputs!$F$48</f>
        <v>0.51</v>
      </c>
      <c r="AM552" s="14" t="n">
        <f aca="false">Operations!AM551-Inputs!$F$48</f>
        <v>0.51</v>
      </c>
      <c r="AN552" s="14" t="n">
        <f aca="false">Operations!AN551-Inputs!$F$48</f>
        <v>0.51</v>
      </c>
      <c r="AO552" s="14" t="n">
        <f aca="false">Operations!AO551-Inputs!$F$48</f>
        <v>0.51</v>
      </c>
      <c r="AP552" s="14" t="n">
        <f aca="false">Operations!AP551-Inputs!$F$48</f>
        <v>0.51</v>
      </c>
      <c r="AQ552" s="14" t="n">
        <f aca="false">Operations!AQ551-Inputs!$F$48</f>
        <v>0.51</v>
      </c>
      <c r="AR552" s="14" t="n">
        <f aca="false">Operations!AR551-Inputs!$F$48</f>
        <v>0.51</v>
      </c>
      <c r="AS552" s="14" t="n">
        <f aca="false">Operations!AS551-Inputs!$F$48</f>
        <v>0.51</v>
      </c>
      <c r="AT552" s="14" t="n">
        <f aca="false">Operations!AT551-Inputs!$F$48</f>
        <v>0.51</v>
      </c>
      <c r="AU552" s="14" t="n">
        <f aca="false">Operations!AU551-Inputs!$F$48</f>
        <v>0.51</v>
      </c>
    </row>
    <row r="553" customFormat="false" ht="15" hidden="false" customHeight="false" outlineLevel="0" collapsed="false">
      <c r="D553" s="0" t="s">
        <v>554</v>
      </c>
      <c r="E553" s="0" t="s">
        <v>96</v>
      </c>
      <c r="J553" s="18" t="n">
        <f aca="false">Operations!J545*Operations!J552</f>
        <v>42.605552</v>
      </c>
      <c r="K553" s="18" t="n">
        <f aca="false">Operations!K545*Operations!K552</f>
        <v>34.656336</v>
      </c>
      <c r="L553" s="18" t="n">
        <f aca="false">Operations!L545*Operations!L552</f>
        <v>16.899344</v>
      </c>
      <c r="M553" s="18" t="n">
        <f aca="false">Operations!M545*Operations!M552</f>
        <v>22.15268</v>
      </c>
      <c r="N553" s="18" t="n">
        <f aca="false">Operations!N545*Operations!N552</f>
        <v>24.608496</v>
      </c>
      <c r="O553" s="18" t="n">
        <f aca="false">Operations!O545*Operations!O552</f>
        <v>25.869316</v>
      </c>
      <c r="P553" s="18" t="n">
        <f aca="false">Operations!P545*Operations!P552</f>
        <v>26.616128</v>
      </c>
      <c r="Q553" s="18" t="n">
        <f aca="false">Operations!Q545*Operations!Q552</f>
        <v>27.076896</v>
      </c>
      <c r="R553" s="18" t="n">
        <f aca="false">Operations!R545*Operations!R552</f>
        <v>27.57832</v>
      </c>
      <c r="S553" s="18" t="n">
        <f aca="false">Operations!S545*Operations!S552</f>
        <v>27.8762704</v>
      </c>
      <c r="T553" s="18" t="n">
        <f aca="false">Operations!T545*Operations!T552</f>
        <v>28.174608</v>
      </c>
      <c r="U553" s="18" t="n">
        <f aca="false">Operations!U545*Operations!U552</f>
        <v>28.4730424</v>
      </c>
      <c r="V553" s="18" t="n">
        <f aca="false">Operations!V545*Operations!V552</f>
        <v>28.7712832</v>
      </c>
      <c r="W553" s="18" t="n">
        <f aca="false">Operations!W545*Operations!W552</f>
        <v>29.06904</v>
      </c>
      <c r="X553" s="18" t="n">
        <f aca="false">Operations!X545*Operations!X552</f>
        <v>29.3660224</v>
      </c>
      <c r="Y553" s="18" t="n">
        <f aca="false">Operations!Y545*Operations!Y552</f>
        <v>29.6669252</v>
      </c>
      <c r="Z553" s="18" t="n">
        <f aca="false">Operations!Z545*Operations!Z552</f>
        <v>29.966376</v>
      </c>
      <c r="AA553" s="18" t="n">
        <f aca="false">Operations!AA545*Operations!AA552</f>
        <v>30.5637288</v>
      </c>
      <c r="AB553" s="18" t="n">
        <f aca="false">Operations!AB545*Operations!AB552</f>
        <v>31.175892</v>
      </c>
      <c r="AC553" s="18" t="n">
        <f aca="false">Operations!AC545*Operations!AC552</f>
        <v>31.7979288</v>
      </c>
      <c r="AD553" s="18" t="n">
        <f aca="false">Operations!AD545*Operations!AD552</f>
        <v>32.434776</v>
      </c>
      <c r="AE553" s="18" t="n">
        <f aca="false">Operations!AE545*Operations!AE552</f>
        <v>33.0814968</v>
      </c>
      <c r="AF553" s="18" t="n">
        <f aca="false">Operations!AF545*Operations!AF552</f>
        <v>33.743028</v>
      </c>
      <c r="AG553" s="18" t="n">
        <f aca="false">Operations!AG545*Operations!AG552</f>
        <v>34.4193696</v>
      </c>
      <c r="AH553" s="18" t="n">
        <f aca="false">Operations!AH545*Operations!AH552</f>
        <v>35.1055848</v>
      </c>
      <c r="AI553" s="18" t="n">
        <f aca="false">Operations!AI545*Operations!AI552</f>
        <v>35.8066104</v>
      </c>
      <c r="AJ553" s="18" t="n">
        <f aca="false">Operations!AJ545*Operations!AJ552</f>
        <v>36.5224464</v>
      </c>
      <c r="AK553" s="18" t="n">
        <f aca="false">Operations!AK545*Operations!AK552</f>
        <v>37.2530928</v>
      </c>
      <c r="AL553" s="18" t="n">
        <f aca="false">Operations!AL545*Operations!AL552</f>
        <v>37.9985496</v>
      </c>
      <c r="AM553" s="18" t="n">
        <f aca="false">Operations!AM545*Operations!AM552</f>
        <v>38.7588168</v>
      </c>
      <c r="AN553" s="18" t="n">
        <f aca="false">Operations!AN545*Operations!AN552</f>
        <v>39.5338944</v>
      </c>
      <c r="AO553" s="18" t="n">
        <f aca="false">Operations!AO545*Operations!AO552</f>
        <v>40.3237824</v>
      </c>
      <c r="AP553" s="18" t="n">
        <f aca="false">Operations!AP545*Operations!AP552</f>
        <v>41.1284808</v>
      </c>
      <c r="AQ553" s="18" t="n">
        <f aca="false">Operations!AQ545*Operations!AQ552</f>
        <v>41.9529264</v>
      </c>
      <c r="AR553" s="18" t="n">
        <f aca="false">Operations!AR545*Operations!AR552</f>
        <v>42.7921824</v>
      </c>
      <c r="AS553" s="18" t="n">
        <f aca="false">Operations!AS545*Operations!AS552</f>
        <v>43.6462488</v>
      </c>
      <c r="AT553" s="18" t="n">
        <f aca="false">Operations!AT545*Operations!AT552</f>
        <v>44.5200624</v>
      </c>
      <c r="AU553" s="18" t="n">
        <f aca="false">Operations!AU545*Operations!AU552</f>
        <v>45.4086864</v>
      </c>
    </row>
    <row r="554" customFormat="false" ht="15" hidden="false" customHeight="false" outlineLevel="0" collapsed="false">
      <c r="D554" s="0" t="s">
        <v>555</v>
      </c>
      <c r="E554" s="0" t="s">
        <v>458</v>
      </c>
      <c r="J554" s="14" t="n">
        <f aca="false">MAX(0,MIN(Inputs!$F$206,Time!J$6)-MAX(Inputs!$F$205-1,Time!J$5))/Time!J$7</f>
        <v>1</v>
      </c>
      <c r="K554" s="14" t="n">
        <f aca="false">MAX(0,MIN(Inputs!$F$206,Time!K$6)-MAX(Inputs!$F$205-1,Time!K$5))/Time!K$7</f>
        <v>1</v>
      </c>
      <c r="L554" s="14" t="n">
        <f aca="false">MAX(0,MIN(Inputs!$F$206,Time!L$6)-MAX(Inputs!$F$205-1,Time!L$5))/Time!L$7</f>
        <v>1</v>
      </c>
      <c r="M554" s="14" t="n">
        <f aca="false">MAX(0,MIN(Inputs!$F$206,Time!M$6)-MAX(Inputs!$F$205-1,Time!M$5))/Time!M$7</f>
        <v>1</v>
      </c>
      <c r="N554" s="14" t="n">
        <f aca="false">MAX(0,MIN(Inputs!$F$206,Time!N$6)-MAX(Inputs!$F$205-1,Time!N$5))/Time!N$7</f>
        <v>1</v>
      </c>
      <c r="O554" s="14" t="n">
        <f aca="false">MAX(0,MIN(Inputs!$F$206,Time!O$6)-MAX(Inputs!$F$205-1,Time!O$5))/Time!O$7</f>
        <v>1</v>
      </c>
      <c r="P554" s="14" t="n">
        <f aca="false">MAX(0,MIN(Inputs!$F$206,Time!P$6)-MAX(Inputs!$F$205-1,Time!P$5))/Time!P$7</f>
        <v>1</v>
      </c>
      <c r="Q554" s="14" t="n">
        <f aca="false">MAX(0,MIN(Inputs!$F$206,Time!Q$6)-MAX(Inputs!$F$205-1,Time!Q$5))/Time!Q$7</f>
        <v>1</v>
      </c>
      <c r="R554" s="14" t="n">
        <f aca="false">MAX(0,MIN(Inputs!$F$206,Time!R$6)-MAX(Inputs!$F$205-1,Time!R$5))/Time!R$7</f>
        <v>0</v>
      </c>
      <c r="S554" s="14" t="n">
        <f aca="false">MAX(0,MIN(Inputs!$F$206,Time!S$6)-MAX(Inputs!$F$205-1,Time!S$5))/Time!S$7</f>
        <v>0</v>
      </c>
      <c r="T554" s="14" t="n">
        <f aca="false">MAX(0,MIN(Inputs!$F$206,Time!T$6)-MAX(Inputs!$F$205-1,Time!T$5))/Time!T$7</f>
        <v>0</v>
      </c>
      <c r="U554" s="14" t="n">
        <f aca="false">MAX(0,MIN(Inputs!$F$206,Time!U$6)-MAX(Inputs!$F$205-1,Time!U$5))/Time!U$7</f>
        <v>0</v>
      </c>
      <c r="V554" s="14" t="n">
        <f aca="false">MAX(0,MIN(Inputs!$F$206,Time!V$6)-MAX(Inputs!$F$205-1,Time!V$5))/Time!V$7</f>
        <v>0</v>
      </c>
      <c r="W554" s="14" t="n">
        <f aca="false">MAX(0,MIN(Inputs!$F$206,Time!W$6)-MAX(Inputs!$F$205-1,Time!W$5))/Time!W$7</f>
        <v>0</v>
      </c>
      <c r="X554" s="14" t="n">
        <f aca="false">MAX(0,MIN(Inputs!$F$206,Time!X$6)-MAX(Inputs!$F$205-1,Time!X$5))/Time!X$7</f>
        <v>0</v>
      </c>
      <c r="Y554" s="14" t="n">
        <f aca="false">MAX(0,MIN(Inputs!$F$206,Time!Y$6)-MAX(Inputs!$F$205-1,Time!Y$5))/Time!Y$7</f>
        <v>0</v>
      </c>
      <c r="Z554" s="14" t="n">
        <f aca="false">MAX(0,MIN(Inputs!$F$206,Time!Z$6)-MAX(Inputs!$F$205-1,Time!Z$5))/Time!Z$7</f>
        <v>0</v>
      </c>
      <c r="AA554" s="14" t="n">
        <f aca="false">MAX(0,MIN(Inputs!$F$206,Time!AA$6)-MAX(Inputs!$F$205-1,Time!AA$5))/Time!AA$7</f>
        <v>0</v>
      </c>
      <c r="AB554" s="14" t="n">
        <f aca="false">MAX(0,MIN(Inputs!$F$206,Time!AB$6)-MAX(Inputs!$F$205-1,Time!AB$5))/Time!AB$7</f>
        <v>0</v>
      </c>
      <c r="AC554" s="14" t="n">
        <f aca="false">MAX(0,MIN(Inputs!$F$206,Time!AC$6)-MAX(Inputs!$F$205-1,Time!AC$5))/Time!AC$7</f>
        <v>0</v>
      </c>
      <c r="AD554" s="14" t="n">
        <f aca="false">MAX(0,MIN(Inputs!$F$206,Time!AD$6)-MAX(Inputs!$F$205-1,Time!AD$5))/Time!AD$7</f>
        <v>0</v>
      </c>
      <c r="AE554" s="14" t="n">
        <f aca="false">MAX(0,MIN(Inputs!$F$206,Time!AE$6)-MAX(Inputs!$F$205-1,Time!AE$5))/Time!AE$7</f>
        <v>0</v>
      </c>
      <c r="AF554" s="14" t="n">
        <f aca="false">MAX(0,MIN(Inputs!$F$206,Time!AF$6)-MAX(Inputs!$F$205-1,Time!AF$5))/Time!AF$7</f>
        <v>0</v>
      </c>
      <c r="AG554" s="14" t="n">
        <f aca="false">MAX(0,MIN(Inputs!$F$206,Time!AG$6)-MAX(Inputs!$F$205-1,Time!AG$5))/Time!AG$7</f>
        <v>0</v>
      </c>
      <c r="AH554" s="14" t="n">
        <f aca="false">MAX(0,MIN(Inputs!$F$206,Time!AH$6)-MAX(Inputs!$F$205-1,Time!AH$5))/Time!AH$7</f>
        <v>0</v>
      </c>
      <c r="AI554" s="14" t="n">
        <f aca="false">MAX(0,MIN(Inputs!$F$206,Time!AI$6)-MAX(Inputs!$F$205-1,Time!AI$5))/Time!AI$7</f>
        <v>0</v>
      </c>
      <c r="AJ554" s="14" t="n">
        <f aca="false">MAX(0,MIN(Inputs!$F$206,Time!AJ$6)-MAX(Inputs!$F$205-1,Time!AJ$5))/Time!AJ$7</f>
        <v>0</v>
      </c>
      <c r="AK554" s="14" t="n">
        <f aca="false">MAX(0,MIN(Inputs!$F$206,Time!AK$6)-MAX(Inputs!$F$205-1,Time!AK$5))/Time!AK$7</f>
        <v>0</v>
      </c>
      <c r="AL554" s="14" t="n">
        <f aca="false">MAX(0,MIN(Inputs!$F$206,Time!AL$6)-MAX(Inputs!$F$205-1,Time!AL$5))/Time!AL$7</f>
        <v>0</v>
      </c>
      <c r="AM554" s="14" t="n">
        <f aca="false">MAX(0,MIN(Inputs!$F$206,Time!AM$6)-MAX(Inputs!$F$205-1,Time!AM$5))/Time!AM$7</f>
        <v>0</v>
      </c>
      <c r="AN554" s="14" t="n">
        <f aca="false">MAX(0,MIN(Inputs!$F$206,Time!AN$6)-MAX(Inputs!$F$205-1,Time!AN$5))/Time!AN$7</f>
        <v>0</v>
      </c>
      <c r="AO554" s="14" t="n">
        <f aca="false">MAX(0,MIN(Inputs!$F$206,Time!AO$6)-MAX(Inputs!$F$205-1,Time!AO$5))/Time!AO$7</f>
        <v>0</v>
      </c>
      <c r="AP554" s="14" t="n">
        <f aca="false">MAX(0,MIN(Inputs!$F$206,Time!AP$6)-MAX(Inputs!$F$205-1,Time!AP$5))/Time!AP$7</f>
        <v>0</v>
      </c>
      <c r="AQ554" s="14" t="n">
        <f aca="false">MAX(0,MIN(Inputs!$F$206,Time!AQ$6)-MAX(Inputs!$F$205-1,Time!AQ$5))/Time!AQ$7</f>
        <v>0</v>
      </c>
      <c r="AR554" s="14" t="n">
        <f aca="false">MAX(0,MIN(Inputs!$F$206,Time!AR$6)-MAX(Inputs!$F$205-1,Time!AR$5))/Time!AR$7</f>
        <v>0</v>
      </c>
      <c r="AS554" s="14" t="n">
        <f aca="false">MAX(0,MIN(Inputs!$F$206,Time!AS$6)-MAX(Inputs!$F$205-1,Time!AS$5))/Time!AS$7</f>
        <v>0</v>
      </c>
      <c r="AT554" s="14" t="n">
        <f aca="false">MAX(0,MIN(Inputs!$F$206,Time!AT$6)-MAX(Inputs!$F$205-1,Time!AT$5))/Time!AT$7</f>
        <v>0</v>
      </c>
      <c r="AU554" s="14" t="n">
        <f aca="false">MAX(0,MIN(Inputs!$F$206,Time!AU$6)-MAX(Inputs!$F$205-1,Time!AU$5))/Time!AU$7</f>
        <v>0</v>
      </c>
    </row>
    <row r="555" customFormat="false" ht="15" hidden="false" customHeight="false" outlineLevel="0" collapsed="false">
      <c r="D555" s="0" t="s">
        <v>556</v>
      </c>
      <c r="E555" s="0" t="s">
        <v>466</v>
      </c>
      <c r="J555" s="20" t="n">
        <f aca="false">Operations!J549*Operations!J554</f>
        <v>587.0016</v>
      </c>
      <c r="K555" s="20" t="n">
        <f aca="false">Operations!K549*Operations!K554</f>
        <v>582.1198272</v>
      </c>
      <c r="L555" s="20" t="n">
        <f aca="false">Operations!L549*Operations!L554</f>
        <v>577.2552334848</v>
      </c>
      <c r="M555" s="20" t="n">
        <f aca="false">Operations!M549*Operations!M554</f>
        <v>572.407769665152</v>
      </c>
      <c r="N555" s="20" t="n">
        <f aca="false">Operations!N549*Operations!N554</f>
        <v>571.262954125822</v>
      </c>
      <c r="O555" s="20" t="n">
        <f aca="false">Operations!O549*Operations!O554</f>
        <v>570.12042821757</v>
      </c>
      <c r="P555" s="20" t="n">
        <f aca="false">Operations!P549*Operations!P554</f>
        <v>568.980187361135</v>
      </c>
      <c r="Q555" s="20" t="n">
        <f aca="false">Operations!Q549*Operations!Q554</f>
        <v>567.842226986413</v>
      </c>
      <c r="R555" s="20" t="n">
        <f aca="false">Operations!R549*Operations!R554</f>
        <v>0</v>
      </c>
      <c r="S555" s="20" t="n">
        <f aca="false">Operations!S549*Operations!S554</f>
        <v>0</v>
      </c>
      <c r="T555" s="20" t="n">
        <f aca="false">Operations!T549*Operations!T554</f>
        <v>0</v>
      </c>
      <c r="U555" s="20" t="n">
        <f aca="false">Operations!U549*Operations!U554</f>
        <v>0</v>
      </c>
      <c r="V555" s="20" t="n">
        <f aca="false">Operations!V549*Operations!V554</f>
        <v>0</v>
      </c>
      <c r="W555" s="20" t="n">
        <f aca="false">Operations!W549*Operations!W554</f>
        <v>0</v>
      </c>
      <c r="X555" s="20" t="n">
        <f aca="false">Operations!X549*Operations!X554</f>
        <v>0</v>
      </c>
      <c r="Y555" s="20" t="n">
        <f aca="false">Operations!Y549*Operations!Y554</f>
        <v>0</v>
      </c>
      <c r="Z555" s="20" t="n">
        <f aca="false">Operations!Z549*Operations!Z554</f>
        <v>0</v>
      </c>
      <c r="AA555" s="20" t="n">
        <f aca="false">Operations!AA549*Operations!AA554</f>
        <v>0</v>
      </c>
      <c r="AB555" s="20" t="n">
        <f aca="false">Operations!AB549*Operations!AB554</f>
        <v>0</v>
      </c>
      <c r="AC555" s="20" t="n">
        <f aca="false">Operations!AC549*Operations!AC554</f>
        <v>0</v>
      </c>
      <c r="AD555" s="20" t="n">
        <f aca="false">Operations!AD549*Operations!AD554</f>
        <v>0</v>
      </c>
      <c r="AE555" s="20" t="n">
        <f aca="false">Operations!AE549*Operations!AE554</f>
        <v>0</v>
      </c>
      <c r="AF555" s="20" t="n">
        <f aca="false">Operations!AF549*Operations!AF554</f>
        <v>0</v>
      </c>
      <c r="AG555" s="20" t="n">
        <f aca="false">Operations!AG549*Operations!AG554</f>
        <v>0</v>
      </c>
      <c r="AH555" s="20" t="n">
        <f aca="false">Operations!AH549*Operations!AH554</f>
        <v>0</v>
      </c>
      <c r="AI555" s="20" t="n">
        <f aca="false">Operations!AI549*Operations!AI554</f>
        <v>0</v>
      </c>
      <c r="AJ555" s="20" t="n">
        <f aca="false">Operations!AJ549*Operations!AJ554</f>
        <v>0</v>
      </c>
      <c r="AK555" s="20" t="n">
        <f aca="false">Operations!AK549*Operations!AK554</f>
        <v>0</v>
      </c>
      <c r="AL555" s="20" t="n">
        <f aca="false">Operations!AL549*Operations!AL554</f>
        <v>0</v>
      </c>
      <c r="AM555" s="20" t="n">
        <f aca="false">Operations!AM549*Operations!AM554</f>
        <v>0</v>
      </c>
      <c r="AN555" s="20" t="n">
        <f aca="false">Operations!AN549*Operations!AN554</f>
        <v>0</v>
      </c>
      <c r="AO555" s="20" t="n">
        <f aca="false">Operations!AO549*Operations!AO554</f>
        <v>0</v>
      </c>
      <c r="AP555" s="20" t="n">
        <f aca="false">Operations!AP549*Operations!AP554</f>
        <v>0</v>
      </c>
      <c r="AQ555" s="20" t="n">
        <f aca="false">Operations!AQ549*Operations!AQ554</f>
        <v>0</v>
      </c>
      <c r="AR555" s="20" t="n">
        <f aca="false">Operations!AR549*Operations!AR554</f>
        <v>0</v>
      </c>
      <c r="AS555" s="20" t="n">
        <f aca="false">Operations!AS549*Operations!AS554</f>
        <v>0</v>
      </c>
      <c r="AT555" s="20" t="n">
        <f aca="false">Operations!AT549*Operations!AT554</f>
        <v>0</v>
      </c>
      <c r="AU555" s="20" t="n">
        <f aca="false">Operations!AU549*Operations!AU554</f>
        <v>0</v>
      </c>
    </row>
    <row r="556" customFormat="false" ht="15" hidden="false" customHeight="false" outlineLevel="0" collapsed="false">
      <c r="D556" s="0" t="s">
        <v>557</v>
      </c>
      <c r="E556" s="0" t="s">
        <v>47</v>
      </c>
      <c r="G556" s="20" t="n">
        <f aca="false">SUM(J556:AU556)</f>
        <v>64.2865238278928</v>
      </c>
      <c r="J556" s="20" t="n">
        <f aca="false">Inputs!$F$204*Operations!J554-Operations!J555*Operations!J551*Operations!J545/1000</f>
        <v>-2.1367592327168</v>
      </c>
      <c r="K556" s="20" t="n">
        <f aca="false">Inputs!$F$204*Operations!K554-Operations!K555*Operations!K551*Operations!K545/1000</f>
        <v>3.25185997944125</v>
      </c>
      <c r="L556" s="20" t="n">
        <f aca="false">Inputs!$F$204*Operations!L554-Operations!L555*Operations!L551*Operations!L545/1000</f>
        <v>14.9074093134501</v>
      </c>
      <c r="M556" s="20" t="n">
        <f aca="false">Inputs!$F$204*Operations!M554-Operations!M555*Operations!M551*Operations!M545/1000</f>
        <v>11.6159371002883</v>
      </c>
      <c r="N556" s="20" t="n">
        <f aca="false">Inputs!$F$204*Operations!N554-Operations!N555*Operations!N551*Operations!N545/1000</f>
        <v>10.0556663898347</v>
      </c>
      <c r="O556" s="20" t="n">
        <f aca="false">Inputs!$F$204*Operations!O554-Operations!O555*Operations!O551*Operations!O545/1000</f>
        <v>9.2641111461665</v>
      </c>
      <c r="P556" s="20" t="n">
        <f aca="false">Inputs!$F$204*Operations!P554-Operations!P555*Operations!P551*Operations!P545/1000</f>
        <v>8.80294431669856</v>
      </c>
      <c r="Q556" s="20" t="n">
        <f aca="false">Inputs!$F$204*Operations!Q554-Operations!Q555*Operations!Q551*Operations!Q545/1000</f>
        <v>8.52535481473031</v>
      </c>
      <c r="R556" s="20" t="n">
        <f aca="false">Inputs!$F$204*Operations!R554-Operations!R555*Operations!R551*Operations!R545/1000</f>
        <v>0</v>
      </c>
      <c r="S556" s="20" t="n">
        <f aca="false">Inputs!$F$204*Operations!S554-Operations!S555*Operations!S551*Operations!S545/1000</f>
        <v>0</v>
      </c>
      <c r="T556" s="20" t="n">
        <f aca="false">Inputs!$F$204*Operations!T554-Operations!T555*Operations!T551*Operations!T545/1000</f>
        <v>0</v>
      </c>
      <c r="U556" s="20" t="n">
        <f aca="false">Inputs!$F$204*Operations!U554-Operations!U555*Operations!U551*Operations!U545/1000</f>
        <v>0</v>
      </c>
      <c r="V556" s="20" t="n">
        <f aca="false">Inputs!$F$204*Operations!V554-Operations!V555*Operations!V551*Operations!V545/1000</f>
        <v>0</v>
      </c>
      <c r="W556" s="20" t="n">
        <f aca="false">Inputs!$F$204*Operations!W554-Operations!W555*Operations!W551*Operations!W545/1000</f>
        <v>0</v>
      </c>
      <c r="X556" s="20" t="n">
        <f aca="false">Inputs!$F$204*Operations!X554-Operations!X555*Operations!X551*Operations!X545/1000</f>
        <v>0</v>
      </c>
      <c r="Y556" s="20" t="n">
        <f aca="false">Inputs!$F$204*Operations!Y554-Operations!Y555*Operations!Y551*Operations!Y545/1000</f>
        <v>0</v>
      </c>
      <c r="Z556" s="20" t="n">
        <f aca="false">Inputs!$F$204*Operations!Z554-Operations!Z555*Operations!Z551*Operations!Z545/1000</f>
        <v>0</v>
      </c>
      <c r="AA556" s="20" t="n">
        <f aca="false">Inputs!$F$204*Operations!AA554-Operations!AA555*Operations!AA551*Operations!AA545/1000</f>
        <v>0</v>
      </c>
      <c r="AB556" s="20" t="n">
        <f aca="false">Inputs!$F$204*Operations!AB554-Operations!AB555*Operations!AB551*Operations!AB545/1000</f>
        <v>0</v>
      </c>
      <c r="AC556" s="20" t="n">
        <f aca="false">Inputs!$F$204*Operations!AC554-Operations!AC555*Operations!AC551*Operations!AC545/1000</f>
        <v>0</v>
      </c>
      <c r="AD556" s="20" t="n">
        <f aca="false">Inputs!$F$204*Operations!AD554-Operations!AD555*Operations!AD551*Operations!AD545/1000</f>
        <v>0</v>
      </c>
      <c r="AE556" s="20" t="n">
        <f aca="false">Inputs!$F$204*Operations!AE554-Operations!AE555*Operations!AE551*Operations!AE545/1000</f>
        <v>0</v>
      </c>
      <c r="AF556" s="20" t="n">
        <f aca="false">Inputs!$F$204*Operations!AF554-Operations!AF555*Operations!AF551*Operations!AF545/1000</f>
        <v>0</v>
      </c>
      <c r="AG556" s="20" t="n">
        <f aca="false">Inputs!$F$204*Operations!AG554-Operations!AG555*Operations!AG551*Operations!AG545/1000</f>
        <v>0</v>
      </c>
      <c r="AH556" s="20" t="n">
        <f aca="false">Inputs!$F$204*Operations!AH554-Operations!AH555*Operations!AH551*Operations!AH545/1000</f>
        <v>0</v>
      </c>
      <c r="AI556" s="20" t="n">
        <f aca="false">Inputs!$F$204*Operations!AI554-Operations!AI555*Operations!AI551*Operations!AI545/1000</f>
        <v>0</v>
      </c>
      <c r="AJ556" s="20" t="n">
        <f aca="false">Inputs!$F$204*Operations!AJ554-Operations!AJ555*Operations!AJ551*Operations!AJ545/1000</f>
        <v>0</v>
      </c>
      <c r="AK556" s="20" t="n">
        <f aca="false">Inputs!$F$204*Operations!AK554-Operations!AK555*Operations!AK551*Operations!AK545/1000</f>
        <v>0</v>
      </c>
      <c r="AL556" s="20" t="n">
        <f aca="false">Inputs!$F$204*Operations!AL554-Operations!AL555*Operations!AL551*Operations!AL545/1000</f>
        <v>0</v>
      </c>
      <c r="AM556" s="20" t="n">
        <f aca="false">Inputs!$F$204*Operations!AM554-Operations!AM555*Operations!AM551*Operations!AM545/1000</f>
        <v>0</v>
      </c>
      <c r="AN556" s="20" t="n">
        <f aca="false">Inputs!$F$204*Operations!AN554-Operations!AN555*Operations!AN551*Operations!AN545/1000</f>
        <v>0</v>
      </c>
      <c r="AO556" s="20" t="n">
        <f aca="false">Inputs!$F$204*Operations!AO554-Operations!AO555*Operations!AO551*Operations!AO545/1000</f>
        <v>0</v>
      </c>
      <c r="AP556" s="20" t="n">
        <f aca="false">Inputs!$F$204*Operations!AP554-Operations!AP555*Operations!AP551*Operations!AP545/1000</f>
        <v>0</v>
      </c>
      <c r="AQ556" s="20" t="n">
        <f aca="false">Inputs!$F$204*Operations!AQ554-Operations!AQ555*Operations!AQ551*Operations!AQ545/1000</f>
        <v>0</v>
      </c>
      <c r="AR556" s="20" t="n">
        <f aca="false">Inputs!$F$204*Operations!AR554-Operations!AR555*Operations!AR551*Operations!AR545/1000</f>
        <v>0</v>
      </c>
      <c r="AS556" s="20" t="n">
        <f aca="false">Inputs!$F$204*Operations!AS554-Operations!AS555*Operations!AS551*Operations!AS545/1000</f>
        <v>0</v>
      </c>
      <c r="AT556" s="20" t="n">
        <f aca="false">Inputs!$F$204*Operations!AT554-Operations!AT555*Operations!AT551*Operations!AT545/1000</f>
        <v>0</v>
      </c>
      <c r="AU556" s="20" t="n">
        <f aca="false">Inputs!$F$204*Operations!AU554-Operations!AU555*Operations!AU551*Operations!AU545/1000</f>
        <v>0</v>
      </c>
    </row>
    <row r="557" customFormat="false" ht="15" hidden="false" customHeight="false" outlineLevel="0" collapsed="false">
      <c r="D557" s="0" t="s">
        <v>558</v>
      </c>
      <c r="E557" s="0" t="s">
        <v>466</v>
      </c>
      <c r="J557" s="20" t="n">
        <f aca="false">Operations!J550</f>
        <v>587.0016</v>
      </c>
      <c r="K557" s="20" t="n">
        <f aca="false">Operations!K550</f>
        <v>582.1198272</v>
      </c>
      <c r="L557" s="20" t="n">
        <f aca="false">Operations!L550</f>
        <v>577.2552334848</v>
      </c>
      <c r="M557" s="20" t="n">
        <f aca="false">Operations!M550</f>
        <v>572.407769665152</v>
      </c>
      <c r="N557" s="20" t="n">
        <f aca="false">Operations!N550</f>
        <v>571.262954125822</v>
      </c>
      <c r="O557" s="20" t="n">
        <f aca="false">Operations!O550</f>
        <v>570.12042821757</v>
      </c>
      <c r="P557" s="20" t="n">
        <f aca="false">Operations!P550</f>
        <v>568.980187361135</v>
      </c>
      <c r="Q557" s="20" t="n">
        <f aca="false">Operations!Q550</f>
        <v>567.842226986413</v>
      </c>
      <c r="R557" s="20" t="n">
        <f aca="false">Operations!R550</f>
        <v>566.70654253244</v>
      </c>
      <c r="S557" s="20" t="n">
        <f aca="false">Operations!S550</f>
        <v>565.573129447375</v>
      </c>
      <c r="T557" s="20" t="n">
        <f aca="false">Operations!T550</f>
        <v>564.44198318848</v>
      </c>
      <c r="U557" s="20" t="n">
        <f aca="false">Operations!U550</f>
        <v>563.313099222103</v>
      </c>
      <c r="V557" s="20" t="n">
        <f aca="false">Operations!V550</f>
        <v>562.186473023659</v>
      </c>
      <c r="W557" s="20" t="n">
        <f aca="false">Operations!W550</f>
        <v>561.062100077612</v>
      </c>
      <c r="X557" s="20" t="n">
        <f aca="false">Operations!X550</f>
        <v>559.939975877457</v>
      </c>
      <c r="Y557" s="20" t="n">
        <f aca="false">Operations!Y550</f>
        <v>558.820095925702</v>
      </c>
      <c r="Z557" s="20" t="n">
        <f aca="false">Operations!Z550</f>
        <v>557.70245573385</v>
      </c>
      <c r="AA557" s="20" t="n">
        <f aca="false">Operations!AA550</f>
        <v>556.587050822383</v>
      </c>
      <c r="AB557" s="20" t="n">
        <f aca="false">Operations!AB550</f>
        <v>555.473876720738</v>
      </c>
      <c r="AC557" s="20" t="n">
        <f aca="false">Operations!AC550</f>
        <v>554.362928967296</v>
      </c>
      <c r="AD557" s="20" t="n">
        <f aca="false">Operations!AD550</f>
        <v>553.254203109362</v>
      </c>
      <c r="AE557" s="20" t="n">
        <f aca="false">Operations!AE550</f>
        <v>552.147694703143</v>
      </c>
      <c r="AF557" s="20" t="n">
        <f aca="false">Operations!AF550</f>
        <v>551.043399313737</v>
      </c>
      <c r="AG557" s="20" t="n">
        <f aca="false">Operations!AG550</f>
        <v>549.941312515109</v>
      </c>
      <c r="AH557" s="20" t="n">
        <f aca="false">Operations!AH550</f>
        <v>548.841429890079</v>
      </c>
      <c r="AI557" s="20" t="n">
        <f aca="false">Operations!AI550</f>
        <v>547.743747030299</v>
      </c>
      <c r="AJ557" s="20" t="n">
        <f aca="false">Operations!AJ550</f>
        <v>546.648259536238</v>
      </c>
      <c r="AK557" s="20" t="n">
        <f aca="false">Operations!AK550</f>
        <v>499.220157938995</v>
      </c>
      <c r="AL557" s="20" t="n">
        <f aca="false">Operations!AL550</f>
        <v>0</v>
      </c>
      <c r="AM557" s="20" t="n">
        <f aca="false">Operations!AM550</f>
        <v>0</v>
      </c>
      <c r="AN557" s="20" t="n">
        <f aca="false">Operations!AN550</f>
        <v>0</v>
      </c>
      <c r="AO557" s="20" t="n">
        <f aca="false">Operations!AO550</f>
        <v>0</v>
      </c>
      <c r="AP557" s="20" t="n">
        <f aca="false">Operations!AP550</f>
        <v>0</v>
      </c>
      <c r="AQ557" s="20" t="n">
        <f aca="false">Operations!AQ550</f>
        <v>0</v>
      </c>
      <c r="AR557" s="20" t="n">
        <f aca="false">Operations!AR550</f>
        <v>0</v>
      </c>
      <c r="AS557" s="20" t="n">
        <f aca="false">Operations!AS550</f>
        <v>0</v>
      </c>
      <c r="AT557" s="20" t="n">
        <f aca="false">Operations!AT550</f>
        <v>0</v>
      </c>
      <c r="AU557" s="20" t="n">
        <f aca="false">Operations!AU550</f>
        <v>0</v>
      </c>
    </row>
    <row r="558" customFormat="false" ht="15" hidden="false" customHeight="false" outlineLevel="0" collapsed="false">
      <c r="D558" s="0" t="s">
        <v>559</v>
      </c>
      <c r="E558" s="0" t="s">
        <v>47</v>
      </c>
      <c r="J558" s="20" t="n">
        <f aca="false">Inputs!$F$204*Operations!J554</f>
        <v>25.84</v>
      </c>
      <c r="K558" s="20" t="n">
        <f aca="false">Inputs!$F$204*Operations!K554</f>
        <v>25.84</v>
      </c>
      <c r="L558" s="20" t="n">
        <f aca="false">Inputs!$F$204*Operations!L554</f>
        <v>25.84</v>
      </c>
      <c r="M558" s="20" t="n">
        <f aca="false">Inputs!$F$204*Operations!M554</f>
        <v>25.84</v>
      </c>
      <c r="N558" s="20" t="n">
        <f aca="false">Inputs!$F$204*Operations!N554</f>
        <v>25.84</v>
      </c>
      <c r="O558" s="20" t="n">
        <f aca="false">Inputs!$F$204*Operations!O554</f>
        <v>25.84</v>
      </c>
      <c r="P558" s="20" t="n">
        <f aca="false">Inputs!$F$204*Operations!P554</f>
        <v>25.84</v>
      </c>
      <c r="Q558" s="20" t="n">
        <f aca="false">Inputs!$F$204*Operations!Q554</f>
        <v>25.84</v>
      </c>
      <c r="R558" s="20" t="n">
        <f aca="false">Inputs!$F$204*Operations!R554</f>
        <v>0</v>
      </c>
      <c r="S558" s="20" t="n">
        <f aca="false">Inputs!$F$204*Operations!S554</f>
        <v>0</v>
      </c>
      <c r="T558" s="20" t="n">
        <f aca="false">Inputs!$F$204*Operations!T554</f>
        <v>0</v>
      </c>
      <c r="U558" s="20" t="n">
        <f aca="false">Inputs!$F$204*Operations!U554</f>
        <v>0</v>
      </c>
      <c r="V558" s="20" t="n">
        <f aca="false">Inputs!$F$204*Operations!V554</f>
        <v>0</v>
      </c>
      <c r="W558" s="20" t="n">
        <f aca="false">Inputs!$F$204*Operations!W554</f>
        <v>0</v>
      </c>
      <c r="X558" s="20" t="n">
        <f aca="false">Inputs!$F$204*Operations!X554</f>
        <v>0</v>
      </c>
      <c r="Y558" s="20" t="n">
        <f aca="false">Inputs!$F$204*Operations!Y554</f>
        <v>0</v>
      </c>
      <c r="Z558" s="20" t="n">
        <f aca="false">Inputs!$F$204*Operations!Z554</f>
        <v>0</v>
      </c>
      <c r="AA558" s="20" t="n">
        <f aca="false">Inputs!$F$204*Operations!AA554</f>
        <v>0</v>
      </c>
      <c r="AB558" s="20" t="n">
        <f aca="false">Inputs!$F$204*Operations!AB554</f>
        <v>0</v>
      </c>
      <c r="AC558" s="20" t="n">
        <f aca="false">Inputs!$F$204*Operations!AC554</f>
        <v>0</v>
      </c>
      <c r="AD558" s="20" t="n">
        <f aca="false">Inputs!$F$204*Operations!AD554</f>
        <v>0</v>
      </c>
      <c r="AE558" s="20" t="n">
        <f aca="false">Inputs!$F$204*Operations!AE554</f>
        <v>0</v>
      </c>
      <c r="AF558" s="20" t="n">
        <f aca="false">Inputs!$F$204*Operations!AF554</f>
        <v>0</v>
      </c>
      <c r="AG558" s="20" t="n">
        <f aca="false">Inputs!$F$204*Operations!AG554</f>
        <v>0</v>
      </c>
      <c r="AH558" s="20" t="n">
        <f aca="false">Inputs!$F$204*Operations!AH554</f>
        <v>0</v>
      </c>
      <c r="AI558" s="20" t="n">
        <f aca="false">Inputs!$F$204*Operations!AI554</f>
        <v>0</v>
      </c>
      <c r="AJ558" s="20" t="n">
        <f aca="false">Inputs!$F$204*Operations!AJ554</f>
        <v>0</v>
      </c>
      <c r="AK558" s="20" t="n">
        <f aca="false">Inputs!$F$204*Operations!AK554</f>
        <v>0</v>
      </c>
      <c r="AL558" s="20" t="n">
        <f aca="false">Inputs!$F$204*Operations!AL554</f>
        <v>0</v>
      </c>
      <c r="AM558" s="20" t="n">
        <f aca="false">Inputs!$F$204*Operations!AM554</f>
        <v>0</v>
      </c>
      <c r="AN558" s="20" t="n">
        <f aca="false">Inputs!$F$204*Operations!AN554</f>
        <v>0</v>
      </c>
      <c r="AO558" s="20" t="n">
        <f aca="false">Inputs!$F$204*Operations!AO554</f>
        <v>0</v>
      </c>
      <c r="AP558" s="20" t="n">
        <f aca="false">Inputs!$F$204*Operations!AP554</f>
        <v>0</v>
      </c>
      <c r="AQ558" s="20" t="n">
        <f aca="false">Inputs!$F$204*Operations!AQ554</f>
        <v>0</v>
      </c>
      <c r="AR558" s="20" t="n">
        <f aca="false">Inputs!$F$204*Operations!AR554</f>
        <v>0</v>
      </c>
      <c r="AS558" s="20" t="n">
        <f aca="false">Inputs!$F$204*Operations!AS554</f>
        <v>0</v>
      </c>
      <c r="AT558" s="20" t="n">
        <f aca="false">Inputs!$F$204*Operations!AT554</f>
        <v>0</v>
      </c>
      <c r="AU558" s="20" t="n">
        <f aca="false">Inputs!$F$204*Operations!AU554</f>
        <v>0</v>
      </c>
    </row>
    <row r="559" customFormat="false" ht="15" hidden="false" customHeight="false" outlineLevel="0" collapsed="false">
      <c r="D559" s="0" t="s">
        <v>560</v>
      </c>
      <c r="E559" s="0" t="s">
        <v>47</v>
      </c>
      <c r="J559" s="20" t="n">
        <f aca="false">0</f>
        <v>0</v>
      </c>
      <c r="K559" s="20" t="n">
        <f aca="false">0</f>
        <v>0</v>
      </c>
      <c r="L559" s="20" t="n">
        <f aca="false">0</f>
        <v>0</v>
      </c>
      <c r="M559" s="20" t="n">
        <f aca="false">0</f>
        <v>0</v>
      </c>
      <c r="N559" s="20" t="n">
        <f aca="false">0</f>
        <v>0</v>
      </c>
      <c r="O559" s="20" t="n">
        <f aca="false">0</f>
        <v>0</v>
      </c>
      <c r="P559" s="20" t="n">
        <f aca="false">0</f>
        <v>0</v>
      </c>
      <c r="Q559" s="20" t="n">
        <f aca="false">0</f>
        <v>0</v>
      </c>
      <c r="R559" s="20" t="n">
        <f aca="false">0</f>
        <v>0</v>
      </c>
      <c r="S559" s="20" t="n">
        <f aca="false">0</f>
        <v>0</v>
      </c>
      <c r="T559" s="20" t="n">
        <f aca="false">0</f>
        <v>0</v>
      </c>
      <c r="U559" s="20" t="n">
        <f aca="false">0</f>
        <v>0</v>
      </c>
      <c r="V559" s="20" t="n">
        <f aca="false">0</f>
        <v>0</v>
      </c>
      <c r="W559" s="20" t="n">
        <f aca="false">0</f>
        <v>0</v>
      </c>
      <c r="X559" s="20" t="n">
        <f aca="false">0</f>
        <v>0</v>
      </c>
      <c r="Y559" s="20" t="n">
        <f aca="false">0</f>
        <v>0</v>
      </c>
      <c r="Z559" s="20" t="n">
        <f aca="false">0</f>
        <v>0</v>
      </c>
      <c r="AA559" s="20" t="n">
        <f aca="false">0</f>
        <v>0</v>
      </c>
      <c r="AB559" s="20" t="n">
        <f aca="false">0</f>
        <v>0</v>
      </c>
      <c r="AC559" s="20" t="n">
        <f aca="false">0</f>
        <v>0</v>
      </c>
      <c r="AD559" s="20" t="n">
        <f aca="false">0</f>
        <v>0</v>
      </c>
      <c r="AE559" s="20" t="n">
        <f aca="false">0</f>
        <v>0</v>
      </c>
      <c r="AF559" s="20" t="n">
        <f aca="false">0</f>
        <v>0</v>
      </c>
      <c r="AG559" s="20" t="n">
        <f aca="false">0</f>
        <v>0</v>
      </c>
      <c r="AH559" s="20" t="n">
        <f aca="false">0</f>
        <v>0</v>
      </c>
      <c r="AI559" s="20" t="n">
        <f aca="false">0</f>
        <v>0</v>
      </c>
      <c r="AJ559" s="20" t="n">
        <f aca="false">0</f>
        <v>0</v>
      </c>
      <c r="AK559" s="20" t="n">
        <f aca="false">0</f>
        <v>0</v>
      </c>
      <c r="AL559" s="20" t="n">
        <f aca="false">0</f>
        <v>0</v>
      </c>
      <c r="AM559" s="20" t="n">
        <f aca="false">0</f>
        <v>0</v>
      </c>
      <c r="AN559" s="20" t="n">
        <f aca="false">0</f>
        <v>0</v>
      </c>
      <c r="AO559" s="20" t="n">
        <f aca="false">0</f>
        <v>0</v>
      </c>
      <c r="AP559" s="20" t="n">
        <f aca="false">0</f>
        <v>0</v>
      </c>
      <c r="AQ559" s="20" t="n">
        <f aca="false">0</f>
        <v>0</v>
      </c>
      <c r="AR559" s="20" t="n">
        <f aca="false">0</f>
        <v>0</v>
      </c>
      <c r="AS559" s="20" t="n">
        <f aca="false">0</f>
        <v>0</v>
      </c>
      <c r="AT559" s="20" t="n">
        <f aca="false">0</f>
        <v>0</v>
      </c>
      <c r="AU559" s="20" t="n">
        <f aca="false">0</f>
        <v>0</v>
      </c>
    </row>
    <row r="560" customFormat="false" ht="15" hidden="false" customHeight="false" outlineLevel="0" collapsed="false">
      <c r="D560" s="0" t="s">
        <v>561</v>
      </c>
      <c r="E560" s="0" t="s">
        <v>47</v>
      </c>
      <c r="G560" s="20" t="n">
        <f aca="false">SUM(J560:AU560)</f>
        <v>475.63278156738</v>
      </c>
      <c r="J560" s="20" t="n">
        <f aca="false">Operations!J557*Operations!J553/1000</f>
        <v>25.0095271928832</v>
      </c>
      <c r="K560" s="20" t="n">
        <f aca="false">Operations!K557*Operations!K553/1000</f>
        <v>20.1741403237051</v>
      </c>
      <c r="L560" s="20" t="n">
        <f aca="false">Operations!L557*Operations!L553/1000</f>
        <v>9.75523476645996</v>
      </c>
      <c r="M560" s="20" t="n">
        <f aca="false">Operations!M557*Operations!M553/1000</f>
        <v>12.6803661509058</v>
      </c>
      <c r="N560" s="20" t="n">
        <f aca="false">Operations!N557*Operations!N553/1000</f>
        <v>14.0579221215535</v>
      </c>
      <c r="O560" s="20" t="n">
        <f aca="false">Operations!O557*Operations!O553/1000</f>
        <v>14.7486255156156</v>
      </c>
      <c r="P560" s="20" t="n">
        <f aca="false">Operations!P557*Operations!P553/1000</f>
        <v>15.1440494962679</v>
      </c>
      <c r="Q560" s="20" t="n">
        <f aca="false">Operations!Q557*Operations!Q553/1000</f>
        <v>15.3754049245195</v>
      </c>
      <c r="R560" s="20" t="n">
        <f aca="false">Operations!R557*Operations!R553/1000</f>
        <v>15.6288143760532</v>
      </c>
      <c r="S560" s="20" t="n">
        <f aca="false">Operations!S557*Operations!S553/1000</f>
        <v>15.7660694874492</v>
      </c>
      <c r="T560" s="20" t="n">
        <f aca="false">Operations!T557*Operations!T553/1000</f>
        <v>15.902931615078</v>
      </c>
      <c r="U560" s="20" t="n">
        <f aca="false">Operations!U557*Operations!U553/1000</f>
        <v>16.0392377586264</v>
      </c>
      <c r="V560" s="20" t="n">
        <f aca="false">Operations!V557*Operations!V553/1000</f>
        <v>16.1748262265729</v>
      </c>
      <c r="W560" s="20" t="n">
        <f aca="false">Operations!W557*Operations!W553/1000</f>
        <v>16.3095366296401</v>
      </c>
      <c r="X560" s="20" t="n">
        <f aca="false">Operations!X557*Operations!X553/1000</f>
        <v>16.4432098742729</v>
      </c>
      <c r="Y560" s="20" t="n">
        <f aca="false">Operations!Y557*Operations!Y553/1000</f>
        <v>16.5784739860846</v>
      </c>
      <c r="Z560" s="20" t="n">
        <f aca="false">Operations!Z557*Operations!Z553/1000</f>
        <v>16.7123214846439</v>
      </c>
      <c r="AA560" s="20" t="n">
        <f aca="false">Operations!AA557*Operations!AA553/1000</f>
        <v>17.0113756749271</v>
      </c>
      <c r="AB560" s="20" t="n">
        <f aca="false">Operations!AB557*Operations!AB553/1000</f>
        <v>17.317393589467</v>
      </c>
      <c r="AC560" s="20" t="n">
        <f aca="false">Operations!AC557*Operations!AC553/1000</f>
        <v>17.6275929446615</v>
      </c>
      <c r="AD560" s="20" t="n">
        <f aca="false">Operations!AD557*Operations!AD553/1000</f>
        <v>17.9446761489106</v>
      </c>
      <c r="AE560" s="20" t="n">
        <f aca="false">Operations!AE557*Operations!AE553/1000</f>
        <v>18.2658721954494</v>
      </c>
      <c r="AF560" s="20" t="n">
        <f aca="false">Operations!AF557*Operations!AF553/1000</f>
        <v>18.5938728522586</v>
      </c>
      <c r="AG560" s="20" t="n">
        <f aca="false">Operations!AG557*Operations!AG553/1000</f>
        <v>18.9286332937666</v>
      </c>
      <c r="AH560" s="20" t="n">
        <f aca="false">Operations!AH557*Operations!AH553/1000</f>
        <v>19.2673993587594</v>
      </c>
      <c r="AI560" s="20" t="n">
        <f aca="false">Operations!AI557*Operations!AI553/1000</f>
        <v>19.6128469489501</v>
      </c>
      <c r="AJ560" s="20" t="n">
        <f aca="false">Operations!AJ557*Operations!AJ553/1000</f>
        <v>19.9649317585655</v>
      </c>
      <c r="AK560" s="20" t="n">
        <f aca="false">Operations!AK557*Operations!AK553/1000</f>
        <v>18.5974948713321</v>
      </c>
      <c r="AL560" s="20" t="n">
        <f aca="false">Operations!AL557*Operations!AL553/1000</f>
        <v>0</v>
      </c>
      <c r="AM560" s="20" t="n">
        <f aca="false">Operations!AM557*Operations!AM553/1000</f>
        <v>0</v>
      </c>
      <c r="AN560" s="20" t="n">
        <f aca="false">Operations!AN557*Operations!AN553/1000</f>
        <v>0</v>
      </c>
      <c r="AO560" s="20" t="n">
        <f aca="false">Operations!AO557*Operations!AO553/1000</f>
        <v>0</v>
      </c>
      <c r="AP560" s="20" t="n">
        <f aca="false">Operations!AP557*Operations!AP553/1000</f>
        <v>0</v>
      </c>
      <c r="AQ560" s="20" t="n">
        <f aca="false">Operations!AQ557*Operations!AQ553/1000</f>
        <v>0</v>
      </c>
      <c r="AR560" s="20" t="n">
        <f aca="false">Operations!AR557*Operations!AR553/1000</f>
        <v>0</v>
      </c>
      <c r="AS560" s="20" t="n">
        <f aca="false">Operations!AS557*Operations!AS553/1000</f>
        <v>0</v>
      </c>
      <c r="AT560" s="20" t="n">
        <f aca="false">Operations!AT557*Operations!AT553/1000</f>
        <v>0</v>
      </c>
      <c r="AU560" s="20" t="n">
        <f aca="false">Operations!AU557*Operations!AU553/1000</f>
        <v>0</v>
      </c>
    </row>
    <row r="561" customFormat="false" ht="15" hidden="false" customHeight="false" outlineLevel="0" collapsed="false">
      <c r="D561" s="0" t="s">
        <v>562</v>
      </c>
      <c r="E561" s="0" t="s">
        <v>47</v>
      </c>
      <c r="G561" s="20" t="n">
        <f aca="false">SUM(J561:AU561)</f>
        <v>539.919305395273</v>
      </c>
      <c r="J561" s="20" t="n">
        <f aca="false">Operations!J560+Operations!J556</f>
        <v>22.8727679601664</v>
      </c>
      <c r="K561" s="20" t="n">
        <f aca="false">Operations!K560+Operations!K556</f>
        <v>23.4260003031464</v>
      </c>
      <c r="L561" s="20" t="n">
        <f aca="false">Operations!L560+Operations!L556</f>
        <v>24.66264407991</v>
      </c>
      <c r="M561" s="20" t="n">
        <f aca="false">Operations!M560+Operations!M556</f>
        <v>24.2963032511941</v>
      </c>
      <c r="N561" s="20" t="n">
        <f aca="false">Operations!N560+Operations!N556</f>
        <v>24.1135885113882</v>
      </c>
      <c r="O561" s="20" t="n">
        <f aca="false">Operations!O560+Operations!O556</f>
        <v>24.0127366617821</v>
      </c>
      <c r="P561" s="20" t="n">
        <f aca="false">Operations!P560+Operations!P556</f>
        <v>23.9469938129665</v>
      </c>
      <c r="Q561" s="20" t="n">
        <f aca="false">Operations!Q560+Operations!Q556</f>
        <v>23.9007597392498</v>
      </c>
      <c r="R561" s="20" t="n">
        <f aca="false">Operations!R560+Operations!R556</f>
        <v>15.6288143760532</v>
      </c>
      <c r="S561" s="20" t="n">
        <f aca="false">Operations!S560+Operations!S556</f>
        <v>15.7660694874492</v>
      </c>
      <c r="T561" s="20" t="n">
        <f aca="false">Operations!T560+Operations!T556</f>
        <v>15.902931615078</v>
      </c>
      <c r="U561" s="20" t="n">
        <f aca="false">Operations!U560+Operations!U556</f>
        <v>16.0392377586264</v>
      </c>
      <c r="V561" s="20" t="n">
        <f aca="false">Operations!V560+Operations!V556</f>
        <v>16.1748262265729</v>
      </c>
      <c r="W561" s="20" t="n">
        <f aca="false">Operations!W560+Operations!W556</f>
        <v>16.3095366296401</v>
      </c>
      <c r="X561" s="20" t="n">
        <f aca="false">Operations!X560+Operations!X556</f>
        <v>16.4432098742729</v>
      </c>
      <c r="Y561" s="20" t="n">
        <f aca="false">Operations!Y560+Operations!Y556</f>
        <v>16.5784739860846</v>
      </c>
      <c r="Z561" s="20" t="n">
        <f aca="false">Operations!Z560+Operations!Z556</f>
        <v>16.7123214846439</v>
      </c>
      <c r="AA561" s="20" t="n">
        <f aca="false">Operations!AA560+Operations!AA556</f>
        <v>17.0113756749271</v>
      </c>
      <c r="AB561" s="20" t="n">
        <f aca="false">Operations!AB560+Operations!AB556</f>
        <v>17.317393589467</v>
      </c>
      <c r="AC561" s="20" t="n">
        <f aca="false">Operations!AC560+Operations!AC556</f>
        <v>17.6275929446615</v>
      </c>
      <c r="AD561" s="20" t="n">
        <f aca="false">Operations!AD560+Operations!AD556</f>
        <v>17.9446761489106</v>
      </c>
      <c r="AE561" s="20" t="n">
        <f aca="false">Operations!AE560+Operations!AE556</f>
        <v>18.2658721954494</v>
      </c>
      <c r="AF561" s="20" t="n">
        <f aca="false">Operations!AF560+Operations!AF556</f>
        <v>18.5938728522586</v>
      </c>
      <c r="AG561" s="20" t="n">
        <f aca="false">Operations!AG560+Operations!AG556</f>
        <v>18.9286332937666</v>
      </c>
      <c r="AH561" s="20" t="n">
        <f aca="false">Operations!AH560+Operations!AH556</f>
        <v>19.2673993587594</v>
      </c>
      <c r="AI561" s="20" t="n">
        <f aca="false">Operations!AI560+Operations!AI556</f>
        <v>19.6128469489501</v>
      </c>
      <c r="AJ561" s="20" t="n">
        <f aca="false">Operations!AJ560+Operations!AJ556</f>
        <v>19.9649317585655</v>
      </c>
      <c r="AK561" s="20" t="n">
        <f aca="false">Operations!AK560+Operations!AK556</f>
        <v>18.5974948713321</v>
      </c>
      <c r="AL561" s="20" t="n">
        <f aca="false">Operations!AL560+Operations!AL556</f>
        <v>0</v>
      </c>
      <c r="AM561" s="20" t="n">
        <f aca="false">Operations!AM560+Operations!AM556</f>
        <v>0</v>
      </c>
      <c r="AN561" s="20" t="n">
        <f aca="false">Operations!AN560+Operations!AN556</f>
        <v>0</v>
      </c>
      <c r="AO561" s="20" t="n">
        <f aca="false">Operations!AO560+Operations!AO556</f>
        <v>0</v>
      </c>
      <c r="AP561" s="20" t="n">
        <f aca="false">Operations!AP560+Operations!AP556</f>
        <v>0</v>
      </c>
      <c r="AQ561" s="20" t="n">
        <f aca="false">Operations!AQ560+Operations!AQ556</f>
        <v>0</v>
      </c>
      <c r="AR561" s="20" t="n">
        <f aca="false">Operations!AR560+Operations!AR556</f>
        <v>0</v>
      </c>
      <c r="AS561" s="20" t="n">
        <f aca="false">Operations!AS560+Operations!AS556</f>
        <v>0</v>
      </c>
      <c r="AT561" s="20" t="n">
        <f aca="false">Operations!AT560+Operations!AT556</f>
        <v>0</v>
      </c>
      <c r="AU561" s="20" t="n">
        <f aca="false">Operations!AU560+Operations!AU556</f>
        <v>0</v>
      </c>
    </row>
    <row r="562" customFormat="false" ht="15" hidden="false" customHeight="false" outlineLevel="0" collapsed="false">
      <c r="D562" s="0" t="s">
        <v>563</v>
      </c>
      <c r="E562" s="0" t="s">
        <v>47</v>
      </c>
      <c r="J562" s="20" t="n">
        <f aca="false">Operations!J561-Operations!J558-Operations!J559</f>
        <v>-2.9672320398336</v>
      </c>
      <c r="K562" s="20" t="n">
        <f aca="false">Operations!K561-Operations!K558-Operations!K559</f>
        <v>-2.41399969685361</v>
      </c>
      <c r="L562" s="20" t="n">
        <f aca="false">Operations!L561-Operations!L558-Operations!L559</f>
        <v>-1.17735592008999</v>
      </c>
      <c r="M562" s="20" t="n">
        <f aca="false">Operations!M561-Operations!M558-Operations!M559</f>
        <v>-1.54369674880592</v>
      </c>
      <c r="N562" s="20" t="n">
        <f aca="false">Operations!N561-Operations!N558-Operations!N559</f>
        <v>-1.72641148861183</v>
      </c>
      <c r="O562" s="20" t="n">
        <f aca="false">Operations!O561-Operations!O558-Operations!O559</f>
        <v>-1.82726333821787</v>
      </c>
      <c r="P562" s="20" t="n">
        <f aca="false">Operations!P561-Operations!P558-Operations!P559</f>
        <v>-1.8930061870335</v>
      </c>
      <c r="Q562" s="20" t="n">
        <f aca="false">Operations!Q561-Operations!Q558-Operations!Q559</f>
        <v>-1.93924026075021</v>
      </c>
      <c r="R562" s="20" t="n">
        <f aca="false">Operations!R561-Operations!R558-Operations!R559</f>
        <v>15.6288143760532</v>
      </c>
      <c r="S562" s="20" t="n">
        <f aca="false">Operations!S561-Operations!S558-Operations!S559</f>
        <v>15.7660694874492</v>
      </c>
      <c r="T562" s="20" t="n">
        <f aca="false">Operations!T561-Operations!T558-Operations!T559</f>
        <v>15.902931615078</v>
      </c>
      <c r="U562" s="20" t="n">
        <f aca="false">Operations!U561-Operations!U558-Operations!U559</f>
        <v>16.0392377586264</v>
      </c>
      <c r="V562" s="20" t="n">
        <f aca="false">Operations!V561-Operations!V558-Operations!V559</f>
        <v>16.1748262265729</v>
      </c>
      <c r="W562" s="20" t="n">
        <f aca="false">Operations!W561-Operations!W558-Operations!W559</f>
        <v>16.3095366296401</v>
      </c>
      <c r="X562" s="20" t="n">
        <f aca="false">Operations!X561-Operations!X558-Operations!X559</f>
        <v>16.4432098742729</v>
      </c>
      <c r="Y562" s="20" t="n">
        <f aca="false">Operations!Y561-Operations!Y558-Operations!Y559</f>
        <v>16.5784739860846</v>
      </c>
      <c r="Z562" s="20" t="n">
        <f aca="false">Operations!Z561-Operations!Z558-Operations!Z559</f>
        <v>16.7123214846439</v>
      </c>
      <c r="AA562" s="20" t="n">
        <f aca="false">Operations!AA561-Operations!AA558-Operations!AA559</f>
        <v>17.0113756749271</v>
      </c>
      <c r="AB562" s="20" t="n">
        <f aca="false">Operations!AB561-Operations!AB558-Operations!AB559</f>
        <v>17.317393589467</v>
      </c>
      <c r="AC562" s="20" t="n">
        <f aca="false">Operations!AC561-Operations!AC558-Operations!AC559</f>
        <v>17.6275929446615</v>
      </c>
      <c r="AD562" s="20" t="n">
        <f aca="false">Operations!AD561-Operations!AD558-Operations!AD559</f>
        <v>17.9446761489106</v>
      </c>
      <c r="AE562" s="20" t="n">
        <f aca="false">Operations!AE561-Operations!AE558-Operations!AE559</f>
        <v>18.2658721954494</v>
      </c>
      <c r="AF562" s="20" t="n">
        <f aca="false">Operations!AF561-Operations!AF558-Operations!AF559</f>
        <v>18.5938728522586</v>
      </c>
      <c r="AG562" s="20" t="n">
        <f aca="false">Operations!AG561-Operations!AG558-Operations!AG559</f>
        <v>18.9286332937666</v>
      </c>
      <c r="AH562" s="20" t="n">
        <f aca="false">Operations!AH561-Operations!AH558-Operations!AH559</f>
        <v>19.2673993587594</v>
      </c>
      <c r="AI562" s="20" t="n">
        <f aca="false">Operations!AI561-Operations!AI558-Operations!AI559</f>
        <v>19.6128469489501</v>
      </c>
      <c r="AJ562" s="20" t="n">
        <f aca="false">Operations!AJ561-Operations!AJ558-Operations!AJ559</f>
        <v>19.9649317585655</v>
      </c>
      <c r="AK562" s="20" t="n">
        <f aca="false">Operations!AK561-Operations!AK558-Operations!AK559</f>
        <v>18.5974948713321</v>
      </c>
      <c r="AL562" s="20" t="n">
        <f aca="false">Operations!AL561-Operations!AL558-Operations!AL559</f>
        <v>0</v>
      </c>
      <c r="AM562" s="20" t="n">
        <f aca="false">Operations!AM561-Operations!AM558-Operations!AM559</f>
        <v>0</v>
      </c>
      <c r="AN562" s="20" t="n">
        <f aca="false">Operations!AN561-Operations!AN558-Operations!AN559</f>
        <v>0</v>
      </c>
      <c r="AO562" s="20" t="n">
        <f aca="false">Operations!AO561-Operations!AO558-Operations!AO559</f>
        <v>0</v>
      </c>
      <c r="AP562" s="20" t="n">
        <f aca="false">Operations!AP561-Operations!AP558-Operations!AP559</f>
        <v>0</v>
      </c>
      <c r="AQ562" s="20" t="n">
        <f aca="false">Operations!AQ561-Operations!AQ558-Operations!AQ559</f>
        <v>0</v>
      </c>
      <c r="AR562" s="20" t="n">
        <f aca="false">Operations!AR561-Operations!AR558-Operations!AR559</f>
        <v>0</v>
      </c>
      <c r="AS562" s="20" t="n">
        <f aca="false">Operations!AS561-Operations!AS558-Operations!AS559</f>
        <v>0</v>
      </c>
      <c r="AT562" s="20" t="n">
        <f aca="false">Operations!AT561-Operations!AT558-Operations!AT559</f>
        <v>0</v>
      </c>
      <c r="AU562" s="20" t="n">
        <f aca="false">Operations!AU561-Operations!AU558-Operations!AU559</f>
        <v>0</v>
      </c>
    </row>
    <row r="563" customFormat="false" ht="15" hidden="false" customHeight="false" outlineLevel="0" collapsed="false">
      <c r="D563" s="0" t="s">
        <v>564</v>
      </c>
      <c r="E563" s="0" t="s">
        <v>47</v>
      </c>
      <c r="J563" s="20" t="n">
        <f aca="false">Inputs!$F$114*Inputs!$F$110/1000*Time!J$9*Time!J$10*Operations!J542*Operations!$F$445</f>
        <v>5.6916</v>
      </c>
      <c r="K563" s="20" t="n">
        <f aca="false">Inputs!$F$114*Inputs!$F$110/1000*Time!K$9*Time!K$10*Operations!K542*Operations!$F$445</f>
        <v>6.02640837</v>
      </c>
      <c r="L563" s="20" t="n">
        <f aca="false">Inputs!$F$114*Inputs!$F$110/1000*Time!L$9*Time!L$10*Operations!L542*Operations!$F$445</f>
        <v>6.17706857925</v>
      </c>
      <c r="M563" s="20" t="n">
        <f aca="false">Inputs!$F$114*Inputs!$F$110/1000*Time!M$9*Time!M$10*Operations!M542*Operations!$F$445</f>
        <v>6.33149529373125</v>
      </c>
      <c r="N563" s="20" t="n">
        <f aca="false">Inputs!$F$114*Inputs!$F$110/1000*Time!N$9*Time!N$10*Operations!N542*Operations!$F$445</f>
        <v>6.48978267607453</v>
      </c>
      <c r="O563" s="20" t="n">
        <f aca="false">Inputs!$F$114*Inputs!$F$110/1000*Time!O$9*Time!O$10*Operations!O542*Operations!$F$445</f>
        <v>6.65202724297639</v>
      </c>
      <c r="P563" s="20" t="n">
        <f aca="false">Inputs!$F$114*Inputs!$F$110/1000*Time!P$9*Time!P$10*Operations!P542*Operations!$F$445</f>
        <v>6.8183279240508</v>
      </c>
      <c r="Q563" s="20" t="n">
        <f aca="false">Inputs!$F$114*Inputs!$F$110/1000*Time!Q$9*Time!Q$10*Operations!Q542*Operations!$F$445</f>
        <v>6.98878612215207</v>
      </c>
      <c r="R563" s="20" t="n">
        <f aca="false">Inputs!$F$114*Inputs!$F$110/1000*Time!R$9*Time!R$10*Operations!R542*Operations!$F$445</f>
        <v>7.16350577520587</v>
      </c>
      <c r="S563" s="20" t="n">
        <f aca="false">Inputs!$F$114*Inputs!$F$110/1000*Time!S$9*Time!S$10*Operations!S542*Operations!$F$445</f>
        <v>7.34259341958602</v>
      </c>
      <c r="T563" s="20" t="n">
        <f aca="false">Inputs!$F$114*Inputs!$F$110/1000*Time!T$9*Time!T$10*Operations!T542*Operations!$F$445</f>
        <v>7.52615825507567</v>
      </c>
      <c r="U563" s="20" t="n">
        <f aca="false">Inputs!$F$114*Inputs!$F$110/1000*Time!U$9*Time!U$10*Operations!U542*Operations!$F$445</f>
        <v>7.71431221145256</v>
      </c>
      <c r="V563" s="20" t="n">
        <f aca="false">Inputs!$F$114*Inputs!$F$110/1000*Time!V$9*Time!V$10*Operations!V542*Operations!$F$445</f>
        <v>7.90717001673887</v>
      </c>
      <c r="W563" s="20" t="n">
        <f aca="false">Inputs!$F$114*Inputs!$F$110/1000*Time!W$9*Time!W$10*Operations!W542*Operations!$F$445</f>
        <v>8.10484926715734</v>
      </c>
      <c r="X563" s="20" t="n">
        <f aca="false">Inputs!$F$114*Inputs!$F$110/1000*Time!X$9*Time!X$10*Operations!X542*Operations!$F$445</f>
        <v>8.30747049883628</v>
      </c>
      <c r="Y563" s="20" t="n">
        <f aca="false">Inputs!$F$114*Inputs!$F$110/1000*Time!Y$9*Time!Y$10*Operations!Y542*Operations!$F$445</f>
        <v>8.51515726130718</v>
      </c>
      <c r="Z563" s="20" t="n">
        <f aca="false">Inputs!$F$114*Inputs!$F$110/1000*Time!Z$9*Time!Z$10*Operations!Z542*Operations!$F$445</f>
        <v>8.72803619283986</v>
      </c>
      <c r="AA563" s="20" t="n">
        <f aca="false">Inputs!$F$114*Inputs!$F$110/1000*Time!AA$9*Time!AA$10*Operations!AA542*Operations!$F$445</f>
        <v>8.94623709766086</v>
      </c>
      <c r="AB563" s="20" t="n">
        <f aca="false">Inputs!$F$114*Inputs!$F$110/1000*Time!AB$9*Time!AB$10*Operations!AB542*Operations!$F$445</f>
        <v>9.16989302510238</v>
      </c>
      <c r="AC563" s="20" t="n">
        <f aca="false">Inputs!$F$114*Inputs!$F$110/1000*Time!AC$9*Time!AC$10*Operations!AC542*Operations!$F$445</f>
        <v>9.39914035072994</v>
      </c>
      <c r="AD563" s="20" t="n">
        <f aca="false">Inputs!$F$114*Inputs!$F$110/1000*Time!AD$9*Time!AD$10*Operations!AD542*Operations!$F$445</f>
        <v>9.63411885949818</v>
      </c>
      <c r="AE563" s="20" t="n">
        <f aca="false">Inputs!$F$114*Inputs!$F$110/1000*Time!AE$9*Time!AE$10*Operations!AE542*Operations!$F$445</f>
        <v>9.87497183098564</v>
      </c>
      <c r="AF563" s="20" t="n">
        <f aca="false">Inputs!$F$114*Inputs!$F$110/1000*Time!AF$9*Time!AF$10*Operations!AF542*Operations!$F$445</f>
        <v>10.1218461267603</v>
      </c>
      <c r="AG563" s="20" t="n">
        <f aca="false">Inputs!$F$114*Inputs!$F$110/1000*Time!AG$9*Time!AG$10*Operations!AG542*Operations!$F$445</f>
        <v>10.3748922799293</v>
      </c>
      <c r="AH563" s="20" t="n">
        <f aca="false">Inputs!$F$114*Inputs!$F$110/1000*Time!AH$9*Time!AH$10*Operations!AH542*Operations!$F$445</f>
        <v>10.6342645869275</v>
      </c>
      <c r="AI563" s="20" t="n">
        <f aca="false">Inputs!$F$114*Inputs!$F$110/1000*Time!AI$9*Time!AI$10*Operations!AI542*Operations!$F$445</f>
        <v>10.9001212016007</v>
      </c>
      <c r="AJ563" s="20" t="n">
        <f aca="false">Inputs!$F$114*Inputs!$F$110/1000*Time!AJ$9*Time!AJ$10*Operations!AJ542*Operations!$F$445</f>
        <v>11.1726242316407</v>
      </c>
      <c r="AK563" s="20" t="n">
        <f aca="false">Inputs!$F$114*Inputs!$F$110/1000*Time!AK$9*Time!AK$10*Operations!AK542*Operations!$F$445</f>
        <v>10.479309330691</v>
      </c>
      <c r="AL563" s="20" t="n">
        <f aca="false">Inputs!$F$114*Inputs!$F$110/1000*Time!AL$9*Time!AL$10*Operations!AL542*Operations!$F$445</f>
        <v>0</v>
      </c>
      <c r="AM563" s="20" t="n">
        <f aca="false">Inputs!$F$114*Inputs!$F$110/1000*Time!AM$9*Time!AM$10*Operations!AM542*Operations!$F$445</f>
        <v>0</v>
      </c>
      <c r="AN563" s="20" t="n">
        <f aca="false">Inputs!$F$114*Inputs!$F$110/1000*Time!AN$9*Time!AN$10*Operations!AN542*Operations!$F$445</f>
        <v>0</v>
      </c>
      <c r="AO563" s="20" t="n">
        <f aca="false">Inputs!$F$114*Inputs!$F$110/1000*Time!AO$9*Time!AO$10*Operations!AO542*Operations!$F$445</f>
        <v>0</v>
      </c>
      <c r="AP563" s="20" t="n">
        <f aca="false">Inputs!$F$114*Inputs!$F$110/1000*Time!AP$9*Time!AP$10*Operations!AP542*Operations!$F$445</f>
        <v>0</v>
      </c>
      <c r="AQ563" s="20" t="n">
        <f aca="false">Inputs!$F$114*Inputs!$F$110/1000*Time!AQ$9*Time!AQ$10*Operations!AQ542*Operations!$F$445</f>
        <v>0</v>
      </c>
      <c r="AR563" s="20" t="n">
        <f aca="false">Inputs!$F$114*Inputs!$F$110/1000*Time!AR$9*Time!AR$10*Operations!AR542*Operations!$F$445</f>
        <v>0</v>
      </c>
      <c r="AS563" s="20" t="n">
        <f aca="false">Inputs!$F$114*Inputs!$F$110/1000*Time!AS$9*Time!AS$10*Operations!AS542*Operations!$F$445</f>
        <v>0</v>
      </c>
      <c r="AT563" s="20" t="n">
        <f aca="false">Inputs!$F$114*Inputs!$F$110/1000*Time!AT$9*Time!AT$10*Operations!AT542*Operations!$F$445</f>
        <v>0</v>
      </c>
      <c r="AU563" s="20" t="n">
        <f aca="false">Inputs!$F$114*Inputs!$F$110/1000*Time!AU$9*Time!AU$10*Operations!AU542*Operations!$F$445</f>
        <v>0</v>
      </c>
    </row>
    <row r="564" customFormat="false" ht="15" hidden="false" customHeight="false" outlineLevel="0" collapsed="false">
      <c r="D564" s="0" t="s">
        <v>565</v>
      </c>
      <c r="E564" s="0" t="s">
        <v>47</v>
      </c>
      <c r="J564" s="20" t="n">
        <f aca="false">Inputs!$F$239/100*Operations!J561</f>
        <v>0.914910718406656</v>
      </c>
      <c r="K564" s="20" t="n">
        <f aca="false">Inputs!$F$239/100*Operations!K561</f>
        <v>0.937040012125856</v>
      </c>
      <c r="L564" s="20" t="n">
        <f aca="false">Inputs!$F$239/100*Operations!L561</f>
        <v>0.9865057631964</v>
      </c>
      <c r="M564" s="20" t="n">
        <f aca="false">Inputs!$F$239/100*Operations!M561</f>
        <v>0.971852130047763</v>
      </c>
      <c r="N564" s="20" t="n">
        <f aca="false">Inputs!$F$239/100*Operations!N561</f>
        <v>0.964543540455527</v>
      </c>
      <c r="O564" s="20" t="n">
        <f aca="false">Inputs!$F$239/100*Operations!O561</f>
        <v>0.960509466471285</v>
      </c>
      <c r="P564" s="20" t="n">
        <f aca="false">Inputs!$F$239/100*Operations!P561</f>
        <v>0.95787975251866</v>
      </c>
      <c r="Q564" s="20" t="n">
        <f aca="false">Inputs!$F$239/100*Operations!Q561</f>
        <v>0.956030389569992</v>
      </c>
      <c r="R564" s="20" t="n">
        <f aca="false">Inputs!$F$239/100*Operations!R561</f>
        <v>0.625152575042129</v>
      </c>
      <c r="S564" s="20" t="n">
        <f aca="false">Inputs!$F$239/100*Operations!S561</f>
        <v>0.630642779497969</v>
      </c>
      <c r="T564" s="20" t="n">
        <f aca="false">Inputs!$F$239/100*Operations!T561</f>
        <v>0.636117264603121</v>
      </c>
      <c r="U564" s="20" t="n">
        <f aca="false">Inputs!$F$239/100*Operations!U561</f>
        <v>0.641569510345054</v>
      </c>
      <c r="V564" s="20" t="n">
        <f aca="false">Inputs!$F$239/100*Operations!V561</f>
        <v>0.646993049062914</v>
      </c>
      <c r="W564" s="20" t="n">
        <f aca="false">Inputs!$F$239/100*Operations!W561</f>
        <v>0.652381465185604</v>
      </c>
      <c r="X564" s="20" t="n">
        <f aca="false">Inputs!$F$239/100*Operations!X561</f>
        <v>0.657728394970914</v>
      </c>
      <c r="Y564" s="20" t="n">
        <f aca="false">Inputs!$F$239/100*Operations!Y561</f>
        <v>0.663138959443385</v>
      </c>
      <c r="Z564" s="20" t="n">
        <f aca="false">Inputs!$F$239/100*Operations!Z561</f>
        <v>0.668492859385757</v>
      </c>
      <c r="AA564" s="20" t="n">
        <f aca="false">Inputs!$F$239/100*Operations!AA561</f>
        <v>0.680455026997085</v>
      </c>
      <c r="AB564" s="20" t="n">
        <f aca="false">Inputs!$F$239/100*Operations!AB561</f>
        <v>0.692695743578681</v>
      </c>
      <c r="AC564" s="20" t="n">
        <f aca="false">Inputs!$F$239/100*Operations!AC561</f>
        <v>0.705103717786462</v>
      </c>
      <c r="AD564" s="20" t="n">
        <f aca="false">Inputs!$F$239/100*Operations!AD561</f>
        <v>0.717787045956426</v>
      </c>
      <c r="AE564" s="20" t="n">
        <f aca="false">Inputs!$F$239/100*Operations!AE561</f>
        <v>0.730634887817976</v>
      </c>
      <c r="AF564" s="20" t="n">
        <f aca="false">Inputs!$F$239/100*Operations!AF561</f>
        <v>0.743754914090344</v>
      </c>
      <c r="AG564" s="20" t="n">
        <f aca="false">Inputs!$F$239/100*Operations!AG561</f>
        <v>0.757145331750666</v>
      </c>
      <c r="AH564" s="20" t="n">
        <f aca="false">Inputs!$F$239/100*Operations!AH561</f>
        <v>0.770695974350377</v>
      </c>
      <c r="AI564" s="20" t="n">
        <f aca="false">Inputs!$F$239/100*Operations!AI561</f>
        <v>0.784513877958003</v>
      </c>
      <c r="AJ564" s="20" t="n">
        <f aca="false">Inputs!$F$239/100*Operations!AJ561</f>
        <v>0.798597270342622</v>
      </c>
      <c r="AK564" s="20" t="n">
        <f aca="false">Inputs!$F$239/100*Operations!AK561</f>
        <v>0.743899794853282</v>
      </c>
      <c r="AL564" s="20" t="n">
        <f aca="false">Inputs!$F$239/100*Operations!AL561</f>
        <v>0</v>
      </c>
      <c r="AM564" s="20" t="n">
        <f aca="false">Inputs!$F$239/100*Operations!AM561</f>
        <v>0</v>
      </c>
      <c r="AN564" s="20" t="n">
        <f aca="false">Inputs!$F$239/100*Operations!AN561</f>
        <v>0</v>
      </c>
      <c r="AO564" s="20" t="n">
        <f aca="false">Inputs!$F$239/100*Operations!AO561</f>
        <v>0</v>
      </c>
      <c r="AP564" s="20" t="n">
        <f aca="false">Inputs!$F$239/100*Operations!AP561</f>
        <v>0</v>
      </c>
      <c r="AQ564" s="20" t="n">
        <f aca="false">Inputs!$F$239/100*Operations!AQ561</f>
        <v>0</v>
      </c>
      <c r="AR564" s="20" t="n">
        <f aca="false">Inputs!$F$239/100*Operations!AR561</f>
        <v>0</v>
      </c>
      <c r="AS564" s="20" t="n">
        <f aca="false">Inputs!$F$239/100*Operations!AS561</f>
        <v>0</v>
      </c>
      <c r="AT564" s="20" t="n">
        <f aca="false">Inputs!$F$239/100*Operations!AT561</f>
        <v>0</v>
      </c>
      <c r="AU564" s="20" t="n">
        <f aca="false">Inputs!$F$239/100*Operations!AU561</f>
        <v>0</v>
      </c>
    </row>
    <row r="565" customFormat="false" ht="15" hidden="false" customHeight="false" outlineLevel="0" collapsed="false">
      <c r="D565" s="0" t="s">
        <v>566</v>
      </c>
      <c r="E565" s="0" t="s">
        <v>47</v>
      </c>
      <c r="J565" s="20" t="n">
        <f aca="false">Inputs!$F$243/100*Inputs!$F$115*Inputs!$F$110/1000*Time!J$9*Operations!J542</f>
        <v>0.056916</v>
      </c>
      <c r="K565" s="20" t="n">
        <f aca="false">Inputs!$F$243/100*Inputs!$F$115*Inputs!$F$110/1000*Time!K$9*Operations!K542</f>
        <v>0.0583389</v>
      </c>
      <c r="L565" s="20" t="n">
        <f aca="false">Inputs!$F$243/100*Inputs!$F$115*Inputs!$F$110/1000*Time!L$9*Operations!L542</f>
        <v>0.0597973725</v>
      </c>
      <c r="M565" s="20" t="n">
        <f aca="false">Inputs!$F$243/100*Inputs!$F$115*Inputs!$F$110/1000*Time!M$9*Operations!M542</f>
        <v>0.0612923068125</v>
      </c>
      <c r="N565" s="20" t="n">
        <f aca="false">Inputs!$F$243/100*Inputs!$F$115*Inputs!$F$110/1000*Time!N$9*Operations!N542</f>
        <v>0.0628246144828125</v>
      </c>
      <c r="O565" s="20" t="n">
        <f aca="false">Inputs!$F$243/100*Inputs!$F$115*Inputs!$F$110/1000*Time!O$9*Operations!O542</f>
        <v>0.0643952298448828</v>
      </c>
      <c r="P565" s="20" t="n">
        <f aca="false">Inputs!$F$243/100*Inputs!$F$115*Inputs!$F$110/1000*Time!P$9*Operations!P542</f>
        <v>0.0660051105910048</v>
      </c>
      <c r="Q565" s="20" t="n">
        <f aca="false">Inputs!$F$243/100*Inputs!$F$115*Inputs!$F$110/1000*Time!Q$9*Operations!Q542</f>
        <v>0.06765523835578</v>
      </c>
      <c r="R565" s="20" t="n">
        <f aca="false">Inputs!$F$243/100*Inputs!$F$115*Inputs!$F$110/1000*Time!R$9*Operations!R542</f>
        <v>0.0693466193146744</v>
      </c>
      <c r="S565" s="20" t="n">
        <f aca="false">Inputs!$F$243/100*Inputs!$F$115*Inputs!$F$110/1000*Time!S$9*Operations!S542</f>
        <v>0.0710802847975413</v>
      </c>
      <c r="T565" s="20" t="n">
        <f aca="false">Inputs!$F$243/100*Inputs!$F$115*Inputs!$F$110/1000*Time!T$9*Operations!T542</f>
        <v>0.0728572919174798</v>
      </c>
      <c r="U565" s="20" t="n">
        <f aca="false">Inputs!$F$243/100*Inputs!$F$115*Inputs!$F$110/1000*Time!U$9*Operations!U542</f>
        <v>0.0746787242154168</v>
      </c>
      <c r="V565" s="20" t="n">
        <f aca="false">Inputs!$F$243/100*Inputs!$F$115*Inputs!$F$110/1000*Time!V$9*Operations!V542</f>
        <v>0.0765456923208022</v>
      </c>
      <c r="W565" s="20" t="n">
        <f aca="false">Inputs!$F$243/100*Inputs!$F$115*Inputs!$F$110/1000*Time!W$9*Operations!W542</f>
        <v>0.0784593346288223</v>
      </c>
      <c r="X565" s="20" t="n">
        <f aca="false">Inputs!$F$243/100*Inputs!$F$115*Inputs!$F$110/1000*Time!X$9*Operations!X542</f>
        <v>0.0804208179945428</v>
      </c>
      <c r="Y565" s="20" t="n">
        <f aca="false">Inputs!$F$243/100*Inputs!$F$115*Inputs!$F$110/1000*Time!Y$9*Operations!Y542</f>
        <v>0.0824313384444064</v>
      </c>
      <c r="Z565" s="20" t="n">
        <f aca="false">Inputs!$F$243/100*Inputs!$F$115*Inputs!$F$110/1000*Time!Z$9*Operations!Z542</f>
        <v>0.0844921219055166</v>
      </c>
      <c r="AA565" s="20" t="n">
        <f aca="false">Inputs!$F$243/100*Inputs!$F$115*Inputs!$F$110/1000*Time!AA$9*Operations!AA542</f>
        <v>0.0866044249531545</v>
      </c>
      <c r="AB565" s="20" t="n">
        <f aca="false">Inputs!$F$243/100*Inputs!$F$115*Inputs!$F$110/1000*Time!AB$9*Operations!AB542</f>
        <v>0.0887695355769833</v>
      </c>
      <c r="AC565" s="20" t="n">
        <f aca="false">Inputs!$F$243/100*Inputs!$F$115*Inputs!$F$110/1000*Time!AC$9*Operations!AC542</f>
        <v>0.0909887739664079</v>
      </c>
      <c r="AD565" s="20" t="n">
        <f aca="false">Inputs!$F$243/100*Inputs!$F$115*Inputs!$F$110/1000*Time!AD$9*Operations!AD542</f>
        <v>0.0932634933155681</v>
      </c>
      <c r="AE565" s="20" t="n">
        <f aca="false">Inputs!$F$243/100*Inputs!$F$115*Inputs!$F$110/1000*Time!AE$9*Operations!AE542</f>
        <v>0.0955950806484573</v>
      </c>
      <c r="AF565" s="20" t="n">
        <f aca="false">Inputs!$F$243/100*Inputs!$F$115*Inputs!$F$110/1000*Time!AF$9*Operations!AF542</f>
        <v>0.0979849576646687</v>
      </c>
      <c r="AG565" s="20" t="n">
        <f aca="false">Inputs!$F$243/100*Inputs!$F$115*Inputs!$F$110/1000*Time!AG$9*Operations!AG542</f>
        <v>0.100434581606285</v>
      </c>
      <c r="AH565" s="20" t="n">
        <f aca="false">Inputs!$F$243/100*Inputs!$F$115*Inputs!$F$110/1000*Time!AH$9*Operations!AH542</f>
        <v>0.102945446146443</v>
      </c>
      <c r="AI565" s="20" t="n">
        <f aca="false">Inputs!$F$243/100*Inputs!$F$115*Inputs!$F$110/1000*Time!AI$9*Operations!AI542</f>
        <v>0.105519082300104</v>
      </c>
      <c r="AJ565" s="20" t="n">
        <f aca="false">Inputs!$F$243/100*Inputs!$F$115*Inputs!$F$110/1000*Time!AJ$9*Operations!AJ542</f>
        <v>0.108157059357606</v>
      </c>
      <c r="AK565" s="20" t="n">
        <f aca="false">Inputs!$F$243/100*Inputs!$F$115*Inputs!$F$110/1000*Time!AK$9*Operations!AK542</f>
        <v>0.101445395263223</v>
      </c>
      <c r="AL565" s="20" t="n">
        <f aca="false">Inputs!$F$243/100*Inputs!$F$115*Inputs!$F$110/1000*Time!AL$9*Operations!AL542</f>
        <v>0</v>
      </c>
      <c r="AM565" s="20" t="n">
        <f aca="false">Inputs!$F$243/100*Inputs!$F$115*Inputs!$F$110/1000*Time!AM$9*Operations!AM542</f>
        <v>0</v>
      </c>
      <c r="AN565" s="20" t="n">
        <f aca="false">Inputs!$F$243/100*Inputs!$F$115*Inputs!$F$110/1000*Time!AN$9*Operations!AN542</f>
        <v>0</v>
      </c>
      <c r="AO565" s="20" t="n">
        <f aca="false">Inputs!$F$243/100*Inputs!$F$115*Inputs!$F$110/1000*Time!AO$9*Operations!AO542</f>
        <v>0</v>
      </c>
      <c r="AP565" s="20" t="n">
        <f aca="false">Inputs!$F$243/100*Inputs!$F$115*Inputs!$F$110/1000*Time!AP$9*Operations!AP542</f>
        <v>0</v>
      </c>
      <c r="AQ565" s="20" t="n">
        <f aca="false">Inputs!$F$243/100*Inputs!$F$115*Inputs!$F$110/1000*Time!AQ$9*Operations!AQ542</f>
        <v>0</v>
      </c>
      <c r="AR565" s="20" t="n">
        <f aca="false">Inputs!$F$243/100*Inputs!$F$115*Inputs!$F$110/1000*Time!AR$9*Operations!AR542</f>
        <v>0</v>
      </c>
      <c r="AS565" s="20" t="n">
        <f aca="false">Inputs!$F$243/100*Inputs!$F$115*Inputs!$F$110/1000*Time!AS$9*Operations!AS542</f>
        <v>0</v>
      </c>
      <c r="AT565" s="20" t="n">
        <f aca="false">Inputs!$F$243/100*Inputs!$F$115*Inputs!$F$110/1000*Time!AT$9*Operations!AT542</f>
        <v>0</v>
      </c>
      <c r="AU565" s="20" t="n">
        <f aca="false">Inputs!$F$243/100*Inputs!$F$115*Inputs!$F$110/1000*Time!AU$9*Operations!AU542</f>
        <v>0</v>
      </c>
    </row>
    <row r="566" customFormat="false" ht="15" hidden="false" customHeight="false" outlineLevel="0" collapsed="false">
      <c r="D566" s="0" t="s">
        <v>567</v>
      </c>
      <c r="E566" s="0" t="s">
        <v>47</v>
      </c>
      <c r="J566" s="20" t="n">
        <f aca="false">Inputs!$F$244/100*Inputs!$F$245/100*Operations!J561</f>
        <v>0.120082031790874</v>
      </c>
      <c r="K566" s="20" t="n">
        <f aca="false">Inputs!$F$244/100*Inputs!$F$245/100*Operations!K561</f>
        <v>0.122986501591519</v>
      </c>
      <c r="L566" s="20" t="n">
        <f aca="false">Inputs!$F$244/100*Inputs!$F$245/100*Operations!L561</f>
        <v>0.129478881419528</v>
      </c>
      <c r="M566" s="20" t="n">
        <f aca="false">Inputs!$F$244/100*Inputs!$F$245/100*Operations!M561</f>
        <v>0.127555592068769</v>
      </c>
      <c r="N566" s="20" t="n">
        <f aca="false">Inputs!$F$244/100*Inputs!$F$245/100*Operations!N561</f>
        <v>0.126596339684788</v>
      </c>
      <c r="O566" s="20" t="n">
        <f aca="false">Inputs!$F$244/100*Inputs!$F$245/100*Operations!O561</f>
        <v>0.126066867474356</v>
      </c>
      <c r="P566" s="20" t="n">
        <f aca="false">Inputs!$F$244/100*Inputs!$F$245/100*Operations!P561</f>
        <v>0.125721717518074</v>
      </c>
      <c r="Q566" s="20" t="n">
        <f aca="false">Inputs!$F$244/100*Inputs!$F$245/100*Operations!Q561</f>
        <v>0.125478988631061</v>
      </c>
      <c r="R566" s="20" t="n">
        <f aca="false">Inputs!$F$244/100*Inputs!$F$245/100*Operations!R561</f>
        <v>0.0820512754742795</v>
      </c>
      <c r="S566" s="20" t="n">
        <f aca="false">Inputs!$F$244/100*Inputs!$F$245/100*Operations!S561</f>
        <v>0.0827718648091085</v>
      </c>
      <c r="T566" s="20" t="n">
        <f aca="false">Inputs!$F$244/100*Inputs!$F$245/100*Operations!T561</f>
        <v>0.0834903909791596</v>
      </c>
      <c r="U566" s="20" t="n">
        <f aca="false">Inputs!$F$244/100*Inputs!$F$245/100*Operations!U561</f>
        <v>0.0842059982327883</v>
      </c>
      <c r="V566" s="20" t="n">
        <f aca="false">Inputs!$F$244/100*Inputs!$F$245/100*Operations!V561</f>
        <v>0.0849178376895075</v>
      </c>
      <c r="W566" s="20" t="n">
        <f aca="false">Inputs!$F$244/100*Inputs!$F$245/100*Operations!W561</f>
        <v>0.0856250673056105</v>
      </c>
      <c r="X566" s="20" t="n">
        <f aca="false">Inputs!$F$244/100*Inputs!$F$245/100*Operations!X561</f>
        <v>0.0863268518399325</v>
      </c>
      <c r="Y566" s="20" t="n">
        <f aca="false">Inputs!$F$244/100*Inputs!$F$245/100*Operations!Y561</f>
        <v>0.0870369884269443</v>
      </c>
      <c r="Z566" s="20" t="n">
        <f aca="false">Inputs!$F$244/100*Inputs!$F$245/100*Operations!Z561</f>
        <v>0.0877396877943805</v>
      </c>
      <c r="AA566" s="20" t="n">
        <f aca="false">Inputs!$F$244/100*Inputs!$F$245/100*Operations!AA561</f>
        <v>0.0893097222933674</v>
      </c>
      <c r="AB566" s="20" t="n">
        <f aca="false">Inputs!$F$244/100*Inputs!$F$245/100*Operations!AB561</f>
        <v>0.0909163163447019</v>
      </c>
      <c r="AC566" s="20" t="n">
        <f aca="false">Inputs!$F$244/100*Inputs!$F$245/100*Operations!AC561</f>
        <v>0.0925448629594731</v>
      </c>
      <c r="AD566" s="20" t="n">
        <f aca="false">Inputs!$F$244/100*Inputs!$F$245/100*Operations!AD561</f>
        <v>0.0942095497817809</v>
      </c>
      <c r="AE566" s="20" t="n">
        <f aca="false">Inputs!$F$244/100*Inputs!$F$245/100*Operations!AE561</f>
        <v>0.0958958290261093</v>
      </c>
      <c r="AF566" s="20" t="n">
        <f aca="false">Inputs!$F$244/100*Inputs!$F$245/100*Operations!AF561</f>
        <v>0.0976178324743576</v>
      </c>
      <c r="AG566" s="20" t="n">
        <f aca="false">Inputs!$F$244/100*Inputs!$F$245/100*Operations!AG561</f>
        <v>0.0993753247922749</v>
      </c>
      <c r="AH566" s="20" t="n">
        <f aca="false">Inputs!$F$244/100*Inputs!$F$245/100*Operations!AH561</f>
        <v>0.101153846633487</v>
      </c>
      <c r="AI566" s="20" t="n">
        <f aca="false">Inputs!$F$244/100*Inputs!$F$245/100*Operations!AI561</f>
        <v>0.102967446481988</v>
      </c>
      <c r="AJ566" s="20" t="n">
        <f aca="false">Inputs!$F$244/100*Inputs!$F$245/100*Operations!AJ561</f>
        <v>0.104815891732469</v>
      </c>
      <c r="AK566" s="20" t="n">
        <f aca="false">Inputs!$F$244/100*Inputs!$F$245/100*Operations!AK561</f>
        <v>0.0976368480744933</v>
      </c>
      <c r="AL566" s="20" t="n">
        <f aca="false">Inputs!$F$244/100*Inputs!$F$245/100*Operations!AL561</f>
        <v>0</v>
      </c>
      <c r="AM566" s="20" t="n">
        <f aca="false">Inputs!$F$244/100*Inputs!$F$245/100*Operations!AM561</f>
        <v>0</v>
      </c>
      <c r="AN566" s="20" t="n">
        <f aca="false">Inputs!$F$244/100*Inputs!$F$245/100*Operations!AN561</f>
        <v>0</v>
      </c>
      <c r="AO566" s="20" t="n">
        <f aca="false">Inputs!$F$244/100*Inputs!$F$245/100*Operations!AO561</f>
        <v>0</v>
      </c>
      <c r="AP566" s="20" t="n">
        <f aca="false">Inputs!$F$244/100*Inputs!$F$245/100*Operations!AP561</f>
        <v>0</v>
      </c>
      <c r="AQ566" s="20" t="n">
        <f aca="false">Inputs!$F$244/100*Inputs!$F$245/100*Operations!AQ561</f>
        <v>0</v>
      </c>
      <c r="AR566" s="20" t="n">
        <f aca="false">Inputs!$F$244/100*Inputs!$F$245/100*Operations!AR561</f>
        <v>0</v>
      </c>
      <c r="AS566" s="20" t="n">
        <f aca="false">Inputs!$F$244/100*Inputs!$F$245/100*Operations!AS561</f>
        <v>0</v>
      </c>
      <c r="AT566" s="20" t="n">
        <f aca="false">Inputs!$F$244/100*Inputs!$F$245/100*Operations!AT561</f>
        <v>0</v>
      </c>
      <c r="AU566" s="20" t="n">
        <f aca="false">Inputs!$F$244/100*Inputs!$F$245/100*Operations!AU561</f>
        <v>0</v>
      </c>
    </row>
    <row r="567" customFormat="false" ht="15" hidden="false" customHeight="false" outlineLevel="0" collapsed="false">
      <c r="D567" s="0" t="s">
        <v>568</v>
      </c>
      <c r="E567" s="0" t="s">
        <v>47</v>
      </c>
      <c r="G567" s="20" t="n">
        <f aca="false">SUM(J567:AU567)</f>
        <v>280.03654396925</v>
      </c>
      <c r="J567" s="20" t="n">
        <f aca="false">Operations!J561-Operations!J563-Operations!J564-Operations!J565-Operations!J566</f>
        <v>16.0892592099689</v>
      </c>
      <c r="K567" s="20" t="n">
        <f aca="false">Operations!K561-Operations!K563-Operations!K564-Operations!K565-Operations!K566</f>
        <v>16.281226519429</v>
      </c>
      <c r="L567" s="20" t="n">
        <f aca="false">Operations!L561-Operations!L563-Operations!L564-Operations!L565-Operations!L566</f>
        <v>17.3097934835441</v>
      </c>
      <c r="M567" s="20" t="n">
        <f aca="false">Operations!M561-Operations!M563-Operations!M564-Operations!M565-Operations!M566</f>
        <v>16.8041079285338</v>
      </c>
      <c r="N567" s="20" t="n">
        <f aca="false">Operations!N561-Operations!N563-Operations!N564-Operations!N565-Operations!N566</f>
        <v>16.4698413406905</v>
      </c>
      <c r="O567" s="20" t="n">
        <f aca="false">Operations!O561-Operations!O563-Operations!O564-Operations!O565-Operations!O566</f>
        <v>16.2097378550152</v>
      </c>
      <c r="P567" s="20" t="n">
        <f aca="false">Operations!P561-Operations!P563-Operations!P564-Operations!P565-Operations!P566</f>
        <v>15.979059308288</v>
      </c>
      <c r="Q567" s="20" t="n">
        <f aca="false">Operations!Q561-Operations!Q563-Operations!Q564-Operations!Q565-Operations!Q566</f>
        <v>15.7628090005409</v>
      </c>
      <c r="R567" s="20" t="n">
        <f aca="false">Operations!R561-Operations!R563-Operations!R564-Operations!R565-Operations!R566</f>
        <v>7.68875813101628</v>
      </c>
      <c r="S567" s="20" t="n">
        <f aca="false">Operations!S561-Operations!S563-Operations!S564-Operations!S565-Operations!S566</f>
        <v>7.63898113875859</v>
      </c>
      <c r="T567" s="20" t="n">
        <f aca="false">Operations!T561-Operations!T563-Operations!T564-Operations!T565-Operations!T566</f>
        <v>7.58430841250259</v>
      </c>
      <c r="U567" s="20" t="n">
        <f aca="false">Operations!U561-Operations!U563-Operations!U564-Operations!U565-Operations!U566</f>
        <v>7.52447131438053</v>
      </c>
      <c r="V567" s="20" t="n">
        <f aca="false">Operations!V561-Operations!V563-Operations!V564-Operations!V565-Operations!V566</f>
        <v>7.45919963076076</v>
      </c>
      <c r="W567" s="20" t="n">
        <f aca="false">Operations!W561-Operations!W563-Operations!W564-Operations!W565-Operations!W566</f>
        <v>7.38822149536272</v>
      </c>
      <c r="X567" s="20" t="n">
        <f aca="false">Operations!X561-Operations!X563-Operations!X564-Operations!X565-Operations!X566</f>
        <v>7.31126331063118</v>
      </c>
      <c r="Y567" s="20" t="n">
        <f aca="false">Operations!Y561-Operations!Y563-Operations!Y564-Operations!Y565-Operations!Y566</f>
        <v>7.2307094384627</v>
      </c>
      <c r="Z567" s="20" t="n">
        <f aca="false">Operations!Z561-Operations!Z563-Operations!Z564-Operations!Z565-Operations!Z566</f>
        <v>7.1435606227184</v>
      </c>
      <c r="AA567" s="20" t="n">
        <f aca="false">Operations!AA561-Operations!AA563-Operations!AA564-Operations!AA565-Operations!AA566</f>
        <v>7.20876940302265</v>
      </c>
      <c r="AB567" s="20" t="n">
        <f aca="false">Operations!AB561-Operations!AB563-Operations!AB564-Operations!AB565-Operations!AB566</f>
        <v>7.27511896886428</v>
      </c>
      <c r="AC567" s="20" t="n">
        <f aca="false">Operations!AC561-Operations!AC563-Operations!AC564-Operations!AC565-Operations!AC566</f>
        <v>7.33981523921926</v>
      </c>
      <c r="AD567" s="20" t="n">
        <f aca="false">Operations!AD561-Operations!AD563-Operations!AD564-Operations!AD565-Operations!AD566</f>
        <v>7.40529720035869</v>
      </c>
      <c r="AE567" s="20" t="n">
        <f aca="false">Operations!AE561-Operations!AE563-Operations!AE564-Operations!AE565-Operations!AE566</f>
        <v>7.46877456697122</v>
      </c>
      <c r="AF567" s="20" t="n">
        <f aca="false">Operations!AF561-Operations!AF563-Operations!AF564-Operations!AF565-Operations!AF566</f>
        <v>7.53266902126895</v>
      </c>
      <c r="AG567" s="20" t="n">
        <f aca="false">Operations!AG561-Operations!AG563-Operations!AG564-Operations!AG565-Operations!AG566</f>
        <v>7.59678577568814</v>
      </c>
      <c r="AH567" s="20" t="n">
        <f aca="false">Operations!AH561-Operations!AH563-Operations!AH564-Operations!AH565-Operations!AH566</f>
        <v>7.6583395047016</v>
      </c>
      <c r="AI567" s="20" t="n">
        <f aca="false">Operations!AI561-Operations!AI563-Operations!AI564-Operations!AI565-Operations!AI566</f>
        <v>7.71972534060927</v>
      </c>
      <c r="AJ567" s="20" t="n">
        <f aca="false">Operations!AJ561-Operations!AJ563-Operations!AJ564-Operations!AJ565-Operations!AJ566</f>
        <v>7.78073730549213</v>
      </c>
      <c r="AK567" s="20" t="n">
        <f aca="false">Operations!AK561-Operations!AK563-Operations!AK564-Operations!AK565-Operations!AK566</f>
        <v>7.1752035024501</v>
      </c>
      <c r="AL567" s="20" t="n">
        <f aca="false">Operations!AL561-Operations!AL563-Operations!AL564-Operations!AL565-Operations!AL566</f>
        <v>0</v>
      </c>
      <c r="AM567" s="20" t="n">
        <f aca="false">Operations!AM561-Operations!AM563-Operations!AM564-Operations!AM565-Operations!AM566</f>
        <v>0</v>
      </c>
      <c r="AN567" s="20" t="n">
        <f aca="false">Operations!AN561-Operations!AN563-Operations!AN564-Operations!AN565-Operations!AN566</f>
        <v>0</v>
      </c>
      <c r="AO567" s="20" t="n">
        <f aca="false">Operations!AO561-Operations!AO563-Operations!AO564-Operations!AO565-Operations!AO566</f>
        <v>0</v>
      </c>
      <c r="AP567" s="20" t="n">
        <f aca="false">Operations!AP561-Operations!AP563-Operations!AP564-Operations!AP565-Operations!AP566</f>
        <v>0</v>
      </c>
      <c r="AQ567" s="20" t="n">
        <f aca="false">Operations!AQ561-Operations!AQ563-Operations!AQ564-Operations!AQ565-Operations!AQ566</f>
        <v>0</v>
      </c>
      <c r="AR567" s="20" t="n">
        <f aca="false">Operations!AR561-Operations!AR563-Operations!AR564-Operations!AR565-Operations!AR566</f>
        <v>0</v>
      </c>
      <c r="AS567" s="20" t="n">
        <f aca="false">Operations!AS561-Operations!AS563-Operations!AS564-Operations!AS565-Operations!AS566</f>
        <v>0</v>
      </c>
      <c r="AT567" s="20" t="n">
        <f aca="false">Operations!AT561-Operations!AT563-Operations!AT564-Operations!AT565-Operations!AT566</f>
        <v>0</v>
      </c>
      <c r="AU567" s="20" t="n">
        <f aca="false">Operations!AU561-Operations!AU563-Operations!AU564-Operations!AU565-Operations!AU566</f>
        <v>0</v>
      </c>
    </row>
    <row r="568" customFormat="false" ht="15" hidden="false" customHeight="false" outlineLevel="0" collapsed="false">
      <c r="D568" s="0" t="s">
        <v>569</v>
      </c>
      <c r="E568" s="0" t="s">
        <v>47</v>
      </c>
      <c r="J568" s="20" t="n">
        <f aca="false">0</f>
        <v>0</v>
      </c>
      <c r="K568" s="20" t="n">
        <f aca="false">0</f>
        <v>0</v>
      </c>
      <c r="L568" s="20" t="n">
        <f aca="false">0</f>
        <v>0</v>
      </c>
      <c r="M568" s="20" t="n">
        <f aca="false">0</f>
        <v>0</v>
      </c>
      <c r="N568" s="20" t="n">
        <f aca="false">0</f>
        <v>0</v>
      </c>
      <c r="O568" s="20" t="n">
        <f aca="false">0</f>
        <v>0</v>
      </c>
      <c r="P568" s="20" t="n">
        <f aca="false">0</f>
        <v>0</v>
      </c>
      <c r="Q568" s="20" t="n">
        <f aca="false">0</f>
        <v>0</v>
      </c>
      <c r="R568" s="20" t="n">
        <f aca="false">0</f>
        <v>0</v>
      </c>
      <c r="S568" s="20" t="n">
        <f aca="false">0</f>
        <v>0</v>
      </c>
      <c r="T568" s="20" t="n">
        <f aca="false">0</f>
        <v>0</v>
      </c>
      <c r="U568" s="20" t="n">
        <f aca="false">0</f>
        <v>0</v>
      </c>
      <c r="V568" s="20" t="n">
        <f aca="false">0</f>
        <v>0</v>
      </c>
      <c r="W568" s="20" t="n">
        <f aca="false">0</f>
        <v>0</v>
      </c>
      <c r="X568" s="20" t="n">
        <f aca="false">0</f>
        <v>0</v>
      </c>
      <c r="Y568" s="20" t="n">
        <f aca="false">0</f>
        <v>0</v>
      </c>
      <c r="Z568" s="20" t="n">
        <f aca="false">0</f>
        <v>0</v>
      </c>
      <c r="AA568" s="20" t="n">
        <f aca="false">0</f>
        <v>0</v>
      </c>
      <c r="AB568" s="20" t="n">
        <f aca="false">0</f>
        <v>0</v>
      </c>
      <c r="AC568" s="20" t="n">
        <f aca="false">0</f>
        <v>0</v>
      </c>
      <c r="AD568" s="20" t="n">
        <f aca="false">0</f>
        <v>0</v>
      </c>
      <c r="AE568" s="20" t="n">
        <f aca="false">0</f>
        <v>0</v>
      </c>
      <c r="AF568" s="20" t="n">
        <f aca="false">0</f>
        <v>0</v>
      </c>
      <c r="AG568" s="20" t="n">
        <f aca="false">0</f>
        <v>0</v>
      </c>
      <c r="AH568" s="20" t="n">
        <f aca="false">0</f>
        <v>0</v>
      </c>
      <c r="AI568" s="20" t="n">
        <f aca="false">0</f>
        <v>0</v>
      </c>
      <c r="AJ568" s="20" t="n">
        <f aca="false">0</f>
        <v>0</v>
      </c>
      <c r="AK568" s="20" t="n">
        <f aca="false">0</f>
        <v>0</v>
      </c>
      <c r="AL568" s="20" t="n">
        <f aca="false">0</f>
        <v>0</v>
      </c>
      <c r="AM568" s="20" t="n">
        <f aca="false">0</f>
        <v>0</v>
      </c>
      <c r="AN568" s="20" t="n">
        <f aca="false">0</f>
        <v>0</v>
      </c>
      <c r="AO568" s="20" t="n">
        <f aca="false">0</f>
        <v>0</v>
      </c>
      <c r="AP568" s="20" t="n">
        <f aca="false">0</f>
        <v>0</v>
      </c>
      <c r="AQ568" s="20" t="n">
        <f aca="false">0</f>
        <v>0</v>
      </c>
      <c r="AR568" s="20" t="n">
        <f aca="false">0</f>
        <v>0</v>
      </c>
      <c r="AS568" s="20" t="n">
        <f aca="false">0</f>
        <v>0</v>
      </c>
      <c r="AT568" s="20" t="n">
        <f aca="false">0</f>
        <v>0</v>
      </c>
      <c r="AU568" s="20" t="n">
        <f aca="false">0</f>
        <v>0</v>
      </c>
    </row>
    <row r="569" customFormat="false" ht="15" hidden="false" customHeight="false" outlineLevel="0" collapsed="false">
      <c r="D569" s="0" t="s">
        <v>570</v>
      </c>
      <c r="E569" s="0" t="s">
        <v>47</v>
      </c>
      <c r="J569" s="20" t="n">
        <f aca="false">IF(Time!J$4=YEAR(Inputs!$F$112),Inputs!$F$115*Inputs!$F$110/1000*Time!J$9,0)</f>
        <v>0</v>
      </c>
      <c r="K569" s="20" t="n">
        <f aca="false">IF(Time!K$4=YEAR(Inputs!$F$112),Inputs!$F$115*Inputs!$F$110/1000*Time!K$9,0)</f>
        <v>0</v>
      </c>
      <c r="L569" s="20" t="n">
        <f aca="false">IF(Time!L$4=YEAR(Inputs!$F$112),Inputs!$F$115*Inputs!$F$110/1000*Time!L$9,0)</f>
        <v>0</v>
      </c>
      <c r="M569" s="20" t="n">
        <f aca="false">IF(Time!M$4=YEAR(Inputs!$F$112),Inputs!$F$115*Inputs!$F$110/1000*Time!M$9,0)</f>
        <v>0</v>
      </c>
      <c r="N569" s="20" t="n">
        <f aca="false">IF(Time!N$4=YEAR(Inputs!$F$112),Inputs!$F$115*Inputs!$F$110/1000*Time!N$9,0)</f>
        <v>0</v>
      </c>
      <c r="O569" s="20" t="n">
        <f aca="false">IF(Time!O$4=YEAR(Inputs!$F$112),Inputs!$F$115*Inputs!$F$110/1000*Time!O$9,0)</f>
        <v>0</v>
      </c>
      <c r="P569" s="20" t="n">
        <f aca="false">IF(Time!P$4=YEAR(Inputs!$F$112),Inputs!$F$115*Inputs!$F$110/1000*Time!P$9,0)</f>
        <v>0</v>
      </c>
      <c r="Q569" s="20" t="n">
        <f aca="false">IF(Time!Q$4=YEAR(Inputs!$F$112),Inputs!$F$115*Inputs!$F$110/1000*Time!Q$9,0)</f>
        <v>0</v>
      </c>
      <c r="R569" s="20" t="n">
        <f aca="false">IF(Time!R$4=YEAR(Inputs!$F$112),Inputs!$F$115*Inputs!$F$110/1000*Time!R$9,0)</f>
        <v>0</v>
      </c>
      <c r="S569" s="20" t="n">
        <f aca="false">IF(Time!S$4=YEAR(Inputs!$F$112),Inputs!$F$115*Inputs!$F$110/1000*Time!S$9,0)</f>
        <v>0</v>
      </c>
      <c r="T569" s="20" t="n">
        <f aca="false">IF(Time!T$4=YEAR(Inputs!$F$112),Inputs!$F$115*Inputs!$F$110/1000*Time!T$9,0)</f>
        <v>0</v>
      </c>
      <c r="U569" s="20" t="n">
        <f aca="false">IF(Time!U$4=YEAR(Inputs!$F$112),Inputs!$F$115*Inputs!$F$110/1000*Time!U$9,0)</f>
        <v>0</v>
      </c>
      <c r="V569" s="20" t="n">
        <f aca="false">IF(Time!V$4=YEAR(Inputs!$F$112),Inputs!$F$115*Inputs!$F$110/1000*Time!V$9,0)</f>
        <v>0</v>
      </c>
      <c r="W569" s="20" t="n">
        <f aca="false">IF(Time!W$4=YEAR(Inputs!$F$112),Inputs!$F$115*Inputs!$F$110/1000*Time!W$9,0)</f>
        <v>0</v>
      </c>
      <c r="X569" s="20" t="n">
        <f aca="false">IF(Time!X$4=YEAR(Inputs!$F$112),Inputs!$F$115*Inputs!$F$110/1000*Time!X$9,0)</f>
        <v>0</v>
      </c>
      <c r="Y569" s="20" t="n">
        <f aca="false">IF(Time!Y$4=YEAR(Inputs!$F$112),Inputs!$F$115*Inputs!$F$110/1000*Time!Y$9,0)</f>
        <v>0</v>
      </c>
      <c r="Z569" s="20" t="n">
        <f aca="false">IF(Time!Z$4=YEAR(Inputs!$F$112),Inputs!$F$115*Inputs!$F$110/1000*Time!Z$9,0)</f>
        <v>0</v>
      </c>
      <c r="AA569" s="20" t="n">
        <f aca="false">IF(Time!AA$4=YEAR(Inputs!$F$112),Inputs!$F$115*Inputs!$F$110/1000*Time!AA$9,0)</f>
        <v>0</v>
      </c>
      <c r="AB569" s="20" t="n">
        <f aca="false">IF(Time!AB$4=YEAR(Inputs!$F$112),Inputs!$F$115*Inputs!$F$110/1000*Time!AB$9,0)</f>
        <v>0</v>
      </c>
      <c r="AC569" s="20" t="n">
        <f aca="false">IF(Time!AC$4=YEAR(Inputs!$F$112),Inputs!$F$115*Inputs!$F$110/1000*Time!AC$9,0)</f>
        <v>0</v>
      </c>
      <c r="AD569" s="20" t="n">
        <f aca="false">IF(Time!AD$4=YEAR(Inputs!$F$112),Inputs!$F$115*Inputs!$F$110/1000*Time!AD$9,0)</f>
        <v>0</v>
      </c>
      <c r="AE569" s="20" t="n">
        <f aca="false">IF(Time!AE$4=YEAR(Inputs!$F$112),Inputs!$F$115*Inputs!$F$110/1000*Time!AE$9,0)</f>
        <v>0</v>
      </c>
      <c r="AF569" s="20" t="n">
        <f aca="false">IF(Time!AF$4=YEAR(Inputs!$F$112),Inputs!$F$115*Inputs!$F$110/1000*Time!AF$9,0)</f>
        <v>0</v>
      </c>
      <c r="AG569" s="20" t="n">
        <f aca="false">IF(Time!AG$4=YEAR(Inputs!$F$112),Inputs!$F$115*Inputs!$F$110/1000*Time!AG$9,0)</f>
        <v>0</v>
      </c>
      <c r="AH569" s="20" t="n">
        <f aca="false">IF(Time!AH$4=YEAR(Inputs!$F$112),Inputs!$F$115*Inputs!$F$110/1000*Time!AH$9,0)</f>
        <v>0</v>
      </c>
      <c r="AI569" s="20" t="n">
        <f aca="false">IF(Time!AI$4=YEAR(Inputs!$F$112),Inputs!$F$115*Inputs!$F$110/1000*Time!AI$9,0)</f>
        <v>0</v>
      </c>
      <c r="AJ569" s="20" t="n">
        <f aca="false">IF(Time!AJ$4=YEAR(Inputs!$F$112),Inputs!$F$115*Inputs!$F$110/1000*Time!AJ$9,0)</f>
        <v>0</v>
      </c>
      <c r="AK569" s="20" t="n">
        <f aca="false">IF(Time!AK$4=YEAR(Inputs!$F$112),Inputs!$F$115*Inputs!$F$110/1000*Time!AK$9,0)</f>
        <v>18.4768309735911</v>
      </c>
      <c r="AL569" s="20" t="n">
        <f aca="false">IF(Time!AL$4=YEAR(Inputs!$F$112),Inputs!$F$115*Inputs!$F$110/1000*Time!AL$9,0)</f>
        <v>0</v>
      </c>
      <c r="AM569" s="20" t="n">
        <f aca="false">IF(Time!AM$4=YEAR(Inputs!$F$112),Inputs!$F$115*Inputs!$F$110/1000*Time!AM$9,0)</f>
        <v>0</v>
      </c>
      <c r="AN569" s="20" t="n">
        <f aca="false">IF(Time!AN$4=YEAR(Inputs!$F$112),Inputs!$F$115*Inputs!$F$110/1000*Time!AN$9,0)</f>
        <v>0</v>
      </c>
      <c r="AO569" s="20" t="n">
        <f aca="false">IF(Time!AO$4=YEAR(Inputs!$F$112),Inputs!$F$115*Inputs!$F$110/1000*Time!AO$9,0)</f>
        <v>0</v>
      </c>
      <c r="AP569" s="20" t="n">
        <f aca="false">IF(Time!AP$4=YEAR(Inputs!$F$112),Inputs!$F$115*Inputs!$F$110/1000*Time!AP$9,0)</f>
        <v>0</v>
      </c>
      <c r="AQ569" s="20" t="n">
        <f aca="false">IF(Time!AQ$4=YEAR(Inputs!$F$112),Inputs!$F$115*Inputs!$F$110/1000*Time!AQ$9,0)</f>
        <v>0</v>
      </c>
      <c r="AR569" s="20" t="n">
        <f aca="false">IF(Time!AR$4=YEAR(Inputs!$F$112),Inputs!$F$115*Inputs!$F$110/1000*Time!AR$9,0)</f>
        <v>0</v>
      </c>
      <c r="AS569" s="20" t="n">
        <f aca="false">IF(Time!AS$4=YEAR(Inputs!$F$112),Inputs!$F$115*Inputs!$F$110/1000*Time!AS$9,0)</f>
        <v>0</v>
      </c>
      <c r="AT569" s="20" t="n">
        <f aca="false">IF(Time!AT$4=YEAR(Inputs!$F$112),Inputs!$F$115*Inputs!$F$110/1000*Time!AT$9,0)</f>
        <v>0</v>
      </c>
      <c r="AU569" s="20" t="n">
        <f aca="false">IF(Time!AU$4=YEAR(Inputs!$F$112),Inputs!$F$115*Inputs!$F$110/1000*Time!AU$9,0)</f>
        <v>0</v>
      </c>
    </row>
    <row r="570" customFormat="false" ht="15" hidden="false" customHeight="false" outlineLevel="0" collapsed="false">
      <c r="D570" s="0" t="s">
        <v>571</v>
      </c>
      <c r="E570" s="0" t="s">
        <v>47</v>
      </c>
      <c r="G570" s="20" t="n">
        <f aca="false">SUM(J570:AU570)</f>
        <v>261.559712995659</v>
      </c>
      <c r="J570" s="20" t="n">
        <f aca="false">Operations!J567-Operations!J568-Operations!J569</f>
        <v>16.0892592099689</v>
      </c>
      <c r="K570" s="20" t="n">
        <f aca="false">Operations!K567-Operations!K568-Operations!K569</f>
        <v>16.281226519429</v>
      </c>
      <c r="L570" s="20" t="n">
        <f aca="false">Operations!L567-Operations!L568-Operations!L569</f>
        <v>17.3097934835441</v>
      </c>
      <c r="M570" s="20" t="n">
        <f aca="false">Operations!M567-Operations!M568-Operations!M569</f>
        <v>16.8041079285338</v>
      </c>
      <c r="N570" s="20" t="n">
        <f aca="false">Operations!N567-Operations!N568-Operations!N569</f>
        <v>16.4698413406905</v>
      </c>
      <c r="O570" s="20" t="n">
        <f aca="false">Operations!O567-Operations!O568-Operations!O569</f>
        <v>16.2097378550152</v>
      </c>
      <c r="P570" s="20" t="n">
        <f aca="false">Operations!P567-Operations!P568-Operations!P569</f>
        <v>15.979059308288</v>
      </c>
      <c r="Q570" s="20" t="n">
        <f aca="false">Operations!Q567-Operations!Q568-Operations!Q569</f>
        <v>15.7628090005409</v>
      </c>
      <c r="R570" s="20" t="n">
        <f aca="false">Operations!R567-Operations!R568-Operations!R569</f>
        <v>7.68875813101628</v>
      </c>
      <c r="S570" s="20" t="n">
        <f aca="false">Operations!S567-Operations!S568-Operations!S569</f>
        <v>7.63898113875859</v>
      </c>
      <c r="T570" s="20" t="n">
        <f aca="false">Operations!T567-Operations!T568-Operations!T569</f>
        <v>7.58430841250259</v>
      </c>
      <c r="U570" s="20" t="n">
        <f aca="false">Operations!U567-Operations!U568-Operations!U569</f>
        <v>7.52447131438053</v>
      </c>
      <c r="V570" s="20" t="n">
        <f aca="false">Operations!V567-Operations!V568-Operations!V569</f>
        <v>7.45919963076076</v>
      </c>
      <c r="W570" s="20" t="n">
        <f aca="false">Operations!W567-Operations!W568-Operations!W569</f>
        <v>7.38822149536272</v>
      </c>
      <c r="X570" s="20" t="n">
        <f aca="false">Operations!X567-Operations!X568-Operations!X569</f>
        <v>7.31126331063118</v>
      </c>
      <c r="Y570" s="20" t="n">
        <f aca="false">Operations!Y567-Operations!Y568-Operations!Y569</f>
        <v>7.2307094384627</v>
      </c>
      <c r="Z570" s="20" t="n">
        <f aca="false">Operations!Z567-Operations!Z568-Operations!Z569</f>
        <v>7.1435606227184</v>
      </c>
      <c r="AA570" s="20" t="n">
        <f aca="false">Operations!AA567-Operations!AA568-Operations!AA569</f>
        <v>7.20876940302265</v>
      </c>
      <c r="AB570" s="20" t="n">
        <f aca="false">Operations!AB567-Operations!AB568-Operations!AB569</f>
        <v>7.27511896886428</v>
      </c>
      <c r="AC570" s="20" t="n">
        <f aca="false">Operations!AC567-Operations!AC568-Operations!AC569</f>
        <v>7.33981523921926</v>
      </c>
      <c r="AD570" s="20" t="n">
        <f aca="false">Operations!AD567-Operations!AD568-Operations!AD569</f>
        <v>7.40529720035869</v>
      </c>
      <c r="AE570" s="20" t="n">
        <f aca="false">Operations!AE567-Operations!AE568-Operations!AE569</f>
        <v>7.46877456697122</v>
      </c>
      <c r="AF570" s="20" t="n">
        <f aca="false">Operations!AF567-Operations!AF568-Operations!AF569</f>
        <v>7.53266902126895</v>
      </c>
      <c r="AG570" s="20" t="n">
        <f aca="false">Operations!AG567-Operations!AG568-Operations!AG569</f>
        <v>7.59678577568814</v>
      </c>
      <c r="AH570" s="20" t="n">
        <f aca="false">Operations!AH567-Operations!AH568-Operations!AH569</f>
        <v>7.6583395047016</v>
      </c>
      <c r="AI570" s="20" t="n">
        <f aca="false">Operations!AI567-Operations!AI568-Operations!AI569</f>
        <v>7.71972534060927</v>
      </c>
      <c r="AJ570" s="20" t="n">
        <f aca="false">Operations!AJ567-Operations!AJ568-Operations!AJ569</f>
        <v>7.78073730549213</v>
      </c>
      <c r="AK570" s="20" t="n">
        <f aca="false">Operations!AK567-Operations!AK568-Operations!AK569</f>
        <v>-11.301627471141</v>
      </c>
      <c r="AL570" s="20" t="n">
        <f aca="false">Operations!AL567-Operations!AL568-Operations!AL569</f>
        <v>0</v>
      </c>
      <c r="AM570" s="20" t="n">
        <f aca="false">Operations!AM567-Operations!AM568-Operations!AM569</f>
        <v>0</v>
      </c>
      <c r="AN570" s="20" t="n">
        <f aca="false">Operations!AN567-Operations!AN568-Operations!AN569</f>
        <v>0</v>
      </c>
      <c r="AO570" s="20" t="n">
        <f aca="false">Operations!AO567-Operations!AO568-Operations!AO569</f>
        <v>0</v>
      </c>
      <c r="AP570" s="20" t="n">
        <f aca="false">Operations!AP567-Operations!AP568-Operations!AP569</f>
        <v>0</v>
      </c>
      <c r="AQ570" s="20" t="n">
        <f aca="false">Operations!AQ567-Operations!AQ568-Operations!AQ569</f>
        <v>0</v>
      </c>
      <c r="AR570" s="20" t="n">
        <f aca="false">Operations!AR567-Operations!AR568-Operations!AR569</f>
        <v>0</v>
      </c>
      <c r="AS570" s="20" t="n">
        <f aca="false">Operations!AS567-Operations!AS568-Operations!AS569</f>
        <v>0</v>
      </c>
      <c r="AT570" s="20" t="n">
        <f aca="false">Operations!AT567-Operations!AT568-Operations!AT569</f>
        <v>0</v>
      </c>
      <c r="AU570" s="20" t="n">
        <f aca="false">Operations!AU567-Operations!AU568-Operations!AU569</f>
        <v>0</v>
      </c>
    </row>
    <row r="571" customFormat="false" ht="15" hidden="false" customHeight="false" outlineLevel="0" collapsed="false">
      <c r="D571" s="0" t="s">
        <v>572</v>
      </c>
      <c r="E571" s="0" t="s">
        <v>458</v>
      </c>
      <c r="J571" s="14" t="n">
        <f aca="false">MAX(0,MIN(Inputs!$F$231,Time!J$6)-Time!J$5)/Time!J$7</f>
        <v>1</v>
      </c>
      <c r="K571" s="14" t="n">
        <f aca="false">MAX(0,MIN(Inputs!$F$231,Time!K$6)-Time!K$5)/Time!K$7</f>
        <v>1</v>
      </c>
      <c r="L571" s="14" t="n">
        <f aca="false">MAX(0,MIN(Inputs!$F$231,Time!L$6)-Time!L$5)/Time!L$7</f>
        <v>1</v>
      </c>
      <c r="M571" s="14" t="n">
        <f aca="false">MAX(0,MIN(Inputs!$F$231,Time!M$6)-Time!M$5)/Time!M$7</f>
        <v>1</v>
      </c>
      <c r="N571" s="14" t="n">
        <f aca="false">MAX(0,MIN(Inputs!$F$231,Time!N$6)-Time!N$5)/Time!N$7</f>
        <v>1</v>
      </c>
      <c r="O571" s="14" t="n">
        <f aca="false">MAX(0,MIN(Inputs!$F$231,Time!O$6)-Time!O$5)/Time!O$7</f>
        <v>1</v>
      </c>
      <c r="P571" s="14" t="n">
        <f aca="false">MAX(0,MIN(Inputs!$F$231,Time!P$6)-Time!P$5)/Time!P$7</f>
        <v>1</v>
      </c>
      <c r="Q571" s="14" t="n">
        <f aca="false">MAX(0,MIN(Inputs!$F$231,Time!Q$6)-Time!Q$5)/Time!Q$7</f>
        <v>1</v>
      </c>
      <c r="R571" s="14" t="n">
        <f aca="false">MAX(0,MIN(Inputs!$F$231,Time!R$6)-Time!R$5)/Time!R$7</f>
        <v>0</v>
      </c>
      <c r="S571" s="14" t="n">
        <f aca="false">MAX(0,MIN(Inputs!$F$231,Time!S$6)-Time!S$5)/Time!S$7</f>
        <v>0</v>
      </c>
      <c r="T571" s="14" t="n">
        <f aca="false">MAX(0,MIN(Inputs!$F$231,Time!T$6)-Time!T$5)/Time!T$7</f>
        <v>0</v>
      </c>
      <c r="U571" s="14" t="n">
        <f aca="false">MAX(0,MIN(Inputs!$F$231,Time!U$6)-Time!U$5)/Time!U$7</f>
        <v>0</v>
      </c>
      <c r="V571" s="14" t="n">
        <f aca="false">MAX(0,MIN(Inputs!$F$231,Time!V$6)-Time!V$5)/Time!V$7</f>
        <v>0</v>
      </c>
      <c r="W571" s="14" t="n">
        <f aca="false">MAX(0,MIN(Inputs!$F$231,Time!W$6)-Time!W$5)/Time!W$7</f>
        <v>0</v>
      </c>
      <c r="X571" s="14" t="n">
        <f aca="false">MAX(0,MIN(Inputs!$F$231,Time!X$6)-Time!X$5)/Time!X$7</f>
        <v>0</v>
      </c>
      <c r="Y571" s="14" t="n">
        <f aca="false">MAX(0,MIN(Inputs!$F$231,Time!Y$6)-Time!Y$5)/Time!Y$7</f>
        <v>0</v>
      </c>
      <c r="Z571" s="14" t="n">
        <f aca="false">MAX(0,MIN(Inputs!$F$231,Time!Z$6)-Time!Z$5)/Time!Z$7</f>
        <v>0</v>
      </c>
      <c r="AA571" s="14" t="n">
        <f aca="false">MAX(0,MIN(Inputs!$F$231,Time!AA$6)-Time!AA$5)/Time!AA$7</f>
        <v>0</v>
      </c>
      <c r="AB571" s="14" t="n">
        <f aca="false">MAX(0,MIN(Inputs!$F$231,Time!AB$6)-Time!AB$5)/Time!AB$7</f>
        <v>0</v>
      </c>
      <c r="AC571" s="14" t="n">
        <f aca="false">MAX(0,MIN(Inputs!$F$231,Time!AC$6)-Time!AC$5)/Time!AC$7</f>
        <v>0</v>
      </c>
      <c r="AD571" s="14" t="n">
        <f aca="false">MAX(0,MIN(Inputs!$F$231,Time!AD$6)-Time!AD$5)/Time!AD$7</f>
        <v>0</v>
      </c>
      <c r="AE571" s="14" t="n">
        <f aca="false">MAX(0,MIN(Inputs!$F$231,Time!AE$6)-Time!AE$5)/Time!AE$7</f>
        <v>0</v>
      </c>
      <c r="AF571" s="14" t="n">
        <f aca="false">MAX(0,MIN(Inputs!$F$231,Time!AF$6)-Time!AF$5)/Time!AF$7</f>
        <v>0</v>
      </c>
      <c r="AG571" s="14" t="n">
        <f aca="false">MAX(0,MIN(Inputs!$F$231,Time!AG$6)-Time!AG$5)/Time!AG$7</f>
        <v>0</v>
      </c>
      <c r="AH571" s="14" t="n">
        <f aca="false">MAX(0,MIN(Inputs!$F$231,Time!AH$6)-Time!AH$5)/Time!AH$7</f>
        <v>0</v>
      </c>
      <c r="AI571" s="14" t="n">
        <f aca="false">MAX(0,MIN(Inputs!$F$231,Time!AI$6)-Time!AI$5)/Time!AI$7</f>
        <v>0</v>
      </c>
      <c r="AJ571" s="14" t="n">
        <f aca="false">MAX(0,MIN(Inputs!$F$231,Time!AJ$6)-Time!AJ$5)/Time!AJ$7</f>
        <v>0</v>
      </c>
      <c r="AK571" s="14" t="n">
        <f aca="false">MAX(0,MIN(Inputs!$F$231,Time!AK$6)-Time!AK$5)/Time!AK$7</f>
        <v>0</v>
      </c>
      <c r="AL571" s="14" t="n">
        <f aca="false">MAX(0,MIN(Inputs!$F$231,Time!AL$6)-Time!AL$5)/Time!AL$7</f>
        <v>0</v>
      </c>
      <c r="AM571" s="14" t="n">
        <f aca="false">MAX(0,MIN(Inputs!$F$231,Time!AM$6)-Time!AM$5)/Time!AM$7</f>
        <v>0</v>
      </c>
      <c r="AN571" s="14" t="n">
        <f aca="false">MAX(0,MIN(Inputs!$F$231,Time!AN$6)-Time!AN$5)/Time!AN$7</f>
        <v>0</v>
      </c>
      <c r="AO571" s="14" t="n">
        <f aca="false">MAX(0,MIN(Inputs!$F$231,Time!AO$6)-Time!AO$5)/Time!AO$7</f>
        <v>0</v>
      </c>
      <c r="AP571" s="14" t="n">
        <f aca="false">MAX(0,MIN(Inputs!$F$231,Time!AP$6)-Time!AP$5)/Time!AP$7</f>
        <v>0</v>
      </c>
      <c r="AQ571" s="14" t="n">
        <f aca="false">MAX(0,MIN(Inputs!$F$231,Time!AQ$6)-Time!AQ$5)/Time!AQ$7</f>
        <v>0</v>
      </c>
      <c r="AR571" s="14" t="n">
        <f aca="false">MAX(0,MIN(Inputs!$F$231,Time!AR$6)-Time!AR$5)/Time!AR$7</f>
        <v>0</v>
      </c>
      <c r="AS571" s="14" t="n">
        <f aca="false">MAX(0,MIN(Inputs!$F$231,Time!AS$6)-Time!AS$5)/Time!AS$7</f>
        <v>0</v>
      </c>
      <c r="AT571" s="14" t="n">
        <f aca="false">MAX(0,MIN(Inputs!$F$231,Time!AT$6)-Time!AT$5)/Time!AT$7</f>
        <v>0</v>
      </c>
      <c r="AU571" s="14" t="n">
        <f aca="false">MAX(0,MIN(Inputs!$F$231,Time!AU$6)-Time!AU$5)/Time!AU$7</f>
        <v>0</v>
      </c>
    </row>
    <row r="572" customFormat="false" ht="15" hidden="false" customHeight="false" outlineLevel="0" collapsed="false">
      <c r="D572" s="0" t="s">
        <v>573</v>
      </c>
      <c r="E572" s="0" t="s">
        <v>458</v>
      </c>
      <c r="J572" s="14" t="n">
        <f aca="false">Inputs!$F$228/100*Operations!J571+Inputs!$F$230/100*(1-Operations!J571)</f>
        <v>0.4</v>
      </c>
      <c r="K572" s="14" t="n">
        <f aca="false">Inputs!$F$228/100*Operations!K571+Inputs!$F$230/100*(1-Operations!K571)</f>
        <v>0.4</v>
      </c>
      <c r="L572" s="14" t="n">
        <f aca="false">Inputs!$F$228/100*Operations!L571+Inputs!$F$230/100*(1-Operations!L571)</f>
        <v>0.4</v>
      </c>
      <c r="M572" s="14" t="n">
        <f aca="false">Inputs!$F$228/100*Operations!M571+Inputs!$F$230/100*(1-Operations!M571)</f>
        <v>0.4</v>
      </c>
      <c r="N572" s="14" t="n">
        <f aca="false">Inputs!$F$228/100*Operations!N571+Inputs!$F$230/100*(1-Operations!N571)</f>
        <v>0.4</v>
      </c>
      <c r="O572" s="14" t="n">
        <f aca="false">Inputs!$F$228/100*Operations!O571+Inputs!$F$230/100*(1-Operations!O571)</f>
        <v>0.4</v>
      </c>
      <c r="P572" s="14" t="n">
        <f aca="false">Inputs!$F$228/100*Operations!P571+Inputs!$F$230/100*(1-Operations!P571)</f>
        <v>0.4</v>
      </c>
      <c r="Q572" s="14" t="n">
        <f aca="false">Inputs!$F$228/100*Operations!Q571+Inputs!$F$230/100*(1-Operations!Q571)</f>
        <v>0.4</v>
      </c>
      <c r="R572" s="14" t="n">
        <f aca="false">Inputs!$F$228/100*Operations!R571+Inputs!$F$230/100*(1-Operations!R571)</f>
        <v>0.05</v>
      </c>
      <c r="S572" s="14" t="n">
        <f aca="false">Inputs!$F$228/100*Operations!S571+Inputs!$F$230/100*(1-Operations!S571)</f>
        <v>0.05</v>
      </c>
      <c r="T572" s="14" t="n">
        <f aca="false">Inputs!$F$228/100*Operations!T571+Inputs!$F$230/100*(1-Operations!T571)</f>
        <v>0.05</v>
      </c>
      <c r="U572" s="14" t="n">
        <f aca="false">Inputs!$F$228/100*Operations!U571+Inputs!$F$230/100*(1-Operations!U571)</f>
        <v>0.05</v>
      </c>
      <c r="V572" s="14" t="n">
        <f aca="false">Inputs!$F$228/100*Operations!V571+Inputs!$F$230/100*(1-Operations!V571)</f>
        <v>0.05</v>
      </c>
      <c r="W572" s="14" t="n">
        <f aca="false">Inputs!$F$228/100*Operations!W571+Inputs!$F$230/100*(1-Operations!W571)</f>
        <v>0.05</v>
      </c>
      <c r="X572" s="14" t="n">
        <f aca="false">Inputs!$F$228/100*Operations!X571+Inputs!$F$230/100*(1-Operations!X571)</f>
        <v>0.05</v>
      </c>
      <c r="Y572" s="14" t="n">
        <f aca="false">Inputs!$F$228/100*Operations!Y571+Inputs!$F$230/100*(1-Operations!Y571)</f>
        <v>0.05</v>
      </c>
      <c r="Z572" s="14" t="n">
        <f aca="false">Inputs!$F$228/100*Operations!Z571+Inputs!$F$230/100*(1-Operations!Z571)</f>
        <v>0.05</v>
      </c>
      <c r="AA572" s="14" t="n">
        <f aca="false">Inputs!$F$228/100*Operations!AA571+Inputs!$F$230/100*(1-Operations!AA571)</f>
        <v>0.05</v>
      </c>
      <c r="AB572" s="14" t="n">
        <f aca="false">Inputs!$F$228/100*Operations!AB571+Inputs!$F$230/100*(1-Operations!AB571)</f>
        <v>0.05</v>
      </c>
      <c r="AC572" s="14" t="n">
        <f aca="false">Inputs!$F$228/100*Operations!AC571+Inputs!$F$230/100*(1-Operations!AC571)</f>
        <v>0.05</v>
      </c>
      <c r="AD572" s="14" t="n">
        <f aca="false">Inputs!$F$228/100*Operations!AD571+Inputs!$F$230/100*(1-Operations!AD571)</f>
        <v>0.05</v>
      </c>
      <c r="AE572" s="14" t="n">
        <f aca="false">Inputs!$F$228/100*Operations!AE571+Inputs!$F$230/100*(1-Operations!AE571)</f>
        <v>0.05</v>
      </c>
      <c r="AF572" s="14" t="n">
        <f aca="false">Inputs!$F$228/100*Operations!AF571+Inputs!$F$230/100*(1-Operations!AF571)</f>
        <v>0.05</v>
      </c>
      <c r="AG572" s="14" t="n">
        <f aca="false">Inputs!$F$228/100*Operations!AG571+Inputs!$F$230/100*(1-Operations!AG571)</f>
        <v>0.05</v>
      </c>
      <c r="AH572" s="14" t="n">
        <f aca="false">Inputs!$F$228/100*Operations!AH571+Inputs!$F$230/100*(1-Operations!AH571)</f>
        <v>0.05</v>
      </c>
      <c r="AI572" s="14" t="n">
        <f aca="false">Inputs!$F$228/100*Operations!AI571+Inputs!$F$230/100*(1-Operations!AI571)</f>
        <v>0.05</v>
      </c>
      <c r="AJ572" s="14" t="n">
        <f aca="false">Inputs!$F$228/100*Operations!AJ571+Inputs!$F$230/100*(1-Operations!AJ571)</f>
        <v>0.05</v>
      </c>
      <c r="AK572" s="14" t="n">
        <f aca="false">Inputs!$F$228/100*Operations!AK571+Inputs!$F$230/100*(1-Operations!AK571)</f>
        <v>0.05</v>
      </c>
      <c r="AL572" s="14" t="n">
        <f aca="false">Inputs!$F$228/100*Operations!AL571+Inputs!$F$230/100*(1-Operations!AL571)</f>
        <v>0.05</v>
      </c>
      <c r="AM572" s="14" t="n">
        <f aca="false">Inputs!$F$228/100*Operations!AM571+Inputs!$F$230/100*(1-Operations!AM571)</f>
        <v>0.05</v>
      </c>
      <c r="AN572" s="14" t="n">
        <f aca="false">Inputs!$F$228/100*Operations!AN571+Inputs!$F$230/100*(1-Operations!AN571)</f>
        <v>0.05</v>
      </c>
      <c r="AO572" s="14" t="n">
        <f aca="false">Inputs!$F$228/100*Operations!AO571+Inputs!$F$230/100*(1-Operations!AO571)</f>
        <v>0.05</v>
      </c>
      <c r="AP572" s="14" t="n">
        <f aca="false">Inputs!$F$228/100*Operations!AP571+Inputs!$F$230/100*(1-Operations!AP571)</f>
        <v>0.05</v>
      </c>
      <c r="AQ572" s="14" t="n">
        <f aca="false">Inputs!$F$228/100*Operations!AQ571+Inputs!$F$230/100*(1-Operations!AQ571)</f>
        <v>0.05</v>
      </c>
      <c r="AR572" s="14" t="n">
        <f aca="false">Inputs!$F$228/100*Operations!AR571+Inputs!$F$230/100*(1-Operations!AR571)</f>
        <v>0.05</v>
      </c>
      <c r="AS572" s="14" t="n">
        <f aca="false">Inputs!$F$228/100*Operations!AS571+Inputs!$F$230/100*(1-Operations!AS571)</f>
        <v>0.05</v>
      </c>
      <c r="AT572" s="14" t="n">
        <f aca="false">Inputs!$F$228/100*Operations!AT571+Inputs!$F$230/100*(1-Operations!AT571)</f>
        <v>0.05</v>
      </c>
      <c r="AU572" s="14" t="n">
        <f aca="false">Inputs!$F$228/100*Operations!AU571+Inputs!$F$230/100*(1-Operations!AU571)</f>
        <v>0.05</v>
      </c>
    </row>
    <row r="573" customFormat="false" ht="15" hidden="false" customHeight="false" outlineLevel="0" collapsed="false">
      <c r="D573" s="0" t="s">
        <v>574</v>
      </c>
      <c r="E573" s="0" t="s">
        <v>458</v>
      </c>
      <c r="J573" s="14" t="n">
        <f aca="false">(1-Inputs!$F$229/100)*Operations!J571+(1-Inputs!$F$230/100)*(1-Operations!J571)</f>
        <v>0.01</v>
      </c>
      <c r="K573" s="14" t="n">
        <f aca="false">(1-Inputs!$F$229/100)*Operations!K571+(1-Inputs!$F$230/100)*(1-Operations!K571)</f>
        <v>0.01</v>
      </c>
      <c r="L573" s="14" t="n">
        <f aca="false">(1-Inputs!$F$229/100)*Operations!L571+(1-Inputs!$F$230/100)*(1-Operations!L571)</f>
        <v>0.01</v>
      </c>
      <c r="M573" s="14" t="n">
        <f aca="false">(1-Inputs!$F$229/100)*Operations!M571+(1-Inputs!$F$230/100)*(1-Operations!M571)</f>
        <v>0.01</v>
      </c>
      <c r="N573" s="14" t="n">
        <f aca="false">(1-Inputs!$F$229/100)*Operations!N571+(1-Inputs!$F$230/100)*(1-Operations!N571)</f>
        <v>0.01</v>
      </c>
      <c r="O573" s="14" t="n">
        <f aca="false">(1-Inputs!$F$229/100)*Operations!O571+(1-Inputs!$F$230/100)*(1-Operations!O571)</f>
        <v>0.01</v>
      </c>
      <c r="P573" s="14" t="n">
        <f aca="false">(1-Inputs!$F$229/100)*Operations!P571+(1-Inputs!$F$230/100)*(1-Operations!P571)</f>
        <v>0.01</v>
      </c>
      <c r="Q573" s="14" t="n">
        <f aca="false">(1-Inputs!$F$229/100)*Operations!Q571+(1-Inputs!$F$230/100)*(1-Operations!Q571)</f>
        <v>0.01</v>
      </c>
      <c r="R573" s="14" t="n">
        <f aca="false">(1-Inputs!$F$229/100)*Operations!R571+(1-Inputs!$F$230/100)*(1-Operations!R571)</f>
        <v>0.95</v>
      </c>
      <c r="S573" s="14" t="n">
        <f aca="false">(1-Inputs!$F$229/100)*Operations!S571+(1-Inputs!$F$230/100)*(1-Operations!S571)</f>
        <v>0.95</v>
      </c>
      <c r="T573" s="14" t="n">
        <f aca="false">(1-Inputs!$F$229/100)*Operations!T571+(1-Inputs!$F$230/100)*(1-Operations!T571)</f>
        <v>0.95</v>
      </c>
      <c r="U573" s="14" t="n">
        <f aca="false">(1-Inputs!$F$229/100)*Operations!U571+(1-Inputs!$F$230/100)*(1-Operations!U571)</f>
        <v>0.95</v>
      </c>
      <c r="V573" s="14" t="n">
        <f aca="false">(1-Inputs!$F$229/100)*Operations!V571+(1-Inputs!$F$230/100)*(1-Operations!V571)</f>
        <v>0.95</v>
      </c>
      <c r="W573" s="14" t="n">
        <f aca="false">(1-Inputs!$F$229/100)*Operations!W571+(1-Inputs!$F$230/100)*(1-Operations!W571)</f>
        <v>0.95</v>
      </c>
      <c r="X573" s="14" t="n">
        <f aca="false">(1-Inputs!$F$229/100)*Operations!X571+(1-Inputs!$F$230/100)*(1-Operations!X571)</f>
        <v>0.95</v>
      </c>
      <c r="Y573" s="14" t="n">
        <f aca="false">(1-Inputs!$F$229/100)*Operations!Y571+(1-Inputs!$F$230/100)*(1-Operations!Y571)</f>
        <v>0.95</v>
      </c>
      <c r="Z573" s="14" t="n">
        <f aca="false">(1-Inputs!$F$229/100)*Operations!Z571+(1-Inputs!$F$230/100)*(1-Operations!Z571)</f>
        <v>0.95</v>
      </c>
      <c r="AA573" s="14" t="n">
        <f aca="false">(1-Inputs!$F$229/100)*Operations!AA571+(1-Inputs!$F$230/100)*(1-Operations!AA571)</f>
        <v>0.95</v>
      </c>
      <c r="AB573" s="14" t="n">
        <f aca="false">(1-Inputs!$F$229/100)*Operations!AB571+(1-Inputs!$F$230/100)*(1-Operations!AB571)</f>
        <v>0.95</v>
      </c>
      <c r="AC573" s="14" t="n">
        <f aca="false">(1-Inputs!$F$229/100)*Operations!AC571+(1-Inputs!$F$230/100)*(1-Operations!AC571)</f>
        <v>0.95</v>
      </c>
      <c r="AD573" s="14" t="n">
        <f aca="false">(1-Inputs!$F$229/100)*Operations!AD571+(1-Inputs!$F$230/100)*(1-Operations!AD571)</f>
        <v>0.95</v>
      </c>
      <c r="AE573" s="14" t="n">
        <f aca="false">(1-Inputs!$F$229/100)*Operations!AE571+(1-Inputs!$F$230/100)*(1-Operations!AE571)</f>
        <v>0.95</v>
      </c>
      <c r="AF573" s="14" t="n">
        <f aca="false">(1-Inputs!$F$229/100)*Operations!AF571+(1-Inputs!$F$230/100)*(1-Operations!AF571)</f>
        <v>0.95</v>
      </c>
      <c r="AG573" s="14" t="n">
        <f aca="false">(1-Inputs!$F$229/100)*Operations!AG571+(1-Inputs!$F$230/100)*(1-Operations!AG571)</f>
        <v>0.95</v>
      </c>
      <c r="AH573" s="14" t="n">
        <f aca="false">(1-Inputs!$F$229/100)*Operations!AH571+(1-Inputs!$F$230/100)*(1-Operations!AH571)</f>
        <v>0.95</v>
      </c>
      <c r="AI573" s="14" t="n">
        <f aca="false">(1-Inputs!$F$229/100)*Operations!AI571+(1-Inputs!$F$230/100)*(1-Operations!AI571)</f>
        <v>0.95</v>
      </c>
      <c r="AJ573" s="14" t="n">
        <f aca="false">(1-Inputs!$F$229/100)*Operations!AJ571+(1-Inputs!$F$230/100)*(1-Operations!AJ571)</f>
        <v>0.95</v>
      </c>
      <c r="AK573" s="14" t="n">
        <f aca="false">(1-Inputs!$F$229/100)*Operations!AK571+(1-Inputs!$F$230/100)*(1-Operations!AK571)</f>
        <v>0.95</v>
      </c>
      <c r="AL573" s="14" t="n">
        <f aca="false">(1-Inputs!$F$229/100)*Operations!AL571+(1-Inputs!$F$230/100)*(1-Operations!AL571)</f>
        <v>0.95</v>
      </c>
      <c r="AM573" s="14" t="n">
        <f aca="false">(1-Inputs!$F$229/100)*Operations!AM571+(1-Inputs!$F$230/100)*(1-Operations!AM571)</f>
        <v>0.95</v>
      </c>
      <c r="AN573" s="14" t="n">
        <f aca="false">(1-Inputs!$F$229/100)*Operations!AN571+(1-Inputs!$F$230/100)*(1-Operations!AN571)</f>
        <v>0.95</v>
      </c>
      <c r="AO573" s="14" t="n">
        <f aca="false">(1-Inputs!$F$229/100)*Operations!AO571+(1-Inputs!$F$230/100)*(1-Operations!AO571)</f>
        <v>0.95</v>
      </c>
      <c r="AP573" s="14" t="n">
        <f aca="false">(1-Inputs!$F$229/100)*Operations!AP571+(1-Inputs!$F$230/100)*(1-Operations!AP571)</f>
        <v>0.95</v>
      </c>
      <c r="AQ573" s="14" t="n">
        <f aca="false">(1-Inputs!$F$229/100)*Operations!AQ571+(1-Inputs!$F$230/100)*(1-Operations!AQ571)</f>
        <v>0.95</v>
      </c>
      <c r="AR573" s="14" t="n">
        <f aca="false">(1-Inputs!$F$229/100)*Operations!AR571+(1-Inputs!$F$230/100)*(1-Operations!AR571)</f>
        <v>0.95</v>
      </c>
      <c r="AS573" s="14" t="n">
        <f aca="false">(1-Inputs!$F$229/100)*Operations!AS571+(1-Inputs!$F$230/100)*(1-Operations!AS571)</f>
        <v>0.95</v>
      </c>
      <c r="AT573" s="14" t="n">
        <f aca="false">(1-Inputs!$F$229/100)*Operations!AT571+(1-Inputs!$F$230/100)*(1-Operations!AT571)</f>
        <v>0.95</v>
      </c>
      <c r="AU573" s="14" t="n">
        <f aca="false">(1-Inputs!$F$229/100)*Operations!AU571+(1-Inputs!$F$230/100)*(1-Operations!AU571)</f>
        <v>0.95</v>
      </c>
    </row>
    <row r="574" customFormat="false" ht="15" hidden="false" customHeight="false" outlineLevel="0" collapsed="false">
      <c r="D574" s="0" t="s">
        <v>575</v>
      </c>
      <c r="E574" s="0" t="s">
        <v>47</v>
      </c>
      <c r="G574" s="20" t="n">
        <f aca="false">SUM(J574:AU574)</f>
        <v>200.522389335925</v>
      </c>
      <c r="J574" s="20" t="n">
        <f aca="false">Operations!J570*(1-Operations!J572)*Operations!J544</f>
        <v>7.51125964213341</v>
      </c>
      <c r="K574" s="20" t="n">
        <f aca="false">Operations!K570*(1-Operations!K572)*Operations!K544</f>
        <v>9.76873591165741</v>
      </c>
      <c r="L574" s="20" t="n">
        <f aca="false">Operations!L570*(1-Operations!L572)*Operations!L544</f>
        <v>10.3858760901264</v>
      </c>
      <c r="M574" s="20" t="n">
        <f aca="false">Operations!M570*(1-Operations!M572)*Operations!M544</f>
        <v>10.0824647571203</v>
      </c>
      <c r="N574" s="20" t="n">
        <f aca="false">Operations!N570*(1-Operations!N572)*Operations!N544</f>
        <v>9.88190480441431</v>
      </c>
      <c r="O574" s="20" t="n">
        <f aca="false">Operations!O570*(1-Operations!O572)*Operations!O544</f>
        <v>9.72584271300913</v>
      </c>
      <c r="P574" s="20" t="n">
        <f aca="false">Operations!P570*(1-Operations!P572)*Operations!P544</f>
        <v>9.58743558497278</v>
      </c>
      <c r="Q574" s="20" t="n">
        <f aca="false">Operations!Q570*(1-Operations!Q572)*Operations!Q544</f>
        <v>9.45768540032453</v>
      </c>
      <c r="R574" s="20" t="n">
        <f aca="false">Operations!R570*(1-Operations!R572)*Operations!R544</f>
        <v>7.30432022446547</v>
      </c>
      <c r="S574" s="20" t="n">
        <f aca="false">Operations!S570*(1-Operations!S572)*Operations!S544</f>
        <v>7.25703208182066</v>
      </c>
      <c r="T574" s="20" t="n">
        <f aca="false">Operations!T570*(1-Operations!T572)*Operations!T544</f>
        <v>7.20509299187746</v>
      </c>
      <c r="U574" s="20" t="n">
        <f aca="false">Operations!U570*(1-Operations!U572)*Operations!U544</f>
        <v>7.14824774866151</v>
      </c>
      <c r="V574" s="20" t="n">
        <f aca="false">Operations!V570*(1-Operations!V572)*Operations!V544</f>
        <v>7.08623964922272</v>
      </c>
      <c r="W574" s="20" t="n">
        <f aca="false">Operations!W570*(1-Operations!W572)*Operations!W544</f>
        <v>7.01881042059458</v>
      </c>
      <c r="X574" s="20" t="n">
        <f aca="false">Operations!X570*(1-Operations!X572)*Operations!X544</f>
        <v>6.94570014509962</v>
      </c>
      <c r="Y574" s="20" t="n">
        <f aca="false">Operations!Y570*(1-Operations!Y572)*Operations!Y544</f>
        <v>6.86917396653957</v>
      </c>
      <c r="Z574" s="20" t="n">
        <f aca="false">Operations!Z570*(1-Operations!Z572)*Operations!Z544</f>
        <v>6.78638259158248</v>
      </c>
      <c r="AA574" s="20" t="n">
        <f aca="false">Operations!AA570*(1-Operations!AA572)*Operations!AA544</f>
        <v>6.84833093287152</v>
      </c>
      <c r="AB574" s="20" t="n">
        <f aca="false">Operations!AB570*(1-Operations!AB572)*Operations!AB544</f>
        <v>6.91136302042107</v>
      </c>
      <c r="AC574" s="20" t="n">
        <f aca="false">Operations!AC570*(1-Operations!AC572)*Operations!AC544</f>
        <v>6.9728244772583</v>
      </c>
      <c r="AD574" s="20" t="n">
        <f aca="false">Operations!AD570*(1-Operations!AD572)*Operations!AD544</f>
        <v>7.03503234034075</v>
      </c>
      <c r="AE574" s="20" t="n">
        <f aca="false">Operations!AE570*(1-Operations!AE572)*Operations!AE544</f>
        <v>7.09533583862266</v>
      </c>
      <c r="AF574" s="20" t="n">
        <f aca="false">Operations!AF570*(1-Operations!AF572)*Operations!AF544</f>
        <v>7.1560355702055</v>
      </c>
      <c r="AG574" s="20" t="n">
        <f aca="false">Operations!AG570*(1-Operations!AG572)*Operations!AG544</f>
        <v>7.21694648690373</v>
      </c>
      <c r="AH574" s="20" t="n">
        <f aca="false">Operations!AH570*(1-Operations!AH572)*Operations!AH544</f>
        <v>7.27542252946652</v>
      </c>
      <c r="AI574" s="20" t="n">
        <f aca="false">Operations!AI570*(1-Operations!AI572)*Operations!AI544</f>
        <v>7.33373907357881</v>
      </c>
      <c r="AJ574" s="20" t="n">
        <f aca="false">Operations!AJ570*(1-Operations!AJ572)*Operations!AJ544</f>
        <v>7.39170044021752</v>
      </c>
      <c r="AK574" s="20" t="n">
        <f aca="false">Operations!AK570*(1-Operations!AK572)*Operations!AK544</f>
        <v>-10.7365460975839</v>
      </c>
      <c r="AL574" s="20" t="n">
        <f aca="false">Operations!AL570*(1-Operations!AL572)*Operations!AL544</f>
        <v>0</v>
      </c>
      <c r="AM574" s="20" t="n">
        <f aca="false">Operations!AM570*(1-Operations!AM572)*Operations!AM544</f>
        <v>0</v>
      </c>
      <c r="AN574" s="20" t="n">
        <f aca="false">Operations!AN570*(1-Operations!AN572)*Operations!AN544</f>
        <v>0</v>
      </c>
      <c r="AO574" s="20" t="n">
        <f aca="false">Operations!AO570*(1-Operations!AO572)*Operations!AO544</f>
        <v>0</v>
      </c>
      <c r="AP574" s="20" t="n">
        <f aca="false">Operations!AP570*(1-Operations!AP572)*Operations!AP544</f>
        <v>0</v>
      </c>
      <c r="AQ574" s="20" t="n">
        <f aca="false">Operations!AQ570*(1-Operations!AQ572)*Operations!AQ544</f>
        <v>0</v>
      </c>
      <c r="AR574" s="20" t="n">
        <f aca="false">Operations!AR570*(1-Operations!AR572)*Operations!AR544</f>
        <v>0</v>
      </c>
      <c r="AS574" s="20" t="n">
        <f aca="false">Operations!AS570*(1-Operations!AS572)*Operations!AS544</f>
        <v>0</v>
      </c>
      <c r="AT574" s="20" t="n">
        <f aca="false">Operations!AT570*(1-Operations!AT572)*Operations!AT544</f>
        <v>0</v>
      </c>
      <c r="AU574" s="20" t="n">
        <f aca="false">Operations!AU570*(1-Operations!AU572)*Operations!AU544</f>
        <v>0</v>
      </c>
    </row>
    <row r="575" customFormat="false" ht="15" hidden="false" customHeight="false" outlineLevel="0" collapsed="false">
      <c r="D575" s="0" t="s">
        <v>576</v>
      </c>
      <c r="E575" s="0" t="s">
        <v>47</v>
      </c>
      <c r="J575" s="20" t="n">
        <f aca="false">Operations!J570*Operations!J573*Operations!J544</f>
        <v>0.125187660702224</v>
      </c>
      <c r="K575" s="20" t="n">
        <f aca="false">Operations!K570*Operations!K573*Operations!K544</f>
        <v>0.16281226519429</v>
      </c>
      <c r="L575" s="20" t="n">
        <f aca="false">Operations!L570*Operations!L573*Operations!L544</f>
        <v>0.173097934835441</v>
      </c>
      <c r="M575" s="20" t="n">
        <f aca="false">Operations!M570*Operations!M573*Operations!M544</f>
        <v>0.168041079285338</v>
      </c>
      <c r="N575" s="20" t="n">
        <f aca="false">Operations!N570*Operations!N573*Operations!N544</f>
        <v>0.164698413406905</v>
      </c>
      <c r="O575" s="20" t="n">
        <f aca="false">Operations!O570*Operations!O573*Operations!O544</f>
        <v>0.162097378550152</v>
      </c>
      <c r="P575" s="20" t="n">
        <f aca="false">Operations!P570*Operations!P573*Operations!P544</f>
        <v>0.15979059308288</v>
      </c>
      <c r="Q575" s="20" t="n">
        <f aca="false">Operations!Q570*Operations!Q573*Operations!Q544</f>
        <v>0.157628090005409</v>
      </c>
      <c r="R575" s="20" t="n">
        <f aca="false">Operations!R570*Operations!R573*Operations!R544</f>
        <v>7.30432022446547</v>
      </c>
      <c r="S575" s="20" t="n">
        <f aca="false">Operations!S570*Operations!S573*Operations!S544</f>
        <v>7.25703208182066</v>
      </c>
      <c r="T575" s="20" t="n">
        <f aca="false">Operations!T570*Operations!T573*Operations!T544</f>
        <v>7.20509299187746</v>
      </c>
      <c r="U575" s="20" t="n">
        <f aca="false">Operations!U570*Operations!U573*Operations!U544</f>
        <v>7.14824774866151</v>
      </c>
      <c r="V575" s="20" t="n">
        <f aca="false">Operations!V570*Operations!V573*Operations!V544</f>
        <v>7.08623964922272</v>
      </c>
      <c r="W575" s="20" t="n">
        <f aca="false">Operations!W570*Operations!W573*Operations!W544</f>
        <v>7.01881042059458</v>
      </c>
      <c r="X575" s="20" t="n">
        <f aca="false">Operations!X570*Operations!X573*Operations!X544</f>
        <v>6.94570014509962</v>
      </c>
      <c r="Y575" s="20" t="n">
        <f aca="false">Operations!Y570*Operations!Y573*Operations!Y544</f>
        <v>6.86917396653957</v>
      </c>
      <c r="Z575" s="20" t="n">
        <f aca="false">Operations!Z570*Operations!Z573*Operations!Z544</f>
        <v>6.78638259158248</v>
      </c>
      <c r="AA575" s="20" t="n">
        <f aca="false">Operations!AA570*Operations!AA573*Operations!AA544</f>
        <v>6.84833093287152</v>
      </c>
      <c r="AB575" s="20" t="n">
        <f aca="false">Operations!AB570*Operations!AB573*Operations!AB544</f>
        <v>6.91136302042107</v>
      </c>
      <c r="AC575" s="20" t="n">
        <f aca="false">Operations!AC570*Operations!AC573*Operations!AC544</f>
        <v>6.9728244772583</v>
      </c>
      <c r="AD575" s="20" t="n">
        <f aca="false">Operations!AD570*Operations!AD573*Operations!AD544</f>
        <v>7.03503234034075</v>
      </c>
      <c r="AE575" s="20" t="n">
        <f aca="false">Operations!AE570*Operations!AE573*Operations!AE544</f>
        <v>7.09533583862266</v>
      </c>
      <c r="AF575" s="20" t="n">
        <f aca="false">Operations!AF570*Operations!AF573*Operations!AF544</f>
        <v>7.1560355702055</v>
      </c>
      <c r="AG575" s="20" t="n">
        <f aca="false">Operations!AG570*Operations!AG573*Operations!AG544</f>
        <v>7.21694648690373</v>
      </c>
      <c r="AH575" s="20" t="n">
        <f aca="false">Operations!AH570*Operations!AH573*Operations!AH544</f>
        <v>7.27542252946652</v>
      </c>
      <c r="AI575" s="20" t="n">
        <f aca="false">Operations!AI570*Operations!AI573*Operations!AI544</f>
        <v>7.33373907357881</v>
      </c>
      <c r="AJ575" s="20" t="n">
        <f aca="false">Operations!AJ570*Operations!AJ573*Operations!AJ544</f>
        <v>7.39170044021752</v>
      </c>
      <c r="AK575" s="20" t="n">
        <f aca="false">Operations!AK570*Operations!AK573*Operations!AK544</f>
        <v>-10.7365460975839</v>
      </c>
      <c r="AL575" s="20" t="n">
        <f aca="false">Operations!AL570*Operations!AL573*Operations!AL544</f>
        <v>0</v>
      </c>
      <c r="AM575" s="20" t="n">
        <f aca="false">Operations!AM570*Operations!AM573*Operations!AM544</f>
        <v>0</v>
      </c>
      <c r="AN575" s="20" t="n">
        <f aca="false">Operations!AN570*Operations!AN573*Operations!AN544</f>
        <v>0</v>
      </c>
      <c r="AO575" s="20" t="n">
        <f aca="false">Operations!AO570*Operations!AO573*Operations!AO544</f>
        <v>0</v>
      </c>
      <c r="AP575" s="20" t="n">
        <f aca="false">Operations!AP570*Operations!AP573*Operations!AP544</f>
        <v>0</v>
      </c>
      <c r="AQ575" s="20" t="n">
        <f aca="false">Operations!AQ570*Operations!AQ573*Operations!AQ544</f>
        <v>0</v>
      </c>
      <c r="AR575" s="20" t="n">
        <f aca="false">Operations!AR570*Operations!AR573*Operations!AR544</f>
        <v>0</v>
      </c>
      <c r="AS575" s="20" t="n">
        <f aca="false">Operations!AS570*Operations!AS573*Operations!AS544</f>
        <v>0</v>
      </c>
      <c r="AT575" s="20" t="n">
        <f aca="false">Operations!AT570*Operations!AT573*Operations!AT544</f>
        <v>0</v>
      </c>
      <c r="AU575" s="20" t="n">
        <f aca="false">Operations!AU570*Operations!AU573*Operations!AU544</f>
        <v>0</v>
      </c>
    </row>
    <row r="576" customFormat="false" ht="15" hidden="false" customHeight="false" outlineLevel="0" collapsed="false">
      <c r="D576" s="0" t="s">
        <v>577</v>
      </c>
      <c r="E576" s="0" t="s">
        <v>47</v>
      </c>
      <c r="J576" s="20" t="n">
        <f aca="false">Operations!J574-Inputs!$F$248/100*Operations!J575</f>
        <v>7.48497023338595</v>
      </c>
      <c r="K576" s="20" t="n">
        <f aca="false">Operations!K574-Inputs!$F$248/100*Operations!K575</f>
        <v>9.73454533596661</v>
      </c>
      <c r="L576" s="20" t="n">
        <f aca="false">Operations!L574-Inputs!$F$248/100*Operations!L575</f>
        <v>10.349525523811</v>
      </c>
      <c r="M576" s="20" t="n">
        <f aca="false">Operations!M574-Inputs!$F$248/100*Operations!M575</f>
        <v>10.0471761304704</v>
      </c>
      <c r="N576" s="20" t="n">
        <f aca="false">Operations!N574-Inputs!$F$248/100*Operations!N575</f>
        <v>9.84731813759886</v>
      </c>
      <c r="O576" s="20" t="n">
        <f aca="false">Operations!O574-Inputs!$F$248/100*Operations!O575</f>
        <v>9.6918022635136</v>
      </c>
      <c r="P576" s="20" t="n">
        <f aca="false">Operations!P574-Inputs!$F$248/100*Operations!P575</f>
        <v>9.55387956042538</v>
      </c>
      <c r="Q576" s="20" t="n">
        <f aca="false">Operations!Q574-Inputs!$F$248/100*Operations!Q575</f>
        <v>9.4245835014234</v>
      </c>
      <c r="R576" s="20" t="n">
        <f aca="false">Operations!R574-Inputs!$F$248/100*Operations!R575</f>
        <v>5.77041297732772</v>
      </c>
      <c r="S576" s="20" t="n">
        <f aca="false">Operations!S574-Inputs!$F$248/100*Operations!S575</f>
        <v>5.73305534463832</v>
      </c>
      <c r="T576" s="20" t="n">
        <f aca="false">Operations!T574-Inputs!$F$248/100*Operations!T575</f>
        <v>5.6920234635832</v>
      </c>
      <c r="U576" s="20" t="n">
        <f aca="false">Operations!U574-Inputs!$F$248/100*Operations!U575</f>
        <v>5.64711572144259</v>
      </c>
      <c r="V576" s="20" t="n">
        <f aca="false">Operations!V574-Inputs!$F$248/100*Operations!V575</f>
        <v>5.59812932288595</v>
      </c>
      <c r="W576" s="20" t="n">
        <f aca="false">Operations!W574-Inputs!$F$248/100*Operations!W575</f>
        <v>5.54486023226972</v>
      </c>
      <c r="X576" s="20" t="n">
        <f aca="false">Operations!X574-Inputs!$F$248/100*Operations!X575</f>
        <v>5.4871031146287</v>
      </c>
      <c r="Y576" s="20" t="n">
        <f aca="false">Operations!Y574-Inputs!$F$248/100*Operations!Y575</f>
        <v>5.42664743356626</v>
      </c>
      <c r="Z576" s="20" t="n">
        <f aca="false">Operations!Z574-Inputs!$F$248/100*Operations!Z575</f>
        <v>5.36124224735016</v>
      </c>
      <c r="AA576" s="20" t="n">
        <f aca="false">Operations!AA574-Inputs!$F$248/100*Operations!AA575</f>
        <v>5.4101814369685</v>
      </c>
      <c r="AB576" s="20" t="n">
        <f aca="false">Operations!AB574-Inputs!$F$248/100*Operations!AB575</f>
        <v>5.45997678613264</v>
      </c>
      <c r="AC576" s="20" t="n">
        <f aca="false">Operations!AC574-Inputs!$F$248/100*Operations!AC575</f>
        <v>5.50853133703406</v>
      </c>
      <c r="AD576" s="20" t="n">
        <f aca="false">Operations!AD574-Inputs!$F$248/100*Operations!AD575</f>
        <v>5.5576755488692</v>
      </c>
      <c r="AE576" s="20" t="n">
        <f aca="false">Operations!AE574-Inputs!$F$248/100*Operations!AE575</f>
        <v>5.6053153125119</v>
      </c>
      <c r="AF576" s="20" t="n">
        <f aca="false">Operations!AF574-Inputs!$F$248/100*Operations!AF575</f>
        <v>5.65326810046234</v>
      </c>
      <c r="AG576" s="20" t="n">
        <f aca="false">Operations!AG574-Inputs!$F$248/100*Operations!AG575</f>
        <v>5.70138772465395</v>
      </c>
      <c r="AH576" s="20" t="n">
        <f aca="false">Operations!AH574-Inputs!$F$248/100*Operations!AH575</f>
        <v>5.74758379827855</v>
      </c>
      <c r="AI576" s="20" t="n">
        <f aca="false">Operations!AI574-Inputs!$F$248/100*Operations!AI575</f>
        <v>5.79365386812726</v>
      </c>
      <c r="AJ576" s="20" t="n">
        <f aca="false">Operations!AJ574-Inputs!$F$248/100*Operations!AJ575</f>
        <v>5.83944334777184</v>
      </c>
      <c r="AK576" s="20" t="n">
        <f aca="false">Operations!AK574-Inputs!$F$248/100*Operations!AK575</f>
        <v>-8.48187141709129</v>
      </c>
      <c r="AL576" s="20" t="n">
        <f aca="false">Operations!AL574-Inputs!$F$248/100*Operations!AL575</f>
        <v>0</v>
      </c>
      <c r="AM576" s="20" t="n">
        <f aca="false">Operations!AM574-Inputs!$F$248/100*Operations!AM575</f>
        <v>0</v>
      </c>
      <c r="AN576" s="20" t="n">
        <f aca="false">Operations!AN574-Inputs!$F$248/100*Operations!AN575</f>
        <v>0</v>
      </c>
      <c r="AO576" s="20" t="n">
        <f aca="false">Operations!AO574-Inputs!$F$248/100*Operations!AO575</f>
        <v>0</v>
      </c>
      <c r="AP576" s="20" t="n">
        <f aca="false">Operations!AP574-Inputs!$F$248/100*Operations!AP575</f>
        <v>0</v>
      </c>
      <c r="AQ576" s="20" t="n">
        <f aca="false">Operations!AQ574-Inputs!$F$248/100*Operations!AQ575</f>
        <v>0</v>
      </c>
      <c r="AR576" s="20" t="n">
        <f aca="false">Operations!AR574-Inputs!$F$248/100*Operations!AR575</f>
        <v>0</v>
      </c>
      <c r="AS576" s="20" t="n">
        <f aca="false">Operations!AS574-Inputs!$F$248/100*Operations!AS575</f>
        <v>0</v>
      </c>
      <c r="AT576" s="20" t="n">
        <f aca="false">Operations!AT574-Inputs!$F$248/100*Operations!AT575</f>
        <v>0</v>
      </c>
      <c r="AU576" s="20" t="n">
        <f aca="false">Operations!AU574-Inputs!$F$248/100*Operations!AU575</f>
        <v>0</v>
      </c>
    </row>
    <row r="577" customFormat="false" ht="15" hidden="false" customHeight="false" outlineLevel="0" collapsed="false">
      <c r="D577" s="0" t="s">
        <v>578</v>
      </c>
      <c r="E577" s="0" t="s">
        <v>458</v>
      </c>
      <c r="J577" s="14" t="n">
        <f aca="false">IF(Operations!J561=0,0,Operations!J558/Operations!J561)</f>
        <v>1.12972772009934</v>
      </c>
      <c r="K577" s="14" t="n">
        <f aca="false">IF(Operations!K561=0,0,Operations!K558/Operations!K561)</f>
        <v>1.10304788122663</v>
      </c>
      <c r="L577" s="14" t="n">
        <f aca="false">IF(Operations!L561=0,0,Operations!L558/Operations!L561)</f>
        <v>1.04773843048925</v>
      </c>
      <c r="M577" s="14" t="n">
        <f aca="false">IF(Operations!M561=0,0,Operations!M558/Operations!M561)</f>
        <v>1.06353628092496</v>
      </c>
      <c r="N577" s="14" t="n">
        <f aca="false">IF(Operations!N561=0,0,Operations!N558/Operations!N561)</f>
        <v>1.07159496347035</v>
      </c>
      <c r="O577" s="14" t="n">
        <f aca="false">IF(Operations!O561=0,0,Operations!O558/Operations!O561)</f>
        <v>1.07609558893494</v>
      </c>
      <c r="P577" s="14" t="n">
        <f aca="false">IF(Operations!P561=0,0,Operations!P558/Operations!P561)</f>
        <v>1.07904984658277</v>
      </c>
      <c r="Q577" s="14" t="n">
        <f aca="false">IF(Operations!Q561=0,0,Operations!Q558/Operations!Q561)</f>
        <v>1.08113718065479</v>
      </c>
      <c r="R577" s="14" t="n">
        <f aca="false">IF(Operations!R561=0,0,Operations!R558/Operations!R561)</f>
        <v>0</v>
      </c>
      <c r="S577" s="14" t="n">
        <f aca="false">IF(Operations!S561=0,0,Operations!S558/Operations!S561)</f>
        <v>0</v>
      </c>
      <c r="T577" s="14" t="n">
        <f aca="false">IF(Operations!T561=0,0,Operations!T558/Operations!T561)</f>
        <v>0</v>
      </c>
      <c r="U577" s="14" t="n">
        <f aca="false">IF(Operations!U561=0,0,Operations!U558/Operations!U561)</f>
        <v>0</v>
      </c>
      <c r="V577" s="14" t="n">
        <f aca="false">IF(Operations!V561=0,0,Operations!V558/Operations!V561)</f>
        <v>0</v>
      </c>
      <c r="W577" s="14" t="n">
        <f aca="false">IF(Operations!W561=0,0,Operations!W558/Operations!W561)</f>
        <v>0</v>
      </c>
      <c r="X577" s="14" t="n">
        <f aca="false">IF(Operations!X561=0,0,Operations!X558/Operations!X561)</f>
        <v>0</v>
      </c>
      <c r="Y577" s="14" t="n">
        <f aca="false">IF(Operations!Y561=0,0,Operations!Y558/Operations!Y561)</f>
        <v>0</v>
      </c>
      <c r="Z577" s="14" t="n">
        <f aca="false">IF(Operations!Z561=0,0,Operations!Z558/Operations!Z561)</f>
        <v>0</v>
      </c>
      <c r="AA577" s="14" t="n">
        <f aca="false">IF(Operations!AA561=0,0,Operations!AA558/Operations!AA561)</f>
        <v>0</v>
      </c>
      <c r="AB577" s="14" t="n">
        <f aca="false">IF(Operations!AB561=0,0,Operations!AB558/Operations!AB561)</f>
        <v>0</v>
      </c>
      <c r="AC577" s="14" t="n">
        <f aca="false">IF(Operations!AC561=0,0,Operations!AC558/Operations!AC561)</f>
        <v>0</v>
      </c>
      <c r="AD577" s="14" t="n">
        <f aca="false">IF(Operations!AD561=0,0,Operations!AD558/Operations!AD561)</f>
        <v>0</v>
      </c>
      <c r="AE577" s="14" t="n">
        <f aca="false">IF(Operations!AE561=0,0,Operations!AE558/Operations!AE561)</f>
        <v>0</v>
      </c>
      <c r="AF577" s="14" t="n">
        <f aca="false">IF(Operations!AF561=0,0,Operations!AF558/Operations!AF561)</f>
        <v>0</v>
      </c>
      <c r="AG577" s="14" t="n">
        <f aca="false">IF(Operations!AG561=0,0,Operations!AG558/Operations!AG561)</f>
        <v>0</v>
      </c>
      <c r="AH577" s="14" t="n">
        <f aca="false">IF(Operations!AH561=0,0,Operations!AH558/Operations!AH561)</f>
        <v>0</v>
      </c>
      <c r="AI577" s="14" t="n">
        <f aca="false">IF(Operations!AI561=0,0,Operations!AI558/Operations!AI561)</f>
        <v>0</v>
      </c>
      <c r="AJ577" s="14" t="n">
        <f aca="false">IF(Operations!AJ561=0,0,Operations!AJ558/Operations!AJ561)</f>
        <v>0</v>
      </c>
      <c r="AK577" s="14" t="n">
        <f aca="false">IF(Operations!AK561=0,0,Operations!AK558/Operations!AK561)</f>
        <v>0</v>
      </c>
      <c r="AL577" s="14" t="n">
        <f aca="false">IF(Operations!AL561=0,0,Operations!AL558/Operations!AL561)</f>
        <v>0</v>
      </c>
      <c r="AM577" s="14" t="n">
        <f aca="false">IF(Operations!AM561=0,0,Operations!AM558/Operations!AM561)</f>
        <v>0</v>
      </c>
      <c r="AN577" s="14" t="n">
        <f aca="false">IF(Operations!AN561=0,0,Operations!AN558/Operations!AN561)</f>
        <v>0</v>
      </c>
      <c r="AO577" s="14" t="n">
        <f aca="false">IF(Operations!AO561=0,0,Operations!AO558/Operations!AO561)</f>
        <v>0</v>
      </c>
      <c r="AP577" s="14" t="n">
        <f aca="false">IF(Operations!AP561=0,0,Operations!AP558/Operations!AP561)</f>
        <v>0</v>
      </c>
      <c r="AQ577" s="14" t="n">
        <f aca="false">IF(Operations!AQ561=0,0,Operations!AQ558/Operations!AQ561)</f>
        <v>0</v>
      </c>
      <c r="AR577" s="14" t="n">
        <f aca="false">IF(Operations!AR561=0,0,Operations!AR558/Operations!AR561)</f>
        <v>0</v>
      </c>
      <c r="AS577" s="14" t="n">
        <f aca="false">IF(Operations!AS561=0,0,Operations!AS558/Operations!AS561)</f>
        <v>0</v>
      </c>
      <c r="AT577" s="14" t="n">
        <f aca="false">IF(Operations!AT561=0,0,Operations!AT558/Operations!AT561)</f>
        <v>0</v>
      </c>
      <c r="AU577" s="14" t="n">
        <f aca="false">IF(Operations!AU561=0,0,Operations!AU558/Operations!AU561)</f>
        <v>0</v>
      </c>
    </row>
    <row r="578" customFormat="false" ht="15" hidden="false" customHeight="false" outlineLevel="0" collapsed="false">
      <c r="D578" s="0" t="s">
        <v>579</v>
      </c>
      <c r="E578" s="0" t="s">
        <v>458</v>
      </c>
      <c r="J578" s="14" t="n">
        <f aca="false">IF(Operations!J561=0,0,Operations!J559/Operations!J561)</f>
        <v>0</v>
      </c>
      <c r="K578" s="14" t="n">
        <f aca="false">IF(Operations!K561=0,0,Operations!K559/Operations!K561)</f>
        <v>0</v>
      </c>
      <c r="L578" s="14" t="n">
        <f aca="false">IF(Operations!L561=0,0,Operations!L559/Operations!L561)</f>
        <v>0</v>
      </c>
      <c r="M578" s="14" t="n">
        <f aca="false">IF(Operations!M561=0,0,Operations!M559/Operations!M561)</f>
        <v>0</v>
      </c>
      <c r="N578" s="14" t="n">
        <f aca="false">IF(Operations!N561=0,0,Operations!N559/Operations!N561)</f>
        <v>0</v>
      </c>
      <c r="O578" s="14" t="n">
        <f aca="false">IF(Operations!O561=0,0,Operations!O559/Operations!O561)</f>
        <v>0</v>
      </c>
      <c r="P578" s="14" t="n">
        <f aca="false">IF(Operations!P561=0,0,Operations!P559/Operations!P561)</f>
        <v>0</v>
      </c>
      <c r="Q578" s="14" t="n">
        <f aca="false">IF(Operations!Q561=0,0,Operations!Q559/Operations!Q561)</f>
        <v>0</v>
      </c>
      <c r="R578" s="14" t="n">
        <f aca="false">IF(Operations!R561=0,0,Operations!R559/Operations!R561)</f>
        <v>0</v>
      </c>
      <c r="S578" s="14" t="n">
        <f aca="false">IF(Operations!S561=0,0,Operations!S559/Operations!S561)</f>
        <v>0</v>
      </c>
      <c r="T578" s="14" t="n">
        <f aca="false">IF(Operations!T561=0,0,Operations!T559/Operations!T561)</f>
        <v>0</v>
      </c>
      <c r="U578" s="14" t="n">
        <f aca="false">IF(Operations!U561=0,0,Operations!U559/Operations!U561)</f>
        <v>0</v>
      </c>
      <c r="V578" s="14" t="n">
        <f aca="false">IF(Operations!V561=0,0,Operations!V559/Operations!V561)</f>
        <v>0</v>
      </c>
      <c r="W578" s="14" t="n">
        <f aca="false">IF(Operations!W561=0,0,Operations!W559/Operations!W561)</f>
        <v>0</v>
      </c>
      <c r="X578" s="14" t="n">
        <f aca="false">IF(Operations!X561=0,0,Operations!X559/Operations!X561)</f>
        <v>0</v>
      </c>
      <c r="Y578" s="14" t="n">
        <f aca="false">IF(Operations!Y561=0,0,Operations!Y559/Operations!Y561)</f>
        <v>0</v>
      </c>
      <c r="Z578" s="14" t="n">
        <f aca="false">IF(Operations!Z561=0,0,Operations!Z559/Operations!Z561)</f>
        <v>0</v>
      </c>
      <c r="AA578" s="14" t="n">
        <f aca="false">IF(Operations!AA561=0,0,Operations!AA559/Operations!AA561)</f>
        <v>0</v>
      </c>
      <c r="AB578" s="14" t="n">
        <f aca="false">IF(Operations!AB561=0,0,Operations!AB559/Operations!AB561)</f>
        <v>0</v>
      </c>
      <c r="AC578" s="14" t="n">
        <f aca="false">IF(Operations!AC561=0,0,Operations!AC559/Operations!AC561)</f>
        <v>0</v>
      </c>
      <c r="AD578" s="14" t="n">
        <f aca="false">IF(Operations!AD561=0,0,Operations!AD559/Operations!AD561)</f>
        <v>0</v>
      </c>
      <c r="AE578" s="14" t="n">
        <f aca="false">IF(Operations!AE561=0,0,Operations!AE559/Operations!AE561)</f>
        <v>0</v>
      </c>
      <c r="AF578" s="14" t="n">
        <f aca="false">IF(Operations!AF561=0,0,Operations!AF559/Operations!AF561)</f>
        <v>0</v>
      </c>
      <c r="AG578" s="14" t="n">
        <f aca="false">IF(Operations!AG561=0,0,Operations!AG559/Operations!AG561)</f>
        <v>0</v>
      </c>
      <c r="AH578" s="14" t="n">
        <f aca="false">IF(Operations!AH561=0,0,Operations!AH559/Operations!AH561)</f>
        <v>0</v>
      </c>
      <c r="AI578" s="14" t="n">
        <f aca="false">IF(Operations!AI561=0,0,Operations!AI559/Operations!AI561)</f>
        <v>0</v>
      </c>
      <c r="AJ578" s="14" t="n">
        <f aca="false">IF(Operations!AJ561=0,0,Operations!AJ559/Operations!AJ561)</f>
        <v>0</v>
      </c>
      <c r="AK578" s="14" t="n">
        <f aca="false">IF(Operations!AK561=0,0,Operations!AK559/Operations!AK561)</f>
        <v>0</v>
      </c>
      <c r="AL578" s="14" t="n">
        <f aca="false">IF(Operations!AL561=0,0,Operations!AL559/Operations!AL561)</f>
        <v>0</v>
      </c>
      <c r="AM578" s="14" t="n">
        <f aca="false">IF(Operations!AM561=0,0,Operations!AM559/Operations!AM561)</f>
        <v>0</v>
      </c>
      <c r="AN578" s="14" t="n">
        <f aca="false">IF(Operations!AN561=0,0,Operations!AN559/Operations!AN561)</f>
        <v>0</v>
      </c>
      <c r="AO578" s="14" t="n">
        <f aca="false">IF(Operations!AO561=0,0,Operations!AO559/Operations!AO561)</f>
        <v>0</v>
      </c>
      <c r="AP578" s="14" t="n">
        <f aca="false">IF(Operations!AP561=0,0,Operations!AP559/Operations!AP561)</f>
        <v>0</v>
      </c>
      <c r="AQ578" s="14" t="n">
        <f aca="false">IF(Operations!AQ561=0,0,Operations!AQ559/Operations!AQ561)</f>
        <v>0</v>
      </c>
      <c r="AR578" s="14" t="n">
        <f aca="false">IF(Operations!AR561=0,0,Operations!AR559/Operations!AR561)</f>
        <v>0</v>
      </c>
      <c r="AS578" s="14" t="n">
        <f aca="false">IF(Operations!AS561=0,0,Operations!AS559/Operations!AS561)</f>
        <v>0</v>
      </c>
      <c r="AT578" s="14" t="n">
        <f aca="false">IF(Operations!AT561=0,0,Operations!AT559/Operations!AT561)</f>
        <v>0</v>
      </c>
      <c r="AU578" s="14" t="n">
        <f aca="false">IF(Operations!AU561=0,0,Operations!AU559/Operations!AU561)</f>
        <v>0</v>
      </c>
    </row>
    <row r="579" customFormat="false" ht="15" hidden="false" customHeight="false" outlineLevel="0" collapsed="false">
      <c r="D579" s="0" t="s">
        <v>580</v>
      </c>
      <c r="E579" s="0" t="s">
        <v>458</v>
      </c>
      <c r="J579" s="14" t="n">
        <f aca="false">1-Operations!J577-Operations!J578</f>
        <v>-0.129727720099339</v>
      </c>
      <c r="K579" s="14" t="n">
        <f aca="false">1-Operations!K577-Operations!K578</f>
        <v>-0.103047881226629</v>
      </c>
      <c r="L579" s="14" t="n">
        <f aca="false">1-Operations!L577-Operations!L578</f>
        <v>-0.0477384304892539</v>
      </c>
      <c r="M579" s="14" t="n">
        <f aca="false">1-Operations!M577-Operations!M578</f>
        <v>-0.0635362809249616</v>
      </c>
      <c r="N579" s="14" t="n">
        <f aca="false">1-Operations!N577-Operations!N578</f>
        <v>-0.0715949634703474</v>
      </c>
      <c r="O579" s="14" t="n">
        <f aca="false">1-Operations!O577-Operations!O578</f>
        <v>-0.0760955889349371</v>
      </c>
      <c r="P579" s="14" t="n">
        <f aca="false">1-Operations!P577-Operations!P578</f>
        <v>-0.079049846582768</v>
      </c>
      <c r="Q579" s="14" t="n">
        <f aca="false">1-Operations!Q577-Operations!Q578</f>
        <v>-0.0811371806547885</v>
      </c>
      <c r="R579" s="14" t="n">
        <f aca="false">1-Operations!R577-Operations!R578</f>
        <v>1</v>
      </c>
      <c r="S579" s="14" t="n">
        <f aca="false">1-Operations!S577-Operations!S578</f>
        <v>1</v>
      </c>
      <c r="T579" s="14" t="n">
        <f aca="false">1-Operations!T577-Operations!T578</f>
        <v>1</v>
      </c>
      <c r="U579" s="14" t="n">
        <f aca="false">1-Operations!U577-Operations!U578</f>
        <v>1</v>
      </c>
      <c r="V579" s="14" t="n">
        <f aca="false">1-Operations!V577-Operations!V578</f>
        <v>1</v>
      </c>
      <c r="W579" s="14" t="n">
        <f aca="false">1-Operations!W577-Operations!W578</f>
        <v>1</v>
      </c>
      <c r="X579" s="14" t="n">
        <f aca="false">1-Operations!X577-Operations!X578</f>
        <v>1</v>
      </c>
      <c r="Y579" s="14" t="n">
        <f aca="false">1-Operations!Y577-Operations!Y578</f>
        <v>1</v>
      </c>
      <c r="Z579" s="14" t="n">
        <f aca="false">1-Operations!Z577-Operations!Z578</f>
        <v>1</v>
      </c>
      <c r="AA579" s="14" t="n">
        <f aca="false">1-Operations!AA577-Operations!AA578</f>
        <v>1</v>
      </c>
      <c r="AB579" s="14" t="n">
        <f aca="false">1-Operations!AB577-Operations!AB578</f>
        <v>1</v>
      </c>
      <c r="AC579" s="14" t="n">
        <f aca="false">1-Operations!AC577-Operations!AC578</f>
        <v>1</v>
      </c>
      <c r="AD579" s="14" t="n">
        <f aca="false">1-Operations!AD577-Operations!AD578</f>
        <v>1</v>
      </c>
      <c r="AE579" s="14" t="n">
        <f aca="false">1-Operations!AE577-Operations!AE578</f>
        <v>1</v>
      </c>
      <c r="AF579" s="14" t="n">
        <f aca="false">1-Operations!AF577-Operations!AF578</f>
        <v>1</v>
      </c>
      <c r="AG579" s="14" t="n">
        <f aca="false">1-Operations!AG577-Operations!AG578</f>
        <v>1</v>
      </c>
      <c r="AH579" s="14" t="n">
        <f aca="false">1-Operations!AH577-Operations!AH578</f>
        <v>1</v>
      </c>
      <c r="AI579" s="14" t="n">
        <f aca="false">1-Operations!AI577-Operations!AI578</f>
        <v>1</v>
      </c>
      <c r="AJ579" s="14" t="n">
        <f aca="false">1-Operations!AJ577-Operations!AJ578</f>
        <v>1</v>
      </c>
      <c r="AK579" s="14" t="n">
        <f aca="false">1-Operations!AK577-Operations!AK578</f>
        <v>1</v>
      </c>
      <c r="AL579" s="14" t="n">
        <f aca="false">1-Operations!AL577-Operations!AL578</f>
        <v>1</v>
      </c>
      <c r="AM579" s="14" t="n">
        <f aca="false">1-Operations!AM577-Operations!AM578</f>
        <v>1</v>
      </c>
      <c r="AN579" s="14" t="n">
        <f aca="false">1-Operations!AN577-Operations!AN578</f>
        <v>1</v>
      </c>
      <c r="AO579" s="14" t="n">
        <f aca="false">1-Operations!AO577-Operations!AO578</f>
        <v>1</v>
      </c>
      <c r="AP579" s="14" t="n">
        <f aca="false">1-Operations!AP577-Operations!AP578</f>
        <v>1</v>
      </c>
      <c r="AQ579" s="14" t="n">
        <f aca="false">1-Operations!AQ577-Operations!AQ578</f>
        <v>1</v>
      </c>
      <c r="AR579" s="14" t="n">
        <f aca="false">1-Operations!AR577-Operations!AR578</f>
        <v>1</v>
      </c>
      <c r="AS579" s="14" t="n">
        <f aca="false">1-Operations!AS577-Operations!AS578</f>
        <v>1</v>
      </c>
      <c r="AT579" s="14" t="n">
        <f aca="false">1-Operations!AT577-Operations!AT578</f>
        <v>1</v>
      </c>
      <c r="AU579" s="14" t="n">
        <f aca="false">1-Operations!AU577-Operations!AU578</f>
        <v>1</v>
      </c>
    </row>
    <row r="580" customFormat="false" ht="15" hidden="false" customHeight="false" outlineLevel="0" collapsed="false">
      <c r="D580" s="0" t="s">
        <v>581</v>
      </c>
      <c r="E580" s="0" t="s">
        <v>47</v>
      </c>
      <c r="J580" s="20" t="n">
        <f aca="false">Operations!J558*Operations!J544*(1-Operations!J572)</f>
        <v>12.0633863013699</v>
      </c>
      <c r="K580" s="20" t="n">
        <f aca="false">Operations!K558*Operations!K544*(1-Operations!K572)</f>
        <v>15.504</v>
      </c>
      <c r="L580" s="20" t="n">
        <f aca="false">Operations!L558*Operations!L544*(1-Operations!L572)</f>
        <v>15.504</v>
      </c>
      <c r="M580" s="20" t="n">
        <f aca="false">Operations!M558*Operations!M544*(1-Operations!M572)</f>
        <v>15.504</v>
      </c>
      <c r="N580" s="20" t="n">
        <f aca="false">Operations!N558*Operations!N544*(1-Operations!N572)</f>
        <v>15.504</v>
      </c>
      <c r="O580" s="20" t="n">
        <f aca="false">Operations!O558*Operations!O544*(1-Operations!O572)</f>
        <v>15.504</v>
      </c>
      <c r="P580" s="20" t="n">
        <f aca="false">Operations!P558*Operations!P544*(1-Operations!P572)</f>
        <v>15.504</v>
      </c>
      <c r="Q580" s="20" t="n">
        <f aca="false">Operations!Q558*Operations!Q544*(1-Operations!Q572)</f>
        <v>15.504</v>
      </c>
      <c r="R580" s="20" t="n">
        <f aca="false">Operations!R558*Operations!R544*(1-Operations!R572)</f>
        <v>0</v>
      </c>
      <c r="S580" s="20" t="n">
        <f aca="false">Operations!S558*Operations!S544*(1-Operations!S572)</f>
        <v>0</v>
      </c>
      <c r="T580" s="20" t="n">
        <f aca="false">Operations!T558*Operations!T544*(1-Operations!T572)</f>
        <v>0</v>
      </c>
      <c r="U580" s="20" t="n">
        <f aca="false">Operations!U558*Operations!U544*(1-Operations!U572)</f>
        <v>0</v>
      </c>
      <c r="V580" s="20" t="n">
        <f aca="false">Operations!V558*Operations!V544*(1-Operations!V572)</f>
        <v>0</v>
      </c>
      <c r="W580" s="20" t="n">
        <f aca="false">Operations!W558*Operations!W544*(1-Operations!W572)</f>
        <v>0</v>
      </c>
      <c r="X580" s="20" t="n">
        <f aca="false">Operations!X558*Operations!X544*(1-Operations!X572)</f>
        <v>0</v>
      </c>
      <c r="Y580" s="20" t="n">
        <f aca="false">Operations!Y558*Operations!Y544*(1-Operations!Y572)</f>
        <v>0</v>
      </c>
      <c r="Z580" s="20" t="n">
        <f aca="false">Operations!Z558*Operations!Z544*(1-Operations!Z572)</f>
        <v>0</v>
      </c>
      <c r="AA580" s="20" t="n">
        <f aca="false">Operations!AA558*Operations!AA544*(1-Operations!AA572)</f>
        <v>0</v>
      </c>
      <c r="AB580" s="20" t="n">
        <f aca="false">Operations!AB558*Operations!AB544*(1-Operations!AB572)</f>
        <v>0</v>
      </c>
      <c r="AC580" s="20" t="n">
        <f aca="false">Operations!AC558*Operations!AC544*(1-Operations!AC572)</f>
        <v>0</v>
      </c>
      <c r="AD580" s="20" t="n">
        <f aca="false">Operations!AD558*Operations!AD544*(1-Operations!AD572)</f>
        <v>0</v>
      </c>
      <c r="AE580" s="20" t="n">
        <f aca="false">Operations!AE558*Operations!AE544*(1-Operations!AE572)</f>
        <v>0</v>
      </c>
      <c r="AF580" s="20" t="n">
        <f aca="false">Operations!AF558*Operations!AF544*(1-Operations!AF572)</f>
        <v>0</v>
      </c>
      <c r="AG580" s="20" t="n">
        <f aca="false">Operations!AG558*Operations!AG544*(1-Operations!AG572)</f>
        <v>0</v>
      </c>
      <c r="AH580" s="20" t="n">
        <f aca="false">Operations!AH558*Operations!AH544*(1-Operations!AH572)</f>
        <v>0</v>
      </c>
      <c r="AI580" s="20" t="n">
        <f aca="false">Operations!AI558*Operations!AI544*(1-Operations!AI572)</f>
        <v>0</v>
      </c>
      <c r="AJ580" s="20" t="n">
        <f aca="false">Operations!AJ558*Operations!AJ544*(1-Operations!AJ572)</f>
        <v>0</v>
      </c>
      <c r="AK580" s="20" t="n">
        <f aca="false">Operations!AK558*Operations!AK544*(1-Operations!AK572)</f>
        <v>0</v>
      </c>
      <c r="AL580" s="20" t="n">
        <f aca="false">Operations!AL558*Operations!AL544*(1-Operations!AL572)</f>
        <v>0</v>
      </c>
      <c r="AM580" s="20" t="n">
        <f aca="false">Operations!AM558*Operations!AM544*(1-Operations!AM572)</f>
        <v>0</v>
      </c>
      <c r="AN580" s="20" t="n">
        <f aca="false">Operations!AN558*Operations!AN544*(1-Operations!AN572)</f>
        <v>0</v>
      </c>
      <c r="AO580" s="20" t="n">
        <f aca="false">Operations!AO558*Operations!AO544*(1-Operations!AO572)</f>
        <v>0</v>
      </c>
      <c r="AP580" s="20" t="n">
        <f aca="false">Operations!AP558*Operations!AP544*(1-Operations!AP572)</f>
        <v>0</v>
      </c>
      <c r="AQ580" s="20" t="n">
        <f aca="false">Operations!AQ558*Operations!AQ544*(1-Operations!AQ572)</f>
        <v>0</v>
      </c>
      <c r="AR580" s="20" t="n">
        <f aca="false">Operations!AR558*Operations!AR544*(1-Operations!AR572)</f>
        <v>0</v>
      </c>
      <c r="AS580" s="20" t="n">
        <f aca="false">Operations!AS558*Operations!AS544*(1-Operations!AS572)</f>
        <v>0</v>
      </c>
      <c r="AT580" s="20" t="n">
        <f aca="false">Operations!AT558*Operations!AT544*(1-Operations!AT572)</f>
        <v>0</v>
      </c>
      <c r="AU580" s="20" t="n">
        <f aca="false">Operations!AU558*Operations!AU544*(1-Operations!AU572)</f>
        <v>0</v>
      </c>
    </row>
    <row r="581" customFormat="false" ht="15" hidden="false" customHeight="false" outlineLevel="0" collapsed="false">
      <c r="D581" s="0" t="s">
        <v>582</v>
      </c>
      <c r="E581" s="0" t="s">
        <v>47</v>
      </c>
      <c r="J581" s="20" t="n">
        <f aca="false">Operations!J559*Operations!J544*(1-Operations!J572)</f>
        <v>0</v>
      </c>
      <c r="K581" s="20" t="n">
        <f aca="false">Operations!K559*Operations!K544*(1-Operations!K572)</f>
        <v>0</v>
      </c>
      <c r="L581" s="20" t="n">
        <f aca="false">Operations!L559*Operations!L544*(1-Operations!L572)</f>
        <v>0</v>
      </c>
      <c r="M581" s="20" t="n">
        <f aca="false">Operations!M559*Operations!M544*(1-Operations!M572)</f>
        <v>0</v>
      </c>
      <c r="N581" s="20" t="n">
        <f aca="false">Operations!N559*Operations!N544*(1-Operations!N572)</f>
        <v>0</v>
      </c>
      <c r="O581" s="20" t="n">
        <f aca="false">Operations!O559*Operations!O544*(1-Operations!O572)</f>
        <v>0</v>
      </c>
      <c r="P581" s="20" t="n">
        <f aca="false">Operations!P559*Operations!P544*(1-Operations!P572)</f>
        <v>0</v>
      </c>
      <c r="Q581" s="20" t="n">
        <f aca="false">Operations!Q559*Operations!Q544*(1-Operations!Q572)</f>
        <v>0</v>
      </c>
      <c r="R581" s="20" t="n">
        <f aca="false">Operations!R559*Operations!R544*(1-Operations!R572)</f>
        <v>0</v>
      </c>
      <c r="S581" s="20" t="n">
        <f aca="false">Operations!S559*Operations!S544*(1-Operations!S572)</f>
        <v>0</v>
      </c>
      <c r="T581" s="20" t="n">
        <f aca="false">Operations!T559*Operations!T544*(1-Operations!T572)</f>
        <v>0</v>
      </c>
      <c r="U581" s="20" t="n">
        <f aca="false">Operations!U559*Operations!U544*(1-Operations!U572)</f>
        <v>0</v>
      </c>
      <c r="V581" s="20" t="n">
        <f aca="false">Operations!V559*Operations!V544*(1-Operations!V572)</f>
        <v>0</v>
      </c>
      <c r="W581" s="20" t="n">
        <f aca="false">Operations!W559*Operations!W544*(1-Operations!W572)</f>
        <v>0</v>
      </c>
      <c r="X581" s="20" t="n">
        <f aca="false">Operations!X559*Operations!X544*(1-Operations!X572)</f>
        <v>0</v>
      </c>
      <c r="Y581" s="20" t="n">
        <f aca="false">Operations!Y559*Operations!Y544*(1-Operations!Y572)</f>
        <v>0</v>
      </c>
      <c r="Z581" s="20" t="n">
        <f aca="false">Operations!Z559*Operations!Z544*(1-Operations!Z572)</f>
        <v>0</v>
      </c>
      <c r="AA581" s="20" t="n">
        <f aca="false">Operations!AA559*Operations!AA544*(1-Operations!AA572)</f>
        <v>0</v>
      </c>
      <c r="AB581" s="20" t="n">
        <f aca="false">Operations!AB559*Operations!AB544*(1-Operations!AB572)</f>
        <v>0</v>
      </c>
      <c r="AC581" s="20" t="n">
        <f aca="false">Operations!AC559*Operations!AC544*(1-Operations!AC572)</f>
        <v>0</v>
      </c>
      <c r="AD581" s="20" t="n">
        <f aca="false">Operations!AD559*Operations!AD544*(1-Operations!AD572)</f>
        <v>0</v>
      </c>
      <c r="AE581" s="20" t="n">
        <f aca="false">Operations!AE559*Operations!AE544*(1-Operations!AE572)</f>
        <v>0</v>
      </c>
      <c r="AF581" s="20" t="n">
        <f aca="false">Operations!AF559*Operations!AF544*(1-Operations!AF572)</f>
        <v>0</v>
      </c>
      <c r="AG581" s="20" t="n">
        <f aca="false">Operations!AG559*Operations!AG544*(1-Operations!AG572)</f>
        <v>0</v>
      </c>
      <c r="AH581" s="20" t="n">
        <f aca="false">Operations!AH559*Operations!AH544*(1-Operations!AH572)</f>
        <v>0</v>
      </c>
      <c r="AI581" s="20" t="n">
        <f aca="false">Operations!AI559*Operations!AI544*(1-Operations!AI572)</f>
        <v>0</v>
      </c>
      <c r="AJ581" s="20" t="n">
        <f aca="false">Operations!AJ559*Operations!AJ544*(1-Operations!AJ572)</f>
        <v>0</v>
      </c>
      <c r="AK581" s="20" t="n">
        <f aca="false">Operations!AK559*Operations!AK544*(1-Operations!AK572)</f>
        <v>0</v>
      </c>
      <c r="AL581" s="20" t="n">
        <f aca="false">Operations!AL559*Operations!AL544*(1-Operations!AL572)</f>
        <v>0</v>
      </c>
      <c r="AM581" s="20" t="n">
        <f aca="false">Operations!AM559*Operations!AM544*(1-Operations!AM572)</f>
        <v>0</v>
      </c>
      <c r="AN581" s="20" t="n">
        <f aca="false">Operations!AN559*Operations!AN544*(1-Operations!AN572)</f>
        <v>0</v>
      </c>
      <c r="AO581" s="20" t="n">
        <f aca="false">Operations!AO559*Operations!AO544*(1-Operations!AO572)</f>
        <v>0</v>
      </c>
      <c r="AP581" s="20" t="n">
        <f aca="false">Operations!AP559*Operations!AP544*(1-Operations!AP572)</f>
        <v>0</v>
      </c>
      <c r="AQ581" s="20" t="n">
        <f aca="false">Operations!AQ559*Operations!AQ544*(1-Operations!AQ572)</f>
        <v>0</v>
      </c>
      <c r="AR581" s="20" t="n">
        <f aca="false">Operations!AR559*Operations!AR544*(1-Operations!AR572)</f>
        <v>0</v>
      </c>
      <c r="AS581" s="20" t="n">
        <f aca="false">Operations!AS559*Operations!AS544*(1-Operations!AS572)</f>
        <v>0</v>
      </c>
      <c r="AT581" s="20" t="n">
        <f aca="false">Operations!AT559*Operations!AT544*(1-Operations!AT572)</f>
        <v>0</v>
      </c>
      <c r="AU581" s="20" t="n">
        <f aca="false">Operations!AU559*Operations!AU544*(1-Operations!AU572)</f>
        <v>0</v>
      </c>
    </row>
    <row r="582" customFormat="false" ht="15" hidden="false" customHeight="false" outlineLevel="0" collapsed="false">
      <c r="D582" s="0" t="s">
        <v>583</v>
      </c>
      <c r="E582" s="0" t="s">
        <v>47</v>
      </c>
      <c r="J582" s="20" t="n">
        <f aca="false">Operations!J562*Operations!J544*(1-Operations!J572)</f>
        <v>-1.3852502454456</v>
      </c>
      <c r="K582" s="20" t="n">
        <f aca="false">Operations!K562*Operations!K544*(1-Operations!K572)</f>
        <v>-1.44839981811217</v>
      </c>
      <c r="L582" s="20" t="n">
        <f aca="false">Operations!L562*Operations!L544*(1-Operations!L572)</f>
        <v>-0.706413552053996</v>
      </c>
      <c r="M582" s="20" t="n">
        <f aca="false">Operations!M562*Operations!M544*(1-Operations!M572)</f>
        <v>-0.926218049283555</v>
      </c>
      <c r="N582" s="20" t="n">
        <f aca="false">Operations!N562*Operations!N544*(1-Operations!N572)</f>
        <v>-1.0358468931671</v>
      </c>
      <c r="O582" s="20" t="n">
        <f aca="false">Operations!O562*Operations!O544*(1-Operations!O572)</f>
        <v>-1.09635800293072</v>
      </c>
      <c r="P582" s="20" t="n">
        <f aca="false">Operations!P562*Operations!P544*(1-Operations!P572)</f>
        <v>-1.1358037122201</v>
      </c>
      <c r="Q582" s="20" t="n">
        <f aca="false">Operations!Q562*Operations!Q544*(1-Operations!Q572)</f>
        <v>-1.16354415645012</v>
      </c>
      <c r="R582" s="20" t="n">
        <f aca="false">Operations!R562*Operations!R544*(1-Operations!R572)</f>
        <v>14.8473736572506</v>
      </c>
      <c r="S582" s="20" t="n">
        <f aca="false">Operations!S562*Operations!S544*(1-Operations!S572)</f>
        <v>14.9777660130768</v>
      </c>
      <c r="T582" s="20" t="n">
        <f aca="false">Operations!T562*Operations!T544*(1-Operations!T572)</f>
        <v>15.1077850343241</v>
      </c>
      <c r="U582" s="20" t="n">
        <f aca="false">Operations!U562*Operations!U544*(1-Operations!U572)</f>
        <v>15.237275870695</v>
      </c>
      <c r="V582" s="20" t="n">
        <f aca="false">Operations!V562*Operations!V544*(1-Operations!V572)</f>
        <v>15.3660849152442</v>
      </c>
      <c r="W582" s="20" t="n">
        <f aca="false">Operations!W562*Operations!W544*(1-Operations!W572)</f>
        <v>15.4940597981581</v>
      </c>
      <c r="X582" s="20" t="n">
        <f aca="false">Operations!X562*Operations!X544*(1-Operations!X572)</f>
        <v>15.6210493805592</v>
      </c>
      <c r="Y582" s="20" t="n">
        <f aca="false">Operations!Y562*Operations!Y544*(1-Operations!Y572)</f>
        <v>15.7495502867804</v>
      </c>
      <c r="Z582" s="20" t="n">
        <f aca="false">Operations!Z562*Operations!Z544*(1-Operations!Z572)</f>
        <v>15.8767054104117</v>
      </c>
      <c r="AA582" s="20" t="n">
        <f aca="false">Operations!AA562*Operations!AA544*(1-Operations!AA572)</f>
        <v>16.1608068911808</v>
      </c>
      <c r="AB582" s="20" t="n">
        <f aca="false">Operations!AB562*Operations!AB544*(1-Operations!AB572)</f>
        <v>16.4515239099937</v>
      </c>
      <c r="AC582" s="20" t="n">
        <f aca="false">Operations!AC562*Operations!AC544*(1-Operations!AC572)</f>
        <v>16.7462132974285</v>
      </c>
      <c r="AD582" s="20" t="n">
        <f aca="false">Operations!AD562*Operations!AD544*(1-Operations!AD572)</f>
        <v>17.0474423414651</v>
      </c>
      <c r="AE582" s="20" t="n">
        <f aca="false">Operations!AE562*Operations!AE544*(1-Operations!AE572)</f>
        <v>17.3525785856769</v>
      </c>
      <c r="AF582" s="20" t="n">
        <f aca="false">Operations!AF562*Operations!AF544*(1-Operations!AF572)</f>
        <v>17.6641792096457</v>
      </c>
      <c r="AG582" s="20" t="n">
        <f aca="false">Operations!AG562*Operations!AG544*(1-Operations!AG572)</f>
        <v>17.9822016290783</v>
      </c>
      <c r="AH582" s="20" t="n">
        <f aca="false">Operations!AH562*Operations!AH544*(1-Operations!AH572)</f>
        <v>18.3040293908214</v>
      </c>
      <c r="AI582" s="20" t="n">
        <f aca="false">Operations!AI562*Operations!AI544*(1-Operations!AI572)</f>
        <v>18.6322046015026</v>
      </c>
      <c r="AJ582" s="20" t="n">
        <f aca="false">Operations!AJ562*Operations!AJ544*(1-Operations!AJ572)</f>
        <v>18.9666851706373</v>
      </c>
      <c r="AK582" s="20" t="n">
        <f aca="false">Operations!AK562*Operations!AK544*(1-Operations!AK572)</f>
        <v>17.6676201277655</v>
      </c>
      <c r="AL582" s="20" t="n">
        <f aca="false">Operations!AL562*Operations!AL544*(1-Operations!AL572)</f>
        <v>0</v>
      </c>
      <c r="AM582" s="20" t="n">
        <f aca="false">Operations!AM562*Operations!AM544*(1-Operations!AM572)</f>
        <v>0</v>
      </c>
      <c r="AN582" s="20" t="n">
        <f aca="false">Operations!AN562*Operations!AN544*(1-Operations!AN572)</f>
        <v>0</v>
      </c>
      <c r="AO582" s="20" t="n">
        <f aca="false">Operations!AO562*Operations!AO544*(1-Operations!AO572)</f>
        <v>0</v>
      </c>
      <c r="AP582" s="20" t="n">
        <f aca="false">Operations!AP562*Operations!AP544*(1-Operations!AP572)</f>
        <v>0</v>
      </c>
      <c r="AQ582" s="20" t="n">
        <f aca="false">Operations!AQ562*Operations!AQ544*(1-Operations!AQ572)</f>
        <v>0</v>
      </c>
      <c r="AR582" s="20" t="n">
        <f aca="false">Operations!AR562*Operations!AR544*(1-Operations!AR572)</f>
        <v>0</v>
      </c>
      <c r="AS582" s="20" t="n">
        <f aca="false">Operations!AS562*Operations!AS544*(1-Operations!AS572)</f>
        <v>0</v>
      </c>
      <c r="AT582" s="20" t="n">
        <f aca="false">Operations!AT562*Operations!AT544*(1-Operations!AT572)</f>
        <v>0</v>
      </c>
      <c r="AU582" s="20" t="n">
        <f aca="false">Operations!AU562*Operations!AU544*(1-Operations!AU572)</f>
        <v>0</v>
      </c>
    </row>
    <row r="583" customFormat="false" ht="15" hidden="false" customHeight="false" outlineLevel="0" collapsed="false">
      <c r="D583" s="0" t="s">
        <v>584</v>
      </c>
      <c r="E583" s="0" t="s">
        <v>47</v>
      </c>
      <c r="J583" s="20" t="n">
        <f aca="false">Operations!J561*Operations!J544*(1-Operations!J572)</f>
        <v>10.6781360559243</v>
      </c>
      <c r="K583" s="20" t="n">
        <f aca="false">Operations!K561*Operations!K544*(1-Operations!K572)</f>
        <v>14.0556001818878</v>
      </c>
      <c r="L583" s="20" t="n">
        <f aca="false">Operations!L561*Operations!L544*(1-Operations!L572)</f>
        <v>14.797586447946</v>
      </c>
      <c r="M583" s="20" t="n">
        <f aca="false">Operations!M561*Operations!M544*(1-Operations!M572)</f>
        <v>14.5777819507164</v>
      </c>
      <c r="N583" s="20" t="n">
        <f aca="false">Operations!N561*Operations!N544*(1-Operations!N572)</f>
        <v>14.4681531068329</v>
      </c>
      <c r="O583" s="20" t="n">
        <f aca="false">Operations!O561*Operations!O544*(1-Operations!O572)</f>
        <v>14.4076419970693</v>
      </c>
      <c r="P583" s="20" t="n">
        <f aca="false">Operations!P561*Operations!P544*(1-Operations!P572)</f>
        <v>14.3681962877799</v>
      </c>
      <c r="Q583" s="20" t="n">
        <f aca="false">Operations!Q561*Operations!Q544*(1-Operations!Q572)</f>
        <v>14.3404558435499</v>
      </c>
      <c r="R583" s="20" t="n">
        <f aca="false">Operations!R561*Operations!R544*(1-Operations!R572)</f>
        <v>14.8473736572506</v>
      </c>
      <c r="S583" s="20" t="n">
        <f aca="false">Operations!S561*Operations!S544*(1-Operations!S572)</f>
        <v>14.9777660130768</v>
      </c>
      <c r="T583" s="20" t="n">
        <f aca="false">Operations!T561*Operations!T544*(1-Operations!T572)</f>
        <v>15.1077850343241</v>
      </c>
      <c r="U583" s="20" t="n">
        <f aca="false">Operations!U561*Operations!U544*(1-Operations!U572)</f>
        <v>15.237275870695</v>
      </c>
      <c r="V583" s="20" t="n">
        <f aca="false">Operations!V561*Operations!V544*(1-Operations!V572)</f>
        <v>15.3660849152442</v>
      </c>
      <c r="W583" s="20" t="n">
        <f aca="false">Operations!W561*Operations!W544*(1-Operations!W572)</f>
        <v>15.4940597981581</v>
      </c>
      <c r="X583" s="20" t="n">
        <f aca="false">Operations!X561*Operations!X544*(1-Operations!X572)</f>
        <v>15.6210493805592</v>
      </c>
      <c r="Y583" s="20" t="n">
        <f aca="false">Operations!Y561*Operations!Y544*(1-Operations!Y572)</f>
        <v>15.7495502867804</v>
      </c>
      <c r="Z583" s="20" t="n">
        <f aca="false">Operations!Z561*Operations!Z544*(1-Operations!Z572)</f>
        <v>15.8767054104117</v>
      </c>
      <c r="AA583" s="20" t="n">
        <f aca="false">Operations!AA561*Operations!AA544*(1-Operations!AA572)</f>
        <v>16.1608068911808</v>
      </c>
      <c r="AB583" s="20" t="n">
        <f aca="false">Operations!AB561*Operations!AB544*(1-Operations!AB572)</f>
        <v>16.4515239099937</v>
      </c>
      <c r="AC583" s="20" t="n">
        <f aca="false">Operations!AC561*Operations!AC544*(1-Operations!AC572)</f>
        <v>16.7462132974285</v>
      </c>
      <c r="AD583" s="20" t="n">
        <f aca="false">Operations!AD561*Operations!AD544*(1-Operations!AD572)</f>
        <v>17.0474423414651</v>
      </c>
      <c r="AE583" s="20" t="n">
        <f aca="false">Operations!AE561*Operations!AE544*(1-Operations!AE572)</f>
        <v>17.3525785856769</v>
      </c>
      <c r="AF583" s="20" t="n">
        <f aca="false">Operations!AF561*Operations!AF544*(1-Operations!AF572)</f>
        <v>17.6641792096457</v>
      </c>
      <c r="AG583" s="20" t="n">
        <f aca="false">Operations!AG561*Operations!AG544*(1-Operations!AG572)</f>
        <v>17.9822016290783</v>
      </c>
      <c r="AH583" s="20" t="n">
        <f aca="false">Operations!AH561*Operations!AH544*(1-Operations!AH572)</f>
        <v>18.3040293908214</v>
      </c>
      <c r="AI583" s="20" t="n">
        <f aca="false">Operations!AI561*Operations!AI544*(1-Operations!AI572)</f>
        <v>18.6322046015026</v>
      </c>
      <c r="AJ583" s="20" t="n">
        <f aca="false">Operations!AJ561*Operations!AJ544*(1-Operations!AJ572)</f>
        <v>18.9666851706373</v>
      </c>
      <c r="AK583" s="20" t="n">
        <f aca="false">Operations!AK561*Operations!AK544*(1-Operations!AK572)</f>
        <v>17.6676201277655</v>
      </c>
      <c r="AL583" s="20" t="n">
        <f aca="false">Operations!AL561*Operations!AL544*(1-Operations!AL572)</f>
        <v>0</v>
      </c>
      <c r="AM583" s="20" t="n">
        <f aca="false">Operations!AM561*Operations!AM544*(1-Operations!AM572)</f>
        <v>0</v>
      </c>
      <c r="AN583" s="20" t="n">
        <f aca="false">Operations!AN561*Operations!AN544*(1-Operations!AN572)</f>
        <v>0</v>
      </c>
      <c r="AO583" s="20" t="n">
        <f aca="false">Operations!AO561*Operations!AO544*(1-Operations!AO572)</f>
        <v>0</v>
      </c>
      <c r="AP583" s="20" t="n">
        <f aca="false">Operations!AP561*Operations!AP544*(1-Operations!AP572)</f>
        <v>0</v>
      </c>
      <c r="AQ583" s="20" t="n">
        <f aca="false">Operations!AQ561*Operations!AQ544*(1-Operations!AQ572)</f>
        <v>0</v>
      </c>
      <c r="AR583" s="20" t="n">
        <f aca="false">Operations!AR561*Operations!AR544*(1-Operations!AR572)</f>
        <v>0</v>
      </c>
      <c r="AS583" s="20" t="n">
        <f aca="false">Operations!AS561*Operations!AS544*(1-Operations!AS572)</f>
        <v>0</v>
      </c>
      <c r="AT583" s="20" t="n">
        <f aca="false">Operations!AT561*Operations!AT544*(1-Operations!AT572)</f>
        <v>0</v>
      </c>
      <c r="AU583" s="20" t="n">
        <f aca="false">Operations!AU561*Operations!AU544*(1-Operations!AU572)</f>
        <v>0</v>
      </c>
    </row>
    <row r="584" customFormat="false" ht="15" hidden="false" customHeight="false" outlineLevel="0" collapsed="false">
      <c r="D584" s="0" t="s">
        <v>585</v>
      </c>
      <c r="E584" s="0" t="s">
        <v>47</v>
      </c>
      <c r="J584" s="20" t="n">
        <f aca="false">Operations!J549*MAX(0,MIN(DATE(YEAR(Inputs!$F$111)+Inputs!$F$236,MONTH(Inputs!$F$111),DAY(Inputs!$F$111)),Time!J$6)-MAX(Inputs!$F$111,Time!J$5))/Time!J$7*Inputs!J81/1000</f>
        <v>15.2620416</v>
      </c>
      <c r="K584" s="20" t="n">
        <f aca="false">Operations!K549*MAX(0,MIN(DATE(YEAR(Inputs!$F$111)+Inputs!$F$236,MONTH(Inputs!$F$111),DAY(Inputs!$F$111)),Time!K$6)-MAX(Inputs!$F$111,Time!K$5))/Time!K$7*Inputs!K81/1000</f>
        <v>16.008295248</v>
      </c>
      <c r="L584" s="20" t="n">
        <f aca="false">Operations!L549*MAX(0,MIN(DATE(YEAR(Inputs!$F$111)+Inputs!$F$236,MONTH(Inputs!$F$111),DAY(Inputs!$F$111)),Time!L$6)-MAX(Inputs!$F$111,Time!L$5))/Time!L$7*Inputs!L81/1000</f>
        <v>17.317657004544</v>
      </c>
      <c r="M584" s="20" t="n">
        <f aca="false">Operations!M549*MAX(0,MIN(DATE(YEAR(Inputs!$F$111)+Inputs!$F$236,MONTH(Inputs!$F$111),DAY(Inputs!$F$111)),Time!M$6)-MAX(Inputs!$F$111,Time!M$5))/Time!M$7*Inputs!M81/1000</f>
        <v>17.1722330899546</v>
      </c>
      <c r="N584" s="20" t="n">
        <f aca="false">Operations!N549*MAX(0,MIN(DATE(YEAR(Inputs!$F$111)+Inputs!$F$236,MONTH(Inputs!$F$111),DAY(Inputs!$F$111)),Time!N$6)-MAX(Inputs!$F$111,Time!N$5))/Time!N$7*Inputs!N81/1000</f>
        <v>17.1378886237747</v>
      </c>
      <c r="O584" s="20" t="n">
        <f aca="false">Operations!O549*MAX(0,MIN(DATE(YEAR(Inputs!$F$111)+Inputs!$F$236,MONTH(Inputs!$F$111),DAY(Inputs!$F$111)),Time!O$6)-MAX(Inputs!$F$111,Time!O$5))/Time!O$7*Inputs!O81/1000</f>
        <v>17.1036128465271</v>
      </c>
      <c r="P584" s="20" t="n">
        <f aca="false">Operations!P549*MAX(0,MIN(DATE(YEAR(Inputs!$F$111)+Inputs!$F$236,MONTH(Inputs!$F$111),DAY(Inputs!$F$111)),Time!P$6)-MAX(Inputs!$F$111,Time!P$5))/Time!P$7*Inputs!P81/1000</f>
        <v>17.069405620834</v>
      </c>
      <c r="Q584" s="20" t="n">
        <f aca="false">Operations!Q549*MAX(0,MIN(DATE(YEAR(Inputs!$F$111)+Inputs!$F$236,MONTH(Inputs!$F$111),DAY(Inputs!$F$111)),Time!Q$6)-MAX(Inputs!$F$111,Time!Q$5))/Time!Q$7*Inputs!Q81/1000</f>
        <v>15.1217162912546</v>
      </c>
      <c r="R584" s="20" t="n">
        <f aca="false">Operations!R549*MAX(0,MIN(DATE(YEAR(Inputs!$F$111)+Inputs!$F$236,MONTH(Inputs!$F$111),DAY(Inputs!$F$111)),Time!R$6)-MAX(Inputs!$F$111,Time!R$5))/Time!R$7*Inputs!R81/1000</f>
        <v>0</v>
      </c>
      <c r="S584" s="20" t="n">
        <f aca="false">Operations!S549*MAX(0,MIN(DATE(YEAR(Inputs!$F$111)+Inputs!$F$236,MONTH(Inputs!$F$111),DAY(Inputs!$F$111)),Time!S$6)-MAX(Inputs!$F$111,Time!S$5))/Time!S$7*Inputs!S81/1000</f>
        <v>0</v>
      </c>
      <c r="T584" s="20" t="n">
        <f aca="false">Operations!T549*MAX(0,MIN(DATE(YEAR(Inputs!$F$111)+Inputs!$F$236,MONTH(Inputs!$F$111),DAY(Inputs!$F$111)),Time!T$6)-MAX(Inputs!$F$111,Time!T$5))/Time!T$7*Inputs!T81/1000</f>
        <v>0</v>
      </c>
      <c r="U584" s="20" t="n">
        <f aca="false">Operations!U549*MAX(0,MIN(DATE(YEAR(Inputs!$F$111)+Inputs!$F$236,MONTH(Inputs!$F$111),DAY(Inputs!$F$111)),Time!U$6)-MAX(Inputs!$F$111,Time!U$5))/Time!U$7*Inputs!U81/1000</f>
        <v>0</v>
      </c>
      <c r="V584" s="20" t="n">
        <f aca="false">Operations!V549*MAX(0,MIN(DATE(YEAR(Inputs!$F$111)+Inputs!$F$236,MONTH(Inputs!$F$111),DAY(Inputs!$F$111)),Time!V$6)-MAX(Inputs!$F$111,Time!V$5))/Time!V$7*Inputs!V81/1000</f>
        <v>0</v>
      </c>
      <c r="W584" s="20" t="n">
        <f aca="false">Operations!W549*MAX(0,MIN(DATE(YEAR(Inputs!$F$111)+Inputs!$F$236,MONTH(Inputs!$F$111),DAY(Inputs!$F$111)),Time!W$6)-MAX(Inputs!$F$111,Time!W$5))/Time!W$7*Inputs!W81/1000</f>
        <v>0</v>
      </c>
      <c r="X584" s="20" t="n">
        <f aca="false">Operations!X549*MAX(0,MIN(DATE(YEAR(Inputs!$F$111)+Inputs!$F$236,MONTH(Inputs!$F$111),DAY(Inputs!$F$111)),Time!X$6)-MAX(Inputs!$F$111,Time!X$5))/Time!X$7*Inputs!X81/1000</f>
        <v>0</v>
      </c>
      <c r="Y584" s="20" t="n">
        <f aca="false">Operations!Y549*MAX(0,MIN(DATE(YEAR(Inputs!$F$111)+Inputs!$F$236,MONTH(Inputs!$F$111),DAY(Inputs!$F$111)),Time!Y$6)-MAX(Inputs!$F$111,Time!Y$5))/Time!Y$7*Inputs!Y81/1000</f>
        <v>0</v>
      </c>
      <c r="Z584" s="20" t="n">
        <f aca="false">Operations!Z549*MAX(0,MIN(DATE(YEAR(Inputs!$F$111)+Inputs!$F$236,MONTH(Inputs!$F$111),DAY(Inputs!$F$111)),Time!Z$6)-MAX(Inputs!$F$111,Time!Z$5))/Time!Z$7*Inputs!Z81/1000</f>
        <v>0</v>
      </c>
      <c r="AA584" s="20" t="n">
        <f aca="false">Operations!AA549*MAX(0,MIN(DATE(YEAR(Inputs!$F$111)+Inputs!$F$236,MONTH(Inputs!$F$111),DAY(Inputs!$F$111)),Time!AA$6)-MAX(Inputs!$F$111,Time!AA$5))/Time!AA$7*Inputs!AA81/1000</f>
        <v>0</v>
      </c>
      <c r="AB584" s="20" t="n">
        <f aca="false">Operations!AB549*MAX(0,MIN(DATE(YEAR(Inputs!$F$111)+Inputs!$F$236,MONTH(Inputs!$F$111),DAY(Inputs!$F$111)),Time!AB$6)-MAX(Inputs!$F$111,Time!AB$5))/Time!AB$7*Inputs!AB81/1000</f>
        <v>0</v>
      </c>
      <c r="AC584" s="20" t="n">
        <f aca="false">Operations!AC549*MAX(0,MIN(DATE(YEAR(Inputs!$F$111)+Inputs!$F$236,MONTH(Inputs!$F$111),DAY(Inputs!$F$111)),Time!AC$6)-MAX(Inputs!$F$111,Time!AC$5))/Time!AC$7*Inputs!AC81/1000</f>
        <v>0</v>
      </c>
      <c r="AD584" s="20" t="n">
        <f aca="false">Operations!AD549*MAX(0,MIN(DATE(YEAR(Inputs!$F$111)+Inputs!$F$236,MONTH(Inputs!$F$111),DAY(Inputs!$F$111)),Time!AD$6)-MAX(Inputs!$F$111,Time!AD$5))/Time!AD$7*Inputs!AD81/1000</f>
        <v>0</v>
      </c>
      <c r="AE584" s="20" t="n">
        <f aca="false">Operations!AE549*MAX(0,MIN(DATE(YEAR(Inputs!$F$111)+Inputs!$F$236,MONTH(Inputs!$F$111),DAY(Inputs!$F$111)),Time!AE$6)-MAX(Inputs!$F$111,Time!AE$5))/Time!AE$7*Inputs!AE81/1000</f>
        <v>0</v>
      </c>
      <c r="AF584" s="20" t="n">
        <f aca="false">Operations!AF549*MAX(0,MIN(DATE(YEAR(Inputs!$F$111)+Inputs!$F$236,MONTH(Inputs!$F$111),DAY(Inputs!$F$111)),Time!AF$6)-MAX(Inputs!$F$111,Time!AF$5))/Time!AF$7*Inputs!AF81/1000</f>
        <v>0</v>
      </c>
      <c r="AG584" s="20" t="n">
        <f aca="false">Operations!AG549*MAX(0,MIN(DATE(YEAR(Inputs!$F$111)+Inputs!$F$236,MONTH(Inputs!$F$111),DAY(Inputs!$F$111)),Time!AG$6)-MAX(Inputs!$F$111,Time!AG$5))/Time!AG$7*Inputs!AG81/1000</f>
        <v>0</v>
      </c>
      <c r="AH584" s="20" t="n">
        <f aca="false">Operations!AH549*MAX(0,MIN(DATE(YEAR(Inputs!$F$111)+Inputs!$F$236,MONTH(Inputs!$F$111),DAY(Inputs!$F$111)),Time!AH$6)-MAX(Inputs!$F$111,Time!AH$5))/Time!AH$7*Inputs!AH81/1000</f>
        <v>0</v>
      </c>
      <c r="AI584" s="20" t="n">
        <f aca="false">Operations!AI549*MAX(0,MIN(DATE(YEAR(Inputs!$F$111)+Inputs!$F$236,MONTH(Inputs!$F$111),DAY(Inputs!$F$111)),Time!AI$6)-MAX(Inputs!$F$111,Time!AI$5))/Time!AI$7*Inputs!AI81/1000</f>
        <v>0</v>
      </c>
      <c r="AJ584" s="20" t="n">
        <f aca="false">Operations!AJ549*MAX(0,MIN(DATE(YEAR(Inputs!$F$111)+Inputs!$F$236,MONTH(Inputs!$F$111),DAY(Inputs!$F$111)),Time!AJ$6)-MAX(Inputs!$F$111,Time!AJ$5))/Time!AJ$7*Inputs!AJ81/1000</f>
        <v>0</v>
      </c>
      <c r="AK584" s="20" t="n">
        <f aca="false">Operations!AK549*MAX(0,MIN(DATE(YEAR(Inputs!$F$111)+Inputs!$F$236,MONTH(Inputs!$F$111),DAY(Inputs!$F$111)),Time!AK$6)-MAX(Inputs!$F$111,Time!AK$5))/Time!AK$7*Inputs!AK81/1000</f>
        <v>0</v>
      </c>
      <c r="AL584" s="20" t="n">
        <f aca="false">Operations!AL549*MAX(0,MIN(DATE(YEAR(Inputs!$F$111)+Inputs!$F$236,MONTH(Inputs!$F$111),DAY(Inputs!$F$111)),Time!AL$6)-MAX(Inputs!$F$111,Time!AL$5))/Time!AL$7*Inputs!AL81/1000</f>
        <v>0</v>
      </c>
      <c r="AM584" s="20" t="n">
        <f aca="false">Operations!AM549*MAX(0,MIN(DATE(YEAR(Inputs!$F$111)+Inputs!$F$236,MONTH(Inputs!$F$111),DAY(Inputs!$F$111)),Time!AM$6)-MAX(Inputs!$F$111,Time!AM$5))/Time!AM$7*Inputs!AM81/1000</f>
        <v>0</v>
      </c>
      <c r="AN584" s="20" t="n">
        <f aca="false">Operations!AN549*MAX(0,MIN(DATE(YEAR(Inputs!$F$111)+Inputs!$F$236,MONTH(Inputs!$F$111),DAY(Inputs!$F$111)),Time!AN$6)-MAX(Inputs!$F$111,Time!AN$5))/Time!AN$7*Inputs!AN81/1000</f>
        <v>0</v>
      </c>
      <c r="AO584" s="20" t="n">
        <f aca="false">Operations!AO549*MAX(0,MIN(DATE(YEAR(Inputs!$F$111)+Inputs!$F$236,MONTH(Inputs!$F$111),DAY(Inputs!$F$111)),Time!AO$6)-MAX(Inputs!$F$111,Time!AO$5))/Time!AO$7*Inputs!AO81/1000</f>
        <v>0</v>
      </c>
      <c r="AP584" s="20" t="n">
        <f aca="false">Operations!AP549*MAX(0,MIN(DATE(YEAR(Inputs!$F$111)+Inputs!$F$236,MONTH(Inputs!$F$111),DAY(Inputs!$F$111)),Time!AP$6)-MAX(Inputs!$F$111,Time!AP$5))/Time!AP$7*Inputs!AP81/1000</f>
        <v>0</v>
      </c>
      <c r="AQ584" s="20" t="n">
        <f aca="false">Operations!AQ549*MAX(0,MIN(DATE(YEAR(Inputs!$F$111)+Inputs!$F$236,MONTH(Inputs!$F$111),DAY(Inputs!$F$111)),Time!AQ$6)-MAX(Inputs!$F$111,Time!AQ$5))/Time!AQ$7*Inputs!AQ81/1000</f>
        <v>0</v>
      </c>
      <c r="AR584" s="20" t="n">
        <f aca="false">Operations!AR549*MAX(0,MIN(DATE(YEAR(Inputs!$F$111)+Inputs!$F$236,MONTH(Inputs!$F$111),DAY(Inputs!$F$111)),Time!AR$6)-MAX(Inputs!$F$111,Time!AR$5))/Time!AR$7*Inputs!AR81/1000</f>
        <v>0</v>
      </c>
      <c r="AS584" s="20" t="n">
        <f aca="false">Operations!AS549*MAX(0,MIN(DATE(YEAR(Inputs!$F$111)+Inputs!$F$236,MONTH(Inputs!$F$111),DAY(Inputs!$F$111)),Time!AS$6)-MAX(Inputs!$F$111,Time!AS$5))/Time!AS$7*Inputs!AS81/1000</f>
        <v>0</v>
      </c>
      <c r="AT584" s="20" t="n">
        <f aca="false">Operations!AT549*MAX(0,MIN(DATE(YEAR(Inputs!$F$111)+Inputs!$F$236,MONTH(Inputs!$F$111),DAY(Inputs!$F$111)),Time!AT$6)-MAX(Inputs!$F$111,Time!AT$5))/Time!AT$7*Inputs!AT81/1000</f>
        <v>0</v>
      </c>
      <c r="AU584" s="20" t="n">
        <f aca="false">Operations!AU549*MAX(0,MIN(DATE(YEAR(Inputs!$F$111)+Inputs!$F$236,MONTH(Inputs!$F$111),DAY(Inputs!$F$111)),Time!AU$6)-MAX(Inputs!$F$111,Time!AU$5))/Time!AU$7*Inputs!AU81/1000</f>
        <v>0</v>
      </c>
    </row>
    <row r="585" customFormat="false" ht="15" hidden="false" customHeight="false" outlineLevel="0" collapsed="false">
      <c r="D585" s="19" t="s">
        <v>586</v>
      </c>
    </row>
    <row r="586" customFormat="false" ht="15" hidden="false" customHeight="false" outlineLevel="0" collapsed="false">
      <c r="D586" s="0" t="s">
        <v>587</v>
      </c>
      <c r="E586" s="0" t="s">
        <v>458</v>
      </c>
      <c r="J586" s="14" t="n">
        <f aca="false">MAX(0,MIN(Inputs!$F$123,Time!J$6)-MAX(Inputs!$F$122,Time!J$5))/Time!J$7</f>
        <v>1</v>
      </c>
      <c r="K586" s="14" t="n">
        <f aca="false">MAX(0,MIN(Inputs!$F$123,Time!K$6)-MAX(Inputs!$F$122,Time!K$5))/Time!K$7</f>
        <v>1</v>
      </c>
      <c r="L586" s="14" t="n">
        <f aca="false">MAX(0,MIN(Inputs!$F$123,Time!L$6)-MAX(Inputs!$F$122,Time!L$5))/Time!L$7</f>
        <v>1</v>
      </c>
      <c r="M586" s="14" t="n">
        <f aca="false">MAX(0,MIN(Inputs!$F$123,Time!M$6)-MAX(Inputs!$F$122,Time!M$5))/Time!M$7</f>
        <v>1</v>
      </c>
      <c r="N586" s="14" t="n">
        <f aca="false">MAX(0,MIN(Inputs!$F$123,Time!N$6)-MAX(Inputs!$F$122,Time!N$5))/Time!N$7</f>
        <v>1</v>
      </c>
      <c r="O586" s="14" t="n">
        <f aca="false">MAX(0,MIN(Inputs!$F$123,Time!O$6)-MAX(Inputs!$F$122,Time!O$5))/Time!O$7</f>
        <v>1</v>
      </c>
      <c r="P586" s="14" t="n">
        <f aca="false">MAX(0,MIN(Inputs!$F$123,Time!P$6)-MAX(Inputs!$F$122,Time!P$5))/Time!P$7</f>
        <v>1</v>
      </c>
      <c r="Q586" s="14" t="n">
        <f aca="false">MAX(0,MIN(Inputs!$F$123,Time!Q$6)-MAX(Inputs!$F$122,Time!Q$5))/Time!Q$7</f>
        <v>1</v>
      </c>
      <c r="R586" s="14" t="n">
        <f aca="false">MAX(0,MIN(Inputs!$F$123,Time!R$6)-MAX(Inputs!$F$122,Time!R$5))/Time!R$7</f>
        <v>1</v>
      </c>
      <c r="S586" s="14" t="n">
        <f aca="false">MAX(0,MIN(Inputs!$F$123,Time!S$6)-MAX(Inputs!$F$122,Time!S$5))/Time!S$7</f>
        <v>1</v>
      </c>
      <c r="T586" s="14" t="n">
        <f aca="false">MAX(0,MIN(Inputs!$F$123,Time!T$6)-MAX(Inputs!$F$122,Time!T$5))/Time!T$7</f>
        <v>1</v>
      </c>
      <c r="U586" s="14" t="n">
        <f aca="false">MAX(0,MIN(Inputs!$F$123,Time!U$6)-MAX(Inputs!$F$122,Time!U$5))/Time!U$7</f>
        <v>1</v>
      </c>
      <c r="V586" s="14" t="n">
        <f aca="false">MAX(0,MIN(Inputs!$F$123,Time!V$6)-MAX(Inputs!$F$122,Time!V$5))/Time!V$7</f>
        <v>1</v>
      </c>
      <c r="W586" s="14" t="n">
        <f aca="false">MAX(0,MIN(Inputs!$F$123,Time!W$6)-MAX(Inputs!$F$122,Time!W$5))/Time!W$7</f>
        <v>1</v>
      </c>
      <c r="X586" s="14" t="n">
        <f aca="false">MAX(0,MIN(Inputs!$F$123,Time!X$6)-MAX(Inputs!$F$122,Time!X$5))/Time!X$7</f>
        <v>1</v>
      </c>
      <c r="Y586" s="14" t="n">
        <f aca="false">MAX(0,MIN(Inputs!$F$123,Time!Y$6)-MAX(Inputs!$F$122,Time!Y$5))/Time!Y$7</f>
        <v>1</v>
      </c>
      <c r="Z586" s="14" t="n">
        <f aca="false">MAX(0,MIN(Inputs!$F$123,Time!Z$6)-MAX(Inputs!$F$122,Time!Z$5))/Time!Z$7</f>
        <v>1</v>
      </c>
      <c r="AA586" s="14" t="n">
        <f aca="false">MAX(0,MIN(Inputs!$F$123,Time!AA$6)-MAX(Inputs!$F$122,Time!AA$5))/Time!AA$7</f>
        <v>1</v>
      </c>
      <c r="AB586" s="14" t="n">
        <f aca="false">MAX(0,MIN(Inputs!$F$123,Time!AB$6)-MAX(Inputs!$F$122,Time!AB$5))/Time!AB$7</f>
        <v>1</v>
      </c>
      <c r="AC586" s="14" t="n">
        <f aca="false">MAX(0,MIN(Inputs!$F$123,Time!AC$6)-MAX(Inputs!$F$122,Time!AC$5))/Time!AC$7</f>
        <v>1</v>
      </c>
      <c r="AD586" s="14" t="n">
        <f aca="false">MAX(0,MIN(Inputs!$F$123,Time!AD$6)-MAX(Inputs!$F$122,Time!AD$5))/Time!AD$7</f>
        <v>1</v>
      </c>
      <c r="AE586" s="14" t="n">
        <f aca="false">MAX(0,MIN(Inputs!$F$123,Time!AE$6)-MAX(Inputs!$F$122,Time!AE$5))/Time!AE$7</f>
        <v>1</v>
      </c>
      <c r="AF586" s="14" t="n">
        <f aca="false">MAX(0,MIN(Inputs!$F$123,Time!AF$6)-MAX(Inputs!$F$122,Time!AF$5))/Time!AF$7</f>
        <v>1</v>
      </c>
      <c r="AG586" s="14" t="n">
        <f aca="false">MAX(0,MIN(Inputs!$F$123,Time!AG$6)-MAX(Inputs!$F$122,Time!AG$5))/Time!AG$7</f>
        <v>1</v>
      </c>
      <c r="AH586" s="14" t="n">
        <f aca="false">MAX(0,MIN(Inputs!$F$123,Time!AH$6)-MAX(Inputs!$F$122,Time!AH$5))/Time!AH$7</f>
        <v>1</v>
      </c>
      <c r="AI586" s="14" t="n">
        <f aca="false">MAX(0,MIN(Inputs!$F$123,Time!AI$6)-MAX(Inputs!$F$122,Time!AI$5))/Time!AI$7</f>
        <v>1</v>
      </c>
      <c r="AJ586" s="14" t="n">
        <f aca="false">MAX(0,MIN(Inputs!$F$123,Time!AJ$6)-MAX(Inputs!$F$122,Time!AJ$5))/Time!AJ$7</f>
        <v>1</v>
      </c>
      <c r="AK586" s="14" t="n">
        <f aca="false">MAX(0,MIN(Inputs!$F$123,Time!AK$6)-MAX(Inputs!$F$122,Time!AK$5))/Time!AK$7</f>
        <v>1</v>
      </c>
      <c r="AL586" s="14" t="n">
        <f aca="false">MAX(0,MIN(Inputs!$F$123,Time!AL$6)-MAX(Inputs!$F$122,Time!AL$5))/Time!AL$7</f>
        <v>1</v>
      </c>
      <c r="AM586" s="14" t="n">
        <f aca="false">MAX(0,MIN(Inputs!$F$123,Time!AM$6)-MAX(Inputs!$F$122,Time!AM$5))/Time!AM$7</f>
        <v>1</v>
      </c>
      <c r="AN586" s="14" t="n">
        <f aca="false">MAX(0,MIN(Inputs!$F$123,Time!AN$6)-MAX(Inputs!$F$122,Time!AN$5))/Time!AN$7</f>
        <v>1</v>
      </c>
      <c r="AO586" s="14" t="n">
        <f aca="false">MAX(0,MIN(Inputs!$F$123,Time!AO$6)-MAX(Inputs!$F$122,Time!AO$5))/Time!AO$7</f>
        <v>1</v>
      </c>
      <c r="AP586" s="14" t="n">
        <f aca="false">MAX(0,MIN(Inputs!$F$123,Time!AP$6)-MAX(Inputs!$F$122,Time!AP$5))/Time!AP$7</f>
        <v>1</v>
      </c>
      <c r="AQ586" s="14" t="n">
        <f aca="false">MAX(0,MIN(Inputs!$F$123,Time!AQ$6)-MAX(Inputs!$F$122,Time!AQ$5))/Time!AQ$7</f>
        <v>0.832876712328767</v>
      </c>
      <c r="AR586" s="14" t="n">
        <f aca="false">MAX(0,MIN(Inputs!$F$123,Time!AR$6)-MAX(Inputs!$F$122,Time!AR$5))/Time!AR$7</f>
        <v>0</v>
      </c>
      <c r="AS586" s="14" t="n">
        <f aca="false">MAX(0,MIN(Inputs!$F$123,Time!AS$6)-MAX(Inputs!$F$122,Time!AS$5))/Time!AS$7</f>
        <v>0</v>
      </c>
      <c r="AT586" s="14" t="n">
        <f aca="false">MAX(0,MIN(Inputs!$F$123,Time!AT$6)-MAX(Inputs!$F$122,Time!AT$5))/Time!AT$7</f>
        <v>0</v>
      </c>
      <c r="AU586" s="14" t="n">
        <f aca="false">MAX(0,MIN(Inputs!$F$123,Time!AU$6)-MAX(Inputs!$F$122,Time!AU$5))/Time!AU$7</f>
        <v>0</v>
      </c>
    </row>
    <row r="587" customFormat="false" ht="15" hidden="false" customHeight="false" outlineLevel="0" collapsed="false">
      <c r="D587" s="0" t="s">
        <v>588</v>
      </c>
      <c r="E587" s="0" t="s">
        <v>458</v>
      </c>
      <c r="J587" s="14" t="n">
        <f aca="false">MAX(0,MIN(Inputs!$F$123,Time!J$6)-MAX(MAX(Inputs!$F$124,Inputs!$F$122),Time!J$5))/Time!J$7</f>
        <v>0.778082191780822</v>
      </c>
      <c r="K587" s="14" t="n">
        <f aca="false">MAX(0,MIN(Inputs!$F$123,Time!K$6)-MAX(MAX(Inputs!$F$124,Inputs!$F$122),Time!K$5))/Time!K$7</f>
        <v>1</v>
      </c>
      <c r="L587" s="14" t="n">
        <f aca="false">MAX(0,MIN(Inputs!$F$123,Time!L$6)-MAX(MAX(Inputs!$F$124,Inputs!$F$122),Time!L$5))/Time!L$7</f>
        <v>1</v>
      </c>
      <c r="M587" s="14" t="n">
        <f aca="false">MAX(0,MIN(Inputs!$F$123,Time!M$6)-MAX(MAX(Inputs!$F$124,Inputs!$F$122),Time!M$5))/Time!M$7</f>
        <v>1</v>
      </c>
      <c r="N587" s="14" t="n">
        <f aca="false">MAX(0,MIN(Inputs!$F$123,Time!N$6)-MAX(MAX(Inputs!$F$124,Inputs!$F$122),Time!N$5))/Time!N$7</f>
        <v>1</v>
      </c>
      <c r="O587" s="14" t="n">
        <f aca="false">MAX(0,MIN(Inputs!$F$123,Time!O$6)-MAX(MAX(Inputs!$F$124,Inputs!$F$122),Time!O$5))/Time!O$7</f>
        <v>1</v>
      </c>
      <c r="P587" s="14" t="n">
        <f aca="false">MAX(0,MIN(Inputs!$F$123,Time!P$6)-MAX(MAX(Inputs!$F$124,Inputs!$F$122),Time!P$5))/Time!P$7</f>
        <v>1</v>
      </c>
      <c r="Q587" s="14" t="n">
        <f aca="false">MAX(0,MIN(Inputs!$F$123,Time!Q$6)-MAX(MAX(Inputs!$F$124,Inputs!$F$122),Time!Q$5))/Time!Q$7</f>
        <v>1</v>
      </c>
      <c r="R587" s="14" t="n">
        <f aca="false">MAX(0,MIN(Inputs!$F$123,Time!R$6)-MAX(MAX(Inputs!$F$124,Inputs!$F$122),Time!R$5))/Time!R$7</f>
        <v>1</v>
      </c>
      <c r="S587" s="14" t="n">
        <f aca="false">MAX(0,MIN(Inputs!$F$123,Time!S$6)-MAX(MAX(Inputs!$F$124,Inputs!$F$122),Time!S$5))/Time!S$7</f>
        <v>1</v>
      </c>
      <c r="T587" s="14" t="n">
        <f aca="false">MAX(0,MIN(Inputs!$F$123,Time!T$6)-MAX(MAX(Inputs!$F$124,Inputs!$F$122),Time!T$5))/Time!T$7</f>
        <v>1</v>
      </c>
      <c r="U587" s="14" t="n">
        <f aca="false">MAX(0,MIN(Inputs!$F$123,Time!U$6)-MAX(MAX(Inputs!$F$124,Inputs!$F$122),Time!U$5))/Time!U$7</f>
        <v>1</v>
      </c>
      <c r="V587" s="14" t="n">
        <f aca="false">MAX(0,MIN(Inputs!$F$123,Time!V$6)-MAX(MAX(Inputs!$F$124,Inputs!$F$122),Time!V$5))/Time!V$7</f>
        <v>1</v>
      </c>
      <c r="W587" s="14" t="n">
        <f aca="false">MAX(0,MIN(Inputs!$F$123,Time!W$6)-MAX(MAX(Inputs!$F$124,Inputs!$F$122),Time!W$5))/Time!W$7</f>
        <v>1</v>
      </c>
      <c r="X587" s="14" t="n">
        <f aca="false">MAX(0,MIN(Inputs!$F$123,Time!X$6)-MAX(MAX(Inputs!$F$124,Inputs!$F$122),Time!X$5))/Time!X$7</f>
        <v>1</v>
      </c>
      <c r="Y587" s="14" t="n">
        <f aca="false">MAX(0,MIN(Inputs!$F$123,Time!Y$6)-MAX(MAX(Inputs!$F$124,Inputs!$F$122),Time!Y$5))/Time!Y$7</f>
        <v>1</v>
      </c>
      <c r="Z587" s="14" t="n">
        <f aca="false">MAX(0,MIN(Inputs!$F$123,Time!Z$6)-MAX(MAX(Inputs!$F$124,Inputs!$F$122),Time!Z$5))/Time!Z$7</f>
        <v>1</v>
      </c>
      <c r="AA587" s="14" t="n">
        <f aca="false">MAX(0,MIN(Inputs!$F$123,Time!AA$6)-MAX(MAX(Inputs!$F$124,Inputs!$F$122),Time!AA$5))/Time!AA$7</f>
        <v>1</v>
      </c>
      <c r="AB587" s="14" t="n">
        <f aca="false">MAX(0,MIN(Inputs!$F$123,Time!AB$6)-MAX(MAX(Inputs!$F$124,Inputs!$F$122),Time!AB$5))/Time!AB$7</f>
        <v>1</v>
      </c>
      <c r="AC587" s="14" t="n">
        <f aca="false">MAX(0,MIN(Inputs!$F$123,Time!AC$6)-MAX(MAX(Inputs!$F$124,Inputs!$F$122),Time!AC$5))/Time!AC$7</f>
        <v>1</v>
      </c>
      <c r="AD587" s="14" t="n">
        <f aca="false">MAX(0,MIN(Inputs!$F$123,Time!AD$6)-MAX(MAX(Inputs!$F$124,Inputs!$F$122),Time!AD$5))/Time!AD$7</f>
        <v>1</v>
      </c>
      <c r="AE587" s="14" t="n">
        <f aca="false">MAX(0,MIN(Inputs!$F$123,Time!AE$6)-MAX(MAX(Inputs!$F$124,Inputs!$F$122),Time!AE$5))/Time!AE$7</f>
        <v>1</v>
      </c>
      <c r="AF587" s="14" t="n">
        <f aca="false">MAX(0,MIN(Inputs!$F$123,Time!AF$6)-MAX(MAX(Inputs!$F$124,Inputs!$F$122),Time!AF$5))/Time!AF$7</f>
        <v>1</v>
      </c>
      <c r="AG587" s="14" t="n">
        <f aca="false">MAX(0,MIN(Inputs!$F$123,Time!AG$6)-MAX(MAX(Inputs!$F$124,Inputs!$F$122),Time!AG$5))/Time!AG$7</f>
        <v>1</v>
      </c>
      <c r="AH587" s="14" t="n">
        <f aca="false">MAX(0,MIN(Inputs!$F$123,Time!AH$6)-MAX(MAX(Inputs!$F$124,Inputs!$F$122),Time!AH$5))/Time!AH$7</f>
        <v>1</v>
      </c>
      <c r="AI587" s="14" t="n">
        <f aca="false">MAX(0,MIN(Inputs!$F$123,Time!AI$6)-MAX(MAX(Inputs!$F$124,Inputs!$F$122),Time!AI$5))/Time!AI$7</f>
        <v>1</v>
      </c>
      <c r="AJ587" s="14" t="n">
        <f aca="false">MAX(0,MIN(Inputs!$F$123,Time!AJ$6)-MAX(MAX(Inputs!$F$124,Inputs!$F$122),Time!AJ$5))/Time!AJ$7</f>
        <v>1</v>
      </c>
      <c r="AK587" s="14" t="n">
        <f aca="false">MAX(0,MIN(Inputs!$F$123,Time!AK$6)-MAX(MAX(Inputs!$F$124,Inputs!$F$122),Time!AK$5))/Time!AK$7</f>
        <v>1</v>
      </c>
      <c r="AL587" s="14" t="n">
        <f aca="false">MAX(0,MIN(Inputs!$F$123,Time!AL$6)-MAX(MAX(Inputs!$F$124,Inputs!$F$122),Time!AL$5))/Time!AL$7</f>
        <v>1</v>
      </c>
      <c r="AM587" s="14" t="n">
        <f aca="false">MAX(0,MIN(Inputs!$F$123,Time!AM$6)-MAX(MAX(Inputs!$F$124,Inputs!$F$122),Time!AM$5))/Time!AM$7</f>
        <v>1</v>
      </c>
      <c r="AN587" s="14" t="n">
        <f aca="false">MAX(0,MIN(Inputs!$F$123,Time!AN$6)-MAX(MAX(Inputs!$F$124,Inputs!$F$122),Time!AN$5))/Time!AN$7</f>
        <v>1</v>
      </c>
      <c r="AO587" s="14" t="n">
        <f aca="false">MAX(0,MIN(Inputs!$F$123,Time!AO$6)-MAX(MAX(Inputs!$F$124,Inputs!$F$122),Time!AO$5))/Time!AO$7</f>
        <v>1</v>
      </c>
      <c r="AP587" s="14" t="n">
        <f aca="false">MAX(0,MIN(Inputs!$F$123,Time!AP$6)-MAX(MAX(Inputs!$F$124,Inputs!$F$122),Time!AP$5))/Time!AP$7</f>
        <v>1</v>
      </c>
      <c r="AQ587" s="14" t="n">
        <f aca="false">MAX(0,MIN(Inputs!$F$123,Time!AQ$6)-MAX(MAX(Inputs!$F$124,Inputs!$F$122),Time!AQ$5))/Time!AQ$7</f>
        <v>0.832876712328767</v>
      </c>
      <c r="AR587" s="14" t="n">
        <f aca="false">MAX(0,MIN(Inputs!$F$123,Time!AR$6)-MAX(MAX(Inputs!$F$124,Inputs!$F$122),Time!AR$5))/Time!AR$7</f>
        <v>0</v>
      </c>
      <c r="AS587" s="14" t="n">
        <f aca="false">MAX(0,MIN(Inputs!$F$123,Time!AS$6)-MAX(MAX(Inputs!$F$124,Inputs!$F$122),Time!AS$5))/Time!AS$7</f>
        <v>0</v>
      </c>
      <c r="AT587" s="14" t="n">
        <f aca="false">MAX(0,MIN(Inputs!$F$123,Time!AT$6)-MAX(MAX(Inputs!$F$124,Inputs!$F$122),Time!AT$5))/Time!AT$7</f>
        <v>0</v>
      </c>
      <c r="AU587" s="14" t="n">
        <f aca="false">MAX(0,MIN(Inputs!$F$123,Time!AU$6)-MAX(MAX(Inputs!$F$124,Inputs!$F$122),Time!AU$5))/Time!AU$7</f>
        <v>0</v>
      </c>
    </row>
    <row r="588" customFormat="false" ht="15" hidden="false" customHeight="false" outlineLevel="0" collapsed="false">
      <c r="D588" s="0" t="s">
        <v>589</v>
      </c>
      <c r="E588" s="0" t="s">
        <v>458</v>
      </c>
      <c r="J588" s="14" t="n">
        <f aca="false">IF(Operations!J586&gt;0,Operations!J587/Operations!J586,0)</f>
        <v>0.778082191780822</v>
      </c>
      <c r="K588" s="14" t="n">
        <f aca="false">IF(Operations!K586&gt;0,Operations!K587/Operations!K586,0)</f>
        <v>1</v>
      </c>
      <c r="L588" s="14" t="n">
        <f aca="false">IF(Operations!L586&gt;0,Operations!L587/Operations!L586,0)</f>
        <v>1</v>
      </c>
      <c r="M588" s="14" t="n">
        <f aca="false">IF(Operations!M586&gt;0,Operations!M587/Operations!M586,0)</f>
        <v>1</v>
      </c>
      <c r="N588" s="14" t="n">
        <f aca="false">IF(Operations!N586&gt;0,Operations!N587/Operations!N586,0)</f>
        <v>1</v>
      </c>
      <c r="O588" s="14" t="n">
        <f aca="false">IF(Operations!O586&gt;0,Operations!O587/Operations!O586,0)</f>
        <v>1</v>
      </c>
      <c r="P588" s="14" t="n">
        <f aca="false">IF(Operations!P586&gt;0,Operations!P587/Operations!P586,0)</f>
        <v>1</v>
      </c>
      <c r="Q588" s="14" t="n">
        <f aca="false">IF(Operations!Q586&gt;0,Operations!Q587/Operations!Q586,0)</f>
        <v>1</v>
      </c>
      <c r="R588" s="14" t="n">
        <f aca="false">IF(Operations!R586&gt;0,Operations!R587/Operations!R586,0)</f>
        <v>1</v>
      </c>
      <c r="S588" s="14" t="n">
        <f aca="false">IF(Operations!S586&gt;0,Operations!S587/Operations!S586,0)</f>
        <v>1</v>
      </c>
      <c r="T588" s="14" t="n">
        <f aca="false">IF(Operations!T586&gt;0,Operations!T587/Operations!T586,0)</f>
        <v>1</v>
      </c>
      <c r="U588" s="14" t="n">
        <f aca="false">IF(Operations!U586&gt;0,Operations!U587/Operations!U586,0)</f>
        <v>1</v>
      </c>
      <c r="V588" s="14" t="n">
        <f aca="false">IF(Operations!V586&gt;0,Operations!V587/Operations!V586,0)</f>
        <v>1</v>
      </c>
      <c r="W588" s="14" t="n">
        <f aca="false">IF(Operations!W586&gt;0,Operations!W587/Operations!W586,0)</f>
        <v>1</v>
      </c>
      <c r="X588" s="14" t="n">
        <f aca="false">IF(Operations!X586&gt;0,Operations!X587/Operations!X586,0)</f>
        <v>1</v>
      </c>
      <c r="Y588" s="14" t="n">
        <f aca="false">IF(Operations!Y586&gt;0,Operations!Y587/Operations!Y586,0)</f>
        <v>1</v>
      </c>
      <c r="Z588" s="14" t="n">
        <f aca="false">IF(Operations!Z586&gt;0,Operations!Z587/Operations!Z586,0)</f>
        <v>1</v>
      </c>
      <c r="AA588" s="14" t="n">
        <f aca="false">IF(Operations!AA586&gt;0,Operations!AA587/Operations!AA586,0)</f>
        <v>1</v>
      </c>
      <c r="AB588" s="14" t="n">
        <f aca="false">IF(Operations!AB586&gt;0,Operations!AB587/Operations!AB586,0)</f>
        <v>1</v>
      </c>
      <c r="AC588" s="14" t="n">
        <f aca="false">IF(Operations!AC586&gt;0,Operations!AC587/Operations!AC586,0)</f>
        <v>1</v>
      </c>
      <c r="AD588" s="14" t="n">
        <f aca="false">IF(Operations!AD586&gt;0,Operations!AD587/Operations!AD586,0)</f>
        <v>1</v>
      </c>
      <c r="AE588" s="14" t="n">
        <f aca="false">IF(Operations!AE586&gt;0,Operations!AE587/Operations!AE586,0)</f>
        <v>1</v>
      </c>
      <c r="AF588" s="14" t="n">
        <f aca="false">IF(Operations!AF586&gt;0,Operations!AF587/Operations!AF586,0)</f>
        <v>1</v>
      </c>
      <c r="AG588" s="14" t="n">
        <f aca="false">IF(Operations!AG586&gt;0,Operations!AG587/Operations!AG586,0)</f>
        <v>1</v>
      </c>
      <c r="AH588" s="14" t="n">
        <f aca="false">IF(Operations!AH586&gt;0,Operations!AH587/Operations!AH586,0)</f>
        <v>1</v>
      </c>
      <c r="AI588" s="14" t="n">
        <f aca="false">IF(Operations!AI586&gt;0,Operations!AI587/Operations!AI586,0)</f>
        <v>1</v>
      </c>
      <c r="AJ588" s="14" t="n">
        <f aca="false">IF(Operations!AJ586&gt;0,Operations!AJ587/Operations!AJ586,0)</f>
        <v>1</v>
      </c>
      <c r="AK588" s="14" t="n">
        <f aca="false">IF(Operations!AK586&gt;0,Operations!AK587/Operations!AK586,0)</f>
        <v>1</v>
      </c>
      <c r="AL588" s="14" t="n">
        <f aca="false">IF(Operations!AL586&gt;0,Operations!AL587/Operations!AL586,0)</f>
        <v>1</v>
      </c>
      <c r="AM588" s="14" t="n">
        <f aca="false">IF(Operations!AM586&gt;0,Operations!AM587/Operations!AM586,0)</f>
        <v>1</v>
      </c>
      <c r="AN588" s="14" t="n">
        <f aca="false">IF(Operations!AN586&gt;0,Operations!AN587/Operations!AN586,0)</f>
        <v>1</v>
      </c>
      <c r="AO588" s="14" t="n">
        <f aca="false">IF(Operations!AO586&gt;0,Operations!AO587/Operations!AO586,0)</f>
        <v>1</v>
      </c>
      <c r="AP588" s="14" t="n">
        <f aca="false">IF(Operations!AP586&gt;0,Operations!AP587/Operations!AP586,0)</f>
        <v>1</v>
      </c>
      <c r="AQ588" s="14" t="n">
        <f aca="false">IF(Operations!AQ586&gt;0,Operations!AQ587/Operations!AQ586,0)</f>
        <v>1</v>
      </c>
      <c r="AR588" s="14" t="n">
        <f aca="false">IF(Operations!AR586&gt;0,Operations!AR587/Operations!AR586,0)</f>
        <v>0</v>
      </c>
      <c r="AS588" s="14" t="n">
        <f aca="false">IF(Operations!AS586&gt;0,Operations!AS587/Operations!AS586,0)</f>
        <v>0</v>
      </c>
      <c r="AT588" s="14" t="n">
        <f aca="false">IF(Operations!AT586&gt;0,Operations!AT587/Operations!AT586,0)</f>
        <v>0</v>
      </c>
      <c r="AU588" s="14" t="n">
        <f aca="false">IF(Operations!AU586&gt;0,Operations!AU587/Operations!AU586,0)</f>
        <v>0</v>
      </c>
    </row>
    <row r="589" customFormat="false" ht="15" hidden="false" customHeight="false" outlineLevel="0" collapsed="false">
      <c r="D589" s="0" t="s">
        <v>590</v>
      </c>
      <c r="E589" s="0" t="s">
        <v>96</v>
      </c>
      <c r="J589" s="18" t="n">
        <f aca="false">Operations!J448</f>
        <v>72.2128</v>
      </c>
      <c r="K589" s="18" t="n">
        <f aca="false">Operations!K448</f>
        <v>59.2416</v>
      </c>
      <c r="L589" s="18" t="n">
        <f aca="false">Operations!L448</f>
        <v>29.1368</v>
      </c>
      <c r="M589" s="18" t="n">
        <f aca="false">Operations!M448</f>
        <v>38.5264</v>
      </c>
      <c r="N589" s="18" t="n">
        <f aca="false">Operations!N448</f>
        <v>43.1728</v>
      </c>
      <c r="O589" s="18" t="n">
        <f aca="false">Operations!O448</f>
        <v>45.7864</v>
      </c>
      <c r="P589" s="18" t="n">
        <f aca="false">Operations!P448</f>
        <v>47.5288</v>
      </c>
      <c r="Q589" s="18" t="n">
        <f aca="false">Operations!Q448</f>
        <v>48.7872</v>
      </c>
      <c r="R589" s="18" t="n">
        <f aca="false">Operations!R448</f>
        <v>50.1424</v>
      </c>
      <c r="S589" s="18" t="n">
        <f aca="false">Operations!S448</f>
        <v>51.14912</v>
      </c>
      <c r="T589" s="18" t="n">
        <f aca="false">Operations!T448</f>
        <v>52.1752</v>
      </c>
      <c r="U589" s="18" t="n">
        <f aca="false">Operations!U448</f>
        <v>53.22064</v>
      </c>
      <c r="V589" s="18" t="n">
        <f aca="false">Operations!V448</f>
        <v>54.28544</v>
      </c>
      <c r="W589" s="18" t="n">
        <f aca="false">Operations!W448</f>
        <v>55.3696</v>
      </c>
      <c r="X589" s="18" t="n">
        <f aca="false">Operations!X448</f>
        <v>56.47312</v>
      </c>
      <c r="Y589" s="18" t="n">
        <f aca="false">Operations!Y448</f>
        <v>57.60568</v>
      </c>
      <c r="Z589" s="18" t="n">
        <f aca="false">Operations!Z448</f>
        <v>58.7576</v>
      </c>
      <c r="AA589" s="18" t="n">
        <f aca="false">Operations!AA448</f>
        <v>59.92888</v>
      </c>
      <c r="AB589" s="18" t="n">
        <f aca="false">Operations!AB448</f>
        <v>61.1292</v>
      </c>
      <c r="AC589" s="18" t="n">
        <f aca="false">Operations!AC448</f>
        <v>62.34888</v>
      </c>
      <c r="AD589" s="18" t="n">
        <f aca="false">Operations!AD448</f>
        <v>63.5976</v>
      </c>
      <c r="AE589" s="18" t="n">
        <f aca="false">Operations!AE448</f>
        <v>64.86568</v>
      </c>
      <c r="AF589" s="18" t="n">
        <f aca="false">Operations!AF448</f>
        <v>66.1628</v>
      </c>
      <c r="AG589" s="18" t="n">
        <f aca="false">Operations!AG448</f>
        <v>67.48896</v>
      </c>
      <c r="AH589" s="18" t="n">
        <f aca="false">Operations!AH448</f>
        <v>68.83448</v>
      </c>
      <c r="AI589" s="18" t="n">
        <f aca="false">Operations!AI448</f>
        <v>70.20904</v>
      </c>
      <c r="AJ589" s="18" t="n">
        <f aca="false">Operations!AJ448</f>
        <v>71.61264</v>
      </c>
      <c r="AK589" s="18" t="n">
        <f aca="false">Operations!AK448</f>
        <v>73.04528</v>
      </c>
      <c r="AL589" s="18" t="n">
        <f aca="false">Operations!AL448</f>
        <v>74.50696</v>
      </c>
      <c r="AM589" s="18" t="n">
        <f aca="false">Operations!AM448</f>
        <v>75.99768</v>
      </c>
      <c r="AN589" s="18" t="n">
        <f aca="false">Operations!AN448</f>
        <v>77.51744</v>
      </c>
      <c r="AO589" s="18" t="n">
        <f aca="false">Operations!AO448</f>
        <v>79.06624</v>
      </c>
      <c r="AP589" s="18" t="n">
        <f aca="false">Operations!AP448</f>
        <v>80.64408</v>
      </c>
      <c r="AQ589" s="18" t="n">
        <f aca="false">Operations!AQ448</f>
        <v>82.26064</v>
      </c>
      <c r="AR589" s="18" t="n">
        <f aca="false">Operations!AR448</f>
        <v>83.90624</v>
      </c>
      <c r="AS589" s="18" t="n">
        <f aca="false">Operations!AS448</f>
        <v>85.58088</v>
      </c>
      <c r="AT589" s="18" t="n">
        <f aca="false">Operations!AT448</f>
        <v>87.29424</v>
      </c>
      <c r="AU589" s="18" t="n">
        <f aca="false">Operations!AU448</f>
        <v>89.03664</v>
      </c>
    </row>
    <row r="590" customFormat="false" ht="15" hidden="false" customHeight="false" outlineLevel="0" collapsed="false">
      <c r="D590" s="0" t="s">
        <v>591</v>
      </c>
      <c r="E590" s="0" t="s">
        <v>27</v>
      </c>
      <c r="J590" s="14" t="n">
        <f aca="false">CHOOSE(Operations!$F$442,1,Inputs!$F$128/100,Inputs!$F$129/100,Operations!$F$30/100)</f>
        <v>1</v>
      </c>
      <c r="K590" s="14" t="n">
        <f aca="false">CHOOSE(Operations!$F$442,1,Inputs!$F$128/100,Inputs!$F$129/100,Operations!$F$30/100)</f>
        <v>1</v>
      </c>
      <c r="L590" s="14" t="n">
        <f aca="false">CHOOSE(Operations!$F$442,1,Inputs!$F$128/100,Inputs!$F$129/100,Operations!$F$30/100)</f>
        <v>1</v>
      </c>
      <c r="M590" s="14" t="n">
        <f aca="false">CHOOSE(Operations!$F$442,1,Inputs!$F$128/100,Inputs!$F$129/100,Operations!$F$30/100)</f>
        <v>1</v>
      </c>
      <c r="N590" s="14" t="n">
        <f aca="false">CHOOSE(Operations!$F$442,1,Inputs!$F$128/100,Inputs!$F$129/100,Operations!$F$30/100)</f>
        <v>1</v>
      </c>
      <c r="O590" s="14" t="n">
        <f aca="false">CHOOSE(Operations!$F$442,1,Inputs!$F$128/100,Inputs!$F$129/100,Operations!$F$30/100)</f>
        <v>1</v>
      </c>
      <c r="P590" s="14" t="n">
        <f aca="false">CHOOSE(Operations!$F$442,1,Inputs!$F$128/100,Inputs!$F$129/100,Operations!$F$30/100)</f>
        <v>1</v>
      </c>
      <c r="Q590" s="14" t="n">
        <f aca="false">CHOOSE(Operations!$F$442,1,Inputs!$F$128/100,Inputs!$F$129/100,Operations!$F$30/100)</f>
        <v>1</v>
      </c>
      <c r="R590" s="14" t="n">
        <f aca="false">CHOOSE(Operations!$F$442,1,Inputs!$F$128/100,Inputs!$F$129/100,Operations!$F$30/100)</f>
        <v>1</v>
      </c>
      <c r="S590" s="14" t="n">
        <f aca="false">CHOOSE(Operations!$F$442,1,Inputs!$F$128/100,Inputs!$F$129/100,Operations!$F$30/100)</f>
        <v>1</v>
      </c>
      <c r="T590" s="14" t="n">
        <f aca="false">CHOOSE(Operations!$F$442,1,Inputs!$F$128/100,Inputs!$F$129/100,Operations!$F$30/100)</f>
        <v>1</v>
      </c>
      <c r="U590" s="14" t="n">
        <f aca="false">CHOOSE(Operations!$F$442,1,Inputs!$F$128/100,Inputs!$F$129/100,Operations!$F$30/100)</f>
        <v>1</v>
      </c>
      <c r="V590" s="14" t="n">
        <f aca="false">CHOOSE(Operations!$F$442,1,Inputs!$F$128/100,Inputs!$F$129/100,Operations!$F$30/100)</f>
        <v>1</v>
      </c>
      <c r="W590" s="14" t="n">
        <f aca="false">CHOOSE(Operations!$F$442,1,Inputs!$F$128/100,Inputs!$F$129/100,Operations!$F$30/100)</f>
        <v>1</v>
      </c>
      <c r="X590" s="14" t="n">
        <f aca="false">CHOOSE(Operations!$F$442,1,Inputs!$F$128/100,Inputs!$F$129/100,Operations!$F$30/100)</f>
        <v>1</v>
      </c>
      <c r="Y590" s="14" t="n">
        <f aca="false">CHOOSE(Operations!$F$442,1,Inputs!$F$128/100,Inputs!$F$129/100,Operations!$F$30/100)</f>
        <v>1</v>
      </c>
      <c r="Z590" s="14" t="n">
        <f aca="false">CHOOSE(Operations!$F$442,1,Inputs!$F$128/100,Inputs!$F$129/100,Operations!$F$30/100)</f>
        <v>1</v>
      </c>
      <c r="AA590" s="14" t="n">
        <f aca="false">CHOOSE(Operations!$F$442,1,Inputs!$F$128/100,Inputs!$F$129/100,Operations!$F$30/100)</f>
        <v>1</v>
      </c>
      <c r="AB590" s="14" t="n">
        <f aca="false">CHOOSE(Operations!$F$442,1,Inputs!$F$128/100,Inputs!$F$129/100,Operations!$F$30/100)</f>
        <v>1</v>
      </c>
      <c r="AC590" s="14" t="n">
        <f aca="false">CHOOSE(Operations!$F$442,1,Inputs!$F$128/100,Inputs!$F$129/100,Operations!$F$30/100)</f>
        <v>1</v>
      </c>
      <c r="AD590" s="14" t="n">
        <f aca="false">CHOOSE(Operations!$F$442,1,Inputs!$F$128/100,Inputs!$F$129/100,Operations!$F$30/100)</f>
        <v>1</v>
      </c>
      <c r="AE590" s="14" t="n">
        <f aca="false">CHOOSE(Operations!$F$442,1,Inputs!$F$128/100,Inputs!$F$129/100,Operations!$F$30/100)</f>
        <v>1</v>
      </c>
      <c r="AF590" s="14" t="n">
        <f aca="false">CHOOSE(Operations!$F$442,1,Inputs!$F$128/100,Inputs!$F$129/100,Operations!$F$30/100)</f>
        <v>1</v>
      </c>
      <c r="AG590" s="14" t="n">
        <f aca="false">CHOOSE(Operations!$F$442,1,Inputs!$F$128/100,Inputs!$F$129/100,Operations!$F$30/100)</f>
        <v>1</v>
      </c>
      <c r="AH590" s="14" t="n">
        <f aca="false">CHOOSE(Operations!$F$442,1,Inputs!$F$128/100,Inputs!$F$129/100,Operations!$F$30/100)</f>
        <v>1</v>
      </c>
      <c r="AI590" s="14" t="n">
        <f aca="false">CHOOSE(Operations!$F$442,1,Inputs!$F$128/100,Inputs!$F$129/100,Operations!$F$30/100)</f>
        <v>1</v>
      </c>
      <c r="AJ590" s="14" t="n">
        <f aca="false">CHOOSE(Operations!$F$442,1,Inputs!$F$128/100,Inputs!$F$129/100,Operations!$F$30/100)</f>
        <v>1</v>
      </c>
      <c r="AK590" s="14" t="n">
        <f aca="false">CHOOSE(Operations!$F$442,1,Inputs!$F$128/100,Inputs!$F$129/100,Operations!$F$30/100)</f>
        <v>1</v>
      </c>
      <c r="AL590" s="14" t="n">
        <f aca="false">CHOOSE(Operations!$F$442,1,Inputs!$F$128/100,Inputs!$F$129/100,Operations!$F$30/100)</f>
        <v>1</v>
      </c>
      <c r="AM590" s="14" t="n">
        <f aca="false">CHOOSE(Operations!$F$442,1,Inputs!$F$128/100,Inputs!$F$129/100,Operations!$F$30/100)</f>
        <v>1</v>
      </c>
      <c r="AN590" s="14" t="n">
        <f aca="false">CHOOSE(Operations!$F$442,1,Inputs!$F$128/100,Inputs!$F$129/100,Operations!$F$30/100)</f>
        <v>1</v>
      </c>
      <c r="AO590" s="14" t="n">
        <f aca="false">CHOOSE(Operations!$F$442,1,Inputs!$F$128/100,Inputs!$F$129/100,Operations!$F$30/100)</f>
        <v>1</v>
      </c>
      <c r="AP590" s="14" t="n">
        <f aca="false">CHOOSE(Operations!$F$442,1,Inputs!$F$128/100,Inputs!$F$129/100,Operations!$F$30/100)</f>
        <v>1</v>
      </c>
      <c r="AQ590" s="14" t="n">
        <f aca="false">CHOOSE(Operations!$F$442,1,Inputs!$F$128/100,Inputs!$F$129/100,Operations!$F$30/100)</f>
        <v>1</v>
      </c>
      <c r="AR590" s="14" t="n">
        <f aca="false">CHOOSE(Operations!$F$442,1,Inputs!$F$128/100,Inputs!$F$129/100,Operations!$F$30/100)</f>
        <v>1</v>
      </c>
      <c r="AS590" s="14" t="n">
        <f aca="false">CHOOSE(Operations!$F$442,1,Inputs!$F$128/100,Inputs!$F$129/100,Operations!$F$30/100)</f>
        <v>1</v>
      </c>
      <c r="AT590" s="14" t="n">
        <f aca="false">CHOOSE(Operations!$F$442,1,Inputs!$F$128/100,Inputs!$F$129/100,Operations!$F$30/100)</f>
        <v>1</v>
      </c>
      <c r="AU590" s="14" t="n">
        <f aca="false">CHOOSE(Operations!$F$442,1,Inputs!$F$128/100,Inputs!$F$129/100,Operations!$F$30/100)</f>
        <v>1</v>
      </c>
    </row>
    <row r="591" customFormat="false" ht="15" hidden="false" customHeight="false" outlineLevel="0" collapsed="false">
      <c r="D591" s="0" t="s">
        <v>592</v>
      </c>
      <c r="E591" s="0" t="s">
        <v>27</v>
      </c>
      <c r="J591" s="14" t="n">
        <f aca="false">(1-Inputs!$F$130/100)^MAX(0,Time!J$4-Inputs!$F$131)</f>
        <v>1</v>
      </c>
      <c r="K591" s="14" t="n">
        <f aca="false">(1-Inputs!$F$130/100)^MAX(0,Time!K$4-Inputs!$F$131)</f>
        <v>0.9955</v>
      </c>
      <c r="L591" s="14" t="n">
        <f aca="false">(1-Inputs!$F$130/100)^MAX(0,Time!L$4-Inputs!$F$131)</f>
        <v>0.99102025</v>
      </c>
      <c r="M591" s="14" t="n">
        <f aca="false">(1-Inputs!$F$130/100)^MAX(0,Time!M$4-Inputs!$F$131)</f>
        <v>0.986560658875</v>
      </c>
      <c r="N591" s="14" t="n">
        <f aca="false">(1-Inputs!$F$130/100)^MAX(0,Time!N$4-Inputs!$F$131)</f>
        <v>0.982121135910063</v>
      </c>
      <c r="O591" s="14" t="n">
        <f aca="false">(1-Inputs!$F$130/100)^MAX(0,Time!O$4-Inputs!$F$131)</f>
        <v>0.977701590798468</v>
      </c>
      <c r="P591" s="14" t="n">
        <f aca="false">(1-Inputs!$F$130/100)^MAX(0,Time!P$4-Inputs!$F$131)</f>
        <v>0.973301933639874</v>
      </c>
      <c r="Q591" s="14" t="n">
        <f aca="false">(1-Inputs!$F$130/100)^MAX(0,Time!Q$4-Inputs!$F$131)</f>
        <v>0.968922074938495</v>
      </c>
      <c r="R591" s="14" t="n">
        <f aca="false">(1-Inputs!$F$130/100)^MAX(0,Time!R$4-Inputs!$F$131)</f>
        <v>0.964561925601272</v>
      </c>
      <c r="S591" s="14" t="n">
        <f aca="false">(1-Inputs!$F$130/100)^MAX(0,Time!S$4-Inputs!$F$131)</f>
        <v>0.960221396936066</v>
      </c>
      <c r="T591" s="14" t="n">
        <f aca="false">(1-Inputs!$F$130/100)^MAX(0,Time!T$4-Inputs!$F$131)</f>
        <v>0.955900400649854</v>
      </c>
      <c r="U591" s="14" t="n">
        <f aca="false">(1-Inputs!$F$130/100)^MAX(0,Time!U$4-Inputs!$F$131)</f>
        <v>0.95159884884693</v>
      </c>
      <c r="V591" s="14" t="n">
        <f aca="false">(1-Inputs!$F$130/100)^MAX(0,Time!V$4-Inputs!$F$131)</f>
        <v>0.947316654027119</v>
      </c>
      <c r="W591" s="14" t="n">
        <f aca="false">(1-Inputs!$F$130/100)^MAX(0,Time!W$4-Inputs!$F$131)</f>
        <v>0.943053729083997</v>
      </c>
      <c r="X591" s="14" t="n">
        <f aca="false">(1-Inputs!$F$130/100)^MAX(0,Time!X$4-Inputs!$F$131)</f>
        <v>0.938809987303119</v>
      </c>
      <c r="Y591" s="14" t="n">
        <f aca="false">(1-Inputs!$F$130/100)^MAX(0,Time!Y$4-Inputs!$F$131)</f>
        <v>0.934585342360255</v>
      </c>
      <c r="Z591" s="14" t="n">
        <f aca="false">(1-Inputs!$F$130/100)^MAX(0,Time!Z$4-Inputs!$F$131)</f>
        <v>0.930379708319634</v>
      </c>
      <c r="AA591" s="14" t="n">
        <f aca="false">(1-Inputs!$F$130/100)^MAX(0,Time!AA$4-Inputs!$F$131)</f>
        <v>0.926192999632195</v>
      </c>
      <c r="AB591" s="14" t="n">
        <f aca="false">(1-Inputs!$F$130/100)^MAX(0,Time!AB$4-Inputs!$F$131)</f>
        <v>0.92202513113385</v>
      </c>
      <c r="AC591" s="14" t="n">
        <f aca="false">(1-Inputs!$F$130/100)^MAX(0,Time!AC$4-Inputs!$F$131)</f>
        <v>0.917876018043748</v>
      </c>
      <c r="AD591" s="14" t="n">
        <f aca="false">(1-Inputs!$F$130/100)^MAX(0,Time!AD$4-Inputs!$F$131)</f>
        <v>0.913745575962551</v>
      </c>
      <c r="AE591" s="14" t="n">
        <f aca="false">(1-Inputs!$F$130/100)^MAX(0,Time!AE$4-Inputs!$F$131)</f>
        <v>0.90963372087072</v>
      </c>
      <c r="AF591" s="14" t="n">
        <f aca="false">(1-Inputs!$F$130/100)^MAX(0,Time!AF$4-Inputs!$F$131)</f>
        <v>0.905540369126802</v>
      </c>
      <c r="AG591" s="14" t="n">
        <f aca="false">(1-Inputs!$F$130/100)^MAX(0,Time!AG$4-Inputs!$F$131)</f>
        <v>0.901465437465731</v>
      </c>
      <c r="AH591" s="14" t="n">
        <f aca="false">(1-Inputs!$F$130/100)^MAX(0,Time!AH$4-Inputs!$F$131)</f>
        <v>0.897408842997135</v>
      </c>
      <c r="AI591" s="14" t="n">
        <f aca="false">(1-Inputs!$F$130/100)^MAX(0,Time!AI$4-Inputs!$F$131)</f>
        <v>0.893370503203648</v>
      </c>
      <c r="AJ591" s="14" t="n">
        <f aca="false">(1-Inputs!$F$130/100)^MAX(0,Time!AJ$4-Inputs!$F$131)</f>
        <v>0.889350335939232</v>
      </c>
      <c r="AK591" s="14" t="n">
        <f aca="false">(1-Inputs!$F$130/100)^MAX(0,Time!AK$4-Inputs!$F$131)</f>
        <v>0.885348259427505</v>
      </c>
      <c r="AL591" s="14" t="n">
        <f aca="false">(1-Inputs!$F$130/100)^MAX(0,Time!AL$4-Inputs!$F$131)</f>
        <v>0.881364192260082</v>
      </c>
      <c r="AM591" s="14" t="n">
        <f aca="false">(1-Inputs!$F$130/100)^MAX(0,Time!AM$4-Inputs!$F$131)</f>
        <v>0.877398053394911</v>
      </c>
      <c r="AN591" s="14" t="n">
        <f aca="false">(1-Inputs!$F$130/100)^MAX(0,Time!AN$4-Inputs!$F$131)</f>
        <v>0.873449762154634</v>
      </c>
      <c r="AO591" s="14" t="n">
        <f aca="false">(1-Inputs!$F$130/100)^MAX(0,Time!AO$4-Inputs!$F$131)</f>
        <v>0.869519238224939</v>
      </c>
      <c r="AP591" s="14" t="n">
        <f aca="false">(1-Inputs!$F$130/100)^MAX(0,Time!AP$4-Inputs!$F$131)</f>
        <v>0.865606401652926</v>
      </c>
      <c r="AQ591" s="14" t="n">
        <f aca="false">(1-Inputs!$F$130/100)^MAX(0,Time!AQ$4-Inputs!$F$131)</f>
        <v>0.861711172845488</v>
      </c>
      <c r="AR591" s="14" t="n">
        <f aca="false">(1-Inputs!$F$130/100)^MAX(0,Time!AR$4-Inputs!$F$131)</f>
        <v>0.857833472567684</v>
      </c>
      <c r="AS591" s="14" t="n">
        <f aca="false">(1-Inputs!$F$130/100)^MAX(0,Time!AS$4-Inputs!$F$131)</f>
        <v>0.853973221941129</v>
      </c>
      <c r="AT591" s="14" t="n">
        <f aca="false">(1-Inputs!$F$130/100)^MAX(0,Time!AT$4-Inputs!$F$131)</f>
        <v>0.850130342442394</v>
      </c>
      <c r="AU591" s="14" t="n">
        <f aca="false">(1-Inputs!$F$130/100)^MAX(0,Time!AU$4-Inputs!$F$131)</f>
        <v>0.846304755901403</v>
      </c>
    </row>
    <row r="592" customFormat="false" ht="15" hidden="false" customHeight="false" outlineLevel="0" collapsed="false">
      <c r="D592" s="0" t="s">
        <v>593</v>
      </c>
      <c r="E592" s="0" t="s">
        <v>458</v>
      </c>
      <c r="J592" s="14" t="n">
        <f aca="false">(IF(Time!J$4&gt;=Inputs!$F$61,Inputs!$F$67,Inputs!$F$66+(Inputs!$F$67-Inputs!$F$66)*(Time!J$4-Inputs!$F$23)/(Inputs!$F$61-Inputs!$F$23))+Operations!$F$444)/100</f>
        <v>0.02</v>
      </c>
      <c r="K592" s="14" t="n">
        <f aca="false">(IF(Time!K$4&gt;=Inputs!$F$61,Inputs!$F$67,Inputs!$F$66+(Inputs!$F$67-Inputs!$F$66)*(Time!K$4-Inputs!$F$23)/(Inputs!$F$61-Inputs!$F$23))+Operations!$F$444)/100</f>
        <v>0.025</v>
      </c>
      <c r="L592" s="14" t="n">
        <f aca="false">(IF(Time!L$4&gt;=Inputs!$F$61,Inputs!$F$67,Inputs!$F$66+(Inputs!$F$67-Inputs!$F$66)*(Time!L$4-Inputs!$F$23)/(Inputs!$F$61-Inputs!$F$23))+Operations!$F$444)/100</f>
        <v>0.03</v>
      </c>
      <c r="M592" s="14" t="n">
        <f aca="false">(IF(Time!M$4&gt;=Inputs!$F$61,Inputs!$F$67,Inputs!$F$66+(Inputs!$F$67-Inputs!$F$66)*(Time!M$4-Inputs!$F$23)/(Inputs!$F$61-Inputs!$F$23))+Operations!$F$444)/100</f>
        <v>0.035</v>
      </c>
      <c r="N592" s="14" t="n">
        <f aca="false">(IF(Time!N$4&gt;=Inputs!$F$61,Inputs!$F$67,Inputs!$F$66+(Inputs!$F$67-Inputs!$F$66)*(Time!N$4-Inputs!$F$23)/(Inputs!$F$61-Inputs!$F$23))+Operations!$F$444)/100</f>
        <v>0.035</v>
      </c>
      <c r="O592" s="14" t="n">
        <f aca="false">(IF(Time!O$4&gt;=Inputs!$F$61,Inputs!$F$67,Inputs!$F$66+(Inputs!$F$67-Inputs!$F$66)*(Time!O$4-Inputs!$F$23)/(Inputs!$F$61-Inputs!$F$23))+Operations!$F$444)/100</f>
        <v>0.035</v>
      </c>
      <c r="P592" s="14" t="n">
        <f aca="false">(IF(Time!P$4&gt;=Inputs!$F$61,Inputs!$F$67,Inputs!$F$66+(Inputs!$F$67-Inputs!$F$66)*(Time!P$4-Inputs!$F$23)/(Inputs!$F$61-Inputs!$F$23))+Operations!$F$444)/100</f>
        <v>0.035</v>
      </c>
      <c r="Q592" s="14" t="n">
        <f aca="false">(IF(Time!Q$4&gt;=Inputs!$F$61,Inputs!$F$67,Inputs!$F$66+(Inputs!$F$67-Inputs!$F$66)*(Time!Q$4-Inputs!$F$23)/(Inputs!$F$61-Inputs!$F$23))+Operations!$F$444)/100</f>
        <v>0.035</v>
      </c>
      <c r="R592" s="14" t="n">
        <f aca="false">(IF(Time!R$4&gt;=Inputs!$F$61,Inputs!$F$67,Inputs!$F$66+(Inputs!$F$67-Inputs!$F$66)*(Time!R$4-Inputs!$F$23)/(Inputs!$F$61-Inputs!$F$23))+Operations!$F$444)/100</f>
        <v>0.035</v>
      </c>
      <c r="S592" s="14" t="n">
        <f aca="false">(IF(Time!S$4&gt;=Inputs!$F$61,Inputs!$F$67,Inputs!$F$66+(Inputs!$F$67-Inputs!$F$66)*(Time!S$4-Inputs!$F$23)/(Inputs!$F$61-Inputs!$F$23))+Operations!$F$444)/100</f>
        <v>0.035</v>
      </c>
      <c r="T592" s="14" t="n">
        <f aca="false">(IF(Time!T$4&gt;=Inputs!$F$61,Inputs!$F$67,Inputs!$F$66+(Inputs!$F$67-Inputs!$F$66)*(Time!T$4-Inputs!$F$23)/(Inputs!$F$61-Inputs!$F$23))+Operations!$F$444)/100</f>
        <v>0.035</v>
      </c>
      <c r="U592" s="14" t="n">
        <f aca="false">(IF(Time!U$4&gt;=Inputs!$F$61,Inputs!$F$67,Inputs!$F$66+(Inputs!$F$67-Inputs!$F$66)*(Time!U$4-Inputs!$F$23)/(Inputs!$F$61-Inputs!$F$23))+Operations!$F$444)/100</f>
        <v>0.035</v>
      </c>
      <c r="V592" s="14" t="n">
        <f aca="false">(IF(Time!V$4&gt;=Inputs!$F$61,Inputs!$F$67,Inputs!$F$66+(Inputs!$F$67-Inputs!$F$66)*(Time!V$4-Inputs!$F$23)/(Inputs!$F$61-Inputs!$F$23))+Operations!$F$444)/100</f>
        <v>0.035</v>
      </c>
      <c r="W592" s="14" t="n">
        <f aca="false">(IF(Time!W$4&gt;=Inputs!$F$61,Inputs!$F$67,Inputs!$F$66+(Inputs!$F$67-Inputs!$F$66)*(Time!W$4-Inputs!$F$23)/(Inputs!$F$61-Inputs!$F$23))+Operations!$F$444)/100</f>
        <v>0.035</v>
      </c>
      <c r="X592" s="14" t="n">
        <f aca="false">(IF(Time!X$4&gt;=Inputs!$F$61,Inputs!$F$67,Inputs!$F$66+(Inputs!$F$67-Inputs!$F$66)*(Time!X$4-Inputs!$F$23)/(Inputs!$F$61-Inputs!$F$23))+Operations!$F$444)/100</f>
        <v>0.035</v>
      </c>
      <c r="Y592" s="14" t="n">
        <f aca="false">(IF(Time!Y$4&gt;=Inputs!$F$61,Inputs!$F$67,Inputs!$F$66+(Inputs!$F$67-Inputs!$F$66)*(Time!Y$4-Inputs!$F$23)/(Inputs!$F$61-Inputs!$F$23))+Operations!$F$444)/100</f>
        <v>0.035</v>
      </c>
      <c r="Z592" s="14" t="n">
        <f aca="false">(IF(Time!Z$4&gt;=Inputs!$F$61,Inputs!$F$67,Inputs!$F$66+(Inputs!$F$67-Inputs!$F$66)*(Time!Z$4-Inputs!$F$23)/(Inputs!$F$61-Inputs!$F$23))+Operations!$F$444)/100</f>
        <v>0.035</v>
      </c>
      <c r="AA592" s="14" t="n">
        <f aca="false">(IF(Time!AA$4&gt;=Inputs!$F$61,Inputs!$F$67,Inputs!$F$66+(Inputs!$F$67-Inputs!$F$66)*(Time!AA$4-Inputs!$F$23)/(Inputs!$F$61-Inputs!$F$23))+Operations!$F$444)/100</f>
        <v>0.035</v>
      </c>
      <c r="AB592" s="14" t="n">
        <f aca="false">(IF(Time!AB$4&gt;=Inputs!$F$61,Inputs!$F$67,Inputs!$F$66+(Inputs!$F$67-Inputs!$F$66)*(Time!AB$4-Inputs!$F$23)/(Inputs!$F$61-Inputs!$F$23))+Operations!$F$444)/100</f>
        <v>0.035</v>
      </c>
      <c r="AC592" s="14" t="n">
        <f aca="false">(IF(Time!AC$4&gt;=Inputs!$F$61,Inputs!$F$67,Inputs!$F$66+(Inputs!$F$67-Inputs!$F$66)*(Time!AC$4-Inputs!$F$23)/(Inputs!$F$61-Inputs!$F$23))+Operations!$F$444)/100</f>
        <v>0.035</v>
      </c>
      <c r="AD592" s="14" t="n">
        <f aca="false">(IF(Time!AD$4&gt;=Inputs!$F$61,Inputs!$F$67,Inputs!$F$66+(Inputs!$F$67-Inputs!$F$66)*(Time!AD$4-Inputs!$F$23)/(Inputs!$F$61-Inputs!$F$23))+Operations!$F$444)/100</f>
        <v>0.035</v>
      </c>
      <c r="AE592" s="14" t="n">
        <f aca="false">(IF(Time!AE$4&gt;=Inputs!$F$61,Inputs!$F$67,Inputs!$F$66+(Inputs!$F$67-Inputs!$F$66)*(Time!AE$4-Inputs!$F$23)/(Inputs!$F$61-Inputs!$F$23))+Operations!$F$444)/100</f>
        <v>0.035</v>
      </c>
      <c r="AF592" s="14" t="n">
        <f aca="false">(IF(Time!AF$4&gt;=Inputs!$F$61,Inputs!$F$67,Inputs!$F$66+(Inputs!$F$67-Inputs!$F$66)*(Time!AF$4-Inputs!$F$23)/(Inputs!$F$61-Inputs!$F$23))+Operations!$F$444)/100</f>
        <v>0.035</v>
      </c>
      <c r="AG592" s="14" t="n">
        <f aca="false">(IF(Time!AG$4&gt;=Inputs!$F$61,Inputs!$F$67,Inputs!$F$66+(Inputs!$F$67-Inputs!$F$66)*(Time!AG$4-Inputs!$F$23)/(Inputs!$F$61-Inputs!$F$23))+Operations!$F$444)/100</f>
        <v>0.035</v>
      </c>
      <c r="AH592" s="14" t="n">
        <f aca="false">(IF(Time!AH$4&gt;=Inputs!$F$61,Inputs!$F$67,Inputs!$F$66+(Inputs!$F$67-Inputs!$F$66)*(Time!AH$4-Inputs!$F$23)/(Inputs!$F$61-Inputs!$F$23))+Operations!$F$444)/100</f>
        <v>0.035</v>
      </c>
      <c r="AI592" s="14" t="n">
        <f aca="false">(IF(Time!AI$4&gt;=Inputs!$F$61,Inputs!$F$67,Inputs!$F$66+(Inputs!$F$67-Inputs!$F$66)*(Time!AI$4-Inputs!$F$23)/(Inputs!$F$61-Inputs!$F$23))+Operations!$F$444)/100</f>
        <v>0.035</v>
      </c>
      <c r="AJ592" s="14" t="n">
        <f aca="false">(IF(Time!AJ$4&gt;=Inputs!$F$61,Inputs!$F$67,Inputs!$F$66+(Inputs!$F$67-Inputs!$F$66)*(Time!AJ$4-Inputs!$F$23)/(Inputs!$F$61-Inputs!$F$23))+Operations!$F$444)/100</f>
        <v>0.035</v>
      </c>
      <c r="AK592" s="14" t="n">
        <f aca="false">(IF(Time!AK$4&gt;=Inputs!$F$61,Inputs!$F$67,Inputs!$F$66+(Inputs!$F$67-Inputs!$F$66)*(Time!AK$4-Inputs!$F$23)/(Inputs!$F$61-Inputs!$F$23))+Operations!$F$444)/100</f>
        <v>0.035</v>
      </c>
      <c r="AL592" s="14" t="n">
        <f aca="false">(IF(Time!AL$4&gt;=Inputs!$F$61,Inputs!$F$67,Inputs!$F$66+(Inputs!$F$67-Inputs!$F$66)*(Time!AL$4-Inputs!$F$23)/(Inputs!$F$61-Inputs!$F$23))+Operations!$F$444)/100</f>
        <v>0.035</v>
      </c>
      <c r="AM592" s="14" t="n">
        <f aca="false">(IF(Time!AM$4&gt;=Inputs!$F$61,Inputs!$F$67,Inputs!$F$66+(Inputs!$F$67-Inputs!$F$66)*(Time!AM$4-Inputs!$F$23)/(Inputs!$F$61-Inputs!$F$23))+Operations!$F$444)/100</f>
        <v>0.035</v>
      </c>
      <c r="AN592" s="14" t="n">
        <f aca="false">(IF(Time!AN$4&gt;=Inputs!$F$61,Inputs!$F$67,Inputs!$F$66+(Inputs!$F$67-Inputs!$F$66)*(Time!AN$4-Inputs!$F$23)/(Inputs!$F$61-Inputs!$F$23))+Operations!$F$444)/100</f>
        <v>0.035</v>
      </c>
      <c r="AO592" s="14" t="n">
        <f aca="false">(IF(Time!AO$4&gt;=Inputs!$F$61,Inputs!$F$67,Inputs!$F$66+(Inputs!$F$67-Inputs!$F$66)*(Time!AO$4-Inputs!$F$23)/(Inputs!$F$61-Inputs!$F$23))+Operations!$F$444)/100</f>
        <v>0.035</v>
      </c>
      <c r="AP592" s="14" t="n">
        <f aca="false">(IF(Time!AP$4&gt;=Inputs!$F$61,Inputs!$F$67,Inputs!$F$66+(Inputs!$F$67-Inputs!$F$66)*(Time!AP$4-Inputs!$F$23)/(Inputs!$F$61-Inputs!$F$23))+Operations!$F$444)/100</f>
        <v>0.035</v>
      </c>
      <c r="AQ592" s="14" t="n">
        <f aca="false">(IF(Time!AQ$4&gt;=Inputs!$F$61,Inputs!$F$67,Inputs!$F$66+(Inputs!$F$67-Inputs!$F$66)*(Time!AQ$4-Inputs!$F$23)/(Inputs!$F$61-Inputs!$F$23))+Operations!$F$444)/100</f>
        <v>0.035</v>
      </c>
      <c r="AR592" s="14" t="n">
        <f aca="false">(IF(Time!AR$4&gt;=Inputs!$F$61,Inputs!$F$67,Inputs!$F$66+(Inputs!$F$67-Inputs!$F$66)*(Time!AR$4-Inputs!$F$23)/(Inputs!$F$61-Inputs!$F$23))+Operations!$F$444)/100</f>
        <v>0.035</v>
      </c>
      <c r="AS592" s="14" t="n">
        <f aca="false">(IF(Time!AS$4&gt;=Inputs!$F$61,Inputs!$F$67,Inputs!$F$66+(Inputs!$F$67-Inputs!$F$66)*(Time!AS$4-Inputs!$F$23)/(Inputs!$F$61-Inputs!$F$23))+Operations!$F$444)/100</f>
        <v>0.035</v>
      </c>
      <c r="AT592" s="14" t="n">
        <f aca="false">(IF(Time!AT$4&gt;=Inputs!$F$61,Inputs!$F$67,Inputs!$F$66+(Inputs!$F$67-Inputs!$F$66)*(Time!AT$4-Inputs!$F$23)/(Inputs!$F$61-Inputs!$F$23))+Operations!$F$444)/100</f>
        <v>0.035</v>
      </c>
      <c r="AU592" s="14" t="n">
        <f aca="false">(IF(Time!AU$4&gt;=Inputs!$F$61,Inputs!$F$67,Inputs!$F$66+(Inputs!$F$67-Inputs!$F$66)*(Time!AU$4-Inputs!$F$23)/(Inputs!$F$61-Inputs!$F$23))+Operations!$F$444)/100</f>
        <v>0.035</v>
      </c>
    </row>
    <row r="593" customFormat="false" ht="15" hidden="false" customHeight="false" outlineLevel="0" collapsed="false">
      <c r="D593" s="0" t="s">
        <v>594</v>
      </c>
      <c r="E593" s="0" t="s">
        <v>466</v>
      </c>
      <c r="J593" s="20" t="n">
        <f aca="false">Inputs!$F$127*Operations!J590*Inputs!$F$192/100*Operations!J591*(1-Operations!J592)</f>
        <v>229.614</v>
      </c>
      <c r="K593" s="20" t="n">
        <f aca="false">Inputs!$F$127*Operations!K590*Inputs!$F$192/100*Operations!K591*(1-Operations!K592)</f>
        <v>227.41450875</v>
      </c>
      <c r="L593" s="20" t="n">
        <f aca="false">Inputs!$F$127*Operations!L590*Inputs!$F$192/100*Operations!L591*(1-Operations!L592)</f>
        <v>225.23016323775</v>
      </c>
      <c r="M593" s="20" t="n">
        <f aca="false">Inputs!$F$127*Operations!M590*Inputs!$F$192/100*Operations!M591*(1-Operations!M592)</f>
        <v>223.060871691308</v>
      </c>
      <c r="N593" s="20" t="n">
        <f aca="false">Inputs!$F$127*Operations!N590*Inputs!$F$192/100*Operations!N591*(1-Operations!N592)</f>
        <v>222.057097768697</v>
      </c>
      <c r="O593" s="20" t="n">
        <f aca="false">Inputs!$F$127*Operations!O590*Inputs!$F$192/100*Operations!O591*(1-Operations!O592)</f>
        <v>221.057840828738</v>
      </c>
      <c r="P593" s="20" t="n">
        <f aca="false">Inputs!$F$127*Operations!P590*Inputs!$F$192/100*Operations!P591*(1-Operations!P592)</f>
        <v>220.063080545009</v>
      </c>
      <c r="Q593" s="20" t="n">
        <f aca="false">Inputs!$F$127*Operations!Q590*Inputs!$F$192/100*Operations!Q591*(1-Operations!Q592)</f>
        <v>219.072796682556</v>
      </c>
      <c r="R593" s="20" t="n">
        <f aca="false">Inputs!$F$127*Operations!R590*Inputs!$F$192/100*Operations!R591*(1-Operations!R592)</f>
        <v>218.086969097485</v>
      </c>
      <c r="S593" s="20" t="n">
        <f aca="false">Inputs!$F$127*Operations!S590*Inputs!$F$192/100*Operations!S591*(1-Operations!S592)</f>
        <v>217.105577736546</v>
      </c>
      <c r="T593" s="20" t="n">
        <f aca="false">Inputs!$F$127*Operations!T590*Inputs!$F$192/100*Operations!T591*(1-Operations!T592)</f>
        <v>216.128602636732</v>
      </c>
      <c r="U593" s="20" t="n">
        <f aca="false">Inputs!$F$127*Operations!U590*Inputs!$F$192/100*Operations!U591*(1-Operations!U592)</f>
        <v>215.156023924866</v>
      </c>
      <c r="V593" s="20" t="n">
        <f aca="false">Inputs!$F$127*Operations!V590*Inputs!$F$192/100*Operations!V591*(1-Operations!V592)</f>
        <v>214.187821817204</v>
      </c>
      <c r="W593" s="20" t="n">
        <f aca="false">Inputs!$F$127*Operations!W590*Inputs!$F$192/100*Operations!W591*(1-Operations!W592)</f>
        <v>213.223976619027</v>
      </c>
      <c r="X593" s="20" t="n">
        <f aca="false">Inputs!$F$127*Operations!X590*Inputs!$F$192/100*Operations!X591*(1-Operations!X592)</f>
        <v>212.264468724241</v>
      </c>
      <c r="Y593" s="20" t="n">
        <f aca="false">Inputs!$F$127*Operations!Y590*Inputs!$F$192/100*Operations!Y591*(1-Operations!Y592)</f>
        <v>211.309278614982</v>
      </c>
      <c r="Z593" s="20" t="n">
        <f aca="false">Inputs!$F$127*Operations!Z590*Inputs!$F$192/100*Operations!Z591*(1-Operations!Z592)</f>
        <v>210.358386861215</v>
      </c>
      <c r="AA593" s="20" t="n">
        <f aca="false">Inputs!$F$127*Operations!AA590*Inputs!$F$192/100*Operations!AA591*(1-Operations!AA592)</f>
        <v>209.41177412034</v>
      </c>
      <c r="AB593" s="20" t="n">
        <f aca="false">Inputs!$F$127*Operations!AB590*Inputs!$F$192/100*Operations!AB591*(1-Operations!AB592)</f>
        <v>208.469421136798</v>
      </c>
      <c r="AC593" s="20" t="n">
        <f aca="false">Inputs!$F$127*Operations!AC590*Inputs!$F$192/100*Operations!AC591*(1-Operations!AC592)</f>
        <v>207.531308741682</v>
      </c>
      <c r="AD593" s="20" t="n">
        <f aca="false">Inputs!$F$127*Operations!AD590*Inputs!$F$192/100*Operations!AD591*(1-Operations!AD592)</f>
        <v>206.597417852345</v>
      </c>
      <c r="AE593" s="20" t="n">
        <f aca="false">Inputs!$F$127*Operations!AE590*Inputs!$F$192/100*Operations!AE591*(1-Operations!AE592)</f>
        <v>205.667729472009</v>
      </c>
      <c r="AF593" s="20" t="n">
        <f aca="false">Inputs!$F$127*Operations!AF590*Inputs!$F$192/100*Operations!AF591*(1-Operations!AF592)</f>
        <v>204.742224689385</v>
      </c>
      <c r="AG593" s="20" t="n">
        <f aca="false">Inputs!$F$127*Operations!AG590*Inputs!$F$192/100*Operations!AG591*(1-Operations!AG592)</f>
        <v>203.820884678283</v>
      </c>
      <c r="AH593" s="20" t="n">
        <f aca="false">Inputs!$F$127*Operations!AH590*Inputs!$F$192/100*Operations!AH591*(1-Operations!AH592)</f>
        <v>202.903690697231</v>
      </c>
      <c r="AI593" s="20" t="n">
        <f aca="false">Inputs!$F$127*Operations!AI590*Inputs!$F$192/100*Operations!AI591*(1-Operations!AI592)</f>
        <v>201.990624089093</v>
      </c>
      <c r="AJ593" s="20" t="n">
        <f aca="false">Inputs!$F$127*Operations!AJ590*Inputs!$F$192/100*Operations!AJ591*(1-Operations!AJ592)</f>
        <v>201.081666280692</v>
      </c>
      <c r="AK593" s="20" t="n">
        <f aca="false">Inputs!$F$127*Operations!AK590*Inputs!$F$192/100*Operations!AK591*(1-Operations!AK592)</f>
        <v>200.176798782429</v>
      </c>
      <c r="AL593" s="20" t="n">
        <f aca="false">Inputs!$F$127*Operations!AL590*Inputs!$F$192/100*Operations!AL591*(1-Operations!AL592)</f>
        <v>199.276003187908</v>
      </c>
      <c r="AM593" s="20" t="n">
        <f aca="false">Inputs!$F$127*Operations!AM590*Inputs!$F$192/100*Operations!AM591*(1-Operations!AM592)</f>
        <v>198.379261173563</v>
      </c>
      <c r="AN593" s="20" t="n">
        <f aca="false">Inputs!$F$127*Operations!AN590*Inputs!$F$192/100*Operations!AN591*(1-Operations!AN592)</f>
        <v>197.486554498282</v>
      </c>
      <c r="AO593" s="20" t="n">
        <f aca="false">Inputs!$F$127*Operations!AO590*Inputs!$F$192/100*Operations!AO591*(1-Operations!AO592)</f>
        <v>196.59786500304</v>
      </c>
      <c r="AP593" s="20" t="n">
        <f aca="false">Inputs!$F$127*Operations!AP590*Inputs!$F$192/100*Operations!AP591*(1-Operations!AP592)</f>
        <v>195.713174610526</v>
      </c>
      <c r="AQ593" s="20" t="n">
        <f aca="false">Inputs!$F$127*Operations!AQ590*Inputs!$F$192/100*Operations!AQ591*(1-Operations!AQ592)</f>
        <v>194.832465324778</v>
      </c>
      <c r="AR593" s="20" t="n">
        <f aca="false">Inputs!$F$127*Operations!AR590*Inputs!$F$192/100*Operations!AR591*(1-Operations!AR592)</f>
        <v>193.955719230817</v>
      </c>
      <c r="AS593" s="20" t="n">
        <f aca="false">Inputs!$F$127*Operations!AS590*Inputs!$F$192/100*Operations!AS591*(1-Operations!AS592)</f>
        <v>193.082918494278</v>
      </c>
      <c r="AT593" s="20" t="n">
        <f aca="false">Inputs!$F$127*Operations!AT590*Inputs!$F$192/100*Operations!AT591*(1-Operations!AT592)</f>
        <v>192.214045361054</v>
      </c>
      <c r="AU593" s="20" t="n">
        <f aca="false">Inputs!$F$127*Operations!AU590*Inputs!$F$192/100*Operations!AU591*(1-Operations!AU592)</f>
        <v>191.349082156929</v>
      </c>
    </row>
    <row r="594" customFormat="false" ht="15" hidden="false" customHeight="false" outlineLevel="0" collapsed="false">
      <c r="D594" s="0" t="s">
        <v>595</v>
      </c>
      <c r="E594" s="0" t="s">
        <v>466</v>
      </c>
      <c r="G594" s="20" t="n">
        <f aca="false">SUM(J594:AU594)</f>
        <v>7117.50928772457</v>
      </c>
      <c r="J594" s="20" t="n">
        <f aca="false">Operations!J593*Operations!J586</f>
        <v>229.614</v>
      </c>
      <c r="K594" s="20" t="n">
        <f aca="false">Operations!K593*Operations!K586</f>
        <v>227.41450875</v>
      </c>
      <c r="L594" s="20" t="n">
        <f aca="false">Operations!L593*Operations!L586</f>
        <v>225.23016323775</v>
      </c>
      <c r="M594" s="20" t="n">
        <f aca="false">Operations!M593*Operations!M586</f>
        <v>223.060871691308</v>
      </c>
      <c r="N594" s="20" t="n">
        <f aca="false">Operations!N593*Operations!N586</f>
        <v>222.057097768697</v>
      </c>
      <c r="O594" s="20" t="n">
        <f aca="false">Operations!O593*Operations!O586</f>
        <v>221.057840828738</v>
      </c>
      <c r="P594" s="20" t="n">
        <f aca="false">Operations!P593*Operations!P586</f>
        <v>220.063080545009</v>
      </c>
      <c r="Q594" s="20" t="n">
        <f aca="false">Operations!Q593*Operations!Q586</f>
        <v>219.072796682556</v>
      </c>
      <c r="R594" s="20" t="n">
        <f aca="false">Operations!R593*Operations!R586</f>
        <v>218.086969097485</v>
      </c>
      <c r="S594" s="20" t="n">
        <f aca="false">Operations!S593*Operations!S586</f>
        <v>217.105577736546</v>
      </c>
      <c r="T594" s="20" t="n">
        <f aca="false">Operations!T593*Operations!T586</f>
        <v>216.128602636732</v>
      </c>
      <c r="U594" s="20" t="n">
        <f aca="false">Operations!U593*Operations!U586</f>
        <v>215.156023924866</v>
      </c>
      <c r="V594" s="20" t="n">
        <f aca="false">Operations!V593*Operations!V586</f>
        <v>214.187821817204</v>
      </c>
      <c r="W594" s="20" t="n">
        <f aca="false">Operations!W593*Operations!W586</f>
        <v>213.223976619027</v>
      </c>
      <c r="X594" s="20" t="n">
        <f aca="false">Operations!X593*Operations!X586</f>
        <v>212.264468724241</v>
      </c>
      <c r="Y594" s="20" t="n">
        <f aca="false">Operations!Y593*Operations!Y586</f>
        <v>211.309278614982</v>
      </c>
      <c r="Z594" s="20" t="n">
        <f aca="false">Operations!Z593*Operations!Z586</f>
        <v>210.358386861215</v>
      </c>
      <c r="AA594" s="20" t="n">
        <f aca="false">Operations!AA593*Operations!AA586</f>
        <v>209.41177412034</v>
      </c>
      <c r="AB594" s="20" t="n">
        <f aca="false">Operations!AB593*Operations!AB586</f>
        <v>208.469421136798</v>
      </c>
      <c r="AC594" s="20" t="n">
        <f aca="false">Operations!AC593*Operations!AC586</f>
        <v>207.531308741682</v>
      </c>
      <c r="AD594" s="20" t="n">
        <f aca="false">Operations!AD593*Operations!AD586</f>
        <v>206.597417852345</v>
      </c>
      <c r="AE594" s="20" t="n">
        <f aca="false">Operations!AE593*Operations!AE586</f>
        <v>205.667729472009</v>
      </c>
      <c r="AF594" s="20" t="n">
        <f aca="false">Operations!AF593*Operations!AF586</f>
        <v>204.742224689385</v>
      </c>
      <c r="AG594" s="20" t="n">
        <f aca="false">Operations!AG593*Operations!AG586</f>
        <v>203.820884678283</v>
      </c>
      <c r="AH594" s="20" t="n">
        <f aca="false">Operations!AH593*Operations!AH586</f>
        <v>202.903690697231</v>
      </c>
      <c r="AI594" s="20" t="n">
        <f aca="false">Operations!AI593*Operations!AI586</f>
        <v>201.990624089093</v>
      </c>
      <c r="AJ594" s="20" t="n">
        <f aca="false">Operations!AJ593*Operations!AJ586</f>
        <v>201.081666280692</v>
      </c>
      <c r="AK594" s="20" t="n">
        <f aca="false">Operations!AK593*Operations!AK586</f>
        <v>200.176798782429</v>
      </c>
      <c r="AL594" s="20" t="n">
        <f aca="false">Operations!AL593*Operations!AL586</f>
        <v>199.276003187908</v>
      </c>
      <c r="AM594" s="20" t="n">
        <f aca="false">Operations!AM593*Operations!AM586</f>
        <v>198.379261173563</v>
      </c>
      <c r="AN594" s="20" t="n">
        <f aca="false">Operations!AN593*Operations!AN586</f>
        <v>197.486554498282</v>
      </c>
      <c r="AO594" s="20" t="n">
        <f aca="false">Operations!AO593*Operations!AO586</f>
        <v>196.59786500304</v>
      </c>
      <c r="AP594" s="20" t="n">
        <f aca="false">Operations!AP593*Operations!AP586</f>
        <v>195.713174610526</v>
      </c>
      <c r="AQ594" s="20" t="n">
        <f aca="false">Operations!AQ593*Operations!AQ586</f>
        <v>162.27142317461</v>
      </c>
      <c r="AR594" s="20" t="n">
        <f aca="false">Operations!AR593*Operations!AR586</f>
        <v>0</v>
      </c>
      <c r="AS594" s="20" t="n">
        <f aca="false">Operations!AS593*Operations!AS586</f>
        <v>0</v>
      </c>
      <c r="AT594" s="20" t="n">
        <f aca="false">Operations!AT593*Operations!AT586</f>
        <v>0</v>
      </c>
      <c r="AU594" s="20" t="n">
        <f aca="false">Operations!AU593*Operations!AU586</f>
        <v>0</v>
      </c>
    </row>
    <row r="595" customFormat="false" ht="15" hidden="false" customHeight="false" outlineLevel="0" collapsed="false">
      <c r="D595" s="0" t="s">
        <v>596</v>
      </c>
      <c r="E595" s="0" t="s">
        <v>54</v>
      </c>
      <c r="J595" s="14" t="n">
        <f aca="false">Operations!J454</f>
        <v>0.86</v>
      </c>
      <c r="K595" s="14" t="n">
        <f aca="false">Operations!K454</f>
        <v>0.84</v>
      </c>
      <c r="L595" s="14" t="n">
        <f aca="false">Operations!L454</f>
        <v>0.82</v>
      </c>
      <c r="M595" s="14" t="n">
        <f aca="false">Operations!M454</f>
        <v>0.8</v>
      </c>
      <c r="N595" s="14" t="n">
        <f aca="false">Operations!N454</f>
        <v>0.78</v>
      </c>
      <c r="O595" s="14" t="n">
        <f aca="false">Operations!O454</f>
        <v>0.76</v>
      </c>
      <c r="P595" s="14" t="n">
        <f aca="false">Operations!P454</f>
        <v>0.74</v>
      </c>
      <c r="Q595" s="14" t="n">
        <f aca="false">Operations!Q454</f>
        <v>0.72</v>
      </c>
      <c r="R595" s="14" t="n">
        <f aca="false">Operations!R454</f>
        <v>0.7</v>
      </c>
      <c r="S595" s="14" t="n">
        <f aca="false">Operations!S454</f>
        <v>0.68</v>
      </c>
      <c r="T595" s="14" t="n">
        <f aca="false">Operations!T454</f>
        <v>0.66</v>
      </c>
      <c r="U595" s="14" t="n">
        <f aca="false">Operations!U454</f>
        <v>0.64</v>
      </c>
      <c r="V595" s="14" t="n">
        <f aca="false">Operations!V454</f>
        <v>0.62</v>
      </c>
      <c r="W595" s="14" t="n">
        <f aca="false">Operations!W454</f>
        <v>0.6</v>
      </c>
      <c r="X595" s="14" t="n">
        <f aca="false">Operations!X454</f>
        <v>0.6</v>
      </c>
      <c r="Y595" s="14" t="n">
        <f aca="false">Operations!Y454</f>
        <v>0.6</v>
      </c>
      <c r="Z595" s="14" t="n">
        <f aca="false">Operations!Z454</f>
        <v>0.6</v>
      </c>
      <c r="AA595" s="14" t="n">
        <f aca="false">Operations!AA454</f>
        <v>0.6</v>
      </c>
      <c r="AB595" s="14" t="n">
        <f aca="false">Operations!AB454</f>
        <v>0.6</v>
      </c>
      <c r="AC595" s="14" t="n">
        <f aca="false">Operations!AC454</f>
        <v>0.6</v>
      </c>
      <c r="AD595" s="14" t="n">
        <f aca="false">Operations!AD454</f>
        <v>0.6</v>
      </c>
      <c r="AE595" s="14" t="n">
        <f aca="false">Operations!AE454</f>
        <v>0.6</v>
      </c>
      <c r="AF595" s="14" t="n">
        <f aca="false">Operations!AF454</f>
        <v>0.6</v>
      </c>
      <c r="AG595" s="14" t="n">
        <f aca="false">Operations!AG454</f>
        <v>0.6</v>
      </c>
      <c r="AH595" s="14" t="n">
        <f aca="false">Operations!AH454</f>
        <v>0.6</v>
      </c>
      <c r="AI595" s="14" t="n">
        <f aca="false">Operations!AI454</f>
        <v>0.6</v>
      </c>
      <c r="AJ595" s="14" t="n">
        <f aca="false">Operations!AJ454</f>
        <v>0.6</v>
      </c>
      <c r="AK595" s="14" t="n">
        <f aca="false">Operations!AK454</f>
        <v>0.6</v>
      </c>
      <c r="AL595" s="14" t="n">
        <f aca="false">Operations!AL454</f>
        <v>0.6</v>
      </c>
      <c r="AM595" s="14" t="n">
        <f aca="false">Operations!AM454</f>
        <v>0.6</v>
      </c>
      <c r="AN595" s="14" t="n">
        <f aca="false">Operations!AN454</f>
        <v>0.6</v>
      </c>
      <c r="AO595" s="14" t="n">
        <f aca="false">Operations!AO454</f>
        <v>0.6</v>
      </c>
      <c r="AP595" s="14" t="n">
        <f aca="false">Operations!AP454</f>
        <v>0.6</v>
      </c>
      <c r="AQ595" s="14" t="n">
        <f aca="false">Operations!AQ454</f>
        <v>0.6</v>
      </c>
      <c r="AR595" s="14" t="n">
        <f aca="false">Operations!AR454</f>
        <v>0.6</v>
      </c>
      <c r="AS595" s="14" t="n">
        <f aca="false">Operations!AS454</f>
        <v>0.6</v>
      </c>
      <c r="AT595" s="14" t="n">
        <f aca="false">Operations!AT454</f>
        <v>0.6</v>
      </c>
      <c r="AU595" s="14" t="n">
        <f aca="false">Operations!AU454</f>
        <v>0.6</v>
      </c>
    </row>
    <row r="596" customFormat="false" ht="15" hidden="false" customHeight="false" outlineLevel="0" collapsed="false">
      <c r="D596" s="0" t="s">
        <v>597</v>
      </c>
      <c r="E596" s="0" t="s">
        <v>54</v>
      </c>
      <c r="J596" s="14" t="n">
        <f aca="false">Operations!J595-Inputs!$F$52</f>
        <v>0.83</v>
      </c>
      <c r="K596" s="14" t="n">
        <f aca="false">Operations!K595-Inputs!$F$52</f>
        <v>0.81</v>
      </c>
      <c r="L596" s="14" t="n">
        <f aca="false">Operations!L595-Inputs!$F$52</f>
        <v>0.79</v>
      </c>
      <c r="M596" s="14" t="n">
        <f aca="false">Operations!M595-Inputs!$F$52</f>
        <v>0.77</v>
      </c>
      <c r="N596" s="14" t="n">
        <f aca="false">Operations!N595-Inputs!$F$52</f>
        <v>0.75</v>
      </c>
      <c r="O596" s="14" t="n">
        <f aca="false">Operations!O595-Inputs!$F$52</f>
        <v>0.73</v>
      </c>
      <c r="P596" s="14" t="n">
        <f aca="false">Operations!P595-Inputs!$F$52</f>
        <v>0.71</v>
      </c>
      <c r="Q596" s="14" t="n">
        <f aca="false">Operations!Q595-Inputs!$F$52</f>
        <v>0.69</v>
      </c>
      <c r="R596" s="14" t="n">
        <f aca="false">Operations!R595-Inputs!$F$52</f>
        <v>0.67</v>
      </c>
      <c r="S596" s="14" t="n">
        <f aca="false">Operations!S595-Inputs!$F$52</f>
        <v>0.65</v>
      </c>
      <c r="T596" s="14" t="n">
        <f aca="false">Operations!T595-Inputs!$F$52</f>
        <v>0.63</v>
      </c>
      <c r="U596" s="14" t="n">
        <f aca="false">Operations!U595-Inputs!$F$52</f>
        <v>0.61</v>
      </c>
      <c r="V596" s="14" t="n">
        <f aca="false">Operations!V595-Inputs!$F$52</f>
        <v>0.59</v>
      </c>
      <c r="W596" s="14" t="n">
        <f aca="false">Operations!W595-Inputs!$F$52</f>
        <v>0.57</v>
      </c>
      <c r="X596" s="14" t="n">
        <f aca="false">Operations!X595-Inputs!$F$52</f>
        <v>0.57</v>
      </c>
      <c r="Y596" s="14" t="n">
        <f aca="false">Operations!Y595-Inputs!$F$52</f>
        <v>0.57</v>
      </c>
      <c r="Z596" s="14" t="n">
        <f aca="false">Operations!Z595-Inputs!$F$52</f>
        <v>0.57</v>
      </c>
      <c r="AA596" s="14" t="n">
        <f aca="false">Operations!AA595-Inputs!$F$52</f>
        <v>0.57</v>
      </c>
      <c r="AB596" s="14" t="n">
        <f aca="false">Operations!AB595-Inputs!$F$52</f>
        <v>0.57</v>
      </c>
      <c r="AC596" s="14" t="n">
        <f aca="false">Operations!AC595-Inputs!$F$52</f>
        <v>0.57</v>
      </c>
      <c r="AD596" s="14" t="n">
        <f aca="false">Operations!AD595-Inputs!$F$52</f>
        <v>0.57</v>
      </c>
      <c r="AE596" s="14" t="n">
        <f aca="false">Operations!AE595-Inputs!$F$52</f>
        <v>0.57</v>
      </c>
      <c r="AF596" s="14" t="n">
        <f aca="false">Operations!AF595-Inputs!$F$52</f>
        <v>0.57</v>
      </c>
      <c r="AG596" s="14" t="n">
        <f aca="false">Operations!AG595-Inputs!$F$52</f>
        <v>0.57</v>
      </c>
      <c r="AH596" s="14" t="n">
        <f aca="false">Operations!AH595-Inputs!$F$52</f>
        <v>0.57</v>
      </c>
      <c r="AI596" s="14" t="n">
        <f aca="false">Operations!AI595-Inputs!$F$52</f>
        <v>0.57</v>
      </c>
      <c r="AJ596" s="14" t="n">
        <f aca="false">Operations!AJ595-Inputs!$F$52</f>
        <v>0.57</v>
      </c>
      <c r="AK596" s="14" t="n">
        <f aca="false">Operations!AK595-Inputs!$F$52</f>
        <v>0.57</v>
      </c>
      <c r="AL596" s="14" t="n">
        <f aca="false">Operations!AL595-Inputs!$F$52</f>
        <v>0.57</v>
      </c>
      <c r="AM596" s="14" t="n">
        <f aca="false">Operations!AM595-Inputs!$F$52</f>
        <v>0.57</v>
      </c>
      <c r="AN596" s="14" t="n">
        <f aca="false">Operations!AN595-Inputs!$F$52</f>
        <v>0.57</v>
      </c>
      <c r="AO596" s="14" t="n">
        <f aca="false">Operations!AO595-Inputs!$F$52</f>
        <v>0.57</v>
      </c>
      <c r="AP596" s="14" t="n">
        <f aca="false">Operations!AP595-Inputs!$F$52</f>
        <v>0.57</v>
      </c>
      <c r="AQ596" s="14" t="n">
        <f aca="false">Operations!AQ595-Inputs!$F$52</f>
        <v>0.57</v>
      </c>
      <c r="AR596" s="14" t="n">
        <f aca="false">Operations!AR595-Inputs!$F$52</f>
        <v>0.57</v>
      </c>
      <c r="AS596" s="14" t="n">
        <f aca="false">Operations!AS595-Inputs!$F$52</f>
        <v>0.57</v>
      </c>
      <c r="AT596" s="14" t="n">
        <f aca="false">Operations!AT595-Inputs!$F$52</f>
        <v>0.57</v>
      </c>
      <c r="AU596" s="14" t="n">
        <f aca="false">Operations!AU595-Inputs!$F$52</f>
        <v>0.57</v>
      </c>
    </row>
    <row r="597" customFormat="false" ht="15" hidden="false" customHeight="false" outlineLevel="0" collapsed="false">
      <c r="D597" s="0" t="s">
        <v>598</v>
      </c>
      <c r="E597" s="0" t="s">
        <v>96</v>
      </c>
      <c r="J597" s="18" t="n">
        <f aca="false">Operations!J589*Operations!J596</f>
        <v>59.936624</v>
      </c>
      <c r="K597" s="18" t="n">
        <f aca="false">Operations!K589*Operations!K596</f>
        <v>47.985696</v>
      </c>
      <c r="L597" s="18" t="n">
        <f aca="false">Operations!L589*Operations!L596</f>
        <v>23.018072</v>
      </c>
      <c r="M597" s="18" t="n">
        <f aca="false">Operations!M589*Operations!M596</f>
        <v>29.665328</v>
      </c>
      <c r="N597" s="18" t="n">
        <f aca="false">Operations!N589*Operations!N596</f>
        <v>32.3796</v>
      </c>
      <c r="O597" s="18" t="n">
        <f aca="false">Operations!O589*Operations!O596</f>
        <v>33.424072</v>
      </c>
      <c r="P597" s="18" t="n">
        <f aca="false">Operations!P589*Operations!P596</f>
        <v>33.745448</v>
      </c>
      <c r="Q597" s="18" t="n">
        <f aca="false">Operations!Q589*Operations!Q596</f>
        <v>33.663168</v>
      </c>
      <c r="R597" s="18" t="n">
        <f aca="false">Operations!R589*Operations!R596</f>
        <v>33.595408</v>
      </c>
      <c r="S597" s="18" t="n">
        <f aca="false">Operations!S589*Operations!S596</f>
        <v>33.246928</v>
      </c>
      <c r="T597" s="18" t="n">
        <f aca="false">Operations!T589*Operations!T596</f>
        <v>32.870376</v>
      </c>
      <c r="U597" s="18" t="n">
        <f aca="false">Operations!U589*Operations!U596</f>
        <v>32.4645904</v>
      </c>
      <c r="V597" s="18" t="n">
        <f aca="false">Operations!V589*Operations!V596</f>
        <v>32.0284096</v>
      </c>
      <c r="W597" s="18" t="n">
        <f aca="false">Operations!W589*Operations!W596</f>
        <v>31.560672</v>
      </c>
      <c r="X597" s="18" t="n">
        <f aca="false">Operations!X589*Operations!X596</f>
        <v>32.1896784</v>
      </c>
      <c r="Y597" s="18" t="n">
        <f aca="false">Operations!Y589*Operations!Y596</f>
        <v>32.8352376</v>
      </c>
      <c r="Z597" s="18" t="n">
        <f aca="false">Operations!Z589*Operations!Z596</f>
        <v>33.491832</v>
      </c>
      <c r="AA597" s="18" t="n">
        <f aca="false">Operations!AA589*Operations!AA596</f>
        <v>34.1594616</v>
      </c>
      <c r="AB597" s="18" t="n">
        <f aca="false">Operations!AB589*Operations!AB596</f>
        <v>34.843644</v>
      </c>
      <c r="AC597" s="18" t="n">
        <f aca="false">Operations!AC589*Operations!AC596</f>
        <v>35.5388616</v>
      </c>
      <c r="AD597" s="18" t="n">
        <f aca="false">Operations!AD589*Operations!AD596</f>
        <v>36.250632</v>
      </c>
      <c r="AE597" s="18" t="n">
        <f aca="false">Operations!AE589*Operations!AE596</f>
        <v>36.9734376</v>
      </c>
      <c r="AF597" s="18" t="n">
        <f aca="false">Operations!AF589*Operations!AF596</f>
        <v>37.712796</v>
      </c>
      <c r="AG597" s="18" t="n">
        <f aca="false">Operations!AG589*Operations!AG596</f>
        <v>38.4687072</v>
      </c>
      <c r="AH597" s="18" t="n">
        <f aca="false">Operations!AH589*Operations!AH596</f>
        <v>39.2356536</v>
      </c>
      <c r="AI597" s="18" t="n">
        <f aca="false">Operations!AI589*Operations!AI596</f>
        <v>40.0191528</v>
      </c>
      <c r="AJ597" s="18" t="n">
        <f aca="false">Operations!AJ589*Operations!AJ596</f>
        <v>40.8192048</v>
      </c>
      <c r="AK597" s="18" t="n">
        <f aca="false">Operations!AK589*Operations!AK596</f>
        <v>41.6358096</v>
      </c>
      <c r="AL597" s="18" t="n">
        <f aca="false">Operations!AL589*Operations!AL596</f>
        <v>42.4689672</v>
      </c>
      <c r="AM597" s="18" t="n">
        <f aca="false">Operations!AM589*Operations!AM596</f>
        <v>43.3186776</v>
      </c>
      <c r="AN597" s="18" t="n">
        <f aca="false">Operations!AN589*Operations!AN596</f>
        <v>44.1849408</v>
      </c>
      <c r="AO597" s="18" t="n">
        <f aca="false">Operations!AO589*Operations!AO596</f>
        <v>45.0677568</v>
      </c>
      <c r="AP597" s="18" t="n">
        <f aca="false">Operations!AP589*Operations!AP596</f>
        <v>45.9671256</v>
      </c>
      <c r="AQ597" s="18" t="n">
        <f aca="false">Operations!AQ589*Operations!AQ596</f>
        <v>46.8885648</v>
      </c>
      <c r="AR597" s="18" t="n">
        <f aca="false">Operations!AR589*Operations!AR596</f>
        <v>47.8265568</v>
      </c>
      <c r="AS597" s="18" t="n">
        <f aca="false">Operations!AS589*Operations!AS596</f>
        <v>48.7811016</v>
      </c>
      <c r="AT597" s="18" t="n">
        <f aca="false">Operations!AT589*Operations!AT596</f>
        <v>49.7577168</v>
      </c>
      <c r="AU597" s="18" t="n">
        <f aca="false">Operations!AU589*Operations!AU596</f>
        <v>50.7508848</v>
      </c>
    </row>
    <row r="598" customFormat="false" ht="15" hidden="false" customHeight="false" outlineLevel="0" collapsed="false">
      <c r="D598" s="0" t="s">
        <v>599</v>
      </c>
      <c r="E598" s="0" t="s">
        <v>458</v>
      </c>
      <c r="J598" s="14" t="n">
        <f aca="false">MAX(0,MIN(Inputs!$F$210,Time!J$6)-MAX(Inputs!$F$209-1,Time!J$5))/Time!J$7</f>
        <v>1</v>
      </c>
      <c r="K598" s="14" t="n">
        <f aca="false">MAX(0,MIN(Inputs!$F$210,Time!K$6)-MAX(Inputs!$F$209-1,Time!K$5))/Time!K$7</f>
        <v>1</v>
      </c>
      <c r="L598" s="14" t="n">
        <f aca="false">MAX(0,MIN(Inputs!$F$210,Time!L$6)-MAX(Inputs!$F$209-1,Time!L$5))/Time!L$7</f>
        <v>1</v>
      </c>
      <c r="M598" s="14" t="n">
        <f aca="false">MAX(0,MIN(Inputs!$F$210,Time!M$6)-MAX(Inputs!$F$209-1,Time!M$5))/Time!M$7</f>
        <v>1</v>
      </c>
      <c r="N598" s="14" t="n">
        <f aca="false">MAX(0,MIN(Inputs!$F$210,Time!N$6)-MAX(Inputs!$F$209-1,Time!N$5))/Time!N$7</f>
        <v>1</v>
      </c>
      <c r="O598" s="14" t="n">
        <f aca="false">MAX(0,MIN(Inputs!$F$210,Time!O$6)-MAX(Inputs!$F$209-1,Time!O$5))/Time!O$7</f>
        <v>0</v>
      </c>
      <c r="P598" s="14" t="n">
        <f aca="false">MAX(0,MIN(Inputs!$F$210,Time!P$6)-MAX(Inputs!$F$209-1,Time!P$5))/Time!P$7</f>
        <v>0</v>
      </c>
      <c r="Q598" s="14" t="n">
        <f aca="false">MAX(0,MIN(Inputs!$F$210,Time!Q$6)-MAX(Inputs!$F$209-1,Time!Q$5))/Time!Q$7</f>
        <v>0</v>
      </c>
      <c r="R598" s="14" t="n">
        <f aca="false">MAX(0,MIN(Inputs!$F$210,Time!R$6)-MAX(Inputs!$F$209-1,Time!R$5))/Time!R$7</f>
        <v>0</v>
      </c>
      <c r="S598" s="14" t="n">
        <f aca="false">MAX(0,MIN(Inputs!$F$210,Time!S$6)-MAX(Inputs!$F$209-1,Time!S$5))/Time!S$7</f>
        <v>0</v>
      </c>
      <c r="T598" s="14" t="n">
        <f aca="false">MAX(0,MIN(Inputs!$F$210,Time!T$6)-MAX(Inputs!$F$209-1,Time!T$5))/Time!T$7</f>
        <v>0</v>
      </c>
      <c r="U598" s="14" t="n">
        <f aca="false">MAX(0,MIN(Inputs!$F$210,Time!U$6)-MAX(Inputs!$F$209-1,Time!U$5))/Time!U$7</f>
        <v>0</v>
      </c>
      <c r="V598" s="14" t="n">
        <f aca="false">MAX(0,MIN(Inputs!$F$210,Time!V$6)-MAX(Inputs!$F$209-1,Time!V$5))/Time!V$7</f>
        <v>0</v>
      </c>
      <c r="W598" s="14" t="n">
        <f aca="false">MAX(0,MIN(Inputs!$F$210,Time!W$6)-MAX(Inputs!$F$209-1,Time!W$5))/Time!W$7</f>
        <v>0</v>
      </c>
      <c r="X598" s="14" t="n">
        <f aca="false">MAX(0,MIN(Inputs!$F$210,Time!X$6)-MAX(Inputs!$F$209-1,Time!X$5))/Time!X$7</f>
        <v>0</v>
      </c>
      <c r="Y598" s="14" t="n">
        <f aca="false">MAX(0,MIN(Inputs!$F$210,Time!Y$6)-MAX(Inputs!$F$209-1,Time!Y$5))/Time!Y$7</f>
        <v>0</v>
      </c>
      <c r="Z598" s="14" t="n">
        <f aca="false">MAX(0,MIN(Inputs!$F$210,Time!Z$6)-MAX(Inputs!$F$209-1,Time!Z$5))/Time!Z$7</f>
        <v>0</v>
      </c>
      <c r="AA598" s="14" t="n">
        <f aca="false">MAX(0,MIN(Inputs!$F$210,Time!AA$6)-MAX(Inputs!$F$209-1,Time!AA$5))/Time!AA$7</f>
        <v>0</v>
      </c>
      <c r="AB598" s="14" t="n">
        <f aca="false">MAX(0,MIN(Inputs!$F$210,Time!AB$6)-MAX(Inputs!$F$209-1,Time!AB$5))/Time!AB$7</f>
        <v>0</v>
      </c>
      <c r="AC598" s="14" t="n">
        <f aca="false">MAX(0,MIN(Inputs!$F$210,Time!AC$6)-MAX(Inputs!$F$209-1,Time!AC$5))/Time!AC$7</f>
        <v>0</v>
      </c>
      <c r="AD598" s="14" t="n">
        <f aca="false">MAX(0,MIN(Inputs!$F$210,Time!AD$6)-MAX(Inputs!$F$209-1,Time!AD$5))/Time!AD$7</f>
        <v>0</v>
      </c>
      <c r="AE598" s="14" t="n">
        <f aca="false">MAX(0,MIN(Inputs!$F$210,Time!AE$6)-MAX(Inputs!$F$209-1,Time!AE$5))/Time!AE$7</f>
        <v>0</v>
      </c>
      <c r="AF598" s="14" t="n">
        <f aca="false">MAX(0,MIN(Inputs!$F$210,Time!AF$6)-MAX(Inputs!$F$209-1,Time!AF$5))/Time!AF$7</f>
        <v>0</v>
      </c>
      <c r="AG598" s="14" t="n">
        <f aca="false">MAX(0,MIN(Inputs!$F$210,Time!AG$6)-MAX(Inputs!$F$209-1,Time!AG$5))/Time!AG$7</f>
        <v>0</v>
      </c>
      <c r="AH598" s="14" t="n">
        <f aca="false">MAX(0,MIN(Inputs!$F$210,Time!AH$6)-MAX(Inputs!$F$209-1,Time!AH$5))/Time!AH$7</f>
        <v>0</v>
      </c>
      <c r="AI598" s="14" t="n">
        <f aca="false">MAX(0,MIN(Inputs!$F$210,Time!AI$6)-MAX(Inputs!$F$209-1,Time!AI$5))/Time!AI$7</f>
        <v>0</v>
      </c>
      <c r="AJ598" s="14" t="n">
        <f aca="false">MAX(0,MIN(Inputs!$F$210,Time!AJ$6)-MAX(Inputs!$F$209-1,Time!AJ$5))/Time!AJ$7</f>
        <v>0</v>
      </c>
      <c r="AK598" s="14" t="n">
        <f aca="false">MAX(0,MIN(Inputs!$F$210,Time!AK$6)-MAX(Inputs!$F$209-1,Time!AK$5))/Time!AK$7</f>
        <v>0</v>
      </c>
      <c r="AL598" s="14" t="n">
        <f aca="false">MAX(0,MIN(Inputs!$F$210,Time!AL$6)-MAX(Inputs!$F$209-1,Time!AL$5))/Time!AL$7</f>
        <v>0</v>
      </c>
      <c r="AM598" s="14" t="n">
        <f aca="false">MAX(0,MIN(Inputs!$F$210,Time!AM$6)-MAX(Inputs!$F$209-1,Time!AM$5))/Time!AM$7</f>
        <v>0</v>
      </c>
      <c r="AN598" s="14" t="n">
        <f aca="false">MAX(0,MIN(Inputs!$F$210,Time!AN$6)-MAX(Inputs!$F$209-1,Time!AN$5))/Time!AN$7</f>
        <v>0</v>
      </c>
      <c r="AO598" s="14" t="n">
        <f aca="false">MAX(0,MIN(Inputs!$F$210,Time!AO$6)-MAX(Inputs!$F$209-1,Time!AO$5))/Time!AO$7</f>
        <v>0</v>
      </c>
      <c r="AP598" s="14" t="n">
        <f aca="false">MAX(0,MIN(Inputs!$F$210,Time!AP$6)-MAX(Inputs!$F$209-1,Time!AP$5))/Time!AP$7</f>
        <v>0</v>
      </c>
      <c r="AQ598" s="14" t="n">
        <f aca="false">MAX(0,MIN(Inputs!$F$210,Time!AQ$6)-MAX(Inputs!$F$209-1,Time!AQ$5))/Time!AQ$7</f>
        <v>0</v>
      </c>
      <c r="AR598" s="14" t="n">
        <f aca="false">MAX(0,MIN(Inputs!$F$210,Time!AR$6)-MAX(Inputs!$F$209-1,Time!AR$5))/Time!AR$7</f>
        <v>0</v>
      </c>
      <c r="AS598" s="14" t="n">
        <f aca="false">MAX(0,MIN(Inputs!$F$210,Time!AS$6)-MAX(Inputs!$F$209-1,Time!AS$5))/Time!AS$7</f>
        <v>0</v>
      </c>
      <c r="AT598" s="14" t="n">
        <f aca="false">MAX(0,MIN(Inputs!$F$210,Time!AT$6)-MAX(Inputs!$F$209-1,Time!AT$5))/Time!AT$7</f>
        <v>0</v>
      </c>
      <c r="AU598" s="14" t="n">
        <f aca="false">MAX(0,MIN(Inputs!$F$210,Time!AU$6)-MAX(Inputs!$F$209-1,Time!AU$5))/Time!AU$7</f>
        <v>0</v>
      </c>
    </row>
    <row r="599" customFormat="false" ht="15" hidden="false" customHeight="false" outlineLevel="0" collapsed="false">
      <c r="D599" s="0" t="s">
        <v>240</v>
      </c>
      <c r="E599" s="0" t="s">
        <v>466</v>
      </c>
      <c r="J599" s="20" t="n">
        <f aca="false">Inputs!$F$207*Operations!J598</f>
        <v>168.4</v>
      </c>
      <c r="K599" s="20" t="n">
        <f aca="false">Inputs!$F$207*Operations!K598</f>
        <v>168.4</v>
      </c>
      <c r="L599" s="20" t="n">
        <f aca="false">Inputs!$F$207*Operations!L598</f>
        <v>168.4</v>
      </c>
      <c r="M599" s="20" t="n">
        <f aca="false">Inputs!$F$207*Operations!M598</f>
        <v>168.4</v>
      </c>
      <c r="N599" s="20" t="n">
        <f aca="false">Inputs!$F$207*Operations!N598</f>
        <v>168.4</v>
      </c>
      <c r="O599" s="20" t="n">
        <f aca="false">Inputs!$F$207*Operations!O598</f>
        <v>0</v>
      </c>
      <c r="P599" s="20" t="n">
        <f aca="false">Inputs!$F$207*Operations!P598</f>
        <v>0</v>
      </c>
      <c r="Q599" s="20" t="n">
        <f aca="false">Inputs!$F$207*Operations!Q598</f>
        <v>0</v>
      </c>
      <c r="R599" s="20" t="n">
        <f aca="false">Inputs!$F$207*Operations!R598</f>
        <v>0</v>
      </c>
      <c r="S599" s="20" t="n">
        <f aca="false">Inputs!$F$207*Operations!S598</f>
        <v>0</v>
      </c>
      <c r="T599" s="20" t="n">
        <f aca="false">Inputs!$F$207*Operations!T598</f>
        <v>0</v>
      </c>
      <c r="U599" s="20" t="n">
        <f aca="false">Inputs!$F$207*Operations!U598</f>
        <v>0</v>
      </c>
      <c r="V599" s="20" t="n">
        <f aca="false">Inputs!$F$207*Operations!V598</f>
        <v>0</v>
      </c>
      <c r="W599" s="20" t="n">
        <f aca="false">Inputs!$F$207*Operations!W598</f>
        <v>0</v>
      </c>
      <c r="X599" s="20" t="n">
        <f aca="false">Inputs!$F$207*Operations!X598</f>
        <v>0</v>
      </c>
      <c r="Y599" s="20" t="n">
        <f aca="false">Inputs!$F$207*Operations!Y598</f>
        <v>0</v>
      </c>
      <c r="Z599" s="20" t="n">
        <f aca="false">Inputs!$F$207*Operations!Z598</f>
        <v>0</v>
      </c>
      <c r="AA599" s="20" t="n">
        <f aca="false">Inputs!$F$207*Operations!AA598</f>
        <v>0</v>
      </c>
      <c r="AB599" s="20" t="n">
        <f aca="false">Inputs!$F$207*Operations!AB598</f>
        <v>0</v>
      </c>
      <c r="AC599" s="20" t="n">
        <f aca="false">Inputs!$F$207*Operations!AC598</f>
        <v>0</v>
      </c>
      <c r="AD599" s="20" t="n">
        <f aca="false">Inputs!$F$207*Operations!AD598</f>
        <v>0</v>
      </c>
      <c r="AE599" s="20" t="n">
        <f aca="false">Inputs!$F$207*Operations!AE598</f>
        <v>0</v>
      </c>
      <c r="AF599" s="20" t="n">
        <f aca="false">Inputs!$F$207*Operations!AF598</f>
        <v>0</v>
      </c>
      <c r="AG599" s="20" t="n">
        <f aca="false">Inputs!$F$207*Operations!AG598</f>
        <v>0</v>
      </c>
      <c r="AH599" s="20" t="n">
        <f aca="false">Inputs!$F$207*Operations!AH598</f>
        <v>0</v>
      </c>
      <c r="AI599" s="20" t="n">
        <f aca="false">Inputs!$F$207*Operations!AI598</f>
        <v>0</v>
      </c>
      <c r="AJ599" s="20" t="n">
        <f aca="false">Inputs!$F$207*Operations!AJ598</f>
        <v>0</v>
      </c>
      <c r="AK599" s="20" t="n">
        <f aca="false">Inputs!$F$207*Operations!AK598</f>
        <v>0</v>
      </c>
      <c r="AL599" s="20" t="n">
        <f aca="false">Inputs!$F$207*Operations!AL598</f>
        <v>0</v>
      </c>
      <c r="AM599" s="20" t="n">
        <f aca="false">Inputs!$F$207*Operations!AM598</f>
        <v>0</v>
      </c>
      <c r="AN599" s="20" t="n">
        <f aca="false">Inputs!$F$207*Operations!AN598</f>
        <v>0</v>
      </c>
      <c r="AO599" s="20" t="n">
        <f aca="false">Inputs!$F$207*Operations!AO598</f>
        <v>0</v>
      </c>
      <c r="AP599" s="20" t="n">
        <f aca="false">Inputs!$F$207*Operations!AP598</f>
        <v>0</v>
      </c>
      <c r="AQ599" s="20" t="n">
        <f aca="false">Inputs!$F$207*Operations!AQ598</f>
        <v>0</v>
      </c>
      <c r="AR599" s="20" t="n">
        <f aca="false">Inputs!$F$207*Operations!AR598</f>
        <v>0</v>
      </c>
      <c r="AS599" s="20" t="n">
        <f aca="false">Inputs!$F$207*Operations!AS598</f>
        <v>0</v>
      </c>
      <c r="AT599" s="20" t="n">
        <f aca="false">Inputs!$F$207*Operations!AT598</f>
        <v>0</v>
      </c>
      <c r="AU599" s="20" t="n">
        <f aca="false">Inputs!$F$207*Operations!AU598</f>
        <v>0</v>
      </c>
    </row>
    <row r="600" customFormat="false" ht="15" hidden="false" customHeight="false" outlineLevel="0" collapsed="false">
      <c r="D600" s="0" t="s">
        <v>600</v>
      </c>
      <c r="E600" s="0" t="s">
        <v>47</v>
      </c>
      <c r="G600" s="20" t="n">
        <f aca="false">SUM(J600:AU600)</f>
        <v>3.4094210112</v>
      </c>
      <c r="J600" s="20" t="n">
        <f aca="false">Operations!J599*(Inputs!$F$208-Operations!J589*Operations!J595)/1000</f>
        <v>-3.0317065472</v>
      </c>
      <c r="K600" s="20" t="n">
        <f aca="false">Operations!K599*(Inputs!$F$208-Operations!K589*Operations!K595)/1000</f>
        <v>-0.953639769599999</v>
      </c>
      <c r="L600" s="20" t="n">
        <f aca="false">Operations!L599*(Inputs!$F$208-Operations!L589*Operations!L595)/1000</f>
        <v>3.4029975616</v>
      </c>
      <c r="M600" s="20" t="n">
        <f aca="false">Operations!M599*(Inputs!$F$208-Operations!M589*Operations!M595)/1000</f>
        <v>2.236163392</v>
      </c>
      <c r="N600" s="20" t="n">
        <f aca="false">Operations!N599*(Inputs!$F$208-Operations!N589*Operations!N595)/1000</f>
        <v>1.7556063744</v>
      </c>
      <c r="O600" s="20" t="n">
        <f aca="false">Operations!O599*(Inputs!$F$208-Operations!O589*Operations!O595)/1000</f>
        <v>0</v>
      </c>
      <c r="P600" s="20" t="n">
        <f aca="false">Operations!P599*(Inputs!$F$208-Operations!P589*Operations!P595)/1000</f>
        <v>0</v>
      </c>
      <c r="Q600" s="20" t="n">
        <f aca="false">Operations!Q599*(Inputs!$F$208-Operations!Q589*Operations!Q595)/1000</f>
        <v>0</v>
      </c>
      <c r="R600" s="20" t="n">
        <f aca="false">Operations!R599*(Inputs!$F$208-Operations!R589*Operations!R595)/1000</f>
        <v>0</v>
      </c>
      <c r="S600" s="20" t="n">
        <f aca="false">Operations!S599*(Inputs!$F$208-Operations!S589*Operations!S595)/1000</f>
        <v>0</v>
      </c>
      <c r="T600" s="20" t="n">
        <f aca="false">Operations!T599*(Inputs!$F$208-Operations!T589*Operations!T595)/1000</f>
        <v>0</v>
      </c>
      <c r="U600" s="20" t="n">
        <f aca="false">Operations!U599*(Inputs!$F$208-Operations!U589*Operations!U595)/1000</f>
        <v>0</v>
      </c>
      <c r="V600" s="20" t="n">
        <f aca="false">Operations!V599*(Inputs!$F$208-Operations!V589*Operations!V595)/1000</f>
        <v>0</v>
      </c>
      <c r="W600" s="20" t="n">
        <f aca="false">Operations!W599*(Inputs!$F$208-Operations!W589*Operations!W595)/1000</f>
        <v>0</v>
      </c>
      <c r="X600" s="20" t="n">
        <f aca="false">Operations!X599*(Inputs!$F$208-Operations!X589*Operations!X595)/1000</f>
        <v>0</v>
      </c>
      <c r="Y600" s="20" t="n">
        <f aca="false">Operations!Y599*(Inputs!$F$208-Operations!Y589*Operations!Y595)/1000</f>
        <v>0</v>
      </c>
      <c r="Z600" s="20" t="n">
        <f aca="false">Operations!Z599*(Inputs!$F$208-Operations!Z589*Operations!Z595)/1000</f>
        <v>0</v>
      </c>
      <c r="AA600" s="20" t="n">
        <f aca="false">Operations!AA599*(Inputs!$F$208-Operations!AA589*Operations!AA595)/1000</f>
        <v>0</v>
      </c>
      <c r="AB600" s="20" t="n">
        <f aca="false">Operations!AB599*(Inputs!$F$208-Operations!AB589*Operations!AB595)/1000</f>
        <v>0</v>
      </c>
      <c r="AC600" s="20" t="n">
        <f aca="false">Operations!AC599*(Inputs!$F$208-Operations!AC589*Operations!AC595)/1000</f>
        <v>0</v>
      </c>
      <c r="AD600" s="20" t="n">
        <f aca="false">Operations!AD599*(Inputs!$F$208-Operations!AD589*Operations!AD595)/1000</f>
        <v>0</v>
      </c>
      <c r="AE600" s="20" t="n">
        <f aca="false">Operations!AE599*(Inputs!$F$208-Operations!AE589*Operations!AE595)/1000</f>
        <v>0</v>
      </c>
      <c r="AF600" s="20" t="n">
        <f aca="false">Operations!AF599*(Inputs!$F$208-Operations!AF589*Operations!AF595)/1000</f>
        <v>0</v>
      </c>
      <c r="AG600" s="20" t="n">
        <f aca="false">Operations!AG599*(Inputs!$F$208-Operations!AG589*Operations!AG595)/1000</f>
        <v>0</v>
      </c>
      <c r="AH600" s="20" t="n">
        <f aca="false">Operations!AH599*(Inputs!$F$208-Operations!AH589*Operations!AH595)/1000</f>
        <v>0</v>
      </c>
      <c r="AI600" s="20" t="n">
        <f aca="false">Operations!AI599*(Inputs!$F$208-Operations!AI589*Operations!AI595)/1000</f>
        <v>0</v>
      </c>
      <c r="AJ600" s="20" t="n">
        <f aca="false">Operations!AJ599*(Inputs!$F$208-Operations!AJ589*Operations!AJ595)/1000</f>
        <v>0</v>
      </c>
      <c r="AK600" s="20" t="n">
        <f aca="false">Operations!AK599*(Inputs!$F$208-Operations!AK589*Operations!AK595)/1000</f>
        <v>0</v>
      </c>
      <c r="AL600" s="20" t="n">
        <f aca="false">Operations!AL599*(Inputs!$F$208-Operations!AL589*Operations!AL595)/1000</f>
        <v>-0</v>
      </c>
      <c r="AM600" s="20" t="n">
        <f aca="false">Operations!AM599*(Inputs!$F$208-Operations!AM589*Operations!AM595)/1000</f>
        <v>-0</v>
      </c>
      <c r="AN600" s="20" t="n">
        <f aca="false">Operations!AN599*(Inputs!$F$208-Operations!AN589*Operations!AN595)/1000</f>
        <v>-0</v>
      </c>
      <c r="AO600" s="20" t="n">
        <f aca="false">Operations!AO599*(Inputs!$F$208-Operations!AO589*Operations!AO595)/1000</f>
        <v>-0</v>
      </c>
      <c r="AP600" s="20" t="n">
        <f aca="false">Operations!AP599*(Inputs!$F$208-Operations!AP589*Operations!AP595)/1000</f>
        <v>-0</v>
      </c>
      <c r="AQ600" s="20" t="n">
        <f aca="false">Operations!AQ599*(Inputs!$F$208-Operations!AQ589*Operations!AQ595)/1000</f>
        <v>-0</v>
      </c>
      <c r="AR600" s="20" t="n">
        <f aca="false">Operations!AR599*(Inputs!$F$208-Operations!AR589*Operations!AR595)/1000</f>
        <v>-0</v>
      </c>
      <c r="AS600" s="20" t="n">
        <f aca="false">Operations!AS599*(Inputs!$F$208-Operations!AS589*Operations!AS595)/1000</f>
        <v>-0</v>
      </c>
      <c r="AT600" s="20" t="n">
        <f aca="false">Operations!AT599*(Inputs!$F$208-Operations!AT589*Operations!AT595)/1000</f>
        <v>-0</v>
      </c>
      <c r="AU600" s="20" t="n">
        <f aca="false">Operations!AU599*(Inputs!$F$208-Operations!AU589*Operations!AU595)/1000</f>
        <v>-0</v>
      </c>
    </row>
    <row r="601" customFormat="false" ht="15" hidden="false" customHeight="false" outlineLevel="0" collapsed="false">
      <c r="D601" s="0" t="s">
        <v>601</v>
      </c>
      <c r="E601" s="0" t="s">
        <v>466</v>
      </c>
      <c r="J601" s="20" t="n">
        <f aca="false">Operations!J594</f>
        <v>229.614</v>
      </c>
      <c r="K601" s="20" t="n">
        <f aca="false">Operations!K594</f>
        <v>227.41450875</v>
      </c>
      <c r="L601" s="20" t="n">
        <f aca="false">Operations!L594</f>
        <v>225.23016323775</v>
      </c>
      <c r="M601" s="20" t="n">
        <f aca="false">Operations!M594</f>
        <v>223.060871691308</v>
      </c>
      <c r="N601" s="20" t="n">
        <f aca="false">Operations!N594</f>
        <v>222.057097768697</v>
      </c>
      <c r="O601" s="20" t="n">
        <f aca="false">Operations!O594</f>
        <v>221.057840828738</v>
      </c>
      <c r="P601" s="20" t="n">
        <f aca="false">Operations!P594</f>
        <v>220.063080545009</v>
      </c>
      <c r="Q601" s="20" t="n">
        <f aca="false">Operations!Q594</f>
        <v>219.072796682556</v>
      </c>
      <c r="R601" s="20" t="n">
        <f aca="false">Operations!R594</f>
        <v>218.086969097485</v>
      </c>
      <c r="S601" s="20" t="n">
        <f aca="false">Operations!S594</f>
        <v>217.105577736546</v>
      </c>
      <c r="T601" s="20" t="n">
        <f aca="false">Operations!T594</f>
        <v>216.128602636732</v>
      </c>
      <c r="U601" s="20" t="n">
        <f aca="false">Operations!U594</f>
        <v>215.156023924866</v>
      </c>
      <c r="V601" s="20" t="n">
        <f aca="false">Operations!V594</f>
        <v>214.187821817204</v>
      </c>
      <c r="W601" s="20" t="n">
        <f aca="false">Operations!W594</f>
        <v>213.223976619027</v>
      </c>
      <c r="X601" s="20" t="n">
        <f aca="false">Operations!X594</f>
        <v>212.264468724241</v>
      </c>
      <c r="Y601" s="20" t="n">
        <f aca="false">Operations!Y594</f>
        <v>211.309278614982</v>
      </c>
      <c r="Z601" s="20" t="n">
        <f aca="false">Operations!Z594</f>
        <v>210.358386861215</v>
      </c>
      <c r="AA601" s="20" t="n">
        <f aca="false">Operations!AA594</f>
        <v>209.41177412034</v>
      </c>
      <c r="AB601" s="20" t="n">
        <f aca="false">Operations!AB594</f>
        <v>208.469421136798</v>
      </c>
      <c r="AC601" s="20" t="n">
        <f aca="false">Operations!AC594</f>
        <v>207.531308741682</v>
      </c>
      <c r="AD601" s="20" t="n">
        <f aca="false">Operations!AD594</f>
        <v>206.597417852345</v>
      </c>
      <c r="AE601" s="20" t="n">
        <f aca="false">Operations!AE594</f>
        <v>205.667729472009</v>
      </c>
      <c r="AF601" s="20" t="n">
        <f aca="false">Operations!AF594</f>
        <v>204.742224689385</v>
      </c>
      <c r="AG601" s="20" t="n">
        <f aca="false">Operations!AG594</f>
        <v>203.820884678283</v>
      </c>
      <c r="AH601" s="20" t="n">
        <f aca="false">Operations!AH594</f>
        <v>202.903690697231</v>
      </c>
      <c r="AI601" s="20" t="n">
        <f aca="false">Operations!AI594</f>
        <v>201.990624089093</v>
      </c>
      <c r="AJ601" s="20" t="n">
        <f aca="false">Operations!AJ594</f>
        <v>201.081666280692</v>
      </c>
      <c r="AK601" s="20" t="n">
        <f aca="false">Operations!AK594</f>
        <v>200.176798782429</v>
      </c>
      <c r="AL601" s="20" t="n">
        <f aca="false">Operations!AL594</f>
        <v>199.276003187908</v>
      </c>
      <c r="AM601" s="20" t="n">
        <f aca="false">Operations!AM594</f>
        <v>198.379261173563</v>
      </c>
      <c r="AN601" s="20" t="n">
        <f aca="false">Operations!AN594</f>
        <v>197.486554498282</v>
      </c>
      <c r="AO601" s="20" t="n">
        <f aca="false">Operations!AO594</f>
        <v>196.59786500304</v>
      </c>
      <c r="AP601" s="20" t="n">
        <f aca="false">Operations!AP594</f>
        <v>195.713174610526</v>
      </c>
      <c r="AQ601" s="20" t="n">
        <f aca="false">Operations!AQ594</f>
        <v>162.27142317461</v>
      </c>
      <c r="AR601" s="20" t="n">
        <f aca="false">Operations!AR594</f>
        <v>0</v>
      </c>
      <c r="AS601" s="20" t="n">
        <f aca="false">Operations!AS594</f>
        <v>0</v>
      </c>
      <c r="AT601" s="20" t="n">
        <f aca="false">Operations!AT594</f>
        <v>0</v>
      </c>
      <c r="AU601" s="20" t="n">
        <f aca="false">Operations!AU594</f>
        <v>0</v>
      </c>
    </row>
    <row r="602" customFormat="false" ht="15" hidden="false" customHeight="false" outlineLevel="0" collapsed="false">
      <c r="D602" s="0" t="s">
        <v>602</v>
      </c>
      <c r="E602" s="0" t="s">
        <v>47</v>
      </c>
      <c r="J602" s="20" t="n">
        <f aca="false">0</f>
        <v>0</v>
      </c>
      <c r="K602" s="20" t="n">
        <f aca="false">0</f>
        <v>0</v>
      </c>
      <c r="L602" s="20" t="n">
        <f aca="false">0</f>
        <v>0</v>
      </c>
      <c r="M602" s="20" t="n">
        <f aca="false">0</f>
        <v>0</v>
      </c>
      <c r="N602" s="20" t="n">
        <f aca="false">0</f>
        <v>0</v>
      </c>
      <c r="O602" s="20" t="n">
        <f aca="false">0</f>
        <v>0</v>
      </c>
      <c r="P602" s="20" t="n">
        <f aca="false">0</f>
        <v>0</v>
      </c>
      <c r="Q602" s="20" t="n">
        <f aca="false">0</f>
        <v>0</v>
      </c>
      <c r="R602" s="20" t="n">
        <f aca="false">0</f>
        <v>0</v>
      </c>
      <c r="S602" s="20" t="n">
        <f aca="false">0</f>
        <v>0</v>
      </c>
      <c r="T602" s="20" t="n">
        <f aca="false">0</f>
        <v>0</v>
      </c>
      <c r="U602" s="20" t="n">
        <f aca="false">0</f>
        <v>0</v>
      </c>
      <c r="V602" s="20" t="n">
        <f aca="false">0</f>
        <v>0</v>
      </c>
      <c r="W602" s="20" t="n">
        <f aca="false">0</f>
        <v>0</v>
      </c>
      <c r="X602" s="20" t="n">
        <f aca="false">0</f>
        <v>0</v>
      </c>
      <c r="Y602" s="20" t="n">
        <f aca="false">0</f>
        <v>0</v>
      </c>
      <c r="Z602" s="20" t="n">
        <f aca="false">0</f>
        <v>0</v>
      </c>
      <c r="AA602" s="20" t="n">
        <f aca="false">0</f>
        <v>0</v>
      </c>
      <c r="AB602" s="20" t="n">
        <f aca="false">0</f>
        <v>0</v>
      </c>
      <c r="AC602" s="20" t="n">
        <f aca="false">0</f>
        <v>0</v>
      </c>
      <c r="AD602" s="20" t="n">
        <f aca="false">0</f>
        <v>0</v>
      </c>
      <c r="AE602" s="20" t="n">
        <f aca="false">0</f>
        <v>0</v>
      </c>
      <c r="AF602" s="20" t="n">
        <f aca="false">0</f>
        <v>0</v>
      </c>
      <c r="AG602" s="20" t="n">
        <f aca="false">0</f>
        <v>0</v>
      </c>
      <c r="AH602" s="20" t="n">
        <f aca="false">0</f>
        <v>0</v>
      </c>
      <c r="AI602" s="20" t="n">
        <f aca="false">0</f>
        <v>0</v>
      </c>
      <c r="AJ602" s="20" t="n">
        <f aca="false">0</f>
        <v>0</v>
      </c>
      <c r="AK602" s="20" t="n">
        <f aca="false">0</f>
        <v>0</v>
      </c>
      <c r="AL602" s="20" t="n">
        <f aca="false">0</f>
        <v>0</v>
      </c>
      <c r="AM602" s="20" t="n">
        <f aca="false">0</f>
        <v>0</v>
      </c>
      <c r="AN602" s="20" t="n">
        <f aca="false">0</f>
        <v>0</v>
      </c>
      <c r="AO602" s="20" t="n">
        <f aca="false">0</f>
        <v>0</v>
      </c>
      <c r="AP602" s="20" t="n">
        <f aca="false">0</f>
        <v>0</v>
      </c>
      <c r="AQ602" s="20" t="n">
        <f aca="false">0</f>
        <v>0</v>
      </c>
      <c r="AR602" s="20" t="n">
        <f aca="false">0</f>
        <v>0</v>
      </c>
      <c r="AS602" s="20" t="n">
        <f aca="false">0</f>
        <v>0</v>
      </c>
      <c r="AT602" s="20" t="n">
        <f aca="false">0</f>
        <v>0</v>
      </c>
      <c r="AU602" s="20" t="n">
        <f aca="false">0</f>
        <v>0</v>
      </c>
    </row>
    <row r="603" customFormat="false" ht="15" hidden="false" customHeight="false" outlineLevel="0" collapsed="false">
      <c r="D603" s="0" t="s">
        <v>603</v>
      </c>
      <c r="E603" s="0" t="s">
        <v>47</v>
      </c>
      <c r="J603" s="20" t="n">
        <f aca="false">Operations!J599*Inputs!$F$208/1000</f>
        <v>7.42644</v>
      </c>
      <c r="K603" s="20" t="n">
        <f aca="false">Operations!K599*Inputs!$F$208/1000</f>
        <v>7.42644</v>
      </c>
      <c r="L603" s="20" t="n">
        <f aca="false">Operations!L599*Inputs!$F$208/1000</f>
        <v>7.42644</v>
      </c>
      <c r="M603" s="20" t="n">
        <f aca="false">Operations!M599*Inputs!$F$208/1000</f>
        <v>7.42644</v>
      </c>
      <c r="N603" s="20" t="n">
        <f aca="false">Operations!N599*Inputs!$F$208/1000</f>
        <v>7.42644</v>
      </c>
      <c r="O603" s="20" t="n">
        <f aca="false">Operations!O599*Inputs!$F$208/1000</f>
        <v>0</v>
      </c>
      <c r="P603" s="20" t="n">
        <f aca="false">Operations!P599*Inputs!$F$208/1000</f>
        <v>0</v>
      </c>
      <c r="Q603" s="20" t="n">
        <f aca="false">Operations!Q599*Inputs!$F$208/1000</f>
        <v>0</v>
      </c>
      <c r="R603" s="20" t="n">
        <f aca="false">Operations!R599*Inputs!$F$208/1000</f>
        <v>0</v>
      </c>
      <c r="S603" s="20" t="n">
        <f aca="false">Operations!S599*Inputs!$F$208/1000</f>
        <v>0</v>
      </c>
      <c r="T603" s="20" t="n">
        <f aca="false">Operations!T599*Inputs!$F$208/1000</f>
        <v>0</v>
      </c>
      <c r="U603" s="20" t="n">
        <f aca="false">Operations!U599*Inputs!$F$208/1000</f>
        <v>0</v>
      </c>
      <c r="V603" s="20" t="n">
        <f aca="false">Operations!V599*Inputs!$F$208/1000</f>
        <v>0</v>
      </c>
      <c r="W603" s="20" t="n">
        <f aca="false">Operations!W599*Inputs!$F$208/1000</f>
        <v>0</v>
      </c>
      <c r="X603" s="20" t="n">
        <f aca="false">Operations!X599*Inputs!$F$208/1000</f>
        <v>0</v>
      </c>
      <c r="Y603" s="20" t="n">
        <f aca="false">Operations!Y599*Inputs!$F$208/1000</f>
        <v>0</v>
      </c>
      <c r="Z603" s="20" t="n">
        <f aca="false">Operations!Z599*Inputs!$F$208/1000</f>
        <v>0</v>
      </c>
      <c r="AA603" s="20" t="n">
        <f aca="false">Operations!AA599*Inputs!$F$208/1000</f>
        <v>0</v>
      </c>
      <c r="AB603" s="20" t="n">
        <f aca="false">Operations!AB599*Inputs!$F$208/1000</f>
        <v>0</v>
      </c>
      <c r="AC603" s="20" t="n">
        <f aca="false">Operations!AC599*Inputs!$F$208/1000</f>
        <v>0</v>
      </c>
      <c r="AD603" s="20" t="n">
        <f aca="false">Operations!AD599*Inputs!$F$208/1000</f>
        <v>0</v>
      </c>
      <c r="AE603" s="20" t="n">
        <f aca="false">Operations!AE599*Inputs!$F$208/1000</f>
        <v>0</v>
      </c>
      <c r="AF603" s="20" t="n">
        <f aca="false">Operations!AF599*Inputs!$F$208/1000</f>
        <v>0</v>
      </c>
      <c r="AG603" s="20" t="n">
        <f aca="false">Operations!AG599*Inputs!$F$208/1000</f>
        <v>0</v>
      </c>
      <c r="AH603" s="20" t="n">
        <f aca="false">Operations!AH599*Inputs!$F$208/1000</f>
        <v>0</v>
      </c>
      <c r="AI603" s="20" t="n">
        <f aca="false">Operations!AI599*Inputs!$F$208/1000</f>
        <v>0</v>
      </c>
      <c r="AJ603" s="20" t="n">
        <f aca="false">Operations!AJ599*Inputs!$F$208/1000</f>
        <v>0</v>
      </c>
      <c r="AK603" s="20" t="n">
        <f aca="false">Operations!AK599*Inputs!$F$208/1000</f>
        <v>0</v>
      </c>
      <c r="AL603" s="20" t="n">
        <f aca="false">Operations!AL599*Inputs!$F$208/1000</f>
        <v>0</v>
      </c>
      <c r="AM603" s="20" t="n">
        <f aca="false">Operations!AM599*Inputs!$F$208/1000</f>
        <v>0</v>
      </c>
      <c r="AN603" s="20" t="n">
        <f aca="false">Operations!AN599*Inputs!$F$208/1000</f>
        <v>0</v>
      </c>
      <c r="AO603" s="20" t="n">
        <f aca="false">Operations!AO599*Inputs!$F$208/1000</f>
        <v>0</v>
      </c>
      <c r="AP603" s="20" t="n">
        <f aca="false">Operations!AP599*Inputs!$F$208/1000</f>
        <v>0</v>
      </c>
      <c r="AQ603" s="20" t="n">
        <f aca="false">Operations!AQ599*Inputs!$F$208/1000</f>
        <v>0</v>
      </c>
      <c r="AR603" s="20" t="n">
        <f aca="false">Operations!AR599*Inputs!$F$208/1000</f>
        <v>0</v>
      </c>
      <c r="AS603" s="20" t="n">
        <f aca="false">Operations!AS599*Inputs!$F$208/1000</f>
        <v>0</v>
      </c>
      <c r="AT603" s="20" t="n">
        <f aca="false">Operations!AT599*Inputs!$F$208/1000</f>
        <v>0</v>
      </c>
      <c r="AU603" s="20" t="n">
        <f aca="false">Operations!AU599*Inputs!$F$208/1000</f>
        <v>0</v>
      </c>
    </row>
    <row r="604" customFormat="false" ht="15" hidden="false" customHeight="false" outlineLevel="0" collapsed="false">
      <c r="D604" s="0" t="s">
        <v>604</v>
      </c>
      <c r="E604" s="0" t="s">
        <v>47</v>
      </c>
      <c r="G604" s="20" t="n">
        <f aca="false">SUM(J604:AU604)</f>
        <v>265.179196719514</v>
      </c>
      <c r="J604" s="20" t="n">
        <f aca="false">Operations!J601*Operations!J597/1000</f>
        <v>13.762287983136</v>
      </c>
      <c r="K604" s="20" t="n">
        <f aca="false">Operations!K601*Operations!K597/1000</f>
        <v>10.9126434828668</v>
      </c>
      <c r="L604" s="20" t="n">
        <f aca="false">Operations!L601*Operations!L597/1000</f>
        <v>5.18436411397828</v>
      </c>
      <c r="M604" s="20" t="n">
        <f aca="false">Operations!M601*Operations!M597/1000</f>
        <v>6.61717392268857</v>
      </c>
      <c r="N604" s="20" t="n">
        <f aca="false">Operations!N601*Operations!N597/1000</f>
        <v>7.19012000291131</v>
      </c>
      <c r="O604" s="20" t="n">
        <f aca="false">Operations!O601*Operations!O597/1000</f>
        <v>7.38865318802428</v>
      </c>
      <c r="P604" s="20" t="n">
        <f aca="false">Operations!P601*Operations!P597/1000</f>
        <v>7.42612724125141</v>
      </c>
      <c r="Q604" s="20" t="n">
        <f aca="false">Operations!Q601*Operations!Q597/1000</f>
        <v>7.37468435895473</v>
      </c>
      <c r="R604" s="20" t="n">
        <f aca="false">Operations!R601*Operations!R597/1000</f>
        <v>7.32672070631339</v>
      </c>
      <c r="S604" s="20" t="n">
        <f aca="false">Operations!S601*Operations!S597/1000</f>
        <v>7.21809351140535</v>
      </c>
      <c r="T604" s="20" t="n">
        <f aca="false">Operations!T601*Operations!T597/1000</f>
        <v>7.10422843302396</v>
      </c>
      <c r="U604" s="20" t="n">
        <f aca="false">Operations!U601*Operations!U597/1000</f>
        <v>6.98495218881339</v>
      </c>
      <c r="V604" s="20" t="n">
        <f aca="false">Operations!V601*Operations!V597/1000</f>
        <v>6.86009528849324</v>
      </c>
      <c r="W604" s="20" t="n">
        <f aca="false">Operations!W601*Operations!W597/1000</f>
        <v>6.72949198860878</v>
      </c>
      <c r="X604" s="20" t="n">
        <f aca="false">Operations!X601*Operations!X597/1000</f>
        <v>6.83272498398019</v>
      </c>
      <c r="Y604" s="20" t="n">
        <f aca="false">Operations!Y601*Operations!Y597/1000</f>
        <v>6.93839037040755</v>
      </c>
      <c r="Z604" s="20" t="n">
        <f aca="false">Operations!Z601*Operations!Z597/1000</f>
        <v>7.04528775254682</v>
      </c>
      <c r="AA604" s="20" t="n">
        <f aca="false">Operations!AA601*Operations!AA597/1000</f>
        <v>7.15339345665161</v>
      </c>
      <c r="AB604" s="20" t="n">
        <f aca="false">Operations!AB601*Operations!AB597/1000</f>
        <v>7.26383429497666</v>
      </c>
      <c r="AC604" s="20" t="n">
        <f aca="false">Operations!AC601*Operations!AC597/1000</f>
        <v>7.37542645903752</v>
      </c>
      <c r="AD604" s="20" t="n">
        <f aca="false">Operations!AD601*Operations!AD597/1000</f>
        <v>7.48928696671558</v>
      </c>
      <c r="AE604" s="20" t="n">
        <f aca="false">Operations!AE601*Operations!AE597/1000</f>
        <v>7.60424296196702</v>
      </c>
      <c r="AF604" s="20" t="n">
        <f aca="false">Operations!AF601*Operations!AF597/1000</f>
        <v>7.72140175229695</v>
      </c>
      <c r="AG604" s="20" t="n">
        <f aca="false">Operations!AG601*Operations!AG597/1000</f>
        <v>7.84072593393384</v>
      </c>
      <c r="AH604" s="20" t="n">
        <f aca="false">Operations!AH601*Operations!AH597/1000</f>
        <v>7.96105892235809</v>
      </c>
      <c r="AI604" s="20" t="n">
        <f aca="false">Operations!AI601*Operations!AI597/1000</f>
        <v>8.08349364958879</v>
      </c>
      <c r="AJ604" s="20" t="n">
        <f aca="false">Operations!AJ601*Operations!AJ597/1000</f>
        <v>8.20799371743684</v>
      </c>
      <c r="AK604" s="20" t="n">
        <f aca="false">Operations!AK601*Operations!AK597/1000</f>
        <v>8.33452308044274</v>
      </c>
      <c r="AL604" s="20" t="n">
        <f aca="false">Operations!AL601*Operations!AL597/1000</f>
        <v>8.46304604313438</v>
      </c>
      <c r="AM604" s="20" t="n">
        <f aca="false">Operations!AM601*Operations!AM597/1000</f>
        <v>8.59352725730376</v>
      </c>
      <c r="AN604" s="20" t="n">
        <f aca="false">Operations!AN601*Operations!AN597/1000</f>
        <v>8.72593171930255</v>
      </c>
      <c r="AO604" s="20" t="n">
        <f aca="false">Operations!AO601*Operations!AO597/1000</f>
        <v>8.86022476735622</v>
      </c>
      <c r="AP604" s="20" t="n">
        <f aca="false">Operations!AP601*Operations!AP597/1000</f>
        <v>8.99637207889677</v>
      </c>
      <c r="AQ604" s="20" t="n">
        <f aca="false">Operations!AQ601*Operations!AQ597/1000</f>
        <v>7.60867414071092</v>
      </c>
      <c r="AR604" s="20" t="n">
        <f aca="false">Operations!AR601*Operations!AR597/1000</f>
        <v>0</v>
      </c>
      <c r="AS604" s="20" t="n">
        <f aca="false">Operations!AS601*Operations!AS597/1000</f>
        <v>0</v>
      </c>
      <c r="AT604" s="20" t="n">
        <f aca="false">Operations!AT601*Operations!AT597/1000</f>
        <v>0</v>
      </c>
      <c r="AU604" s="20" t="n">
        <f aca="false">Operations!AU601*Operations!AU597/1000</f>
        <v>0</v>
      </c>
    </row>
    <row r="605" customFormat="false" ht="15" hidden="false" customHeight="false" outlineLevel="0" collapsed="false">
      <c r="D605" s="0" t="s">
        <v>605</v>
      </c>
      <c r="E605" s="0" t="s">
        <v>47</v>
      </c>
      <c r="G605" s="20" t="n">
        <f aca="false">SUM(J605:AU605)</f>
        <v>268.588617730714</v>
      </c>
      <c r="J605" s="20" t="n">
        <f aca="false">Operations!J604+Operations!J600</f>
        <v>10.730581435936</v>
      </c>
      <c r="K605" s="20" t="n">
        <f aca="false">Operations!K604+Operations!K600</f>
        <v>9.95900371326684</v>
      </c>
      <c r="L605" s="20" t="n">
        <f aca="false">Operations!L604+Operations!L600</f>
        <v>8.58736167557828</v>
      </c>
      <c r="M605" s="20" t="n">
        <f aca="false">Operations!M604+Operations!M600</f>
        <v>8.85333731468857</v>
      </c>
      <c r="N605" s="20" t="n">
        <f aca="false">Operations!N604+Operations!N600</f>
        <v>8.94572637731131</v>
      </c>
      <c r="O605" s="20" t="n">
        <f aca="false">Operations!O604+Operations!O600</f>
        <v>7.38865318802428</v>
      </c>
      <c r="P605" s="20" t="n">
        <f aca="false">Operations!P604+Operations!P600</f>
        <v>7.42612724125141</v>
      </c>
      <c r="Q605" s="20" t="n">
        <f aca="false">Operations!Q604+Operations!Q600</f>
        <v>7.37468435895473</v>
      </c>
      <c r="R605" s="20" t="n">
        <f aca="false">Operations!R604+Operations!R600</f>
        <v>7.32672070631339</v>
      </c>
      <c r="S605" s="20" t="n">
        <f aca="false">Operations!S604+Operations!S600</f>
        <v>7.21809351140535</v>
      </c>
      <c r="T605" s="20" t="n">
        <f aca="false">Operations!T604+Operations!T600</f>
        <v>7.10422843302396</v>
      </c>
      <c r="U605" s="20" t="n">
        <f aca="false">Operations!U604+Operations!U600</f>
        <v>6.98495218881339</v>
      </c>
      <c r="V605" s="20" t="n">
        <f aca="false">Operations!V604+Operations!V600</f>
        <v>6.86009528849324</v>
      </c>
      <c r="W605" s="20" t="n">
        <f aca="false">Operations!W604+Operations!W600</f>
        <v>6.72949198860878</v>
      </c>
      <c r="X605" s="20" t="n">
        <f aca="false">Operations!X604+Operations!X600</f>
        <v>6.83272498398019</v>
      </c>
      <c r="Y605" s="20" t="n">
        <f aca="false">Operations!Y604+Operations!Y600</f>
        <v>6.93839037040755</v>
      </c>
      <c r="Z605" s="20" t="n">
        <f aca="false">Operations!Z604+Operations!Z600</f>
        <v>7.04528775254682</v>
      </c>
      <c r="AA605" s="20" t="n">
        <f aca="false">Operations!AA604+Operations!AA600</f>
        <v>7.15339345665161</v>
      </c>
      <c r="AB605" s="20" t="n">
        <f aca="false">Operations!AB604+Operations!AB600</f>
        <v>7.26383429497666</v>
      </c>
      <c r="AC605" s="20" t="n">
        <f aca="false">Operations!AC604+Operations!AC600</f>
        <v>7.37542645903752</v>
      </c>
      <c r="AD605" s="20" t="n">
        <f aca="false">Operations!AD604+Operations!AD600</f>
        <v>7.48928696671558</v>
      </c>
      <c r="AE605" s="20" t="n">
        <f aca="false">Operations!AE604+Operations!AE600</f>
        <v>7.60424296196702</v>
      </c>
      <c r="AF605" s="20" t="n">
        <f aca="false">Operations!AF604+Operations!AF600</f>
        <v>7.72140175229695</v>
      </c>
      <c r="AG605" s="20" t="n">
        <f aca="false">Operations!AG604+Operations!AG600</f>
        <v>7.84072593393384</v>
      </c>
      <c r="AH605" s="20" t="n">
        <f aca="false">Operations!AH604+Operations!AH600</f>
        <v>7.96105892235809</v>
      </c>
      <c r="AI605" s="20" t="n">
        <f aca="false">Operations!AI604+Operations!AI600</f>
        <v>8.08349364958879</v>
      </c>
      <c r="AJ605" s="20" t="n">
        <f aca="false">Operations!AJ604+Operations!AJ600</f>
        <v>8.20799371743684</v>
      </c>
      <c r="AK605" s="20" t="n">
        <f aca="false">Operations!AK604+Operations!AK600</f>
        <v>8.33452308044274</v>
      </c>
      <c r="AL605" s="20" t="n">
        <f aca="false">Operations!AL604+Operations!AL600</f>
        <v>8.46304604313438</v>
      </c>
      <c r="AM605" s="20" t="n">
        <f aca="false">Operations!AM604+Operations!AM600</f>
        <v>8.59352725730376</v>
      </c>
      <c r="AN605" s="20" t="n">
        <f aca="false">Operations!AN604+Operations!AN600</f>
        <v>8.72593171930255</v>
      </c>
      <c r="AO605" s="20" t="n">
        <f aca="false">Operations!AO604+Operations!AO600</f>
        <v>8.86022476735622</v>
      </c>
      <c r="AP605" s="20" t="n">
        <f aca="false">Operations!AP604+Operations!AP600</f>
        <v>8.99637207889677</v>
      </c>
      <c r="AQ605" s="20" t="n">
        <f aca="false">Operations!AQ604+Operations!AQ600</f>
        <v>7.60867414071092</v>
      </c>
      <c r="AR605" s="20" t="n">
        <f aca="false">Operations!AR604+Operations!AR600</f>
        <v>0</v>
      </c>
      <c r="AS605" s="20" t="n">
        <f aca="false">Operations!AS604+Operations!AS600</f>
        <v>0</v>
      </c>
      <c r="AT605" s="20" t="n">
        <f aca="false">Operations!AT604+Operations!AT600</f>
        <v>0</v>
      </c>
      <c r="AU605" s="20" t="n">
        <f aca="false">Operations!AU604+Operations!AU600</f>
        <v>0</v>
      </c>
    </row>
    <row r="606" customFormat="false" ht="15" hidden="false" customHeight="false" outlineLevel="0" collapsed="false">
      <c r="D606" s="0" t="s">
        <v>606</v>
      </c>
      <c r="E606" s="0" t="s">
        <v>47</v>
      </c>
      <c r="J606" s="20" t="n">
        <f aca="false">Operations!J605-Operations!J602-Operations!J603</f>
        <v>3.304141435936</v>
      </c>
      <c r="K606" s="20" t="n">
        <f aca="false">Operations!K605-Operations!K602-Operations!K603</f>
        <v>2.53256371326684</v>
      </c>
      <c r="L606" s="20" t="n">
        <f aca="false">Operations!L605-Operations!L602-Operations!L603</f>
        <v>1.16092167557828</v>
      </c>
      <c r="M606" s="20" t="n">
        <f aca="false">Operations!M605-Operations!M602-Operations!M603</f>
        <v>1.42689731468857</v>
      </c>
      <c r="N606" s="20" t="n">
        <f aca="false">Operations!N605-Operations!N602-Operations!N603</f>
        <v>1.51928637731131</v>
      </c>
      <c r="O606" s="20" t="n">
        <f aca="false">Operations!O605-Operations!O602-Operations!O603</f>
        <v>7.38865318802428</v>
      </c>
      <c r="P606" s="20" t="n">
        <f aca="false">Operations!P605-Operations!P602-Operations!P603</f>
        <v>7.42612724125141</v>
      </c>
      <c r="Q606" s="20" t="n">
        <f aca="false">Operations!Q605-Operations!Q602-Operations!Q603</f>
        <v>7.37468435895473</v>
      </c>
      <c r="R606" s="20" t="n">
        <f aca="false">Operations!R605-Operations!R602-Operations!R603</f>
        <v>7.32672070631339</v>
      </c>
      <c r="S606" s="20" t="n">
        <f aca="false">Operations!S605-Operations!S602-Operations!S603</f>
        <v>7.21809351140535</v>
      </c>
      <c r="T606" s="20" t="n">
        <f aca="false">Operations!T605-Operations!T602-Operations!T603</f>
        <v>7.10422843302396</v>
      </c>
      <c r="U606" s="20" t="n">
        <f aca="false">Operations!U605-Operations!U602-Operations!U603</f>
        <v>6.98495218881339</v>
      </c>
      <c r="V606" s="20" t="n">
        <f aca="false">Operations!V605-Operations!V602-Operations!V603</f>
        <v>6.86009528849324</v>
      </c>
      <c r="W606" s="20" t="n">
        <f aca="false">Operations!W605-Operations!W602-Operations!W603</f>
        <v>6.72949198860878</v>
      </c>
      <c r="X606" s="20" t="n">
        <f aca="false">Operations!X605-Operations!X602-Operations!X603</f>
        <v>6.83272498398019</v>
      </c>
      <c r="Y606" s="20" t="n">
        <f aca="false">Operations!Y605-Operations!Y602-Operations!Y603</f>
        <v>6.93839037040755</v>
      </c>
      <c r="Z606" s="20" t="n">
        <f aca="false">Operations!Z605-Operations!Z602-Operations!Z603</f>
        <v>7.04528775254682</v>
      </c>
      <c r="AA606" s="20" t="n">
        <f aca="false">Operations!AA605-Operations!AA602-Operations!AA603</f>
        <v>7.15339345665161</v>
      </c>
      <c r="AB606" s="20" t="n">
        <f aca="false">Operations!AB605-Operations!AB602-Operations!AB603</f>
        <v>7.26383429497666</v>
      </c>
      <c r="AC606" s="20" t="n">
        <f aca="false">Operations!AC605-Operations!AC602-Operations!AC603</f>
        <v>7.37542645903752</v>
      </c>
      <c r="AD606" s="20" t="n">
        <f aca="false">Operations!AD605-Operations!AD602-Operations!AD603</f>
        <v>7.48928696671558</v>
      </c>
      <c r="AE606" s="20" t="n">
        <f aca="false">Operations!AE605-Operations!AE602-Operations!AE603</f>
        <v>7.60424296196702</v>
      </c>
      <c r="AF606" s="20" t="n">
        <f aca="false">Operations!AF605-Operations!AF602-Operations!AF603</f>
        <v>7.72140175229695</v>
      </c>
      <c r="AG606" s="20" t="n">
        <f aca="false">Operations!AG605-Operations!AG602-Operations!AG603</f>
        <v>7.84072593393384</v>
      </c>
      <c r="AH606" s="20" t="n">
        <f aca="false">Operations!AH605-Operations!AH602-Operations!AH603</f>
        <v>7.96105892235809</v>
      </c>
      <c r="AI606" s="20" t="n">
        <f aca="false">Operations!AI605-Operations!AI602-Operations!AI603</f>
        <v>8.08349364958879</v>
      </c>
      <c r="AJ606" s="20" t="n">
        <f aca="false">Operations!AJ605-Operations!AJ602-Operations!AJ603</f>
        <v>8.20799371743684</v>
      </c>
      <c r="AK606" s="20" t="n">
        <f aca="false">Operations!AK605-Operations!AK602-Operations!AK603</f>
        <v>8.33452308044274</v>
      </c>
      <c r="AL606" s="20" t="n">
        <f aca="false">Operations!AL605-Operations!AL602-Operations!AL603</f>
        <v>8.46304604313438</v>
      </c>
      <c r="AM606" s="20" t="n">
        <f aca="false">Operations!AM605-Operations!AM602-Operations!AM603</f>
        <v>8.59352725730376</v>
      </c>
      <c r="AN606" s="20" t="n">
        <f aca="false">Operations!AN605-Operations!AN602-Operations!AN603</f>
        <v>8.72593171930255</v>
      </c>
      <c r="AO606" s="20" t="n">
        <f aca="false">Operations!AO605-Operations!AO602-Operations!AO603</f>
        <v>8.86022476735622</v>
      </c>
      <c r="AP606" s="20" t="n">
        <f aca="false">Operations!AP605-Operations!AP602-Operations!AP603</f>
        <v>8.99637207889677</v>
      </c>
      <c r="AQ606" s="20" t="n">
        <f aca="false">Operations!AQ605-Operations!AQ602-Operations!AQ603</f>
        <v>7.60867414071092</v>
      </c>
      <c r="AR606" s="20" t="n">
        <f aca="false">Operations!AR605-Operations!AR602-Operations!AR603</f>
        <v>0</v>
      </c>
      <c r="AS606" s="20" t="n">
        <f aca="false">Operations!AS605-Operations!AS602-Operations!AS603</f>
        <v>0</v>
      </c>
      <c r="AT606" s="20" t="n">
        <f aca="false">Operations!AT605-Operations!AT602-Operations!AT603</f>
        <v>0</v>
      </c>
      <c r="AU606" s="20" t="n">
        <f aca="false">Operations!AU605-Operations!AU602-Operations!AU603</f>
        <v>0</v>
      </c>
    </row>
    <row r="607" customFormat="false" ht="15" hidden="false" customHeight="false" outlineLevel="0" collapsed="false">
      <c r="D607" s="0" t="s">
        <v>607</v>
      </c>
      <c r="E607" s="0" t="s">
        <v>47</v>
      </c>
      <c r="J607" s="20" t="n">
        <f aca="false">Inputs!$F$125*Inputs!$F$121/1000*Time!J$9*Time!J$10*Operations!J586*Operations!$F$445</f>
        <v>1.81608</v>
      </c>
      <c r="K607" s="20" t="n">
        <f aca="false">Inputs!$F$125*Inputs!$F$121/1000*Time!K$9*Time!K$10*Operations!K586*Operations!$F$445</f>
        <v>1.922910906</v>
      </c>
      <c r="L607" s="20" t="n">
        <f aca="false">Inputs!$F$125*Inputs!$F$121/1000*Time!L$9*Time!L$10*Operations!L586*Operations!$F$445</f>
        <v>1.97098367865</v>
      </c>
      <c r="M607" s="20" t="n">
        <f aca="false">Inputs!$F$125*Inputs!$F$121/1000*Time!M$9*Time!M$10*Operations!M586*Operations!$F$445</f>
        <v>2.02025827061625</v>
      </c>
      <c r="N607" s="20" t="n">
        <f aca="false">Inputs!$F$125*Inputs!$F$121/1000*Time!N$9*Time!N$10*Operations!N586*Operations!$F$445</f>
        <v>2.07076472738166</v>
      </c>
      <c r="O607" s="20" t="n">
        <f aca="false">Inputs!$F$125*Inputs!$F$121/1000*Time!O$9*Time!O$10*Operations!O586*Operations!$F$445</f>
        <v>2.1225338455662</v>
      </c>
      <c r="P607" s="20" t="n">
        <f aca="false">Inputs!$F$125*Inputs!$F$121/1000*Time!P$9*Time!P$10*Operations!P586*Operations!$F$445</f>
        <v>2.17559719170535</v>
      </c>
      <c r="Q607" s="20" t="n">
        <f aca="false">Inputs!$F$125*Inputs!$F$121/1000*Time!Q$9*Time!Q$10*Operations!Q586*Operations!$F$445</f>
        <v>2.22998712149799</v>
      </c>
      <c r="R607" s="20" t="n">
        <f aca="false">Inputs!$F$125*Inputs!$F$121/1000*Time!R$9*Time!R$10*Operations!R586*Operations!$F$445</f>
        <v>2.28573679953543</v>
      </c>
      <c r="S607" s="20" t="n">
        <f aca="false">Inputs!$F$125*Inputs!$F$121/1000*Time!S$9*Time!S$10*Operations!S586*Operations!$F$445</f>
        <v>2.34288021952382</v>
      </c>
      <c r="T607" s="20" t="n">
        <f aca="false">Inputs!$F$125*Inputs!$F$121/1000*Time!T$9*Time!T$10*Operations!T586*Operations!$F$445</f>
        <v>2.40145222501192</v>
      </c>
      <c r="U607" s="20" t="n">
        <f aca="false">Inputs!$F$125*Inputs!$F$121/1000*Time!U$9*Time!U$10*Operations!U586*Operations!$F$445</f>
        <v>2.46148853063721</v>
      </c>
      <c r="V607" s="20" t="n">
        <f aca="false">Inputs!$F$125*Inputs!$F$121/1000*Time!V$9*Time!V$10*Operations!V586*Operations!$F$445</f>
        <v>2.52302574390314</v>
      </c>
      <c r="W607" s="20" t="n">
        <f aca="false">Inputs!$F$125*Inputs!$F$121/1000*Time!W$9*Time!W$10*Operations!W586*Operations!$F$445</f>
        <v>2.58610138750072</v>
      </c>
      <c r="X607" s="20" t="n">
        <f aca="false">Inputs!$F$125*Inputs!$F$121/1000*Time!X$9*Time!X$10*Operations!X586*Operations!$F$445</f>
        <v>2.65075392218824</v>
      </c>
      <c r="Y607" s="20" t="n">
        <f aca="false">Inputs!$F$125*Inputs!$F$121/1000*Time!Y$9*Time!Y$10*Operations!Y586*Operations!$F$445</f>
        <v>2.71702277024294</v>
      </c>
      <c r="Z607" s="20" t="n">
        <f aca="false">Inputs!$F$125*Inputs!$F$121/1000*Time!Z$9*Time!Z$10*Operations!Z586*Operations!$F$445</f>
        <v>2.78494833949902</v>
      </c>
      <c r="AA607" s="20" t="n">
        <f aca="false">Inputs!$F$125*Inputs!$F$121/1000*Time!AA$9*Time!AA$10*Operations!AA586*Operations!$F$445</f>
        <v>2.85457204798649</v>
      </c>
      <c r="AB607" s="20" t="n">
        <f aca="false">Inputs!$F$125*Inputs!$F$121/1000*Time!AB$9*Time!AB$10*Operations!AB586*Operations!$F$445</f>
        <v>2.92593634918616</v>
      </c>
      <c r="AC607" s="20" t="n">
        <f aca="false">Inputs!$F$125*Inputs!$F$121/1000*Time!AC$9*Time!AC$10*Operations!AC586*Operations!$F$445</f>
        <v>2.99908475791581</v>
      </c>
      <c r="AD607" s="20" t="n">
        <f aca="false">Inputs!$F$125*Inputs!$F$121/1000*Time!AD$9*Time!AD$10*Operations!AD586*Operations!$F$445</f>
        <v>3.0740618768637</v>
      </c>
      <c r="AE607" s="20" t="n">
        <f aca="false">Inputs!$F$125*Inputs!$F$121/1000*Time!AE$9*Time!AE$10*Operations!AE586*Operations!$F$445</f>
        <v>3.1509134237853</v>
      </c>
      <c r="AF607" s="20" t="n">
        <f aca="false">Inputs!$F$125*Inputs!$F$121/1000*Time!AF$9*Time!AF$10*Operations!AF586*Operations!$F$445</f>
        <v>3.22968625937993</v>
      </c>
      <c r="AG607" s="20" t="n">
        <f aca="false">Inputs!$F$125*Inputs!$F$121/1000*Time!AG$9*Time!AG$10*Operations!AG586*Operations!$F$445</f>
        <v>3.31042841586443</v>
      </c>
      <c r="AH607" s="20" t="n">
        <f aca="false">Inputs!$F$125*Inputs!$F$121/1000*Time!AH$9*Time!AH$10*Operations!AH586*Operations!$F$445</f>
        <v>3.39318912626104</v>
      </c>
      <c r="AI607" s="20" t="n">
        <f aca="false">Inputs!$F$125*Inputs!$F$121/1000*Time!AI$9*Time!AI$10*Operations!AI586*Operations!$F$445</f>
        <v>3.47801885441756</v>
      </c>
      <c r="AJ607" s="20" t="n">
        <f aca="false">Inputs!$F$125*Inputs!$F$121/1000*Time!AJ$9*Time!AJ$10*Operations!AJ586*Operations!$F$445</f>
        <v>3.564969325778</v>
      </c>
      <c r="AK607" s="20" t="n">
        <f aca="false">Inputs!$F$125*Inputs!$F$121/1000*Time!AK$9*Time!AK$10*Operations!AK586*Operations!$F$445</f>
        <v>3.65409355892245</v>
      </c>
      <c r="AL607" s="20" t="n">
        <f aca="false">Inputs!$F$125*Inputs!$F$121/1000*Time!AL$9*Time!AL$10*Operations!AL586*Operations!$F$445</f>
        <v>3.74544589789551</v>
      </c>
      <c r="AM607" s="20" t="n">
        <f aca="false">Inputs!$F$125*Inputs!$F$121/1000*Time!AM$9*Time!AM$10*Operations!AM586*Operations!$F$445</f>
        <v>3.8390820453429</v>
      </c>
      <c r="AN607" s="20" t="n">
        <f aca="false">Inputs!$F$125*Inputs!$F$121/1000*Time!AN$9*Time!AN$10*Operations!AN586*Operations!$F$445</f>
        <v>3.93505909647647</v>
      </c>
      <c r="AO607" s="20" t="n">
        <f aca="false">Inputs!$F$125*Inputs!$F$121/1000*Time!AO$9*Time!AO$10*Operations!AO586*Operations!$F$445</f>
        <v>4.03343557388838</v>
      </c>
      <c r="AP607" s="20" t="n">
        <f aca="false">Inputs!$F$125*Inputs!$F$121/1000*Time!AP$9*Time!AP$10*Operations!AP586*Operations!$F$445</f>
        <v>4.13427146323559</v>
      </c>
      <c r="AQ607" s="20" t="n">
        <f aca="false">Inputs!$F$125*Inputs!$F$121/1000*Time!AQ$9*Time!AQ$10*Operations!AQ586*Operations!$F$445</f>
        <v>3.52942188477866</v>
      </c>
      <c r="AR607" s="20" t="n">
        <f aca="false">Inputs!$F$125*Inputs!$F$121/1000*Time!AR$9*Time!AR$10*Operations!AR586*Operations!$F$445</f>
        <v>0</v>
      </c>
      <c r="AS607" s="20" t="n">
        <f aca="false">Inputs!$F$125*Inputs!$F$121/1000*Time!AS$9*Time!AS$10*Operations!AS586*Operations!$F$445</f>
        <v>0</v>
      </c>
      <c r="AT607" s="20" t="n">
        <f aca="false">Inputs!$F$125*Inputs!$F$121/1000*Time!AT$9*Time!AT$10*Operations!AT586*Operations!$F$445</f>
        <v>0</v>
      </c>
      <c r="AU607" s="20" t="n">
        <f aca="false">Inputs!$F$125*Inputs!$F$121/1000*Time!AU$9*Time!AU$10*Operations!AU586*Operations!$F$445</f>
        <v>0</v>
      </c>
    </row>
    <row r="608" customFormat="false" ht="15" hidden="false" customHeight="false" outlineLevel="0" collapsed="false">
      <c r="D608" s="0" t="s">
        <v>608</v>
      </c>
      <c r="E608" s="0" t="s">
        <v>47</v>
      </c>
      <c r="J608" s="20" t="n">
        <f aca="false">0</f>
        <v>0</v>
      </c>
      <c r="K608" s="20" t="n">
        <f aca="false">0</f>
        <v>0</v>
      </c>
      <c r="L608" s="20" t="n">
        <f aca="false">0</f>
        <v>0</v>
      </c>
      <c r="M608" s="20" t="n">
        <f aca="false">0</f>
        <v>0</v>
      </c>
      <c r="N608" s="20" t="n">
        <f aca="false">0</f>
        <v>0</v>
      </c>
      <c r="O608" s="20" t="n">
        <f aca="false">0</f>
        <v>0</v>
      </c>
      <c r="P608" s="20" t="n">
        <f aca="false">0</f>
        <v>0</v>
      </c>
      <c r="Q608" s="20" t="n">
        <f aca="false">0</f>
        <v>0</v>
      </c>
      <c r="R608" s="20" t="n">
        <f aca="false">0</f>
        <v>0</v>
      </c>
      <c r="S608" s="20" t="n">
        <f aca="false">0</f>
        <v>0</v>
      </c>
      <c r="T608" s="20" t="n">
        <f aca="false">0</f>
        <v>0</v>
      </c>
      <c r="U608" s="20" t="n">
        <f aca="false">0</f>
        <v>0</v>
      </c>
      <c r="V608" s="20" t="n">
        <f aca="false">0</f>
        <v>0</v>
      </c>
      <c r="W608" s="20" t="n">
        <f aca="false">0</f>
        <v>0</v>
      </c>
      <c r="X608" s="20" t="n">
        <f aca="false">0</f>
        <v>0</v>
      </c>
      <c r="Y608" s="20" t="n">
        <f aca="false">0</f>
        <v>0</v>
      </c>
      <c r="Z608" s="20" t="n">
        <f aca="false">0</f>
        <v>0</v>
      </c>
      <c r="AA608" s="20" t="n">
        <f aca="false">0</f>
        <v>0</v>
      </c>
      <c r="AB608" s="20" t="n">
        <f aca="false">0</f>
        <v>0</v>
      </c>
      <c r="AC608" s="20" t="n">
        <f aca="false">0</f>
        <v>0</v>
      </c>
      <c r="AD608" s="20" t="n">
        <f aca="false">0</f>
        <v>0</v>
      </c>
      <c r="AE608" s="20" t="n">
        <f aca="false">0</f>
        <v>0</v>
      </c>
      <c r="AF608" s="20" t="n">
        <f aca="false">0</f>
        <v>0</v>
      </c>
      <c r="AG608" s="20" t="n">
        <f aca="false">0</f>
        <v>0</v>
      </c>
      <c r="AH608" s="20" t="n">
        <f aca="false">0</f>
        <v>0</v>
      </c>
      <c r="AI608" s="20" t="n">
        <f aca="false">0</f>
        <v>0</v>
      </c>
      <c r="AJ608" s="20" t="n">
        <f aca="false">0</f>
        <v>0</v>
      </c>
      <c r="AK608" s="20" t="n">
        <f aca="false">0</f>
        <v>0</v>
      </c>
      <c r="AL608" s="20" t="n">
        <f aca="false">0</f>
        <v>0</v>
      </c>
      <c r="AM608" s="20" t="n">
        <f aca="false">0</f>
        <v>0</v>
      </c>
      <c r="AN608" s="20" t="n">
        <f aca="false">0</f>
        <v>0</v>
      </c>
      <c r="AO608" s="20" t="n">
        <f aca="false">0</f>
        <v>0</v>
      </c>
      <c r="AP608" s="20" t="n">
        <f aca="false">0</f>
        <v>0</v>
      </c>
      <c r="AQ608" s="20" t="n">
        <f aca="false">0</f>
        <v>0</v>
      </c>
      <c r="AR608" s="20" t="n">
        <f aca="false">0</f>
        <v>0</v>
      </c>
      <c r="AS608" s="20" t="n">
        <f aca="false">0</f>
        <v>0</v>
      </c>
      <c r="AT608" s="20" t="n">
        <f aca="false">0</f>
        <v>0</v>
      </c>
      <c r="AU608" s="20" t="n">
        <f aca="false">0</f>
        <v>0</v>
      </c>
    </row>
    <row r="609" customFormat="false" ht="15" hidden="false" customHeight="false" outlineLevel="0" collapsed="false">
      <c r="D609" s="0" t="s">
        <v>609</v>
      </c>
      <c r="E609" s="0" t="s">
        <v>47</v>
      </c>
      <c r="J609" s="20" t="n">
        <f aca="false">Inputs!$F$243/100*Inputs!$F$126*Inputs!$F$121/1000*Time!J$9*Operations!J586</f>
        <v>0.0225036</v>
      </c>
      <c r="K609" s="20" t="n">
        <f aca="false">Inputs!$F$243/100*Inputs!$F$126*Inputs!$F$121/1000*Time!K$9*Operations!K586</f>
        <v>0.02306619</v>
      </c>
      <c r="L609" s="20" t="n">
        <f aca="false">Inputs!$F$243/100*Inputs!$F$126*Inputs!$F$121/1000*Time!L$9*Operations!L586</f>
        <v>0.02364284475</v>
      </c>
      <c r="M609" s="20" t="n">
        <f aca="false">Inputs!$F$243/100*Inputs!$F$126*Inputs!$F$121/1000*Time!M$9*Operations!M586</f>
        <v>0.02423391586875</v>
      </c>
      <c r="N609" s="20" t="n">
        <f aca="false">Inputs!$F$243/100*Inputs!$F$126*Inputs!$F$121/1000*Time!N$9*Operations!N586</f>
        <v>0.0248397637654687</v>
      </c>
      <c r="O609" s="20" t="n">
        <f aca="false">Inputs!$F$243/100*Inputs!$F$126*Inputs!$F$121/1000*Time!O$9*Operations!O586</f>
        <v>0.0254607578596055</v>
      </c>
      <c r="P609" s="20" t="n">
        <f aca="false">Inputs!$F$243/100*Inputs!$F$126*Inputs!$F$121/1000*Time!P$9*Operations!P586</f>
        <v>0.0260972768060956</v>
      </c>
      <c r="Q609" s="20" t="n">
        <f aca="false">Inputs!$F$243/100*Inputs!$F$126*Inputs!$F$121/1000*Time!Q$9*Operations!Q586</f>
        <v>0.026749708726248</v>
      </c>
      <c r="R609" s="20" t="n">
        <f aca="false">Inputs!$F$243/100*Inputs!$F$126*Inputs!$F$121/1000*Time!R$9*Operations!R586</f>
        <v>0.0274184514444042</v>
      </c>
      <c r="S609" s="20" t="n">
        <f aca="false">Inputs!$F$243/100*Inputs!$F$126*Inputs!$F$121/1000*Time!S$9*Operations!S586</f>
        <v>0.0281039127305143</v>
      </c>
      <c r="T609" s="20" t="n">
        <f aca="false">Inputs!$F$243/100*Inputs!$F$126*Inputs!$F$121/1000*Time!T$9*Operations!T586</f>
        <v>0.0288065105487771</v>
      </c>
      <c r="U609" s="20" t="n">
        <f aca="false">Inputs!$F$243/100*Inputs!$F$126*Inputs!$F$121/1000*Time!U$9*Operations!U586</f>
        <v>0.0295266733124966</v>
      </c>
      <c r="V609" s="20" t="n">
        <f aca="false">Inputs!$F$243/100*Inputs!$F$126*Inputs!$F$121/1000*Time!V$9*Operations!V586</f>
        <v>0.030264840145309</v>
      </c>
      <c r="W609" s="20" t="n">
        <f aca="false">Inputs!$F$243/100*Inputs!$F$126*Inputs!$F$121/1000*Time!W$9*Operations!W586</f>
        <v>0.0310214611489417</v>
      </c>
      <c r="X609" s="20" t="n">
        <f aca="false">Inputs!$F$243/100*Inputs!$F$126*Inputs!$F$121/1000*Time!X$9*Operations!X586</f>
        <v>0.0317969976776652</v>
      </c>
      <c r="Y609" s="20" t="n">
        <f aca="false">Inputs!$F$243/100*Inputs!$F$126*Inputs!$F$121/1000*Time!Y$9*Operations!Y586</f>
        <v>0.0325919226196069</v>
      </c>
      <c r="Z609" s="20" t="n">
        <f aca="false">Inputs!$F$243/100*Inputs!$F$126*Inputs!$F$121/1000*Time!Z$9*Operations!Z586</f>
        <v>0.033406720685097</v>
      </c>
      <c r="AA609" s="20" t="n">
        <f aca="false">Inputs!$F$243/100*Inputs!$F$126*Inputs!$F$121/1000*Time!AA$9*Operations!AA586</f>
        <v>0.0342418887022245</v>
      </c>
      <c r="AB609" s="20" t="n">
        <f aca="false">Inputs!$F$243/100*Inputs!$F$126*Inputs!$F$121/1000*Time!AB$9*Operations!AB586</f>
        <v>0.0350979359197801</v>
      </c>
      <c r="AC609" s="20" t="n">
        <f aca="false">Inputs!$F$243/100*Inputs!$F$126*Inputs!$F$121/1000*Time!AC$9*Operations!AC586</f>
        <v>0.0359753843177746</v>
      </c>
      <c r="AD609" s="20" t="n">
        <f aca="false">Inputs!$F$243/100*Inputs!$F$126*Inputs!$F$121/1000*Time!AD$9*Operations!AD586</f>
        <v>0.0368747689257189</v>
      </c>
      <c r="AE609" s="20" t="n">
        <f aca="false">Inputs!$F$243/100*Inputs!$F$126*Inputs!$F$121/1000*Time!AE$9*Operations!AE586</f>
        <v>0.0377966381488619</v>
      </c>
      <c r="AF609" s="20" t="n">
        <f aca="false">Inputs!$F$243/100*Inputs!$F$126*Inputs!$F$121/1000*Time!AF$9*Operations!AF586</f>
        <v>0.0387415541025834</v>
      </c>
      <c r="AG609" s="20" t="n">
        <f aca="false">Inputs!$F$243/100*Inputs!$F$126*Inputs!$F$121/1000*Time!AG$9*Operations!AG586</f>
        <v>0.039710092955148</v>
      </c>
      <c r="AH609" s="20" t="n">
        <f aca="false">Inputs!$F$243/100*Inputs!$F$126*Inputs!$F$121/1000*Time!AH$9*Operations!AH586</f>
        <v>0.0407028452790267</v>
      </c>
      <c r="AI609" s="20" t="n">
        <f aca="false">Inputs!$F$243/100*Inputs!$F$126*Inputs!$F$121/1000*Time!AI$9*Operations!AI586</f>
        <v>0.0417204164110024</v>
      </c>
      <c r="AJ609" s="20" t="n">
        <f aca="false">Inputs!$F$243/100*Inputs!$F$126*Inputs!$F$121/1000*Time!AJ$9*Operations!AJ586</f>
        <v>0.0427634268212774</v>
      </c>
      <c r="AK609" s="20" t="n">
        <f aca="false">Inputs!$F$243/100*Inputs!$F$126*Inputs!$F$121/1000*Time!AK$9*Operations!AK586</f>
        <v>0.0438325124918094</v>
      </c>
      <c r="AL609" s="20" t="n">
        <f aca="false">Inputs!$F$243/100*Inputs!$F$126*Inputs!$F$121/1000*Time!AL$9*Operations!AL586</f>
        <v>0.0449283253041046</v>
      </c>
      <c r="AM609" s="20" t="n">
        <f aca="false">Inputs!$F$243/100*Inputs!$F$126*Inputs!$F$121/1000*Time!AM$9*Operations!AM586</f>
        <v>0.0460515334367072</v>
      </c>
      <c r="AN609" s="20" t="n">
        <f aca="false">Inputs!$F$243/100*Inputs!$F$126*Inputs!$F$121/1000*Time!AN$9*Operations!AN586</f>
        <v>0.0472028217726249</v>
      </c>
      <c r="AO609" s="20" t="n">
        <f aca="false">Inputs!$F$243/100*Inputs!$F$126*Inputs!$F$121/1000*Time!AO$9*Operations!AO586</f>
        <v>0.0483828923169405</v>
      </c>
      <c r="AP609" s="20" t="n">
        <f aca="false">Inputs!$F$243/100*Inputs!$F$126*Inputs!$F$121/1000*Time!AP$9*Operations!AP586</f>
        <v>0.049592464624864</v>
      </c>
      <c r="AQ609" s="20" t="n">
        <f aca="false">Inputs!$F$243/100*Inputs!$F$126*Inputs!$F$121/1000*Time!AQ$9*Operations!AQ586</f>
        <v>0.0423370191153634</v>
      </c>
      <c r="AR609" s="20" t="n">
        <f aca="false">Inputs!$F$243/100*Inputs!$F$126*Inputs!$F$121/1000*Time!AR$9*Operations!AR586</f>
        <v>0</v>
      </c>
      <c r="AS609" s="20" t="n">
        <f aca="false">Inputs!$F$243/100*Inputs!$F$126*Inputs!$F$121/1000*Time!AS$9*Operations!AS586</f>
        <v>0</v>
      </c>
      <c r="AT609" s="20" t="n">
        <f aca="false">Inputs!$F$243/100*Inputs!$F$126*Inputs!$F$121/1000*Time!AT$9*Operations!AT586</f>
        <v>0</v>
      </c>
      <c r="AU609" s="20" t="n">
        <f aca="false">Inputs!$F$243/100*Inputs!$F$126*Inputs!$F$121/1000*Time!AU$9*Operations!AU586</f>
        <v>0</v>
      </c>
    </row>
    <row r="610" customFormat="false" ht="15" hidden="false" customHeight="false" outlineLevel="0" collapsed="false">
      <c r="D610" s="0" t="s">
        <v>610</v>
      </c>
      <c r="E610" s="0" t="s">
        <v>47</v>
      </c>
      <c r="J610" s="20" t="n">
        <f aca="false">Inputs!$F$244/100*Inputs!$F$245/100*Operations!J605</f>
        <v>0.056335552538664</v>
      </c>
      <c r="K610" s="20" t="n">
        <f aca="false">Inputs!$F$244/100*Inputs!$F$245/100*Operations!K605</f>
        <v>0.0522847694946509</v>
      </c>
      <c r="L610" s="20" t="n">
        <f aca="false">Inputs!$F$244/100*Inputs!$F$245/100*Operations!L605</f>
        <v>0.045083648796786</v>
      </c>
      <c r="M610" s="20" t="n">
        <f aca="false">Inputs!$F$244/100*Inputs!$F$245/100*Operations!M605</f>
        <v>0.046480020902115</v>
      </c>
      <c r="N610" s="20" t="n">
        <f aca="false">Inputs!$F$244/100*Inputs!$F$245/100*Operations!N605</f>
        <v>0.0469650634808844</v>
      </c>
      <c r="O610" s="20" t="n">
        <f aca="false">Inputs!$F$244/100*Inputs!$F$245/100*Operations!O605</f>
        <v>0.0387904292371275</v>
      </c>
      <c r="P610" s="20" t="n">
        <f aca="false">Inputs!$F$244/100*Inputs!$F$245/100*Operations!P605</f>
        <v>0.0389871680165699</v>
      </c>
      <c r="Q610" s="20" t="n">
        <f aca="false">Inputs!$F$244/100*Inputs!$F$245/100*Operations!Q605</f>
        <v>0.0387170928845124</v>
      </c>
      <c r="R610" s="20" t="n">
        <f aca="false">Inputs!$F$244/100*Inputs!$F$245/100*Operations!R605</f>
        <v>0.0384652837081453</v>
      </c>
      <c r="S610" s="20" t="n">
        <f aca="false">Inputs!$F$244/100*Inputs!$F$245/100*Operations!S605</f>
        <v>0.0378949909348781</v>
      </c>
      <c r="T610" s="20" t="n">
        <f aca="false">Inputs!$F$244/100*Inputs!$F$245/100*Operations!T605</f>
        <v>0.0372971992733758</v>
      </c>
      <c r="U610" s="20" t="n">
        <f aca="false">Inputs!$F$244/100*Inputs!$F$245/100*Operations!U605</f>
        <v>0.0366709989912703</v>
      </c>
      <c r="V610" s="20" t="n">
        <f aca="false">Inputs!$F$244/100*Inputs!$F$245/100*Operations!V605</f>
        <v>0.0360155002645895</v>
      </c>
      <c r="W610" s="20" t="n">
        <f aca="false">Inputs!$F$244/100*Inputs!$F$245/100*Operations!W605</f>
        <v>0.0353298329401961</v>
      </c>
      <c r="X610" s="20" t="n">
        <f aca="false">Inputs!$F$244/100*Inputs!$F$245/100*Operations!X605</f>
        <v>0.035871806165896</v>
      </c>
      <c r="Y610" s="20" t="n">
        <f aca="false">Inputs!$F$244/100*Inputs!$F$245/100*Operations!Y605</f>
        <v>0.0364265494446396</v>
      </c>
      <c r="Z610" s="20" t="n">
        <f aca="false">Inputs!$F$244/100*Inputs!$F$245/100*Operations!Z605</f>
        <v>0.0369877607008708</v>
      </c>
      <c r="AA610" s="20" t="n">
        <f aca="false">Inputs!$F$244/100*Inputs!$F$245/100*Operations!AA605</f>
        <v>0.037555315647421</v>
      </c>
      <c r="AB610" s="20" t="n">
        <f aca="false">Inputs!$F$244/100*Inputs!$F$245/100*Operations!AB605</f>
        <v>0.0381351300486275</v>
      </c>
      <c r="AC610" s="20" t="n">
        <f aca="false">Inputs!$F$244/100*Inputs!$F$245/100*Operations!AC605</f>
        <v>0.038720988909947</v>
      </c>
      <c r="AD610" s="20" t="n">
        <f aca="false">Inputs!$F$244/100*Inputs!$F$245/100*Operations!AD605</f>
        <v>0.0393187565752568</v>
      </c>
      <c r="AE610" s="20" t="n">
        <f aca="false">Inputs!$F$244/100*Inputs!$F$245/100*Operations!AE605</f>
        <v>0.0399222755503268</v>
      </c>
      <c r="AF610" s="20" t="n">
        <f aca="false">Inputs!$F$244/100*Inputs!$F$245/100*Operations!AF605</f>
        <v>0.040537359199559</v>
      </c>
      <c r="AG610" s="20" t="n">
        <f aca="false">Inputs!$F$244/100*Inputs!$F$245/100*Operations!AG605</f>
        <v>0.0411638111531526</v>
      </c>
      <c r="AH610" s="20" t="n">
        <f aca="false">Inputs!$F$244/100*Inputs!$F$245/100*Operations!AH605</f>
        <v>0.04179555934238</v>
      </c>
      <c r="AI610" s="20" t="n">
        <f aca="false">Inputs!$F$244/100*Inputs!$F$245/100*Operations!AI605</f>
        <v>0.0424383416603411</v>
      </c>
      <c r="AJ610" s="20" t="n">
        <f aca="false">Inputs!$F$244/100*Inputs!$F$245/100*Operations!AJ605</f>
        <v>0.0430919670165434</v>
      </c>
      <c r="AK610" s="20" t="n">
        <f aca="false">Inputs!$F$244/100*Inputs!$F$245/100*Operations!AK605</f>
        <v>0.0437562461723244</v>
      </c>
      <c r="AL610" s="20" t="n">
        <f aca="false">Inputs!$F$244/100*Inputs!$F$245/100*Operations!AL605</f>
        <v>0.0444309917264555</v>
      </c>
      <c r="AM610" s="20" t="n">
        <f aca="false">Inputs!$F$244/100*Inputs!$F$245/100*Operations!AM605</f>
        <v>0.0451160181008448</v>
      </c>
      <c r="AN610" s="20" t="n">
        <f aca="false">Inputs!$F$244/100*Inputs!$F$245/100*Operations!AN605</f>
        <v>0.0458111415263384</v>
      </c>
      <c r="AO610" s="20" t="n">
        <f aca="false">Inputs!$F$244/100*Inputs!$F$245/100*Operations!AO605</f>
        <v>0.0465161800286201</v>
      </c>
      <c r="AP610" s="20" t="n">
        <f aca="false">Inputs!$F$244/100*Inputs!$F$245/100*Operations!AP605</f>
        <v>0.047230953414208</v>
      </c>
      <c r="AQ610" s="20" t="n">
        <f aca="false">Inputs!$F$244/100*Inputs!$F$245/100*Operations!AQ605</f>
        <v>0.0399455392387323</v>
      </c>
      <c r="AR610" s="20" t="n">
        <f aca="false">Inputs!$F$244/100*Inputs!$F$245/100*Operations!AR605</f>
        <v>0</v>
      </c>
      <c r="AS610" s="20" t="n">
        <f aca="false">Inputs!$F$244/100*Inputs!$F$245/100*Operations!AS605</f>
        <v>0</v>
      </c>
      <c r="AT610" s="20" t="n">
        <f aca="false">Inputs!$F$244/100*Inputs!$F$245/100*Operations!AT605</f>
        <v>0</v>
      </c>
      <c r="AU610" s="20" t="n">
        <f aca="false">Inputs!$F$244/100*Inputs!$F$245/100*Operations!AU605</f>
        <v>0</v>
      </c>
    </row>
    <row r="611" customFormat="false" ht="15" hidden="false" customHeight="false" outlineLevel="0" collapsed="false">
      <c r="D611" s="0" t="s">
        <v>611</v>
      </c>
      <c r="E611" s="0" t="s">
        <v>47</v>
      </c>
      <c r="G611" s="20" t="n">
        <f aca="false">SUM(J611:AU611)</f>
        <v>168.068847781455</v>
      </c>
      <c r="J611" s="20" t="n">
        <f aca="false">Operations!J605-Operations!J607-Operations!J608-Operations!J609-Operations!J610</f>
        <v>8.83566228339734</v>
      </c>
      <c r="K611" s="20" t="n">
        <f aca="false">Operations!K605-Operations!K607-Operations!K608-Operations!K609-Operations!K610</f>
        <v>7.96074184777219</v>
      </c>
      <c r="L611" s="20" t="n">
        <f aca="false">Operations!L605-Operations!L607-Operations!L608-Operations!L609-Operations!L610</f>
        <v>6.5476515033815</v>
      </c>
      <c r="M611" s="20" t="n">
        <f aca="false">Operations!M605-Operations!M607-Operations!M608-Operations!M609-Operations!M610</f>
        <v>6.76236510730146</v>
      </c>
      <c r="N611" s="20" t="n">
        <f aca="false">Operations!N605-Operations!N607-Operations!N608-Operations!N609-Operations!N610</f>
        <v>6.8031568226833</v>
      </c>
      <c r="O611" s="20" t="n">
        <f aca="false">Operations!O605-Operations!O607-Operations!O608-Operations!O609-Operations!O610</f>
        <v>5.20186815536135</v>
      </c>
      <c r="P611" s="20" t="n">
        <f aca="false">Operations!P605-Operations!P607-Operations!P608-Operations!P609-Operations!P610</f>
        <v>5.18544560472339</v>
      </c>
      <c r="Q611" s="20" t="n">
        <f aca="false">Operations!Q605-Operations!Q607-Operations!Q608-Operations!Q609-Operations!Q610</f>
        <v>5.07923043584599</v>
      </c>
      <c r="R611" s="20" t="n">
        <f aca="false">Operations!R605-Operations!R607-Operations!R608-Operations!R609-Operations!R610</f>
        <v>4.97510017162541</v>
      </c>
      <c r="S611" s="20" t="n">
        <f aca="false">Operations!S605-Operations!S607-Operations!S608-Operations!S609-Operations!S610</f>
        <v>4.80921438821614</v>
      </c>
      <c r="T611" s="20" t="n">
        <f aca="false">Operations!T605-Operations!T607-Operations!T608-Operations!T609-Operations!T610</f>
        <v>4.63667249818989</v>
      </c>
      <c r="U611" s="20" t="n">
        <f aca="false">Operations!U605-Operations!U607-Operations!U608-Operations!U609-Operations!U610</f>
        <v>4.45726598587241</v>
      </c>
      <c r="V611" s="20" t="n">
        <f aca="false">Operations!V605-Operations!V607-Operations!V608-Operations!V609-Operations!V610</f>
        <v>4.2707892041802</v>
      </c>
      <c r="W611" s="20" t="n">
        <f aca="false">Operations!W605-Operations!W607-Operations!W608-Operations!W609-Operations!W610</f>
        <v>4.07703930701892</v>
      </c>
      <c r="X611" s="20" t="n">
        <f aca="false">Operations!X605-Operations!X607-Operations!X608-Operations!X609-Operations!X610</f>
        <v>4.11430225794839</v>
      </c>
      <c r="Y611" s="20" t="n">
        <f aca="false">Operations!Y605-Operations!Y607-Operations!Y608-Operations!Y609-Operations!Y610</f>
        <v>4.15234912810036</v>
      </c>
      <c r="Z611" s="20" t="n">
        <f aca="false">Operations!Z605-Operations!Z607-Operations!Z608-Operations!Z609-Operations!Z610</f>
        <v>4.18994493166183</v>
      </c>
      <c r="AA611" s="20" t="n">
        <f aca="false">Operations!AA605-Operations!AA607-Operations!AA608-Operations!AA609-Operations!AA610</f>
        <v>4.22702420431547</v>
      </c>
      <c r="AB611" s="20" t="n">
        <f aca="false">Operations!AB605-Operations!AB607-Operations!AB608-Operations!AB609-Operations!AB610</f>
        <v>4.2646648798221</v>
      </c>
      <c r="AC611" s="20" t="n">
        <f aca="false">Operations!AC605-Operations!AC607-Operations!AC608-Operations!AC609-Operations!AC610</f>
        <v>4.30164532789399</v>
      </c>
      <c r="AD611" s="20" t="n">
        <f aca="false">Operations!AD605-Operations!AD607-Operations!AD608-Operations!AD609-Operations!AD610</f>
        <v>4.3390315643509</v>
      </c>
      <c r="AE611" s="20" t="n">
        <f aca="false">Operations!AE605-Operations!AE607-Operations!AE608-Operations!AE609-Operations!AE610</f>
        <v>4.37561062448253</v>
      </c>
      <c r="AF611" s="20" t="n">
        <f aca="false">Operations!AF605-Operations!AF607-Operations!AF608-Operations!AF609-Operations!AF610</f>
        <v>4.41243657961488</v>
      </c>
      <c r="AG611" s="20" t="n">
        <f aca="false">Operations!AG605-Operations!AG607-Operations!AG608-Operations!AG609-Operations!AG610</f>
        <v>4.44942361396111</v>
      </c>
      <c r="AH611" s="20" t="n">
        <f aca="false">Operations!AH605-Operations!AH607-Operations!AH608-Operations!AH609-Operations!AH610</f>
        <v>4.48537139147565</v>
      </c>
      <c r="AI611" s="20" t="n">
        <f aca="false">Operations!AI605-Operations!AI607-Operations!AI608-Operations!AI609-Operations!AI610</f>
        <v>4.52131603709988</v>
      </c>
      <c r="AJ611" s="20" t="n">
        <f aca="false">Operations!AJ605-Operations!AJ607-Operations!AJ608-Operations!AJ609-Operations!AJ610</f>
        <v>4.55716899782101</v>
      </c>
      <c r="AK611" s="20" t="n">
        <f aca="false">Operations!AK605-Operations!AK607-Operations!AK608-Operations!AK609-Operations!AK610</f>
        <v>4.59284076285615</v>
      </c>
      <c r="AL611" s="20" t="n">
        <f aca="false">Operations!AL605-Operations!AL607-Operations!AL608-Operations!AL609-Operations!AL610</f>
        <v>4.6282408282083</v>
      </c>
      <c r="AM611" s="20" t="n">
        <f aca="false">Operations!AM605-Operations!AM607-Operations!AM608-Operations!AM609-Operations!AM610</f>
        <v>4.66327766042331</v>
      </c>
      <c r="AN611" s="20" t="n">
        <f aca="false">Operations!AN605-Operations!AN607-Operations!AN608-Operations!AN609-Operations!AN610</f>
        <v>4.69785865952712</v>
      </c>
      <c r="AO611" s="20" t="n">
        <f aca="false">Operations!AO605-Operations!AO607-Operations!AO608-Operations!AO609-Operations!AO610</f>
        <v>4.73189012112227</v>
      </c>
      <c r="AP611" s="20" t="n">
        <f aca="false">Operations!AP605-Operations!AP607-Operations!AP608-Operations!AP609-Operations!AP610</f>
        <v>4.76527719762211</v>
      </c>
      <c r="AQ611" s="20" t="n">
        <f aca="false">Operations!AQ605-Operations!AQ607-Operations!AQ608-Operations!AQ609-Operations!AQ610</f>
        <v>3.99696969757817</v>
      </c>
      <c r="AR611" s="20" t="n">
        <f aca="false">Operations!AR605-Operations!AR607-Operations!AR608-Operations!AR609-Operations!AR610</f>
        <v>0</v>
      </c>
      <c r="AS611" s="20" t="n">
        <f aca="false">Operations!AS605-Operations!AS607-Operations!AS608-Operations!AS609-Operations!AS610</f>
        <v>0</v>
      </c>
      <c r="AT611" s="20" t="n">
        <f aca="false">Operations!AT605-Operations!AT607-Operations!AT608-Operations!AT609-Operations!AT610</f>
        <v>0</v>
      </c>
      <c r="AU611" s="20" t="n">
        <f aca="false">Operations!AU605-Operations!AU607-Operations!AU608-Operations!AU609-Operations!AU610</f>
        <v>0</v>
      </c>
    </row>
    <row r="612" customFormat="false" ht="15" hidden="false" customHeight="false" outlineLevel="0" collapsed="false">
      <c r="D612" s="0" t="s">
        <v>612</v>
      </c>
      <c r="E612" s="0" t="s">
        <v>47</v>
      </c>
      <c r="J612" s="20" t="n">
        <f aca="false">0</f>
        <v>0</v>
      </c>
      <c r="K612" s="20" t="n">
        <f aca="false">0</f>
        <v>0</v>
      </c>
      <c r="L612" s="20" t="n">
        <f aca="false">0</f>
        <v>0</v>
      </c>
      <c r="M612" s="20" t="n">
        <f aca="false">0</f>
        <v>0</v>
      </c>
      <c r="N612" s="20" t="n">
        <f aca="false">0</f>
        <v>0</v>
      </c>
      <c r="O612" s="20" t="n">
        <f aca="false">0</f>
        <v>0</v>
      </c>
      <c r="P612" s="20" t="n">
        <f aca="false">0</f>
        <v>0</v>
      </c>
      <c r="Q612" s="20" t="n">
        <f aca="false">0</f>
        <v>0</v>
      </c>
      <c r="R612" s="20" t="n">
        <f aca="false">0</f>
        <v>0</v>
      </c>
      <c r="S612" s="20" t="n">
        <f aca="false">0</f>
        <v>0</v>
      </c>
      <c r="T612" s="20" t="n">
        <f aca="false">0</f>
        <v>0</v>
      </c>
      <c r="U612" s="20" t="n">
        <f aca="false">0</f>
        <v>0</v>
      </c>
      <c r="V612" s="20" t="n">
        <f aca="false">0</f>
        <v>0</v>
      </c>
      <c r="W612" s="20" t="n">
        <f aca="false">0</f>
        <v>0</v>
      </c>
      <c r="X612" s="20" t="n">
        <f aca="false">0</f>
        <v>0</v>
      </c>
      <c r="Y612" s="20" t="n">
        <f aca="false">0</f>
        <v>0</v>
      </c>
      <c r="Z612" s="20" t="n">
        <f aca="false">0</f>
        <v>0</v>
      </c>
      <c r="AA612" s="20" t="n">
        <f aca="false">0</f>
        <v>0</v>
      </c>
      <c r="AB612" s="20" t="n">
        <f aca="false">0</f>
        <v>0</v>
      </c>
      <c r="AC612" s="20" t="n">
        <f aca="false">0</f>
        <v>0</v>
      </c>
      <c r="AD612" s="20" t="n">
        <f aca="false">0</f>
        <v>0</v>
      </c>
      <c r="AE612" s="20" t="n">
        <f aca="false">0</f>
        <v>0</v>
      </c>
      <c r="AF612" s="20" t="n">
        <f aca="false">0</f>
        <v>0</v>
      </c>
      <c r="AG612" s="20" t="n">
        <f aca="false">0</f>
        <v>0</v>
      </c>
      <c r="AH612" s="20" t="n">
        <f aca="false">0</f>
        <v>0</v>
      </c>
      <c r="AI612" s="20" t="n">
        <f aca="false">0</f>
        <v>0</v>
      </c>
      <c r="AJ612" s="20" t="n">
        <f aca="false">0</f>
        <v>0</v>
      </c>
      <c r="AK612" s="20" t="n">
        <f aca="false">0</f>
        <v>0</v>
      </c>
      <c r="AL612" s="20" t="n">
        <f aca="false">0</f>
        <v>0</v>
      </c>
      <c r="AM612" s="20" t="n">
        <f aca="false">0</f>
        <v>0</v>
      </c>
      <c r="AN612" s="20" t="n">
        <f aca="false">0</f>
        <v>0</v>
      </c>
      <c r="AO612" s="20" t="n">
        <f aca="false">0</f>
        <v>0</v>
      </c>
      <c r="AP612" s="20" t="n">
        <f aca="false">0</f>
        <v>0</v>
      </c>
      <c r="AQ612" s="20" t="n">
        <f aca="false">0</f>
        <v>0</v>
      </c>
      <c r="AR612" s="20" t="n">
        <f aca="false">0</f>
        <v>0</v>
      </c>
      <c r="AS612" s="20" t="n">
        <f aca="false">0</f>
        <v>0</v>
      </c>
      <c r="AT612" s="20" t="n">
        <f aca="false">0</f>
        <v>0</v>
      </c>
      <c r="AU612" s="20" t="n">
        <f aca="false">0</f>
        <v>0</v>
      </c>
    </row>
    <row r="613" customFormat="false" ht="15" hidden="false" customHeight="false" outlineLevel="0" collapsed="false">
      <c r="D613" s="0" t="s">
        <v>613</v>
      </c>
      <c r="E613" s="0" t="s">
        <v>47</v>
      </c>
      <c r="J613" s="20" t="n">
        <f aca="false">IF(Time!J$4=YEAR(Inputs!$F$123),Inputs!$F$126*Inputs!$F$121/1000*Time!J$9,0)</f>
        <v>0</v>
      </c>
      <c r="K613" s="20" t="n">
        <f aca="false">IF(Time!K$4=YEAR(Inputs!$F$123),Inputs!$F$126*Inputs!$F$121/1000*Time!K$9,0)</f>
        <v>0</v>
      </c>
      <c r="L613" s="20" t="n">
        <f aca="false">IF(Time!L$4=YEAR(Inputs!$F$123),Inputs!$F$126*Inputs!$F$121/1000*Time!L$9,0)</f>
        <v>0</v>
      </c>
      <c r="M613" s="20" t="n">
        <f aca="false">IF(Time!M$4=YEAR(Inputs!$F$123),Inputs!$F$126*Inputs!$F$121/1000*Time!M$9,0)</f>
        <v>0</v>
      </c>
      <c r="N613" s="20" t="n">
        <f aca="false">IF(Time!N$4=YEAR(Inputs!$F$123),Inputs!$F$126*Inputs!$F$121/1000*Time!N$9,0)</f>
        <v>0</v>
      </c>
      <c r="O613" s="20" t="n">
        <f aca="false">IF(Time!O$4=YEAR(Inputs!$F$123),Inputs!$F$126*Inputs!$F$121/1000*Time!O$9,0)</f>
        <v>0</v>
      </c>
      <c r="P613" s="20" t="n">
        <f aca="false">IF(Time!P$4=YEAR(Inputs!$F$123),Inputs!$F$126*Inputs!$F$121/1000*Time!P$9,0)</f>
        <v>0</v>
      </c>
      <c r="Q613" s="20" t="n">
        <f aca="false">IF(Time!Q$4=YEAR(Inputs!$F$123),Inputs!$F$126*Inputs!$F$121/1000*Time!Q$9,0)</f>
        <v>0</v>
      </c>
      <c r="R613" s="20" t="n">
        <f aca="false">IF(Time!R$4=YEAR(Inputs!$F$123),Inputs!$F$126*Inputs!$F$121/1000*Time!R$9,0)</f>
        <v>0</v>
      </c>
      <c r="S613" s="20" t="n">
        <f aca="false">IF(Time!S$4=YEAR(Inputs!$F$123),Inputs!$F$126*Inputs!$F$121/1000*Time!S$9,0)</f>
        <v>0</v>
      </c>
      <c r="T613" s="20" t="n">
        <f aca="false">IF(Time!T$4=YEAR(Inputs!$F$123),Inputs!$F$126*Inputs!$F$121/1000*Time!T$9,0)</f>
        <v>0</v>
      </c>
      <c r="U613" s="20" t="n">
        <f aca="false">IF(Time!U$4=YEAR(Inputs!$F$123),Inputs!$F$126*Inputs!$F$121/1000*Time!U$9,0)</f>
        <v>0</v>
      </c>
      <c r="V613" s="20" t="n">
        <f aca="false">IF(Time!V$4=YEAR(Inputs!$F$123),Inputs!$F$126*Inputs!$F$121/1000*Time!V$9,0)</f>
        <v>0</v>
      </c>
      <c r="W613" s="20" t="n">
        <f aca="false">IF(Time!W$4=YEAR(Inputs!$F$123),Inputs!$F$126*Inputs!$F$121/1000*Time!W$9,0)</f>
        <v>0</v>
      </c>
      <c r="X613" s="20" t="n">
        <f aca="false">IF(Time!X$4=YEAR(Inputs!$F$123),Inputs!$F$126*Inputs!$F$121/1000*Time!X$9,0)</f>
        <v>0</v>
      </c>
      <c r="Y613" s="20" t="n">
        <f aca="false">IF(Time!Y$4=YEAR(Inputs!$F$123),Inputs!$F$126*Inputs!$F$121/1000*Time!Y$9,0)</f>
        <v>0</v>
      </c>
      <c r="Z613" s="20" t="n">
        <f aca="false">IF(Time!Z$4=YEAR(Inputs!$F$123),Inputs!$F$126*Inputs!$F$121/1000*Time!Z$9,0)</f>
        <v>0</v>
      </c>
      <c r="AA613" s="20" t="n">
        <f aca="false">IF(Time!AA$4=YEAR(Inputs!$F$123),Inputs!$F$126*Inputs!$F$121/1000*Time!AA$9,0)</f>
        <v>0</v>
      </c>
      <c r="AB613" s="20" t="n">
        <f aca="false">IF(Time!AB$4=YEAR(Inputs!$F$123),Inputs!$F$126*Inputs!$F$121/1000*Time!AB$9,0)</f>
        <v>0</v>
      </c>
      <c r="AC613" s="20" t="n">
        <f aca="false">IF(Time!AC$4=YEAR(Inputs!$F$123),Inputs!$F$126*Inputs!$F$121/1000*Time!AC$9,0)</f>
        <v>0</v>
      </c>
      <c r="AD613" s="20" t="n">
        <f aca="false">IF(Time!AD$4=YEAR(Inputs!$F$123),Inputs!$F$126*Inputs!$F$121/1000*Time!AD$9,0)</f>
        <v>0</v>
      </c>
      <c r="AE613" s="20" t="n">
        <f aca="false">IF(Time!AE$4=YEAR(Inputs!$F$123),Inputs!$F$126*Inputs!$F$121/1000*Time!AE$9,0)</f>
        <v>0</v>
      </c>
      <c r="AF613" s="20" t="n">
        <f aca="false">IF(Time!AF$4=YEAR(Inputs!$F$123),Inputs!$F$126*Inputs!$F$121/1000*Time!AF$9,0)</f>
        <v>0</v>
      </c>
      <c r="AG613" s="20" t="n">
        <f aca="false">IF(Time!AG$4=YEAR(Inputs!$F$123),Inputs!$F$126*Inputs!$F$121/1000*Time!AG$9,0)</f>
        <v>0</v>
      </c>
      <c r="AH613" s="20" t="n">
        <f aca="false">IF(Time!AH$4=YEAR(Inputs!$F$123),Inputs!$F$126*Inputs!$F$121/1000*Time!AH$9,0)</f>
        <v>0</v>
      </c>
      <c r="AI613" s="20" t="n">
        <f aca="false">IF(Time!AI$4=YEAR(Inputs!$F$123),Inputs!$F$126*Inputs!$F$121/1000*Time!AI$9,0)</f>
        <v>0</v>
      </c>
      <c r="AJ613" s="20" t="n">
        <f aca="false">IF(Time!AJ$4=YEAR(Inputs!$F$123),Inputs!$F$126*Inputs!$F$121/1000*Time!AJ$9,0)</f>
        <v>0</v>
      </c>
      <c r="AK613" s="20" t="n">
        <f aca="false">IF(Time!AK$4=YEAR(Inputs!$F$123),Inputs!$F$126*Inputs!$F$121/1000*Time!AK$9,0)</f>
        <v>0</v>
      </c>
      <c r="AL613" s="20" t="n">
        <f aca="false">IF(Time!AL$4=YEAR(Inputs!$F$123),Inputs!$F$126*Inputs!$F$121/1000*Time!AL$9,0)</f>
        <v>0</v>
      </c>
      <c r="AM613" s="20" t="n">
        <f aca="false">IF(Time!AM$4=YEAR(Inputs!$F$123),Inputs!$F$126*Inputs!$F$121/1000*Time!AM$9,0)</f>
        <v>0</v>
      </c>
      <c r="AN613" s="20" t="n">
        <f aca="false">IF(Time!AN$4=YEAR(Inputs!$F$123),Inputs!$F$126*Inputs!$F$121/1000*Time!AN$9,0)</f>
        <v>0</v>
      </c>
      <c r="AO613" s="20" t="n">
        <f aca="false">IF(Time!AO$4=YEAR(Inputs!$F$123),Inputs!$F$126*Inputs!$F$121/1000*Time!AO$9,0)</f>
        <v>0</v>
      </c>
      <c r="AP613" s="20" t="n">
        <f aca="false">IF(Time!AP$4=YEAR(Inputs!$F$123),Inputs!$F$126*Inputs!$F$121/1000*Time!AP$9,0)</f>
        <v>0</v>
      </c>
      <c r="AQ613" s="20" t="n">
        <f aca="false">IF(Time!AQ$4=YEAR(Inputs!$F$123),Inputs!$F$126*Inputs!$F$121/1000*Time!AQ$9,0)</f>
        <v>8.47204604008093</v>
      </c>
      <c r="AR613" s="20" t="n">
        <f aca="false">IF(Time!AR$4=YEAR(Inputs!$F$123),Inputs!$F$126*Inputs!$F$121/1000*Time!AR$9,0)</f>
        <v>0</v>
      </c>
      <c r="AS613" s="20" t="n">
        <f aca="false">IF(Time!AS$4=YEAR(Inputs!$F$123),Inputs!$F$126*Inputs!$F$121/1000*Time!AS$9,0)</f>
        <v>0</v>
      </c>
      <c r="AT613" s="20" t="n">
        <f aca="false">IF(Time!AT$4=YEAR(Inputs!$F$123),Inputs!$F$126*Inputs!$F$121/1000*Time!AT$9,0)</f>
        <v>0</v>
      </c>
      <c r="AU613" s="20" t="n">
        <f aca="false">IF(Time!AU$4=YEAR(Inputs!$F$123),Inputs!$F$126*Inputs!$F$121/1000*Time!AU$9,0)</f>
        <v>0</v>
      </c>
    </row>
    <row r="614" customFormat="false" ht="15" hidden="false" customHeight="false" outlineLevel="0" collapsed="false">
      <c r="D614" s="0" t="s">
        <v>614</v>
      </c>
      <c r="E614" s="0" t="s">
        <v>47</v>
      </c>
      <c r="G614" s="20" t="n">
        <f aca="false">SUM(J614:AU614)</f>
        <v>159.596801741374</v>
      </c>
      <c r="J614" s="20" t="n">
        <f aca="false">Operations!J611-Operations!J612-Operations!J613</f>
        <v>8.83566228339734</v>
      </c>
      <c r="K614" s="20" t="n">
        <f aca="false">Operations!K611-Operations!K612-Operations!K613</f>
        <v>7.96074184777219</v>
      </c>
      <c r="L614" s="20" t="n">
        <f aca="false">Operations!L611-Operations!L612-Operations!L613</f>
        <v>6.5476515033815</v>
      </c>
      <c r="M614" s="20" t="n">
        <f aca="false">Operations!M611-Operations!M612-Operations!M613</f>
        <v>6.76236510730146</v>
      </c>
      <c r="N614" s="20" t="n">
        <f aca="false">Operations!N611-Operations!N612-Operations!N613</f>
        <v>6.8031568226833</v>
      </c>
      <c r="O614" s="20" t="n">
        <f aca="false">Operations!O611-Operations!O612-Operations!O613</f>
        <v>5.20186815536135</v>
      </c>
      <c r="P614" s="20" t="n">
        <f aca="false">Operations!P611-Operations!P612-Operations!P613</f>
        <v>5.18544560472339</v>
      </c>
      <c r="Q614" s="20" t="n">
        <f aca="false">Operations!Q611-Operations!Q612-Operations!Q613</f>
        <v>5.07923043584599</v>
      </c>
      <c r="R614" s="20" t="n">
        <f aca="false">Operations!R611-Operations!R612-Operations!R613</f>
        <v>4.97510017162541</v>
      </c>
      <c r="S614" s="20" t="n">
        <f aca="false">Operations!S611-Operations!S612-Operations!S613</f>
        <v>4.80921438821614</v>
      </c>
      <c r="T614" s="20" t="n">
        <f aca="false">Operations!T611-Operations!T612-Operations!T613</f>
        <v>4.63667249818989</v>
      </c>
      <c r="U614" s="20" t="n">
        <f aca="false">Operations!U611-Operations!U612-Operations!U613</f>
        <v>4.45726598587241</v>
      </c>
      <c r="V614" s="20" t="n">
        <f aca="false">Operations!V611-Operations!V612-Operations!V613</f>
        <v>4.2707892041802</v>
      </c>
      <c r="W614" s="20" t="n">
        <f aca="false">Operations!W611-Operations!W612-Operations!W613</f>
        <v>4.07703930701892</v>
      </c>
      <c r="X614" s="20" t="n">
        <f aca="false">Operations!X611-Operations!X612-Operations!X613</f>
        <v>4.11430225794839</v>
      </c>
      <c r="Y614" s="20" t="n">
        <f aca="false">Operations!Y611-Operations!Y612-Operations!Y613</f>
        <v>4.15234912810036</v>
      </c>
      <c r="Z614" s="20" t="n">
        <f aca="false">Operations!Z611-Operations!Z612-Operations!Z613</f>
        <v>4.18994493166183</v>
      </c>
      <c r="AA614" s="20" t="n">
        <f aca="false">Operations!AA611-Operations!AA612-Operations!AA613</f>
        <v>4.22702420431547</v>
      </c>
      <c r="AB614" s="20" t="n">
        <f aca="false">Operations!AB611-Operations!AB612-Operations!AB613</f>
        <v>4.2646648798221</v>
      </c>
      <c r="AC614" s="20" t="n">
        <f aca="false">Operations!AC611-Operations!AC612-Operations!AC613</f>
        <v>4.30164532789399</v>
      </c>
      <c r="AD614" s="20" t="n">
        <f aca="false">Operations!AD611-Operations!AD612-Operations!AD613</f>
        <v>4.3390315643509</v>
      </c>
      <c r="AE614" s="20" t="n">
        <f aca="false">Operations!AE611-Operations!AE612-Operations!AE613</f>
        <v>4.37561062448253</v>
      </c>
      <c r="AF614" s="20" t="n">
        <f aca="false">Operations!AF611-Operations!AF612-Operations!AF613</f>
        <v>4.41243657961488</v>
      </c>
      <c r="AG614" s="20" t="n">
        <f aca="false">Operations!AG611-Operations!AG612-Operations!AG613</f>
        <v>4.44942361396111</v>
      </c>
      <c r="AH614" s="20" t="n">
        <f aca="false">Operations!AH611-Operations!AH612-Operations!AH613</f>
        <v>4.48537139147565</v>
      </c>
      <c r="AI614" s="20" t="n">
        <f aca="false">Operations!AI611-Operations!AI612-Operations!AI613</f>
        <v>4.52131603709988</v>
      </c>
      <c r="AJ614" s="20" t="n">
        <f aca="false">Operations!AJ611-Operations!AJ612-Operations!AJ613</f>
        <v>4.55716899782101</v>
      </c>
      <c r="AK614" s="20" t="n">
        <f aca="false">Operations!AK611-Operations!AK612-Operations!AK613</f>
        <v>4.59284076285615</v>
      </c>
      <c r="AL614" s="20" t="n">
        <f aca="false">Operations!AL611-Operations!AL612-Operations!AL613</f>
        <v>4.6282408282083</v>
      </c>
      <c r="AM614" s="20" t="n">
        <f aca="false">Operations!AM611-Operations!AM612-Operations!AM613</f>
        <v>4.66327766042331</v>
      </c>
      <c r="AN614" s="20" t="n">
        <f aca="false">Operations!AN611-Operations!AN612-Operations!AN613</f>
        <v>4.69785865952712</v>
      </c>
      <c r="AO614" s="20" t="n">
        <f aca="false">Operations!AO611-Operations!AO612-Operations!AO613</f>
        <v>4.73189012112227</v>
      </c>
      <c r="AP614" s="20" t="n">
        <f aca="false">Operations!AP611-Operations!AP612-Operations!AP613</f>
        <v>4.76527719762211</v>
      </c>
      <c r="AQ614" s="20" t="n">
        <f aca="false">Operations!AQ611-Operations!AQ612-Operations!AQ613</f>
        <v>-4.47507634250277</v>
      </c>
      <c r="AR614" s="20" t="n">
        <f aca="false">Operations!AR611-Operations!AR612-Operations!AR613</f>
        <v>0</v>
      </c>
      <c r="AS614" s="20" t="n">
        <f aca="false">Operations!AS611-Operations!AS612-Operations!AS613</f>
        <v>0</v>
      </c>
      <c r="AT614" s="20" t="n">
        <f aca="false">Operations!AT611-Operations!AT612-Operations!AT613</f>
        <v>0</v>
      </c>
      <c r="AU614" s="20" t="n">
        <f aca="false">Operations!AU611-Operations!AU612-Operations!AU613</f>
        <v>0</v>
      </c>
    </row>
    <row r="615" customFormat="false" ht="15" hidden="false" customHeight="false" outlineLevel="0" collapsed="false">
      <c r="D615" s="0" t="s">
        <v>615</v>
      </c>
      <c r="E615" s="0" t="s">
        <v>458</v>
      </c>
      <c r="J615" s="14" t="n">
        <f aca="false">0</f>
        <v>0</v>
      </c>
      <c r="K615" s="14" t="n">
        <f aca="false">0</f>
        <v>0</v>
      </c>
      <c r="L615" s="14" t="n">
        <f aca="false">0</f>
        <v>0</v>
      </c>
      <c r="M615" s="14" t="n">
        <f aca="false">0</f>
        <v>0</v>
      </c>
      <c r="N615" s="14" t="n">
        <f aca="false">0</f>
        <v>0</v>
      </c>
      <c r="O615" s="14" t="n">
        <f aca="false">0</f>
        <v>0</v>
      </c>
      <c r="P615" s="14" t="n">
        <f aca="false">0</f>
        <v>0</v>
      </c>
      <c r="Q615" s="14" t="n">
        <f aca="false">0</f>
        <v>0</v>
      </c>
      <c r="R615" s="14" t="n">
        <f aca="false">0</f>
        <v>0</v>
      </c>
      <c r="S615" s="14" t="n">
        <f aca="false">0</f>
        <v>0</v>
      </c>
      <c r="T615" s="14" t="n">
        <f aca="false">0</f>
        <v>0</v>
      </c>
      <c r="U615" s="14" t="n">
        <f aca="false">0</f>
        <v>0</v>
      </c>
      <c r="V615" s="14" t="n">
        <f aca="false">0</f>
        <v>0</v>
      </c>
      <c r="W615" s="14" t="n">
        <f aca="false">0</f>
        <v>0</v>
      </c>
      <c r="X615" s="14" t="n">
        <f aca="false">0</f>
        <v>0</v>
      </c>
      <c r="Y615" s="14" t="n">
        <f aca="false">0</f>
        <v>0</v>
      </c>
      <c r="Z615" s="14" t="n">
        <f aca="false">0</f>
        <v>0</v>
      </c>
      <c r="AA615" s="14" t="n">
        <f aca="false">0</f>
        <v>0</v>
      </c>
      <c r="AB615" s="14" t="n">
        <f aca="false">0</f>
        <v>0</v>
      </c>
      <c r="AC615" s="14" t="n">
        <f aca="false">0</f>
        <v>0</v>
      </c>
      <c r="AD615" s="14" t="n">
        <f aca="false">0</f>
        <v>0</v>
      </c>
      <c r="AE615" s="14" t="n">
        <f aca="false">0</f>
        <v>0</v>
      </c>
      <c r="AF615" s="14" t="n">
        <f aca="false">0</f>
        <v>0</v>
      </c>
      <c r="AG615" s="14" t="n">
        <f aca="false">0</f>
        <v>0</v>
      </c>
      <c r="AH615" s="14" t="n">
        <f aca="false">0</f>
        <v>0</v>
      </c>
      <c r="AI615" s="14" t="n">
        <f aca="false">0</f>
        <v>0</v>
      </c>
      <c r="AJ615" s="14" t="n">
        <f aca="false">0</f>
        <v>0</v>
      </c>
      <c r="AK615" s="14" t="n">
        <f aca="false">0</f>
        <v>0</v>
      </c>
      <c r="AL615" s="14" t="n">
        <f aca="false">0</f>
        <v>0</v>
      </c>
      <c r="AM615" s="14" t="n">
        <f aca="false">0</f>
        <v>0</v>
      </c>
      <c r="AN615" s="14" t="n">
        <f aca="false">0</f>
        <v>0</v>
      </c>
      <c r="AO615" s="14" t="n">
        <f aca="false">0</f>
        <v>0</v>
      </c>
      <c r="AP615" s="14" t="n">
        <f aca="false">0</f>
        <v>0</v>
      </c>
      <c r="AQ615" s="14" t="n">
        <f aca="false">0</f>
        <v>0</v>
      </c>
      <c r="AR615" s="14" t="n">
        <f aca="false">0</f>
        <v>0</v>
      </c>
      <c r="AS615" s="14" t="n">
        <f aca="false">0</f>
        <v>0</v>
      </c>
      <c r="AT615" s="14" t="n">
        <f aca="false">0</f>
        <v>0</v>
      </c>
      <c r="AU615" s="14" t="n">
        <f aca="false">0</f>
        <v>0</v>
      </c>
    </row>
    <row r="616" customFormat="false" ht="15" hidden="false" customHeight="false" outlineLevel="0" collapsed="false">
      <c r="D616" s="0" t="s">
        <v>616</v>
      </c>
      <c r="E616" s="0" t="s">
        <v>458</v>
      </c>
      <c r="J616" s="14" t="n">
        <f aca="false">1</f>
        <v>1</v>
      </c>
      <c r="K616" s="14" t="n">
        <f aca="false">1</f>
        <v>1</v>
      </c>
      <c r="L616" s="14" t="n">
        <f aca="false">1</f>
        <v>1</v>
      </c>
      <c r="M616" s="14" t="n">
        <f aca="false">1</f>
        <v>1</v>
      </c>
      <c r="N616" s="14" t="n">
        <f aca="false">1</f>
        <v>1</v>
      </c>
      <c r="O616" s="14" t="n">
        <f aca="false">1</f>
        <v>1</v>
      </c>
      <c r="P616" s="14" t="n">
        <f aca="false">1</f>
        <v>1</v>
      </c>
      <c r="Q616" s="14" t="n">
        <f aca="false">1</f>
        <v>1</v>
      </c>
      <c r="R616" s="14" t="n">
        <f aca="false">1</f>
        <v>1</v>
      </c>
      <c r="S616" s="14" t="n">
        <f aca="false">1</f>
        <v>1</v>
      </c>
      <c r="T616" s="14" t="n">
        <f aca="false">1</f>
        <v>1</v>
      </c>
      <c r="U616" s="14" t="n">
        <f aca="false">1</f>
        <v>1</v>
      </c>
      <c r="V616" s="14" t="n">
        <f aca="false">1</f>
        <v>1</v>
      </c>
      <c r="W616" s="14" t="n">
        <f aca="false">1</f>
        <v>1</v>
      </c>
      <c r="X616" s="14" t="n">
        <f aca="false">1</f>
        <v>1</v>
      </c>
      <c r="Y616" s="14" t="n">
        <f aca="false">1</f>
        <v>1</v>
      </c>
      <c r="Z616" s="14" t="n">
        <f aca="false">1</f>
        <v>1</v>
      </c>
      <c r="AA616" s="14" t="n">
        <f aca="false">1</f>
        <v>1</v>
      </c>
      <c r="AB616" s="14" t="n">
        <f aca="false">1</f>
        <v>1</v>
      </c>
      <c r="AC616" s="14" t="n">
        <f aca="false">1</f>
        <v>1</v>
      </c>
      <c r="AD616" s="14" t="n">
        <f aca="false">1</f>
        <v>1</v>
      </c>
      <c r="AE616" s="14" t="n">
        <f aca="false">1</f>
        <v>1</v>
      </c>
      <c r="AF616" s="14" t="n">
        <f aca="false">1</f>
        <v>1</v>
      </c>
      <c r="AG616" s="14" t="n">
        <f aca="false">1</f>
        <v>1</v>
      </c>
      <c r="AH616" s="14" t="n">
        <f aca="false">1</f>
        <v>1</v>
      </c>
      <c r="AI616" s="14" t="n">
        <f aca="false">1</f>
        <v>1</v>
      </c>
      <c r="AJ616" s="14" t="n">
        <f aca="false">1</f>
        <v>1</v>
      </c>
      <c r="AK616" s="14" t="n">
        <f aca="false">1</f>
        <v>1</v>
      </c>
      <c r="AL616" s="14" t="n">
        <f aca="false">1</f>
        <v>1</v>
      </c>
      <c r="AM616" s="14" t="n">
        <f aca="false">1</f>
        <v>1</v>
      </c>
      <c r="AN616" s="14" t="n">
        <f aca="false">1</f>
        <v>1</v>
      </c>
      <c r="AO616" s="14" t="n">
        <f aca="false">1</f>
        <v>1</v>
      </c>
      <c r="AP616" s="14" t="n">
        <f aca="false">1</f>
        <v>1</v>
      </c>
      <c r="AQ616" s="14" t="n">
        <f aca="false">1</f>
        <v>1</v>
      </c>
      <c r="AR616" s="14" t="n">
        <f aca="false">1</f>
        <v>1</v>
      </c>
      <c r="AS616" s="14" t="n">
        <f aca="false">1</f>
        <v>1</v>
      </c>
      <c r="AT616" s="14" t="n">
        <f aca="false">1</f>
        <v>1</v>
      </c>
      <c r="AU616" s="14" t="n">
        <f aca="false">1</f>
        <v>1</v>
      </c>
    </row>
    <row r="617" customFormat="false" ht="15" hidden="false" customHeight="false" outlineLevel="0" collapsed="false">
      <c r="D617" s="0" t="s">
        <v>617</v>
      </c>
      <c r="E617" s="0" t="s">
        <v>47</v>
      </c>
      <c r="G617" s="20" t="n">
        <f aca="false">SUM(J617:AU617)</f>
        <v>157.636010933278</v>
      </c>
      <c r="J617" s="20" t="n">
        <f aca="false">Operations!J614*(1-Operations!J615)*Operations!J588</f>
        <v>6.87487147530094</v>
      </c>
      <c r="K617" s="20" t="n">
        <f aca="false">Operations!K614*(1-Operations!K615)*Operations!K588</f>
        <v>7.96074184777219</v>
      </c>
      <c r="L617" s="20" t="n">
        <f aca="false">Operations!L614*(1-Operations!L615)*Operations!L588</f>
        <v>6.5476515033815</v>
      </c>
      <c r="M617" s="20" t="n">
        <f aca="false">Operations!M614*(1-Operations!M615)*Operations!M588</f>
        <v>6.76236510730146</v>
      </c>
      <c r="N617" s="20" t="n">
        <f aca="false">Operations!N614*(1-Operations!N615)*Operations!N588</f>
        <v>6.8031568226833</v>
      </c>
      <c r="O617" s="20" t="n">
        <f aca="false">Operations!O614*(1-Operations!O615)*Operations!O588</f>
        <v>5.20186815536135</v>
      </c>
      <c r="P617" s="20" t="n">
        <f aca="false">Operations!P614*(1-Operations!P615)*Operations!P588</f>
        <v>5.18544560472339</v>
      </c>
      <c r="Q617" s="20" t="n">
        <f aca="false">Operations!Q614*(1-Operations!Q615)*Operations!Q588</f>
        <v>5.07923043584599</v>
      </c>
      <c r="R617" s="20" t="n">
        <f aca="false">Operations!R614*(1-Operations!R615)*Operations!R588</f>
        <v>4.97510017162541</v>
      </c>
      <c r="S617" s="20" t="n">
        <f aca="false">Operations!S614*(1-Operations!S615)*Operations!S588</f>
        <v>4.80921438821614</v>
      </c>
      <c r="T617" s="20" t="n">
        <f aca="false">Operations!T614*(1-Operations!T615)*Operations!T588</f>
        <v>4.63667249818989</v>
      </c>
      <c r="U617" s="20" t="n">
        <f aca="false">Operations!U614*(1-Operations!U615)*Operations!U588</f>
        <v>4.45726598587241</v>
      </c>
      <c r="V617" s="20" t="n">
        <f aca="false">Operations!V614*(1-Operations!V615)*Operations!V588</f>
        <v>4.2707892041802</v>
      </c>
      <c r="W617" s="20" t="n">
        <f aca="false">Operations!W614*(1-Operations!W615)*Operations!W588</f>
        <v>4.07703930701892</v>
      </c>
      <c r="X617" s="20" t="n">
        <f aca="false">Operations!X614*(1-Operations!X615)*Operations!X588</f>
        <v>4.11430225794839</v>
      </c>
      <c r="Y617" s="20" t="n">
        <f aca="false">Operations!Y614*(1-Operations!Y615)*Operations!Y588</f>
        <v>4.15234912810036</v>
      </c>
      <c r="Z617" s="20" t="n">
        <f aca="false">Operations!Z614*(1-Operations!Z615)*Operations!Z588</f>
        <v>4.18994493166183</v>
      </c>
      <c r="AA617" s="20" t="n">
        <f aca="false">Operations!AA614*(1-Operations!AA615)*Operations!AA588</f>
        <v>4.22702420431547</v>
      </c>
      <c r="AB617" s="20" t="n">
        <f aca="false">Operations!AB614*(1-Operations!AB615)*Operations!AB588</f>
        <v>4.2646648798221</v>
      </c>
      <c r="AC617" s="20" t="n">
        <f aca="false">Operations!AC614*(1-Operations!AC615)*Operations!AC588</f>
        <v>4.30164532789399</v>
      </c>
      <c r="AD617" s="20" t="n">
        <f aca="false">Operations!AD614*(1-Operations!AD615)*Operations!AD588</f>
        <v>4.3390315643509</v>
      </c>
      <c r="AE617" s="20" t="n">
        <f aca="false">Operations!AE614*(1-Operations!AE615)*Operations!AE588</f>
        <v>4.37561062448253</v>
      </c>
      <c r="AF617" s="20" t="n">
        <f aca="false">Operations!AF614*(1-Operations!AF615)*Operations!AF588</f>
        <v>4.41243657961488</v>
      </c>
      <c r="AG617" s="20" t="n">
        <f aca="false">Operations!AG614*(1-Operations!AG615)*Operations!AG588</f>
        <v>4.44942361396111</v>
      </c>
      <c r="AH617" s="20" t="n">
        <f aca="false">Operations!AH614*(1-Operations!AH615)*Operations!AH588</f>
        <v>4.48537139147565</v>
      </c>
      <c r="AI617" s="20" t="n">
        <f aca="false">Operations!AI614*(1-Operations!AI615)*Operations!AI588</f>
        <v>4.52131603709988</v>
      </c>
      <c r="AJ617" s="20" t="n">
        <f aca="false">Operations!AJ614*(1-Operations!AJ615)*Operations!AJ588</f>
        <v>4.55716899782101</v>
      </c>
      <c r="AK617" s="20" t="n">
        <f aca="false">Operations!AK614*(1-Operations!AK615)*Operations!AK588</f>
        <v>4.59284076285615</v>
      </c>
      <c r="AL617" s="20" t="n">
        <f aca="false">Operations!AL614*(1-Operations!AL615)*Operations!AL588</f>
        <v>4.6282408282083</v>
      </c>
      <c r="AM617" s="20" t="n">
        <f aca="false">Operations!AM614*(1-Operations!AM615)*Operations!AM588</f>
        <v>4.66327766042331</v>
      </c>
      <c r="AN617" s="20" t="n">
        <f aca="false">Operations!AN614*(1-Operations!AN615)*Operations!AN588</f>
        <v>4.69785865952712</v>
      </c>
      <c r="AO617" s="20" t="n">
        <f aca="false">Operations!AO614*(1-Operations!AO615)*Operations!AO588</f>
        <v>4.73189012112227</v>
      </c>
      <c r="AP617" s="20" t="n">
        <f aca="false">Operations!AP614*(1-Operations!AP615)*Operations!AP588</f>
        <v>4.76527719762211</v>
      </c>
      <c r="AQ617" s="20" t="n">
        <f aca="false">Operations!AQ614*(1-Operations!AQ615)*Operations!AQ588</f>
        <v>-4.47507634250277</v>
      </c>
      <c r="AR617" s="20" t="n">
        <f aca="false">Operations!AR614*(1-Operations!AR615)*Operations!AR588</f>
        <v>0</v>
      </c>
      <c r="AS617" s="20" t="n">
        <f aca="false">Operations!AS614*(1-Operations!AS615)*Operations!AS588</f>
        <v>0</v>
      </c>
      <c r="AT617" s="20" t="n">
        <f aca="false">Operations!AT614*(1-Operations!AT615)*Operations!AT588</f>
        <v>0</v>
      </c>
      <c r="AU617" s="20" t="n">
        <f aca="false">Operations!AU614*(1-Operations!AU615)*Operations!AU588</f>
        <v>0</v>
      </c>
    </row>
    <row r="618" customFormat="false" ht="15" hidden="false" customHeight="false" outlineLevel="0" collapsed="false">
      <c r="D618" s="0" t="s">
        <v>618</v>
      </c>
      <c r="E618" s="0" t="s">
        <v>47</v>
      </c>
      <c r="J618" s="20" t="n">
        <f aca="false">Operations!J614*Operations!J616*Operations!J588</f>
        <v>6.87487147530094</v>
      </c>
      <c r="K618" s="20" t="n">
        <f aca="false">Operations!K614*Operations!K616*Operations!K588</f>
        <v>7.96074184777219</v>
      </c>
      <c r="L618" s="20" t="n">
        <f aca="false">Operations!L614*Operations!L616*Operations!L588</f>
        <v>6.5476515033815</v>
      </c>
      <c r="M618" s="20" t="n">
        <f aca="false">Operations!M614*Operations!M616*Operations!M588</f>
        <v>6.76236510730146</v>
      </c>
      <c r="N618" s="20" t="n">
        <f aca="false">Operations!N614*Operations!N616*Operations!N588</f>
        <v>6.8031568226833</v>
      </c>
      <c r="O618" s="20" t="n">
        <f aca="false">Operations!O614*Operations!O616*Operations!O588</f>
        <v>5.20186815536135</v>
      </c>
      <c r="P618" s="20" t="n">
        <f aca="false">Operations!P614*Operations!P616*Operations!P588</f>
        <v>5.18544560472339</v>
      </c>
      <c r="Q618" s="20" t="n">
        <f aca="false">Operations!Q614*Operations!Q616*Operations!Q588</f>
        <v>5.07923043584599</v>
      </c>
      <c r="R618" s="20" t="n">
        <f aca="false">Operations!R614*Operations!R616*Operations!R588</f>
        <v>4.97510017162541</v>
      </c>
      <c r="S618" s="20" t="n">
        <f aca="false">Operations!S614*Operations!S616*Operations!S588</f>
        <v>4.80921438821614</v>
      </c>
      <c r="T618" s="20" t="n">
        <f aca="false">Operations!T614*Operations!T616*Operations!T588</f>
        <v>4.63667249818989</v>
      </c>
      <c r="U618" s="20" t="n">
        <f aca="false">Operations!U614*Operations!U616*Operations!U588</f>
        <v>4.45726598587241</v>
      </c>
      <c r="V618" s="20" t="n">
        <f aca="false">Operations!V614*Operations!V616*Operations!V588</f>
        <v>4.2707892041802</v>
      </c>
      <c r="W618" s="20" t="n">
        <f aca="false">Operations!W614*Operations!W616*Operations!W588</f>
        <v>4.07703930701892</v>
      </c>
      <c r="X618" s="20" t="n">
        <f aca="false">Operations!X614*Operations!X616*Operations!X588</f>
        <v>4.11430225794839</v>
      </c>
      <c r="Y618" s="20" t="n">
        <f aca="false">Operations!Y614*Operations!Y616*Operations!Y588</f>
        <v>4.15234912810036</v>
      </c>
      <c r="Z618" s="20" t="n">
        <f aca="false">Operations!Z614*Operations!Z616*Operations!Z588</f>
        <v>4.18994493166183</v>
      </c>
      <c r="AA618" s="20" t="n">
        <f aca="false">Operations!AA614*Operations!AA616*Operations!AA588</f>
        <v>4.22702420431547</v>
      </c>
      <c r="AB618" s="20" t="n">
        <f aca="false">Operations!AB614*Operations!AB616*Operations!AB588</f>
        <v>4.2646648798221</v>
      </c>
      <c r="AC618" s="20" t="n">
        <f aca="false">Operations!AC614*Operations!AC616*Operations!AC588</f>
        <v>4.30164532789399</v>
      </c>
      <c r="AD618" s="20" t="n">
        <f aca="false">Operations!AD614*Operations!AD616*Operations!AD588</f>
        <v>4.3390315643509</v>
      </c>
      <c r="AE618" s="20" t="n">
        <f aca="false">Operations!AE614*Operations!AE616*Operations!AE588</f>
        <v>4.37561062448253</v>
      </c>
      <c r="AF618" s="20" t="n">
        <f aca="false">Operations!AF614*Operations!AF616*Operations!AF588</f>
        <v>4.41243657961488</v>
      </c>
      <c r="AG618" s="20" t="n">
        <f aca="false">Operations!AG614*Operations!AG616*Operations!AG588</f>
        <v>4.44942361396111</v>
      </c>
      <c r="AH618" s="20" t="n">
        <f aca="false">Operations!AH614*Operations!AH616*Operations!AH588</f>
        <v>4.48537139147565</v>
      </c>
      <c r="AI618" s="20" t="n">
        <f aca="false">Operations!AI614*Operations!AI616*Operations!AI588</f>
        <v>4.52131603709988</v>
      </c>
      <c r="AJ618" s="20" t="n">
        <f aca="false">Operations!AJ614*Operations!AJ616*Operations!AJ588</f>
        <v>4.55716899782101</v>
      </c>
      <c r="AK618" s="20" t="n">
        <f aca="false">Operations!AK614*Operations!AK616*Operations!AK588</f>
        <v>4.59284076285615</v>
      </c>
      <c r="AL618" s="20" t="n">
        <f aca="false">Operations!AL614*Operations!AL616*Operations!AL588</f>
        <v>4.6282408282083</v>
      </c>
      <c r="AM618" s="20" t="n">
        <f aca="false">Operations!AM614*Operations!AM616*Operations!AM588</f>
        <v>4.66327766042331</v>
      </c>
      <c r="AN618" s="20" t="n">
        <f aca="false">Operations!AN614*Operations!AN616*Operations!AN588</f>
        <v>4.69785865952712</v>
      </c>
      <c r="AO618" s="20" t="n">
        <f aca="false">Operations!AO614*Operations!AO616*Operations!AO588</f>
        <v>4.73189012112227</v>
      </c>
      <c r="AP618" s="20" t="n">
        <f aca="false">Operations!AP614*Operations!AP616*Operations!AP588</f>
        <v>4.76527719762211</v>
      </c>
      <c r="AQ618" s="20" t="n">
        <f aca="false">Operations!AQ614*Operations!AQ616*Operations!AQ588</f>
        <v>-4.47507634250277</v>
      </c>
      <c r="AR618" s="20" t="n">
        <f aca="false">Operations!AR614*Operations!AR616*Operations!AR588</f>
        <v>0</v>
      </c>
      <c r="AS618" s="20" t="n">
        <f aca="false">Operations!AS614*Operations!AS616*Operations!AS588</f>
        <v>0</v>
      </c>
      <c r="AT618" s="20" t="n">
        <f aca="false">Operations!AT614*Operations!AT616*Operations!AT588</f>
        <v>0</v>
      </c>
      <c r="AU618" s="20" t="n">
        <f aca="false">Operations!AU614*Operations!AU616*Operations!AU588</f>
        <v>0</v>
      </c>
    </row>
    <row r="619" customFormat="false" ht="15" hidden="false" customHeight="false" outlineLevel="0" collapsed="false">
      <c r="D619" s="0" t="s">
        <v>619</v>
      </c>
      <c r="E619" s="0" t="s">
        <v>47</v>
      </c>
      <c r="J619" s="20" t="n">
        <f aca="false">Operations!J617-Inputs!$F$248/100*Operations!J618</f>
        <v>5.43114846548774</v>
      </c>
      <c r="K619" s="20" t="n">
        <f aca="false">Operations!K617-Inputs!$F$248/100*Operations!K618</f>
        <v>6.28898605974003</v>
      </c>
      <c r="L619" s="20" t="n">
        <f aca="false">Operations!L617-Inputs!$F$248/100*Operations!L618</f>
        <v>5.17264468767138</v>
      </c>
      <c r="M619" s="20" t="n">
        <f aca="false">Operations!M617-Inputs!$F$248/100*Operations!M618</f>
        <v>5.34226843476815</v>
      </c>
      <c r="N619" s="20" t="n">
        <f aca="false">Operations!N617-Inputs!$F$248/100*Operations!N618</f>
        <v>5.37449388991981</v>
      </c>
      <c r="O619" s="20" t="n">
        <f aca="false">Operations!O617-Inputs!$F$248/100*Operations!O618</f>
        <v>4.10947584273547</v>
      </c>
      <c r="P619" s="20" t="n">
        <f aca="false">Operations!P617-Inputs!$F$248/100*Operations!P618</f>
        <v>4.09650202773148</v>
      </c>
      <c r="Q619" s="20" t="n">
        <f aca="false">Operations!Q617-Inputs!$F$248/100*Operations!Q618</f>
        <v>4.01259204431833</v>
      </c>
      <c r="R619" s="20" t="n">
        <f aca="false">Operations!R617-Inputs!$F$248/100*Operations!R618</f>
        <v>3.93032913558407</v>
      </c>
      <c r="S619" s="20" t="n">
        <f aca="false">Operations!S617-Inputs!$F$248/100*Operations!S618</f>
        <v>3.79927936669075</v>
      </c>
      <c r="T619" s="20" t="n">
        <f aca="false">Operations!T617-Inputs!$F$248/100*Operations!T618</f>
        <v>3.66297127357001</v>
      </c>
      <c r="U619" s="20" t="n">
        <f aca="false">Operations!U617-Inputs!$F$248/100*Operations!U618</f>
        <v>3.5212401288392</v>
      </c>
      <c r="V619" s="20" t="n">
        <f aca="false">Operations!V617-Inputs!$F$248/100*Operations!V618</f>
        <v>3.37392347130236</v>
      </c>
      <c r="W619" s="20" t="n">
        <f aca="false">Operations!W617-Inputs!$F$248/100*Operations!W618</f>
        <v>3.22086105254495</v>
      </c>
      <c r="X619" s="20" t="n">
        <f aca="false">Operations!X617-Inputs!$F$248/100*Operations!X618</f>
        <v>3.25029878377923</v>
      </c>
      <c r="Y619" s="20" t="n">
        <f aca="false">Operations!Y617-Inputs!$F$248/100*Operations!Y618</f>
        <v>3.28035581119928</v>
      </c>
      <c r="Z619" s="20" t="n">
        <f aca="false">Operations!Z617-Inputs!$F$248/100*Operations!Z618</f>
        <v>3.31005649601285</v>
      </c>
      <c r="AA619" s="20" t="n">
        <f aca="false">Operations!AA617-Inputs!$F$248/100*Operations!AA618</f>
        <v>3.33934912140922</v>
      </c>
      <c r="AB619" s="20" t="n">
        <f aca="false">Operations!AB617-Inputs!$F$248/100*Operations!AB618</f>
        <v>3.36908525505946</v>
      </c>
      <c r="AC619" s="20" t="n">
        <f aca="false">Operations!AC617-Inputs!$F$248/100*Operations!AC618</f>
        <v>3.39829980903625</v>
      </c>
      <c r="AD619" s="20" t="n">
        <f aca="false">Operations!AD617-Inputs!$F$248/100*Operations!AD618</f>
        <v>3.42783493583721</v>
      </c>
      <c r="AE619" s="20" t="n">
        <f aca="false">Operations!AE617-Inputs!$F$248/100*Operations!AE618</f>
        <v>3.4567323933412</v>
      </c>
      <c r="AF619" s="20" t="n">
        <f aca="false">Operations!AF617-Inputs!$F$248/100*Operations!AF618</f>
        <v>3.48582489789575</v>
      </c>
      <c r="AG619" s="20" t="n">
        <f aca="false">Operations!AG617-Inputs!$F$248/100*Operations!AG618</f>
        <v>3.51504465502928</v>
      </c>
      <c r="AH619" s="20" t="n">
        <f aca="false">Operations!AH617-Inputs!$F$248/100*Operations!AH618</f>
        <v>3.54344339926576</v>
      </c>
      <c r="AI619" s="20" t="n">
        <f aca="false">Operations!AI617-Inputs!$F$248/100*Operations!AI618</f>
        <v>3.5718396693089</v>
      </c>
      <c r="AJ619" s="20" t="n">
        <f aca="false">Operations!AJ617-Inputs!$F$248/100*Operations!AJ618</f>
        <v>3.6001635082786</v>
      </c>
      <c r="AK619" s="20" t="n">
        <f aca="false">Operations!AK617-Inputs!$F$248/100*Operations!AK618</f>
        <v>3.62834420265636</v>
      </c>
      <c r="AL619" s="20" t="n">
        <f aca="false">Operations!AL617-Inputs!$F$248/100*Operations!AL618</f>
        <v>3.65631025428456</v>
      </c>
      <c r="AM619" s="20" t="n">
        <f aca="false">Operations!AM617-Inputs!$F$248/100*Operations!AM618</f>
        <v>3.68398935173442</v>
      </c>
      <c r="AN619" s="20" t="n">
        <f aca="false">Operations!AN617-Inputs!$F$248/100*Operations!AN618</f>
        <v>3.71130834102642</v>
      </c>
      <c r="AO619" s="20" t="n">
        <f aca="false">Operations!AO617-Inputs!$F$248/100*Operations!AO618</f>
        <v>3.73819319568659</v>
      </c>
      <c r="AP619" s="20" t="n">
        <f aca="false">Operations!AP617-Inputs!$F$248/100*Operations!AP618</f>
        <v>3.76456898612146</v>
      </c>
      <c r="AQ619" s="20" t="n">
        <f aca="false">Operations!AQ617-Inputs!$F$248/100*Operations!AQ618</f>
        <v>-3.53531031057718</v>
      </c>
      <c r="AR619" s="20" t="n">
        <f aca="false">Operations!AR617-Inputs!$F$248/100*Operations!AR618</f>
        <v>0</v>
      </c>
      <c r="AS619" s="20" t="n">
        <f aca="false">Operations!AS617-Inputs!$F$248/100*Operations!AS618</f>
        <v>0</v>
      </c>
      <c r="AT619" s="20" t="n">
        <f aca="false">Operations!AT617-Inputs!$F$248/100*Operations!AT618</f>
        <v>0</v>
      </c>
      <c r="AU619" s="20" t="n">
        <f aca="false">Operations!AU617-Inputs!$F$248/100*Operations!AU618</f>
        <v>0</v>
      </c>
    </row>
    <row r="620" customFormat="false" ht="15" hidden="false" customHeight="false" outlineLevel="0" collapsed="false">
      <c r="D620" s="0" t="s">
        <v>620</v>
      </c>
      <c r="E620" s="0" t="s">
        <v>458</v>
      </c>
      <c r="J620" s="14" t="n">
        <f aca="false">IF(Operations!J605=0,0,Operations!J602/Operations!J605)</f>
        <v>0</v>
      </c>
      <c r="K620" s="14" t="n">
        <f aca="false">IF(Operations!K605=0,0,Operations!K602/Operations!K605)</f>
        <v>0</v>
      </c>
      <c r="L620" s="14" t="n">
        <f aca="false">IF(Operations!L605=0,0,Operations!L602/Operations!L605)</f>
        <v>0</v>
      </c>
      <c r="M620" s="14" t="n">
        <f aca="false">IF(Operations!M605=0,0,Operations!M602/Operations!M605)</f>
        <v>0</v>
      </c>
      <c r="N620" s="14" t="n">
        <f aca="false">IF(Operations!N605=0,0,Operations!N602/Operations!N605)</f>
        <v>0</v>
      </c>
      <c r="O620" s="14" t="n">
        <f aca="false">IF(Operations!O605=0,0,Operations!O602/Operations!O605)</f>
        <v>0</v>
      </c>
      <c r="P620" s="14" t="n">
        <f aca="false">IF(Operations!P605=0,0,Operations!P602/Operations!P605)</f>
        <v>0</v>
      </c>
      <c r="Q620" s="14" t="n">
        <f aca="false">IF(Operations!Q605=0,0,Operations!Q602/Operations!Q605)</f>
        <v>0</v>
      </c>
      <c r="R620" s="14" t="n">
        <f aca="false">IF(Operations!R605=0,0,Operations!R602/Operations!R605)</f>
        <v>0</v>
      </c>
      <c r="S620" s="14" t="n">
        <f aca="false">IF(Operations!S605=0,0,Operations!S602/Operations!S605)</f>
        <v>0</v>
      </c>
      <c r="T620" s="14" t="n">
        <f aca="false">IF(Operations!T605=0,0,Operations!T602/Operations!T605)</f>
        <v>0</v>
      </c>
      <c r="U620" s="14" t="n">
        <f aca="false">IF(Operations!U605=0,0,Operations!U602/Operations!U605)</f>
        <v>0</v>
      </c>
      <c r="V620" s="14" t="n">
        <f aca="false">IF(Operations!V605=0,0,Operations!V602/Operations!V605)</f>
        <v>0</v>
      </c>
      <c r="W620" s="14" t="n">
        <f aca="false">IF(Operations!W605=0,0,Operations!W602/Operations!W605)</f>
        <v>0</v>
      </c>
      <c r="X620" s="14" t="n">
        <f aca="false">IF(Operations!X605=0,0,Operations!X602/Operations!X605)</f>
        <v>0</v>
      </c>
      <c r="Y620" s="14" t="n">
        <f aca="false">IF(Operations!Y605=0,0,Operations!Y602/Operations!Y605)</f>
        <v>0</v>
      </c>
      <c r="Z620" s="14" t="n">
        <f aca="false">IF(Operations!Z605=0,0,Operations!Z602/Operations!Z605)</f>
        <v>0</v>
      </c>
      <c r="AA620" s="14" t="n">
        <f aca="false">IF(Operations!AA605=0,0,Operations!AA602/Operations!AA605)</f>
        <v>0</v>
      </c>
      <c r="AB620" s="14" t="n">
        <f aca="false">IF(Operations!AB605=0,0,Operations!AB602/Operations!AB605)</f>
        <v>0</v>
      </c>
      <c r="AC620" s="14" t="n">
        <f aca="false">IF(Operations!AC605=0,0,Operations!AC602/Operations!AC605)</f>
        <v>0</v>
      </c>
      <c r="AD620" s="14" t="n">
        <f aca="false">IF(Operations!AD605=0,0,Operations!AD602/Operations!AD605)</f>
        <v>0</v>
      </c>
      <c r="AE620" s="14" t="n">
        <f aca="false">IF(Operations!AE605=0,0,Operations!AE602/Operations!AE605)</f>
        <v>0</v>
      </c>
      <c r="AF620" s="14" t="n">
        <f aca="false">IF(Operations!AF605=0,0,Operations!AF602/Operations!AF605)</f>
        <v>0</v>
      </c>
      <c r="AG620" s="14" t="n">
        <f aca="false">IF(Operations!AG605=0,0,Operations!AG602/Operations!AG605)</f>
        <v>0</v>
      </c>
      <c r="AH620" s="14" t="n">
        <f aca="false">IF(Operations!AH605=0,0,Operations!AH602/Operations!AH605)</f>
        <v>0</v>
      </c>
      <c r="AI620" s="14" t="n">
        <f aca="false">IF(Operations!AI605=0,0,Operations!AI602/Operations!AI605)</f>
        <v>0</v>
      </c>
      <c r="AJ620" s="14" t="n">
        <f aca="false">IF(Operations!AJ605=0,0,Operations!AJ602/Operations!AJ605)</f>
        <v>0</v>
      </c>
      <c r="AK620" s="14" t="n">
        <f aca="false">IF(Operations!AK605=0,0,Operations!AK602/Operations!AK605)</f>
        <v>0</v>
      </c>
      <c r="AL620" s="14" t="n">
        <f aca="false">IF(Operations!AL605=0,0,Operations!AL602/Operations!AL605)</f>
        <v>0</v>
      </c>
      <c r="AM620" s="14" t="n">
        <f aca="false">IF(Operations!AM605=0,0,Operations!AM602/Operations!AM605)</f>
        <v>0</v>
      </c>
      <c r="AN620" s="14" t="n">
        <f aca="false">IF(Operations!AN605=0,0,Operations!AN602/Operations!AN605)</f>
        <v>0</v>
      </c>
      <c r="AO620" s="14" t="n">
        <f aca="false">IF(Operations!AO605=0,0,Operations!AO602/Operations!AO605)</f>
        <v>0</v>
      </c>
      <c r="AP620" s="14" t="n">
        <f aca="false">IF(Operations!AP605=0,0,Operations!AP602/Operations!AP605)</f>
        <v>0</v>
      </c>
      <c r="AQ620" s="14" t="n">
        <f aca="false">IF(Operations!AQ605=0,0,Operations!AQ602/Operations!AQ605)</f>
        <v>0</v>
      </c>
      <c r="AR620" s="14" t="n">
        <f aca="false">IF(Operations!AR605=0,0,Operations!AR602/Operations!AR605)</f>
        <v>0</v>
      </c>
      <c r="AS620" s="14" t="n">
        <f aca="false">IF(Operations!AS605=0,0,Operations!AS602/Operations!AS605)</f>
        <v>0</v>
      </c>
      <c r="AT620" s="14" t="n">
        <f aca="false">IF(Operations!AT605=0,0,Operations!AT602/Operations!AT605)</f>
        <v>0</v>
      </c>
      <c r="AU620" s="14" t="n">
        <f aca="false">IF(Operations!AU605=0,0,Operations!AU602/Operations!AU605)</f>
        <v>0</v>
      </c>
    </row>
    <row r="621" customFormat="false" ht="15" hidden="false" customHeight="false" outlineLevel="0" collapsed="false">
      <c r="D621" s="0" t="s">
        <v>621</v>
      </c>
      <c r="E621" s="0" t="s">
        <v>458</v>
      </c>
      <c r="J621" s="14" t="n">
        <f aca="false">IF(Operations!J605=0,0,Operations!J603/Operations!J605)</f>
        <v>0.69208178926161</v>
      </c>
      <c r="K621" s="14" t="n">
        <f aca="false">IF(Operations!K605=0,0,Operations!K603/Operations!K605)</f>
        <v>0.74570109760145</v>
      </c>
      <c r="L621" s="14" t="n">
        <f aca="false">IF(Operations!L605=0,0,Operations!L603/Operations!L605)</f>
        <v>0.864810436611766</v>
      </c>
      <c r="M621" s="14" t="n">
        <f aca="false">IF(Operations!M605=0,0,Operations!M603/Operations!M605)</f>
        <v>0.838829442054444</v>
      </c>
      <c r="N621" s="14" t="n">
        <f aca="false">IF(Operations!N605=0,0,Operations!N603/Operations!N605)</f>
        <v>0.830166236565807</v>
      </c>
      <c r="O621" s="14" t="n">
        <f aca="false">IF(Operations!O605=0,0,Operations!O603/Operations!O605)</f>
        <v>0</v>
      </c>
      <c r="P621" s="14" t="n">
        <f aca="false">IF(Operations!P605=0,0,Operations!P603/Operations!P605)</f>
        <v>0</v>
      </c>
      <c r="Q621" s="14" t="n">
        <f aca="false">IF(Operations!Q605=0,0,Operations!Q603/Operations!Q605)</f>
        <v>0</v>
      </c>
      <c r="R621" s="14" t="n">
        <f aca="false">IF(Operations!R605=0,0,Operations!R603/Operations!R605)</f>
        <v>0</v>
      </c>
      <c r="S621" s="14" t="n">
        <f aca="false">IF(Operations!S605=0,0,Operations!S603/Operations!S605)</f>
        <v>0</v>
      </c>
      <c r="T621" s="14" t="n">
        <f aca="false">IF(Operations!T605=0,0,Operations!T603/Operations!T605)</f>
        <v>0</v>
      </c>
      <c r="U621" s="14" t="n">
        <f aca="false">IF(Operations!U605=0,0,Operations!U603/Operations!U605)</f>
        <v>0</v>
      </c>
      <c r="V621" s="14" t="n">
        <f aca="false">IF(Operations!V605=0,0,Operations!V603/Operations!V605)</f>
        <v>0</v>
      </c>
      <c r="W621" s="14" t="n">
        <f aca="false">IF(Operations!W605=0,0,Operations!W603/Operations!W605)</f>
        <v>0</v>
      </c>
      <c r="X621" s="14" t="n">
        <f aca="false">IF(Operations!X605=0,0,Operations!X603/Operations!X605)</f>
        <v>0</v>
      </c>
      <c r="Y621" s="14" t="n">
        <f aca="false">IF(Operations!Y605=0,0,Operations!Y603/Operations!Y605)</f>
        <v>0</v>
      </c>
      <c r="Z621" s="14" t="n">
        <f aca="false">IF(Operations!Z605=0,0,Operations!Z603/Operations!Z605)</f>
        <v>0</v>
      </c>
      <c r="AA621" s="14" t="n">
        <f aca="false">IF(Operations!AA605=0,0,Operations!AA603/Operations!AA605)</f>
        <v>0</v>
      </c>
      <c r="AB621" s="14" t="n">
        <f aca="false">IF(Operations!AB605=0,0,Operations!AB603/Operations!AB605)</f>
        <v>0</v>
      </c>
      <c r="AC621" s="14" t="n">
        <f aca="false">IF(Operations!AC605=0,0,Operations!AC603/Operations!AC605)</f>
        <v>0</v>
      </c>
      <c r="AD621" s="14" t="n">
        <f aca="false">IF(Operations!AD605=0,0,Operations!AD603/Operations!AD605)</f>
        <v>0</v>
      </c>
      <c r="AE621" s="14" t="n">
        <f aca="false">IF(Operations!AE605=0,0,Operations!AE603/Operations!AE605)</f>
        <v>0</v>
      </c>
      <c r="AF621" s="14" t="n">
        <f aca="false">IF(Operations!AF605=0,0,Operations!AF603/Operations!AF605)</f>
        <v>0</v>
      </c>
      <c r="AG621" s="14" t="n">
        <f aca="false">IF(Operations!AG605=0,0,Operations!AG603/Operations!AG605)</f>
        <v>0</v>
      </c>
      <c r="AH621" s="14" t="n">
        <f aca="false">IF(Operations!AH605=0,0,Operations!AH603/Operations!AH605)</f>
        <v>0</v>
      </c>
      <c r="AI621" s="14" t="n">
        <f aca="false">IF(Operations!AI605=0,0,Operations!AI603/Operations!AI605)</f>
        <v>0</v>
      </c>
      <c r="AJ621" s="14" t="n">
        <f aca="false">IF(Operations!AJ605=0,0,Operations!AJ603/Operations!AJ605)</f>
        <v>0</v>
      </c>
      <c r="AK621" s="14" t="n">
        <f aca="false">IF(Operations!AK605=0,0,Operations!AK603/Operations!AK605)</f>
        <v>0</v>
      </c>
      <c r="AL621" s="14" t="n">
        <f aca="false">IF(Operations!AL605=0,0,Operations!AL603/Operations!AL605)</f>
        <v>0</v>
      </c>
      <c r="AM621" s="14" t="n">
        <f aca="false">IF(Operations!AM605=0,0,Operations!AM603/Operations!AM605)</f>
        <v>0</v>
      </c>
      <c r="AN621" s="14" t="n">
        <f aca="false">IF(Operations!AN605=0,0,Operations!AN603/Operations!AN605)</f>
        <v>0</v>
      </c>
      <c r="AO621" s="14" t="n">
        <f aca="false">IF(Operations!AO605=0,0,Operations!AO603/Operations!AO605)</f>
        <v>0</v>
      </c>
      <c r="AP621" s="14" t="n">
        <f aca="false">IF(Operations!AP605=0,0,Operations!AP603/Operations!AP605)</f>
        <v>0</v>
      </c>
      <c r="AQ621" s="14" t="n">
        <f aca="false">IF(Operations!AQ605=0,0,Operations!AQ603/Operations!AQ605)</f>
        <v>0</v>
      </c>
      <c r="AR621" s="14" t="n">
        <f aca="false">IF(Operations!AR605=0,0,Operations!AR603/Operations!AR605)</f>
        <v>0</v>
      </c>
      <c r="AS621" s="14" t="n">
        <f aca="false">IF(Operations!AS605=0,0,Operations!AS603/Operations!AS605)</f>
        <v>0</v>
      </c>
      <c r="AT621" s="14" t="n">
        <f aca="false">IF(Operations!AT605=0,0,Operations!AT603/Operations!AT605)</f>
        <v>0</v>
      </c>
      <c r="AU621" s="14" t="n">
        <f aca="false">IF(Operations!AU605=0,0,Operations!AU603/Operations!AU605)</f>
        <v>0</v>
      </c>
    </row>
    <row r="622" customFormat="false" ht="15" hidden="false" customHeight="false" outlineLevel="0" collapsed="false">
      <c r="D622" s="0" t="s">
        <v>622</v>
      </c>
      <c r="E622" s="0" t="s">
        <v>458</v>
      </c>
      <c r="J622" s="14" t="n">
        <f aca="false">1-Operations!J620-Operations!J621</f>
        <v>0.30791821073839</v>
      </c>
      <c r="K622" s="14" t="n">
        <f aca="false">1-Operations!K620-Operations!K621</f>
        <v>0.25429890239855</v>
      </c>
      <c r="L622" s="14" t="n">
        <f aca="false">1-Operations!L620-Operations!L621</f>
        <v>0.135189563388234</v>
      </c>
      <c r="M622" s="14" t="n">
        <f aca="false">1-Operations!M620-Operations!M621</f>
        <v>0.161170557945556</v>
      </c>
      <c r="N622" s="14" t="n">
        <f aca="false">1-Operations!N620-Operations!N621</f>
        <v>0.169833763434193</v>
      </c>
      <c r="O622" s="14" t="n">
        <f aca="false">1-Operations!O620-Operations!O621</f>
        <v>1</v>
      </c>
      <c r="P622" s="14" t="n">
        <f aca="false">1-Operations!P620-Operations!P621</f>
        <v>1</v>
      </c>
      <c r="Q622" s="14" t="n">
        <f aca="false">1-Operations!Q620-Operations!Q621</f>
        <v>1</v>
      </c>
      <c r="R622" s="14" t="n">
        <f aca="false">1-Operations!R620-Operations!R621</f>
        <v>1</v>
      </c>
      <c r="S622" s="14" t="n">
        <f aca="false">1-Operations!S620-Operations!S621</f>
        <v>1</v>
      </c>
      <c r="T622" s="14" t="n">
        <f aca="false">1-Operations!T620-Operations!T621</f>
        <v>1</v>
      </c>
      <c r="U622" s="14" t="n">
        <f aca="false">1-Operations!U620-Operations!U621</f>
        <v>1</v>
      </c>
      <c r="V622" s="14" t="n">
        <f aca="false">1-Operations!V620-Operations!V621</f>
        <v>1</v>
      </c>
      <c r="W622" s="14" t="n">
        <f aca="false">1-Operations!W620-Operations!W621</f>
        <v>1</v>
      </c>
      <c r="X622" s="14" t="n">
        <f aca="false">1-Operations!X620-Operations!X621</f>
        <v>1</v>
      </c>
      <c r="Y622" s="14" t="n">
        <f aca="false">1-Operations!Y620-Operations!Y621</f>
        <v>1</v>
      </c>
      <c r="Z622" s="14" t="n">
        <f aca="false">1-Operations!Z620-Operations!Z621</f>
        <v>1</v>
      </c>
      <c r="AA622" s="14" t="n">
        <f aca="false">1-Operations!AA620-Operations!AA621</f>
        <v>1</v>
      </c>
      <c r="AB622" s="14" t="n">
        <f aca="false">1-Operations!AB620-Operations!AB621</f>
        <v>1</v>
      </c>
      <c r="AC622" s="14" t="n">
        <f aca="false">1-Operations!AC620-Operations!AC621</f>
        <v>1</v>
      </c>
      <c r="AD622" s="14" t="n">
        <f aca="false">1-Operations!AD620-Operations!AD621</f>
        <v>1</v>
      </c>
      <c r="AE622" s="14" t="n">
        <f aca="false">1-Operations!AE620-Operations!AE621</f>
        <v>1</v>
      </c>
      <c r="AF622" s="14" t="n">
        <f aca="false">1-Operations!AF620-Operations!AF621</f>
        <v>1</v>
      </c>
      <c r="AG622" s="14" t="n">
        <f aca="false">1-Operations!AG620-Operations!AG621</f>
        <v>1</v>
      </c>
      <c r="AH622" s="14" t="n">
        <f aca="false">1-Operations!AH620-Operations!AH621</f>
        <v>1</v>
      </c>
      <c r="AI622" s="14" t="n">
        <f aca="false">1-Operations!AI620-Operations!AI621</f>
        <v>1</v>
      </c>
      <c r="AJ622" s="14" t="n">
        <f aca="false">1-Operations!AJ620-Operations!AJ621</f>
        <v>1</v>
      </c>
      <c r="AK622" s="14" t="n">
        <f aca="false">1-Operations!AK620-Operations!AK621</f>
        <v>1</v>
      </c>
      <c r="AL622" s="14" t="n">
        <f aca="false">1-Operations!AL620-Operations!AL621</f>
        <v>1</v>
      </c>
      <c r="AM622" s="14" t="n">
        <f aca="false">1-Operations!AM620-Operations!AM621</f>
        <v>1</v>
      </c>
      <c r="AN622" s="14" t="n">
        <f aca="false">1-Operations!AN620-Operations!AN621</f>
        <v>1</v>
      </c>
      <c r="AO622" s="14" t="n">
        <f aca="false">1-Operations!AO620-Operations!AO621</f>
        <v>1</v>
      </c>
      <c r="AP622" s="14" t="n">
        <f aca="false">1-Operations!AP620-Operations!AP621</f>
        <v>1</v>
      </c>
      <c r="AQ622" s="14" t="n">
        <f aca="false">1-Operations!AQ620-Operations!AQ621</f>
        <v>1</v>
      </c>
      <c r="AR622" s="14" t="n">
        <f aca="false">1-Operations!AR620-Operations!AR621</f>
        <v>1</v>
      </c>
      <c r="AS622" s="14" t="n">
        <f aca="false">1-Operations!AS620-Operations!AS621</f>
        <v>1</v>
      </c>
      <c r="AT622" s="14" t="n">
        <f aca="false">1-Operations!AT620-Operations!AT621</f>
        <v>1</v>
      </c>
      <c r="AU622" s="14" t="n">
        <f aca="false">1-Operations!AU620-Operations!AU621</f>
        <v>1</v>
      </c>
    </row>
    <row r="623" customFormat="false" ht="15" hidden="false" customHeight="false" outlineLevel="0" collapsed="false">
      <c r="D623" s="0" t="s">
        <v>623</v>
      </c>
      <c r="E623" s="0" t="s">
        <v>47</v>
      </c>
      <c r="J623" s="20" t="n">
        <f aca="false">Operations!J602*Operations!J588*(1-Operations!J615)</f>
        <v>0</v>
      </c>
      <c r="K623" s="20" t="n">
        <f aca="false">Operations!K602*Operations!K588*(1-Operations!K615)</f>
        <v>0</v>
      </c>
      <c r="L623" s="20" t="n">
        <f aca="false">Operations!L602*Operations!L588*(1-Operations!L615)</f>
        <v>0</v>
      </c>
      <c r="M623" s="20" t="n">
        <f aca="false">Operations!M602*Operations!M588*(1-Operations!M615)</f>
        <v>0</v>
      </c>
      <c r="N623" s="20" t="n">
        <f aca="false">Operations!N602*Operations!N588*(1-Operations!N615)</f>
        <v>0</v>
      </c>
      <c r="O623" s="20" t="n">
        <f aca="false">Operations!O602*Operations!O588*(1-Operations!O615)</f>
        <v>0</v>
      </c>
      <c r="P623" s="20" t="n">
        <f aca="false">Operations!P602*Operations!P588*(1-Operations!P615)</f>
        <v>0</v>
      </c>
      <c r="Q623" s="20" t="n">
        <f aca="false">Operations!Q602*Operations!Q588*(1-Operations!Q615)</f>
        <v>0</v>
      </c>
      <c r="R623" s="20" t="n">
        <f aca="false">Operations!R602*Operations!R588*(1-Operations!R615)</f>
        <v>0</v>
      </c>
      <c r="S623" s="20" t="n">
        <f aca="false">Operations!S602*Operations!S588*(1-Operations!S615)</f>
        <v>0</v>
      </c>
      <c r="T623" s="20" t="n">
        <f aca="false">Operations!T602*Operations!T588*(1-Operations!T615)</f>
        <v>0</v>
      </c>
      <c r="U623" s="20" t="n">
        <f aca="false">Operations!U602*Operations!U588*(1-Operations!U615)</f>
        <v>0</v>
      </c>
      <c r="V623" s="20" t="n">
        <f aca="false">Operations!V602*Operations!V588*(1-Operations!V615)</f>
        <v>0</v>
      </c>
      <c r="W623" s="20" t="n">
        <f aca="false">Operations!W602*Operations!W588*(1-Operations!W615)</f>
        <v>0</v>
      </c>
      <c r="X623" s="20" t="n">
        <f aca="false">Operations!X602*Operations!X588*(1-Operations!X615)</f>
        <v>0</v>
      </c>
      <c r="Y623" s="20" t="n">
        <f aca="false">Operations!Y602*Operations!Y588*(1-Operations!Y615)</f>
        <v>0</v>
      </c>
      <c r="Z623" s="20" t="n">
        <f aca="false">Operations!Z602*Operations!Z588*(1-Operations!Z615)</f>
        <v>0</v>
      </c>
      <c r="AA623" s="20" t="n">
        <f aca="false">Operations!AA602*Operations!AA588*(1-Operations!AA615)</f>
        <v>0</v>
      </c>
      <c r="AB623" s="20" t="n">
        <f aca="false">Operations!AB602*Operations!AB588*(1-Operations!AB615)</f>
        <v>0</v>
      </c>
      <c r="AC623" s="20" t="n">
        <f aca="false">Operations!AC602*Operations!AC588*(1-Operations!AC615)</f>
        <v>0</v>
      </c>
      <c r="AD623" s="20" t="n">
        <f aca="false">Operations!AD602*Operations!AD588*(1-Operations!AD615)</f>
        <v>0</v>
      </c>
      <c r="AE623" s="20" t="n">
        <f aca="false">Operations!AE602*Operations!AE588*(1-Operations!AE615)</f>
        <v>0</v>
      </c>
      <c r="AF623" s="20" t="n">
        <f aca="false">Operations!AF602*Operations!AF588*(1-Operations!AF615)</f>
        <v>0</v>
      </c>
      <c r="AG623" s="20" t="n">
        <f aca="false">Operations!AG602*Operations!AG588*(1-Operations!AG615)</f>
        <v>0</v>
      </c>
      <c r="AH623" s="20" t="n">
        <f aca="false">Operations!AH602*Operations!AH588*(1-Operations!AH615)</f>
        <v>0</v>
      </c>
      <c r="AI623" s="20" t="n">
        <f aca="false">Operations!AI602*Operations!AI588*(1-Operations!AI615)</f>
        <v>0</v>
      </c>
      <c r="AJ623" s="20" t="n">
        <f aca="false">Operations!AJ602*Operations!AJ588*(1-Operations!AJ615)</f>
        <v>0</v>
      </c>
      <c r="AK623" s="20" t="n">
        <f aca="false">Operations!AK602*Operations!AK588*(1-Operations!AK615)</f>
        <v>0</v>
      </c>
      <c r="AL623" s="20" t="n">
        <f aca="false">Operations!AL602*Operations!AL588*(1-Operations!AL615)</f>
        <v>0</v>
      </c>
      <c r="AM623" s="20" t="n">
        <f aca="false">Operations!AM602*Operations!AM588*(1-Operations!AM615)</f>
        <v>0</v>
      </c>
      <c r="AN623" s="20" t="n">
        <f aca="false">Operations!AN602*Operations!AN588*(1-Operations!AN615)</f>
        <v>0</v>
      </c>
      <c r="AO623" s="20" t="n">
        <f aca="false">Operations!AO602*Operations!AO588*(1-Operations!AO615)</f>
        <v>0</v>
      </c>
      <c r="AP623" s="20" t="n">
        <f aca="false">Operations!AP602*Operations!AP588*(1-Operations!AP615)</f>
        <v>0</v>
      </c>
      <c r="AQ623" s="20" t="n">
        <f aca="false">Operations!AQ602*Operations!AQ588*(1-Operations!AQ615)</f>
        <v>0</v>
      </c>
      <c r="AR623" s="20" t="n">
        <f aca="false">Operations!AR602*Operations!AR588*(1-Operations!AR615)</f>
        <v>0</v>
      </c>
      <c r="AS623" s="20" t="n">
        <f aca="false">Operations!AS602*Operations!AS588*(1-Operations!AS615)</f>
        <v>0</v>
      </c>
      <c r="AT623" s="20" t="n">
        <f aca="false">Operations!AT602*Operations!AT588*(1-Operations!AT615)</f>
        <v>0</v>
      </c>
      <c r="AU623" s="20" t="n">
        <f aca="false">Operations!AU602*Operations!AU588*(1-Operations!AU615)</f>
        <v>0</v>
      </c>
    </row>
    <row r="624" customFormat="false" ht="15" hidden="false" customHeight="false" outlineLevel="0" collapsed="false">
      <c r="D624" s="0" t="s">
        <v>624</v>
      </c>
      <c r="E624" s="0" t="s">
        <v>47</v>
      </c>
      <c r="J624" s="20" t="n">
        <f aca="false">Operations!J603*Operations!J588*(1-Operations!J615)</f>
        <v>5.77838071232877</v>
      </c>
      <c r="K624" s="20" t="n">
        <f aca="false">Operations!K603*Operations!K588*(1-Operations!K615)</f>
        <v>7.42644</v>
      </c>
      <c r="L624" s="20" t="n">
        <f aca="false">Operations!L603*Operations!L588*(1-Operations!L615)</f>
        <v>7.42644</v>
      </c>
      <c r="M624" s="20" t="n">
        <f aca="false">Operations!M603*Operations!M588*(1-Operations!M615)</f>
        <v>7.42644</v>
      </c>
      <c r="N624" s="20" t="n">
        <f aca="false">Operations!N603*Operations!N588*(1-Operations!N615)</f>
        <v>7.42644</v>
      </c>
      <c r="O624" s="20" t="n">
        <f aca="false">Operations!O603*Operations!O588*(1-Operations!O615)</f>
        <v>0</v>
      </c>
      <c r="P624" s="20" t="n">
        <f aca="false">Operations!P603*Operations!P588*(1-Operations!P615)</f>
        <v>0</v>
      </c>
      <c r="Q624" s="20" t="n">
        <f aca="false">Operations!Q603*Operations!Q588*(1-Operations!Q615)</f>
        <v>0</v>
      </c>
      <c r="R624" s="20" t="n">
        <f aca="false">Operations!R603*Operations!R588*(1-Operations!R615)</f>
        <v>0</v>
      </c>
      <c r="S624" s="20" t="n">
        <f aca="false">Operations!S603*Operations!S588*(1-Operations!S615)</f>
        <v>0</v>
      </c>
      <c r="T624" s="20" t="n">
        <f aca="false">Operations!T603*Operations!T588*(1-Operations!T615)</f>
        <v>0</v>
      </c>
      <c r="U624" s="20" t="n">
        <f aca="false">Operations!U603*Operations!U588*(1-Operations!U615)</f>
        <v>0</v>
      </c>
      <c r="V624" s="20" t="n">
        <f aca="false">Operations!V603*Operations!V588*(1-Operations!V615)</f>
        <v>0</v>
      </c>
      <c r="W624" s="20" t="n">
        <f aca="false">Operations!W603*Operations!W588*(1-Operations!W615)</f>
        <v>0</v>
      </c>
      <c r="X624" s="20" t="n">
        <f aca="false">Operations!X603*Operations!X588*(1-Operations!X615)</f>
        <v>0</v>
      </c>
      <c r="Y624" s="20" t="n">
        <f aca="false">Operations!Y603*Operations!Y588*(1-Operations!Y615)</f>
        <v>0</v>
      </c>
      <c r="Z624" s="20" t="n">
        <f aca="false">Operations!Z603*Operations!Z588*(1-Operations!Z615)</f>
        <v>0</v>
      </c>
      <c r="AA624" s="20" t="n">
        <f aca="false">Operations!AA603*Operations!AA588*(1-Operations!AA615)</f>
        <v>0</v>
      </c>
      <c r="AB624" s="20" t="n">
        <f aca="false">Operations!AB603*Operations!AB588*(1-Operations!AB615)</f>
        <v>0</v>
      </c>
      <c r="AC624" s="20" t="n">
        <f aca="false">Operations!AC603*Operations!AC588*(1-Operations!AC615)</f>
        <v>0</v>
      </c>
      <c r="AD624" s="20" t="n">
        <f aca="false">Operations!AD603*Operations!AD588*(1-Operations!AD615)</f>
        <v>0</v>
      </c>
      <c r="AE624" s="20" t="n">
        <f aca="false">Operations!AE603*Operations!AE588*(1-Operations!AE615)</f>
        <v>0</v>
      </c>
      <c r="AF624" s="20" t="n">
        <f aca="false">Operations!AF603*Operations!AF588*(1-Operations!AF615)</f>
        <v>0</v>
      </c>
      <c r="AG624" s="20" t="n">
        <f aca="false">Operations!AG603*Operations!AG588*(1-Operations!AG615)</f>
        <v>0</v>
      </c>
      <c r="AH624" s="20" t="n">
        <f aca="false">Operations!AH603*Operations!AH588*(1-Operations!AH615)</f>
        <v>0</v>
      </c>
      <c r="AI624" s="20" t="n">
        <f aca="false">Operations!AI603*Operations!AI588*(1-Operations!AI615)</f>
        <v>0</v>
      </c>
      <c r="AJ624" s="20" t="n">
        <f aca="false">Operations!AJ603*Operations!AJ588*(1-Operations!AJ615)</f>
        <v>0</v>
      </c>
      <c r="AK624" s="20" t="n">
        <f aca="false">Operations!AK603*Operations!AK588*(1-Operations!AK615)</f>
        <v>0</v>
      </c>
      <c r="AL624" s="20" t="n">
        <f aca="false">Operations!AL603*Operations!AL588*(1-Operations!AL615)</f>
        <v>0</v>
      </c>
      <c r="AM624" s="20" t="n">
        <f aca="false">Operations!AM603*Operations!AM588*(1-Operations!AM615)</f>
        <v>0</v>
      </c>
      <c r="AN624" s="20" t="n">
        <f aca="false">Operations!AN603*Operations!AN588*(1-Operations!AN615)</f>
        <v>0</v>
      </c>
      <c r="AO624" s="20" t="n">
        <f aca="false">Operations!AO603*Operations!AO588*(1-Operations!AO615)</f>
        <v>0</v>
      </c>
      <c r="AP624" s="20" t="n">
        <f aca="false">Operations!AP603*Operations!AP588*(1-Operations!AP615)</f>
        <v>0</v>
      </c>
      <c r="AQ624" s="20" t="n">
        <f aca="false">Operations!AQ603*Operations!AQ588*(1-Operations!AQ615)</f>
        <v>0</v>
      </c>
      <c r="AR624" s="20" t="n">
        <f aca="false">Operations!AR603*Operations!AR588*(1-Operations!AR615)</f>
        <v>0</v>
      </c>
      <c r="AS624" s="20" t="n">
        <f aca="false">Operations!AS603*Operations!AS588*(1-Operations!AS615)</f>
        <v>0</v>
      </c>
      <c r="AT624" s="20" t="n">
        <f aca="false">Operations!AT603*Operations!AT588*(1-Operations!AT615)</f>
        <v>0</v>
      </c>
      <c r="AU624" s="20" t="n">
        <f aca="false">Operations!AU603*Operations!AU588*(1-Operations!AU615)</f>
        <v>0</v>
      </c>
    </row>
    <row r="625" customFormat="false" ht="15" hidden="false" customHeight="false" outlineLevel="0" collapsed="false">
      <c r="D625" s="0" t="s">
        <v>625</v>
      </c>
      <c r="E625" s="0" t="s">
        <v>47</v>
      </c>
      <c r="J625" s="20" t="n">
        <f aca="false">Operations!J606*Operations!J588*(1-Operations!J615)</f>
        <v>2.57089361042691</v>
      </c>
      <c r="K625" s="20" t="n">
        <f aca="false">Operations!K606*Operations!K588*(1-Operations!K615)</f>
        <v>2.53256371326684</v>
      </c>
      <c r="L625" s="20" t="n">
        <f aca="false">Operations!L606*Operations!L588*(1-Operations!L615)</f>
        <v>1.16092167557828</v>
      </c>
      <c r="M625" s="20" t="n">
        <f aca="false">Operations!M606*Operations!M588*(1-Operations!M615)</f>
        <v>1.42689731468857</v>
      </c>
      <c r="N625" s="20" t="n">
        <f aca="false">Operations!N606*Operations!N588*(1-Operations!N615)</f>
        <v>1.51928637731131</v>
      </c>
      <c r="O625" s="20" t="n">
        <f aca="false">Operations!O606*Operations!O588*(1-Operations!O615)</f>
        <v>7.38865318802428</v>
      </c>
      <c r="P625" s="20" t="n">
        <f aca="false">Operations!P606*Operations!P588*(1-Operations!P615)</f>
        <v>7.42612724125141</v>
      </c>
      <c r="Q625" s="20" t="n">
        <f aca="false">Operations!Q606*Operations!Q588*(1-Operations!Q615)</f>
        <v>7.37468435895473</v>
      </c>
      <c r="R625" s="20" t="n">
        <f aca="false">Operations!R606*Operations!R588*(1-Operations!R615)</f>
        <v>7.32672070631339</v>
      </c>
      <c r="S625" s="20" t="n">
        <f aca="false">Operations!S606*Operations!S588*(1-Operations!S615)</f>
        <v>7.21809351140535</v>
      </c>
      <c r="T625" s="20" t="n">
        <f aca="false">Operations!T606*Operations!T588*(1-Operations!T615)</f>
        <v>7.10422843302396</v>
      </c>
      <c r="U625" s="20" t="n">
        <f aca="false">Operations!U606*Operations!U588*(1-Operations!U615)</f>
        <v>6.98495218881339</v>
      </c>
      <c r="V625" s="20" t="n">
        <f aca="false">Operations!V606*Operations!V588*(1-Operations!V615)</f>
        <v>6.86009528849324</v>
      </c>
      <c r="W625" s="20" t="n">
        <f aca="false">Operations!W606*Operations!W588*(1-Operations!W615)</f>
        <v>6.72949198860878</v>
      </c>
      <c r="X625" s="20" t="n">
        <f aca="false">Operations!X606*Operations!X588*(1-Operations!X615)</f>
        <v>6.83272498398019</v>
      </c>
      <c r="Y625" s="20" t="n">
        <f aca="false">Operations!Y606*Operations!Y588*(1-Operations!Y615)</f>
        <v>6.93839037040755</v>
      </c>
      <c r="Z625" s="20" t="n">
        <f aca="false">Operations!Z606*Operations!Z588*(1-Operations!Z615)</f>
        <v>7.04528775254682</v>
      </c>
      <c r="AA625" s="20" t="n">
        <f aca="false">Operations!AA606*Operations!AA588*(1-Operations!AA615)</f>
        <v>7.15339345665161</v>
      </c>
      <c r="AB625" s="20" t="n">
        <f aca="false">Operations!AB606*Operations!AB588*(1-Operations!AB615)</f>
        <v>7.26383429497666</v>
      </c>
      <c r="AC625" s="20" t="n">
        <f aca="false">Operations!AC606*Operations!AC588*(1-Operations!AC615)</f>
        <v>7.37542645903752</v>
      </c>
      <c r="AD625" s="20" t="n">
        <f aca="false">Operations!AD606*Operations!AD588*(1-Operations!AD615)</f>
        <v>7.48928696671558</v>
      </c>
      <c r="AE625" s="20" t="n">
        <f aca="false">Operations!AE606*Operations!AE588*(1-Operations!AE615)</f>
        <v>7.60424296196702</v>
      </c>
      <c r="AF625" s="20" t="n">
        <f aca="false">Operations!AF606*Operations!AF588*(1-Operations!AF615)</f>
        <v>7.72140175229695</v>
      </c>
      <c r="AG625" s="20" t="n">
        <f aca="false">Operations!AG606*Operations!AG588*(1-Operations!AG615)</f>
        <v>7.84072593393384</v>
      </c>
      <c r="AH625" s="20" t="n">
        <f aca="false">Operations!AH606*Operations!AH588*(1-Operations!AH615)</f>
        <v>7.96105892235809</v>
      </c>
      <c r="AI625" s="20" t="n">
        <f aca="false">Operations!AI606*Operations!AI588*(1-Operations!AI615)</f>
        <v>8.08349364958879</v>
      </c>
      <c r="AJ625" s="20" t="n">
        <f aca="false">Operations!AJ606*Operations!AJ588*(1-Operations!AJ615)</f>
        <v>8.20799371743684</v>
      </c>
      <c r="AK625" s="20" t="n">
        <f aca="false">Operations!AK606*Operations!AK588*(1-Operations!AK615)</f>
        <v>8.33452308044274</v>
      </c>
      <c r="AL625" s="20" t="n">
        <f aca="false">Operations!AL606*Operations!AL588*(1-Operations!AL615)</f>
        <v>8.46304604313438</v>
      </c>
      <c r="AM625" s="20" t="n">
        <f aca="false">Operations!AM606*Operations!AM588*(1-Operations!AM615)</f>
        <v>8.59352725730376</v>
      </c>
      <c r="AN625" s="20" t="n">
        <f aca="false">Operations!AN606*Operations!AN588*(1-Operations!AN615)</f>
        <v>8.72593171930255</v>
      </c>
      <c r="AO625" s="20" t="n">
        <f aca="false">Operations!AO606*Operations!AO588*(1-Operations!AO615)</f>
        <v>8.86022476735622</v>
      </c>
      <c r="AP625" s="20" t="n">
        <f aca="false">Operations!AP606*Operations!AP588*(1-Operations!AP615)</f>
        <v>8.99637207889677</v>
      </c>
      <c r="AQ625" s="20" t="n">
        <f aca="false">Operations!AQ606*Operations!AQ588*(1-Operations!AQ615)</f>
        <v>7.60867414071092</v>
      </c>
      <c r="AR625" s="20" t="n">
        <f aca="false">Operations!AR606*Operations!AR588*(1-Operations!AR615)</f>
        <v>0</v>
      </c>
      <c r="AS625" s="20" t="n">
        <f aca="false">Operations!AS606*Operations!AS588*(1-Operations!AS615)</f>
        <v>0</v>
      </c>
      <c r="AT625" s="20" t="n">
        <f aca="false">Operations!AT606*Operations!AT588*(1-Operations!AT615)</f>
        <v>0</v>
      </c>
      <c r="AU625" s="20" t="n">
        <f aca="false">Operations!AU606*Operations!AU588*(1-Operations!AU615)</f>
        <v>0</v>
      </c>
    </row>
    <row r="626" customFormat="false" ht="15" hidden="false" customHeight="false" outlineLevel="0" collapsed="false">
      <c r="D626" s="0" t="s">
        <v>626</v>
      </c>
      <c r="E626" s="0" t="s">
        <v>47</v>
      </c>
      <c r="J626" s="20" t="n">
        <f aca="false">Operations!J605*Operations!J588*(1-Operations!J615)</f>
        <v>8.34927432275568</v>
      </c>
      <c r="K626" s="20" t="n">
        <f aca="false">Operations!K605*Operations!K588*(1-Operations!K615)</f>
        <v>9.95900371326684</v>
      </c>
      <c r="L626" s="20" t="n">
        <f aca="false">Operations!L605*Operations!L588*(1-Operations!L615)</f>
        <v>8.58736167557828</v>
      </c>
      <c r="M626" s="20" t="n">
        <f aca="false">Operations!M605*Operations!M588*(1-Operations!M615)</f>
        <v>8.85333731468857</v>
      </c>
      <c r="N626" s="20" t="n">
        <f aca="false">Operations!N605*Operations!N588*(1-Operations!N615)</f>
        <v>8.94572637731131</v>
      </c>
      <c r="O626" s="20" t="n">
        <f aca="false">Operations!O605*Operations!O588*(1-Operations!O615)</f>
        <v>7.38865318802428</v>
      </c>
      <c r="P626" s="20" t="n">
        <f aca="false">Operations!P605*Operations!P588*(1-Operations!P615)</f>
        <v>7.42612724125141</v>
      </c>
      <c r="Q626" s="20" t="n">
        <f aca="false">Operations!Q605*Operations!Q588*(1-Operations!Q615)</f>
        <v>7.37468435895473</v>
      </c>
      <c r="R626" s="20" t="n">
        <f aca="false">Operations!R605*Operations!R588*(1-Operations!R615)</f>
        <v>7.32672070631339</v>
      </c>
      <c r="S626" s="20" t="n">
        <f aca="false">Operations!S605*Operations!S588*(1-Operations!S615)</f>
        <v>7.21809351140535</v>
      </c>
      <c r="T626" s="20" t="n">
        <f aca="false">Operations!T605*Operations!T588*(1-Operations!T615)</f>
        <v>7.10422843302396</v>
      </c>
      <c r="U626" s="20" t="n">
        <f aca="false">Operations!U605*Operations!U588*(1-Operations!U615)</f>
        <v>6.98495218881339</v>
      </c>
      <c r="V626" s="20" t="n">
        <f aca="false">Operations!V605*Operations!V588*(1-Operations!V615)</f>
        <v>6.86009528849324</v>
      </c>
      <c r="W626" s="20" t="n">
        <f aca="false">Operations!W605*Operations!W588*(1-Operations!W615)</f>
        <v>6.72949198860878</v>
      </c>
      <c r="X626" s="20" t="n">
        <f aca="false">Operations!X605*Operations!X588*(1-Operations!X615)</f>
        <v>6.83272498398019</v>
      </c>
      <c r="Y626" s="20" t="n">
        <f aca="false">Operations!Y605*Operations!Y588*(1-Operations!Y615)</f>
        <v>6.93839037040755</v>
      </c>
      <c r="Z626" s="20" t="n">
        <f aca="false">Operations!Z605*Operations!Z588*(1-Operations!Z615)</f>
        <v>7.04528775254682</v>
      </c>
      <c r="AA626" s="20" t="n">
        <f aca="false">Operations!AA605*Operations!AA588*(1-Operations!AA615)</f>
        <v>7.15339345665161</v>
      </c>
      <c r="AB626" s="20" t="n">
        <f aca="false">Operations!AB605*Operations!AB588*(1-Operations!AB615)</f>
        <v>7.26383429497666</v>
      </c>
      <c r="AC626" s="20" t="n">
        <f aca="false">Operations!AC605*Operations!AC588*(1-Operations!AC615)</f>
        <v>7.37542645903752</v>
      </c>
      <c r="AD626" s="20" t="n">
        <f aca="false">Operations!AD605*Operations!AD588*(1-Operations!AD615)</f>
        <v>7.48928696671558</v>
      </c>
      <c r="AE626" s="20" t="n">
        <f aca="false">Operations!AE605*Operations!AE588*(1-Operations!AE615)</f>
        <v>7.60424296196702</v>
      </c>
      <c r="AF626" s="20" t="n">
        <f aca="false">Operations!AF605*Operations!AF588*(1-Operations!AF615)</f>
        <v>7.72140175229695</v>
      </c>
      <c r="AG626" s="20" t="n">
        <f aca="false">Operations!AG605*Operations!AG588*(1-Operations!AG615)</f>
        <v>7.84072593393384</v>
      </c>
      <c r="AH626" s="20" t="n">
        <f aca="false">Operations!AH605*Operations!AH588*(1-Operations!AH615)</f>
        <v>7.96105892235809</v>
      </c>
      <c r="AI626" s="20" t="n">
        <f aca="false">Operations!AI605*Operations!AI588*(1-Operations!AI615)</f>
        <v>8.08349364958879</v>
      </c>
      <c r="AJ626" s="20" t="n">
        <f aca="false">Operations!AJ605*Operations!AJ588*(1-Operations!AJ615)</f>
        <v>8.20799371743684</v>
      </c>
      <c r="AK626" s="20" t="n">
        <f aca="false">Operations!AK605*Operations!AK588*(1-Operations!AK615)</f>
        <v>8.33452308044274</v>
      </c>
      <c r="AL626" s="20" t="n">
        <f aca="false">Operations!AL605*Operations!AL588*(1-Operations!AL615)</f>
        <v>8.46304604313438</v>
      </c>
      <c r="AM626" s="20" t="n">
        <f aca="false">Operations!AM605*Operations!AM588*(1-Operations!AM615)</f>
        <v>8.59352725730376</v>
      </c>
      <c r="AN626" s="20" t="n">
        <f aca="false">Operations!AN605*Operations!AN588*(1-Operations!AN615)</f>
        <v>8.72593171930255</v>
      </c>
      <c r="AO626" s="20" t="n">
        <f aca="false">Operations!AO605*Operations!AO588*(1-Operations!AO615)</f>
        <v>8.86022476735622</v>
      </c>
      <c r="AP626" s="20" t="n">
        <f aca="false">Operations!AP605*Operations!AP588*(1-Operations!AP615)</f>
        <v>8.99637207889677</v>
      </c>
      <c r="AQ626" s="20" t="n">
        <f aca="false">Operations!AQ605*Operations!AQ588*(1-Operations!AQ615)</f>
        <v>7.60867414071092</v>
      </c>
      <c r="AR626" s="20" t="n">
        <f aca="false">Operations!AR605*Operations!AR588*(1-Operations!AR615)</f>
        <v>0</v>
      </c>
      <c r="AS626" s="20" t="n">
        <f aca="false">Operations!AS605*Operations!AS588*(1-Operations!AS615)</f>
        <v>0</v>
      </c>
      <c r="AT626" s="20" t="n">
        <f aca="false">Operations!AT605*Operations!AT588*(1-Operations!AT615)</f>
        <v>0</v>
      </c>
      <c r="AU626" s="20" t="n">
        <f aca="false">Operations!AU605*Operations!AU588*(1-Operations!AU615)</f>
        <v>0</v>
      </c>
    </row>
    <row r="627" customFormat="false" ht="15" hidden="false" customHeight="false" outlineLevel="0" collapsed="false">
      <c r="D627" s="19" t="s">
        <v>627</v>
      </c>
    </row>
    <row r="628" customFormat="false" ht="15" hidden="false" customHeight="false" outlineLevel="0" collapsed="false">
      <c r="D628" s="0" t="s">
        <v>628</v>
      </c>
      <c r="E628" s="0" t="s">
        <v>458</v>
      </c>
      <c r="J628" s="14" t="n">
        <f aca="false">MAX(0,MIN(Inputs!$F$134,Time!J$6)-MAX(Inputs!$F$133,Time!J$5))/Time!J$7</f>
        <v>1</v>
      </c>
      <c r="K628" s="14" t="n">
        <f aca="false">MAX(0,MIN(Inputs!$F$134,Time!K$6)-MAX(Inputs!$F$133,Time!K$5))/Time!K$7</f>
        <v>1</v>
      </c>
      <c r="L628" s="14" t="n">
        <f aca="false">MAX(0,MIN(Inputs!$F$134,Time!L$6)-MAX(Inputs!$F$133,Time!L$5))/Time!L$7</f>
        <v>1</v>
      </c>
      <c r="M628" s="14" t="n">
        <f aca="false">MAX(0,MIN(Inputs!$F$134,Time!M$6)-MAX(Inputs!$F$133,Time!M$5))/Time!M$7</f>
        <v>1</v>
      </c>
      <c r="N628" s="14" t="n">
        <f aca="false">MAX(0,MIN(Inputs!$F$134,Time!N$6)-MAX(Inputs!$F$133,Time!N$5))/Time!N$7</f>
        <v>1</v>
      </c>
      <c r="O628" s="14" t="n">
        <f aca="false">MAX(0,MIN(Inputs!$F$134,Time!O$6)-MAX(Inputs!$F$133,Time!O$5))/Time!O$7</f>
        <v>1</v>
      </c>
      <c r="P628" s="14" t="n">
        <f aca="false">MAX(0,MIN(Inputs!$F$134,Time!P$6)-MAX(Inputs!$F$133,Time!P$5))/Time!P$7</f>
        <v>1</v>
      </c>
      <c r="Q628" s="14" t="n">
        <f aca="false">MAX(0,MIN(Inputs!$F$134,Time!Q$6)-MAX(Inputs!$F$133,Time!Q$5))/Time!Q$7</f>
        <v>1</v>
      </c>
      <c r="R628" s="14" t="n">
        <f aca="false">MAX(0,MIN(Inputs!$F$134,Time!R$6)-MAX(Inputs!$F$133,Time!R$5))/Time!R$7</f>
        <v>1</v>
      </c>
      <c r="S628" s="14" t="n">
        <f aca="false">MAX(0,MIN(Inputs!$F$134,Time!S$6)-MAX(Inputs!$F$133,Time!S$5))/Time!S$7</f>
        <v>1</v>
      </c>
      <c r="T628" s="14" t="n">
        <f aca="false">MAX(0,MIN(Inputs!$F$134,Time!T$6)-MAX(Inputs!$F$133,Time!T$5))/Time!T$7</f>
        <v>1</v>
      </c>
      <c r="U628" s="14" t="n">
        <f aca="false">MAX(0,MIN(Inputs!$F$134,Time!U$6)-MAX(Inputs!$F$133,Time!U$5))/Time!U$7</f>
        <v>1</v>
      </c>
      <c r="V628" s="14" t="n">
        <f aca="false">MAX(0,MIN(Inputs!$F$134,Time!V$6)-MAX(Inputs!$F$133,Time!V$5))/Time!V$7</f>
        <v>1</v>
      </c>
      <c r="W628" s="14" t="n">
        <f aca="false">MAX(0,MIN(Inputs!$F$134,Time!W$6)-MAX(Inputs!$F$133,Time!W$5))/Time!W$7</f>
        <v>1</v>
      </c>
      <c r="X628" s="14" t="n">
        <f aca="false">MAX(0,MIN(Inputs!$F$134,Time!X$6)-MAX(Inputs!$F$133,Time!X$5))/Time!X$7</f>
        <v>1</v>
      </c>
      <c r="Y628" s="14" t="n">
        <f aca="false">MAX(0,MIN(Inputs!$F$134,Time!Y$6)-MAX(Inputs!$F$133,Time!Y$5))/Time!Y$7</f>
        <v>1</v>
      </c>
      <c r="Z628" s="14" t="n">
        <f aca="false">MAX(0,MIN(Inputs!$F$134,Time!Z$6)-MAX(Inputs!$F$133,Time!Z$5))/Time!Z$7</f>
        <v>1</v>
      </c>
      <c r="AA628" s="14" t="n">
        <f aca="false">MAX(0,MIN(Inputs!$F$134,Time!AA$6)-MAX(Inputs!$F$133,Time!AA$5))/Time!AA$7</f>
        <v>1</v>
      </c>
      <c r="AB628" s="14" t="n">
        <f aca="false">MAX(0,MIN(Inputs!$F$134,Time!AB$6)-MAX(Inputs!$F$133,Time!AB$5))/Time!AB$7</f>
        <v>1</v>
      </c>
      <c r="AC628" s="14" t="n">
        <f aca="false">MAX(0,MIN(Inputs!$F$134,Time!AC$6)-MAX(Inputs!$F$133,Time!AC$5))/Time!AC$7</f>
        <v>1</v>
      </c>
      <c r="AD628" s="14" t="n">
        <f aca="false">MAX(0,MIN(Inputs!$F$134,Time!AD$6)-MAX(Inputs!$F$133,Time!AD$5))/Time!AD$7</f>
        <v>1</v>
      </c>
      <c r="AE628" s="14" t="n">
        <f aca="false">MAX(0,MIN(Inputs!$F$134,Time!AE$6)-MAX(Inputs!$F$133,Time!AE$5))/Time!AE$7</f>
        <v>1</v>
      </c>
      <c r="AF628" s="14" t="n">
        <f aca="false">MAX(0,MIN(Inputs!$F$134,Time!AF$6)-MAX(Inputs!$F$133,Time!AF$5))/Time!AF$7</f>
        <v>1</v>
      </c>
      <c r="AG628" s="14" t="n">
        <f aca="false">MAX(0,MIN(Inputs!$F$134,Time!AG$6)-MAX(Inputs!$F$133,Time!AG$5))/Time!AG$7</f>
        <v>1</v>
      </c>
      <c r="AH628" s="14" t="n">
        <f aca="false">MAX(0,MIN(Inputs!$F$134,Time!AH$6)-MAX(Inputs!$F$133,Time!AH$5))/Time!AH$7</f>
        <v>1</v>
      </c>
      <c r="AI628" s="14" t="n">
        <f aca="false">MAX(0,MIN(Inputs!$F$134,Time!AI$6)-MAX(Inputs!$F$133,Time!AI$5))/Time!AI$7</f>
        <v>1</v>
      </c>
      <c r="AJ628" s="14" t="n">
        <f aca="false">MAX(0,MIN(Inputs!$F$134,Time!AJ$6)-MAX(Inputs!$F$133,Time!AJ$5))/Time!AJ$7</f>
        <v>1</v>
      </c>
      <c r="AK628" s="14" t="n">
        <f aca="false">MAX(0,MIN(Inputs!$F$134,Time!AK$6)-MAX(Inputs!$F$133,Time!AK$5))/Time!AK$7</f>
        <v>1</v>
      </c>
      <c r="AL628" s="14" t="n">
        <f aca="false">MAX(0,MIN(Inputs!$F$134,Time!AL$6)-MAX(Inputs!$F$133,Time!AL$5))/Time!AL$7</f>
        <v>1</v>
      </c>
      <c r="AM628" s="14" t="n">
        <f aca="false">MAX(0,MIN(Inputs!$F$134,Time!AM$6)-MAX(Inputs!$F$133,Time!AM$5))/Time!AM$7</f>
        <v>1</v>
      </c>
      <c r="AN628" s="14" t="n">
        <f aca="false">MAX(0,MIN(Inputs!$F$134,Time!AN$6)-MAX(Inputs!$F$133,Time!AN$5))/Time!AN$7</f>
        <v>1</v>
      </c>
      <c r="AO628" s="14" t="n">
        <f aca="false">MAX(0,MIN(Inputs!$F$134,Time!AO$6)-MAX(Inputs!$F$133,Time!AO$5))/Time!AO$7</f>
        <v>1</v>
      </c>
      <c r="AP628" s="14" t="n">
        <f aca="false">MAX(0,MIN(Inputs!$F$134,Time!AP$6)-MAX(Inputs!$F$133,Time!AP$5))/Time!AP$7</f>
        <v>1</v>
      </c>
      <c r="AQ628" s="14" t="n">
        <f aca="false">MAX(0,MIN(Inputs!$F$134,Time!AQ$6)-MAX(Inputs!$F$133,Time!AQ$5))/Time!AQ$7</f>
        <v>1</v>
      </c>
      <c r="AR628" s="14" t="n">
        <f aca="false">MAX(0,MIN(Inputs!$F$134,Time!AR$6)-MAX(Inputs!$F$133,Time!AR$5))/Time!AR$7</f>
        <v>0.497267759562842</v>
      </c>
      <c r="AS628" s="14" t="n">
        <f aca="false">MAX(0,MIN(Inputs!$F$134,Time!AS$6)-MAX(Inputs!$F$133,Time!AS$5))/Time!AS$7</f>
        <v>0</v>
      </c>
      <c r="AT628" s="14" t="n">
        <f aca="false">MAX(0,MIN(Inputs!$F$134,Time!AT$6)-MAX(Inputs!$F$133,Time!AT$5))/Time!AT$7</f>
        <v>0</v>
      </c>
      <c r="AU628" s="14" t="n">
        <f aca="false">MAX(0,MIN(Inputs!$F$134,Time!AU$6)-MAX(Inputs!$F$133,Time!AU$5))/Time!AU$7</f>
        <v>0</v>
      </c>
    </row>
    <row r="629" customFormat="false" ht="15" hidden="false" customHeight="false" outlineLevel="0" collapsed="false">
      <c r="D629" s="0" t="s">
        <v>629</v>
      </c>
      <c r="E629" s="0" t="s">
        <v>458</v>
      </c>
      <c r="J629" s="14" t="n">
        <f aca="false">MAX(0,MIN(Inputs!$F$134,Time!J$6)-MAX(MAX(Inputs!$F$135,Inputs!$F$133),Time!J$5))/Time!J$7</f>
        <v>0.778082191780822</v>
      </c>
      <c r="K629" s="14" t="n">
        <f aca="false">MAX(0,MIN(Inputs!$F$134,Time!K$6)-MAX(MAX(Inputs!$F$135,Inputs!$F$133),Time!K$5))/Time!K$7</f>
        <v>1</v>
      </c>
      <c r="L629" s="14" t="n">
        <f aca="false">MAX(0,MIN(Inputs!$F$134,Time!L$6)-MAX(MAX(Inputs!$F$135,Inputs!$F$133),Time!L$5))/Time!L$7</f>
        <v>1</v>
      </c>
      <c r="M629" s="14" t="n">
        <f aca="false">MAX(0,MIN(Inputs!$F$134,Time!M$6)-MAX(MAX(Inputs!$F$135,Inputs!$F$133),Time!M$5))/Time!M$7</f>
        <v>1</v>
      </c>
      <c r="N629" s="14" t="n">
        <f aca="false">MAX(0,MIN(Inputs!$F$134,Time!N$6)-MAX(MAX(Inputs!$F$135,Inputs!$F$133),Time!N$5))/Time!N$7</f>
        <v>1</v>
      </c>
      <c r="O629" s="14" t="n">
        <f aca="false">MAX(0,MIN(Inputs!$F$134,Time!O$6)-MAX(MAX(Inputs!$F$135,Inputs!$F$133),Time!O$5))/Time!O$7</f>
        <v>1</v>
      </c>
      <c r="P629" s="14" t="n">
        <f aca="false">MAX(0,MIN(Inputs!$F$134,Time!P$6)-MAX(MAX(Inputs!$F$135,Inputs!$F$133),Time!P$5))/Time!P$7</f>
        <v>1</v>
      </c>
      <c r="Q629" s="14" t="n">
        <f aca="false">MAX(0,MIN(Inputs!$F$134,Time!Q$6)-MAX(MAX(Inputs!$F$135,Inputs!$F$133),Time!Q$5))/Time!Q$7</f>
        <v>1</v>
      </c>
      <c r="R629" s="14" t="n">
        <f aca="false">MAX(0,MIN(Inputs!$F$134,Time!R$6)-MAX(MAX(Inputs!$F$135,Inputs!$F$133),Time!R$5))/Time!R$7</f>
        <v>1</v>
      </c>
      <c r="S629" s="14" t="n">
        <f aca="false">MAX(0,MIN(Inputs!$F$134,Time!S$6)-MAX(MAX(Inputs!$F$135,Inputs!$F$133),Time!S$5))/Time!S$7</f>
        <v>1</v>
      </c>
      <c r="T629" s="14" t="n">
        <f aca="false">MAX(0,MIN(Inputs!$F$134,Time!T$6)-MAX(MAX(Inputs!$F$135,Inputs!$F$133),Time!T$5))/Time!T$7</f>
        <v>1</v>
      </c>
      <c r="U629" s="14" t="n">
        <f aca="false">MAX(0,MIN(Inputs!$F$134,Time!U$6)-MAX(MAX(Inputs!$F$135,Inputs!$F$133),Time!U$5))/Time!U$7</f>
        <v>1</v>
      </c>
      <c r="V629" s="14" t="n">
        <f aca="false">MAX(0,MIN(Inputs!$F$134,Time!V$6)-MAX(MAX(Inputs!$F$135,Inputs!$F$133),Time!V$5))/Time!V$7</f>
        <v>1</v>
      </c>
      <c r="W629" s="14" t="n">
        <f aca="false">MAX(0,MIN(Inputs!$F$134,Time!W$6)-MAX(MAX(Inputs!$F$135,Inputs!$F$133),Time!W$5))/Time!W$7</f>
        <v>1</v>
      </c>
      <c r="X629" s="14" t="n">
        <f aca="false">MAX(0,MIN(Inputs!$F$134,Time!X$6)-MAX(MAX(Inputs!$F$135,Inputs!$F$133),Time!X$5))/Time!X$7</f>
        <v>1</v>
      </c>
      <c r="Y629" s="14" t="n">
        <f aca="false">MAX(0,MIN(Inputs!$F$134,Time!Y$6)-MAX(MAX(Inputs!$F$135,Inputs!$F$133),Time!Y$5))/Time!Y$7</f>
        <v>1</v>
      </c>
      <c r="Z629" s="14" t="n">
        <f aca="false">MAX(0,MIN(Inputs!$F$134,Time!Z$6)-MAX(MAX(Inputs!$F$135,Inputs!$F$133),Time!Z$5))/Time!Z$7</f>
        <v>1</v>
      </c>
      <c r="AA629" s="14" t="n">
        <f aca="false">MAX(0,MIN(Inputs!$F$134,Time!AA$6)-MAX(MAX(Inputs!$F$135,Inputs!$F$133),Time!AA$5))/Time!AA$7</f>
        <v>1</v>
      </c>
      <c r="AB629" s="14" t="n">
        <f aca="false">MAX(0,MIN(Inputs!$F$134,Time!AB$6)-MAX(MAX(Inputs!$F$135,Inputs!$F$133),Time!AB$5))/Time!AB$7</f>
        <v>1</v>
      </c>
      <c r="AC629" s="14" t="n">
        <f aca="false">MAX(0,MIN(Inputs!$F$134,Time!AC$6)-MAX(MAX(Inputs!$F$135,Inputs!$F$133),Time!AC$5))/Time!AC$7</f>
        <v>1</v>
      </c>
      <c r="AD629" s="14" t="n">
        <f aca="false">MAX(0,MIN(Inputs!$F$134,Time!AD$6)-MAX(MAX(Inputs!$F$135,Inputs!$F$133),Time!AD$5))/Time!AD$7</f>
        <v>1</v>
      </c>
      <c r="AE629" s="14" t="n">
        <f aca="false">MAX(0,MIN(Inputs!$F$134,Time!AE$6)-MAX(MAX(Inputs!$F$135,Inputs!$F$133),Time!AE$5))/Time!AE$7</f>
        <v>1</v>
      </c>
      <c r="AF629" s="14" t="n">
        <f aca="false">MAX(0,MIN(Inputs!$F$134,Time!AF$6)-MAX(MAX(Inputs!$F$135,Inputs!$F$133),Time!AF$5))/Time!AF$7</f>
        <v>1</v>
      </c>
      <c r="AG629" s="14" t="n">
        <f aca="false">MAX(0,MIN(Inputs!$F$134,Time!AG$6)-MAX(MAX(Inputs!$F$135,Inputs!$F$133),Time!AG$5))/Time!AG$7</f>
        <v>1</v>
      </c>
      <c r="AH629" s="14" t="n">
        <f aca="false">MAX(0,MIN(Inputs!$F$134,Time!AH$6)-MAX(MAX(Inputs!$F$135,Inputs!$F$133),Time!AH$5))/Time!AH$7</f>
        <v>1</v>
      </c>
      <c r="AI629" s="14" t="n">
        <f aca="false">MAX(0,MIN(Inputs!$F$134,Time!AI$6)-MAX(MAX(Inputs!$F$135,Inputs!$F$133),Time!AI$5))/Time!AI$7</f>
        <v>1</v>
      </c>
      <c r="AJ629" s="14" t="n">
        <f aca="false">MAX(0,MIN(Inputs!$F$134,Time!AJ$6)-MAX(MAX(Inputs!$F$135,Inputs!$F$133),Time!AJ$5))/Time!AJ$7</f>
        <v>1</v>
      </c>
      <c r="AK629" s="14" t="n">
        <f aca="false">MAX(0,MIN(Inputs!$F$134,Time!AK$6)-MAX(MAX(Inputs!$F$135,Inputs!$F$133),Time!AK$5))/Time!AK$7</f>
        <v>1</v>
      </c>
      <c r="AL629" s="14" t="n">
        <f aca="false">MAX(0,MIN(Inputs!$F$134,Time!AL$6)-MAX(MAX(Inputs!$F$135,Inputs!$F$133),Time!AL$5))/Time!AL$7</f>
        <v>1</v>
      </c>
      <c r="AM629" s="14" t="n">
        <f aca="false">MAX(0,MIN(Inputs!$F$134,Time!AM$6)-MAX(MAX(Inputs!$F$135,Inputs!$F$133),Time!AM$5))/Time!AM$7</f>
        <v>1</v>
      </c>
      <c r="AN629" s="14" t="n">
        <f aca="false">MAX(0,MIN(Inputs!$F$134,Time!AN$6)-MAX(MAX(Inputs!$F$135,Inputs!$F$133),Time!AN$5))/Time!AN$7</f>
        <v>1</v>
      </c>
      <c r="AO629" s="14" t="n">
        <f aca="false">MAX(0,MIN(Inputs!$F$134,Time!AO$6)-MAX(MAX(Inputs!$F$135,Inputs!$F$133),Time!AO$5))/Time!AO$7</f>
        <v>1</v>
      </c>
      <c r="AP629" s="14" t="n">
        <f aca="false">MAX(0,MIN(Inputs!$F$134,Time!AP$6)-MAX(MAX(Inputs!$F$135,Inputs!$F$133),Time!AP$5))/Time!AP$7</f>
        <v>1</v>
      </c>
      <c r="AQ629" s="14" t="n">
        <f aca="false">MAX(0,MIN(Inputs!$F$134,Time!AQ$6)-MAX(MAX(Inputs!$F$135,Inputs!$F$133),Time!AQ$5))/Time!AQ$7</f>
        <v>1</v>
      </c>
      <c r="AR629" s="14" t="n">
        <f aca="false">MAX(0,MIN(Inputs!$F$134,Time!AR$6)-MAX(MAX(Inputs!$F$135,Inputs!$F$133),Time!AR$5))/Time!AR$7</f>
        <v>0.497267759562842</v>
      </c>
      <c r="AS629" s="14" t="n">
        <f aca="false">MAX(0,MIN(Inputs!$F$134,Time!AS$6)-MAX(MAX(Inputs!$F$135,Inputs!$F$133),Time!AS$5))/Time!AS$7</f>
        <v>0</v>
      </c>
      <c r="AT629" s="14" t="n">
        <f aca="false">MAX(0,MIN(Inputs!$F$134,Time!AT$6)-MAX(MAX(Inputs!$F$135,Inputs!$F$133),Time!AT$5))/Time!AT$7</f>
        <v>0</v>
      </c>
      <c r="AU629" s="14" t="n">
        <f aca="false">MAX(0,MIN(Inputs!$F$134,Time!AU$6)-MAX(MAX(Inputs!$F$135,Inputs!$F$133),Time!AU$5))/Time!AU$7</f>
        <v>0</v>
      </c>
    </row>
    <row r="630" customFormat="false" ht="15" hidden="false" customHeight="false" outlineLevel="0" collapsed="false">
      <c r="D630" s="0" t="s">
        <v>630</v>
      </c>
      <c r="E630" s="0" t="s">
        <v>458</v>
      </c>
      <c r="J630" s="14" t="n">
        <f aca="false">IF(Operations!J628&gt;0,Operations!J629/Operations!J628,0)</f>
        <v>0.778082191780822</v>
      </c>
      <c r="K630" s="14" t="n">
        <f aca="false">IF(Operations!K628&gt;0,Operations!K629/Operations!K628,0)</f>
        <v>1</v>
      </c>
      <c r="L630" s="14" t="n">
        <f aca="false">IF(Operations!L628&gt;0,Operations!L629/Operations!L628,0)</f>
        <v>1</v>
      </c>
      <c r="M630" s="14" t="n">
        <f aca="false">IF(Operations!M628&gt;0,Operations!M629/Operations!M628,0)</f>
        <v>1</v>
      </c>
      <c r="N630" s="14" t="n">
        <f aca="false">IF(Operations!N628&gt;0,Operations!N629/Operations!N628,0)</f>
        <v>1</v>
      </c>
      <c r="O630" s="14" t="n">
        <f aca="false">IF(Operations!O628&gt;0,Operations!O629/Operations!O628,0)</f>
        <v>1</v>
      </c>
      <c r="P630" s="14" t="n">
        <f aca="false">IF(Operations!P628&gt;0,Operations!P629/Operations!P628,0)</f>
        <v>1</v>
      </c>
      <c r="Q630" s="14" t="n">
        <f aca="false">IF(Operations!Q628&gt;0,Operations!Q629/Operations!Q628,0)</f>
        <v>1</v>
      </c>
      <c r="R630" s="14" t="n">
        <f aca="false">IF(Operations!R628&gt;0,Operations!R629/Operations!R628,0)</f>
        <v>1</v>
      </c>
      <c r="S630" s="14" t="n">
        <f aca="false">IF(Operations!S628&gt;0,Operations!S629/Operations!S628,0)</f>
        <v>1</v>
      </c>
      <c r="T630" s="14" t="n">
        <f aca="false">IF(Operations!T628&gt;0,Operations!T629/Operations!T628,0)</f>
        <v>1</v>
      </c>
      <c r="U630" s="14" t="n">
        <f aca="false">IF(Operations!U628&gt;0,Operations!U629/Operations!U628,0)</f>
        <v>1</v>
      </c>
      <c r="V630" s="14" t="n">
        <f aca="false">IF(Operations!V628&gt;0,Operations!V629/Operations!V628,0)</f>
        <v>1</v>
      </c>
      <c r="W630" s="14" t="n">
        <f aca="false">IF(Operations!W628&gt;0,Operations!W629/Operations!W628,0)</f>
        <v>1</v>
      </c>
      <c r="X630" s="14" t="n">
        <f aca="false">IF(Operations!X628&gt;0,Operations!X629/Operations!X628,0)</f>
        <v>1</v>
      </c>
      <c r="Y630" s="14" t="n">
        <f aca="false">IF(Operations!Y628&gt;0,Operations!Y629/Operations!Y628,0)</f>
        <v>1</v>
      </c>
      <c r="Z630" s="14" t="n">
        <f aca="false">IF(Operations!Z628&gt;0,Operations!Z629/Operations!Z628,0)</f>
        <v>1</v>
      </c>
      <c r="AA630" s="14" t="n">
        <f aca="false">IF(Operations!AA628&gt;0,Operations!AA629/Operations!AA628,0)</f>
        <v>1</v>
      </c>
      <c r="AB630" s="14" t="n">
        <f aca="false">IF(Operations!AB628&gt;0,Operations!AB629/Operations!AB628,0)</f>
        <v>1</v>
      </c>
      <c r="AC630" s="14" t="n">
        <f aca="false">IF(Operations!AC628&gt;0,Operations!AC629/Operations!AC628,0)</f>
        <v>1</v>
      </c>
      <c r="AD630" s="14" t="n">
        <f aca="false">IF(Operations!AD628&gt;0,Operations!AD629/Operations!AD628,0)</f>
        <v>1</v>
      </c>
      <c r="AE630" s="14" t="n">
        <f aca="false">IF(Operations!AE628&gt;0,Operations!AE629/Operations!AE628,0)</f>
        <v>1</v>
      </c>
      <c r="AF630" s="14" t="n">
        <f aca="false">IF(Operations!AF628&gt;0,Operations!AF629/Operations!AF628,0)</f>
        <v>1</v>
      </c>
      <c r="AG630" s="14" t="n">
        <f aca="false">IF(Operations!AG628&gt;0,Operations!AG629/Operations!AG628,0)</f>
        <v>1</v>
      </c>
      <c r="AH630" s="14" t="n">
        <f aca="false">IF(Operations!AH628&gt;0,Operations!AH629/Operations!AH628,0)</f>
        <v>1</v>
      </c>
      <c r="AI630" s="14" t="n">
        <f aca="false">IF(Operations!AI628&gt;0,Operations!AI629/Operations!AI628,0)</f>
        <v>1</v>
      </c>
      <c r="AJ630" s="14" t="n">
        <f aca="false">IF(Operations!AJ628&gt;0,Operations!AJ629/Operations!AJ628,0)</f>
        <v>1</v>
      </c>
      <c r="AK630" s="14" t="n">
        <f aca="false">IF(Operations!AK628&gt;0,Operations!AK629/Operations!AK628,0)</f>
        <v>1</v>
      </c>
      <c r="AL630" s="14" t="n">
        <f aca="false">IF(Operations!AL628&gt;0,Operations!AL629/Operations!AL628,0)</f>
        <v>1</v>
      </c>
      <c r="AM630" s="14" t="n">
        <f aca="false">IF(Operations!AM628&gt;0,Operations!AM629/Operations!AM628,0)</f>
        <v>1</v>
      </c>
      <c r="AN630" s="14" t="n">
        <f aca="false">IF(Operations!AN628&gt;0,Operations!AN629/Operations!AN628,0)</f>
        <v>1</v>
      </c>
      <c r="AO630" s="14" t="n">
        <f aca="false">IF(Operations!AO628&gt;0,Operations!AO629/Operations!AO628,0)</f>
        <v>1</v>
      </c>
      <c r="AP630" s="14" t="n">
        <f aca="false">IF(Operations!AP628&gt;0,Operations!AP629/Operations!AP628,0)</f>
        <v>1</v>
      </c>
      <c r="AQ630" s="14" t="n">
        <f aca="false">IF(Operations!AQ628&gt;0,Operations!AQ629/Operations!AQ628,0)</f>
        <v>1</v>
      </c>
      <c r="AR630" s="14" t="n">
        <f aca="false">IF(Operations!AR628&gt;0,Operations!AR629/Operations!AR628,0)</f>
        <v>1</v>
      </c>
      <c r="AS630" s="14" t="n">
        <f aca="false">IF(Operations!AS628&gt;0,Operations!AS629/Operations!AS628,0)</f>
        <v>0</v>
      </c>
      <c r="AT630" s="14" t="n">
        <f aca="false">IF(Operations!AT628&gt;0,Operations!AT629/Operations!AT628,0)</f>
        <v>0</v>
      </c>
      <c r="AU630" s="14" t="n">
        <f aca="false">IF(Operations!AU628&gt;0,Operations!AU629/Operations!AU628,0)</f>
        <v>0</v>
      </c>
    </row>
    <row r="631" customFormat="false" ht="15" hidden="false" customHeight="false" outlineLevel="0" collapsed="false">
      <c r="D631" s="0" t="s">
        <v>631</v>
      </c>
      <c r="E631" s="0" t="s">
        <v>96</v>
      </c>
      <c r="J631" s="18" t="n">
        <f aca="false">Operations!J448</f>
        <v>72.2128</v>
      </c>
      <c r="K631" s="18" t="n">
        <f aca="false">Operations!K448</f>
        <v>59.2416</v>
      </c>
      <c r="L631" s="18" t="n">
        <f aca="false">Operations!L448</f>
        <v>29.1368</v>
      </c>
      <c r="M631" s="18" t="n">
        <f aca="false">Operations!M448</f>
        <v>38.5264</v>
      </c>
      <c r="N631" s="18" t="n">
        <f aca="false">Operations!N448</f>
        <v>43.1728</v>
      </c>
      <c r="O631" s="18" t="n">
        <f aca="false">Operations!O448</f>
        <v>45.7864</v>
      </c>
      <c r="P631" s="18" t="n">
        <f aca="false">Operations!P448</f>
        <v>47.5288</v>
      </c>
      <c r="Q631" s="18" t="n">
        <f aca="false">Operations!Q448</f>
        <v>48.7872</v>
      </c>
      <c r="R631" s="18" t="n">
        <f aca="false">Operations!R448</f>
        <v>50.1424</v>
      </c>
      <c r="S631" s="18" t="n">
        <f aca="false">Operations!S448</f>
        <v>51.14912</v>
      </c>
      <c r="T631" s="18" t="n">
        <f aca="false">Operations!T448</f>
        <v>52.1752</v>
      </c>
      <c r="U631" s="18" t="n">
        <f aca="false">Operations!U448</f>
        <v>53.22064</v>
      </c>
      <c r="V631" s="18" t="n">
        <f aca="false">Operations!V448</f>
        <v>54.28544</v>
      </c>
      <c r="W631" s="18" t="n">
        <f aca="false">Operations!W448</f>
        <v>55.3696</v>
      </c>
      <c r="X631" s="18" t="n">
        <f aca="false">Operations!X448</f>
        <v>56.47312</v>
      </c>
      <c r="Y631" s="18" t="n">
        <f aca="false">Operations!Y448</f>
        <v>57.60568</v>
      </c>
      <c r="Z631" s="18" t="n">
        <f aca="false">Operations!Z448</f>
        <v>58.7576</v>
      </c>
      <c r="AA631" s="18" t="n">
        <f aca="false">Operations!AA448</f>
        <v>59.92888</v>
      </c>
      <c r="AB631" s="18" t="n">
        <f aca="false">Operations!AB448</f>
        <v>61.1292</v>
      </c>
      <c r="AC631" s="18" t="n">
        <f aca="false">Operations!AC448</f>
        <v>62.34888</v>
      </c>
      <c r="AD631" s="18" t="n">
        <f aca="false">Operations!AD448</f>
        <v>63.5976</v>
      </c>
      <c r="AE631" s="18" t="n">
        <f aca="false">Operations!AE448</f>
        <v>64.86568</v>
      </c>
      <c r="AF631" s="18" t="n">
        <f aca="false">Operations!AF448</f>
        <v>66.1628</v>
      </c>
      <c r="AG631" s="18" t="n">
        <f aca="false">Operations!AG448</f>
        <v>67.48896</v>
      </c>
      <c r="AH631" s="18" t="n">
        <f aca="false">Operations!AH448</f>
        <v>68.83448</v>
      </c>
      <c r="AI631" s="18" t="n">
        <f aca="false">Operations!AI448</f>
        <v>70.20904</v>
      </c>
      <c r="AJ631" s="18" t="n">
        <f aca="false">Operations!AJ448</f>
        <v>71.61264</v>
      </c>
      <c r="AK631" s="18" t="n">
        <f aca="false">Operations!AK448</f>
        <v>73.04528</v>
      </c>
      <c r="AL631" s="18" t="n">
        <f aca="false">Operations!AL448</f>
        <v>74.50696</v>
      </c>
      <c r="AM631" s="18" t="n">
        <f aca="false">Operations!AM448</f>
        <v>75.99768</v>
      </c>
      <c r="AN631" s="18" t="n">
        <f aca="false">Operations!AN448</f>
        <v>77.51744</v>
      </c>
      <c r="AO631" s="18" t="n">
        <f aca="false">Operations!AO448</f>
        <v>79.06624</v>
      </c>
      <c r="AP631" s="18" t="n">
        <f aca="false">Operations!AP448</f>
        <v>80.64408</v>
      </c>
      <c r="AQ631" s="18" t="n">
        <f aca="false">Operations!AQ448</f>
        <v>82.26064</v>
      </c>
      <c r="AR631" s="18" t="n">
        <f aca="false">Operations!AR448</f>
        <v>83.90624</v>
      </c>
      <c r="AS631" s="18" t="n">
        <f aca="false">Operations!AS448</f>
        <v>85.58088</v>
      </c>
      <c r="AT631" s="18" t="n">
        <f aca="false">Operations!AT448</f>
        <v>87.29424</v>
      </c>
      <c r="AU631" s="18" t="n">
        <f aca="false">Operations!AU448</f>
        <v>89.03664</v>
      </c>
    </row>
    <row r="632" customFormat="false" ht="15" hidden="false" customHeight="false" outlineLevel="0" collapsed="false">
      <c r="D632" s="0" t="s">
        <v>632</v>
      </c>
      <c r="E632" s="0" t="s">
        <v>27</v>
      </c>
      <c r="J632" s="14" t="n">
        <f aca="false">CHOOSE(Operations!$F$442,1,Inputs!$F$139/100,Inputs!$F$140/100,Operations!$F$36/100)</f>
        <v>1</v>
      </c>
      <c r="K632" s="14" t="n">
        <f aca="false">CHOOSE(Operations!$F$442,1,Inputs!$F$139/100,Inputs!$F$140/100,Operations!$F$36/100)</f>
        <v>1</v>
      </c>
      <c r="L632" s="14" t="n">
        <f aca="false">CHOOSE(Operations!$F$442,1,Inputs!$F$139/100,Inputs!$F$140/100,Operations!$F$36/100)</f>
        <v>1</v>
      </c>
      <c r="M632" s="14" t="n">
        <f aca="false">CHOOSE(Operations!$F$442,1,Inputs!$F$139/100,Inputs!$F$140/100,Operations!$F$36/100)</f>
        <v>1</v>
      </c>
      <c r="N632" s="14" t="n">
        <f aca="false">CHOOSE(Operations!$F$442,1,Inputs!$F$139/100,Inputs!$F$140/100,Operations!$F$36/100)</f>
        <v>1</v>
      </c>
      <c r="O632" s="14" t="n">
        <f aca="false">CHOOSE(Operations!$F$442,1,Inputs!$F$139/100,Inputs!$F$140/100,Operations!$F$36/100)</f>
        <v>1</v>
      </c>
      <c r="P632" s="14" t="n">
        <f aca="false">CHOOSE(Operations!$F$442,1,Inputs!$F$139/100,Inputs!$F$140/100,Operations!$F$36/100)</f>
        <v>1</v>
      </c>
      <c r="Q632" s="14" t="n">
        <f aca="false">CHOOSE(Operations!$F$442,1,Inputs!$F$139/100,Inputs!$F$140/100,Operations!$F$36/100)</f>
        <v>1</v>
      </c>
      <c r="R632" s="14" t="n">
        <f aca="false">CHOOSE(Operations!$F$442,1,Inputs!$F$139/100,Inputs!$F$140/100,Operations!$F$36/100)</f>
        <v>1</v>
      </c>
      <c r="S632" s="14" t="n">
        <f aca="false">CHOOSE(Operations!$F$442,1,Inputs!$F$139/100,Inputs!$F$140/100,Operations!$F$36/100)</f>
        <v>1</v>
      </c>
      <c r="T632" s="14" t="n">
        <f aca="false">CHOOSE(Operations!$F$442,1,Inputs!$F$139/100,Inputs!$F$140/100,Operations!$F$36/100)</f>
        <v>1</v>
      </c>
      <c r="U632" s="14" t="n">
        <f aca="false">CHOOSE(Operations!$F$442,1,Inputs!$F$139/100,Inputs!$F$140/100,Operations!$F$36/100)</f>
        <v>1</v>
      </c>
      <c r="V632" s="14" t="n">
        <f aca="false">CHOOSE(Operations!$F$442,1,Inputs!$F$139/100,Inputs!$F$140/100,Operations!$F$36/100)</f>
        <v>1</v>
      </c>
      <c r="W632" s="14" t="n">
        <f aca="false">CHOOSE(Operations!$F$442,1,Inputs!$F$139/100,Inputs!$F$140/100,Operations!$F$36/100)</f>
        <v>1</v>
      </c>
      <c r="X632" s="14" t="n">
        <f aca="false">CHOOSE(Operations!$F$442,1,Inputs!$F$139/100,Inputs!$F$140/100,Operations!$F$36/100)</f>
        <v>1</v>
      </c>
      <c r="Y632" s="14" t="n">
        <f aca="false">CHOOSE(Operations!$F$442,1,Inputs!$F$139/100,Inputs!$F$140/100,Operations!$F$36/100)</f>
        <v>1</v>
      </c>
      <c r="Z632" s="14" t="n">
        <f aca="false">CHOOSE(Operations!$F$442,1,Inputs!$F$139/100,Inputs!$F$140/100,Operations!$F$36/100)</f>
        <v>1</v>
      </c>
      <c r="AA632" s="14" t="n">
        <f aca="false">CHOOSE(Operations!$F$442,1,Inputs!$F$139/100,Inputs!$F$140/100,Operations!$F$36/100)</f>
        <v>1</v>
      </c>
      <c r="AB632" s="14" t="n">
        <f aca="false">CHOOSE(Operations!$F$442,1,Inputs!$F$139/100,Inputs!$F$140/100,Operations!$F$36/100)</f>
        <v>1</v>
      </c>
      <c r="AC632" s="14" t="n">
        <f aca="false">CHOOSE(Operations!$F$442,1,Inputs!$F$139/100,Inputs!$F$140/100,Operations!$F$36/100)</f>
        <v>1</v>
      </c>
      <c r="AD632" s="14" t="n">
        <f aca="false">CHOOSE(Operations!$F$442,1,Inputs!$F$139/100,Inputs!$F$140/100,Operations!$F$36/100)</f>
        <v>1</v>
      </c>
      <c r="AE632" s="14" t="n">
        <f aca="false">CHOOSE(Operations!$F$442,1,Inputs!$F$139/100,Inputs!$F$140/100,Operations!$F$36/100)</f>
        <v>1</v>
      </c>
      <c r="AF632" s="14" t="n">
        <f aca="false">CHOOSE(Operations!$F$442,1,Inputs!$F$139/100,Inputs!$F$140/100,Operations!$F$36/100)</f>
        <v>1</v>
      </c>
      <c r="AG632" s="14" t="n">
        <f aca="false">CHOOSE(Operations!$F$442,1,Inputs!$F$139/100,Inputs!$F$140/100,Operations!$F$36/100)</f>
        <v>1</v>
      </c>
      <c r="AH632" s="14" t="n">
        <f aca="false">CHOOSE(Operations!$F$442,1,Inputs!$F$139/100,Inputs!$F$140/100,Operations!$F$36/100)</f>
        <v>1</v>
      </c>
      <c r="AI632" s="14" t="n">
        <f aca="false">CHOOSE(Operations!$F$442,1,Inputs!$F$139/100,Inputs!$F$140/100,Operations!$F$36/100)</f>
        <v>1</v>
      </c>
      <c r="AJ632" s="14" t="n">
        <f aca="false">CHOOSE(Operations!$F$442,1,Inputs!$F$139/100,Inputs!$F$140/100,Operations!$F$36/100)</f>
        <v>1</v>
      </c>
      <c r="AK632" s="14" t="n">
        <f aca="false">CHOOSE(Operations!$F$442,1,Inputs!$F$139/100,Inputs!$F$140/100,Operations!$F$36/100)</f>
        <v>1</v>
      </c>
      <c r="AL632" s="14" t="n">
        <f aca="false">CHOOSE(Operations!$F$442,1,Inputs!$F$139/100,Inputs!$F$140/100,Operations!$F$36/100)</f>
        <v>1</v>
      </c>
      <c r="AM632" s="14" t="n">
        <f aca="false">CHOOSE(Operations!$F$442,1,Inputs!$F$139/100,Inputs!$F$140/100,Operations!$F$36/100)</f>
        <v>1</v>
      </c>
      <c r="AN632" s="14" t="n">
        <f aca="false">CHOOSE(Operations!$F$442,1,Inputs!$F$139/100,Inputs!$F$140/100,Operations!$F$36/100)</f>
        <v>1</v>
      </c>
      <c r="AO632" s="14" t="n">
        <f aca="false">CHOOSE(Operations!$F$442,1,Inputs!$F$139/100,Inputs!$F$140/100,Operations!$F$36/100)</f>
        <v>1</v>
      </c>
      <c r="AP632" s="14" t="n">
        <f aca="false">CHOOSE(Operations!$F$442,1,Inputs!$F$139/100,Inputs!$F$140/100,Operations!$F$36/100)</f>
        <v>1</v>
      </c>
      <c r="AQ632" s="14" t="n">
        <f aca="false">CHOOSE(Operations!$F$442,1,Inputs!$F$139/100,Inputs!$F$140/100,Operations!$F$36/100)</f>
        <v>1</v>
      </c>
      <c r="AR632" s="14" t="n">
        <f aca="false">CHOOSE(Operations!$F$442,1,Inputs!$F$139/100,Inputs!$F$140/100,Operations!$F$36/100)</f>
        <v>1</v>
      </c>
      <c r="AS632" s="14" t="n">
        <f aca="false">CHOOSE(Operations!$F$442,1,Inputs!$F$139/100,Inputs!$F$140/100,Operations!$F$36/100)</f>
        <v>1</v>
      </c>
      <c r="AT632" s="14" t="n">
        <f aca="false">CHOOSE(Operations!$F$442,1,Inputs!$F$139/100,Inputs!$F$140/100,Operations!$F$36/100)</f>
        <v>1</v>
      </c>
      <c r="AU632" s="14" t="n">
        <f aca="false">CHOOSE(Operations!$F$442,1,Inputs!$F$139/100,Inputs!$F$140/100,Operations!$F$36/100)</f>
        <v>1</v>
      </c>
    </row>
    <row r="633" customFormat="false" ht="15" hidden="false" customHeight="false" outlineLevel="0" collapsed="false">
      <c r="D633" s="0" t="s">
        <v>633</v>
      </c>
      <c r="E633" s="0" t="s">
        <v>27</v>
      </c>
      <c r="J633" s="14" t="n">
        <f aca="false">(1-Inputs!$F$141/100)^MAX(0,Time!J$4-Inputs!$F$142)</f>
        <v>1</v>
      </c>
      <c r="K633" s="14" t="n">
        <f aca="false">(1-Inputs!$F$141/100)^MAX(0,Time!K$4-Inputs!$F$142)</f>
        <v>0.9955</v>
      </c>
      <c r="L633" s="14" t="n">
        <f aca="false">(1-Inputs!$F$141/100)^MAX(0,Time!L$4-Inputs!$F$142)</f>
        <v>0.99102025</v>
      </c>
      <c r="M633" s="14" t="n">
        <f aca="false">(1-Inputs!$F$141/100)^MAX(0,Time!M$4-Inputs!$F$142)</f>
        <v>0.986560658875</v>
      </c>
      <c r="N633" s="14" t="n">
        <f aca="false">(1-Inputs!$F$141/100)^MAX(0,Time!N$4-Inputs!$F$142)</f>
        <v>0.982121135910063</v>
      </c>
      <c r="O633" s="14" t="n">
        <f aca="false">(1-Inputs!$F$141/100)^MAX(0,Time!O$4-Inputs!$F$142)</f>
        <v>0.977701590798468</v>
      </c>
      <c r="P633" s="14" t="n">
        <f aca="false">(1-Inputs!$F$141/100)^MAX(0,Time!P$4-Inputs!$F$142)</f>
        <v>0.973301933639874</v>
      </c>
      <c r="Q633" s="14" t="n">
        <f aca="false">(1-Inputs!$F$141/100)^MAX(0,Time!Q$4-Inputs!$F$142)</f>
        <v>0.968922074938495</v>
      </c>
      <c r="R633" s="14" t="n">
        <f aca="false">(1-Inputs!$F$141/100)^MAX(0,Time!R$4-Inputs!$F$142)</f>
        <v>0.964561925601272</v>
      </c>
      <c r="S633" s="14" t="n">
        <f aca="false">(1-Inputs!$F$141/100)^MAX(0,Time!S$4-Inputs!$F$142)</f>
        <v>0.960221396936066</v>
      </c>
      <c r="T633" s="14" t="n">
        <f aca="false">(1-Inputs!$F$141/100)^MAX(0,Time!T$4-Inputs!$F$142)</f>
        <v>0.955900400649854</v>
      </c>
      <c r="U633" s="14" t="n">
        <f aca="false">(1-Inputs!$F$141/100)^MAX(0,Time!U$4-Inputs!$F$142)</f>
        <v>0.95159884884693</v>
      </c>
      <c r="V633" s="14" t="n">
        <f aca="false">(1-Inputs!$F$141/100)^MAX(0,Time!V$4-Inputs!$F$142)</f>
        <v>0.947316654027119</v>
      </c>
      <c r="W633" s="14" t="n">
        <f aca="false">(1-Inputs!$F$141/100)^MAX(0,Time!W$4-Inputs!$F$142)</f>
        <v>0.943053729083997</v>
      </c>
      <c r="X633" s="14" t="n">
        <f aca="false">(1-Inputs!$F$141/100)^MAX(0,Time!X$4-Inputs!$F$142)</f>
        <v>0.938809987303119</v>
      </c>
      <c r="Y633" s="14" t="n">
        <f aca="false">(1-Inputs!$F$141/100)^MAX(0,Time!Y$4-Inputs!$F$142)</f>
        <v>0.934585342360255</v>
      </c>
      <c r="Z633" s="14" t="n">
        <f aca="false">(1-Inputs!$F$141/100)^MAX(0,Time!Z$4-Inputs!$F$142)</f>
        <v>0.930379708319634</v>
      </c>
      <c r="AA633" s="14" t="n">
        <f aca="false">(1-Inputs!$F$141/100)^MAX(0,Time!AA$4-Inputs!$F$142)</f>
        <v>0.926192999632195</v>
      </c>
      <c r="AB633" s="14" t="n">
        <f aca="false">(1-Inputs!$F$141/100)^MAX(0,Time!AB$4-Inputs!$F$142)</f>
        <v>0.92202513113385</v>
      </c>
      <c r="AC633" s="14" t="n">
        <f aca="false">(1-Inputs!$F$141/100)^MAX(0,Time!AC$4-Inputs!$F$142)</f>
        <v>0.917876018043748</v>
      </c>
      <c r="AD633" s="14" t="n">
        <f aca="false">(1-Inputs!$F$141/100)^MAX(0,Time!AD$4-Inputs!$F$142)</f>
        <v>0.913745575962551</v>
      </c>
      <c r="AE633" s="14" t="n">
        <f aca="false">(1-Inputs!$F$141/100)^MAX(0,Time!AE$4-Inputs!$F$142)</f>
        <v>0.90963372087072</v>
      </c>
      <c r="AF633" s="14" t="n">
        <f aca="false">(1-Inputs!$F$141/100)^MAX(0,Time!AF$4-Inputs!$F$142)</f>
        <v>0.905540369126802</v>
      </c>
      <c r="AG633" s="14" t="n">
        <f aca="false">(1-Inputs!$F$141/100)^MAX(0,Time!AG$4-Inputs!$F$142)</f>
        <v>0.901465437465731</v>
      </c>
      <c r="AH633" s="14" t="n">
        <f aca="false">(1-Inputs!$F$141/100)^MAX(0,Time!AH$4-Inputs!$F$142)</f>
        <v>0.897408842997135</v>
      </c>
      <c r="AI633" s="14" t="n">
        <f aca="false">(1-Inputs!$F$141/100)^MAX(0,Time!AI$4-Inputs!$F$142)</f>
        <v>0.893370503203648</v>
      </c>
      <c r="AJ633" s="14" t="n">
        <f aca="false">(1-Inputs!$F$141/100)^MAX(0,Time!AJ$4-Inputs!$F$142)</f>
        <v>0.889350335939232</v>
      </c>
      <c r="AK633" s="14" t="n">
        <f aca="false">(1-Inputs!$F$141/100)^MAX(0,Time!AK$4-Inputs!$F$142)</f>
        <v>0.885348259427505</v>
      </c>
      <c r="AL633" s="14" t="n">
        <f aca="false">(1-Inputs!$F$141/100)^MAX(0,Time!AL$4-Inputs!$F$142)</f>
        <v>0.881364192260082</v>
      </c>
      <c r="AM633" s="14" t="n">
        <f aca="false">(1-Inputs!$F$141/100)^MAX(0,Time!AM$4-Inputs!$F$142)</f>
        <v>0.877398053394911</v>
      </c>
      <c r="AN633" s="14" t="n">
        <f aca="false">(1-Inputs!$F$141/100)^MAX(0,Time!AN$4-Inputs!$F$142)</f>
        <v>0.873449762154634</v>
      </c>
      <c r="AO633" s="14" t="n">
        <f aca="false">(1-Inputs!$F$141/100)^MAX(0,Time!AO$4-Inputs!$F$142)</f>
        <v>0.869519238224939</v>
      </c>
      <c r="AP633" s="14" t="n">
        <f aca="false">(1-Inputs!$F$141/100)^MAX(0,Time!AP$4-Inputs!$F$142)</f>
        <v>0.865606401652926</v>
      </c>
      <c r="AQ633" s="14" t="n">
        <f aca="false">(1-Inputs!$F$141/100)^MAX(0,Time!AQ$4-Inputs!$F$142)</f>
        <v>0.861711172845488</v>
      </c>
      <c r="AR633" s="14" t="n">
        <f aca="false">(1-Inputs!$F$141/100)^MAX(0,Time!AR$4-Inputs!$F$142)</f>
        <v>0.857833472567684</v>
      </c>
      <c r="AS633" s="14" t="n">
        <f aca="false">(1-Inputs!$F$141/100)^MAX(0,Time!AS$4-Inputs!$F$142)</f>
        <v>0.853973221941129</v>
      </c>
      <c r="AT633" s="14" t="n">
        <f aca="false">(1-Inputs!$F$141/100)^MAX(0,Time!AT$4-Inputs!$F$142)</f>
        <v>0.850130342442394</v>
      </c>
      <c r="AU633" s="14" t="n">
        <f aca="false">(1-Inputs!$F$141/100)^MAX(0,Time!AU$4-Inputs!$F$142)</f>
        <v>0.846304755901403</v>
      </c>
    </row>
    <row r="634" customFormat="false" ht="15" hidden="false" customHeight="false" outlineLevel="0" collapsed="false">
      <c r="D634" s="0" t="s">
        <v>634</v>
      </c>
      <c r="E634" s="0" t="s">
        <v>458</v>
      </c>
      <c r="J634" s="14" t="n">
        <f aca="false">(IF(Time!J$4&gt;=Inputs!$F$61,Inputs!$F$67,Inputs!$F$66+(Inputs!$F$67-Inputs!$F$66)*(Time!J$4-Inputs!$F$23)/(Inputs!$F$61-Inputs!$F$23))+Operations!$F$444)/100</f>
        <v>0.02</v>
      </c>
      <c r="K634" s="14" t="n">
        <f aca="false">(IF(Time!K$4&gt;=Inputs!$F$61,Inputs!$F$67,Inputs!$F$66+(Inputs!$F$67-Inputs!$F$66)*(Time!K$4-Inputs!$F$23)/(Inputs!$F$61-Inputs!$F$23))+Operations!$F$444)/100</f>
        <v>0.025</v>
      </c>
      <c r="L634" s="14" t="n">
        <f aca="false">(IF(Time!L$4&gt;=Inputs!$F$61,Inputs!$F$67,Inputs!$F$66+(Inputs!$F$67-Inputs!$F$66)*(Time!L$4-Inputs!$F$23)/(Inputs!$F$61-Inputs!$F$23))+Operations!$F$444)/100</f>
        <v>0.03</v>
      </c>
      <c r="M634" s="14" t="n">
        <f aca="false">(IF(Time!M$4&gt;=Inputs!$F$61,Inputs!$F$67,Inputs!$F$66+(Inputs!$F$67-Inputs!$F$66)*(Time!M$4-Inputs!$F$23)/(Inputs!$F$61-Inputs!$F$23))+Operations!$F$444)/100</f>
        <v>0.035</v>
      </c>
      <c r="N634" s="14" t="n">
        <f aca="false">(IF(Time!N$4&gt;=Inputs!$F$61,Inputs!$F$67,Inputs!$F$66+(Inputs!$F$67-Inputs!$F$66)*(Time!N$4-Inputs!$F$23)/(Inputs!$F$61-Inputs!$F$23))+Operations!$F$444)/100</f>
        <v>0.035</v>
      </c>
      <c r="O634" s="14" t="n">
        <f aca="false">(IF(Time!O$4&gt;=Inputs!$F$61,Inputs!$F$67,Inputs!$F$66+(Inputs!$F$67-Inputs!$F$66)*(Time!O$4-Inputs!$F$23)/(Inputs!$F$61-Inputs!$F$23))+Operations!$F$444)/100</f>
        <v>0.035</v>
      </c>
      <c r="P634" s="14" t="n">
        <f aca="false">(IF(Time!P$4&gt;=Inputs!$F$61,Inputs!$F$67,Inputs!$F$66+(Inputs!$F$67-Inputs!$F$66)*(Time!P$4-Inputs!$F$23)/(Inputs!$F$61-Inputs!$F$23))+Operations!$F$444)/100</f>
        <v>0.035</v>
      </c>
      <c r="Q634" s="14" t="n">
        <f aca="false">(IF(Time!Q$4&gt;=Inputs!$F$61,Inputs!$F$67,Inputs!$F$66+(Inputs!$F$67-Inputs!$F$66)*(Time!Q$4-Inputs!$F$23)/(Inputs!$F$61-Inputs!$F$23))+Operations!$F$444)/100</f>
        <v>0.035</v>
      </c>
      <c r="R634" s="14" t="n">
        <f aca="false">(IF(Time!R$4&gt;=Inputs!$F$61,Inputs!$F$67,Inputs!$F$66+(Inputs!$F$67-Inputs!$F$66)*(Time!R$4-Inputs!$F$23)/(Inputs!$F$61-Inputs!$F$23))+Operations!$F$444)/100</f>
        <v>0.035</v>
      </c>
      <c r="S634" s="14" t="n">
        <f aca="false">(IF(Time!S$4&gt;=Inputs!$F$61,Inputs!$F$67,Inputs!$F$66+(Inputs!$F$67-Inputs!$F$66)*(Time!S$4-Inputs!$F$23)/(Inputs!$F$61-Inputs!$F$23))+Operations!$F$444)/100</f>
        <v>0.035</v>
      </c>
      <c r="T634" s="14" t="n">
        <f aca="false">(IF(Time!T$4&gt;=Inputs!$F$61,Inputs!$F$67,Inputs!$F$66+(Inputs!$F$67-Inputs!$F$66)*(Time!T$4-Inputs!$F$23)/(Inputs!$F$61-Inputs!$F$23))+Operations!$F$444)/100</f>
        <v>0.035</v>
      </c>
      <c r="U634" s="14" t="n">
        <f aca="false">(IF(Time!U$4&gt;=Inputs!$F$61,Inputs!$F$67,Inputs!$F$66+(Inputs!$F$67-Inputs!$F$66)*(Time!U$4-Inputs!$F$23)/(Inputs!$F$61-Inputs!$F$23))+Operations!$F$444)/100</f>
        <v>0.035</v>
      </c>
      <c r="V634" s="14" t="n">
        <f aca="false">(IF(Time!V$4&gt;=Inputs!$F$61,Inputs!$F$67,Inputs!$F$66+(Inputs!$F$67-Inputs!$F$66)*(Time!V$4-Inputs!$F$23)/(Inputs!$F$61-Inputs!$F$23))+Operations!$F$444)/100</f>
        <v>0.035</v>
      </c>
      <c r="W634" s="14" t="n">
        <f aca="false">(IF(Time!W$4&gt;=Inputs!$F$61,Inputs!$F$67,Inputs!$F$66+(Inputs!$F$67-Inputs!$F$66)*(Time!W$4-Inputs!$F$23)/(Inputs!$F$61-Inputs!$F$23))+Operations!$F$444)/100</f>
        <v>0.035</v>
      </c>
      <c r="X634" s="14" t="n">
        <f aca="false">(IF(Time!X$4&gt;=Inputs!$F$61,Inputs!$F$67,Inputs!$F$66+(Inputs!$F$67-Inputs!$F$66)*(Time!X$4-Inputs!$F$23)/(Inputs!$F$61-Inputs!$F$23))+Operations!$F$444)/100</f>
        <v>0.035</v>
      </c>
      <c r="Y634" s="14" t="n">
        <f aca="false">(IF(Time!Y$4&gt;=Inputs!$F$61,Inputs!$F$67,Inputs!$F$66+(Inputs!$F$67-Inputs!$F$66)*(Time!Y$4-Inputs!$F$23)/(Inputs!$F$61-Inputs!$F$23))+Operations!$F$444)/100</f>
        <v>0.035</v>
      </c>
      <c r="Z634" s="14" t="n">
        <f aca="false">(IF(Time!Z$4&gt;=Inputs!$F$61,Inputs!$F$67,Inputs!$F$66+(Inputs!$F$67-Inputs!$F$66)*(Time!Z$4-Inputs!$F$23)/(Inputs!$F$61-Inputs!$F$23))+Operations!$F$444)/100</f>
        <v>0.035</v>
      </c>
      <c r="AA634" s="14" t="n">
        <f aca="false">(IF(Time!AA$4&gt;=Inputs!$F$61,Inputs!$F$67,Inputs!$F$66+(Inputs!$F$67-Inputs!$F$66)*(Time!AA$4-Inputs!$F$23)/(Inputs!$F$61-Inputs!$F$23))+Operations!$F$444)/100</f>
        <v>0.035</v>
      </c>
      <c r="AB634" s="14" t="n">
        <f aca="false">(IF(Time!AB$4&gt;=Inputs!$F$61,Inputs!$F$67,Inputs!$F$66+(Inputs!$F$67-Inputs!$F$66)*(Time!AB$4-Inputs!$F$23)/(Inputs!$F$61-Inputs!$F$23))+Operations!$F$444)/100</f>
        <v>0.035</v>
      </c>
      <c r="AC634" s="14" t="n">
        <f aca="false">(IF(Time!AC$4&gt;=Inputs!$F$61,Inputs!$F$67,Inputs!$F$66+(Inputs!$F$67-Inputs!$F$66)*(Time!AC$4-Inputs!$F$23)/(Inputs!$F$61-Inputs!$F$23))+Operations!$F$444)/100</f>
        <v>0.035</v>
      </c>
      <c r="AD634" s="14" t="n">
        <f aca="false">(IF(Time!AD$4&gt;=Inputs!$F$61,Inputs!$F$67,Inputs!$F$66+(Inputs!$F$67-Inputs!$F$66)*(Time!AD$4-Inputs!$F$23)/(Inputs!$F$61-Inputs!$F$23))+Operations!$F$444)/100</f>
        <v>0.035</v>
      </c>
      <c r="AE634" s="14" t="n">
        <f aca="false">(IF(Time!AE$4&gt;=Inputs!$F$61,Inputs!$F$67,Inputs!$F$66+(Inputs!$F$67-Inputs!$F$66)*(Time!AE$4-Inputs!$F$23)/(Inputs!$F$61-Inputs!$F$23))+Operations!$F$444)/100</f>
        <v>0.035</v>
      </c>
      <c r="AF634" s="14" t="n">
        <f aca="false">(IF(Time!AF$4&gt;=Inputs!$F$61,Inputs!$F$67,Inputs!$F$66+(Inputs!$F$67-Inputs!$F$66)*(Time!AF$4-Inputs!$F$23)/(Inputs!$F$61-Inputs!$F$23))+Operations!$F$444)/100</f>
        <v>0.035</v>
      </c>
      <c r="AG634" s="14" t="n">
        <f aca="false">(IF(Time!AG$4&gt;=Inputs!$F$61,Inputs!$F$67,Inputs!$F$66+(Inputs!$F$67-Inputs!$F$66)*(Time!AG$4-Inputs!$F$23)/(Inputs!$F$61-Inputs!$F$23))+Operations!$F$444)/100</f>
        <v>0.035</v>
      </c>
      <c r="AH634" s="14" t="n">
        <f aca="false">(IF(Time!AH$4&gt;=Inputs!$F$61,Inputs!$F$67,Inputs!$F$66+(Inputs!$F$67-Inputs!$F$66)*(Time!AH$4-Inputs!$F$23)/(Inputs!$F$61-Inputs!$F$23))+Operations!$F$444)/100</f>
        <v>0.035</v>
      </c>
      <c r="AI634" s="14" t="n">
        <f aca="false">(IF(Time!AI$4&gt;=Inputs!$F$61,Inputs!$F$67,Inputs!$F$66+(Inputs!$F$67-Inputs!$F$66)*(Time!AI$4-Inputs!$F$23)/(Inputs!$F$61-Inputs!$F$23))+Operations!$F$444)/100</f>
        <v>0.035</v>
      </c>
      <c r="AJ634" s="14" t="n">
        <f aca="false">(IF(Time!AJ$4&gt;=Inputs!$F$61,Inputs!$F$67,Inputs!$F$66+(Inputs!$F$67-Inputs!$F$66)*(Time!AJ$4-Inputs!$F$23)/(Inputs!$F$61-Inputs!$F$23))+Operations!$F$444)/100</f>
        <v>0.035</v>
      </c>
      <c r="AK634" s="14" t="n">
        <f aca="false">(IF(Time!AK$4&gt;=Inputs!$F$61,Inputs!$F$67,Inputs!$F$66+(Inputs!$F$67-Inputs!$F$66)*(Time!AK$4-Inputs!$F$23)/(Inputs!$F$61-Inputs!$F$23))+Operations!$F$444)/100</f>
        <v>0.035</v>
      </c>
      <c r="AL634" s="14" t="n">
        <f aca="false">(IF(Time!AL$4&gt;=Inputs!$F$61,Inputs!$F$67,Inputs!$F$66+(Inputs!$F$67-Inputs!$F$66)*(Time!AL$4-Inputs!$F$23)/(Inputs!$F$61-Inputs!$F$23))+Operations!$F$444)/100</f>
        <v>0.035</v>
      </c>
      <c r="AM634" s="14" t="n">
        <f aca="false">(IF(Time!AM$4&gt;=Inputs!$F$61,Inputs!$F$67,Inputs!$F$66+(Inputs!$F$67-Inputs!$F$66)*(Time!AM$4-Inputs!$F$23)/(Inputs!$F$61-Inputs!$F$23))+Operations!$F$444)/100</f>
        <v>0.035</v>
      </c>
      <c r="AN634" s="14" t="n">
        <f aca="false">(IF(Time!AN$4&gt;=Inputs!$F$61,Inputs!$F$67,Inputs!$F$66+(Inputs!$F$67-Inputs!$F$66)*(Time!AN$4-Inputs!$F$23)/(Inputs!$F$61-Inputs!$F$23))+Operations!$F$444)/100</f>
        <v>0.035</v>
      </c>
      <c r="AO634" s="14" t="n">
        <f aca="false">(IF(Time!AO$4&gt;=Inputs!$F$61,Inputs!$F$67,Inputs!$F$66+(Inputs!$F$67-Inputs!$F$66)*(Time!AO$4-Inputs!$F$23)/(Inputs!$F$61-Inputs!$F$23))+Operations!$F$444)/100</f>
        <v>0.035</v>
      </c>
      <c r="AP634" s="14" t="n">
        <f aca="false">(IF(Time!AP$4&gt;=Inputs!$F$61,Inputs!$F$67,Inputs!$F$66+(Inputs!$F$67-Inputs!$F$66)*(Time!AP$4-Inputs!$F$23)/(Inputs!$F$61-Inputs!$F$23))+Operations!$F$444)/100</f>
        <v>0.035</v>
      </c>
      <c r="AQ634" s="14" t="n">
        <f aca="false">(IF(Time!AQ$4&gt;=Inputs!$F$61,Inputs!$F$67,Inputs!$F$66+(Inputs!$F$67-Inputs!$F$66)*(Time!AQ$4-Inputs!$F$23)/(Inputs!$F$61-Inputs!$F$23))+Operations!$F$444)/100</f>
        <v>0.035</v>
      </c>
      <c r="AR634" s="14" t="n">
        <f aca="false">(IF(Time!AR$4&gt;=Inputs!$F$61,Inputs!$F$67,Inputs!$F$66+(Inputs!$F$67-Inputs!$F$66)*(Time!AR$4-Inputs!$F$23)/(Inputs!$F$61-Inputs!$F$23))+Operations!$F$444)/100</f>
        <v>0.035</v>
      </c>
      <c r="AS634" s="14" t="n">
        <f aca="false">(IF(Time!AS$4&gt;=Inputs!$F$61,Inputs!$F$67,Inputs!$F$66+(Inputs!$F$67-Inputs!$F$66)*(Time!AS$4-Inputs!$F$23)/(Inputs!$F$61-Inputs!$F$23))+Operations!$F$444)/100</f>
        <v>0.035</v>
      </c>
      <c r="AT634" s="14" t="n">
        <f aca="false">(IF(Time!AT$4&gt;=Inputs!$F$61,Inputs!$F$67,Inputs!$F$66+(Inputs!$F$67-Inputs!$F$66)*(Time!AT$4-Inputs!$F$23)/(Inputs!$F$61-Inputs!$F$23))+Operations!$F$444)/100</f>
        <v>0.035</v>
      </c>
      <c r="AU634" s="14" t="n">
        <f aca="false">(IF(Time!AU$4&gt;=Inputs!$F$61,Inputs!$F$67,Inputs!$F$66+(Inputs!$F$67-Inputs!$F$66)*(Time!AU$4-Inputs!$F$23)/(Inputs!$F$61-Inputs!$F$23))+Operations!$F$444)/100</f>
        <v>0.035</v>
      </c>
    </row>
    <row r="635" customFormat="false" ht="15" hidden="false" customHeight="false" outlineLevel="0" collapsed="false">
      <c r="D635" s="0" t="s">
        <v>635</v>
      </c>
      <c r="E635" s="0" t="s">
        <v>466</v>
      </c>
      <c r="J635" s="20" t="n">
        <f aca="false">Inputs!$F$138*Operations!J632*Inputs!$F$192/100*Operations!J633*(1-Operations!J634)</f>
        <v>443.156</v>
      </c>
      <c r="K635" s="20" t="n">
        <f aca="false">Inputs!$F$138*Operations!K632*Inputs!$F$192/100*Operations!K633*(1-Operations!K634)</f>
        <v>438.9109725</v>
      </c>
      <c r="L635" s="20" t="n">
        <f aca="false">Inputs!$F$138*Operations!L632*Inputs!$F$192/100*Operations!L633*(1-Operations!L634)</f>
        <v>434.6951763385</v>
      </c>
      <c r="M635" s="20" t="n">
        <f aca="false">Inputs!$F$138*Operations!M632*Inputs!$F$192/100*Operations!M633*(1-Operations!M634)</f>
        <v>430.50843439526</v>
      </c>
      <c r="N635" s="20" t="n">
        <f aca="false">Inputs!$F$138*Operations!N632*Inputs!$F$192/100*Operations!N633*(1-Operations!N634)</f>
        <v>428.571146440482</v>
      </c>
      <c r="O635" s="20" t="n">
        <f aca="false">Inputs!$F$138*Operations!O632*Inputs!$F$192/100*Operations!O633*(1-Operations!O634)</f>
        <v>426.6425762815</v>
      </c>
      <c r="P635" s="20" t="n">
        <f aca="false">Inputs!$F$138*Operations!P632*Inputs!$F$192/100*Operations!P633*(1-Operations!P634)</f>
        <v>424.722684688233</v>
      </c>
      <c r="Q635" s="20" t="n">
        <f aca="false">Inputs!$F$138*Operations!Q632*Inputs!$F$192/100*Operations!Q633*(1-Operations!Q634)</f>
        <v>422.811432607136</v>
      </c>
      <c r="R635" s="20" t="n">
        <f aca="false">Inputs!$F$138*Operations!R632*Inputs!$F$192/100*Operations!R633*(1-Operations!R634)</f>
        <v>420.908781160404</v>
      </c>
      <c r="S635" s="20" t="n">
        <f aca="false">Inputs!$F$138*Operations!S632*Inputs!$F$192/100*Operations!S633*(1-Operations!S634)</f>
        <v>419.014691645182</v>
      </c>
      <c r="T635" s="20" t="n">
        <f aca="false">Inputs!$F$138*Operations!T632*Inputs!$F$192/100*Operations!T633*(1-Operations!T634)</f>
        <v>417.129125532779</v>
      </c>
      <c r="U635" s="20" t="n">
        <f aca="false">Inputs!$F$138*Operations!U632*Inputs!$F$192/100*Operations!U633*(1-Operations!U634)</f>
        <v>415.252044467881</v>
      </c>
      <c r="V635" s="20" t="n">
        <f aca="false">Inputs!$F$138*Operations!V632*Inputs!$F$192/100*Operations!V633*(1-Operations!V634)</f>
        <v>413.383410267776</v>
      </c>
      <c r="W635" s="20" t="n">
        <f aca="false">Inputs!$F$138*Operations!W632*Inputs!$F$192/100*Operations!W633*(1-Operations!W634)</f>
        <v>411.523184921571</v>
      </c>
      <c r="X635" s="20" t="n">
        <f aca="false">Inputs!$F$138*Operations!X632*Inputs!$F$192/100*Operations!X633*(1-Operations!X634)</f>
        <v>409.671330589424</v>
      </c>
      <c r="Y635" s="20" t="n">
        <f aca="false">Inputs!$F$138*Operations!Y632*Inputs!$F$192/100*Operations!Y633*(1-Operations!Y634)</f>
        <v>407.827809601771</v>
      </c>
      <c r="Z635" s="20" t="n">
        <f aca="false">Inputs!$F$138*Operations!Z632*Inputs!$F$192/100*Operations!Z633*(1-Operations!Z634)</f>
        <v>405.992584458563</v>
      </c>
      <c r="AA635" s="20" t="n">
        <f aca="false">Inputs!$F$138*Operations!AA632*Inputs!$F$192/100*Operations!AA633*(1-Operations!AA634)</f>
        <v>404.1656178285</v>
      </c>
      <c r="AB635" s="20" t="n">
        <f aca="false">Inputs!$F$138*Operations!AB632*Inputs!$F$192/100*Operations!AB633*(1-Operations!AB634)</f>
        <v>402.346872548272</v>
      </c>
      <c r="AC635" s="20" t="n">
        <f aca="false">Inputs!$F$138*Operations!AC632*Inputs!$F$192/100*Operations!AC633*(1-Operations!AC634)</f>
        <v>400.536311621804</v>
      </c>
      <c r="AD635" s="20" t="n">
        <f aca="false">Inputs!$F$138*Operations!AD632*Inputs!$F$192/100*Operations!AD633*(1-Operations!AD634)</f>
        <v>398.733898219506</v>
      </c>
      <c r="AE635" s="20" t="n">
        <f aca="false">Inputs!$F$138*Operations!AE632*Inputs!$F$192/100*Operations!AE633*(1-Operations!AE634)</f>
        <v>396.939595677519</v>
      </c>
      <c r="AF635" s="20" t="n">
        <f aca="false">Inputs!$F$138*Operations!AF632*Inputs!$F$192/100*Operations!AF633*(1-Operations!AF634)</f>
        <v>395.15336749697</v>
      </c>
      <c r="AG635" s="20" t="n">
        <f aca="false">Inputs!$F$138*Operations!AG632*Inputs!$F$192/100*Operations!AG633*(1-Operations!AG634)</f>
        <v>393.375177343234</v>
      </c>
      <c r="AH635" s="20" t="n">
        <f aca="false">Inputs!$F$138*Operations!AH632*Inputs!$F$192/100*Operations!AH633*(1-Operations!AH634)</f>
        <v>391.604989045189</v>
      </c>
      <c r="AI635" s="20" t="n">
        <f aca="false">Inputs!$F$138*Operations!AI632*Inputs!$F$192/100*Operations!AI633*(1-Operations!AI634)</f>
        <v>389.842766594486</v>
      </c>
      <c r="AJ635" s="20" t="n">
        <f aca="false">Inputs!$F$138*Operations!AJ632*Inputs!$F$192/100*Operations!AJ633*(1-Operations!AJ634)</f>
        <v>388.08847414481</v>
      </c>
      <c r="AK635" s="20" t="n">
        <f aca="false">Inputs!$F$138*Operations!AK632*Inputs!$F$192/100*Operations!AK633*(1-Operations!AK634)</f>
        <v>386.342076011159</v>
      </c>
      <c r="AL635" s="20" t="n">
        <f aca="false">Inputs!$F$138*Operations!AL632*Inputs!$F$192/100*Operations!AL633*(1-Operations!AL634)</f>
        <v>384.603536669109</v>
      </c>
      <c r="AM635" s="20" t="n">
        <f aca="false">Inputs!$F$138*Operations!AM632*Inputs!$F$192/100*Operations!AM633*(1-Operations!AM634)</f>
        <v>382.872820754098</v>
      </c>
      <c r="AN635" s="20" t="n">
        <f aca="false">Inputs!$F$138*Operations!AN632*Inputs!$F$192/100*Operations!AN633*(1-Operations!AN634)</f>
        <v>381.149893060704</v>
      </c>
      <c r="AO635" s="20" t="n">
        <f aca="false">Inputs!$F$138*Operations!AO632*Inputs!$F$192/100*Operations!AO633*(1-Operations!AO634)</f>
        <v>379.434718541931</v>
      </c>
      <c r="AP635" s="20" t="n">
        <f aca="false">Inputs!$F$138*Operations!AP632*Inputs!$F$192/100*Operations!AP633*(1-Operations!AP634)</f>
        <v>377.727262308492</v>
      </c>
      <c r="AQ635" s="20" t="n">
        <f aca="false">Inputs!$F$138*Operations!AQ632*Inputs!$F$192/100*Operations!AQ633*(1-Operations!AQ634)</f>
        <v>376.027489628104</v>
      </c>
      <c r="AR635" s="20" t="n">
        <f aca="false">Inputs!$F$138*Operations!AR632*Inputs!$F$192/100*Operations!AR633*(1-Operations!AR634)</f>
        <v>374.335365924778</v>
      </c>
      <c r="AS635" s="20" t="n">
        <f aca="false">Inputs!$F$138*Operations!AS632*Inputs!$F$192/100*Operations!AS633*(1-Operations!AS634)</f>
        <v>372.650856778116</v>
      </c>
      <c r="AT635" s="20" t="n">
        <f aca="false">Inputs!$F$138*Operations!AT632*Inputs!$F$192/100*Operations!AT633*(1-Operations!AT634)</f>
        <v>370.973927922615</v>
      </c>
      <c r="AU635" s="20" t="n">
        <f aca="false">Inputs!$F$138*Operations!AU632*Inputs!$F$192/100*Operations!AU633*(1-Operations!AU634)</f>
        <v>369.304545246963</v>
      </c>
    </row>
    <row r="636" customFormat="false" ht="15" hidden="false" customHeight="false" outlineLevel="0" collapsed="false">
      <c r="D636" s="0" t="s">
        <v>636</v>
      </c>
      <c r="E636" s="0" t="s">
        <v>466</v>
      </c>
      <c r="G636" s="20" t="n">
        <f aca="false">SUM(J636:AU636)</f>
        <v>13985.8111621289</v>
      </c>
      <c r="J636" s="20" t="n">
        <f aca="false">Operations!J635*Operations!J628</f>
        <v>443.156</v>
      </c>
      <c r="K636" s="20" t="n">
        <f aca="false">Operations!K635*Operations!K628</f>
        <v>438.9109725</v>
      </c>
      <c r="L636" s="20" t="n">
        <f aca="false">Operations!L635*Operations!L628</f>
        <v>434.6951763385</v>
      </c>
      <c r="M636" s="20" t="n">
        <f aca="false">Operations!M635*Operations!M628</f>
        <v>430.50843439526</v>
      </c>
      <c r="N636" s="20" t="n">
        <f aca="false">Operations!N635*Operations!N628</f>
        <v>428.571146440482</v>
      </c>
      <c r="O636" s="20" t="n">
        <f aca="false">Operations!O635*Operations!O628</f>
        <v>426.6425762815</v>
      </c>
      <c r="P636" s="20" t="n">
        <f aca="false">Operations!P635*Operations!P628</f>
        <v>424.722684688233</v>
      </c>
      <c r="Q636" s="20" t="n">
        <f aca="false">Operations!Q635*Operations!Q628</f>
        <v>422.811432607136</v>
      </c>
      <c r="R636" s="20" t="n">
        <f aca="false">Operations!R635*Operations!R628</f>
        <v>420.908781160404</v>
      </c>
      <c r="S636" s="20" t="n">
        <f aca="false">Operations!S635*Operations!S628</f>
        <v>419.014691645182</v>
      </c>
      <c r="T636" s="20" t="n">
        <f aca="false">Operations!T635*Operations!T628</f>
        <v>417.129125532779</v>
      </c>
      <c r="U636" s="20" t="n">
        <f aca="false">Operations!U635*Operations!U628</f>
        <v>415.252044467881</v>
      </c>
      <c r="V636" s="20" t="n">
        <f aca="false">Operations!V635*Operations!V628</f>
        <v>413.383410267776</v>
      </c>
      <c r="W636" s="20" t="n">
        <f aca="false">Operations!W635*Operations!W628</f>
        <v>411.523184921571</v>
      </c>
      <c r="X636" s="20" t="n">
        <f aca="false">Operations!X635*Operations!X628</f>
        <v>409.671330589424</v>
      </c>
      <c r="Y636" s="20" t="n">
        <f aca="false">Operations!Y635*Operations!Y628</f>
        <v>407.827809601771</v>
      </c>
      <c r="Z636" s="20" t="n">
        <f aca="false">Operations!Z635*Operations!Z628</f>
        <v>405.992584458563</v>
      </c>
      <c r="AA636" s="20" t="n">
        <f aca="false">Operations!AA635*Operations!AA628</f>
        <v>404.1656178285</v>
      </c>
      <c r="AB636" s="20" t="n">
        <f aca="false">Operations!AB635*Operations!AB628</f>
        <v>402.346872548272</v>
      </c>
      <c r="AC636" s="20" t="n">
        <f aca="false">Operations!AC635*Operations!AC628</f>
        <v>400.536311621804</v>
      </c>
      <c r="AD636" s="20" t="n">
        <f aca="false">Operations!AD635*Operations!AD628</f>
        <v>398.733898219506</v>
      </c>
      <c r="AE636" s="20" t="n">
        <f aca="false">Operations!AE635*Operations!AE628</f>
        <v>396.939595677519</v>
      </c>
      <c r="AF636" s="20" t="n">
        <f aca="false">Operations!AF635*Operations!AF628</f>
        <v>395.15336749697</v>
      </c>
      <c r="AG636" s="20" t="n">
        <f aca="false">Operations!AG635*Operations!AG628</f>
        <v>393.375177343234</v>
      </c>
      <c r="AH636" s="20" t="n">
        <f aca="false">Operations!AH635*Operations!AH628</f>
        <v>391.604989045189</v>
      </c>
      <c r="AI636" s="20" t="n">
        <f aca="false">Operations!AI635*Operations!AI628</f>
        <v>389.842766594486</v>
      </c>
      <c r="AJ636" s="20" t="n">
        <f aca="false">Operations!AJ635*Operations!AJ628</f>
        <v>388.08847414481</v>
      </c>
      <c r="AK636" s="20" t="n">
        <f aca="false">Operations!AK635*Operations!AK628</f>
        <v>386.342076011159</v>
      </c>
      <c r="AL636" s="20" t="n">
        <f aca="false">Operations!AL635*Operations!AL628</f>
        <v>384.603536669109</v>
      </c>
      <c r="AM636" s="20" t="n">
        <f aca="false">Operations!AM635*Operations!AM628</f>
        <v>382.872820754098</v>
      </c>
      <c r="AN636" s="20" t="n">
        <f aca="false">Operations!AN635*Operations!AN628</f>
        <v>381.149893060704</v>
      </c>
      <c r="AO636" s="20" t="n">
        <f aca="false">Operations!AO635*Operations!AO628</f>
        <v>379.434718541931</v>
      </c>
      <c r="AP636" s="20" t="n">
        <f aca="false">Operations!AP635*Operations!AP628</f>
        <v>377.727262308492</v>
      </c>
      <c r="AQ636" s="20" t="n">
        <f aca="false">Operations!AQ635*Operations!AQ628</f>
        <v>376.027489628104</v>
      </c>
      <c r="AR636" s="20" t="n">
        <f aca="false">Operations!AR635*Operations!AR628</f>
        <v>186.144908738551</v>
      </c>
      <c r="AS636" s="20" t="n">
        <f aca="false">Operations!AS635*Operations!AS628</f>
        <v>0</v>
      </c>
      <c r="AT636" s="20" t="n">
        <f aca="false">Operations!AT635*Operations!AT628</f>
        <v>0</v>
      </c>
      <c r="AU636" s="20" t="n">
        <f aca="false">Operations!AU635*Operations!AU628</f>
        <v>0</v>
      </c>
    </row>
    <row r="637" customFormat="false" ht="15" hidden="false" customHeight="false" outlineLevel="0" collapsed="false">
      <c r="D637" s="0" t="s">
        <v>637</v>
      </c>
      <c r="E637" s="0" t="s">
        <v>54</v>
      </c>
      <c r="J637" s="14" t="n">
        <f aca="false">Operations!J454</f>
        <v>0.86</v>
      </c>
      <c r="K637" s="14" t="n">
        <f aca="false">Operations!K454</f>
        <v>0.84</v>
      </c>
      <c r="L637" s="14" t="n">
        <f aca="false">Operations!L454</f>
        <v>0.82</v>
      </c>
      <c r="M637" s="14" t="n">
        <f aca="false">Operations!M454</f>
        <v>0.8</v>
      </c>
      <c r="N637" s="14" t="n">
        <f aca="false">Operations!N454</f>
        <v>0.78</v>
      </c>
      <c r="O637" s="14" t="n">
        <f aca="false">Operations!O454</f>
        <v>0.76</v>
      </c>
      <c r="P637" s="14" t="n">
        <f aca="false">Operations!P454</f>
        <v>0.74</v>
      </c>
      <c r="Q637" s="14" t="n">
        <f aca="false">Operations!Q454</f>
        <v>0.72</v>
      </c>
      <c r="R637" s="14" t="n">
        <f aca="false">Operations!R454</f>
        <v>0.7</v>
      </c>
      <c r="S637" s="14" t="n">
        <f aca="false">Operations!S454</f>
        <v>0.68</v>
      </c>
      <c r="T637" s="14" t="n">
        <f aca="false">Operations!T454</f>
        <v>0.66</v>
      </c>
      <c r="U637" s="14" t="n">
        <f aca="false">Operations!U454</f>
        <v>0.64</v>
      </c>
      <c r="V637" s="14" t="n">
        <f aca="false">Operations!V454</f>
        <v>0.62</v>
      </c>
      <c r="W637" s="14" t="n">
        <f aca="false">Operations!W454</f>
        <v>0.6</v>
      </c>
      <c r="X637" s="14" t="n">
        <f aca="false">Operations!X454</f>
        <v>0.6</v>
      </c>
      <c r="Y637" s="14" t="n">
        <f aca="false">Operations!Y454</f>
        <v>0.6</v>
      </c>
      <c r="Z637" s="14" t="n">
        <f aca="false">Operations!Z454</f>
        <v>0.6</v>
      </c>
      <c r="AA637" s="14" t="n">
        <f aca="false">Operations!AA454</f>
        <v>0.6</v>
      </c>
      <c r="AB637" s="14" t="n">
        <f aca="false">Operations!AB454</f>
        <v>0.6</v>
      </c>
      <c r="AC637" s="14" t="n">
        <f aca="false">Operations!AC454</f>
        <v>0.6</v>
      </c>
      <c r="AD637" s="14" t="n">
        <f aca="false">Operations!AD454</f>
        <v>0.6</v>
      </c>
      <c r="AE637" s="14" t="n">
        <f aca="false">Operations!AE454</f>
        <v>0.6</v>
      </c>
      <c r="AF637" s="14" t="n">
        <f aca="false">Operations!AF454</f>
        <v>0.6</v>
      </c>
      <c r="AG637" s="14" t="n">
        <f aca="false">Operations!AG454</f>
        <v>0.6</v>
      </c>
      <c r="AH637" s="14" t="n">
        <f aca="false">Operations!AH454</f>
        <v>0.6</v>
      </c>
      <c r="AI637" s="14" t="n">
        <f aca="false">Operations!AI454</f>
        <v>0.6</v>
      </c>
      <c r="AJ637" s="14" t="n">
        <f aca="false">Operations!AJ454</f>
        <v>0.6</v>
      </c>
      <c r="AK637" s="14" t="n">
        <f aca="false">Operations!AK454</f>
        <v>0.6</v>
      </c>
      <c r="AL637" s="14" t="n">
        <f aca="false">Operations!AL454</f>
        <v>0.6</v>
      </c>
      <c r="AM637" s="14" t="n">
        <f aca="false">Operations!AM454</f>
        <v>0.6</v>
      </c>
      <c r="AN637" s="14" t="n">
        <f aca="false">Operations!AN454</f>
        <v>0.6</v>
      </c>
      <c r="AO637" s="14" t="n">
        <f aca="false">Operations!AO454</f>
        <v>0.6</v>
      </c>
      <c r="AP637" s="14" t="n">
        <f aca="false">Operations!AP454</f>
        <v>0.6</v>
      </c>
      <c r="AQ637" s="14" t="n">
        <f aca="false">Operations!AQ454</f>
        <v>0.6</v>
      </c>
      <c r="AR637" s="14" t="n">
        <f aca="false">Operations!AR454</f>
        <v>0.6</v>
      </c>
      <c r="AS637" s="14" t="n">
        <f aca="false">Operations!AS454</f>
        <v>0.6</v>
      </c>
      <c r="AT637" s="14" t="n">
        <f aca="false">Operations!AT454</f>
        <v>0.6</v>
      </c>
      <c r="AU637" s="14" t="n">
        <f aca="false">Operations!AU454</f>
        <v>0.6</v>
      </c>
    </row>
    <row r="638" customFormat="false" ht="15" hidden="false" customHeight="false" outlineLevel="0" collapsed="false">
      <c r="D638" s="0" t="s">
        <v>638</v>
      </c>
      <c r="E638" s="0" t="s">
        <v>54</v>
      </c>
      <c r="J638" s="14" t="n">
        <f aca="false">Operations!J637-Inputs!$F$52</f>
        <v>0.83</v>
      </c>
      <c r="K638" s="14" t="n">
        <f aca="false">Operations!K637-Inputs!$F$52</f>
        <v>0.81</v>
      </c>
      <c r="L638" s="14" t="n">
        <f aca="false">Operations!L637-Inputs!$F$52</f>
        <v>0.79</v>
      </c>
      <c r="M638" s="14" t="n">
        <f aca="false">Operations!M637-Inputs!$F$52</f>
        <v>0.77</v>
      </c>
      <c r="N638" s="14" t="n">
        <f aca="false">Operations!N637-Inputs!$F$52</f>
        <v>0.75</v>
      </c>
      <c r="O638" s="14" t="n">
        <f aca="false">Operations!O637-Inputs!$F$52</f>
        <v>0.73</v>
      </c>
      <c r="P638" s="14" t="n">
        <f aca="false">Operations!P637-Inputs!$F$52</f>
        <v>0.71</v>
      </c>
      <c r="Q638" s="14" t="n">
        <f aca="false">Operations!Q637-Inputs!$F$52</f>
        <v>0.69</v>
      </c>
      <c r="R638" s="14" t="n">
        <f aca="false">Operations!R637-Inputs!$F$52</f>
        <v>0.67</v>
      </c>
      <c r="S638" s="14" t="n">
        <f aca="false">Operations!S637-Inputs!$F$52</f>
        <v>0.65</v>
      </c>
      <c r="T638" s="14" t="n">
        <f aca="false">Operations!T637-Inputs!$F$52</f>
        <v>0.63</v>
      </c>
      <c r="U638" s="14" t="n">
        <f aca="false">Operations!U637-Inputs!$F$52</f>
        <v>0.61</v>
      </c>
      <c r="V638" s="14" t="n">
        <f aca="false">Operations!V637-Inputs!$F$52</f>
        <v>0.59</v>
      </c>
      <c r="W638" s="14" t="n">
        <f aca="false">Operations!W637-Inputs!$F$52</f>
        <v>0.57</v>
      </c>
      <c r="X638" s="14" t="n">
        <f aca="false">Operations!X637-Inputs!$F$52</f>
        <v>0.57</v>
      </c>
      <c r="Y638" s="14" t="n">
        <f aca="false">Operations!Y637-Inputs!$F$52</f>
        <v>0.57</v>
      </c>
      <c r="Z638" s="14" t="n">
        <f aca="false">Operations!Z637-Inputs!$F$52</f>
        <v>0.57</v>
      </c>
      <c r="AA638" s="14" t="n">
        <f aca="false">Operations!AA637-Inputs!$F$52</f>
        <v>0.57</v>
      </c>
      <c r="AB638" s="14" t="n">
        <f aca="false">Operations!AB637-Inputs!$F$52</f>
        <v>0.57</v>
      </c>
      <c r="AC638" s="14" t="n">
        <f aca="false">Operations!AC637-Inputs!$F$52</f>
        <v>0.57</v>
      </c>
      <c r="AD638" s="14" t="n">
        <f aca="false">Operations!AD637-Inputs!$F$52</f>
        <v>0.57</v>
      </c>
      <c r="AE638" s="14" t="n">
        <f aca="false">Operations!AE637-Inputs!$F$52</f>
        <v>0.57</v>
      </c>
      <c r="AF638" s="14" t="n">
        <f aca="false">Operations!AF637-Inputs!$F$52</f>
        <v>0.57</v>
      </c>
      <c r="AG638" s="14" t="n">
        <f aca="false">Operations!AG637-Inputs!$F$52</f>
        <v>0.57</v>
      </c>
      <c r="AH638" s="14" t="n">
        <f aca="false">Operations!AH637-Inputs!$F$52</f>
        <v>0.57</v>
      </c>
      <c r="AI638" s="14" t="n">
        <f aca="false">Operations!AI637-Inputs!$F$52</f>
        <v>0.57</v>
      </c>
      <c r="AJ638" s="14" t="n">
        <f aca="false">Operations!AJ637-Inputs!$F$52</f>
        <v>0.57</v>
      </c>
      <c r="AK638" s="14" t="n">
        <f aca="false">Operations!AK637-Inputs!$F$52</f>
        <v>0.57</v>
      </c>
      <c r="AL638" s="14" t="n">
        <f aca="false">Operations!AL637-Inputs!$F$52</f>
        <v>0.57</v>
      </c>
      <c r="AM638" s="14" t="n">
        <f aca="false">Operations!AM637-Inputs!$F$52</f>
        <v>0.57</v>
      </c>
      <c r="AN638" s="14" t="n">
        <f aca="false">Operations!AN637-Inputs!$F$52</f>
        <v>0.57</v>
      </c>
      <c r="AO638" s="14" t="n">
        <f aca="false">Operations!AO637-Inputs!$F$52</f>
        <v>0.57</v>
      </c>
      <c r="AP638" s="14" t="n">
        <f aca="false">Operations!AP637-Inputs!$F$52</f>
        <v>0.57</v>
      </c>
      <c r="AQ638" s="14" t="n">
        <f aca="false">Operations!AQ637-Inputs!$F$52</f>
        <v>0.57</v>
      </c>
      <c r="AR638" s="14" t="n">
        <f aca="false">Operations!AR637-Inputs!$F$52</f>
        <v>0.57</v>
      </c>
      <c r="AS638" s="14" t="n">
        <f aca="false">Operations!AS637-Inputs!$F$52</f>
        <v>0.57</v>
      </c>
      <c r="AT638" s="14" t="n">
        <f aca="false">Operations!AT637-Inputs!$F$52</f>
        <v>0.57</v>
      </c>
      <c r="AU638" s="14" t="n">
        <f aca="false">Operations!AU637-Inputs!$F$52</f>
        <v>0.57</v>
      </c>
    </row>
    <row r="639" customFormat="false" ht="15" hidden="false" customHeight="false" outlineLevel="0" collapsed="false">
      <c r="D639" s="0" t="s">
        <v>639</v>
      </c>
      <c r="E639" s="0" t="s">
        <v>96</v>
      </c>
      <c r="J639" s="18" t="n">
        <f aca="false">Operations!J631*Operations!J638</f>
        <v>59.936624</v>
      </c>
      <c r="K639" s="18" t="n">
        <f aca="false">Operations!K631*Operations!K638</f>
        <v>47.985696</v>
      </c>
      <c r="L639" s="18" t="n">
        <f aca="false">Operations!L631*Operations!L638</f>
        <v>23.018072</v>
      </c>
      <c r="M639" s="18" t="n">
        <f aca="false">Operations!M631*Operations!M638</f>
        <v>29.665328</v>
      </c>
      <c r="N639" s="18" t="n">
        <f aca="false">Operations!N631*Operations!N638</f>
        <v>32.3796</v>
      </c>
      <c r="O639" s="18" t="n">
        <f aca="false">Operations!O631*Operations!O638</f>
        <v>33.424072</v>
      </c>
      <c r="P639" s="18" t="n">
        <f aca="false">Operations!P631*Operations!P638</f>
        <v>33.745448</v>
      </c>
      <c r="Q639" s="18" t="n">
        <f aca="false">Operations!Q631*Operations!Q638</f>
        <v>33.663168</v>
      </c>
      <c r="R639" s="18" t="n">
        <f aca="false">Operations!R631*Operations!R638</f>
        <v>33.595408</v>
      </c>
      <c r="S639" s="18" t="n">
        <f aca="false">Operations!S631*Operations!S638</f>
        <v>33.246928</v>
      </c>
      <c r="T639" s="18" t="n">
        <f aca="false">Operations!T631*Operations!T638</f>
        <v>32.870376</v>
      </c>
      <c r="U639" s="18" t="n">
        <f aca="false">Operations!U631*Operations!U638</f>
        <v>32.4645904</v>
      </c>
      <c r="V639" s="18" t="n">
        <f aca="false">Operations!V631*Operations!V638</f>
        <v>32.0284096</v>
      </c>
      <c r="W639" s="18" t="n">
        <f aca="false">Operations!W631*Operations!W638</f>
        <v>31.560672</v>
      </c>
      <c r="X639" s="18" t="n">
        <f aca="false">Operations!X631*Operations!X638</f>
        <v>32.1896784</v>
      </c>
      <c r="Y639" s="18" t="n">
        <f aca="false">Operations!Y631*Operations!Y638</f>
        <v>32.8352376</v>
      </c>
      <c r="Z639" s="18" t="n">
        <f aca="false">Operations!Z631*Operations!Z638</f>
        <v>33.491832</v>
      </c>
      <c r="AA639" s="18" t="n">
        <f aca="false">Operations!AA631*Operations!AA638</f>
        <v>34.1594616</v>
      </c>
      <c r="AB639" s="18" t="n">
        <f aca="false">Operations!AB631*Operations!AB638</f>
        <v>34.843644</v>
      </c>
      <c r="AC639" s="18" t="n">
        <f aca="false">Operations!AC631*Operations!AC638</f>
        <v>35.5388616</v>
      </c>
      <c r="AD639" s="18" t="n">
        <f aca="false">Operations!AD631*Operations!AD638</f>
        <v>36.250632</v>
      </c>
      <c r="AE639" s="18" t="n">
        <f aca="false">Operations!AE631*Operations!AE638</f>
        <v>36.9734376</v>
      </c>
      <c r="AF639" s="18" t="n">
        <f aca="false">Operations!AF631*Operations!AF638</f>
        <v>37.712796</v>
      </c>
      <c r="AG639" s="18" t="n">
        <f aca="false">Operations!AG631*Operations!AG638</f>
        <v>38.4687072</v>
      </c>
      <c r="AH639" s="18" t="n">
        <f aca="false">Operations!AH631*Operations!AH638</f>
        <v>39.2356536</v>
      </c>
      <c r="AI639" s="18" t="n">
        <f aca="false">Operations!AI631*Operations!AI638</f>
        <v>40.0191528</v>
      </c>
      <c r="AJ639" s="18" t="n">
        <f aca="false">Operations!AJ631*Operations!AJ638</f>
        <v>40.8192048</v>
      </c>
      <c r="AK639" s="18" t="n">
        <f aca="false">Operations!AK631*Operations!AK638</f>
        <v>41.6358096</v>
      </c>
      <c r="AL639" s="18" t="n">
        <f aca="false">Operations!AL631*Operations!AL638</f>
        <v>42.4689672</v>
      </c>
      <c r="AM639" s="18" t="n">
        <f aca="false">Operations!AM631*Operations!AM638</f>
        <v>43.3186776</v>
      </c>
      <c r="AN639" s="18" t="n">
        <f aca="false">Operations!AN631*Operations!AN638</f>
        <v>44.1849408</v>
      </c>
      <c r="AO639" s="18" t="n">
        <f aca="false">Operations!AO631*Operations!AO638</f>
        <v>45.0677568</v>
      </c>
      <c r="AP639" s="18" t="n">
        <f aca="false">Operations!AP631*Operations!AP638</f>
        <v>45.9671256</v>
      </c>
      <c r="AQ639" s="18" t="n">
        <f aca="false">Operations!AQ631*Operations!AQ638</f>
        <v>46.8885648</v>
      </c>
      <c r="AR639" s="18" t="n">
        <f aca="false">Operations!AR631*Operations!AR638</f>
        <v>47.8265568</v>
      </c>
      <c r="AS639" s="18" t="n">
        <f aca="false">Operations!AS631*Operations!AS638</f>
        <v>48.7811016</v>
      </c>
      <c r="AT639" s="18" t="n">
        <f aca="false">Operations!AT631*Operations!AT638</f>
        <v>49.7577168</v>
      </c>
      <c r="AU639" s="18" t="n">
        <f aca="false">Operations!AU631*Operations!AU638</f>
        <v>50.7508848</v>
      </c>
    </row>
    <row r="640" customFormat="false" ht="15" hidden="false" customHeight="false" outlineLevel="0" collapsed="false">
      <c r="D640" s="0" t="s">
        <v>640</v>
      </c>
      <c r="E640" s="0" t="s">
        <v>458</v>
      </c>
      <c r="J640" s="14" t="n">
        <f aca="false">MAX(0,MIN(Inputs!$F$212,Time!J$6)-MAX(Inputs!$F$133,Time!J$5))/Time!J$7</f>
        <v>1</v>
      </c>
      <c r="K640" s="14" t="n">
        <f aca="false">MAX(0,MIN(Inputs!$F$212,Time!K$6)-MAX(Inputs!$F$133,Time!K$5))/Time!K$7</f>
        <v>1</v>
      </c>
      <c r="L640" s="14" t="n">
        <f aca="false">MAX(0,MIN(Inputs!$F$212,Time!L$6)-MAX(Inputs!$F$133,Time!L$5))/Time!L$7</f>
        <v>1</v>
      </c>
      <c r="M640" s="14" t="n">
        <f aca="false">MAX(0,MIN(Inputs!$F$212,Time!M$6)-MAX(Inputs!$F$133,Time!M$5))/Time!M$7</f>
        <v>1</v>
      </c>
      <c r="N640" s="14" t="n">
        <f aca="false">MAX(0,MIN(Inputs!$F$212,Time!N$6)-MAX(Inputs!$F$133,Time!N$5))/Time!N$7</f>
        <v>1</v>
      </c>
      <c r="O640" s="14" t="n">
        <f aca="false">MAX(0,MIN(Inputs!$F$212,Time!O$6)-MAX(Inputs!$F$133,Time!O$5))/Time!O$7</f>
        <v>1</v>
      </c>
      <c r="P640" s="14" t="n">
        <f aca="false">MAX(0,MIN(Inputs!$F$212,Time!P$6)-MAX(Inputs!$F$133,Time!P$5))/Time!P$7</f>
        <v>1</v>
      </c>
      <c r="Q640" s="14" t="n">
        <f aca="false">MAX(0,MIN(Inputs!$F$212,Time!Q$6)-MAX(Inputs!$F$133,Time!Q$5))/Time!Q$7</f>
        <v>1</v>
      </c>
      <c r="R640" s="14" t="n">
        <f aca="false">MAX(0,MIN(Inputs!$F$212,Time!R$6)-MAX(Inputs!$F$133,Time!R$5))/Time!R$7</f>
        <v>1</v>
      </c>
      <c r="S640" s="14" t="n">
        <f aca="false">MAX(0,MIN(Inputs!$F$212,Time!S$6)-MAX(Inputs!$F$133,Time!S$5))/Time!S$7</f>
        <v>1</v>
      </c>
      <c r="T640" s="14" t="n">
        <f aca="false">MAX(0,MIN(Inputs!$F$212,Time!T$6)-MAX(Inputs!$F$133,Time!T$5))/Time!T$7</f>
        <v>1</v>
      </c>
      <c r="U640" s="14" t="n">
        <f aca="false">MAX(0,MIN(Inputs!$F$212,Time!U$6)-MAX(Inputs!$F$133,Time!U$5))/Time!U$7</f>
        <v>0.495890410958904</v>
      </c>
      <c r="V640" s="14" t="n">
        <f aca="false">MAX(0,MIN(Inputs!$F$212,Time!V$6)-MAX(Inputs!$F$133,Time!V$5))/Time!V$7</f>
        <v>0</v>
      </c>
      <c r="W640" s="14" t="n">
        <f aca="false">MAX(0,MIN(Inputs!$F$212,Time!W$6)-MAX(Inputs!$F$133,Time!W$5))/Time!W$7</f>
        <v>0</v>
      </c>
      <c r="X640" s="14" t="n">
        <f aca="false">MAX(0,MIN(Inputs!$F$212,Time!X$6)-MAX(Inputs!$F$133,Time!X$5))/Time!X$7</f>
        <v>0</v>
      </c>
      <c r="Y640" s="14" t="n">
        <f aca="false">MAX(0,MIN(Inputs!$F$212,Time!Y$6)-MAX(Inputs!$F$133,Time!Y$5))/Time!Y$7</f>
        <v>0</v>
      </c>
      <c r="Z640" s="14" t="n">
        <f aca="false">MAX(0,MIN(Inputs!$F$212,Time!Z$6)-MAX(Inputs!$F$133,Time!Z$5))/Time!Z$7</f>
        <v>0</v>
      </c>
      <c r="AA640" s="14" t="n">
        <f aca="false">MAX(0,MIN(Inputs!$F$212,Time!AA$6)-MAX(Inputs!$F$133,Time!AA$5))/Time!AA$7</f>
        <v>0</v>
      </c>
      <c r="AB640" s="14" t="n">
        <f aca="false">MAX(0,MIN(Inputs!$F$212,Time!AB$6)-MAX(Inputs!$F$133,Time!AB$5))/Time!AB$7</f>
        <v>0</v>
      </c>
      <c r="AC640" s="14" t="n">
        <f aca="false">MAX(0,MIN(Inputs!$F$212,Time!AC$6)-MAX(Inputs!$F$133,Time!AC$5))/Time!AC$7</f>
        <v>0</v>
      </c>
      <c r="AD640" s="14" t="n">
        <f aca="false">MAX(0,MIN(Inputs!$F$212,Time!AD$6)-MAX(Inputs!$F$133,Time!AD$5))/Time!AD$7</f>
        <v>0</v>
      </c>
      <c r="AE640" s="14" t="n">
        <f aca="false">MAX(0,MIN(Inputs!$F$212,Time!AE$6)-MAX(Inputs!$F$133,Time!AE$5))/Time!AE$7</f>
        <v>0</v>
      </c>
      <c r="AF640" s="14" t="n">
        <f aca="false">MAX(0,MIN(Inputs!$F$212,Time!AF$6)-MAX(Inputs!$F$133,Time!AF$5))/Time!AF$7</f>
        <v>0</v>
      </c>
      <c r="AG640" s="14" t="n">
        <f aca="false">MAX(0,MIN(Inputs!$F$212,Time!AG$6)-MAX(Inputs!$F$133,Time!AG$5))/Time!AG$7</f>
        <v>0</v>
      </c>
      <c r="AH640" s="14" t="n">
        <f aca="false">MAX(0,MIN(Inputs!$F$212,Time!AH$6)-MAX(Inputs!$F$133,Time!AH$5))/Time!AH$7</f>
        <v>0</v>
      </c>
      <c r="AI640" s="14" t="n">
        <f aca="false">MAX(0,MIN(Inputs!$F$212,Time!AI$6)-MAX(Inputs!$F$133,Time!AI$5))/Time!AI$7</f>
        <v>0</v>
      </c>
      <c r="AJ640" s="14" t="n">
        <f aca="false">MAX(0,MIN(Inputs!$F$212,Time!AJ$6)-MAX(Inputs!$F$133,Time!AJ$5))/Time!AJ$7</f>
        <v>0</v>
      </c>
      <c r="AK640" s="14" t="n">
        <f aca="false">MAX(0,MIN(Inputs!$F$212,Time!AK$6)-MAX(Inputs!$F$133,Time!AK$5))/Time!AK$7</f>
        <v>0</v>
      </c>
      <c r="AL640" s="14" t="n">
        <f aca="false">MAX(0,MIN(Inputs!$F$212,Time!AL$6)-MAX(Inputs!$F$133,Time!AL$5))/Time!AL$7</f>
        <v>0</v>
      </c>
      <c r="AM640" s="14" t="n">
        <f aca="false">MAX(0,MIN(Inputs!$F$212,Time!AM$6)-MAX(Inputs!$F$133,Time!AM$5))/Time!AM$7</f>
        <v>0</v>
      </c>
      <c r="AN640" s="14" t="n">
        <f aca="false">MAX(0,MIN(Inputs!$F$212,Time!AN$6)-MAX(Inputs!$F$133,Time!AN$5))/Time!AN$7</f>
        <v>0</v>
      </c>
      <c r="AO640" s="14" t="n">
        <f aca="false">MAX(0,MIN(Inputs!$F$212,Time!AO$6)-MAX(Inputs!$F$133,Time!AO$5))/Time!AO$7</f>
        <v>0</v>
      </c>
      <c r="AP640" s="14" t="n">
        <f aca="false">MAX(0,MIN(Inputs!$F$212,Time!AP$6)-MAX(Inputs!$F$133,Time!AP$5))/Time!AP$7</f>
        <v>0</v>
      </c>
      <c r="AQ640" s="14" t="n">
        <f aca="false">MAX(0,MIN(Inputs!$F$212,Time!AQ$6)-MAX(Inputs!$F$133,Time!AQ$5))/Time!AQ$7</f>
        <v>0</v>
      </c>
      <c r="AR640" s="14" t="n">
        <f aca="false">MAX(0,MIN(Inputs!$F$212,Time!AR$6)-MAX(Inputs!$F$133,Time!AR$5))/Time!AR$7</f>
        <v>0</v>
      </c>
      <c r="AS640" s="14" t="n">
        <f aca="false">MAX(0,MIN(Inputs!$F$212,Time!AS$6)-MAX(Inputs!$F$133,Time!AS$5))/Time!AS$7</f>
        <v>0</v>
      </c>
      <c r="AT640" s="14" t="n">
        <f aca="false">MAX(0,MIN(Inputs!$F$212,Time!AT$6)-MAX(Inputs!$F$133,Time!AT$5))/Time!AT$7</f>
        <v>0</v>
      </c>
      <c r="AU640" s="14" t="n">
        <f aca="false">MAX(0,MIN(Inputs!$F$212,Time!AU$6)-MAX(Inputs!$F$133,Time!AU$5))/Time!AU$7</f>
        <v>0</v>
      </c>
    </row>
    <row r="641" customFormat="false" ht="15" hidden="false" customHeight="false" outlineLevel="0" collapsed="false">
      <c r="D641" s="0" t="s">
        <v>641</v>
      </c>
      <c r="E641" s="0" t="s">
        <v>466</v>
      </c>
      <c r="J641" s="20" t="n">
        <f aca="false">Operations!J635*Operations!J640</f>
        <v>443.156</v>
      </c>
      <c r="K641" s="20" t="n">
        <f aca="false">Operations!K635*Operations!K640</f>
        <v>438.9109725</v>
      </c>
      <c r="L641" s="20" t="n">
        <f aca="false">Operations!L635*Operations!L640</f>
        <v>434.6951763385</v>
      </c>
      <c r="M641" s="20" t="n">
        <f aca="false">Operations!M635*Operations!M640</f>
        <v>430.50843439526</v>
      </c>
      <c r="N641" s="20" t="n">
        <f aca="false">Operations!N635*Operations!N640</f>
        <v>428.571146440482</v>
      </c>
      <c r="O641" s="20" t="n">
        <f aca="false">Operations!O635*Operations!O640</f>
        <v>426.6425762815</v>
      </c>
      <c r="P641" s="20" t="n">
        <f aca="false">Operations!P635*Operations!P640</f>
        <v>424.722684688233</v>
      </c>
      <c r="Q641" s="20" t="n">
        <f aca="false">Operations!Q635*Operations!Q640</f>
        <v>422.811432607136</v>
      </c>
      <c r="R641" s="20" t="n">
        <f aca="false">Operations!R635*Operations!R640</f>
        <v>420.908781160404</v>
      </c>
      <c r="S641" s="20" t="n">
        <f aca="false">Operations!S635*Operations!S640</f>
        <v>419.014691645182</v>
      </c>
      <c r="T641" s="20" t="n">
        <f aca="false">Operations!T635*Operations!T640</f>
        <v>417.129125532779</v>
      </c>
      <c r="U641" s="20" t="n">
        <f aca="false">Operations!U635*Operations!U640</f>
        <v>205.919506982703</v>
      </c>
      <c r="V641" s="20" t="n">
        <f aca="false">Operations!V635*Operations!V640</f>
        <v>0</v>
      </c>
      <c r="W641" s="20" t="n">
        <f aca="false">Operations!W635*Operations!W640</f>
        <v>0</v>
      </c>
      <c r="X641" s="20" t="n">
        <f aca="false">Operations!X635*Operations!X640</f>
        <v>0</v>
      </c>
      <c r="Y641" s="20" t="n">
        <f aca="false">Operations!Y635*Operations!Y640</f>
        <v>0</v>
      </c>
      <c r="Z641" s="20" t="n">
        <f aca="false">Operations!Z635*Operations!Z640</f>
        <v>0</v>
      </c>
      <c r="AA641" s="20" t="n">
        <f aca="false">Operations!AA635*Operations!AA640</f>
        <v>0</v>
      </c>
      <c r="AB641" s="20" t="n">
        <f aca="false">Operations!AB635*Operations!AB640</f>
        <v>0</v>
      </c>
      <c r="AC641" s="20" t="n">
        <f aca="false">Operations!AC635*Operations!AC640</f>
        <v>0</v>
      </c>
      <c r="AD641" s="20" t="n">
        <f aca="false">Operations!AD635*Operations!AD640</f>
        <v>0</v>
      </c>
      <c r="AE641" s="20" t="n">
        <f aca="false">Operations!AE635*Operations!AE640</f>
        <v>0</v>
      </c>
      <c r="AF641" s="20" t="n">
        <f aca="false">Operations!AF635*Operations!AF640</f>
        <v>0</v>
      </c>
      <c r="AG641" s="20" t="n">
        <f aca="false">Operations!AG635*Operations!AG640</f>
        <v>0</v>
      </c>
      <c r="AH641" s="20" t="n">
        <f aca="false">Operations!AH635*Operations!AH640</f>
        <v>0</v>
      </c>
      <c r="AI641" s="20" t="n">
        <f aca="false">Operations!AI635*Operations!AI640</f>
        <v>0</v>
      </c>
      <c r="AJ641" s="20" t="n">
        <f aca="false">Operations!AJ635*Operations!AJ640</f>
        <v>0</v>
      </c>
      <c r="AK641" s="20" t="n">
        <f aca="false">Operations!AK635*Operations!AK640</f>
        <v>0</v>
      </c>
      <c r="AL641" s="20" t="n">
        <f aca="false">Operations!AL635*Operations!AL640</f>
        <v>0</v>
      </c>
      <c r="AM641" s="20" t="n">
        <f aca="false">Operations!AM635*Operations!AM640</f>
        <v>0</v>
      </c>
      <c r="AN641" s="20" t="n">
        <f aca="false">Operations!AN635*Operations!AN640</f>
        <v>0</v>
      </c>
      <c r="AO641" s="20" t="n">
        <f aca="false">Operations!AO635*Operations!AO640</f>
        <v>0</v>
      </c>
      <c r="AP641" s="20" t="n">
        <f aca="false">Operations!AP635*Operations!AP640</f>
        <v>0</v>
      </c>
      <c r="AQ641" s="20" t="n">
        <f aca="false">Operations!AQ635*Operations!AQ640</f>
        <v>0</v>
      </c>
      <c r="AR641" s="20" t="n">
        <f aca="false">Operations!AR635*Operations!AR640</f>
        <v>0</v>
      </c>
      <c r="AS641" s="20" t="n">
        <f aca="false">Operations!AS635*Operations!AS640</f>
        <v>0</v>
      </c>
      <c r="AT641" s="20" t="n">
        <f aca="false">Operations!AT635*Operations!AT640</f>
        <v>0</v>
      </c>
      <c r="AU641" s="20" t="n">
        <f aca="false">Operations!AU635*Operations!AU640</f>
        <v>0</v>
      </c>
    </row>
    <row r="642" customFormat="false" ht="15" hidden="false" customHeight="false" outlineLevel="0" collapsed="false">
      <c r="D642" s="0" t="s">
        <v>642</v>
      </c>
      <c r="E642" s="0" t="s">
        <v>47</v>
      </c>
      <c r="G642" s="20" t="n">
        <f aca="false">SUM(J642:AU642)</f>
        <v>-45.9845223858038</v>
      </c>
      <c r="J642" s="20" t="n">
        <f aca="false">Operations!J641*(Inputs!$F$211-Operations!J631*Operations!J637)/1000</f>
        <v>-15.179426013248</v>
      </c>
      <c r="K642" s="20" t="n">
        <f aca="false">Operations!K641*(Inputs!$F$211-Operations!K631*Operations!K637)/1000</f>
        <v>-9.61783156137804</v>
      </c>
      <c r="L642" s="20" t="n">
        <f aca="false">Operations!L641*(Inputs!$F$211-Operations!L631*Operations!L637)/1000</f>
        <v>1.72044700159675</v>
      </c>
      <c r="M642" s="20" t="n">
        <f aca="false">Operations!M641*(Inputs!$F$211-Operations!M631*Operations!M637)/1000</f>
        <v>-1.27909221960044</v>
      </c>
      <c r="N642" s="20" t="n">
        <f aca="false">Operations!N641*(Inputs!$F$211-Operations!N631*Operations!N637)/1000</f>
        <v>-2.49633435664818</v>
      </c>
      <c r="O642" s="20" t="n">
        <f aca="false">Operations!O641*(Inputs!$F$211-Operations!O631*Operations!O637)/1000</f>
        <v>-2.96416926809823</v>
      </c>
      <c r="P642" s="20" t="n">
        <f aca="false">Operations!P641*(Inputs!$F$211-Operations!P631*Operations!P637)/1000</f>
        <v>-3.10952728808018</v>
      </c>
      <c r="Q642" s="20" t="n">
        <f aca="false">Operations!Q641*(Inputs!$F$211-Operations!Q631*Operations!Q637)/1000</f>
        <v>-3.07670746781268</v>
      </c>
      <c r="R642" s="20" t="n">
        <f aca="false">Operations!R641*(Inputs!$F$211-Operations!R631*Operations!R637)/1000</f>
        <v>-3.05145397260295</v>
      </c>
      <c r="S642" s="20" t="n">
        <f aca="false">Operations!S641*(Inputs!$F$211-Operations!S631*Operations!S637)/1000</f>
        <v>-2.90435910409292</v>
      </c>
      <c r="T642" s="20" t="n">
        <f aca="false">Operations!T641*(Inputs!$F$211-Operations!T631*Operations!T637)/1000</f>
        <v>-2.74705891724068</v>
      </c>
      <c r="U642" s="20" t="n">
        <f aca="false">Operations!U641*(Inputs!$F$211-Operations!U631*Operations!U637)/1000</f>
        <v>-1.27900921859823</v>
      </c>
      <c r="V642" s="20" t="n">
        <f aca="false">Operations!V641*(Inputs!$F$211-Operations!V631*Operations!V637)/1000</f>
        <v>-0</v>
      </c>
      <c r="W642" s="20" t="n">
        <f aca="false">Operations!W641*(Inputs!$F$211-Operations!W631*Operations!W637)/1000</f>
        <v>-0</v>
      </c>
      <c r="X642" s="20" t="n">
        <f aca="false">Operations!X641*(Inputs!$F$211-Operations!X631*Operations!X637)/1000</f>
        <v>-0</v>
      </c>
      <c r="Y642" s="20" t="n">
        <f aca="false">Operations!Y641*(Inputs!$F$211-Operations!Y631*Operations!Y637)/1000</f>
        <v>-0</v>
      </c>
      <c r="Z642" s="20" t="n">
        <f aca="false">Operations!Z641*(Inputs!$F$211-Operations!Z631*Operations!Z637)/1000</f>
        <v>-0</v>
      </c>
      <c r="AA642" s="20" t="n">
        <f aca="false">Operations!AA641*(Inputs!$F$211-Operations!AA631*Operations!AA637)/1000</f>
        <v>-0</v>
      </c>
      <c r="AB642" s="20" t="n">
        <f aca="false">Operations!AB641*(Inputs!$F$211-Operations!AB631*Operations!AB637)/1000</f>
        <v>-0</v>
      </c>
      <c r="AC642" s="20" t="n">
        <f aca="false">Operations!AC641*(Inputs!$F$211-Operations!AC631*Operations!AC637)/1000</f>
        <v>-0</v>
      </c>
      <c r="AD642" s="20" t="n">
        <f aca="false">Operations!AD641*(Inputs!$F$211-Operations!AD631*Operations!AD637)/1000</f>
        <v>-0</v>
      </c>
      <c r="AE642" s="20" t="n">
        <f aca="false">Operations!AE641*(Inputs!$F$211-Operations!AE631*Operations!AE637)/1000</f>
        <v>-0</v>
      </c>
      <c r="AF642" s="20" t="n">
        <f aca="false">Operations!AF641*(Inputs!$F$211-Operations!AF631*Operations!AF637)/1000</f>
        <v>-0</v>
      </c>
      <c r="AG642" s="20" t="n">
        <f aca="false">Operations!AG641*(Inputs!$F$211-Operations!AG631*Operations!AG637)/1000</f>
        <v>-0</v>
      </c>
      <c r="AH642" s="20" t="n">
        <f aca="false">Operations!AH641*(Inputs!$F$211-Operations!AH631*Operations!AH637)/1000</f>
        <v>-0</v>
      </c>
      <c r="AI642" s="20" t="n">
        <f aca="false">Operations!AI641*(Inputs!$F$211-Operations!AI631*Operations!AI637)/1000</f>
        <v>-0</v>
      </c>
      <c r="AJ642" s="20" t="n">
        <f aca="false">Operations!AJ641*(Inputs!$F$211-Operations!AJ631*Operations!AJ637)/1000</f>
        <v>-0</v>
      </c>
      <c r="AK642" s="20" t="n">
        <f aca="false">Operations!AK641*(Inputs!$F$211-Operations!AK631*Operations!AK637)/1000</f>
        <v>-0</v>
      </c>
      <c r="AL642" s="20" t="n">
        <f aca="false">Operations!AL641*(Inputs!$F$211-Operations!AL631*Operations!AL637)/1000</f>
        <v>-0</v>
      </c>
      <c r="AM642" s="20" t="n">
        <f aca="false">Operations!AM641*(Inputs!$F$211-Operations!AM631*Operations!AM637)/1000</f>
        <v>-0</v>
      </c>
      <c r="AN642" s="20" t="n">
        <f aca="false">Operations!AN641*(Inputs!$F$211-Operations!AN631*Operations!AN637)/1000</f>
        <v>-0</v>
      </c>
      <c r="AO642" s="20" t="n">
        <f aca="false">Operations!AO641*(Inputs!$F$211-Operations!AO631*Operations!AO637)/1000</f>
        <v>-0</v>
      </c>
      <c r="AP642" s="20" t="n">
        <f aca="false">Operations!AP641*(Inputs!$F$211-Operations!AP631*Operations!AP637)/1000</f>
        <v>-0</v>
      </c>
      <c r="AQ642" s="20" t="n">
        <f aca="false">Operations!AQ641*(Inputs!$F$211-Operations!AQ631*Operations!AQ637)/1000</f>
        <v>-0</v>
      </c>
      <c r="AR642" s="20" t="n">
        <f aca="false">Operations!AR641*(Inputs!$F$211-Operations!AR631*Operations!AR637)/1000</f>
        <v>-0</v>
      </c>
      <c r="AS642" s="20" t="n">
        <f aca="false">Operations!AS641*(Inputs!$F$211-Operations!AS631*Operations!AS637)/1000</f>
        <v>-0</v>
      </c>
      <c r="AT642" s="20" t="n">
        <f aca="false">Operations!AT641*(Inputs!$F$211-Operations!AT631*Operations!AT637)/1000</f>
        <v>-0</v>
      </c>
      <c r="AU642" s="20" t="n">
        <f aca="false">Operations!AU641*(Inputs!$F$211-Operations!AU631*Operations!AU637)/1000</f>
        <v>-0</v>
      </c>
    </row>
    <row r="643" customFormat="false" ht="15" hidden="false" customHeight="false" outlineLevel="0" collapsed="false">
      <c r="D643" s="0" t="s">
        <v>643</v>
      </c>
      <c r="E643" s="0" t="s">
        <v>466</v>
      </c>
      <c r="J643" s="20" t="n">
        <f aca="false">Operations!J636</f>
        <v>443.156</v>
      </c>
      <c r="K643" s="20" t="n">
        <f aca="false">Operations!K636</f>
        <v>438.9109725</v>
      </c>
      <c r="L643" s="20" t="n">
        <f aca="false">Operations!L636</f>
        <v>434.6951763385</v>
      </c>
      <c r="M643" s="20" t="n">
        <f aca="false">Operations!M636</f>
        <v>430.50843439526</v>
      </c>
      <c r="N643" s="20" t="n">
        <f aca="false">Operations!N636</f>
        <v>428.571146440482</v>
      </c>
      <c r="O643" s="20" t="n">
        <f aca="false">Operations!O636</f>
        <v>426.6425762815</v>
      </c>
      <c r="P643" s="20" t="n">
        <f aca="false">Operations!P636</f>
        <v>424.722684688233</v>
      </c>
      <c r="Q643" s="20" t="n">
        <f aca="false">Operations!Q636</f>
        <v>422.811432607136</v>
      </c>
      <c r="R643" s="20" t="n">
        <f aca="false">Operations!R636</f>
        <v>420.908781160404</v>
      </c>
      <c r="S643" s="20" t="n">
        <f aca="false">Operations!S636</f>
        <v>419.014691645182</v>
      </c>
      <c r="T643" s="20" t="n">
        <f aca="false">Operations!T636</f>
        <v>417.129125532779</v>
      </c>
      <c r="U643" s="20" t="n">
        <f aca="false">Operations!U636</f>
        <v>415.252044467881</v>
      </c>
      <c r="V643" s="20" t="n">
        <f aca="false">Operations!V636</f>
        <v>413.383410267776</v>
      </c>
      <c r="W643" s="20" t="n">
        <f aca="false">Operations!W636</f>
        <v>411.523184921571</v>
      </c>
      <c r="X643" s="20" t="n">
        <f aca="false">Operations!X636</f>
        <v>409.671330589424</v>
      </c>
      <c r="Y643" s="20" t="n">
        <f aca="false">Operations!Y636</f>
        <v>407.827809601771</v>
      </c>
      <c r="Z643" s="20" t="n">
        <f aca="false">Operations!Z636</f>
        <v>405.992584458563</v>
      </c>
      <c r="AA643" s="20" t="n">
        <f aca="false">Operations!AA636</f>
        <v>404.1656178285</v>
      </c>
      <c r="AB643" s="20" t="n">
        <f aca="false">Operations!AB636</f>
        <v>402.346872548272</v>
      </c>
      <c r="AC643" s="20" t="n">
        <f aca="false">Operations!AC636</f>
        <v>400.536311621804</v>
      </c>
      <c r="AD643" s="20" t="n">
        <f aca="false">Operations!AD636</f>
        <v>398.733898219506</v>
      </c>
      <c r="AE643" s="20" t="n">
        <f aca="false">Operations!AE636</f>
        <v>396.939595677519</v>
      </c>
      <c r="AF643" s="20" t="n">
        <f aca="false">Operations!AF636</f>
        <v>395.15336749697</v>
      </c>
      <c r="AG643" s="20" t="n">
        <f aca="false">Operations!AG636</f>
        <v>393.375177343234</v>
      </c>
      <c r="AH643" s="20" t="n">
        <f aca="false">Operations!AH636</f>
        <v>391.604989045189</v>
      </c>
      <c r="AI643" s="20" t="n">
        <f aca="false">Operations!AI636</f>
        <v>389.842766594486</v>
      </c>
      <c r="AJ643" s="20" t="n">
        <f aca="false">Operations!AJ636</f>
        <v>388.08847414481</v>
      </c>
      <c r="AK643" s="20" t="n">
        <f aca="false">Operations!AK636</f>
        <v>386.342076011159</v>
      </c>
      <c r="AL643" s="20" t="n">
        <f aca="false">Operations!AL636</f>
        <v>384.603536669109</v>
      </c>
      <c r="AM643" s="20" t="n">
        <f aca="false">Operations!AM636</f>
        <v>382.872820754098</v>
      </c>
      <c r="AN643" s="20" t="n">
        <f aca="false">Operations!AN636</f>
        <v>381.149893060704</v>
      </c>
      <c r="AO643" s="20" t="n">
        <f aca="false">Operations!AO636</f>
        <v>379.434718541931</v>
      </c>
      <c r="AP643" s="20" t="n">
        <f aca="false">Operations!AP636</f>
        <v>377.727262308492</v>
      </c>
      <c r="AQ643" s="20" t="n">
        <f aca="false">Operations!AQ636</f>
        <v>376.027489628104</v>
      </c>
      <c r="AR643" s="20" t="n">
        <f aca="false">Operations!AR636</f>
        <v>186.144908738551</v>
      </c>
      <c r="AS643" s="20" t="n">
        <f aca="false">Operations!AS636</f>
        <v>0</v>
      </c>
      <c r="AT643" s="20" t="n">
        <f aca="false">Operations!AT636</f>
        <v>0</v>
      </c>
      <c r="AU643" s="20" t="n">
        <f aca="false">Operations!AU636</f>
        <v>0</v>
      </c>
    </row>
    <row r="644" customFormat="false" ht="15" hidden="false" customHeight="false" outlineLevel="0" collapsed="false">
      <c r="D644" s="0" t="s">
        <v>644</v>
      </c>
      <c r="E644" s="0" t="s">
        <v>47</v>
      </c>
      <c r="J644" s="20" t="n">
        <f aca="false">Operations!J641*Inputs!$F$211/1000</f>
        <v>12.3418946</v>
      </c>
      <c r="K644" s="20" t="n">
        <f aca="false">Operations!K641*Inputs!$F$211/1000</f>
        <v>12.223670584125</v>
      </c>
      <c r="L644" s="20" t="n">
        <f aca="false">Operations!L641*Inputs!$F$211/1000</f>
        <v>12.1062606610272</v>
      </c>
      <c r="M644" s="20" t="n">
        <f aca="false">Operations!M641*Inputs!$F$211/1000</f>
        <v>11.989659897908</v>
      </c>
      <c r="N644" s="20" t="n">
        <f aca="false">Operations!N641*Inputs!$F$211/1000</f>
        <v>11.9357064283674</v>
      </c>
      <c r="O644" s="20" t="n">
        <f aca="false">Operations!O641*Inputs!$F$211/1000</f>
        <v>11.8819957494398</v>
      </c>
      <c r="P644" s="20" t="n">
        <f aca="false">Operations!P641*Inputs!$F$211/1000</f>
        <v>11.8285267685673</v>
      </c>
      <c r="Q644" s="20" t="n">
        <f aca="false">Operations!Q641*Inputs!$F$211/1000</f>
        <v>11.7752983981087</v>
      </c>
      <c r="R644" s="20" t="n">
        <f aca="false">Operations!R641*Inputs!$F$211/1000</f>
        <v>11.7223095553172</v>
      </c>
      <c r="S644" s="20" t="n">
        <f aca="false">Operations!S641*Inputs!$F$211/1000</f>
        <v>11.6695591623183</v>
      </c>
      <c r="T644" s="20" t="n">
        <f aca="false">Operations!T641*Inputs!$F$211/1000</f>
        <v>11.6170461460879</v>
      </c>
      <c r="U644" s="20" t="n">
        <f aca="false">Operations!U641*Inputs!$F$211/1000</f>
        <v>5.73485826946827</v>
      </c>
      <c r="V644" s="20" t="n">
        <f aca="false">Operations!V641*Inputs!$F$211/1000</f>
        <v>0</v>
      </c>
      <c r="W644" s="20" t="n">
        <f aca="false">Operations!W641*Inputs!$F$211/1000</f>
        <v>0</v>
      </c>
      <c r="X644" s="20" t="n">
        <f aca="false">Operations!X641*Inputs!$F$211/1000</f>
        <v>0</v>
      </c>
      <c r="Y644" s="20" t="n">
        <f aca="false">Operations!Y641*Inputs!$F$211/1000</f>
        <v>0</v>
      </c>
      <c r="Z644" s="20" t="n">
        <f aca="false">Operations!Z641*Inputs!$F$211/1000</f>
        <v>0</v>
      </c>
      <c r="AA644" s="20" t="n">
        <f aca="false">Operations!AA641*Inputs!$F$211/1000</f>
        <v>0</v>
      </c>
      <c r="AB644" s="20" t="n">
        <f aca="false">Operations!AB641*Inputs!$F$211/1000</f>
        <v>0</v>
      </c>
      <c r="AC644" s="20" t="n">
        <f aca="false">Operations!AC641*Inputs!$F$211/1000</f>
        <v>0</v>
      </c>
      <c r="AD644" s="20" t="n">
        <f aca="false">Operations!AD641*Inputs!$F$211/1000</f>
        <v>0</v>
      </c>
      <c r="AE644" s="20" t="n">
        <f aca="false">Operations!AE641*Inputs!$F$211/1000</f>
        <v>0</v>
      </c>
      <c r="AF644" s="20" t="n">
        <f aca="false">Operations!AF641*Inputs!$F$211/1000</f>
        <v>0</v>
      </c>
      <c r="AG644" s="20" t="n">
        <f aca="false">Operations!AG641*Inputs!$F$211/1000</f>
        <v>0</v>
      </c>
      <c r="AH644" s="20" t="n">
        <f aca="false">Operations!AH641*Inputs!$F$211/1000</f>
        <v>0</v>
      </c>
      <c r="AI644" s="20" t="n">
        <f aca="false">Operations!AI641*Inputs!$F$211/1000</f>
        <v>0</v>
      </c>
      <c r="AJ644" s="20" t="n">
        <f aca="false">Operations!AJ641*Inputs!$F$211/1000</f>
        <v>0</v>
      </c>
      <c r="AK644" s="20" t="n">
        <f aca="false">Operations!AK641*Inputs!$F$211/1000</f>
        <v>0</v>
      </c>
      <c r="AL644" s="20" t="n">
        <f aca="false">Operations!AL641*Inputs!$F$211/1000</f>
        <v>0</v>
      </c>
      <c r="AM644" s="20" t="n">
        <f aca="false">Operations!AM641*Inputs!$F$211/1000</f>
        <v>0</v>
      </c>
      <c r="AN644" s="20" t="n">
        <f aca="false">Operations!AN641*Inputs!$F$211/1000</f>
        <v>0</v>
      </c>
      <c r="AO644" s="20" t="n">
        <f aca="false">Operations!AO641*Inputs!$F$211/1000</f>
        <v>0</v>
      </c>
      <c r="AP644" s="20" t="n">
        <f aca="false">Operations!AP641*Inputs!$F$211/1000</f>
        <v>0</v>
      </c>
      <c r="AQ644" s="20" t="n">
        <f aca="false">Operations!AQ641*Inputs!$F$211/1000</f>
        <v>0</v>
      </c>
      <c r="AR644" s="20" t="n">
        <f aca="false">Operations!AR641*Inputs!$F$211/1000</f>
        <v>0</v>
      </c>
      <c r="AS644" s="20" t="n">
        <f aca="false">Operations!AS641*Inputs!$F$211/1000</f>
        <v>0</v>
      </c>
      <c r="AT644" s="20" t="n">
        <f aca="false">Operations!AT641*Inputs!$F$211/1000</f>
        <v>0</v>
      </c>
      <c r="AU644" s="20" t="n">
        <f aca="false">Operations!AU641*Inputs!$F$211/1000</f>
        <v>0</v>
      </c>
    </row>
    <row r="645" customFormat="false" ht="15" hidden="false" customHeight="false" outlineLevel="0" collapsed="false">
      <c r="D645" s="0" t="s">
        <v>645</v>
      </c>
      <c r="E645" s="0" t="s">
        <v>47</v>
      </c>
      <c r="J645" s="20" t="n">
        <f aca="false">0</f>
        <v>0</v>
      </c>
      <c r="K645" s="20" t="n">
        <f aca="false">0</f>
        <v>0</v>
      </c>
      <c r="L645" s="20" t="n">
        <f aca="false">0</f>
        <v>0</v>
      </c>
      <c r="M645" s="20" t="n">
        <f aca="false">0</f>
        <v>0</v>
      </c>
      <c r="N645" s="20" t="n">
        <f aca="false">0</f>
        <v>0</v>
      </c>
      <c r="O645" s="20" t="n">
        <f aca="false">0</f>
        <v>0</v>
      </c>
      <c r="P645" s="20" t="n">
        <f aca="false">0</f>
        <v>0</v>
      </c>
      <c r="Q645" s="20" t="n">
        <f aca="false">0</f>
        <v>0</v>
      </c>
      <c r="R645" s="20" t="n">
        <f aca="false">0</f>
        <v>0</v>
      </c>
      <c r="S645" s="20" t="n">
        <f aca="false">0</f>
        <v>0</v>
      </c>
      <c r="T645" s="20" t="n">
        <f aca="false">0</f>
        <v>0</v>
      </c>
      <c r="U645" s="20" t="n">
        <f aca="false">0</f>
        <v>0</v>
      </c>
      <c r="V645" s="20" t="n">
        <f aca="false">0</f>
        <v>0</v>
      </c>
      <c r="W645" s="20" t="n">
        <f aca="false">0</f>
        <v>0</v>
      </c>
      <c r="X645" s="20" t="n">
        <f aca="false">0</f>
        <v>0</v>
      </c>
      <c r="Y645" s="20" t="n">
        <f aca="false">0</f>
        <v>0</v>
      </c>
      <c r="Z645" s="20" t="n">
        <f aca="false">0</f>
        <v>0</v>
      </c>
      <c r="AA645" s="20" t="n">
        <f aca="false">0</f>
        <v>0</v>
      </c>
      <c r="AB645" s="20" t="n">
        <f aca="false">0</f>
        <v>0</v>
      </c>
      <c r="AC645" s="20" t="n">
        <f aca="false">0</f>
        <v>0</v>
      </c>
      <c r="AD645" s="20" t="n">
        <f aca="false">0</f>
        <v>0</v>
      </c>
      <c r="AE645" s="20" t="n">
        <f aca="false">0</f>
        <v>0</v>
      </c>
      <c r="AF645" s="20" t="n">
        <f aca="false">0</f>
        <v>0</v>
      </c>
      <c r="AG645" s="20" t="n">
        <f aca="false">0</f>
        <v>0</v>
      </c>
      <c r="AH645" s="20" t="n">
        <f aca="false">0</f>
        <v>0</v>
      </c>
      <c r="AI645" s="20" t="n">
        <f aca="false">0</f>
        <v>0</v>
      </c>
      <c r="AJ645" s="20" t="n">
        <f aca="false">0</f>
        <v>0</v>
      </c>
      <c r="AK645" s="20" t="n">
        <f aca="false">0</f>
        <v>0</v>
      </c>
      <c r="AL645" s="20" t="n">
        <f aca="false">0</f>
        <v>0</v>
      </c>
      <c r="AM645" s="20" t="n">
        <f aca="false">0</f>
        <v>0</v>
      </c>
      <c r="AN645" s="20" t="n">
        <f aca="false">0</f>
        <v>0</v>
      </c>
      <c r="AO645" s="20" t="n">
        <f aca="false">0</f>
        <v>0</v>
      </c>
      <c r="AP645" s="20" t="n">
        <f aca="false">0</f>
        <v>0</v>
      </c>
      <c r="AQ645" s="20" t="n">
        <f aca="false">0</f>
        <v>0</v>
      </c>
      <c r="AR645" s="20" t="n">
        <f aca="false">0</f>
        <v>0</v>
      </c>
      <c r="AS645" s="20" t="n">
        <f aca="false">0</f>
        <v>0</v>
      </c>
      <c r="AT645" s="20" t="n">
        <f aca="false">0</f>
        <v>0</v>
      </c>
      <c r="AU645" s="20" t="n">
        <f aca="false">0</f>
        <v>0</v>
      </c>
    </row>
    <row r="646" customFormat="false" ht="15" hidden="false" customHeight="false" outlineLevel="0" collapsed="false">
      <c r="D646" s="0" t="s">
        <v>646</v>
      </c>
      <c r="E646" s="0" t="s">
        <v>47</v>
      </c>
      <c r="G646" s="20" t="n">
        <f aca="false">SUM(J646:AU646)</f>
        <v>523.64626726126</v>
      </c>
      <c r="J646" s="20" t="n">
        <f aca="false">Operations!J643*Operations!J639/1000</f>
        <v>26.561274545344</v>
      </c>
      <c r="K646" s="20" t="n">
        <f aca="false">Operations!K643*Operations!K639/1000</f>
        <v>21.0614484974494</v>
      </c>
      <c r="L646" s="20" t="n">
        <f aca="false">Operations!L643*Operations!L639/1000</f>
        <v>10.0058448670123</v>
      </c>
      <c r="M646" s="20" t="n">
        <f aca="false">Operations!M643*Operations!M639/1000</f>
        <v>12.7711739131019</v>
      </c>
      <c r="N646" s="20" t="n">
        <f aca="false">Operations!N643*Operations!N639/1000</f>
        <v>13.8769622932842</v>
      </c>
      <c r="O646" s="20" t="n">
        <f aca="false">Operations!O643*Operations!O639/1000</f>
        <v>14.2601321878983</v>
      </c>
      <c r="P646" s="20" t="n">
        <f aca="false">Operations!P643*Operations!P639/1000</f>
        <v>14.3324572705672</v>
      </c>
      <c r="Q646" s="20" t="n">
        <f aca="false">Operations!Q643*Operations!Q639/1000</f>
        <v>14.2331722881747</v>
      </c>
      <c r="R646" s="20" t="n">
        <f aca="false">Operations!R643*Operations!R639/1000</f>
        <v>14.1406022338665</v>
      </c>
      <c r="S646" s="20" t="n">
        <f aca="false">Operations!S643*Operations!S639/1000</f>
        <v>13.9309512840696</v>
      </c>
      <c r="T646" s="20" t="n">
        <f aca="false">Operations!T643*Operations!T639/1000</f>
        <v>13.7111911968136</v>
      </c>
      <c r="U646" s="20" t="n">
        <f aca="false">Operations!U643*Operations!U639/1000</f>
        <v>13.4809875364124</v>
      </c>
      <c r="V646" s="20" t="n">
        <f aca="false">Operations!V643*Operations!V639/1000</f>
        <v>13.2400131859012</v>
      </c>
      <c r="W646" s="20" t="n">
        <f aca="false">Operations!W643*Operations!W639/1000</f>
        <v>12.987948259705</v>
      </c>
      <c r="X646" s="20" t="n">
        <f aca="false">Operations!X643*Operations!X639/1000</f>
        <v>13.1871883813736</v>
      </c>
      <c r="Y646" s="20" t="n">
        <f aca="false">Operations!Y643*Operations!Y639/1000</f>
        <v>13.3911230281617</v>
      </c>
      <c r="Z646" s="20" t="n">
        <f aca="false">Operations!Z643*Operations!Z639/1000</f>
        <v>13.597435431932</v>
      </c>
      <c r="AA646" s="20" t="n">
        <f aca="false">Operations!AA643*Operations!AA639/1000</f>
        <v>13.8060799022529</v>
      </c>
      <c r="AB646" s="20" t="n">
        <f aca="false">Operations!AB643*Operations!AB639/1000</f>
        <v>14.0192311915853</v>
      </c>
      <c r="AC646" s="20" t="n">
        <f aca="false">Operations!AC643*Operations!AC639/1000</f>
        <v>14.2346045445018</v>
      </c>
      <c r="AD646" s="20" t="n">
        <f aca="false">Operations!AD643*Operations!AD639/1000</f>
        <v>14.4543558102808</v>
      </c>
      <c r="AE646" s="20" t="n">
        <f aca="false">Operations!AE643*Operations!AE639/1000</f>
        <v>14.676221371752</v>
      </c>
      <c r="AF646" s="20" t="n">
        <f aca="false">Operations!AF643*Operations!AF639/1000</f>
        <v>14.9023383371262</v>
      </c>
      <c r="AG646" s="20" t="n">
        <f aca="false">Operations!AG643*Operations!AG639/1000</f>
        <v>15.1326345169649</v>
      </c>
      <c r="AH646" s="20" t="n">
        <f aca="false">Operations!AH643*Operations!AH639/1000</f>
        <v>15.3648776982088</v>
      </c>
      <c r="AI646" s="20" t="n">
        <f aca="false">Operations!AI643*Operations!AI639/1000</f>
        <v>15.6011772443195</v>
      </c>
      <c r="AJ646" s="20" t="n">
        <f aca="false">Operations!AJ643*Operations!AJ639/1000</f>
        <v>15.8414629066365</v>
      </c>
      <c r="AK646" s="20" t="n">
        <f aca="false">Operations!AK643*Operations!AK639/1000</f>
        <v>16.0856651172693</v>
      </c>
      <c r="AL646" s="20" t="n">
        <f aca="false">Operations!AL643*Operations!AL639/1000</f>
        <v>16.3337149838044</v>
      </c>
      <c r="AM646" s="20" t="n">
        <f aca="false">Operations!AM643*Operations!AM639/1000</f>
        <v>16.5855442840493</v>
      </c>
      <c r="AN646" s="20" t="n">
        <f aca="false">Operations!AN643*Operations!AN639/1000</f>
        <v>16.8410854608135</v>
      </c>
      <c r="AO646" s="20" t="n">
        <f aca="false">Operations!AO643*Operations!AO639/1000</f>
        <v>17.1002716167242</v>
      </c>
      <c r="AP646" s="20" t="n">
        <f aca="false">Operations!AP643*Operations!AP639/1000</f>
        <v>17.3630365090786</v>
      </c>
      <c r="AQ646" s="20" t="n">
        <f aca="false">Operations!AQ643*Operations!AQ639/1000</f>
        <v>17.6313893140087</v>
      </c>
      <c r="AR646" s="20" t="n">
        <f aca="false">Operations!AR643*Operations!AR639/1000</f>
        <v>8.90267005081511</v>
      </c>
      <c r="AS646" s="20" t="n">
        <f aca="false">Operations!AS643*Operations!AS639/1000</f>
        <v>0</v>
      </c>
      <c r="AT646" s="20" t="n">
        <f aca="false">Operations!AT643*Operations!AT639/1000</f>
        <v>0</v>
      </c>
      <c r="AU646" s="20" t="n">
        <f aca="false">Operations!AU643*Operations!AU639/1000</f>
        <v>0</v>
      </c>
    </row>
    <row r="647" customFormat="false" ht="15" hidden="false" customHeight="false" outlineLevel="0" collapsed="false">
      <c r="D647" s="0" t="s">
        <v>647</v>
      </c>
      <c r="E647" s="0" t="s">
        <v>47</v>
      </c>
      <c r="G647" s="20" t="n">
        <f aca="false">SUM(J647:AU647)</f>
        <v>477.661744875456</v>
      </c>
      <c r="J647" s="20" t="n">
        <f aca="false">Operations!J646+Operations!J642</f>
        <v>11.381848532096</v>
      </c>
      <c r="K647" s="20" t="n">
        <f aca="false">Operations!K646+Operations!K642</f>
        <v>11.4436169360713</v>
      </c>
      <c r="L647" s="20" t="n">
        <f aca="false">Operations!L646+Operations!L642</f>
        <v>11.726291868609</v>
      </c>
      <c r="M647" s="20" t="n">
        <f aca="false">Operations!M646+Operations!M642</f>
        <v>11.4920816935014</v>
      </c>
      <c r="N647" s="20" t="n">
        <f aca="false">Operations!N646+Operations!N642</f>
        <v>11.3806279366361</v>
      </c>
      <c r="O647" s="20" t="n">
        <f aca="false">Operations!O646+Operations!O642</f>
        <v>11.2959629198001</v>
      </c>
      <c r="P647" s="20" t="n">
        <f aca="false">Operations!P646+Operations!P642</f>
        <v>11.222929982487</v>
      </c>
      <c r="Q647" s="20" t="n">
        <f aca="false">Operations!Q646+Operations!Q642</f>
        <v>11.156464820362</v>
      </c>
      <c r="R647" s="20" t="n">
        <f aca="false">Operations!R646+Operations!R642</f>
        <v>11.0891482612635</v>
      </c>
      <c r="S647" s="20" t="n">
        <f aca="false">Operations!S646+Operations!S642</f>
        <v>11.0265921799766</v>
      </c>
      <c r="T647" s="20" t="n">
        <f aca="false">Operations!T646+Operations!T642</f>
        <v>10.964132279573</v>
      </c>
      <c r="U647" s="20" t="n">
        <f aca="false">Operations!U646+Operations!U642</f>
        <v>12.2019783178141</v>
      </c>
      <c r="V647" s="20" t="n">
        <f aca="false">Operations!V646+Operations!V642</f>
        <v>13.2400131859012</v>
      </c>
      <c r="W647" s="20" t="n">
        <f aca="false">Operations!W646+Operations!W642</f>
        <v>12.987948259705</v>
      </c>
      <c r="X647" s="20" t="n">
        <f aca="false">Operations!X646+Operations!X642</f>
        <v>13.1871883813736</v>
      </c>
      <c r="Y647" s="20" t="n">
        <f aca="false">Operations!Y646+Operations!Y642</f>
        <v>13.3911230281617</v>
      </c>
      <c r="Z647" s="20" t="n">
        <f aca="false">Operations!Z646+Operations!Z642</f>
        <v>13.597435431932</v>
      </c>
      <c r="AA647" s="20" t="n">
        <f aca="false">Operations!AA646+Operations!AA642</f>
        <v>13.8060799022529</v>
      </c>
      <c r="AB647" s="20" t="n">
        <f aca="false">Operations!AB646+Operations!AB642</f>
        <v>14.0192311915853</v>
      </c>
      <c r="AC647" s="20" t="n">
        <f aca="false">Operations!AC646+Operations!AC642</f>
        <v>14.2346045445018</v>
      </c>
      <c r="AD647" s="20" t="n">
        <f aca="false">Operations!AD646+Operations!AD642</f>
        <v>14.4543558102808</v>
      </c>
      <c r="AE647" s="20" t="n">
        <f aca="false">Operations!AE646+Operations!AE642</f>
        <v>14.676221371752</v>
      </c>
      <c r="AF647" s="20" t="n">
        <f aca="false">Operations!AF646+Operations!AF642</f>
        <v>14.9023383371262</v>
      </c>
      <c r="AG647" s="20" t="n">
        <f aca="false">Operations!AG646+Operations!AG642</f>
        <v>15.1326345169649</v>
      </c>
      <c r="AH647" s="20" t="n">
        <f aca="false">Operations!AH646+Operations!AH642</f>
        <v>15.3648776982088</v>
      </c>
      <c r="AI647" s="20" t="n">
        <f aca="false">Operations!AI646+Operations!AI642</f>
        <v>15.6011772443195</v>
      </c>
      <c r="AJ647" s="20" t="n">
        <f aca="false">Operations!AJ646+Operations!AJ642</f>
        <v>15.8414629066365</v>
      </c>
      <c r="AK647" s="20" t="n">
        <f aca="false">Operations!AK646+Operations!AK642</f>
        <v>16.0856651172693</v>
      </c>
      <c r="AL647" s="20" t="n">
        <f aca="false">Operations!AL646+Operations!AL642</f>
        <v>16.3337149838044</v>
      </c>
      <c r="AM647" s="20" t="n">
        <f aca="false">Operations!AM646+Operations!AM642</f>
        <v>16.5855442840493</v>
      </c>
      <c r="AN647" s="20" t="n">
        <f aca="false">Operations!AN646+Operations!AN642</f>
        <v>16.8410854608135</v>
      </c>
      <c r="AO647" s="20" t="n">
        <f aca="false">Operations!AO646+Operations!AO642</f>
        <v>17.1002716167242</v>
      </c>
      <c r="AP647" s="20" t="n">
        <f aca="false">Operations!AP646+Operations!AP642</f>
        <v>17.3630365090786</v>
      </c>
      <c r="AQ647" s="20" t="n">
        <f aca="false">Operations!AQ646+Operations!AQ642</f>
        <v>17.6313893140087</v>
      </c>
      <c r="AR647" s="20" t="n">
        <f aca="false">Operations!AR646+Operations!AR642</f>
        <v>8.90267005081511</v>
      </c>
      <c r="AS647" s="20" t="n">
        <f aca="false">Operations!AS646+Operations!AS642</f>
        <v>0</v>
      </c>
      <c r="AT647" s="20" t="n">
        <f aca="false">Operations!AT646+Operations!AT642</f>
        <v>0</v>
      </c>
      <c r="AU647" s="20" t="n">
        <f aca="false">Operations!AU646+Operations!AU642</f>
        <v>0</v>
      </c>
    </row>
    <row r="648" customFormat="false" ht="15" hidden="false" customHeight="false" outlineLevel="0" collapsed="false">
      <c r="D648" s="0" t="s">
        <v>648</v>
      </c>
      <c r="E648" s="0" t="s">
        <v>47</v>
      </c>
      <c r="J648" s="20" t="n">
        <f aca="false">Operations!J647-Operations!J644-Operations!J645</f>
        <v>-0.960046067904001</v>
      </c>
      <c r="K648" s="20" t="n">
        <f aca="false">Operations!K647-Operations!K644-Operations!K645</f>
        <v>-0.780053648053679</v>
      </c>
      <c r="L648" s="20" t="n">
        <f aca="false">Operations!L647-Operations!L644-Operations!L645</f>
        <v>-0.379968792418188</v>
      </c>
      <c r="M648" s="20" t="n">
        <f aca="false">Operations!M647-Operations!M644-Operations!M645</f>
        <v>-0.497578204406567</v>
      </c>
      <c r="N648" s="20" t="n">
        <f aca="false">Operations!N647-Operations!N644-Operations!N645</f>
        <v>-0.555078491731369</v>
      </c>
      <c r="O648" s="20" t="n">
        <f aca="false">Operations!O647-Operations!O644-Operations!O645</f>
        <v>-0.586032829639658</v>
      </c>
      <c r="P648" s="20" t="n">
        <f aca="false">Operations!P647-Operations!P644-Operations!P645</f>
        <v>-0.605596786080303</v>
      </c>
      <c r="Q648" s="20" t="n">
        <f aca="false">Operations!Q647-Operations!Q644-Operations!Q645</f>
        <v>-0.618833577746724</v>
      </c>
      <c r="R648" s="20" t="n">
        <f aca="false">Operations!R647-Operations!R644-Operations!R645</f>
        <v>-0.633161294053721</v>
      </c>
      <c r="S648" s="20" t="n">
        <f aca="false">Operations!S647-Operations!S644-Operations!S645</f>
        <v>-0.642966982341672</v>
      </c>
      <c r="T648" s="20" t="n">
        <f aca="false">Operations!T647-Operations!T644-Operations!T645</f>
        <v>-0.652913866514933</v>
      </c>
      <c r="U648" s="20" t="n">
        <f aca="false">Operations!U647-Operations!U644-Operations!U645</f>
        <v>6.46712004834585</v>
      </c>
      <c r="V648" s="20" t="n">
        <f aca="false">Operations!V647-Operations!V644-Operations!V645</f>
        <v>13.2400131859012</v>
      </c>
      <c r="W648" s="20" t="n">
        <f aca="false">Operations!W647-Operations!W644-Operations!W645</f>
        <v>12.987948259705</v>
      </c>
      <c r="X648" s="20" t="n">
        <f aca="false">Operations!X647-Operations!X644-Operations!X645</f>
        <v>13.1871883813736</v>
      </c>
      <c r="Y648" s="20" t="n">
        <f aca="false">Operations!Y647-Operations!Y644-Operations!Y645</f>
        <v>13.3911230281617</v>
      </c>
      <c r="Z648" s="20" t="n">
        <f aca="false">Operations!Z647-Operations!Z644-Operations!Z645</f>
        <v>13.597435431932</v>
      </c>
      <c r="AA648" s="20" t="n">
        <f aca="false">Operations!AA647-Operations!AA644-Operations!AA645</f>
        <v>13.8060799022529</v>
      </c>
      <c r="AB648" s="20" t="n">
        <f aca="false">Operations!AB647-Operations!AB644-Operations!AB645</f>
        <v>14.0192311915853</v>
      </c>
      <c r="AC648" s="20" t="n">
        <f aca="false">Operations!AC647-Operations!AC644-Operations!AC645</f>
        <v>14.2346045445018</v>
      </c>
      <c r="AD648" s="20" t="n">
        <f aca="false">Operations!AD647-Operations!AD644-Operations!AD645</f>
        <v>14.4543558102808</v>
      </c>
      <c r="AE648" s="20" t="n">
        <f aca="false">Operations!AE647-Operations!AE644-Operations!AE645</f>
        <v>14.676221371752</v>
      </c>
      <c r="AF648" s="20" t="n">
        <f aca="false">Operations!AF647-Operations!AF644-Operations!AF645</f>
        <v>14.9023383371262</v>
      </c>
      <c r="AG648" s="20" t="n">
        <f aca="false">Operations!AG647-Operations!AG644-Operations!AG645</f>
        <v>15.1326345169649</v>
      </c>
      <c r="AH648" s="20" t="n">
        <f aca="false">Operations!AH647-Operations!AH644-Operations!AH645</f>
        <v>15.3648776982088</v>
      </c>
      <c r="AI648" s="20" t="n">
        <f aca="false">Operations!AI647-Operations!AI644-Operations!AI645</f>
        <v>15.6011772443195</v>
      </c>
      <c r="AJ648" s="20" t="n">
        <f aca="false">Operations!AJ647-Operations!AJ644-Operations!AJ645</f>
        <v>15.8414629066365</v>
      </c>
      <c r="AK648" s="20" t="n">
        <f aca="false">Operations!AK647-Operations!AK644-Operations!AK645</f>
        <v>16.0856651172693</v>
      </c>
      <c r="AL648" s="20" t="n">
        <f aca="false">Operations!AL647-Operations!AL644-Operations!AL645</f>
        <v>16.3337149838044</v>
      </c>
      <c r="AM648" s="20" t="n">
        <f aca="false">Operations!AM647-Operations!AM644-Operations!AM645</f>
        <v>16.5855442840493</v>
      </c>
      <c r="AN648" s="20" t="n">
        <f aca="false">Operations!AN647-Operations!AN644-Operations!AN645</f>
        <v>16.8410854608135</v>
      </c>
      <c r="AO648" s="20" t="n">
        <f aca="false">Operations!AO647-Operations!AO644-Operations!AO645</f>
        <v>17.1002716167242</v>
      </c>
      <c r="AP648" s="20" t="n">
        <f aca="false">Operations!AP647-Operations!AP644-Operations!AP645</f>
        <v>17.3630365090786</v>
      </c>
      <c r="AQ648" s="20" t="n">
        <f aca="false">Operations!AQ647-Operations!AQ644-Operations!AQ645</f>
        <v>17.6313893140087</v>
      </c>
      <c r="AR648" s="20" t="n">
        <f aca="false">Operations!AR647-Operations!AR644-Operations!AR645</f>
        <v>8.90267005081511</v>
      </c>
      <c r="AS648" s="20" t="n">
        <f aca="false">Operations!AS647-Operations!AS644-Operations!AS645</f>
        <v>0</v>
      </c>
      <c r="AT648" s="20" t="n">
        <f aca="false">Operations!AT647-Operations!AT644-Operations!AT645</f>
        <v>0</v>
      </c>
      <c r="AU648" s="20" t="n">
        <f aca="false">Operations!AU647-Operations!AU644-Operations!AU645</f>
        <v>0</v>
      </c>
    </row>
    <row r="649" customFormat="false" ht="15" hidden="false" customHeight="false" outlineLevel="0" collapsed="false">
      <c r="D649" s="0" t="s">
        <v>649</v>
      </c>
      <c r="E649" s="0" t="s">
        <v>47</v>
      </c>
      <c r="J649" s="20" t="n">
        <f aca="false">Inputs!$F$136*Inputs!$F$132/1000*Time!J$9*Time!J$10*Operations!J628*Operations!$F$445</f>
        <v>3.35616</v>
      </c>
      <c r="K649" s="20" t="n">
        <f aca="false">Inputs!$F$136*Inputs!$F$132/1000*Time!K$9*Time!K$10*Operations!K628*Operations!$F$445</f>
        <v>3.553586112</v>
      </c>
      <c r="L649" s="20" t="n">
        <f aca="false">Inputs!$F$136*Inputs!$F$132/1000*Time!L$9*Time!L$10*Operations!L628*Operations!$F$445</f>
        <v>3.6424257648</v>
      </c>
      <c r="M649" s="20" t="n">
        <f aca="false">Inputs!$F$136*Inputs!$F$132/1000*Time!M$9*Time!M$10*Operations!M628*Operations!$F$445</f>
        <v>3.73348640892</v>
      </c>
      <c r="N649" s="20" t="n">
        <f aca="false">Inputs!$F$136*Inputs!$F$132/1000*Time!N$9*Time!N$10*Operations!N628*Operations!$F$445</f>
        <v>3.826823569143</v>
      </c>
      <c r="O649" s="20" t="n">
        <f aca="false">Inputs!$F$136*Inputs!$F$132/1000*Time!O$9*Time!O$10*Operations!O628*Operations!$F$445</f>
        <v>3.92249415837157</v>
      </c>
      <c r="P649" s="20" t="n">
        <f aca="false">Inputs!$F$136*Inputs!$F$132/1000*Time!P$9*Time!P$10*Operations!P628*Operations!$F$445</f>
        <v>4.02055651233086</v>
      </c>
      <c r="Q649" s="20" t="n">
        <f aca="false">Inputs!$F$136*Inputs!$F$132/1000*Time!Q$9*Time!Q$10*Operations!Q628*Operations!$F$445</f>
        <v>4.12107042513913</v>
      </c>
      <c r="R649" s="20" t="n">
        <f aca="false">Inputs!$F$136*Inputs!$F$132/1000*Time!R$9*Time!R$10*Operations!R628*Operations!$F$445</f>
        <v>4.22409718576761</v>
      </c>
      <c r="S649" s="20" t="n">
        <f aca="false">Inputs!$F$136*Inputs!$F$132/1000*Time!S$9*Time!S$10*Operations!S628*Operations!$F$445</f>
        <v>4.3296996154118</v>
      </c>
      <c r="T649" s="20" t="n">
        <f aca="false">Inputs!$F$136*Inputs!$F$132/1000*Time!T$9*Time!T$10*Operations!T628*Operations!$F$445</f>
        <v>4.4379421057971</v>
      </c>
      <c r="U649" s="20" t="n">
        <f aca="false">Inputs!$F$136*Inputs!$F$132/1000*Time!U$9*Time!U$10*Operations!U628*Operations!$F$445</f>
        <v>4.54889065844202</v>
      </c>
      <c r="V649" s="20" t="n">
        <f aca="false">Inputs!$F$136*Inputs!$F$132/1000*Time!V$9*Time!V$10*Operations!V628*Operations!$F$445</f>
        <v>4.66261292490307</v>
      </c>
      <c r="W649" s="20" t="n">
        <f aca="false">Inputs!$F$136*Inputs!$F$132/1000*Time!W$9*Time!W$10*Operations!W628*Operations!$F$445</f>
        <v>4.77917824802565</v>
      </c>
      <c r="X649" s="20" t="n">
        <f aca="false">Inputs!$F$136*Inputs!$F$132/1000*Time!X$9*Time!X$10*Operations!X628*Operations!$F$445</f>
        <v>4.89865770422629</v>
      </c>
      <c r="Y649" s="20" t="n">
        <f aca="false">Inputs!$F$136*Inputs!$F$132/1000*Time!Y$9*Time!Y$10*Operations!Y628*Operations!$F$445</f>
        <v>5.02112414683195</v>
      </c>
      <c r="Z649" s="20" t="n">
        <f aca="false">Inputs!$F$136*Inputs!$F$132/1000*Time!Z$9*Time!Z$10*Operations!Z628*Operations!$F$445</f>
        <v>5.14665225050275</v>
      </c>
      <c r="AA649" s="20" t="n">
        <f aca="false">Inputs!$F$136*Inputs!$F$132/1000*Time!AA$9*Time!AA$10*Operations!AA628*Operations!$F$445</f>
        <v>5.27531855676531</v>
      </c>
      <c r="AB649" s="20" t="n">
        <f aca="false">Inputs!$F$136*Inputs!$F$132/1000*Time!AB$9*Time!AB$10*Operations!AB628*Operations!$F$445</f>
        <v>5.40720152068445</v>
      </c>
      <c r="AC649" s="20" t="n">
        <f aca="false">Inputs!$F$136*Inputs!$F$132/1000*Time!AC$9*Time!AC$10*Operations!AC628*Operations!$F$445</f>
        <v>5.54238155870156</v>
      </c>
      <c r="AD649" s="20" t="n">
        <f aca="false">Inputs!$F$136*Inputs!$F$132/1000*Time!AD$9*Time!AD$10*Operations!AD628*Operations!$F$445</f>
        <v>5.6809410976691</v>
      </c>
      <c r="AE649" s="20" t="n">
        <f aca="false">Inputs!$F$136*Inputs!$F$132/1000*Time!AE$9*Time!AE$10*Operations!AE628*Operations!$F$445</f>
        <v>5.82296462511082</v>
      </c>
      <c r="AF649" s="20" t="n">
        <f aca="false">Inputs!$F$136*Inputs!$F$132/1000*Time!AF$9*Time!AF$10*Operations!AF628*Operations!$F$445</f>
        <v>5.96853874073859</v>
      </c>
      <c r="AG649" s="20" t="n">
        <f aca="false">Inputs!$F$136*Inputs!$F$132/1000*Time!AG$9*Time!AG$10*Operations!AG628*Operations!$F$445</f>
        <v>6.11775220925706</v>
      </c>
      <c r="AH649" s="20" t="n">
        <f aca="false">Inputs!$F$136*Inputs!$F$132/1000*Time!AH$9*Time!AH$10*Operations!AH628*Operations!$F$445</f>
        <v>6.27069601448848</v>
      </c>
      <c r="AI649" s="20" t="n">
        <f aca="false">Inputs!$F$136*Inputs!$F$132/1000*Time!AI$9*Time!AI$10*Operations!AI628*Operations!$F$445</f>
        <v>6.42746341485069</v>
      </c>
      <c r="AJ649" s="20" t="n">
        <f aca="false">Inputs!$F$136*Inputs!$F$132/1000*Time!AJ$9*Time!AJ$10*Operations!AJ628*Operations!$F$445</f>
        <v>6.58815000022196</v>
      </c>
      <c r="AK649" s="20" t="n">
        <f aca="false">Inputs!$F$136*Inputs!$F$132/1000*Time!AK$9*Time!AK$10*Operations!AK628*Operations!$F$445</f>
        <v>6.75285375022751</v>
      </c>
      <c r="AL649" s="20" t="n">
        <f aca="false">Inputs!$F$136*Inputs!$F$132/1000*Time!AL$9*Time!AL$10*Operations!AL628*Operations!$F$445</f>
        <v>6.9216750939832</v>
      </c>
      <c r="AM649" s="20" t="n">
        <f aca="false">Inputs!$F$136*Inputs!$F$132/1000*Time!AM$9*Time!AM$10*Operations!AM628*Operations!$F$445</f>
        <v>7.09471697133278</v>
      </c>
      <c r="AN649" s="20" t="n">
        <f aca="false">Inputs!$F$136*Inputs!$F$132/1000*Time!AN$9*Time!AN$10*Operations!AN628*Operations!$F$445</f>
        <v>7.27208489561609</v>
      </c>
      <c r="AO649" s="20" t="n">
        <f aca="false">Inputs!$F$136*Inputs!$F$132/1000*Time!AO$9*Time!AO$10*Operations!AO628*Operations!$F$445</f>
        <v>7.4538870180065</v>
      </c>
      <c r="AP649" s="20" t="n">
        <f aca="false">Inputs!$F$136*Inputs!$F$132/1000*Time!AP$9*Time!AP$10*Operations!AP628*Operations!$F$445</f>
        <v>7.64023419345666</v>
      </c>
      <c r="AQ649" s="20" t="n">
        <f aca="false">Inputs!$F$136*Inputs!$F$132/1000*Time!AQ$9*Time!AQ$10*Operations!AQ628*Operations!$F$445</f>
        <v>7.83124004829307</v>
      </c>
      <c r="AR649" s="20" t="n">
        <f aca="false">Inputs!$F$136*Inputs!$F$132/1000*Time!AR$9*Time!AR$10*Operations!AR628*Operations!$F$445</f>
        <v>3.99157877324883</v>
      </c>
      <c r="AS649" s="20" t="n">
        <f aca="false">Inputs!$F$136*Inputs!$F$132/1000*Time!AS$9*Time!AS$10*Operations!AS628*Operations!$F$445</f>
        <v>0</v>
      </c>
      <c r="AT649" s="20" t="n">
        <f aca="false">Inputs!$F$136*Inputs!$F$132/1000*Time!AT$9*Time!AT$10*Operations!AT628*Operations!$F$445</f>
        <v>0</v>
      </c>
      <c r="AU649" s="20" t="n">
        <f aca="false">Inputs!$F$136*Inputs!$F$132/1000*Time!AU$9*Time!AU$10*Operations!AU628*Operations!$F$445</f>
        <v>0</v>
      </c>
    </row>
    <row r="650" customFormat="false" ht="15" hidden="false" customHeight="false" outlineLevel="0" collapsed="false">
      <c r="D650" s="0" t="s">
        <v>650</v>
      </c>
      <c r="E650" s="0" t="s">
        <v>47</v>
      </c>
      <c r="J650" s="20" t="n">
        <f aca="false">0</f>
        <v>0</v>
      </c>
      <c r="K650" s="20" t="n">
        <f aca="false">0</f>
        <v>0</v>
      </c>
      <c r="L650" s="20" t="n">
        <f aca="false">0</f>
        <v>0</v>
      </c>
      <c r="M650" s="20" t="n">
        <f aca="false">0</f>
        <v>0</v>
      </c>
      <c r="N650" s="20" t="n">
        <f aca="false">0</f>
        <v>0</v>
      </c>
      <c r="O650" s="20" t="n">
        <f aca="false">0</f>
        <v>0</v>
      </c>
      <c r="P650" s="20" t="n">
        <f aca="false">0</f>
        <v>0</v>
      </c>
      <c r="Q650" s="20" t="n">
        <f aca="false">0</f>
        <v>0</v>
      </c>
      <c r="R650" s="20" t="n">
        <f aca="false">0</f>
        <v>0</v>
      </c>
      <c r="S650" s="20" t="n">
        <f aca="false">0</f>
        <v>0</v>
      </c>
      <c r="T650" s="20" t="n">
        <f aca="false">0</f>
        <v>0</v>
      </c>
      <c r="U650" s="20" t="n">
        <f aca="false">0</f>
        <v>0</v>
      </c>
      <c r="V650" s="20" t="n">
        <f aca="false">0</f>
        <v>0</v>
      </c>
      <c r="W650" s="20" t="n">
        <f aca="false">0</f>
        <v>0</v>
      </c>
      <c r="X650" s="20" t="n">
        <f aca="false">0</f>
        <v>0</v>
      </c>
      <c r="Y650" s="20" t="n">
        <f aca="false">0</f>
        <v>0</v>
      </c>
      <c r="Z650" s="20" t="n">
        <f aca="false">0</f>
        <v>0</v>
      </c>
      <c r="AA650" s="20" t="n">
        <f aca="false">0</f>
        <v>0</v>
      </c>
      <c r="AB650" s="20" t="n">
        <f aca="false">0</f>
        <v>0</v>
      </c>
      <c r="AC650" s="20" t="n">
        <f aca="false">0</f>
        <v>0</v>
      </c>
      <c r="AD650" s="20" t="n">
        <f aca="false">0</f>
        <v>0</v>
      </c>
      <c r="AE650" s="20" t="n">
        <f aca="false">0</f>
        <v>0</v>
      </c>
      <c r="AF650" s="20" t="n">
        <f aca="false">0</f>
        <v>0</v>
      </c>
      <c r="AG650" s="20" t="n">
        <f aca="false">0</f>
        <v>0</v>
      </c>
      <c r="AH650" s="20" t="n">
        <f aca="false">0</f>
        <v>0</v>
      </c>
      <c r="AI650" s="20" t="n">
        <f aca="false">0</f>
        <v>0</v>
      </c>
      <c r="AJ650" s="20" t="n">
        <f aca="false">0</f>
        <v>0</v>
      </c>
      <c r="AK650" s="20" t="n">
        <f aca="false">0</f>
        <v>0</v>
      </c>
      <c r="AL650" s="20" t="n">
        <f aca="false">0</f>
        <v>0</v>
      </c>
      <c r="AM650" s="20" t="n">
        <f aca="false">0</f>
        <v>0</v>
      </c>
      <c r="AN650" s="20" t="n">
        <f aca="false">0</f>
        <v>0</v>
      </c>
      <c r="AO650" s="20" t="n">
        <f aca="false">0</f>
        <v>0</v>
      </c>
      <c r="AP650" s="20" t="n">
        <f aca="false">0</f>
        <v>0</v>
      </c>
      <c r="AQ650" s="20" t="n">
        <f aca="false">0</f>
        <v>0</v>
      </c>
      <c r="AR650" s="20" t="n">
        <f aca="false">0</f>
        <v>0</v>
      </c>
      <c r="AS650" s="20" t="n">
        <f aca="false">0</f>
        <v>0</v>
      </c>
      <c r="AT650" s="20" t="n">
        <f aca="false">0</f>
        <v>0</v>
      </c>
      <c r="AU650" s="20" t="n">
        <f aca="false">0</f>
        <v>0</v>
      </c>
    </row>
    <row r="651" customFormat="false" ht="15" hidden="false" customHeight="false" outlineLevel="0" collapsed="false">
      <c r="D651" s="0" t="s">
        <v>651</v>
      </c>
      <c r="E651" s="0" t="s">
        <v>47</v>
      </c>
      <c r="J651" s="20" t="n">
        <f aca="false">Inputs!$F$243/100*Inputs!$F$137*Inputs!$F$132/1000*Time!J$9*Operations!J628</f>
        <v>0.0415872</v>
      </c>
      <c r="K651" s="20" t="n">
        <f aca="false">Inputs!$F$243/100*Inputs!$F$137*Inputs!$F$132/1000*Time!K$9*Operations!K628</f>
        <v>0.04262688</v>
      </c>
      <c r="L651" s="20" t="n">
        <f aca="false">Inputs!$F$243/100*Inputs!$F$137*Inputs!$F$132/1000*Time!L$9*Operations!L628</f>
        <v>0.043692552</v>
      </c>
      <c r="M651" s="20" t="n">
        <f aca="false">Inputs!$F$243/100*Inputs!$F$137*Inputs!$F$132/1000*Time!M$9*Operations!M628</f>
        <v>0.0447848658</v>
      </c>
      <c r="N651" s="20" t="n">
        <f aca="false">Inputs!$F$243/100*Inputs!$F$137*Inputs!$F$132/1000*Time!N$9*Operations!N628</f>
        <v>0.045904487445</v>
      </c>
      <c r="O651" s="20" t="n">
        <f aca="false">Inputs!$F$243/100*Inputs!$F$137*Inputs!$F$132/1000*Time!O$9*Operations!O628</f>
        <v>0.047052099631125</v>
      </c>
      <c r="P651" s="20" t="n">
        <f aca="false">Inputs!$F$243/100*Inputs!$F$137*Inputs!$F$132/1000*Time!P$9*Operations!P628</f>
        <v>0.0482284021219031</v>
      </c>
      <c r="Q651" s="20" t="n">
        <f aca="false">Inputs!$F$243/100*Inputs!$F$137*Inputs!$F$132/1000*Time!Q$9*Operations!Q628</f>
        <v>0.0494341121749507</v>
      </c>
      <c r="R651" s="20" t="n">
        <f aca="false">Inputs!$F$243/100*Inputs!$F$137*Inputs!$F$132/1000*Time!R$9*Operations!R628</f>
        <v>0.0506699649793244</v>
      </c>
      <c r="S651" s="20" t="n">
        <f aca="false">Inputs!$F$243/100*Inputs!$F$137*Inputs!$F$132/1000*Time!S$9*Operations!S628</f>
        <v>0.0519367141038076</v>
      </c>
      <c r="T651" s="20" t="n">
        <f aca="false">Inputs!$F$243/100*Inputs!$F$137*Inputs!$F$132/1000*Time!T$9*Operations!T628</f>
        <v>0.0532351319564027</v>
      </c>
      <c r="U651" s="20" t="n">
        <f aca="false">Inputs!$F$243/100*Inputs!$F$137*Inputs!$F$132/1000*Time!U$9*Operations!U628</f>
        <v>0.0545660102553128</v>
      </c>
      <c r="V651" s="20" t="n">
        <f aca="false">Inputs!$F$243/100*Inputs!$F$137*Inputs!$F$132/1000*Time!V$9*Operations!V628</f>
        <v>0.0559301605116956</v>
      </c>
      <c r="W651" s="20" t="n">
        <f aca="false">Inputs!$F$243/100*Inputs!$F$137*Inputs!$F$132/1000*Time!W$9*Operations!W628</f>
        <v>0.057328414524488</v>
      </c>
      <c r="X651" s="20" t="n">
        <f aca="false">Inputs!$F$243/100*Inputs!$F$137*Inputs!$F$132/1000*Time!X$9*Operations!X628</f>
        <v>0.0587616248876002</v>
      </c>
      <c r="Y651" s="20" t="n">
        <f aca="false">Inputs!$F$243/100*Inputs!$F$137*Inputs!$F$132/1000*Time!Y$9*Operations!Y628</f>
        <v>0.0602306655097902</v>
      </c>
      <c r="Z651" s="20" t="n">
        <f aca="false">Inputs!$F$243/100*Inputs!$F$137*Inputs!$F$132/1000*Time!Z$9*Operations!Z628</f>
        <v>0.0617364321475349</v>
      </c>
      <c r="AA651" s="20" t="n">
        <f aca="false">Inputs!$F$243/100*Inputs!$F$137*Inputs!$F$132/1000*Time!AA$9*Operations!AA628</f>
        <v>0.0632798429512233</v>
      </c>
      <c r="AB651" s="20" t="n">
        <f aca="false">Inputs!$F$243/100*Inputs!$F$137*Inputs!$F$132/1000*Time!AB$9*Operations!AB628</f>
        <v>0.0648618390250039</v>
      </c>
      <c r="AC651" s="20" t="n">
        <f aca="false">Inputs!$F$243/100*Inputs!$F$137*Inputs!$F$132/1000*Time!AC$9*Operations!AC628</f>
        <v>0.066483385000629</v>
      </c>
      <c r="AD651" s="20" t="n">
        <f aca="false">Inputs!$F$243/100*Inputs!$F$137*Inputs!$F$132/1000*Time!AD$9*Operations!AD628</f>
        <v>0.0681454696256447</v>
      </c>
      <c r="AE651" s="20" t="n">
        <f aca="false">Inputs!$F$243/100*Inputs!$F$137*Inputs!$F$132/1000*Time!AE$9*Operations!AE628</f>
        <v>0.0698491063662858</v>
      </c>
      <c r="AF651" s="20" t="n">
        <f aca="false">Inputs!$F$243/100*Inputs!$F$137*Inputs!$F$132/1000*Time!AF$9*Operations!AF628</f>
        <v>0.071595334025443</v>
      </c>
      <c r="AG651" s="20" t="n">
        <f aca="false">Inputs!$F$243/100*Inputs!$F$137*Inputs!$F$132/1000*Time!AG$9*Operations!AG628</f>
        <v>0.073385217376079</v>
      </c>
      <c r="AH651" s="20" t="n">
        <f aca="false">Inputs!$F$243/100*Inputs!$F$137*Inputs!$F$132/1000*Time!AH$9*Operations!AH628</f>
        <v>0.075219847810481</v>
      </c>
      <c r="AI651" s="20" t="n">
        <f aca="false">Inputs!$F$243/100*Inputs!$F$137*Inputs!$F$132/1000*Time!AI$9*Operations!AI628</f>
        <v>0.077100344005743</v>
      </c>
      <c r="AJ651" s="20" t="n">
        <f aca="false">Inputs!$F$243/100*Inputs!$F$137*Inputs!$F$132/1000*Time!AJ$9*Operations!AJ628</f>
        <v>0.0790278526058866</v>
      </c>
      <c r="AK651" s="20" t="n">
        <f aca="false">Inputs!$F$243/100*Inputs!$F$137*Inputs!$F$132/1000*Time!AK$9*Operations!AK628</f>
        <v>0.0810035489210337</v>
      </c>
      <c r="AL651" s="20" t="n">
        <f aca="false">Inputs!$F$243/100*Inputs!$F$137*Inputs!$F$132/1000*Time!AL$9*Operations!AL628</f>
        <v>0.0830286376440596</v>
      </c>
      <c r="AM651" s="20" t="n">
        <f aca="false">Inputs!$F$243/100*Inputs!$F$137*Inputs!$F$132/1000*Time!AM$9*Operations!AM628</f>
        <v>0.0851043535851611</v>
      </c>
      <c r="AN651" s="20" t="n">
        <f aca="false">Inputs!$F$243/100*Inputs!$F$137*Inputs!$F$132/1000*Time!AN$9*Operations!AN628</f>
        <v>0.0872319624247901</v>
      </c>
      <c r="AO651" s="20" t="n">
        <f aca="false">Inputs!$F$243/100*Inputs!$F$137*Inputs!$F$132/1000*Time!AO$9*Operations!AO628</f>
        <v>0.0894127614854098</v>
      </c>
      <c r="AP651" s="20" t="n">
        <f aca="false">Inputs!$F$243/100*Inputs!$F$137*Inputs!$F$132/1000*Time!AP$9*Operations!AP628</f>
        <v>0.091648080522545</v>
      </c>
      <c r="AQ651" s="20" t="n">
        <f aca="false">Inputs!$F$243/100*Inputs!$F$137*Inputs!$F$132/1000*Time!AQ$9*Operations!AQ628</f>
        <v>0.0939392825356087</v>
      </c>
      <c r="AR651" s="20" t="n">
        <f aca="false">Inputs!$F$243/100*Inputs!$F$137*Inputs!$F$132/1000*Time!AR$9*Operations!AR628</f>
        <v>0.0478808009754585</v>
      </c>
      <c r="AS651" s="20" t="n">
        <f aca="false">Inputs!$F$243/100*Inputs!$F$137*Inputs!$F$132/1000*Time!AS$9*Operations!AS628</f>
        <v>0</v>
      </c>
      <c r="AT651" s="20" t="n">
        <f aca="false">Inputs!$F$243/100*Inputs!$F$137*Inputs!$F$132/1000*Time!AT$9*Operations!AT628</f>
        <v>0</v>
      </c>
      <c r="AU651" s="20" t="n">
        <f aca="false">Inputs!$F$243/100*Inputs!$F$137*Inputs!$F$132/1000*Time!AU$9*Operations!AU628</f>
        <v>0</v>
      </c>
    </row>
    <row r="652" customFormat="false" ht="15" hidden="false" customHeight="false" outlineLevel="0" collapsed="false">
      <c r="D652" s="0" t="s">
        <v>652</v>
      </c>
      <c r="E652" s="0" t="s">
        <v>47</v>
      </c>
      <c r="J652" s="20" t="n">
        <f aca="false">Inputs!$F$244/100*Inputs!$F$245/100*Operations!J647</f>
        <v>0.059754704793504</v>
      </c>
      <c r="K652" s="20" t="n">
        <f aca="false">Inputs!$F$244/100*Inputs!$F$245/100*Operations!K647</f>
        <v>0.0600789889143744</v>
      </c>
      <c r="L652" s="20" t="n">
        <f aca="false">Inputs!$F$244/100*Inputs!$F$245/100*Operations!L647</f>
        <v>0.0615630323101975</v>
      </c>
      <c r="M652" s="20" t="n">
        <f aca="false">Inputs!$F$244/100*Inputs!$F$245/100*Operations!M647</f>
        <v>0.0603334288908825</v>
      </c>
      <c r="N652" s="20" t="n">
        <f aca="false">Inputs!$F$244/100*Inputs!$F$245/100*Operations!N647</f>
        <v>0.0597482966673393</v>
      </c>
      <c r="O652" s="20" t="n">
        <f aca="false">Inputs!$F$244/100*Inputs!$F$245/100*Operations!O647</f>
        <v>0.0593038053289506</v>
      </c>
      <c r="P652" s="20" t="n">
        <f aca="false">Inputs!$F$244/100*Inputs!$F$245/100*Operations!P647</f>
        <v>0.0589203824080567</v>
      </c>
      <c r="Q652" s="20" t="n">
        <f aca="false">Inputs!$F$244/100*Inputs!$F$245/100*Operations!Q647</f>
        <v>0.0585714403069006</v>
      </c>
      <c r="R652" s="20" t="n">
        <f aca="false">Inputs!$F$244/100*Inputs!$F$245/100*Operations!R647</f>
        <v>0.0582180283716335</v>
      </c>
      <c r="S652" s="20" t="n">
        <f aca="false">Inputs!$F$244/100*Inputs!$F$245/100*Operations!S647</f>
        <v>0.0578896089448774</v>
      </c>
      <c r="T652" s="20" t="n">
        <f aca="false">Inputs!$F$244/100*Inputs!$F$245/100*Operations!T647</f>
        <v>0.057561694467758</v>
      </c>
      <c r="U652" s="20" t="n">
        <f aca="false">Inputs!$F$244/100*Inputs!$F$245/100*Operations!U647</f>
        <v>0.0640603861685241</v>
      </c>
      <c r="V652" s="20" t="n">
        <f aca="false">Inputs!$F$244/100*Inputs!$F$245/100*Operations!V647</f>
        <v>0.0695100692259811</v>
      </c>
      <c r="W652" s="20" t="n">
        <f aca="false">Inputs!$F$244/100*Inputs!$F$245/100*Operations!W647</f>
        <v>0.0681867283634515</v>
      </c>
      <c r="X652" s="20" t="n">
        <f aca="false">Inputs!$F$244/100*Inputs!$F$245/100*Operations!X647</f>
        <v>0.0692327390022116</v>
      </c>
      <c r="Y652" s="20" t="n">
        <f aca="false">Inputs!$F$244/100*Inputs!$F$245/100*Operations!Y647</f>
        <v>0.0703033958978491</v>
      </c>
      <c r="Z652" s="20" t="n">
        <f aca="false">Inputs!$F$244/100*Inputs!$F$245/100*Operations!Z647</f>
        <v>0.0713865360176431</v>
      </c>
      <c r="AA652" s="20" t="n">
        <f aca="false">Inputs!$F$244/100*Inputs!$F$245/100*Operations!AA647</f>
        <v>0.0724819194868278</v>
      </c>
      <c r="AB652" s="20" t="n">
        <f aca="false">Inputs!$F$244/100*Inputs!$F$245/100*Operations!AB647</f>
        <v>0.0736009637558231</v>
      </c>
      <c r="AC652" s="20" t="n">
        <f aca="false">Inputs!$F$244/100*Inputs!$F$245/100*Operations!AC647</f>
        <v>0.0747316738586343</v>
      </c>
      <c r="AD652" s="20" t="n">
        <f aca="false">Inputs!$F$244/100*Inputs!$F$245/100*Operations!AD647</f>
        <v>0.0758853680039741</v>
      </c>
      <c r="AE652" s="20" t="n">
        <f aca="false">Inputs!$F$244/100*Inputs!$F$245/100*Operations!AE647</f>
        <v>0.0770501622016978</v>
      </c>
      <c r="AF652" s="20" t="n">
        <f aca="false">Inputs!$F$244/100*Inputs!$F$245/100*Operations!AF647</f>
        <v>0.0782372762699128</v>
      </c>
      <c r="AG652" s="20" t="n">
        <f aca="false">Inputs!$F$244/100*Inputs!$F$245/100*Operations!AG647</f>
        <v>0.0794463312140658</v>
      </c>
      <c r="AH652" s="20" t="n">
        <f aca="false">Inputs!$F$244/100*Inputs!$F$245/100*Operations!AH647</f>
        <v>0.0806656079155964</v>
      </c>
      <c r="AI652" s="20" t="n">
        <f aca="false">Inputs!$F$244/100*Inputs!$F$245/100*Operations!AI647</f>
        <v>0.0819061805326772</v>
      </c>
      <c r="AJ652" s="20" t="n">
        <f aca="false">Inputs!$F$244/100*Inputs!$F$245/100*Operations!AJ647</f>
        <v>0.0831676802598417</v>
      </c>
      <c r="AK652" s="20" t="n">
        <f aca="false">Inputs!$F$244/100*Inputs!$F$245/100*Operations!AK647</f>
        <v>0.084449741865664</v>
      </c>
      <c r="AL652" s="20" t="n">
        <f aca="false">Inputs!$F$244/100*Inputs!$F$245/100*Operations!AL647</f>
        <v>0.085752003664973</v>
      </c>
      <c r="AM652" s="20" t="n">
        <f aca="false">Inputs!$F$244/100*Inputs!$F$245/100*Operations!AM647</f>
        <v>0.0870741074912591</v>
      </c>
      <c r="AN652" s="20" t="n">
        <f aca="false">Inputs!$F$244/100*Inputs!$F$245/100*Operations!AN647</f>
        <v>0.0884156986692711</v>
      </c>
      <c r="AO652" s="20" t="n">
        <f aca="false">Inputs!$F$244/100*Inputs!$F$245/100*Operations!AO647</f>
        <v>0.0897764259878021</v>
      </c>
      <c r="AP652" s="20" t="n">
        <f aca="false">Inputs!$F$244/100*Inputs!$F$245/100*Operations!AP647</f>
        <v>0.0911559416726627</v>
      </c>
      <c r="AQ652" s="20" t="n">
        <f aca="false">Inputs!$F$244/100*Inputs!$F$245/100*Operations!AQ647</f>
        <v>0.0925647938985456</v>
      </c>
      <c r="AR652" s="20" t="n">
        <f aca="false">Inputs!$F$244/100*Inputs!$F$245/100*Operations!AR647</f>
        <v>0.0467390177667793</v>
      </c>
      <c r="AS652" s="20" t="n">
        <f aca="false">Inputs!$F$244/100*Inputs!$F$245/100*Operations!AS647</f>
        <v>0</v>
      </c>
      <c r="AT652" s="20" t="n">
        <f aca="false">Inputs!$F$244/100*Inputs!$F$245/100*Operations!AT647</f>
        <v>0</v>
      </c>
      <c r="AU652" s="20" t="n">
        <f aca="false">Inputs!$F$244/100*Inputs!$F$245/100*Operations!AU647</f>
        <v>0</v>
      </c>
    </row>
    <row r="653" customFormat="false" ht="15" hidden="false" customHeight="false" outlineLevel="0" collapsed="false">
      <c r="D653" s="0" t="s">
        <v>653</v>
      </c>
      <c r="E653" s="0" t="s">
        <v>47</v>
      </c>
      <c r="G653" s="20" t="n">
        <f aca="false">SUM(J653:AU653)</f>
        <v>286.632981056659</v>
      </c>
      <c r="J653" s="20" t="n">
        <f aca="false">Operations!J647-Operations!J649-Operations!J650-Operations!J651-Operations!J652</f>
        <v>7.9243466273025</v>
      </c>
      <c r="K653" s="20" t="n">
        <f aca="false">Operations!K647-Operations!K649-Operations!K650-Operations!K651-Operations!K652</f>
        <v>7.78732495515695</v>
      </c>
      <c r="L653" s="20" t="n">
        <f aca="false">Operations!L647-Operations!L649-Operations!L650-Operations!L651-Operations!L652</f>
        <v>7.97861051949884</v>
      </c>
      <c r="M653" s="20" t="n">
        <f aca="false">Operations!M647-Operations!M649-Operations!M650-Operations!M651-Operations!M652</f>
        <v>7.65347698989055</v>
      </c>
      <c r="N653" s="20" t="n">
        <f aca="false">Operations!N647-Operations!N649-Operations!N650-Operations!N651-Operations!N652</f>
        <v>7.44815158338071</v>
      </c>
      <c r="O653" s="20" t="n">
        <f aca="false">Operations!O647-Operations!O649-Operations!O650-Operations!O651-Operations!O652</f>
        <v>7.26711285646846</v>
      </c>
      <c r="P653" s="20" t="n">
        <f aca="false">Operations!P647-Operations!P649-Operations!P650-Operations!P651-Operations!P652</f>
        <v>7.09522468562616</v>
      </c>
      <c r="Q653" s="20" t="n">
        <f aca="false">Operations!Q647-Operations!Q649-Operations!Q650-Operations!Q651-Operations!Q652</f>
        <v>6.92738884274103</v>
      </c>
      <c r="R653" s="20" t="n">
        <f aca="false">Operations!R647-Operations!R649-Operations!R650-Operations!R651-Operations!R652</f>
        <v>6.75616308214496</v>
      </c>
      <c r="S653" s="20" t="n">
        <f aca="false">Operations!S647-Operations!S649-Operations!S650-Operations!S651-Operations!S652</f>
        <v>6.58706624151616</v>
      </c>
      <c r="T653" s="20" t="n">
        <f aca="false">Operations!T647-Operations!T649-Operations!T650-Operations!T651-Operations!T652</f>
        <v>6.4153933473517</v>
      </c>
      <c r="U653" s="20" t="n">
        <f aca="false">Operations!U647-Operations!U649-Operations!U650-Operations!U651-Operations!U652</f>
        <v>7.53446126294826</v>
      </c>
      <c r="V653" s="20" t="n">
        <f aca="false">Operations!V647-Operations!V649-Operations!V650-Operations!V651-Operations!V652</f>
        <v>8.45196003126042</v>
      </c>
      <c r="W653" s="20" t="n">
        <f aca="false">Operations!W647-Operations!W649-Operations!W650-Operations!W651-Operations!W652</f>
        <v>8.08325486879145</v>
      </c>
      <c r="X653" s="20" t="n">
        <f aca="false">Operations!X647-Operations!X649-Operations!X650-Operations!X651-Operations!X652</f>
        <v>8.16053631325753</v>
      </c>
      <c r="Y653" s="20" t="n">
        <f aca="false">Operations!Y647-Operations!Y649-Operations!Y650-Operations!Y651-Operations!Y652</f>
        <v>8.23946481992214</v>
      </c>
      <c r="Z653" s="20" t="n">
        <f aca="false">Operations!Z647-Operations!Z649-Operations!Z650-Operations!Z651-Operations!Z652</f>
        <v>8.31766021326409</v>
      </c>
      <c r="AA653" s="20" t="n">
        <f aca="false">Operations!AA647-Operations!AA649-Operations!AA650-Operations!AA651-Operations!AA652</f>
        <v>8.39499958304955</v>
      </c>
      <c r="AB653" s="20" t="n">
        <f aca="false">Operations!AB647-Operations!AB649-Operations!AB650-Operations!AB651-Operations!AB652</f>
        <v>8.47356686812008</v>
      </c>
      <c r="AC653" s="20" t="n">
        <f aca="false">Operations!AC647-Operations!AC649-Operations!AC650-Operations!AC651-Operations!AC652</f>
        <v>8.55100792694096</v>
      </c>
      <c r="AD653" s="20" t="n">
        <f aca="false">Operations!AD647-Operations!AD649-Operations!AD650-Operations!AD651-Operations!AD652</f>
        <v>8.62938387498207</v>
      </c>
      <c r="AE653" s="20" t="n">
        <f aca="false">Operations!AE647-Operations!AE649-Operations!AE650-Operations!AE651-Operations!AE652</f>
        <v>8.70635747807316</v>
      </c>
      <c r="AF653" s="20" t="n">
        <f aca="false">Operations!AF647-Operations!AF649-Operations!AF650-Operations!AF651-Operations!AF652</f>
        <v>8.7839669860923</v>
      </c>
      <c r="AG653" s="20" t="n">
        <f aca="false">Operations!AG647-Operations!AG649-Operations!AG650-Operations!AG651-Operations!AG652</f>
        <v>8.86205075911772</v>
      </c>
      <c r="AH653" s="20" t="n">
        <f aca="false">Operations!AH647-Operations!AH649-Operations!AH650-Operations!AH651-Operations!AH652</f>
        <v>8.93829622799427</v>
      </c>
      <c r="AI653" s="20" t="n">
        <f aca="false">Operations!AI647-Operations!AI649-Operations!AI650-Operations!AI651-Operations!AI652</f>
        <v>9.01470730493034</v>
      </c>
      <c r="AJ653" s="20" t="n">
        <f aca="false">Operations!AJ647-Operations!AJ649-Operations!AJ650-Operations!AJ651-Operations!AJ652</f>
        <v>9.09111737354883</v>
      </c>
      <c r="AK653" s="20" t="n">
        <f aca="false">Operations!AK647-Operations!AK649-Operations!AK650-Operations!AK651-Operations!AK652</f>
        <v>9.16735807625513</v>
      </c>
      <c r="AL653" s="20" t="n">
        <f aca="false">Operations!AL647-Operations!AL649-Operations!AL650-Operations!AL651-Operations!AL652</f>
        <v>9.24325924851214</v>
      </c>
      <c r="AM653" s="20" t="n">
        <f aca="false">Operations!AM647-Operations!AM649-Operations!AM650-Operations!AM651-Operations!AM652</f>
        <v>9.31864885164015</v>
      </c>
      <c r="AN653" s="20" t="n">
        <f aca="false">Operations!AN647-Operations!AN649-Operations!AN650-Operations!AN651-Operations!AN652</f>
        <v>9.39335290410339</v>
      </c>
      <c r="AO653" s="20" t="n">
        <f aca="false">Operations!AO647-Operations!AO649-Operations!AO650-Operations!AO651-Operations!AO652</f>
        <v>9.46719541124449</v>
      </c>
      <c r="AP653" s="20" t="n">
        <f aca="false">Operations!AP647-Operations!AP649-Operations!AP650-Operations!AP651-Operations!AP652</f>
        <v>9.53999829342675</v>
      </c>
      <c r="AQ653" s="20" t="n">
        <f aca="false">Operations!AQ647-Operations!AQ649-Operations!AQ650-Operations!AQ651-Operations!AQ652</f>
        <v>9.61364518928146</v>
      </c>
      <c r="AR653" s="20" t="n">
        <f aca="false">Operations!AR647-Operations!AR649-Operations!AR650-Operations!AR651-Operations!AR652</f>
        <v>4.81647145882404</v>
      </c>
      <c r="AS653" s="20" t="n">
        <f aca="false">Operations!AS647-Operations!AS649-Operations!AS650-Operations!AS651-Operations!AS652</f>
        <v>0</v>
      </c>
      <c r="AT653" s="20" t="n">
        <f aca="false">Operations!AT647-Operations!AT649-Operations!AT650-Operations!AT651-Operations!AT652</f>
        <v>0</v>
      </c>
      <c r="AU653" s="20" t="n">
        <f aca="false">Operations!AU647-Operations!AU649-Operations!AU650-Operations!AU651-Operations!AU652</f>
        <v>0</v>
      </c>
    </row>
    <row r="654" customFormat="false" ht="15" hidden="false" customHeight="false" outlineLevel="0" collapsed="false">
      <c r="D654" s="0" t="s">
        <v>654</v>
      </c>
      <c r="E654" s="0" t="s">
        <v>47</v>
      </c>
      <c r="J654" s="20" t="n">
        <f aca="false">0</f>
        <v>0</v>
      </c>
      <c r="K654" s="20" t="n">
        <f aca="false">0</f>
        <v>0</v>
      </c>
      <c r="L654" s="20" t="n">
        <f aca="false">0</f>
        <v>0</v>
      </c>
      <c r="M654" s="20" t="n">
        <f aca="false">0</f>
        <v>0</v>
      </c>
      <c r="N654" s="20" t="n">
        <f aca="false">0</f>
        <v>0</v>
      </c>
      <c r="O654" s="20" t="n">
        <f aca="false">0</f>
        <v>0</v>
      </c>
      <c r="P654" s="20" t="n">
        <f aca="false">0</f>
        <v>0</v>
      </c>
      <c r="Q654" s="20" t="n">
        <f aca="false">0</f>
        <v>0</v>
      </c>
      <c r="R654" s="20" t="n">
        <f aca="false">0</f>
        <v>0</v>
      </c>
      <c r="S654" s="20" t="n">
        <f aca="false">0</f>
        <v>0</v>
      </c>
      <c r="T654" s="20" t="n">
        <f aca="false">0</f>
        <v>0</v>
      </c>
      <c r="U654" s="20" t="n">
        <f aca="false">0</f>
        <v>0</v>
      </c>
      <c r="V654" s="20" t="n">
        <f aca="false">0</f>
        <v>0</v>
      </c>
      <c r="W654" s="20" t="n">
        <f aca="false">0</f>
        <v>0</v>
      </c>
      <c r="X654" s="20" t="n">
        <f aca="false">0</f>
        <v>0</v>
      </c>
      <c r="Y654" s="20" t="n">
        <f aca="false">0</f>
        <v>0</v>
      </c>
      <c r="Z654" s="20" t="n">
        <f aca="false">0</f>
        <v>0</v>
      </c>
      <c r="AA654" s="20" t="n">
        <f aca="false">0</f>
        <v>0</v>
      </c>
      <c r="AB654" s="20" t="n">
        <f aca="false">0</f>
        <v>0</v>
      </c>
      <c r="AC654" s="20" t="n">
        <f aca="false">0</f>
        <v>0</v>
      </c>
      <c r="AD654" s="20" t="n">
        <f aca="false">0</f>
        <v>0</v>
      </c>
      <c r="AE654" s="20" t="n">
        <f aca="false">0</f>
        <v>0</v>
      </c>
      <c r="AF654" s="20" t="n">
        <f aca="false">0</f>
        <v>0</v>
      </c>
      <c r="AG654" s="20" t="n">
        <f aca="false">0</f>
        <v>0</v>
      </c>
      <c r="AH654" s="20" t="n">
        <f aca="false">0</f>
        <v>0</v>
      </c>
      <c r="AI654" s="20" t="n">
        <f aca="false">0</f>
        <v>0</v>
      </c>
      <c r="AJ654" s="20" t="n">
        <f aca="false">0</f>
        <v>0</v>
      </c>
      <c r="AK654" s="20" t="n">
        <f aca="false">0</f>
        <v>0</v>
      </c>
      <c r="AL654" s="20" t="n">
        <f aca="false">0</f>
        <v>0</v>
      </c>
      <c r="AM654" s="20" t="n">
        <f aca="false">0</f>
        <v>0</v>
      </c>
      <c r="AN654" s="20" t="n">
        <f aca="false">0</f>
        <v>0</v>
      </c>
      <c r="AO654" s="20" t="n">
        <f aca="false">0</f>
        <v>0</v>
      </c>
      <c r="AP654" s="20" t="n">
        <f aca="false">0</f>
        <v>0</v>
      </c>
      <c r="AQ654" s="20" t="n">
        <f aca="false">0</f>
        <v>0</v>
      </c>
      <c r="AR654" s="20" t="n">
        <f aca="false">0</f>
        <v>0</v>
      </c>
      <c r="AS654" s="20" t="n">
        <f aca="false">0</f>
        <v>0</v>
      </c>
      <c r="AT654" s="20" t="n">
        <f aca="false">0</f>
        <v>0</v>
      </c>
      <c r="AU654" s="20" t="n">
        <f aca="false">0</f>
        <v>0</v>
      </c>
    </row>
    <row r="655" customFormat="false" ht="15" hidden="false" customHeight="false" outlineLevel="0" collapsed="false">
      <c r="D655" s="0" t="s">
        <v>655</v>
      </c>
      <c r="E655" s="0" t="s">
        <v>47</v>
      </c>
      <c r="J655" s="20" t="n">
        <f aca="false">IF(Time!J$4=YEAR(Inputs!$F$134),Inputs!$F$137*Inputs!$F$132/1000*Time!J$9,0)</f>
        <v>0</v>
      </c>
      <c r="K655" s="20" t="n">
        <f aca="false">IF(Time!K$4=YEAR(Inputs!$F$134),Inputs!$F$137*Inputs!$F$132/1000*Time!K$9,0)</f>
        <v>0</v>
      </c>
      <c r="L655" s="20" t="n">
        <f aca="false">IF(Time!L$4=YEAR(Inputs!$F$134),Inputs!$F$137*Inputs!$F$132/1000*Time!L$9,0)</f>
        <v>0</v>
      </c>
      <c r="M655" s="20" t="n">
        <f aca="false">IF(Time!M$4=YEAR(Inputs!$F$134),Inputs!$F$137*Inputs!$F$132/1000*Time!M$9,0)</f>
        <v>0</v>
      </c>
      <c r="N655" s="20" t="n">
        <f aca="false">IF(Time!N$4=YEAR(Inputs!$F$134),Inputs!$F$137*Inputs!$F$132/1000*Time!N$9,0)</f>
        <v>0</v>
      </c>
      <c r="O655" s="20" t="n">
        <f aca="false">IF(Time!O$4=YEAR(Inputs!$F$134),Inputs!$F$137*Inputs!$F$132/1000*Time!O$9,0)</f>
        <v>0</v>
      </c>
      <c r="P655" s="20" t="n">
        <f aca="false">IF(Time!P$4=YEAR(Inputs!$F$134),Inputs!$F$137*Inputs!$F$132/1000*Time!P$9,0)</f>
        <v>0</v>
      </c>
      <c r="Q655" s="20" t="n">
        <f aca="false">IF(Time!Q$4=YEAR(Inputs!$F$134),Inputs!$F$137*Inputs!$F$132/1000*Time!Q$9,0)</f>
        <v>0</v>
      </c>
      <c r="R655" s="20" t="n">
        <f aca="false">IF(Time!R$4=YEAR(Inputs!$F$134),Inputs!$F$137*Inputs!$F$132/1000*Time!R$9,0)</f>
        <v>0</v>
      </c>
      <c r="S655" s="20" t="n">
        <f aca="false">IF(Time!S$4=YEAR(Inputs!$F$134),Inputs!$F$137*Inputs!$F$132/1000*Time!S$9,0)</f>
        <v>0</v>
      </c>
      <c r="T655" s="20" t="n">
        <f aca="false">IF(Time!T$4=YEAR(Inputs!$F$134),Inputs!$F$137*Inputs!$F$132/1000*Time!T$9,0)</f>
        <v>0</v>
      </c>
      <c r="U655" s="20" t="n">
        <f aca="false">IF(Time!U$4=YEAR(Inputs!$F$134),Inputs!$F$137*Inputs!$F$132/1000*Time!U$9,0)</f>
        <v>0</v>
      </c>
      <c r="V655" s="20" t="n">
        <f aca="false">IF(Time!V$4=YEAR(Inputs!$F$134),Inputs!$F$137*Inputs!$F$132/1000*Time!V$9,0)</f>
        <v>0</v>
      </c>
      <c r="W655" s="20" t="n">
        <f aca="false">IF(Time!W$4=YEAR(Inputs!$F$134),Inputs!$F$137*Inputs!$F$132/1000*Time!W$9,0)</f>
        <v>0</v>
      </c>
      <c r="X655" s="20" t="n">
        <f aca="false">IF(Time!X$4=YEAR(Inputs!$F$134),Inputs!$F$137*Inputs!$F$132/1000*Time!X$9,0)</f>
        <v>0</v>
      </c>
      <c r="Y655" s="20" t="n">
        <f aca="false">IF(Time!Y$4=YEAR(Inputs!$F$134),Inputs!$F$137*Inputs!$F$132/1000*Time!Y$9,0)</f>
        <v>0</v>
      </c>
      <c r="Z655" s="20" t="n">
        <f aca="false">IF(Time!Z$4=YEAR(Inputs!$F$134),Inputs!$F$137*Inputs!$F$132/1000*Time!Z$9,0)</f>
        <v>0</v>
      </c>
      <c r="AA655" s="20" t="n">
        <f aca="false">IF(Time!AA$4=YEAR(Inputs!$F$134),Inputs!$F$137*Inputs!$F$132/1000*Time!AA$9,0)</f>
        <v>0</v>
      </c>
      <c r="AB655" s="20" t="n">
        <f aca="false">IF(Time!AB$4=YEAR(Inputs!$F$134),Inputs!$F$137*Inputs!$F$132/1000*Time!AB$9,0)</f>
        <v>0</v>
      </c>
      <c r="AC655" s="20" t="n">
        <f aca="false">IF(Time!AC$4=YEAR(Inputs!$F$134),Inputs!$F$137*Inputs!$F$132/1000*Time!AC$9,0)</f>
        <v>0</v>
      </c>
      <c r="AD655" s="20" t="n">
        <f aca="false">IF(Time!AD$4=YEAR(Inputs!$F$134),Inputs!$F$137*Inputs!$F$132/1000*Time!AD$9,0)</f>
        <v>0</v>
      </c>
      <c r="AE655" s="20" t="n">
        <f aca="false">IF(Time!AE$4=YEAR(Inputs!$F$134),Inputs!$F$137*Inputs!$F$132/1000*Time!AE$9,0)</f>
        <v>0</v>
      </c>
      <c r="AF655" s="20" t="n">
        <f aca="false">IF(Time!AF$4=YEAR(Inputs!$F$134),Inputs!$F$137*Inputs!$F$132/1000*Time!AF$9,0)</f>
        <v>0</v>
      </c>
      <c r="AG655" s="20" t="n">
        <f aca="false">IF(Time!AG$4=YEAR(Inputs!$F$134),Inputs!$F$137*Inputs!$F$132/1000*Time!AG$9,0)</f>
        <v>0</v>
      </c>
      <c r="AH655" s="20" t="n">
        <f aca="false">IF(Time!AH$4=YEAR(Inputs!$F$134),Inputs!$F$137*Inputs!$F$132/1000*Time!AH$9,0)</f>
        <v>0</v>
      </c>
      <c r="AI655" s="20" t="n">
        <f aca="false">IF(Time!AI$4=YEAR(Inputs!$F$134),Inputs!$F$137*Inputs!$F$132/1000*Time!AI$9,0)</f>
        <v>0</v>
      </c>
      <c r="AJ655" s="20" t="n">
        <f aca="false">IF(Time!AJ$4=YEAR(Inputs!$F$134),Inputs!$F$137*Inputs!$F$132/1000*Time!AJ$9,0)</f>
        <v>0</v>
      </c>
      <c r="AK655" s="20" t="n">
        <f aca="false">IF(Time!AK$4=YEAR(Inputs!$F$134),Inputs!$F$137*Inputs!$F$132/1000*Time!AK$9,0)</f>
        <v>0</v>
      </c>
      <c r="AL655" s="20" t="n">
        <f aca="false">IF(Time!AL$4=YEAR(Inputs!$F$134),Inputs!$F$137*Inputs!$F$132/1000*Time!AL$9,0)</f>
        <v>0</v>
      </c>
      <c r="AM655" s="20" t="n">
        <f aca="false">IF(Time!AM$4=YEAR(Inputs!$F$134),Inputs!$F$137*Inputs!$F$132/1000*Time!AM$9,0)</f>
        <v>0</v>
      </c>
      <c r="AN655" s="20" t="n">
        <f aca="false">IF(Time!AN$4=YEAR(Inputs!$F$134),Inputs!$F$137*Inputs!$F$132/1000*Time!AN$9,0)</f>
        <v>0</v>
      </c>
      <c r="AO655" s="20" t="n">
        <f aca="false">IF(Time!AO$4=YEAR(Inputs!$F$134),Inputs!$F$137*Inputs!$F$132/1000*Time!AO$9,0)</f>
        <v>0</v>
      </c>
      <c r="AP655" s="20" t="n">
        <f aca="false">IF(Time!AP$4=YEAR(Inputs!$F$134),Inputs!$F$137*Inputs!$F$132/1000*Time!AP$9,0)</f>
        <v>0</v>
      </c>
      <c r="AQ655" s="20" t="n">
        <f aca="false">IF(Time!AQ$4=YEAR(Inputs!$F$134),Inputs!$F$137*Inputs!$F$132/1000*Time!AQ$9,0)</f>
        <v>0</v>
      </c>
      <c r="AR655" s="20" t="n">
        <f aca="false">IF(Time!AR$4=YEAR(Inputs!$F$134),Inputs!$F$137*Inputs!$F$132/1000*Time!AR$9,0)</f>
        <v>16.0479607664998</v>
      </c>
      <c r="AS655" s="20" t="n">
        <f aca="false">IF(Time!AS$4=YEAR(Inputs!$F$134),Inputs!$F$137*Inputs!$F$132/1000*Time!AS$9,0)</f>
        <v>0</v>
      </c>
      <c r="AT655" s="20" t="n">
        <f aca="false">IF(Time!AT$4=YEAR(Inputs!$F$134),Inputs!$F$137*Inputs!$F$132/1000*Time!AT$9,0)</f>
        <v>0</v>
      </c>
      <c r="AU655" s="20" t="n">
        <f aca="false">IF(Time!AU$4=YEAR(Inputs!$F$134),Inputs!$F$137*Inputs!$F$132/1000*Time!AU$9,0)</f>
        <v>0</v>
      </c>
    </row>
    <row r="656" customFormat="false" ht="15" hidden="false" customHeight="false" outlineLevel="0" collapsed="false">
      <c r="D656" s="0" t="s">
        <v>656</v>
      </c>
      <c r="E656" s="0" t="s">
        <v>47</v>
      </c>
      <c r="G656" s="20" t="n">
        <f aca="false">SUM(J656:AU656)</f>
        <v>270.585020290159</v>
      </c>
      <c r="J656" s="20" t="n">
        <f aca="false">Operations!J653-Operations!J654-Operations!J655</f>
        <v>7.9243466273025</v>
      </c>
      <c r="K656" s="20" t="n">
        <f aca="false">Operations!K653-Operations!K654-Operations!K655</f>
        <v>7.78732495515695</v>
      </c>
      <c r="L656" s="20" t="n">
        <f aca="false">Operations!L653-Operations!L654-Operations!L655</f>
        <v>7.97861051949884</v>
      </c>
      <c r="M656" s="20" t="n">
        <f aca="false">Operations!M653-Operations!M654-Operations!M655</f>
        <v>7.65347698989055</v>
      </c>
      <c r="N656" s="20" t="n">
        <f aca="false">Operations!N653-Operations!N654-Operations!N655</f>
        <v>7.44815158338071</v>
      </c>
      <c r="O656" s="20" t="n">
        <f aca="false">Operations!O653-Operations!O654-Operations!O655</f>
        <v>7.26711285646846</v>
      </c>
      <c r="P656" s="20" t="n">
        <f aca="false">Operations!P653-Operations!P654-Operations!P655</f>
        <v>7.09522468562616</v>
      </c>
      <c r="Q656" s="20" t="n">
        <f aca="false">Operations!Q653-Operations!Q654-Operations!Q655</f>
        <v>6.92738884274103</v>
      </c>
      <c r="R656" s="20" t="n">
        <f aca="false">Operations!R653-Operations!R654-Operations!R655</f>
        <v>6.75616308214496</v>
      </c>
      <c r="S656" s="20" t="n">
        <f aca="false">Operations!S653-Operations!S654-Operations!S655</f>
        <v>6.58706624151616</v>
      </c>
      <c r="T656" s="20" t="n">
        <f aca="false">Operations!T653-Operations!T654-Operations!T655</f>
        <v>6.4153933473517</v>
      </c>
      <c r="U656" s="20" t="n">
        <f aca="false">Operations!U653-Operations!U654-Operations!U655</f>
        <v>7.53446126294826</v>
      </c>
      <c r="V656" s="20" t="n">
        <f aca="false">Operations!V653-Operations!V654-Operations!V655</f>
        <v>8.45196003126042</v>
      </c>
      <c r="W656" s="20" t="n">
        <f aca="false">Operations!W653-Operations!W654-Operations!W655</f>
        <v>8.08325486879145</v>
      </c>
      <c r="X656" s="20" t="n">
        <f aca="false">Operations!X653-Operations!X654-Operations!X655</f>
        <v>8.16053631325753</v>
      </c>
      <c r="Y656" s="20" t="n">
        <f aca="false">Operations!Y653-Operations!Y654-Operations!Y655</f>
        <v>8.23946481992214</v>
      </c>
      <c r="Z656" s="20" t="n">
        <f aca="false">Operations!Z653-Operations!Z654-Operations!Z655</f>
        <v>8.31766021326409</v>
      </c>
      <c r="AA656" s="20" t="n">
        <f aca="false">Operations!AA653-Operations!AA654-Operations!AA655</f>
        <v>8.39499958304955</v>
      </c>
      <c r="AB656" s="20" t="n">
        <f aca="false">Operations!AB653-Operations!AB654-Operations!AB655</f>
        <v>8.47356686812008</v>
      </c>
      <c r="AC656" s="20" t="n">
        <f aca="false">Operations!AC653-Operations!AC654-Operations!AC655</f>
        <v>8.55100792694096</v>
      </c>
      <c r="AD656" s="20" t="n">
        <f aca="false">Operations!AD653-Operations!AD654-Operations!AD655</f>
        <v>8.62938387498207</v>
      </c>
      <c r="AE656" s="20" t="n">
        <f aca="false">Operations!AE653-Operations!AE654-Operations!AE655</f>
        <v>8.70635747807316</v>
      </c>
      <c r="AF656" s="20" t="n">
        <f aca="false">Operations!AF653-Operations!AF654-Operations!AF655</f>
        <v>8.7839669860923</v>
      </c>
      <c r="AG656" s="20" t="n">
        <f aca="false">Operations!AG653-Operations!AG654-Operations!AG655</f>
        <v>8.86205075911772</v>
      </c>
      <c r="AH656" s="20" t="n">
        <f aca="false">Operations!AH653-Operations!AH654-Operations!AH655</f>
        <v>8.93829622799427</v>
      </c>
      <c r="AI656" s="20" t="n">
        <f aca="false">Operations!AI653-Operations!AI654-Operations!AI655</f>
        <v>9.01470730493034</v>
      </c>
      <c r="AJ656" s="20" t="n">
        <f aca="false">Operations!AJ653-Operations!AJ654-Operations!AJ655</f>
        <v>9.09111737354883</v>
      </c>
      <c r="AK656" s="20" t="n">
        <f aca="false">Operations!AK653-Operations!AK654-Operations!AK655</f>
        <v>9.16735807625513</v>
      </c>
      <c r="AL656" s="20" t="n">
        <f aca="false">Operations!AL653-Operations!AL654-Operations!AL655</f>
        <v>9.24325924851214</v>
      </c>
      <c r="AM656" s="20" t="n">
        <f aca="false">Operations!AM653-Operations!AM654-Operations!AM655</f>
        <v>9.31864885164015</v>
      </c>
      <c r="AN656" s="20" t="n">
        <f aca="false">Operations!AN653-Operations!AN654-Operations!AN655</f>
        <v>9.39335290410339</v>
      </c>
      <c r="AO656" s="20" t="n">
        <f aca="false">Operations!AO653-Operations!AO654-Operations!AO655</f>
        <v>9.46719541124449</v>
      </c>
      <c r="AP656" s="20" t="n">
        <f aca="false">Operations!AP653-Operations!AP654-Operations!AP655</f>
        <v>9.53999829342675</v>
      </c>
      <c r="AQ656" s="20" t="n">
        <f aca="false">Operations!AQ653-Operations!AQ654-Operations!AQ655</f>
        <v>9.61364518928146</v>
      </c>
      <c r="AR656" s="20" t="n">
        <f aca="false">Operations!AR653-Operations!AR654-Operations!AR655</f>
        <v>-11.2314893076758</v>
      </c>
      <c r="AS656" s="20" t="n">
        <f aca="false">Operations!AS653-Operations!AS654-Operations!AS655</f>
        <v>0</v>
      </c>
      <c r="AT656" s="20" t="n">
        <f aca="false">Operations!AT653-Operations!AT654-Operations!AT655</f>
        <v>0</v>
      </c>
      <c r="AU656" s="20" t="n">
        <f aca="false">Operations!AU653-Operations!AU654-Operations!AU655</f>
        <v>0</v>
      </c>
    </row>
    <row r="657" customFormat="false" ht="15" hidden="false" customHeight="false" outlineLevel="0" collapsed="false">
      <c r="D657" s="0" t="s">
        <v>657</v>
      </c>
      <c r="E657" s="0" t="s">
        <v>458</v>
      </c>
      <c r="J657" s="14" t="n">
        <f aca="false">MAX(0,MIN(Inputs!$F$235,Time!J$6)-Time!J$5)/Time!J$7</f>
        <v>1</v>
      </c>
      <c r="K657" s="14" t="n">
        <f aca="false">MAX(0,MIN(Inputs!$F$235,Time!K$6)-Time!K$5)/Time!K$7</f>
        <v>1</v>
      </c>
      <c r="L657" s="14" t="n">
        <f aca="false">MAX(0,MIN(Inputs!$F$235,Time!L$6)-Time!L$5)/Time!L$7</f>
        <v>1</v>
      </c>
      <c r="M657" s="14" t="n">
        <f aca="false">MAX(0,MIN(Inputs!$F$235,Time!M$6)-Time!M$5)/Time!M$7</f>
        <v>1</v>
      </c>
      <c r="N657" s="14" t="n">
        <f aca="false">MAX(0,MIN(Inputs!$F$235,Time!N$6)-Time!N$5)/Time!N$7</f>
        <v>1</v>
      </c>
      <c r="O657" s="14" t="n">
        <f aca="false">MAX(0,MIN(Inputs!$F$235,Time!O$6)-Time!O$5)/Time!O$7</f>
        <v>0.495890410958904</v>
      </c>
      <c r="P657" s="14" t="n">
        <f aca="false">MAX(0,MIN(Inputs!$F$235,Time!P$6)-Time!P$5)/Time!P$7</f>
        <v>0</v>
      </c>
      <c r="Q657" s="14" t="n">
        <f aca="false">MAX(0,MIN(Inputs!$F$235,Time!Q$6)-Time!Q$5)/Time!Q$7</f>
        <v>0</v>
      </c>
      <c r="R657" s="14" t="n">
        <f aca="false">MAX(0,MIN(Inputs!$F$235,Time!R$6)-Time!R$5)/Time!R$7</f>
        <v>0</v>
      </c>
      <c r="S657" s="14" t="n">
        <f aca="false">MAX(0,MIN(Inputs!$F$235,Time!S$6)-Time!S$5)/Time!S$7</f>
        <v>0</v>
      </c>
      <c r="T657" s="14" t="n">
        <f aca="false">MAX(0,MIN(Inputs!$F$235,Time!T$6)-Time!T$5)/Time!T$7</f>
        <v>0</v>
      </c>
      <c r="U657" s="14" t="n">
        <f aca="false">MAX(0,MIN(Inputs!$F$235,Time!U$6)-Time!U$5)/Time!U$7</f>
        <v>0</v>
      </c>
      <c r="V657" s="14" t="n">
        <f aca="false">MAX(0,MIN(Inputs!$F$235,Time!V$6)-Time!V$5)/Time!V$7</f>
        <v>0</v>
      </c>
      <c r="W657" s="14" t="n">
        <f aca="false">MAX(0,MIN(Inputs!$F$235,Time!W$6)-Time!W$5)/Time!W$7</f>
        <v>0</v>
      </c>
      <c r="X657" s="14" t="n">
        <f aca="false">MAX(0,MIN(Inputs!$F$235,Time!X$6)-Time!X$5)/Time!X$7</f>
        <v>0</v>
      </c>
      <c r="Y657" s="14" t="n">
        <f aca="false">MAX(0,MIN(Inputs!$F$235,Time!Y$6)-Time!Y$5)/Time!Y$7</f>
        <v>0</v>
      </c>
      <c r="Z657" s="14" t="n">
        <f aca="false">MAX(0,MIN(Inputs!$F$235,Time!Z$6)-Time!Z$5)/Time!Z$7</f>
        <v>0</v>
      </c>
      <c r="AA657" s="14" t="n">
        <f aca="false">MAX(0,MIN(Inputs!$F$235,Time!AA$6)-Time!AA$5)/Time!AA$7</f>
        <v>0</v>
      </c>
      <c r="AB657" s="14" t="n">
        <f aca="false">MAX(0,MIN(Inputs!$F$235,Time!AB$6)-Time!AB$5)/Time!AB$7</f>
        <v>0</v>
      </c>
      <c r="AC657" s="14" t="n">
        <f aca="false">MAX(0,MIN(Inputs!$F$235,Time!AC$6)-Time!AC$5)/Time!AC$7</f>
        <v>0</v>
      </c>
      <c r="AD657" s="14" t="n">
        <f aca="false">MAX(0,MIN(Inputs!$F$235,Time!AD$6)-Time!AD$5)/Time!AD$7</f>
        <v>0</v>
      </c>
      <c r="AE657" s="14" t="n">
        <f aca="false">MAX(0,MIN(Inputs!$F$235,Time!AE$6)-Time!AE$5)/Time!AE$7</f>
        <v>0</v>
      </c>
      <c r="AF657" s="14" t="n">
        <f aca="false">MAX(0,MIN(Inputs!$F$235,Time!AF$6)-Time!AF$5)/Time!AF$7</f>
        <v>0</v>
      </c>
      <c r="AG657" s="14" t="n">
        <f aca="false">MAX(0,MIN(Inputs!$F$235,Time!AG$6)-Time!AG$5)/Time!AG$7</f>
        <v>0</v>
      </c>
      <c r="AH657" s="14" t="n">
        <f aca="false">MAX(0,MIN(Inputs!$F$235,Time!AH$6)-Time!AH$5)/Time!AH$7</f>
        <v>0</v>
      </c>
      <c r="AI657" s="14" t="n">
        <f aca="false">MAX(0,MIN(Inputs!$F$235,Time!AI$6)-Time!AI$5)/Time!AI$7</f>
        <v>0</v>
      </c>
      <c r="AJ657" s="14" t="n">
        <f aca="false">MAX(0,MIN(Inputs!$F$235,Time!AJ$6)-Time!AJ$5)/Time!AJ$7</f>
        <v>0</v>
      </c>
      <c r="AK657" s="14" t="n">
        <f aca="false">MAX(0,MIN(Inputs!$F$235,Time!AK$6)-Time!AK$5)/Time!AK$7</f>
        <v>0</v>
      </c>
      <c r="AL657" s="14" t="n">
        <f aca="false">MAX(0,MIN(Inputs!$F$235,Time!AL$6)-Time!AL$5)/Time!AL$7</f>
        <v>0</v>
      </c>
      <c r="AM657" s="14" t="n">
        <f aca="false">MAX(0,MIN(Inputs!$F$235,Time!AM$6)-Time!AM$5)/Time!AM$7</f>
        <v>0</v>
      </c>
      <c r="AN657" s="14" t="n">
        <f aca="false">MAX(0,MIN(Inputs!$F$235,Time!AN$6)-Time!AN$5)/Time!AN$7</f>
        <v>0</v>
      </c>
      <c r="AO657" s="14" t="n">
        <f aca="false">MAX(0,MIN(Inputs!$F$235,Time!AO$6)-Time!AO$5)/Time!AO$7</f>
        <v>0</v>
      </c>
      <c r="AP657" s="14" t="n">
        <f aca="false">MAX(0,MIN(Inputs!$F$235,Time!AP$6)-Time!AP$5)/Time!AP$7</f>
        <v>0</v>
      </c>
      <c r="AQ657" s="14" t="n">
        <f aca="false">MAX(0,MIN(Inputs!$F$235,Time!AQ$6)-Time!AQ$5)/Time!AQ$7</f>
        <v>0</v>
      </c>
      <c r="AR657" s="14" t="n">
        <f aca="false">MAX(0,MIN(Inputs!$F$235,Time!AR$6)-Time!AR$5)/Time!AR$7</f>
        <v>0</v>
      </c>
      <c r="AS657" s="14" t="n">
        <f aca="false">MAX(0,MIN(Inputs!$F$235,Time!AS$6)-Time!AS$5)/Time!AS$7</f>
        <v>0</v>
      </c>
      <c r="AT657" s="14" t="n">
        <f aca="false">MAX(0,MIN(Inputs!$F$235,Time!AT$6)-Time!AT$5)/Time!AT$7</f>
        <v>0</v>
      </c>
      <c r="AU657" s="14" t="n">
        <f aca="false">MAX(0,MIN(Inputs!$F$235,Time!AU$6)-Time!AU$5)/Time!AU$7</f>
        <v>0</v>
      </c>
    </row>
    <row r="658" customFormat="false" ht="15" hidden="false" customHeight="false" outlineLevel="0" collapsed="false">
      <c r="D658" s="0" t="s">
        <v>658</v>
      </c>
      <c r="E658" s="0" t="s">
        <v>458</v>
      </c>
      <c r="J658" s="14" t="n">
        <f aca="false">Inputs!$F$232/100*Operations!J657+Inputs!$F$234/100*(1-Operations!J657)</f>
        <v>0.2</v>
      </c>
      <c r="K658" s="14" t="n">
        <f aca="false">Inputs!$F$232/100*Operations!K657+Inputs!$F$234/100*(1-Operations!K657)</f>
        <v>0.2</v>
      </c>
      <c r="L658" s="14" t="n">
        <f aca="false">Inputs!$F$232/100*Operations!L657+Inputs!$F$234/100*(1-Operations!L657)</f>
        <v>0.2</v>
      </c>
      <c r="M658" s="14" t="n">
        <f aca="false">Inputs!$F$232/100*Operations!M657+Inputs!$F$234/100*(1-Operations!M657)</f>
        <v>0.2</v>
      </c>
      <c r="N658" s="14" t="n">
        <f aca="false">Inputs!$F$232/100*Operations!N657+Inputs!$F$234/100*(1-Operations!N657)</f>
        <v>0.2</v>
      </c>
      <c r="O658" s="14" t="n">
        <f aca="false">Inputs!$F$232/100*Operations!O657+Inputs!$F$234/100*(1-Operations!O657)</f>
        <v>0.124383561643836</v>
      </c>
      <c r="P658" s="14" t="n">
        <f aca="false">Inputs!$F$232/100*Operations!P657+Inputs!$F$234/100*(1-Operations!P657)</f>
        <v>0.05</v>
      </c>
      <c r="Q658" s="14" t="n">
        <f aca="false">Inputs!$F$232/100*Operations!Q657+Inputs!$F$234/100*(1-Operations!Q657)</f>
        <v>0.05</v>
      </c>
      <c r="R658" s="14" t="n">
        <f aca="false">Inputs!$F$232/100*Operations!R657+Inputs!$F$234/100*(1-Operations!R657)</f>
        <v>0.05</v>
      </c>
      <c r="S658" s="14" t="n">
        <f aca="false">Inputs!$F$232/100*Operations!S657+Inputs!$F$234/100*(1-Operations!S657)</f>
        <v>0.05</v>
      </c>
      <c r="T658" s="14" t="n">
        <f aca="false">Inputs!$F$232/100*Operations!T657+Inputs!$F$234/100*(1-Operations!T657)</f>
        <v>0.05</v>
      </c>
      <c r="U658" s="14" t="n">
        <f aca="false">Inputs!$F$232/100*Operations!U657+Inputs!$F$234/100*(1-Operations!U657)</f>
        <v>0.05</v>
      </c>
      <c r="V658" s="14" t="n">
        <f aca="false">Inputs!$F$232/100*Operations!V657+Inputs!$F$234/100*(1-Operations!V657)</f>
        <v>0.05</v>
      </c>
      <c r="W658" s="14" t="n">
        <f aca="false">Inputs!$F$232/100*Operations!W657+Inputs!$F$234/100*(1-Operations!W657)</f>
        <v>0.05</v>
      </c>
      <c r="X658" s="14" t="n">
        <f aca="false">Inputs!$F$232/100*Operations!X657+Inputs!$F$234/100*(1-Operations!X657)</f>
        <v>0.05</v>
      </c>
      <c r="Y658" s="14" t="n">
        <f aca="false">Inputs!$F$232/100*Operations!Y657+Inputs!$F$234/100*(1-Operations!Y657)</f>
        <v>0.05</v>
      </c>
      <c r="Z658" s="14" t="n">
        <f aca="false">Inputs!$F$232/100*Operations!Z657+Inputs!$F$234/100*(1-Operations!Z657)</f>
        <v>0.05</v>
      </c>
      <c r="AA658" s="14" t="n">
        <f aca="false">Inputs!$F$232/100*Operations!AA657+Inputs!$F$234/100*(1-Operations!AA657)</f>
        <v>0.05</v>
      </c>
      <c r="AB658" s="14" t="n">
        <f aca="false">Inputs!$F$232/100*Operations!AB657+Inputs!$F$234/100*(1-Operations!AB657)</f>
        <v>0.05</v>
      </c>
      <c r="AC658" s="14" t="n">
        <f aca="false">Inputs!$F$232/100*Operations!AC657+Inputs!$F$234/100*(1-Operations!AC657)</f>
        <v>0.05</v>
      </c>
      <c r="AD658" s="14" t="n">
        <f aca="false">Inputs!$F$232/100*Operations!AD657+Inputs!$F$234/100*(1-Operations!AD657)</f>
        <v>0.05</v>
      </c>
      <c r="AE658" s="14" t="n">
        <f aca="false">Inputs!$F$232/100*Operations!AE657+Inputs!$F$234/100*(1-Operations!AE657)</f>
        <v>0.05</v>
      </c>
      <c r="AF658" s="14" t="n">
        <f aca="false">Inputs!$F$232/100*Operations!AF657+Inputs!$F$234/100*(1-Operations!AF657)</f>
        <v>0.05</v>
      </c>
      <c r="AG658" s="14" t="n">
        <f aca="false">Inputs!$F$232/100*Operations!AG657+Inputs!$F$234/100*(1-Operations!AG657)</f>
        <v>0.05</v>
      </c>
      <c r="AH658" s="14" t="n">
        <f aca="false">Inputs!$F$232/100*Operations!AH657+Inputs!$F$234/100*(1-Operations!AH657)</f>
        <v>0.05</v>
      </c>
      <c r="AI658" s="14" t="n">
        <f aca="false">Inputs!$F$232/100*Operations!AI657+Inputs!$F$234/100*(1-Operations!AI657)</f>
        <v>0.05</v>
      </c>
      <c r="AJ658" s="14" t="n">
        <f aca="false">Inputs!$F$232/100*Operations!AJ657+Inputs!$F$234/100*(1-Operations!AJ657)</f>
        <v>0.05</v>
      </c>
      <c r="AK658" s="14" t="n">
        <f aca="false">Inputs!$F$232/100*Operations!AK657+Inputs!$F$234/100*(1-Operations!AK657)</f>
        <v>0.05</v>
      </c>
      <c r="AL658" s="14" t="n">
        <f aca="false">Inputs!$F$232/100*Operations!AL657+Inputs!$F$234/100*(1-Operations!AL657)</f>
        <v>0.05</v>
      </c>
      <c r="AM658" s="14" t="n">
        <f aca="false">Inputs!$F$232/100*Operations!AM657+Inputs!$F$234/100*(1-Operations!AM657)</f>
        <v>0.05</v>
      </c>
      <c r="AN658" s="14" t="n">
        <f aca="false">Inputs!$F$232/100*Operations!AN657+Inputs!$F$234/100*(1-Operations!AN657)</f>
        <v>0.05</v>
      </c>
      <c r="AO658" s="14" t="n">
        <f aca="false">Inputs!$F$232/100*Operations!AO657+Inputs!$F$234/100*(1-Operations!AO657)</f>
        <v>0.05</v>
      </c>
      <c r="AP658" s="14" t="n">
        <f aca="false">Inputs!$F$232/100*Operations!AP657+Inputs!$F$234/100*(1-Operations!AP657)</f>
        <v>0.05</v>
      </c>
      <c r="AQ658" s="14" t="n">
        <f aca="false">Inputs!$F$232/100*Operations!AQ657+Inputs!$F$234/100*(1-Operations!AQ657)</f>
        <v>0.05</v>
      </c>
      <c r="AR658" s="14" t="n">
        <f aca="false">Inputs!$F$232/100*Operations!AR657+Inputs!$F$234/100*(1-Operations!AR657)</f>
        <v>0.05</v>
      </c>
      <c r="AS658" s="14" t="n">
        <f aca="false">Inputs!$F$232/100*Operations!AS657+Inputs!$F$234/100*(1-Operations!AS657)</f>
        <v>0.05</v>
      </c>
      <c r="AT658" s="14" t="n">
        <f aca="false">Inputs!$F$232/100*Operations!AT657+Inputs!$F$234/100*(1-Operations!AT657)</f>
        <v>0.05</v>
      </c>
      <c r="AU658" s="14" t="n">
        <f aca="false">Inputs!$F$232/100*Operations!AU657+Inputs!$F$234/100*(1-Operations!AU657)</f>
        <v>0.05</v>
      </c>
    </row>
    <row r="659" customFormat="false" ht="15" hidden="false" customHeight="false" outlineLevel="0" collapsed="false">
      <c r="D659" s="0" t="s">
        <v>659</v>
      </c>
      <c r="E659" s="0" t="s">
        <v>458</v>
      </c>
      <c r="J659" s="14" t="n">
        <f aca="false">(1-Inputs!$F$233/100)*Operations!J657+(1-Inputs!$F$234/100)*(1-Operations!J657)</f>
        <v>0.01</v>
      </c>
      <c r="K659" s="14" t="n">
        <f aca="false">(1-Inputs!$F$233/100)*Operations!K657+(1-Inputs!$F$234/100)*(1-Operations!K657)</f>
        <v>0.01</v>
      </c>
      <c r="L659" s="14" t="n">
        <f aca="false">(1-Inputs!$F$233/100)*Operations!L657+(1-Inputs!$F$234/100)*(1-Operations!L657)</f>
        <v>0.01</v>
      </c>
      <c r="M659" s="14" t="n">
        <f aca="false">(1-Inputs!$F$233/100)*Operations!M657+(1-Inputs!$F$234/100)*(1-Operations!M657)</f>
        <v>0.01</v>
      </c>
      <c r="N659" s="14" t="n">
        <f aca="false">(1-Inputs!$F$233/100)*Operations!N657+(1-Inputs!$F$234/100)*(1-Operations!N657)</f>
        <v>0.01</v>
      </c>
      <c r="O659" s="14" t="n">
        <f aca="false">(1-Inputs!$F$233/100)*Operations!O657+(1-Inputs!$F$234/100)*(1-Operations!O657)</f>
        <v>0.48386301369863</v>
      </c>
      <c r="P659" s="14" t="n">
        <f aca="false">(1-Inputs!$F$233/100)*Operations!P657+(1-Inputs!$F$234/100)*(1-Operations!P657)</f>
        <v>0.95</v>
      </c>
      <c r="Q659" s="14" t="n">
        <f aca="false">(1-Inputs!$F$233/100)*Operations!Q657+(1-Inputs!$F$234/100)*(1-Operations!Q657)</f>
        <v>0.95</v>
      </c>
      <c r="R659" s="14" t="n">
        <f aca="false">(1-Inputs!$F$233/100)*Operations!R657+(1-Inputs!$F$234/100)*(1-Operations!R657)</f>
        <v>0.95</v>
      </c>
      <c r="S659" s="14" t="n">
        <f aca="false">(1-Inputs!$F$233/100)*Operations!S657+(1-Inputs!$F$234/100)*(1-Operations!S657)</f>
        <v>0.95</v>
      </c>
      <c r="T659" s="14" t="n">
        <f aca="false">(1-Inputs!$F$233/100)*Operations!T657+(1-Inputs!$F$234/100)*(1-Operations!T657)</f>
        <v>0.95</v>
      </c>
      <c r="U659" s="14" t="n">
        <f aca="false">(1-Inputs!$F$233/100)*Operations!U657+(1-Inputs!$F$234/100)*(1-Operations!U657)</f>
        <v>0.95</v>
      </c>
      <c r="V659" s="14" t="n">
        <f aca="false">(1-Inputs!$F$233/100)*Operations!V657+(1-Inputs!$F$234/100)*(1-Operations!V657)</f>
        <v>0.95</v>
      </c>
      <c r="W659" s="14" t="n">
        <f aca="false">(1-Inputs!$F$233/100)*Operations!W657+(1-Inputs!$F$234/100)*(1-Operations!W657)</f>
        <v>0.95</v>
      </c>
      <c r="X659" s="14" t="n">
        <f aca="false">(1-Inputs!$F$233/100)*Operations!X657+(1-Inputs!$F$234/100)*(1-Operations!X657)</f>
        <v>0.95</v>
      </c>
      <c r="Y659" s="14" t="n">
        <f aca="false">(1-Inputs!$F$233/100)*Operations!Y657+(1-Inputs!$F$234/100)*(1-Operations!Y657)</f>
        <v>0.95</v>
      </c>
      <c r="Z659" s="14" t="n">
        <f aca="false">(1-Inputs!$F$233/100)*Operations!Z657+(1-Inputs!$F$234/100)*(1-Operations!Z657)</f>
        <v>0.95</v>
      </c>
      <c r="AA659" s="14" t="n">
        <f aca="false">(1-Inputs!$F$233/100)*Operations!AA657+(1-Inputs!$F$234/100)*(1-Operations!AA657)</f>
        <v>0.95</v>
      </c>
      <c r="AB659" s="14" t="n">
        <f aca="false">(1-Inputs!$F$233/100)*Operations!AB657+(1-Inputs!$F$234/100)*(1-Operations!AB657)</f>
        <v>0.95</v>
      </c>
      <c r="AC659" s="14" t="n">
        <f aca="false">(1-Inputs!$F$233/100)*Operations!AC657+(1-Inputs!$F$234/100)*(1-Operations!AC657)</f>
        <v>0.95</v>
      </c>
      <c r="AD659" s="14" t="n">
        <f aca="false">(1-Inputs!$F$233/100)*Operations!AD657+(1-Inputs!$F$234/100)*(1-Operations!AD657)</f>
        <v>0.95</v>
      </c>
      <c r="AE659" s="14" t="n">
        <f aca="false">(1-Inputs!$F$233/100)*Operations!AE657+(1-Inputs!$F$234/100)*(1-Operations!AE657)</f>
        <v>0.95</v>
      </c>
      <c r="AF659" s="14" t="n">
        <f aca="false">(1-Inputs!$F$233/100)*Operations!AF657+(1-Inputs!$F$234/100)*(1-Operations!AF657)</f>
        <v>0.95</v>
      </c>
      <c r="AG659" s="14" t="n">
        <f aca="false">(1-Inputs!$F$233/100)*Operations!AG657+(1-Inputs!$F$234/100)*(1-Operations!AG657)</f>
        <v>0.95</v>
      </c>
      <c r="AH659" s="14" t="n">
        <f aca="false">(1-Inputs!$F$233/100)*Operations!AH657+(1-Inputs!$F$234/100)*(1-Operations!AH657)</f>
        <v>0.95</v>
      </c>
      <c r="AI659" s="14" t="n">
        <f aca="false">(1-Inputs!$F$233/100)*Operations!AI657+(1-Inputs!$F$234/100)*(1-Operations!AI657)</f>
        <v>0.95</v>
      </c>
      <c r="AJ659" s="14" t="n">
        <f aca="false">(1-Inputs!$F$233/100)*Operations!AJ657+(1-Inputs!$F$234/100)*(1-Operations!AJ657)</f>
        <v>0.95</v>
      </c>
      <c r="AK659" s="14" t="n">
        <f aca="false">(1-Inputs!$F$233/100)*Operations!AK657+(1-Inputs!$F$234/100)*(1-Operations!AK657)</f>
        <v>0.95</v>
      </c>
      <c r="AL659" s="14" t="n">
        <f aca="false">(1-Inputs!$F$233/100)*Operations!AL657+(1-Inputs!$F$234/100)*(1-Operations!AL657)</f>
        <v>0.95</v>
      </c>
      <c r="AM659" s="14" t="n">
        <f aca="false">(1-Inputs!$F$233/100)*Operations!AM657+(1-Inputs!$F$234/100)*(1-Operations!AM657)</f>
        <v>0.95</v>
      </c>
      <c r="AN659" s="14" t="n">
        <f aca="false">(1-Inputs!$F$233/100)*Operations!AN657+(1-Inputs!$F$234/100)*(1-Operations!AN657)</f>
        <v>0.95</v>
      </c>
      <c r="AO659" s="14" t="n">
        <f aca="false">(1-Inputs!$F$233/100)*Operations!AO657+(1-Inputs!$F$234/100)*(1-Operations!AO657)</f>
        <v>0.95</v>
      </c>
      <c r="AP659" s="14" t="n">
        <f aca="false">(1-Inputs!$F$233/100)*Operations!AP657+(1-Inputs!$F$234/100)*(1-Operations!AP657)</f>
        <v>0.95</v>
      </c>
      <c r="AQ659" s="14" t="n">
        <f aca="false">(1-Inputs!$F$233/100)*Operations!AQ657+(1-Inputs!$F$234/100)*(1-Operations!AQ657)</f>
        <v>0.95</v>
      </c>
      <c r="AR659" s="14" t="n">
        <f aca="false">(1-Inputs!$F$233/100)*Operations!AR657+(1-Inputs!$F$234/100)*(1-Operations!AR657)</f>
        <v>0.95</v>
      </c>
      <c r="AS659" s="14" t="n">
        <f aca="false">(1-Inputs!$F$233/100)*Operations!AS657+(1-Inputs!$F$234/100)*(1-Operations!AS657)</f>
        <v>0.95</v>
      </c>
      <c r="AT659" s="14" t="n">
        <f aca="false">(1-Inputs!$F$233/100)*Operations!AT657+(1-Inputs!$F$234/100)*(1-Operations!AT657)</f>
        <v>0.95</v>
      </c>
      <c r="AU659" s="14" t="n">
        <f aca="false">(1-Inputs!$F$233/100)*Operations!AU657+(1-Inputs!$F$234/100)*(1-Operations!AU657)</f>
        <v>0.95</v>
      </c>
    </row>
    <row r="660" customFormat="false" ht="15" hidden="false" customHeight="false" outlineLevel="0" collapsed="false">
      <c r="D660" s="0" t="s">
        <v>660</v>
      </c>
      <c r="E660" s="0" t="s">
        <v>47</v>
      </c>
      <c r="G660" s="20" t="n">
        <f aca="false">SUM(J660:AU660)</f>
        <v>249.289586029155</v>
      </c>
      <c r="J660" s="20" t="n">
        <f aca="false">Operations!J656*(1-Operations!J658)*Operations!J630</f>
        <v>4.93263439376199</v>
      </c>
      <c r="K660" s="20" t="n">
        <f aca="false">Operations!K656*(1-Operations!K658)*Operations!K630</f>
        <v>6.22985996412556</v>
      </c>
      <c r="L660" s="20" t="n">
        <f aca="false">Operations!L656*(1-Operations!L658)*Operations!L630</f>
        <v>6.38288841559908</v>
      </c>
      <c r="M660" s="20" t="n">
        <f aca="false">Operations!M656*(1-Operations!M658)*Operations!M630</f>
        <v>6.12278159191244</v>
      </c>
      <c r="N660" s="20" t="n">
        <f aca="false">Operations!N656*(1-Operations!N658)*Operations!N630</f>
        <v>5.95852126670457</v>
      </c>
      <c r="O660" s="20" t="n">
        <f aca="false">Operations!O656*(1-Operations!O658)*Operations!O630</f>
        <v>6.36320347651321</v>
      </c>
      <c r="P660" s="20" t="n">
        <f aca="false">Operations!P656*(1-Operations!P658)*Operations!P630</f>
        <v>6.74046345134485</v>
      </c>
      <c r="Q660" s="20" t="n">
        <f aca="false">Operations!Q656*(1-Operations!Q658)*Operations!Q630</f>
        <v>6.58101940060397</v>
      </c>
      <c r="R660" s="20" t="n">
        <f aca="false">Operations!R656*(1-Operations!R658)*Operations!R630</f>
        <v>6.41835492803771</v>
      </c>
      <c r="S660" s="20" t="n">
        <f aca="false">Operations!S656*(1-Operations!S658)*Operations!S630</f>
        <v>6.25771292944035</v>
      </c>
      <c r="T660" s="20" t="n">
        <f aca="false">Operations!T656*(1-Operations!T658)*Operations!T630</f>
        <v>6.09462367998411</v>
      </c>
      <c r="U660" s="20" t="n">
        <f aca="false">Operations!U656*(1-Operations!U658)*Operations!U630</f>
        <v>7.15773819980085</v>
      </c>
      <c r="V660" s="20" t="n">
        <f aca="false">Operations!V656*(1-Operations!V658)*Operations!V630</f>
        <v>8.0293620296974</v>
      </c>
      <c r="W660" s="20" t="n">
        <f aca="false">Operations!W656*(1-Operations!W658)*Operations!W630</f>
        <v>7.67909212535188</v>
      </c>
      <c r="X660" s="20" t="n">
        <f aca="false">Operations!X656*(1-Operations!X658)*Operations!X630</f>
        <v>7.75250949759465</v>
      </c>
      <c r="Y660" s="20" t="n">
        <f aca="false">Operations!Y656*(1-Operations!Y658)*Operations!Y630</f>
        <v>7.82749157892603</v>
      </c>
      <c r="Z660" s="20" t="n">
        <f aca="false">Operations!Z656*(1-Operations!Z658)*Operations!Z630</f>
        <v>7.90177720260089</v>
      </c>
      <c r="AA660" s="20" t="n">
        <f aca="false">Operations!AA656*(1-Operations!AA658)*Operations!AA630</f>
        <v>7.97524960389707</v>
      </c>
      <c r="AB660" s="20" t="n">
        <f aca="false">Operations!AB656*(1-Operations!AB658)*Operations!AB630</f>
        <v>8.04988852471407</v>
      </c>
      <c r="AC660" s="20" t="n">
        <f aca="false">Operations!AC656*(1-Operations!AC658)*Operations!AC630</f>
        <v>8.12345753059391</v>
      </c>
      <c r="AD660" s="20" t="n">
        <f aca="false">Operations!AD656*(1-Operations!AD658)*Operations!AD630</f>
        <v>8.19791468123296</v>
      </c>
      <c r="AE660" s="20" t="n">
        <f aca="false">Operations!AE656*(1-Operations!AE658)*Operations!AE630</f>
        <v>8.2710396041695</v>
      </c>
      <c r="AF660" s="20" t="n">
        <f aca="false">Operations!AF656*(1-Operations!AF658)*Operations!AF630</f>
        <v>8.34476863678768</v>
      </c>
      <c r="AG660" s="20" t="n">
        <f aca="false">Operations!AG656*(1-Operations!AG658)*Operations!AG630</f>
        <v>8.41894822116183</v>
      </c>
      <c r="AH660" s="20" t="n">
        <f aca="false">Operations!AH656*(1-Operations!AH658)*Operations!AH630</f>
        <v>8.49138141659456</v>
      </c>
      <c r="AI660" s="20" t="n">
        <f aca="false">Operations!AI656*(1-Operations!AI658)*Operations!AI630</f>
        <v>8.56397193968383</v>
      </c>
      <c r="AJ660" s="20" t="n">
        <f aca="false">Operations!AJ656*(1-Operations!AJ658)*Operations!AJ630</f>
        <v>8.63656150487139</v>
      </c>
      <c r="AK660" s="20" t="n">
        <f aca="false">Operations!AK656*(1-Operations!AK658)*Operations!AK630</f>
        <v>8.70899017244237</v>
      </c>
      <c r="AL660" s="20" t="n">
        <f aca="false">Operations!AL656*(1-Operations!AL658)*Operations!AL630</f>
        <v>8.78109628608654</v>
      </c>
      <c r="AM660" s="20" t="n">
        <f aca="false">Operations!AM656*(1-Operations!AM658)*Operations!AM630</f>
        <v>8.85271640905814</v>
      </c>
      <c r="AN660" s="20" t="n">
        <f aca="false">Operations!AN656*(1-Operations!AN658)*Operations!AN630</f>
        <v>8.92368525889822</v>
      </c>
      <c r="AO660" s="20" t="n">
        <f aca="false">Operations!AO656*(1-Operations!AO658)*Operations!AO630</f>
        <v>8.99383564068227</v>
      </c>
      <c r="AP660" s="20" t="n">
        <f aca="false">Operations!AP656*(1-Operations!AP658)*Operations!AP630</f>
        <v>9.06299837875541</v>
      </c>
      <c r="AQ660" s="20" t="n">
        <f aca="false">Operations!AQ656*(1-Operations!AQ658)*Operations!AQ630</f>
        <v>9.13296292981738</v>
      </c>
      <c r="AR660" s="20" t="n">
        <f aca="false">Operations!AR656*(1-Operations!AR658)*Operations!AR630</f>
        <v>-10.669914842292</v>
      </c>
      <c r="AS660" s="20" t="n">
        <f aca="false">Operations!AS656*(1-Operations!AS658)*Operations!AS630</f>
        <v>0</v>
      </c>
      <c r="AT660" s="20" t="n">
        <f aca="false">Operations!AT656*(1-Operations!AT658)*Operations!AT630</f>
        <v>0</v>
      </c>
      <c r="AU660" s="20" t="n">
        <f aca="false">Operations!AU656*(1-Operations!AU658)*Operations!AU630</f>
        <v>0</v>
      </c>
    </row>
    <row r="661" customFormat="false" ht="15" hidden="false" customHeight="false" outlineLevel="0" collapsed="false">
      <c r="D661" s="0" t="s">
        <v>661</v>
      </c>
      <c r="E661" s="0" t="s">
        <v>47</v>
      </c>
      <c r="J661" s="20" t="n">
        <f aca="false">Operations!J656*Operations!J659*Operations!J630</f>
        <v>0.061657929922025</v>
      </c>
      <c r="K661" s="20" t="n">
        <f aca="false">Operations!K656*Operations!K659*Operations!K630</f>
        <v>0.0778732495515695</v>
      </c>
      <c r="L661" s="20" t="n">
        <f aca="false">Operations!L656*Operations!L659*Operations!L630</f>
        <v>0.0797861051949885</v>
      </c>
      <c r="M661" s="20" t="n">
        <f aca="false">Operations!M656*Operations!M659*Operations!M630</f>
        <v>0.0765347698989056</v>
      </c>
      <c r="N661" s="20" t="n">
        <f aca="false">Operations!N656*Operations!N659*Operations!N630</f>
        <v>0.0744815158338072</v>
      </c>
      <c r="O661" s="20" t="n">
        <f aca="false">Operations!O656*Operations!O659*Operations!O630</f>
        <v>3.51628712761889</v>
      </c>
      <c r="P661" s="20" t="n">
        <f aca="false">Operations!P656*Operations!P659*Operations!P630</f>
        <v>6.74046345134485</v>
      </c>
      <c r="Q661" s="20" t="n">
        <f aca="false">Operations!Q656*Operations!Q659*Operations!Q630</f>
        <v>6.58101940060397</v>
      </c>
      <c r="R661" s="20" t="n">
        <f aca="false">Operations!R656*Operations!R659*Operations!R630</f>
        <v>6.41835492803771</v>
      </c>
      <c r="S661" s="20" t="n">
        <f aca="false">Operations!S656*Operations!S659*Operations!S630</f>
        <v>6.25771292944035</v>
      </c>
      <c r="T661" s="20" t="n">
        <f aca="false">Operations!T656*Operations!T659*Operations!T630</f>
        <v>6.09462367998411</v>
      </c>
      <c r="U661" s="20" t="n">
        <f aca="false">Operations!U656*Operations!U659*Operations!U630</f>
        <v>7.15773819980085</v>
      </c>
      <c r="V661" s="20" t="n">
        <f aca="false">Operations!V656*Operations!V659*Operations!V630</f>
        <v>8.0293620296974</v>
      </c>
      <c r="W661" s="20" t="n">
        <f aca="false">Operations!W656*Operations!W659*Operations!W630</f>
        <v>7.67909212535188</v>
      </c>
      <c r="X661" s="20" t="n">
        <f aca="false">Operations!X656*Operations!X659*Operations!X630</f>
        <v>7.75250949759465</v>
      </c>
      <c r="Y661" s="20" t="n">
        <f aca="false">Operations!Y656*Operations!Y659*Operations!Y630</f>
        <v>7.82749157892603</v>
      </c>
      <c r="Z661" s="20" t="n">
        <f aca="false">Operations!Z656*Operations!Z659*Operations!Z630</f>
        <v>7.90177720260089</v>
      </c>
      <c r="AA661" s="20" t="n">
        <f aca="false">Operations!AA656*Operations!AA659*Operations!AA630</f>
        <v>7.97524960389707</v>
      </c>
      <c r="AB661" s="20" t="n">
        <f aca="false">Operations!AB656*Operations!AB659*Operations!AB630</f>
        <v>8.04988852471407</v>
      </c>
      <c r="AC661" s="20" t="n">
        <f aca="false">Operations!AC656*Operations!AC659*Operations!AC630</f>
        <v>8.12345753059391</v>
      </c>
      <c r="AD661" s="20" t="n">
        <f aca="false">Operations!AD656*Operations!AD659*Operations!AD630</f>
        <v>8.19791468123296</v>
      </c>
      <c r="AE661" s="20" t="n">
        <f aca="false">Operations!AE656*Operations!AE659*Operations!AE630</f>
        <v>8.2710396041695</v>
      </c>
      <c r="AF661" s="20" t="n">
        <f aca="false">Operations!AF656*Operations!AF659*Operations!AF630</f>
        <v>8.34476863678768</v>
      </c>
      <c r="AG661" s="20" t="n">
        <f aca="false">Operations!AG656*Operations!AG659*Operations!AG630</f>
        <v>8.41894822116183</v>
      </c>
      <c r="AH661" s="20" t="n">
        <f aca="false">Operations!AH656*Operations!AH659*Operations!AH630</f>
        <v>8.49138141659456</v>
      </c>
      <c r="AI661" s="20" t="n">
        <f aca="false">Operations!AI656*Operations!AI659*Operations!AI630</f>
        <v>8.56397193968383</v>
      </c>
      <c r="AJ661" s="20" t="n">
        <f aca="false">Operations!AJ656*Operations!AJ659*Operations!AJ630</f>
        <v>8.63656150487139</v>
      </c>
      <c r="AK661" s="20" t="n">
        <f aca="false">Operations!AK656*Operations!AK659*Operations!AK630</f>
        <v>8.70899017244237</v>
      </c>
      <c r="AL661" s="20" t="n">
        <f aca="false">Operations!AL656*Operations!AL659*Operations!AL630</f>
        <v>8.78109628608654</v>
      </c>
      <c r="AM661" s="20" t="n">
        <f aca="false">Operations!AM656*Operations!AM659*Operations!AM630</f>
        <v>8.85271640905814</v>
      </c>
      <c r="AN661" s="20" t="n">
        <f aca="false">Operations!AN656*Operations!AN659*Operations!AN630</f>
        <v>8.92368525889822</v>
      </c>
      <c r="AO661" s="20" t="n">
        <f aca="false">Operations!AO656*Operations!AO659*Operations!AO630</f>
        <v>8.99383564068227</v>
      </c>
      <c r="AP661" s="20" t="n">
        <f aca="false">Operations!AP656*Operations!AP659*Operations!AP630</f>
        <v>9.06299837875541</v>
      </c>
      <c r="AQ661" s="20" t="n">
        <f aca="false">Operations!AQ656*Operations!AQ659*Operations!AQ630</f>
        <v>9.13296292981738</v>
      </c>
      <c r="AR661" s="20" t="n">
        <f aca="false">Operations!AR656*Operations!AR659*Operations!AR630</f>
        <v>-10.669914842292</v>
      </c>
      <c r="AS661" s="20" t="n">
        <f aca="false">Operations!AS656*Operations!AS659*Operations!AS630</f>
        <v>0</v>
      </c>
      <c r="AT661" s="20" t="n">
        <f aca="false">Operations!AT656*Operations!AT659*Operations!AT630</f>
        <v>0</v>
      </c>
      <c r="AU661" s="20" t="n">
        <f aca="false">Operations!AU656*Operations!AU659*Operations!AU630</f>
        <v>0</v>
      </c>
    </row>
    <row r="662" customFormat="false" ht="15" hidden="false" customHeight="false" outlineLevel="0" collapsed="false">
      <c r="D662" s="0" t="s">
        <v>662</v>
      </c>
      <c r="E662" s="0" t="s">
        <v>47</v>
      </c>
      <c r="J662" s="20" t="n">
        <f aca="false">Operations!J660-Inputs!$F$248/100*Operations!J661</f>
        <v>4.91968622847837</v>
      </c>
      <c r="K662" s="20" t="n">
        <f aca="false">Operations!K660-Inputs!$F$248/100*Operations!K661</f>
        <v>6.21350658171973</v>
      </c>
      <c r="L662" s="20" t="n">
        <f aca="false">Operations!L660-Inputs!$F$248/100*Operations!L661</f>
        <v>6.36613333350813</v>
      </c>
      <c r="M662" s="20" t="n">
        <f aca="false">Operations!M660-Inputs!$F$248/100*Operations!M661</f>
        <v>6.10670929023367</v>
      </c>
      <c r="N662" s="20" t="n">
        <f aca="false">Operations!N660-Inputs!$F$248/100*Operations!N661</f>
        <v>5.94288014837947</v>
      </c>
      <c r="O662" s="20" t="n">
        <f aca="false">Operations!O660-Inputs!$F$248/100*Operations!O661</f>
        <v>5.62478317971324</v>
      </c>
      <c r="P662" s="20" t="n">
        <f aca="false">Operations!P660-Inputs!$F$248/100*Operations!P661</f>
        <v>5.32496612656243</v>
      </c>
      <c r="Q662" s="20" t="n">
        <f aca="false">Operations!Q660-Inputs!$F$248/100*Operations!Q661</f>
        <v>5.19900532647714</v>
      </c>
      <c r="R662" s="20" t="n">
        <f aca="false">Operations!R660-Inputs!$F$248/100*Operations!R661</f>
        <v>5.07050039314979</v>
      </c>
      <c r="S662" s="20" t="n">
        <f aca="false">Operations!S660-Inputs!$F$248/100*Operations!S661</f>
        <v>4.94359321425788</v>
      </c>
      <c r="T662" s="20" t="n">
        <f aca="false">Operations!T660-Inputs!$F$248/100*Operations!T661</f>
        <v>4.81475270718745</v>
      </c>
      <c r="U662" s="20" t="n">
        <f aca="false">Operations!U660-Inputs!$F$248/100*Operations!U661</f>
        <v>5.65461317784267</v>
      </c>
      <c r="V662" s="20" t="n">
        <f aca="false">Operations!V660-Inputs!$F$248/100*Operations!V661</f>
        <v>6.34319600346094</v>
      </c>
      <c r="W662" s="20" t="n">
        <f aca="false">Operations!W660-Inputs!$F$248/100*Operations!W661</f>
        <v>6.06648277902798</v>
      </c>
      <c r="X662" s="20" t="n">
        <f aca="false">Operations!X660-Inputs!$F$248/100*Operations!X661</f>
        <v>6.12448250309978</v>
      </c>
      <c r="Y662" s="20" t="n">
        <f aca="false">Operations!Y660-Inputs!$F$248/100*Operations!Y661</f>
        <v>6.18371834735157</v>
      </c>
      <c r="Z662" s="20" t="n">
        <f aca="false">Operations!Z660-Inputs!$F$248/100*Operations!Z661</f>
        <v>6.2424039900547</v>
      </c>
      <c r="AA662" s="20" t="n">
        <f aca="false">Operations!AA660-Inputs!$F$248/100*Operations!AA661</f>
        <v>6.30044718707869</v>
      </c>
      <c r="AB662" s="20" t="n">
        <f aca="false">Operations!AB660-Inputs!$F$248/100*Operations!AB661</f>
        <v>6.35941193452412</v>
      </c>
      <c r="AC662" s="20" t="n">
        <f aca="false">Operations!AC660-Inputs!$F$248/100*Operations!AC661</f>
        <v>6.41753144916919</v>
      </c>
      <c r="AD662" s="20" t="n">
        <f aca="false">Operations!AD660-Inputs!$F$248/100*Operations!AD661</f>
        <v>6.47635259817404</v>
      </c>
      <c r="AE662" s="20" t="n">
        <f aca="false">Operations!AE660-Inputs!$F$248/100*Operations!AE661</f>
        <v>6.53412128729391</v>
      </c>
      <c r="AF662" s="20" t="n">
        <f aca="false">Operations!AF660-Inputs!$F$248/100*Operations!AF661</f>
        <v>6.59236722306227</v>
      </c>
      <c r="AG662" s="20" t="n">
        <f aca="false">Operations!AG660-Inputs!$F$248/100*Operations!AG661</f>
        <v>6.65096909471785</v>
      </c>
      <c r="AH662" s="20" t="n">
        <f aca="false">Operations!AH660-Inputs!$F$248/100*Operations!AH661</f>
        <v>6.7081913191097</v>
      </c>
      <c r="AI662" s="20" t="n">
        <f aca="false">Operations!AI660-Inputs!$F$248/100*Operations!AI661</f>
        <v>6.76553783235022</v>
      </c>
      <c r="AJ662" s="20" t="n">
        <f aca="false">Operations!AJ660-Inputs!$F$248/100*Operations!AJ661</f>
        <v>6.8228835888484</v>
      </c>
      <c r="AK662" s="20" t="n">
        <f aca="false">Operations!AK660-Inputs!$F$248/100*Operations!AK661</f>
        <v>6.88010223622947</v>
      </c>
      <c r="AL662" s="20" t="n">
        <f aca="false">Operations!AL660-Inputs!$F$248/100*Operations!AL661</f>
        <v>6.93706606600836</v>
      </c>
      <c r="AM662" s="20" t="n">
        <f aca="false">Operations!AM660-Inputs!$F$248/100*Operations!AM661</f>
        <v>6.99364596315593</v>
      </c>
      <c r="AN662" s="20" t="n">
        <f aca="false">Operations!AN660-Inputs!$F$248/100*Operations!AN661</f>
        <v>7.04971135452959</v>
      </c>
      <c r="AO662" s="20" t="n">
        <f aca="false">Operations!AO660-Inputs!$F$248/100*Operations!AO661</f>
        <v>7.10513015613899</v>
      </c>
      <c r="AP662" s="20" t="n">
        <f aca="false">Operations!AP660-Inputs!$F$248/100*Operations!AP661</f>
        <v>7.15976871921678</v>
      </c>
      <c r="AQ662" s="20" t="n">
        <f aca="false">Operations!AQ660-Inputs!$F$248/100*Operations!AQ661</f>
        <v>7.21504071455573</v>
      </c>
      <c r="AR662" s="20" t="n">
        <f aca="false">Operations!AR660-Inputs!$F$248/100*Operations!AR661</f>
        <v>-8.42923272541066</v>
      </c>
      <c r="AS662" s="20" t="n">
        <f aca="false">Operations!AS660-Inputs!$F$248/100*Operations!AS661</f>
        <v>0</v>
      </c>
      <c r="AT662" s="20" t="n">
        <f aca="false">Operations!AT660-Inputs!$F$248/100*Operations!AT661</f>
        <v>0</v>
      </c>
      <c r="AU662" s="20" t="n">
        <f aca="false">Operations!AU660-Inputs!$F$248/100*Operations!AU661</f>
        <v>0</v>
      </c>
    </row>
    <row r="663" customFormat="false" ht="15" hidden="false" customHeight="false" outlineLevel="0" collapsed="false">
      <c r="D663" s="0" t="s">
        <v>663</v>
      </c>
      <c r="E663" s="0" t="s">
        <v>458</v>
      </c>
      <c r="J663" s="14" t="n">
        <f aca="false">IF(Operations!J647=0,0,Operations!J644/Operations!J647)</f>
        <v>1.08434887050172</v>
      </c>
      <c r="K663" s="14" t="n">
        <f aca="false">IF(Operations!K647=0,0,Operations!K644/Operations!K647)</f>
        <v>1.06816495627312</v>
      </c>
      <c r="L663" s="14" t="n">
        <f aca="false">IF(Operations!L647=0,0,Operations!L644/Operations!L647)</f>
        <v>1.03240314983421</v>
      </c>
      <c r="M663" s="14" t="n">
        <f aca="false">IF(Operations!M647=0,0,Operations!M644/Operations!M647)</f>
        <v>1.04329748236022</v>
      </c>
      <c r="N663" s="14" t="n">
        <f aca="false">IF(Operations!N647=0,0,Operations!N644/Operations!N647)</f>
        <v>1.04877397757153</v>
      </c>
      <c r="O663" s="14" t="n">
        <f aca="false">IF(Operations!O647=0,0,Operations!O644/Operations!O647)</f>
        <v>1.05187984714543</v>
      </c>
      <c r="P663" s="14" t="n">
        <f aca="false">IF(Operations!P647=0,0,Operations!P644/Operations!P647)</f>
        <v>1.05396066686911</v>
      </c>
      <c r="Q663" s="14" t="n">
        <f aca="false">IF(Operations!Q647=0,0,Operations!Q644/Operations!Q647)</f>
        <v>1.05546860835498</v>
      </c>
      <c r="R663" s="14" t="n">
        <f aca="false">IF(Operations!R647=0,0,Operations!R644/Operations!R647)</f>
        <v>1.05709737836814</v>
      </c>
      <c r="S663" s="14" t="n">
        <f aca="false">IF(Operations!S647=0,0,Operations!S644/Operations!S647)</f>
        <v>1.0583105797192</v>
      </c>
      <c r="T663" s="14" t="n">
        <f aca="false">IF(Operations!T647=0,0,Operations!T644/Operations!T647)</f>
        <v>1.05954998077973</v>
      </c>
      <c r="U663" s="14" t="n">
        <f aca="false">IF(Operations!U647=0,0,Operations!U644/Operations!U647)</f>
        <v>0.469994137024136</v>
      </c>
      <c r="V663" s="14" t="n">
        <f aca="false">IF(Operations!V647=0,0,Operations!V644/Operations!V647)</f>
        <v>0</v>
      </c>
      <c r="W663" s="14" t="n">
        <f aca="false">IF(Operations!W647=0,0,Operations!W644/Operations!W647)</f>
        <v>0</v>
      </c>
      <c r="X663" s="14" t="n">
        <f aca="false">IF(Operations!X647=0,0,Operations!X644/Operations!X647)</f>
        <v>0</v>
      </c>
      <c r="Y663" s="14" t="n">
        <f aca="false">IF(Operations!Y647=0,0,Operations!Y644/Operations!Y647)</f>
        <v>0</v>
      </c>
      <c r="Z663" s="14" t="n">
        <f aca="false">IF(Operations!Z647=0,0,Operations!Z644/Operations!Z647)</f>
        <v>0</v>
      </c>
      <c r="AA663" s="14" t="n">
        <f aca="false">IF(Operations!AA647=0,0,Operations!AA644/Operations!AA647)</f>
        <v>0</v>
      </c>
      <c r="AB663" s="14" t="n">
        <f aca="false">IF(Operations!AB647=0,0,Operations!AB644/Operations!AB647)</f>
        <v>0</v>
      </c>
      <c r="AC663" s="14" t="n">
        <f aca="false">IF(Operations!AC647=0,0,Operations!AC644/Operations!AC647)</f>
        <v>0</v>
      </c>
      <c r="AD663" s="14" t="n">
        <f aca="false">IF(Operations!AD647=0,0,Operations!AD644/Operations!AD647)</f>
        <v>0</v>
      </c>
      <c r="AE663" s="14" t="n">
        <f aca="false">IF(Operations!AE647=0,0,Operations!AE644/Operations!AE647)</f>
        <v>0</v>
      </c>
      <c r="AF663" s="14" t="n">
        <f aca="false">IF(Operations!AF647=0,0,Operations!AF644/Operations!AF647)</f>
        <v>0</v>
      </c>
      <c r="AG663" s="14" t="n">
        <f aca="false">IF(Operations!AG647=0,0,Operations!AG644/Operations!AG647)</f>
        <v>0</v>
      </c>
      <c r="AH663" s="14" t="n">
        <f aca="false">IF(Operations!AH647=0,0,Operations!AH644/Operations!AH647)</f>
        <v>0</v>
      </c>
      <c r="AI663" s="14" t="n">
        <f aca="false">IF(Operations!AI647=0,0,Operations!AI644/Operations!AI647)</f>
        <v>0</v>
      </c>
      <c r="AJ663" s="14" t="n">
        <f aca="false">IF(Operations!AJ647=0,0,Operations!AJ644/Operations!AJ647)</f>
        <v>0</v>
      </c>
      <c r="AK663" s="14" t="n">
        <f aca="false">IF(Operations!AK647=0,0,Operations!AK644/Operations!AK647)</f>
        <v>0</v>
      </c>
      <c r="AL663" s="14" t="n">
        <f aca="false">IF(Operations!AL647=0,0,Operations!AL644/Operations!AL647)</f>
        <v>0</v>
      </c>
      <c r="AM663" s="14" t="n">
        <f aca="false">IF(Operations!AM647=0,0,Operations!AM644/Operations!AM647)</f>
        <v>0</v>
      </c>
      <c r="AN663" s="14" t="n">
        <f aca="false">IF(Operations!AN647=0,0,Operations!AN644/Operations!AN647)</f>
        <v>0</v>
      </c>
      <c r="AO663" s="14" t="n">
        <f aca="false">IF(Operations!AO647=0,0,Operations!AO644/Operations!AO647)</f>
        <v>0</v>
      </c>
      <c r="AP663" s="14" t="n">
        <f aca="false">IF(Operations!AP647=0,0,Operations!AP644/Operations!AP647)</f>
        <v>0</v>
      </c>
      <c r="AQ663" s="14" t="n">
        <f aca="false">IF(Operations!AQ647=0,0,Operations!AQ644/Operations!AQ647)</f>
        <v>0</v>
      </c>
      <c r="AR663" s="14" t="n">
        <f aca="false">IF(Operations!AR647=0,0,Operations!AR644/Operations!AR647)</f>
        <v>0</v>
      </c>
      <c r="AS663" s="14" t="n">
        <f aca="false">IF(Operations!AS647=0,0,Operations!AS644/Operations!AS647)</f>
        <v>0</v>
      </c>
      <c r="AT663" s="14" t="n">
        <f aca="false">IF(Operations!AT647=0,0,Operations!AT644/Operations!AT647)</f>
        <v>0</v>
      </c>
      <c r="AU663" s="14" t="n">
        <f aca="false">IF(Operations!AU647=0,0,Operations!AU644/Operations!AU647)</f>
        <v>0</v>
      </c>
    </row>
    <row r="664" customFormat="false" ht="15" hidden="false" customHeight="false" outlineLevel="0" collapsed="false">
      <c r="D664" s="0" t="s">
        <v>664</v>
      </c>
      <c r="E664" s="0" t="s">
        <v>458</v>
      </c>
      <c r="J664" s="14" t="n">
        <f aca="false">IF(Operations!J647=0,0,Operations!J645/Operations!J647)</f>
        <v>0</v>
      </c>
      <c r="K664" s="14" t="n">
        <f aca="false">IF(Operations!K647=0,0,Operations!K645/Operations!K647)</f>
        <v>0</v>
      </c>
      <c r="L664" s="14" t="n">
        <f aca="false">IF(Operations!L647=0,0,Operations!L645/Operations!L647)</f>
        <v>0</v>
      </c>
      <c r="M664" s="14" t="n">
        <f aca="false">IF(Operations!M647=0,0,Operations!M645/Operations!M647)</f>
        <v>0</v>
      </c>
      <c r="N664" s="14" t="n">
        <f aca="false">IF(Operations!N647=0,0,Operations!N645/Operations!N647)</f>
        <v>0</v>
      </c>
      <c r="O664" s="14" t="n">
        <f aca="false">IF(Operations!O647=0,0,Operations!O645/Operations!O647)</f>
        <v>0</v>
      </c>
      <c r="P664" s="14" t="n">
        <f aca="false">IF(Operations!P647=0,0,Operations!P645/Operations!P647)</f>
        <v>0</v>
      </c>
      <c r="Q664" s="14" t="n">
        <f aca="false">IF(Operations!Q647=0,0,Operations!Q645/Operations!Q647)</f>
        <v>0</v>
      </c>
      <c r="R664" s="14" t="n">
        <f aca="false">IF(Operations!R647=0,0,Operations!R645/Operations!R647)</f>
        <v>0</v>
      </c>
      <c r="S664" s="14" t="n">
        <f aca="false">IF(Operations!S647=0,0,Operations!S645/Operations!S647)</f>
        <v>0</v>
      </c>
      <c r="T664" s="14" t="n">
        <f aca="false">IF(Operations!T647=0,0,Operations!T645/Operations!T647)</f>
        <v>0</v>
      </c>
      <c r="U664" s="14" t="n">
        <f aca="false">IF(Operations!U647=0,0,Operations!U645/Operations!U647)</f>
        <v>0</v>
      </c>
      <c r="V664" s="14" t="n">
        <f aca="false">IF(Operations!V647=0,0,Operations!V645/Operations!V647)</f>
        <v>0</v>
      </c>
      <c r="W664" s="14" t="n">
        <f aca="false">IF(Operations!W647=0,0,Operations!W645/Operations!W647)</f>
        <v>0</v>
      </c>
      <c r="X664" s="14" t="n">
        <f aca="false">IF(Operations!X647=0,0,Operations!X645/Operations!X647)</f>
        <v>0</v>
      </c>
      <c r="Y664" s="14" t="n">
        <f aca="false">IF(Operations!Y647=0,0,Operations!Y645/Operations!Y647)</f>
        <v>0</v>
      </c>
      <c r="Z664" s="14" t="n">
        <f aca="false">IF(Operations!Z647=0,0,Operations!Z645/Operations!Z647)</f>
        <v>0</v>
      </c>
      <c r="AA664" s="14" t="n">
        <f aca="false">IF(Operations!AA647=0,0,Operations!AA645/Operations!AA647)</f>
        <v>0</v>
      </c>
      <c r="AB664" s="14" t="n">
        <f aca="false">IF(Operations!AB647=0,0,Operations!AB645/Operations!AB647)</f>
        <v>0</v>
      </c>
      <c r="AC664" s="14" t="n">
        <f aca="false">IF(Operations!AC647=0,0,Operations!AC645/Operations!AC647)</f>
        <v>0</v>
      </c>
      <c r="AD664" s="14" t="n">
        <f aca="false">IF(Operations!AD647=0,0,Operations!AD645/Operations!AD647)</f>
        <v>0</v>
      </c>
      <c r="AE664" s="14" t="n">
        <f aca="false">IF(Operations!AE647=0,0,Operations!AE645/Operations!AE647)</f>
        <v>0</v>
      </c>
      <c r="AF664" s="14" t="n">
        <f aca="false">IF(Operations!AF647=0,0,Operations!AF645/Operations!AF647)</f>
        <v>0</v>
      </c>
      <c r="AG664" s="14" t="n">
        <f aca="false">IF(Operations!AG647=0,0,Operations!AG645/Operations!AG647)</f>
        <v>0</v>
      </c>
      <c r="AH664" s="14" t="n">
        <f aca="false">IF(Operations!AH647=0,0,Operations!AH645/Operations!AH647)</f>
        <v>0</v>
      </c>
      <c r="AI664" s="14" t="n">
        <f aca="false">IF(Operations!AI647=0,0,Operations!AI645/Operations!AI647)</f>
        <v>0</v>
      </c>
      <c r="AJ664" s="14" t="n">
        <f aca="false">IF(Operations!AJ647=0,0,Operations!AJ645/Operations!AJ647)</f>
        <v>0</v>
      </c>
      <c r="AK664" s="14" t="n">
        <f aca="false">IF(Operations!AK647=0,0,Operations!AK645/Operations!AK647)</f>
        <v>0</v>
      </c>
      <c r="AL664" s="14" t="n">
        <f aca="false">IF(Operations!AL647=0,0,Operations!AL645/Operations!AL647)</f>
        <v>0</v>
      </c>
      <c r="AM664" s="14" t="n">
        <f aca="false">IF(Operations!AM647=0,0,Operations!AM645/Operations!AM647)</f>
        <v>0</v>
      </c>
      <c r="AN664" s="14" t="n">
        <f aca="false">IF(Operations!AN647=0,0,Operations!AN645/Operations!AN647)</f>
        <v>0</v>
      </c>
      <c r="AO664" s="14" t="n">
        <f aca="false">IF(Operations!AO647=0,0,Operations!AO645/Operations!AO647)</f>
        <v>0</v>
      </c>
      <c r="AP664" s="14" t="n">
        <f aca="false">IF(Operations!AP647=0,0,Operations!AP645/Operations!AP647)</f>
        <v>0</v>
      </c>
      <c r="AQ664" s="14" t="n">
        <f aca="false">IF(Operations!AQ647=0,0,Operations!AQ645/Operations!AQ647)</f>
        <v>0</v>
      </c>
      <c r="AR664" s="14" t="n">
        <f aca="false">IF(Operations!AR647=0,0,Operations!AR645/Operations!AR647)</f>
        <v>0</v>
      </c>
      <c r="AS664" s="14" t="n">
        <f aca="false">IF(Operations!AS647=0,0,Operations!AS645/Operations!AS647)</f>
        <v>0</v>
      </c>
      <c r="AT664" s="14" t="n">
        <f aca="false">IF(Operations!AT647=0,0,Operations!AT645/Operations!AT647)</f>
        <v>0</v>
      </c>
      <c r="AU664" s="14" t="n">
        <f aca="false">IF(Operations!AU647=0,0,Operations!AU645/Operations!AU647)</f>
        <v>0</v>
      </c>
    </row>
    <row r="665" customFormat="false" ht="15" hidden="false" customHeight="false" outlineLevel="0" collapsed="false">
      <c r="D665" s="0" t="s">
        <v>665</v>
      </c>
      <c r="E665" s="0" t="s">
        <v>458</v>
      </c>
      <c r="J665" s="14" t="n">
        <f aca="false">1-Operations!J663-Operations!J664</f>
        <v>-0.0843488705017239</v>
      </c>
      <c r="K665" s="14" t="n">
        <f aca="false">1-Operations!K663-Operations!K664</f>
        <v>-0.0681649562731237</v>
      </c>
      <c r="L665" s="14" t="n">
        <f aca="false">1-Operations!L663-Operations!L664</f>
        <v>-0.0324031498342074</v>
      </c>
      <c r="M665" s="14" t="n">
        <f aca="false">1-Operations!M663-Operations!M664</f>
        <v>-0.0432974823602184</v>
      </c>
      <c r="N665" s="14" t="n">
        <f aca="false">1-Operations!N663-Operations!N664</f>
        <v>-0.0487739775715259</v>
      </c>
      <c r="O665" s="14" t="n">
        <f aca="false">1-Operations!O663-Operations!O664</f>
        <v>-0.0518798471454285</v>
      </c>
      <c r="P665" s="14" t="n">
        <f aca="false">1-Operations!P663-Operations!P664</f>
        <v>-0.0539606668691079</v>
      </c>
      <c r="Q665" s="14" t="n">
        <f aca="false">1-Operations!Q663-Operations!Q664</f>
        <v>-0.0554686083549756</v>
      </c>
      <c r="R665" s="14" t="n">
        <f aca="false">1-Operations!R663-Operations!R664</f>
        <v>-0.0570973783681361</v>
      </c>
      <c r="S665" s="14" t="n">
        <f aca="false">1-Operations!S663-Operations!S664</f>
        <v>-0.0583105797192034</v>
      </c>
      <c r="T665" s="14" t="n">
        <f aca="false">1-Operations!T663-Operations!T664</f>
        <v>-0.0595499807797251</v>
      </c>
      <c r="U665" s="14" t="n">
        <f aca="false">1-Operations!U663-Operations!U664</f>
        <v>0.530005862975864</v>
      </c>
      <c r="V665" s="14" t="n">
        <f aca="false">1-Operations!V663-Operations!V664</f>
        <v>1</v>
      </c>
      <c r="W665" s="14" t="n">
        <f aca="false">1-Operations!W663-Operations!W664</f>
        <v>1</v>
      </c>
      <c r="X665" s="14" t="n">
        <f aca="false">1-Operations!X663-Operations!X664</f>
        <v>1</v>
      </c>
      <c r="Y665" s="14" t="n">
        <f aca="false">1-Operations!Y663-Operations!Y664</f>
        <v>1</v>
      </c>
      <c r="Z665" s="14" t="n">
        <f aca="false">1-Operations!Z663-Operations!Z664</f>
        <v>1</v>
      </c>
      <c r="AA665" s="14" t="n">
        <f aca="false">1-Operations!AA663-Operations!AA664</f>
        <v>1</v>
      </c>
      <c r="AB665" s="14" t="n">
        <f aca="false">1-Operations!AB663-Operations!AB664</f>
        <v>1</v>
      </c>
      <c r="AC665" s="14" t="n">
        <f aca="false">1-Operations!AC663-Operations!AC664</f>
        <v>1</v>
      </c>
      <c r="AD665" s="14" t="n">
        <f aca="false">1-Operations!AD663-Operations!AD664</f>
        <v>1</v>
      </c>
      <c r="AE665" s="14" t="n">
        <f aca="false">1-Operations!AE663-Operations!AE664</f>
        <v>1</v>
      </c>
      <c r="AF665" s="14" t="n">
        <f aca="false">1-Operations!AF663-Operations!AF664</f>
        <v>1</v>
      </c>
      <c r="AG665" s="14" t="n">
        <f aca="false">1-Operations!AG663-Operations!AG664</f>
        <v>1</v>
      </c>
      <c r="AH665" s="14" t="n">
        <f aca="false">1-Operations!AH663-Operations!AH664</f>
        <v>1</v>
      </c>
      <c r="AI665" s="14" t="n">
        <f aca="false">1-Operations!AI663-Operations!AI664</f>
        <v>1</v>
      </c>
      <c r="AJ665" s="14" t="n">
        <f aca="false">1-Operations!AJ663-Operations!AJ664</f>
        <v>1</v>
      </c>
      <c r="AK665" s="14" t="n">
        <f aca="false">1-Operations!AK663-Operations!AK664</f>
        <v>1</v>
      </c>
      <c r="AL665" s="14" t="n">
        <f aca="false">1-Operations!AL663-Operations!AL664</f>
        <v>1</v>
      </c>
      <c r="AM665" s="14" t="n">
        <f aca="false">1-Operations!AM663-Operations!AM664</f>
        <v>1</v>
      </c>
      <c r="AN665" s="14" t="n">
        <f aca="false">1-Operations!AN663-Operations!AN664</f>
        <v>1</v>
      </c>
      <c r="AO665" s="14" t="n">
        <f aca="false">1-Operations!AO663-Operations!AO664</f>
        <v>1</v>
      </c>
      <c r="AP665" s="14" t="n">
        <f aca="false">1-Operations!AP663-Operations!AP664</f>
        <v>1</v>
      </c>
      <c r="AQ665" s="14" t="n">
        <f aca="false">1-Operations!AQ663-Operations!AQ664</f>
        <v>1</v>
      </c>
      <c r="AR665" s="14" t="n">
        <f aca="false">1-Operations!AR663-Operations!AR664</f>
        <v>1</v>
      </c>
      <c r="AS665" s="14" t="n">
        <f aca="false">1-Operations!AS663-Operations!AS664</f>
        <v>1</v>
      </c>
      <c r="AT665" s="14" t="n">
        <f aca="false">1-Operations!AT663-Operations!AT664</f>
        <v>1</v>
      </c>
      <c r="AU665" s="14" t="n">
        <f aca="false">1-Operations!AU663-Operations!AU664</f>
        <v>1</v>
      </c>
    </row>
    <row r="666" customFormat="false" ht="15" hidden="false" customHeight="false" outlineLevel="0" collapsed="false">
      <c r="D666" s="0" t="s">
        <v>666</v>
      </c>
      <c r="E666" s="0" t="s">
        <v>47</v>
      </c>
      <c r="J666" s="20" t="n">
        <f aca="false">Operations!J644*Operations!J630*(1-Operations!J658)</f>
        <v>7.68240672087671</v>
      </c>
      <c r="K666" s="20" t="n">
        <f aca="false">Operations!K644*Operations!K630*(1-Operations!K658)</f>
        <v>9.7789364673</v>
      </c>
      <c r="L666" s="20" t="n">
        <f aca="false">Operations!L644*Operations!L630*(1-Operations!L658)</f>
        <v>9.68500852882178</v>
      </c>
      <c r="M666" s="20" t="n">
        <f aca="false">Operations!M644*Operations!M630*(1-Operations!M658)</f>
        <v>9.5917279183264</v>
      </c>
      <c r="N666" s="20" t="n">
        <f aca="false">Operations!N644*Operations!N630*(1-Operations!N658)</f>
        <v>9.54856514269394</v>
      </c>
      <c r="O666" s="20" t="n">
        <f aca="false">Operations!O644*Operations!O630*(1-Operations!O658)</f>
        <v>10.4040707986875</v>
      </c>
      <c r="P666" s="20" t="n">
        <f aca="false">Operations!P644*Operations!P630*(1-Operations!P658)</f>
        <v>11.2371004301389</v>
      </c>
      <c r="Q666" s="20" t="n">
        <f aca="false">Operations!Q644*Operations!Q630*(1-Operations!Q658)</f>
        <v>11.1865334782033</v>
      </c>
      <c r="R666" s="20" t="n">
        <f aca="false">Operations!R644*Operations!R630*(1-Operations!R658)</f>
        <v>11.1361940775514</v>
      </c>
      <c r="S666" s="20" t="n">
        <f aca="false">Operations!S644*Operations!S630*(1-Operations!S658)</f>
        <v>11.0860812042024</v>
      </c>
      <c r="T666" s="20" t="n">
        <f aca="false">Operations!T644*Operations!T630*(1-Operations!T658)</f>
        <v>11.0361938387835</v>
      </c>
      <c r="U666" s="20" t="n">
        <f aca="false">Operations!U644*Operations!U630*(1-Operations!U658)</f>
        <v>5.44811535599486</v>
      </c>
      <c r="V666" s="20" t="n">
        <f aca="false">Operations!V644*Operations!V630*(1-Operations!V658)</f>
        <v>0</v>
      </c>
      <c r="W666" s="20" t="n">
        <f aca="false">Operations!W644*Operations!W630*(1-Operations!W658)</f>
        <v>0</v>
      </c>
      <c r="X666" s="20" t="n">
        <f aca="false">Operations!X644*Operations!X630*(1-Operations!X658)</f>
        <v>0</v>
      </c>
      <c r="Y666" s="20" t="n">
        <f aca="false">Operations!Y644*Operations!Y630*(1-Operations!Y658)</f>
        <v>0</v>
      </c>
      <c r="Z666" s="20" t="n">
        <f aca="false">Operations!Z644*Operations!Z630*(1-Operations!Z658)</f>
        <v>0</v>
      </c>
      <c r="AA666" s="20" t="n">
        <f aca="false">Operations!AA644*Operations!AA630*(1-Operations!AA658)</f>
        <v>0</v>
      </c>
      <c r="AB666" s="20" t="n">
        <f aca="false">Operations!AB644*Operations!AB630*(1-Operations!AB658)</f>
        <v>0</v>
      </c>
      <c r="AC666" s="20" t="n">
        <f aca="false">Operations!AC644*Operations!AC630*(1-Operations!AC658)</f>
        <v>0</v>
      </c>
      <c r="AD666" s="20" t="n">
        <f aca="false">Operations!AD644*Operations!AD630*(1-Operations!AD658)</f>
        <v>0</v>
      </c>
      <c r="AE666" s="20" t="n">
        <f aca="false">Operations!AE644*Operations!AE630*(1-Operations!AE658)</f>
        <v>0</v>
      </c>
      <c r="AF666" s="20" t="n">
        <f aca="false">Operations!AF644*Operations!AF630*(1-Operations!AF658)</f>
        <v>0</v>
      </c>
      <c r="AG666" s="20" t="n">
        <f aca="false">Operations!AG644*Operations!AG630*(1-Operations!AG658)</f>
        <v>0</v>
      </c>
      <c r="AH666" s="20" t="n">
        <f aca="false">Operations!AH644*Operations!AH630*(1-Operations!AH658)</f>
        <v>0</v>
      </c>
      <c r="AI666" s="20" t="n">
        <f aca="false">Operations!AI644*Operations!AI630*(1-Operations!AI658)</f>
        <v>0</v>
      </c>
      <c r="AJ666" s="20" t="n">
        <f aca="false">Operations!AJ644*Operations!AJ630*(1-Operations!AJ658)</f>
        <v>0</v>
      </c>
      <c r="AK666" s="20" t="n">
        <f aca="false">Operations!AK644*Operations!AK630*(1-Operations!AK658)</f>
        <v>0</v>
      </c>
      <c r="AL666" s="20" t="n">
        <f aca="false">Operations!AL644*Operations!AL630*(1-Operations!AL658)</f>
        <v>0</v>
      </c>
      <c r="AM666" s="20" t="n">
        <f aca="false">Operations!AM644*Operations!AM630*(1-Operations!AM658)</f>
        <v>0</v>
      </c>
      <c r="AN666" s="20" t="n">
        <f aca="false">Operations!AN644*Operations!AN630*(1-Operations!AN658)</f>
        <v>0</v>
      </c>
      <c r="AO666" s="20" t="n">
        <f aca="false">Operations!AO644*Operations!AO630*(1-Operations!AO658)</f>
        <v>0</v>
      </c>
      <c r="AP666" s="20" t="n">
        <f aca="false">Operations!AP644*Operations!AP630*(1-Operations!AP658)</f>
        <v>0</v>
      </c>
      <c r="AQ666" s="20" t="n">
        <f aca="false">Operations!AQ644*Operations!AQ630*(1-Operations!AQ658)</f>
        <v>0</v>
      </c>
      <c r="AR666" s="20" t="n">
        <f aca="false">Operations!AR644*Operations!AR630*(1-Operations!AR658)</f>
        <v>0</v>
      </c>
      <c r="AS666" s="20" t="n">
        <f aca="false">Operations!AS644*Operations!AS630*(1-Operations!AS658)</f>
        <v>0</v>
      </c>
      <c r="AT666" s="20" t="n">
        <f aca="false">Operations!AT644*Operations!AT630*(1-Operations!AT658)</f>
        <v>0</v>
      </c>
      <c r="AU666" s="20" t="n">
        <f aca="false">Operations!AU644*Operations!AU630*(1-Operations!AU658)</f>
        <v>0</v>
      </c>
    </row>
    <row r="667" customFormat="false" ht="15" hidden="false" customHeight="false" outlineLevel="0" collapsed="false">
      <c r="D667" s="0" t="s">
        <v>667</v>
      </c>
      <c r="E667" s="0" t="s">
        <v>47</v>
      </c>
      <c r="J667" s="20" t="n">
        <f aca="false">Operations!J645*Operations!J630*(1-Operations!J658)</f>
        <v>0</v>
      </c>
      <c r="K667" s="20" t="n">
        <f aca="false">Operations!K645*Operations!K630*(1-Operations!K658)</f>
        <v>0</v>
      </c>
      <c r="L667" s="20" t="n">
        <f aca="false">Operations!L645*Operations!L630*(1-Operations!L658)</f>
        <v>0</v>
      </c>
      <c r="M667" s="20" t="n">
        <f aca="false">Operations!M645*Operations!M630*(1-Operations!M658)</f>
        <v>0</v>
      </c>
      <c r="N667" s="20" t="n">
        <f aca="false">Operations!N645*Operations!N630*(1-Operations!N658)</f>
        <v>0</v>
      </c>
      <c r="O667" s="20" t="n">
        <f aca="false">Operations!O645*Operations!O630*(1-Operations!O658)</f>
        <v>0</v>
      </c>
      <c r="P667" s="20" t="n">
        <f aca="false">Operations!P645*Operations!P630*(1-Operations!P658)</f>
        <v>0</v>
      </c>
      <c r="Q667" s="20" t="n">
        <f aca="false">Operations!Q645*Operations!Q630*(1-Operations!Q658)</f>
        <v>0</v>
      </c>
      <c r="R667" s="20" t="n">
        <f aca="false">Operations!R645*Operations!R630*(1-Operations!R658)</f>
        <v>0</v>
      </c>
      <c r="S667" s="20" t="n">
        <f aca="false">Operations!S645*Operations!S630*(1-Operations!S658)</f>
        <v>0</v>
      </c>
      <c r="T667" s="20" t="n">
        <f aca="false">Operations!T645*Operations!T630*(1-Operations!T658)</f>
        <v>0</v>
      </c>
      <c r="U667" s="20" t="n">
        <f aca="false">Operations!U645*Operations!U630*(1-Operations!U658)</f>
        <v>0</v>
      </c>
      <c r="V667" s="20" t="n">
        <f aca="false">Operations!V645*Operations!V630*(1-Operations!V658)</f>
        <v>0</v>
      </c>
      <c r="W667" s="20" t="n">
        <f aca="false">Operations!W645*Operations!W630*(1-Operations!W658)</f>
        <v>0</v>
      </c>
      <c r="X667" s="20" t="n">
        <f aca="false">Operations!X645*Operations!X630*(1-Operations!X658)</f>
        <v>0</v>
      </c>
      <c r="Y667" s="20" t="n">
        <f aca="false">Operations!Y645*Operations!Y630*(1-Operations!Y658)</f>
        <v>0</v>
      </c>
      <c r="Z667" s="20" t="n">
        <f aca="false">Operations!Z645*Operations!Z630*(1-Operations!Z658)</f>
        <v>0</v>
      </c>
      <c r="AA667" s="20" t="n">
        <f aca="false">Operations!AA645*Operations!AA630*(1-Operations!AA658)</f>
        <v>0</v>
      </c>
      <c r="AB667" s="20" t="n">
        <f aca="false">Operations!AB645*Operations!AB630*(1-Operations!AB658)</f>
        <v>0</v>
      </c>
      <c r="AC667" s="20" t="n">
        <f aca="false">Operations!AC645*Operations!AC630*(1-Operations!AC658)</f>
        <v>0</v>
      </c>
      <c r="AD667" s="20" t="n">
        <f aca="false">Operations!AD645*Operations!AD630*(1-Operations!AD658)</f>
        <v>0</v>
      </c>
      <c r="AE667" s="20" t="n">
        <f aca="false">Operations!AE645*Operations!AE630*(1-Operations!AE658)</f>
        <v>0</v>
      </c>
      <c r="AF667" s="20" t="n">
        <f aca="false">Operations!AF645*Operations!AF630*(1-Operations!AF658)</f>
        <v>0</v>
      </c>
      <c r="AG667" s="20" t="n">
        <f aca="false">Operations!AG645*Operations!AG630*(1-Operations!AG658)</f>
        <v>0</v>
      </c>
      <c r="AH667" s="20" t="n">
        <f aca="false">Operations!AH645*Operations!AH630*(1-Operations!AH658)</f>
        <v>0</v>
      </c>
      <c r="AI667" s="20" t="n">
        <f aca="false">Operations!AI645*Operations!AI630*(1-Operations!AI658)</f>
        <v>0</v>
      </c>
      <c r="AJ667" s="20" t="n">
        <f aca="false">Operations!AJ645*Operations!AJ630*(1-Operations!AJ658)</f>
        <v>0</v>
      </c>
      <c r="AK667" s="20" t="n">
        <f aca="false">Operations!AK645*Operations!AK630*(1-Operations!AK658)</f>
        <v>0</v>
      </c>
      <c r="AL667" s="20" t="n">
        <f aca="false">Operations!AL645*Operations!AL630*(1-Operations!AL658)</f>
        <v>0</v>
      </c>
      <c r="AM667" s="20" t="n">
        <f aca="false">Operations!AM645*Operations!AM630*(1-Operations!AM658)</f>
        <v>0</v>
      </c>
      <c r="AN667" s="20" t="n">
        <f aca="false">Operations!AN645*Operations!AN630*(1-Operations!AN658)</f>
        <v>0</v>
      </c>
      <c r="AO667" s="20" t="n">
        <f aca="false">Operations!AO645*Operations!AO630*(1-Operations!AO658)</f>
        <v>0</v>
      </c>
      <c r="AP667" s="20" t="n">
        <f aca="false">Operations!AP645*Operations!AP630*(1-Operations!AP658)</f>
        <v>0</v>
      </c>
      <c r="AQ667" s="20" t="n">
        <f aca="false">Operations!AQ645*Operations!AQ630*(1-Operations!AQ658)</f>
        <v>0</v>
      </c>
      <c r="AR667" s="20" t="n">
        <f aca="false">Operations!AR645*Operations!AR630*(1-Operations!AR658)</f>
        <v>0</v>
      </c>
      <c r="AS667" s="20" t="n">
        <f aca="false">Operations!AS645*Operations!AS630*(1-Operations!AS658)</f>
        <v>0</v>
      </c>
      <c r="AT667" s="20" t="n">
        <f aca="false">Operations!AT645*Operations!AT630*(1-Operations!AT658)</f>
        <v>0</v>
      </c>
      <c r="AU667" s="20" t="n">
        <f aca="false">Operations!AU645*Operations!AU630*(1-Operations!AU658)</f>
        <v>0</v>
      </c>
    </row>
    <row r="668" customFormat="false" ht="15" hidden="false" customHeight="false" outlineLevel="0" collapsed="false">
      <c r="D668" s="0" t="s">
        <v>668</v>
      </c>
      <c r="E668" s="0" t="s">
        <v>47</v>
      </c>
      <c r="J668" s="20" t="n">
        <f aca="false">Operations!J648*Operations!J630*(1-Operations!J658)</f>
        <v>-0.597595798980244</v>
      </c>
      <c r="K668" s="20" t="n">
        <f aca="false">Operations!K648*Operations!K630*(1-Operations!K658)</f>
        <v>-0.624042918442943</v>
      </c>
      <c r="L668" s="20" t="n">
        <f aca="false">Operations!L648*Operations!L630*(1-Operations!L658)</f>
        <v>-0.30397503393455</v>
      </c>
      <c r="M668" s="20" t="n">
        <f aca="false">Operations!M648*Operations!M630*(1-Operations!M658)</f>
        <v>-0.398062563525254</v>
      </c>
      <c r="N668" s="20" t="n">
        <f aca="false">Operations!N648*Operations!N630*(1-Operations!N658)</f>
        <v>-0.444062793385095</v>
      </c>
      <c r="O668" s="20" t="n">
        <f aca="false">Operations!O648*Operations!O630*(1-Operations!O658)</f>
        <v>-0.513139979048862</v>
      </c>
      <c r="P668" s="20" t="n">
        <f aca="false">Operations!P648*Operations!P630*(1-Operations!P658)</f>
        <v>-0.575316946776288</v>
      </c>
      <c r="Q668" s="20" t="n">
        <f aca="false">Operations!Q648*Operations!Q630*(1-Operations!Q658)</f>
        <v>-0.587891898859388</v>
      </c>
      <c r="R668" s="20" t="n">
        <f aca="false">Operations!R648*Operations!R630*(1-Operations!R658)</f>
        <v>-0.601503229351035</v>
      </c>
      <c r="S668" s="20" t="n">
        <f aca="false">Operations!S648*Operations!S630*(1-Operations!S658)</f>
        <v>-0.610818633224589</v>
      </c>
      <c r="T668" s="20" t="n">
        <f aca="false">Operations!T648*Operations!T630*(1-Operations!T658)</f>
        <v>-0.620268173189186</v>
      </c>
      <c r="U668" s="20" t="n">
        <f aca="false">Operations!U648*Operations!U630*(1-Operations!U658)</f>
        <v>6.14376404592856</v>
      </c>
      <c r="V668" s="20" t="n">
        <f aca="false">Operations!V648*Operations!V630*(1-Operations!V658)</f>
        <v>12.5780125266061</v>
      </c>
      <c r="W668" s="20" t="n">
        <f aca="false">Operations!W648*Operations!W630*(1-Operations!W658)</f>
        <v>12.3385508467198</v>
      </c>
      <c r="X668" s="20" t="n">
        <f aca="false">Operations!X648*Operations!X630*(1-Operations!X658)</f>
        <v>12.527828962305</v>
      </c>
      <c r="Y668" s="20" t="n">
        <f aca="false">Operations!Y648*Operations!Y630*(1-Operations!Y658)</f>
        <v>12.7215668767536</v>
      </c>
      <c r="Z668" s="20" t="n">
        <f aca="false">Operations!Z648*Operations!Z630*(1-Operations!Z658)</f>
        <v>12.9175636603354</v>
      </c>
      <c r="AA668" s="20" t="n">
        <f aca="false">Operations!AA648*Operations!AA630*(1-Operations!AA658)</f>
        <v>13.1157759071403</v>
      </c>
      <c r="AB668" s="20" t="n">
        <f aca="false">Operations!AB648*Operations!AB630*(1-Operations!AB658)</f>
        <v>13.3182696320061</v>
      </c>
      <c r="AC668" s="20" t="n">
        <f aca="false">Operations!AC648*Operations!AC630*(1-Operations!AC658)</f>
        <v>13.5228743172767</v>
      </c>
      <c r="AD668" s="20" t="n">
        <f aca="false">Operations!AD648*Operations!AD630*(1-Operations!AD658)</f>
        <v>13.7316380197667</v>
      </c>
      <c r="AE668" s="20" t="n">
        <f aca="false">Operations!AE648*Operations!AE630*(1-Operations!AE658)</f>
        <v>13.9424103031644</v>
      </c>
      <c r="AF668" s="20" t="n">
        <f aca="false">Operations!AF648*Operations!AF630*(1-Operations!AF658)</f>
        <v>14.1572214202699</v>
      </c>
      <c r="AG668" s="20" t="n">
        <f aca="false">Operations!AG648*Operations!AG630*(1-Operations!AG658)</f>
        <v>14.3760027911167</v>
      </c>
      <c r="AH668" s="20" t="n">
        <f aca="false">Operations!AH648*Operations!AH630*(1-Operations!AH658)</f>
        <v>14.5966338132984</v>
      </c>
      <c r="AI668" s="20" t="n">
        <f aca="false">Operations!AI648*Operations!AI630*(1-Operations!AI658)</f>
        <v>14.8211183821035</v>
      </c>
      <c r="AJ668" s="20" t="n">
        <f aca="false">Operations!AJ648*Operations!AJ630*(1-Operations!AJ658)</f>
        <v>15.0493897613047</v>
      </c>
      <c r="AK668" s="20" t="n">
        <f aca="false">Operations!AK648*Operations!AK630*(1-Operations!AK658)</f>
        <v>15.2813818614059</v>
      </c>
      <c r="AL668" s="20" t="n">
        <f aca="false">Operations!AL648*Operations!AL630*(1-Operations!AL658)</f>
        <v>15.5170292346142</v>
      </c>
      <c r="AM668" s="20" t="n">
        <f aca="false">Operations!AM648*Operations!AM630*(1-Operations!AM658)</f>
        <v>15.7562670698469</v>
      </c>
      <c r="AN668" s="20" t="n">
        <f aca="false">Operations!AN648*Operations!AN630*(1-Operations!AN658)</f>
        <v>15.9990311877729</v>
      </c>
      <c r="AO668" s="20" t="n">
        <f aca="false">Operations!AO648*Operations!AO630*(1-Operations!AO658)</f>
        <v>16.245258035888</v>
      </c>
      <c r="AP668" s="20" t="n">
        <f aca="false">Operations!AP648*Operations!AP630*(1-Operations!AP658)</f>
        <v>16.4948846836247</v>
      </c>
      <c r="AQ668" s="20" t="n">
        <f aca="false">Operations!AQ648*Operations!AQ630*(1-Operations!AQ658)</f>
        <v>16.7498198483083</v>
      </c>
      <c r="AR668" s="20" t="n">
        <f aca="false">Operations!AR648*Operations!AR630*(1-Operations!AR658)</f>
        <v>8.45753654827435</v>
      </c>
      <c r="AS668" s="20" t="n">
        <f aca="false">Operations!AS648*Operations!AS630*(1-Operations!AS658)</f>
        <v>0</v>
      </c>
      <c r="AT668" s="20" t="n">
        <f aca="false">Operations!AT648*Operations!AT630*(1-Operations!AT658)</f>
        <v>0</v>
      </c>
      <c r="AU668" s="20" t="n">
        <f aca="false">Operations!AU648*Operations!AU630*(1-Operations!AU658)</f>
        <v>0</v>
      </c>
    </row>
    <row r="669" customFormat="false" ht="15" hidden="false" customHeight="false" outlineLevel="0" collapsed="false">
      <c r="D669" s="0" t="s">
        <v>669</v>
      </c>
      <c r="E669" s="0" t="s">
        <v>47</v>
      </c>
      <c r="J669" s="20" t="n">
        <f aca="false">Operations!J647*Operations!J630*(1-Operations!J658)</f>
        <v>7.08481092189647</v>
      </c>
      <c r="K669" s="20" t="n">
        <f aca="false">Operations!K647*Operations!K630*(1-Operations!K658)</f>
        <v>9.15489354885706</v>
      </c>
      <c r="L669" s="20" t="n">
        <f aca="false">Operations!L647*Operations!L630*(1-Operations!L658)</f>
        <v>9.38103349488723</v>
      </c>
      <c r="M669" s="20" t="n">
        <f aca="false">Operations!M647*Operations!M630*(1-Operations!M658)</f>
        <v>9.19366535480115</v>
      </c>
      <c r="N669" s="20" t="n">
        <f aca="false">Operations!N647*Operations!N630*(1-Operations!N658)</f>
        <v>9.10450234930884</v>
      </c>
      <c r="O669" s="20" t="n">
        <f aca="false">Operations!O647*Operations!O630*(1-Operations!O658)</f>
        <v>9.89093081963867</v>
      </c>
      <c r="P669" s="20" t="n">
        <f aca="false">Operations!P647*Operations!P630*(1-Operations!P658)</f>
        <v>10.6617834833626</v>
      </c>
      <c r="Q669" s="20" t="n">
        <f aca="false">Operations!Q647*Operations!Q630*(1-Operations!Q658)</f>
        <v>10.5986415793439</v>
      </c>
      <c r="R669" s="20" t="n">
        <f aca="false">Operations!R647*Operations!R630*(1-Operations!R658)</f>
        <v>10.5346908482003</v>
      </c>
      <c r="S669" s="20" t="n">
        <f aca="false">Operations!S647*Operations!S630*(1-Operations!S658)</f>
        <v>10.4752625709778</v>
      </c>
      <c r="T669" s="20" t="n">
        <f aca="false">Operations!T647*Operations!T630*(1-Operations!T658)</f>
        <v>10.4159256655943</v>
      </c>
      <c r="U669" s="20" t="n">
        <f aca="false">Operations!U647*Operations!U630*(1-Operations!U658)</f>
        <v>11.5918794019234</v>
      </c>
      <c r="V669" s="20" t="n">
        <f aca="false">Operations!V647*Operations!V630*(1-Operations!V658)</f>
        <v>12.5780125266061</v>
      </c>
      <c r="W669" s="20" t="n">
        <f aca="false">Operations!W647*Operations!W630*(1-Operations!W658)</f>
        <v>12.3385508467198</v>
      </c>
      <c r="X669" s="20" t="n">
        <f aca="false">Operations!X647*Operations!X630*(1-Operations!X658)</f>
        <v>12.527828962305</v>
      </c>
      <c r="Y669" s="20" t="n">
        <f aca="false">Operations!Y647*Operations!Y630*(1-Operations!Y658)</f>
        <v>12.7215668767536</v>
      </c>
      <c r="Z669" s="20" t="n">
        <f aca="false">Operations!Z647*Operations!Z630*(1-Operations!Z658)</f>
        <v>12.9175636603354</v>
      </c>
      <c r="AA669" s="20" t="n">
        <f aca="false">Operations!AA647*Operations!AA630*(1-Operations!AA658)</f>
        <v>13.1157759071403</v>
      </c>
      <c r="AB669" s="20" t="n">
        <f aca="false">Operations!AB647*Operations!AB630*(1-Operations!AB658)</f>
        <v>13.3182696320061</v>
      </c>
      <c r="AC669" s="20" t="n">
        <f aca="false">Operations!AC647*Operations!AC630*(1-Operations!AC658)</f>
        <v>13.5228743172767</v>
      </c>
      <c r="AD669" s="20" t="n">
        <f aca="false">Operations!AD647*Operations!AD630*(1-Operations!AD658)</f>
        <v>13.7316380197667</v>
      </c>
      <c r="AE669" s="20" t="n">
        <f aca="false">Operations!AE647*Operations!AE630*(1-Operations!AE658)</f>
        <v>13.9424103031644</v>
      </c>
      <c r="AF669" s="20" t="n">
        <f aca="false">Operations!AF647*Operations!AF630*(1-Operations!AF658)</f>
        <v>14.1572214202699</v>
      </c>
      <c r="AG669" s="20" t="n">
        <f aca="false">Operations!AG647*Operations!AG630*(1-Operations!AG658)</f>
        <v>14.3760027911167</v>
      </c>
      <c r="AH669" s="20" t="n">
        <f aca="false">Operations!AH647*Operations!AH630*(1-Operations!AH658)</f>
        <v>14.5966338132984</v>
      </c>
      <c r="AI669" s="20" t="n">
        <f aca="false">Operations!AI647*Operations!AI630*(1-Operations!AI658)</f>
        <v>14.8211183821035</v>
      </c>
      <c r="AJ669" s="20" t="n">
        <f aca="false">Operations!AJ647*Operations!AJ630*(1-Operations!AJ658)</f>
        <v>15.0493897613047</v>
      </c>
      <c r="AK669" s="20" t="n">
        <f aca="false">Operations!AK647*Operations!AK630*(1-Operations!AK658)</f>
        <v>15.2813818614059</v>
      </c>
      <c r="AL669" s="20" t="n">
        <f aca="false">Operations!AL647*Operations!AL630*(1-Operations!AL658)</f>
        <v>15.5170292346142</v>
      </c>
      <c r="AM669" s="20" t="n">
        <f aca="false">Operations!AM647*Operations!AM630*(1-Operations!AM658)</f>
        <v>15.7562670698469</v>
      </c>
      <c r="AN669" s="20" t="n">
        <f aca="false">Operations!AN647*Operations!AN630*(1-Operations!AN658)</f>
        <v>15.9990311877729</v>
      </c>
      <c r="AO669" s="20" t="n">
        <f aca="false">Operations!AO647*Operations!AO630*(1-Operations!AO658)</f>
        <v>16.245258035888</v>
      </c>
      <c r="AP669" s="20" t="n">
        <f aca="false">Operations!AP647*Operations!AP630*(1-Operations!AP658)</f>
        <v>16.4948846836247</v>
      </c>
      <c r="AQ669" s="20" t="n">
        <f aca="false">Operations!AQ647*Operations!AQ630*(1-Operations!AQ658)</f>
        <v>16.7498198483083</v>
      </c>
      <c r="AR669" s="20" t="n">
        <f aca="false">Operations!AR647*Operations!AR630*(1-Operations!AR658)</f>
        <v>8.45753654827435</v>
      </c>
      <c r="AS669" s="20" t="n">
        <f aca="false">Operations!AS647*Operations!AS630*(1-Operations!AS658)</f>
        <v>0</v>
      </c>
      <c r="AT669" s="20" t="n">
        <f aca="false">Operations!AT647*Operations!AT630*(1-Operations!AT658)</f>
        <v>0</v>
      </c>
      <c r="AU669" s="20" t="n">
        <f aca="false">Operations!AU647*Operations!AU630*(1-Operations!AU658)</f>
        <v>0</v>
      </c>
    </row>
    <row r="670" customFormat="false" ht="15" hidden="false" customHeight="false" outlineLevel="0" collapsed="false">
      <c r="D670" s="19" t="s">
        <v>670</v>
      </c>
    </row>
    <row r="671" customFormat="false" ht="15" hidden="false" customHeight="false" outlineLevel="0" collapsed="false">
      <c r="D671" s="0" t="s">
        <v>671</v>
      </c>
      <c r="E671" s="0" t="s">
        <v>458</v>
      </c>
      <c r="J671" s="14" t="n">
        <f aca="false">MAX(0,MIN(Inputs!$F$145,Time!J$6)-MAX(Inputs!$F$144,Time!J$5))/Time!J$7</f>
        <v>0</v>
      </c>
      <c r="K671" s="14" t="n">
        <f aca="false">MAX(0,MIN(Inputs!$F$145,Time!K$6)-MAX(Inputs!$F$144,Time!K$5))/Time!K$7</f>
        <v>0.465753424657534</v>
      </c>
      <c r="L671" s="14" t="n">
        <f aca="false">MAX(0,MIN(Inputs!$F$145,Time!L$6)-MAX(Inputs!$F$144,Time!L$5))/Time!L$7</f>
        <v>1</v>
      </c>
      <c r="M671" s="14" t="n">
        <f aca="false">MAX(0,MIN(Inputs!$F$145,Time!M$6)-MAX(Inputs!$F$144,Time!M$5))/Time!M$7</f>
        <v>1</v>
      </c>
      <c r="N671" s="14" t="n">
        <f aca="false">MAX(0,MIN(Inputs!$F$145,Time!N$6)-MAX(Inputs!$F$144,Time!N$5))/Time!N$7</f>
        <v>1</v>
      </c>
      <c r="O671" s="14" t="n">
        <f aca="false">MAX(0,MIN(Inputs!$F$145,Time!O$6)-MAX(Inputs!$F$144,Time!O$5))/Time!O$7</f>
        <v>1</v>
      </c>
      <c r="P671" s="14" t="n">
        <f aca="false">MAX(0,MIN(Inputs!$F$145,Time!P$6)-MAX(Inputs!$F$144,Time!P$5))/Time!P$7</f>
        <v>1</v>
      </c>
      <c r="Q671" s="14" t="n">
        <f aca="false">MAX(0,MIN(Inputs!$F$145,Time!Q$6)-MAX(Inputs!$F$144,Time!Q$5))/Time!Q$7</f>
        <v>1</v>
      </c>
      <c r="R671" s="14" t="n">
        <f aca="false">MAX(0,MIN(Inputs!$F$145,Time!R$6)-MAX(Inputs!$F$144,Time!R$5))/Time!R$7</f>
        <v>1</v>
      </c>
      <c r="S671" s="14" t="n">
        <f aca="false">MAX(0,MIN(Inputs!$F$145,Time!S$6)-MAX(Inputs!$F$144,Time!S$5))/Time!S$7</f>
        <v>1</v>
      </c>
      <c r="T671" s="14" t="n">
        <f aca="false">MAX(0,MIN(Inputs!$F$145,Time!T$6)-MAX(Inputs!$F$144,Time!T$5))/Time!T$7</f>
        <v>1</v>
      </c>
      <c r="U671" s="14" t="n">
        <f aca="false">MAX(0,MIN(Inputs!$F$145,Time!U$6)-MAX(Inputs!$F$144,Time!U$5))/Time!U$7</f>
        <v>1</v>
      </c>
      <c r="V671" s="14" t="n">
        <f aca="false">MAX(0,MIN(Inputs!$F$145,Time!V$6)-MAX(Inputs!$F$144,Time!V$5))/Time!V$7</f>
        <v>1</v>
      </c>
      <c r="W671" s="14" t="n">
        <f aca="false">MAX(0,MIN(Inputs!$F$145,Time!W$6)-MAX(Inputs!$F$144,Time!W$5))/Time!W$7</f>
        <v>1</v>
      </c>
      <c r="X671" s="14" t="n">
        <f aca="false">MAX(0,MIN(Inputs!$F$145,Time!X$6)-MAX(Inputs!$F$144,Time!X$5))/Time!X$7</f>
        <v>1</v>
      </c>
      <c r="Y671" s="14" t="n">
        <f aca="false">MAX(0,MIN(Inputs!$F$145,Time!Y$6)-MAX(Inputs!$F$144,Time!Y$5))/Time!Y$7</f>
        <v>1</v>
      </c>
      <c r="Z671" s="14" t="n">
        <f aca="false">MAX(0,MIN(Inputs!$F$145,Time!Z$6)-MAX(Inputs!$F$144,Time!Z$5))/Time!Z$7</f>
        <v>1</v>
      </c>
      <c r="AA671" s="14" t="n">
        <f aca="false">MAX(0,MIN(Inputs!$F$145,Time!AA$6)-MAX(Inputs!$F$144,Time!AA$5))/Time!AA$7</f>
        <v>1</v>
      </c>
      <c r="AB671" s="14" t="n">
        <f aca="false">MAX(0,MIN(Inputs!$F$145,Time!AB$6)-MAX(Inputs!$F$144,Time!AB$5))/Time!AB$7</f>
        <v>1</v>
      </c>
      <c r="AC671" s="14" t="n">
        <f aca="false">MAX(0,MIN(Inputs!$F$145,Time!AC$6)-MAX(Inputs!$F$144,Time!AC$5))/Time!AC$7</f>
        <v>1</v>
      </c>
      <c r="AD671" s="14" t="n">
        <f aca="false">MAX(0,MIN(Inputs!$F$145,Time!AD$6)-MAX(Inputs!$F$144,Time!AD$5))/Time!AD$7</f>
        <v>1</v>
      </c>
      <c r="AE671" s="14" t="n">
        <f aca="false">MAX(0,MIN(Inputs!$F$145,Time!AE$6)-MAX(Inputs!$F$144,Time!AE$5))/Time!AE$7</f>
        <v>0.580821917808219</v>
      </c>
      <c r="AF671" s="14" t="n">
        <f aca="false">MAX(0,MIN(Inputs!$F$145,Time!AF$6)-MAX(Inputs!$F$144,Time!AF$5))/Time!AF$7</f>
        <v>0</v>
      </c>
      <c r="AG671" s="14" t="n">
        <f aca="false">MAX(0,MIN(Inputs!$F$145,Time!AG$6)-MAX(Inputs!$F$144,Time!AG$5))/Time!AG$7</f>
        <v>0</v>
      </c>
      <c r="AH671" s="14" t="n">
        <f aca="false">MAX(0,MIN(Inputs!$F$145,Time!AH$6)-MAX(Inputs!$F$144,Time!AH$5))/Time!AH$7</f>
        <v>0</v>
      </c>
      <c r="AI671" s="14" t="n">
        <f aca="false">MAX(0,MIN(Inputs!$F$145,Time!AI$6)-MAX(Inputs!$F$144,Time!AI$5))/Time!AI$7</f>
        <v>0</v>
      </c>
      <c r="AJ671" s="14" t="n">
        <f aca="false">MAX(0,MIN(Inputs!$F$145,Time!AJ$6)-MAX(Inputs!$F$144,Time!AJ$5))/Time!AJ$7</f>
        <v>0</v>
      </c>
      <c r="AK671" s="14" t="n">
        <f aca="false">MAX(0,MIN(Inputs!$F$145,Time!AK$6)-MAX(Inputs!$F$144,Time!AK$5))/Time!AK$7</f>
        <v>0</v>
      </c>
      <c r="AL671" s="14" t="n">
        <f aca="false">MAX(0,MIN(Inputs!$F$145,Time!AL$6)-MAX(Inputs!$F$144,Time!AL$5))/Time!AL$7</f>
        <v>0</v>
      </c>
      <c r="AM671" s="14" t="n">
        <f aca="false">MAX(0,MIN(Inputs!$F$145,Time!AM$6)-MAX(Inputs!$F$144,Time!AM$5))/Time!AM$7</f>
        <v>0</v>
      </c>
      <c r="AN671" s="14" t="n">
        <f aca="false">MAX(0,MIN(Inputs!$F$145,Time!AN$6)-MAX(Inputs!$F$144,Time!AN$5))/Time!AN$7</f>
        <v>0</v>
      </c>
      <c r="AO671" s="14" t="n">
        <f aca="false">MAX(0,MIN(Inputs!$F$145,Time!AO$6)-MAX(Inputs!$F$144,Time!AO$5))/Time!AO$7</f>
        <v>0</v>
      </c>
      <c r="AP671" s="14" t="n">
        <f aca="false">MAX(0,MIN(Inputs!$F$145,Time!AP$6)-MAX(Inputs!$F$144,Time!AP$5))/Time!AP$7</f>
        <v>0</v>
      </c>
      <c r="AQ671" s="14" t="n">
        <f aca="false">MAX(0,MIN(Inputs!$F$145,Time!AQ$6)-MAX(Inputs!$F$144,Time!AQ$5))/Time!AQ$7</f>
        <v>0</v>
      </c>
      <c r="AR671" s="14" t="n">
        <f aca="false">MAX(0,MIN(Inputs!$F$145,Time!AR$6)-MAX(Inputs!$F$144,Time!AR$5))/Time!AR$7</f>
        <v>0</v>
      </c>
      <c r="AS671" s="14" t="n">
        <f aca="false">MAX(0,MIN(Inputs!$F$145,Time!AS$6)-MAX(Inputs!$F$144,Time!AS$5))/Time!AS$7</f>
        <v>0</v>
      </c>
      <c r="AT671" s="14" t="n">
        <f aca="false">MAX(0,MIN(Inputs!$F$145,Time!AT$6)-MAX(Inputs!$F$144,Time!AT$5))/Time!AT$7</f>
        <v>0</v>
      </c>
      <c r="AU671" s="14" t="n">
        <f aca="false">MAX(0,MIN(Inputs!$F$145,Time!AU$6)-MAX(Inputs!$F$144,Time!AU$5))/Time!AU$7</f>
        <v>0</v>
      </c>
    </row>
    <row r="672" customFormat="false" ht="15" hidden="false" customHeight="false" outlineLevel="0" collapsed="false">
      <c r="D672" s="0" t="s">
        <v>672</v>
      </c>
      <c r="E672" s="0" t="s">
        <v>458</v>
      </c>
      <c r="J672" s="14" t="n">
        <f aca="false">MAX(0,MIN(Inputs!$F$145,Time!J$6)-MAX(MAX(Inputs!$F$146,Inputs!$F$144),Time!J$5))/Time!J$7</f>
        <v>0</v>
      </c>
      <c r="K672" s="14" t="n">
        <f aca="false">MAX(0,MIN(Inputs!$F$145,Time!K$6)-MAX(MAX(Inputs!$F$146,Inputs!$F$144),Time!K$5))/Time!K$7</f>
        <v>0.334246575342466</v>
      </c>
      <c r="L672" s="14" t="n">
        <f aca="false">MAX(0,MIN(Inputs!$F$145,Time!L$6)-MAX(MAX(Inputs!$F$146,Inputs!$F$144),Time!L$5))/Time!L$7</f>
        <v>1</v>
      </c>
      <c r="M672" s="14" t="n">
        <f aca="false">MAX(0,MIN(Inputs!$F$145,Time!M$6)-MAX(MAX(Inputs!$F$146,Inputs!$F$144),Time!M$5))/Time!M$7</f>
        <v>1</v>
      </c>
      <c r="N672" s="14" t="n">
        <f aca="false">MAX(0,MIN(Inputs!$F$145,Time!N$6)-MAX(MAX(Inputs!$F$146,Inputs!$F$144),Time!N$5))/Time!N$7</f>
        <v>1</v>
      </c>
      <c r="O672" s="14" t="n">
        <f aca="false">MAX(0,MIN(Inputs!$F$145,Time!O$6)-MAX(MAX(Inputs!$F$146,Inputs!$F$144),Time!O$5))/Time!O$7</f>
        <v>1</v>
      </c>
      <c r="P672" s="14" t="n">
        <f aca="false">MAX(0,MIN(Inputs!$F$145,Time!P$6)-MAX(MAX(Inputs!$F$146,Inputs!$F$144),Time!P$5))/Time!P$7</f>
        <v>1</v>
      </c>
      <c r="Q672" s="14" t="n">
        <f aca="false">MAX(0,MIN(Inputs!$F$145,Time!Q$6)-MAX(MAX(Inputs!$F$146,Inputs!$F$144),Time!Q$5))/Time!Q$7</f>
        <v>1</v>
      </c>
      <c r="R672" s="14" t="n">
        <f aca="false">MAX(0,MIN(Inputs!$F$145,Time!R$6)-MAX(MAX(Inputs!$F$146,Inputs!$F$144),Time!R$5))/Time!R$7</f>
        <v>1</v>
      </c>
      <c r="S672" s="14" t="n">
        <f aca="false">MAX(0,MIN(Inputs!$F$145,Time!S$6)-MAX(MAX(Inputs!$F$146,Inputs!$F$144),Time!S$5))/Time!S$7</f>
        <v>1</v>
      </c>
      <c r="T672" s="14" t="n">
        <f aca="false">MAX(0,MIN(Inputs!$F$145,Time!T$6)-MAX(MAX(Inputs!$F$146,Inputs!$F$144),Time!T$5))/Time!T$7</f>
        <v>1</v>
      </c>
      <c r="U672" s="14" t="n">
        <f aca="false">MAX(0,MIN(Inputs!$F$145,Time!U$6)-MAX(MAX(Inputs!$F$146,Inputs!$F$144),Time!U$5))/Time!U$7</f>
        <v>1</v>
      </c>
      <c r="V672" s="14" t="n">
        <f aca="false">MAX(0,MIN(Inputs!$F$145,Time!V$6)-MAX(MAX(Inputs!$F$146,Inputs!$F$144),Time!V$5))/Time!V$7</f>
        <v>1</v>
      </c>
      <c r="W672" s="14" t="n">
        <f aca="false">MAX(0,MIN(Inputs!$F$145,Time!W$6)-MAX(MAX(Inputs!$F$146,Inputs!$F$144),Time!W$5))/Time!W$7</f>
        <v>1</v>
      </c>
      <c r="X672" s="14" t="n">
        <f aca="false">MAX(0,MIN(Inputs!$F$145,Time!X$6)-MAX(MAX(Inputs!$F$146,Inputs!$F$144),Time!X$5))/Time!X$7</f>
        <v>1</v>
      </c>
      <c r="Y672" s="14" t="n">
        <f aca="false">MAX(0,MIN(Inputs!$F$145,Time!Y$6)-MAX(MAX(Inputs!$F$146,Inputs!$F$144),Time!Y$5))/Time!Y$7</f>
        <v>1</v>
      </c>
      <c r="Z672" s="14" t="n">
        <f aca="false">MAX(0,MIN(Inputs!$F$145,Time!Z$6)-MAX(MAX(Inputs!$F$146,Inputs!$F$144),Time!Z$5))/Time!Z$7</f>
        <v>1</v>
      </c>
      <c r="AA672" s="14" t="n">
        <f aca="false">MAX(0,MIN(Inputs!$F$145,Time!AA$6)-MAX(MAX(Inputs!$F$146,Inputs!$F$144),Time!AA$5))/Time!AA$7</f>
        <v>1</v>
      </c>
      <c r="AB672" s="14" t="n">
        <f aca="false">MAX(0,MIN(Inputs!$F$145,Time!AB$6)-MAX(MAX(Inputs!$F$146,Inputs!$F$144),Time!AB$5))/Time!AB$7</f>
        <v>1</v>
      </c>
      <c r="AC672" s="14" t="n">
        <f aca="false">MAX(0,MIN(Inputs!$F$145,Time!AC$6)-MAX(MAX(Inputs!$F$146,Inputs!$F$144),Time!AC$5))/Time!AC$7</f>
        <v>1</v>
      </c>
      <c r="AD672" s="14" t="n">
        <f aca="false">MAX(0,MIN(Inputs!$F$145,Time!AD$6)-MAX(MAX(Inputs!$F$146,Inputs!$F$144),Time!AD$5))/Time!AD$7</f>
        <v>1</v>
      </c>
      <c r="AE672" s="14" t="n">
        <f aca="false">MAX(0,MIN(Inputs!$F$145,Time!AE$6)-MAX(MAX(Inputs!$F$146,Inputs!$F$144),Time!AE$5))/Time!AE$7</f>
        <v>0.580821917808219</v>
      </c>
      <c r="AF672" s="14" t="n">
        <f aca="false">MAX(0,MIN(Inputs!$F$145,Time!AF$6)-MAX(MAX(Inputs!$F$146,Inputs!$F$144),Time!AF$5))/Time!AF$7</f>
        <v>0</v>
      </c>
      <c r="AG672" s="14" t="n">
        <f aca="false">MAX(0,MIN(Inputs!$F$145,Time!AG$6)-MAX(MAX(Inputs!$F$146,Inputs!$F$144),Time!AG$5))/Time!AG$7</f>
        <v>0</v>
      </c>
      <c r="AH672" s="14" t="n">
        <f aca="false">MAX(0,MIN(Inputs!$F$145,Time!AH$6)-MAX(MAX(Inputs!$F$146,Inputs!$F$144),Time!AH$5))/Time!AH$7</f>
        <v>0</v>
      </c>
      <c r="AI672" s="14" t="n">
        <f aca="false">MAX(0,MIN(Inputs!$F$145,Time!AI$6)-MAX(MAX(Inputs!$F$146,Inputs!$F$144),Time!AI$5))/Time!AI$7</f>
        <v>0</v>
      </c>
      <c r="AJ672" s="14" t="n">
        <f aca="false">MAX(0,MIN(Inputs!$F$145,Time!AJ$6)-MAX(MAX(Inputs!$F$146,Inputs!$F$144),Time!AJ$5))/Time!AJ$7</f>
        <v>0</v>
      </c>
      <c r="AK672" s="14" t="n">
        <f aca="false">MAX(0,MIN(Inputs!$F$145,Time!AK$6)-MAX(MAX(Inputs!$F$146,Inputs!$F$144),Time!AK$5))/Time!AK$7</f>
        <v>0</v>
      </c>
      <c r="AL672" s="14" t="n">
        <f aca="false">MAX(0,MIN(Inputs!$F$145,Time!AL$6)-MAX(MAX(Inputs!$F$146,Inputs!$F$144),Time!AL$5))/Time!AL$7</f>
        <v>0</v>
      </c>
      <c r="AM672" s="14" t="n">
        <f aca="false">MAX(0,MIN(Inputs!$F$145,Time!AM$6)-MAX(MAX(Inputs!$F$146,Inputs!$F$144),Time!AM$5))/Time!AM$7</f>
        <v>0</v>
      </c>
      <c r="AN672" s="14" t="n">
        <f aca="false">MAX(0,MIN(Inputs!$F$145,Time!AN$6)-MAX(MAX(Inputs!$F$146,Inputs!$F$144),Time!AN$5))/Time!AN$7</f>
        <v>0</v>
      </c>
      <c r="AO672" s="14" t="n">
        <f aca="false">MAX(0,MIN(Inputs!$F$145,Time!AO$6)-MAX(MAX(Inputs!$F$146,Inputs!$F$144),Time!AO$5))/Time!AO$7</f>
        <v>0</v>
      </c>
      <c r="AP672" s="14" t="n">
        <f aca="false">MAX(0,MIN(Inputs!$F$145,Time!AP$6)-MAX(MAX(Inputs!$F$146,Inputs!$F$144),Time!AP$5))/Time!AP$7</f>
        <v>0</v>
      </c>
      <c r="AQ672" s="14" t="n">
        <f aca="false">MAX(0,MIN(Inputs!$F$145,Time!AQ$6)-MAX(MAX(Inputs!$F$146,Inputs!$F$144),Time!AQ$5))/Time!AQ$7</f>
        <v>0</v>
      </c>
      <c r="AR672" s="14" t="n">
        <f aca="false">MAX(0,MIN(Inputs!$F$145,Time!AR$6)-MAX(MAX(Inputs!$F$146,Inputs!$F$144),Time!AR$5))/Time!AR$7</f>
        <v>0</v>
      </c>
      <c r="AS672" s="14" t="n">
        <f aca="false">MAX(0,MIN(Inputs!$F$145,Time!AS$6)-MAX(MAX(Inputs!$F$146,Inputs!$F$144),Time!AS$5))/Time!AS$7</f>
        <v>0</v>
      </c>
      <c r="AT672" s="14" t="n">
        <f aca="false">MAX(0,MIN(Inputs!$F$145,Time!AT$6)-MAX(MAX(Inputs!$F$146,Inputs!$F$144),Time!AT$5))/Time!AT$7</f>
        <v>0</v>
      </c>
      <c r="AU672" s="14" t="n">
        <f aca="false">MAX(0,MIN(Inputs!$F$145,Time!AU$6)-MAX(MAX(Inputs!$F$146,Inputs!$F$144),Time!AU$5))/Time!AU$7</f>
        <v>0</v>
      </c>
    </row>
    <row r="673" customFormat="false" ht="15" hidden="false" customHeight="false" outlineLevel="0" collapsed="false">
      <c r="D673" s="0" t="s">
        <v>673</v>
      </c>
      <c r="E673" s="0" t="s">
        <v>458</v>
      </c>
      <c r="J673" s="14" t="n">
        <f aca="false">IF(Operations!J671&gt;0,Operations!J672/Operations!J671,0)</f>
        <v>0</v>
      </c>
      <c r="K673" s="14" t="n">
        <f aca="false">IF(Operations!K671&gt;0,Operations!K672/Operations!K671,0)</f>
        <v>0.71764705882353</v>
      </c>
      <c r="L673" s="14" t="n">
        <f aca="false">IF(Operations!L671&gt;0,Operations!L672/Operations!L671,0)</f>
        <v>1</v>
      </c>
      <c r="M673" s="14" t="n">
        <f aca="false">IF(Operations!M671&gt;0,Operations!M672/Operations!M671,0)</f>
        <v>1</v>
      </c>
      <c r="N673" s="14" t="n">
        <f aca="false">IF(Operations!N671&gt;0,Operations!N672/Operations!N671,0)</f>
        <v>1</v>
      </c>
      <c r="O673" s="14" t="n">
        <f aca="false">IF(Operations!O671&gt;0,Operations!O672/Operations!O671,0)</f>
        <v>1</v>
      </c>
      <c r="P673" s="14" t="n">
        <f aca="false">IF(Operations!P671&gt;0,Operations!P672/Operations!P671,0)</f>
        <v>1</v>
      </c>
      <c r="Q673" s="14" t="n">
        <f aca="false">IF(Operations!Q671&gt;0,Operations!Q672/Operations!Q671,0)</f>
        <v>1</v>
      </c>
      <c r="R673" s="14" t="n">
        <f aca="false">IF(Operations!R671&gt;0,Operations!R672/Operations!R671,0)</f>
        <v>1</v>
      </c>
      <c r="S673" s="14" t="n">
        <f aca="false">IF(Operations!S671&gt;0,Operations!S672/Operations!S671,0)</f>
        <v>1</v>
      </c>
      <c r="T673" s="14" t="n">
        <f aca="false">IF(Operations!T671&gt;0,Operations!T672/Operations!T671,0)</f>
        <v>1</v>
      </c>
      <c r="U673" s="14" t="n">
        <f aca="false">IF(Operations!U671&gt;0,Operations!U672/Operations!U671,0)</f>
        <v>1</v>
      </c>
      <c r="V673" s="14" t="n">
        <f aca="false">IF(Operations!V671&gt;0,Operations!V672/Operations!V671,0)</f>
        <v>1</v>
      </c>
      <c r="W673" s="14" t="n">
        <f aca="false">IF(Operations!W671&gt;0,Operations!W672/Operations!W671,0)</f>
        <v>1</v>
      </c>
      <c r="X673" s="14" t="n">
        <f aca="false">IF(Operations!X671&gt;0,Operations!X672/Operations!X671,0)</f>
        <v>1</v>
      </c>
      <c r="Y673" s="14" t="n">
        <f aca="false">IF(Operations!Y671&gt;0,Operations!Y672/Operations!Y671,0)</f>
        <v>1</v>
      </c>
      <c r="Z673" s="14" t="n">
        <f aca="false">IF(Operations!Z671&gt;0,Operations!Z672/Operations!Z671,0)</f>
        <v>1</v>
      </c>
      <c r="AA673" s="14" t="n">
        <f aca="false">IF(Operations!AA671&gt;0,Operations!AA672/Operations!AA671,0)</f>
        <v>1</v>
      </c>
      <c r="AB673" s="14" t="n">
        <f aca="false">IF(Operations!AB671&gt;0,Operations!AB672/Operations!AB671,0)</f>
        <v>1</v>
      </c>
      <c r="AC673" s="14" t="n">
        <f aca="false">IF(Operations!AC671&gt;0,Operations!AC672/Operations!AC671,0)</f>
        <v>1</v>
      </c>
      <c r="AD673" s="14" t="n">
        <f aca="false">IF(Operations!AD671&gt;0,Operations!AD672/Operations!AD671,0)</f>
        <v>1</v>
      </c>
      <c r="AE673" s="14" t="n">
        <f aca="false">IF(Operations!AE671&gt;0,Operations!AE672/Operations!AE671,0)</f>
        <v>1</v>
      </c>
      <c r="AF673" s="14" t="n">
        <f aca="false">IF(Operations!AF671&gt;0,Operations!AF672/Operations!AF671,0)</f>
        <v>0</v>
      </c>
      <c r="AG673" s="14" t="n">
        <f aca="false">IF(Operations!AG671&gt;0,Operations!AG672/Operations!AG671,0)</f>
        <v>0</v>
      </c>
      <c r="AH673" s="14" t="n">
        <f aca="false">IF(Operations!AH671&gt;0,Operations!AH672/Operations!AH671,0)</f>
        <v>0</v>
      </c>
      <c r="AI673" s="14" t="n">
        <f aca="false">IF(Operations!AI671&gt;0,Operations!AI672/Operations!AI671,0)</f>
        <v>0</v>
      </c>
      <c r="AJ673" s="14" t="n">
        <f aca="false">IF(Operations!AJ671&gt;0,Operations!AJ672/Operations!AJ671,0)</f>
        <v>0</v>
      </c>
      <c r="AK673" s="14" t="n">
        <f aca="false">IF(Operations!AK671&gt;0,Operations!AK672/Operations!AK671,0)</f>
        <v>0</v>
      </c>
      <c r="AL673" s="14" t="n">
        <f aca="false">IF(Operations!AL671&gt;0,Operations!AL672/Operations!AL671,0)</f>
        <v>0</v>
      </c>
      <c r="AM673" s="14" t="n">
        <f aca="false">IF(Operations!AM671&gt;0,Operations!AM672/Operations!AM671,0)</f>
        <v>0</v>
      </c>
      <c r="AN673" s="14" t="n">
        <f aca="false">IF(Operations!AN671&gt;0,Operations!AN672/Operations!AN671,0)</f>
        <v>0</v>
      </c>
      <c r="AO673" s="14" t="n">
        <f aca="false">IF(Operations!AO671&gt;0,Operations!AO672/Operations!AO671,0)</f>
        <v>0</v>
      </c>
      <c r="AP673" s="14" t="n">
        <f aca="false">IF(Operations!AP671&gt;0,Operations!AP672/Operations!AP671,0)</f>
        <v>0</v>
      </c>
      <c r="AQ673" s="14" t="n">
        <f aca="false">IF(Operations!AQ671&gt;0,Operations!AQ672/Operations!AQ671,0)</f>
        <v>0</v>
      </c>
      <c r="AR673" s="14" t="n">
        <f aca="false">IF(Operations!AR671&gt;0,Operations!AR672/Operations!AR671,0)</f>
        <v>0</v>
      </c>
      <c r="AS673" s="14" t="n">
        <f aca="false">IF(Operations!AS671&gt;0,Operations!AS672/Operations!AS671,0)</f>
        <v>0</v>
      </c>
      <c r="AT673" s="14" t="n">
        <f aca="false">IF(Operations!AT671&gt;0,Operations!AT672/Operations!AT671,0)</f>
        <v>0</v>
      </c>
      <c r="AU673" s="14" t="n">
        <f aca="false">IF(Operations!AU671&gt;0,Operations!AU672/Operations!AU671,0)</f>
        <v>0</v>
      </c>
    </row>
    <row r="674" customFormat="false" ht="15" hidden="false" customHeight="false" outlineLevel="0" collapsed="false">
      <c r="D674" s="0" t="s">
        <v>674</v>
      </c>
      <c r="E674" s="0" t="s">
        <v>96</v>
      </c>
      <c r="J674" s="18" t="n">
        <f aca="false">Operations!J447</f>
        <v>74.6</v>
      </c>
      <c r="K674" s="18" t="n">
        <f aca="false">Operations!K447</f>
        <v>61.2</v>
      </c>
      <c r="L674" s="18" t="n">
        <f aca="false">Operations!L447</f>
        <v>30.1</v>
      </c>
      <c r="M674" s="18" t="n">
        <f aca="false">Operations!M447</f>
        <v>39.8</v>
      </c>
      <c r="N674" s="18" t="n">
        <f aca="false">Operations!N447</f>
        <v>44.6</v>
      </c>
      <c r="O674" s="18" t="n">
        <f aca="false">Operations!O447</f>
        <v>47.3</v>
      </c>
      <c r="P674" s="18" t="n">
        <f aca="false">Operations!P447</f>
        <v>49.1</v>
      </c>
      <c r="Q674" s="18" t="n">
        <f aca="false">Operations!Q447</f>
        <v>50.4</v>
      </c>
      <c r="R674" s="18" t="n">
        <f aca="false">Operations!R447</f>
        <v>51.8</v>
      </c>
      <c r="S674" s="18" t="n">
        <f aca="false">Operations!S447</f>
        <v>52.84</v>
      </c>
      <c r="T674" s="18" t="n">
        <f aca="false">Operations!T447</f>
        <v>53.9</v>
      </c>
      <c r="U674" s="18" t="n">
        <f aca="false">Operations!U447</f>
        <v>54.98</v>
      </c>
      <c r="V674" s="18" t="n">
        <f aca="false">Operations!V447</f>
        <v>56.08</v>
      </c>
      <c r="W674" s="18" t="n">
        <f aca="false">Operations!W447</f>
        <v>57.2</v>
      </c>
      <c r="X674" s="18" t="n">
        <f aca="false">Operations!X447</f>
        <v>58.34</v>
      </c>
      <c r="Y674" s="18" t="n">
        <f aca="false">Operations!Y447</f>
        <v>59.51</v>
      </c>
      <c r="Z674" s="18" t="n">
        <f aca="false">Operations!Z447</f>
        <v>60.7</v>
      </c>
      <c r="AA674" s="18" t="n">
        <f aca="false">Operations!AA447</f>
        <v>61.91</v>
      </c>
      <c r="AB674" s="18" t="n">
        <f aca="false">Operations!AB447</f>
        <v>63.15</v>
      </c>
      <c r="AC674" s="18" t="n">
        <f aca="false">Operations!AC447</f>
        <v>64.41</v>
      </c>
      <c r="AD674" s="18" t="n">
        <f aca="false">Operations!AD447</f>
        <v>65.7</v>
      </c>
      <c r="AE674" s="18" t="n">
        <f aca="false">Operations!AE447</f>
        <v>67.01</v>
      </c>
      <c r="AF674" s="18" t="n">
        <f aca="false">Operations!AF447</f>
        <v>68.35</v>
      </c>
      <c r="AG674" s="18" t="n">
        <f aca="false">Operations!AG447</f>
        <v>69.72</v>
      </c>
      <c r="AH674" s="18" t="n">
        <f aca="false">Operations!AH447</f>
        <v>71.11</v>
      </c>
      <c r="AI674" s="18" t="n">
        <f aca="false">Operations!AI447</f>
        <v>72.53</v>
      </c>
      <c r="AJ674" s="18" t="n">
        <f aca="false">Operations!AJ447</f>
        <v>73.98</v>
      </c>
      <c r="AK674" s="18" t="n">
        <f aca="false">Operations!AK447</f>
        <v>75.46</v>
      </c>
      <c r="AL674" s="18" t="n">
        <f aca="false">Operations!AL447</f>
        <v>76.97</v>
      </c>
      <c r="AM674" s="18" t="n">
        <f aca="false">Operations!AM447</f>
        <v>78.51</v>
      </c>
      <c r="AN674" s="18" t="n">
        <f aca="false">Operations!AN447</f>
        <v>80.08</v>
      </c>
      <c r="AO674" s="18" t="n">
        <f aca="false">Operations!AO447</f>
        <v>81.68</v>
      </c>
      <c r="AP674" s="18" t="n">
        <f aca="false">Operations!AP447</f>
        <v>83.31</v>
      </c>
      <c r="AQ674" s="18" t="n">
        <f aca="false">Operations!AQ447</f>
        <v>84.98</v>
      </c>
      <c r="AR674" s="18" t="n">
        <f aca="false">Operations!AR447</f>
        <v>86.68</v>
      </c>
      <c r="AS674" s="18" t="n">
        <f aca="false">Operations!AS447</f>
        <v>88.41</v>
      </c>
      <c r="AT674" s="18" t="n">
        <f aca="false">Operations!AT447</f>
        <v>90.18</v>
      </c>
      <c r="AU674" s="18" t="n">
        <f aca="false">Operations!AU447</f>
        <v>91.98</v>
      </c>
    </row>
    <row r="675" customFormat="false" ht="15" hidden="false" customHeight="false" outlineLevel="0" collapsed="false">
      <c r="D675" s="0" t="s">
        <v>675</v>
      </c>
      <c r="E675" s="0" t="s">
        <v>176</v>
      </c>
      <c r="J675" s="20" t="n">
        <f aca="false">Inputs!$F$149*(1+Inputs!$F$155/100)*(1-(Inputs!$F$187*MIN(MAX(0,(Time!J$5-Inputs!$F$144)/Inputs!$F$27),1)+Inputs!$F$188*MIN(MAX(MAX(0,(Time!J$5-Inputs!$F$144)/Inputs!$F$27)-1,0),Inputs!$F$190-1)+Inputs!$F$189*MAX(MAX(0,(Time!J$5-Inputs!$F$144)/Inputs!$F$27)-Inputs!$F$190,0))/100)</f>
        <v>216</v>
      </c>
      <c r="K675" s="20" t="n">
        <f aca="false">Inputs!$F$149*(1+Inputs!$F$155/100)*(1-(Inputs!$F$187*MIN(MAX(0,(Time!K$5-Inputs!$F$144)/Inputs!$F$27),1)+Inputs!$F$188*MIN(MAX(MAX(0,(Time!K$5-Inputs!$F$144)/Inputs!$F$27)-1,0),Inputs!$F$190-1)+Inputs!$F$189*MAX(MAX(0,(Time!K$5-Inputs!$F$144)/Inputs!$F$27)-Inputs!$F$190,0))/100)</f>
        <v>216</v>
      </c>
      <c r="L675" s="20" t="n">
        <f aca="false">Inputs!$F$149*(1+Inputs!$F$155/100)*(1-(Inputs!$F$187*MIN(MAX(0,(Time!L$5-Inputs!$F$144)/Inputs!$F$27),1)+Inputs!$F$188*MIN(MAX(MAX(0,(Time!L$5-Inputs!$F$144)/Inputs!$F$27)-1,0),Inputs!$F$190-1)+Inputs!$F$189*MAX(MAX(0,(Time!L$5-Inputs!$F$144)/Inputs!$F$27)-Inputs!$F$190,0))/100)</f>
        <v>213.987945205479</v>
      </c>
      <c r="M675" s="20" t="n">
        <f aca="false">Inputs!$F$149*(1+Inputs!$F$155/100)*(1-(Inputs!$F$187*MIN(MAX(0,(Time!M$5-Inputs!$F$144)/Inputs!$F$27),1)+Inputs!$F$188*MIN(MAX(MAX(0,(Time!M$5-Inputs!$F$144)/Inputs!$F$27)-1,0),Inputs!$F$190-1)+Inputs!$F$189*MAX(MAX(0,(Time!M$5-Inputs!$F$144)/Inputs!$F$27)-Inputs!$F$190,0))/100)</f>
        <v>210.162082191781</v>
      </c>
      <c r="N675" s="20" t="n">
        <f aca="false">Inputs!$F$149*(1+Inputs!$F$155/100)*(1-(Inputs!$F$187*MIN(MAX(0,(Time!N$5-Inputs!$F$144)/Inputs!$F$27),1)+Inputs!$F$188*MIN(MAX(MAX(0,(Time!N$5-Inputs!$F$144)/Inputs!$F$27)-1,0),Inputs!$F$190-1)+Inputs!$F$189*MAX(MAX(0,(Time!N$5-Inputs!$F$144)/Inputs!$F$27)-Inputs!$F$190,0))/100)</f>
        <v>206.922082191781</v>
      </c>
      <c r="O675" s="20" t="n">
        <f aca="false">Inputs!$F$149*(1+Inputs!$F$155/100)*(1-(Inputs!$F$187*MIN(MAX(0,(Time!O$5-Inputs!$F$144)/Inputs!$F$27),1)+Inputs!$F$188*MIN(MAX(MAX(0,(Time!O$5-Inputs!$F$144)/Inputs!$F$27)-1,0),Inputs!$F$190-1)+Inputs!$F$189*MAX(MAX(0,(Time!O$5-Inputs!$F$144)/Inputs!$F$27)-Inputs!$F$190,0))/100)</f>
        <v>203.682082191781</v>
      </c>
      <c r="P675" s="20" t="n">
        <f aca="false">Inputs!$F$149*(1+Inputs!$F$155/100)*(1-(Inputs!$F$187*MIN(MAX(0,(Time!P$5-Inputs!$F$144)/Inputs!$F$27),1)+Inputs!$F$188*MIN(MAX(MAX(0,(Time!P$5-Inputs!$F$144)/Inputs!$F$27)-1,0),Inputs!$F$190-1)+Inputs!$F$189*MAX(MAX(0,(Time!P$5-Inputs!$F$144)/Inputs!$F$27)-Inputs!$F$190,0))/100)</f>
        <v>200.442082191781</v>
      </c>
      <c r="Q675" s="20" t="n">
        <f aca="false">Inputs!$F$149*(1+Inputs!$F$155/100)*(1-(Inputs!$F$187*MIN(MAX(0,(Time!Q$5-Inputs!$F$144)/Inputs!$F$27),1)+Inputs!$F$188*MIN(MAX(MAX(0,(Time!Q$5-Inputs!$F$144)/Inputs!$F$27)-1,0),Inputs!$F$190-1)+Inputs!$F$189*MAX(MAX(0,(Time!Q$5-Inputs!$F$144)/Inputs!$F$27)-Inputs!$F$190,0))/100)</f>
        <v>197.193205479452</v>
      </c>
      <c r="R675" s="20" t="n">
        <f aca="false">Inputs!$F$149*(1+Inputs!$F$155/100)*(1-(Inputs!$F$187*MIN(MAX(0,(Time!R$5-Inputs!$F$144)/Inputs!$F$27),1)+Inputs!$F$188*MIN(MAX(MAX(0,(Time!R$5-Inputs!$F$144)/Inputs!$F$27)-1,0),Inputs!$F$190-1)+Inputs!$F$189*MAX(MAX(0,(Time!R$5-Inputs!$F$144)/Inputs!$F$27)-Inputs!$F$190,0))/100)</f>
        <v>193.953205479452</v>
      </c>
      <c r="S675" s="20" t="n">
        <f aca="false">Inputs!$F$149*(1+Inputs!$F$155/100)*(1-(Inputs!$F$187*MIN(MAX(0,(Time!S$5-Inputs!$F$144)/Inputs!$F$27),1)+Inputs!$F$188*MIN(MAX(MAX(0,(Time!S$5-Inputs!$F$144)/Inputs!$F$27)-1,0),Inputs!$F$190-1)+Inputs!$F$189*MAX(MAX(0,(Time!S$5-Inputs!$F$144)/Inputs!$F$27)-Inputs!$F$190,0))/100)</f>
        <v>190.713205479452</v>
      </c>
      <c r="T675" s="20" t="n">
        <f aca="false">Inputs!$F$149*(1+Inputs!$F$155/100)*(1-(Inputs!$F$187*MIN(MAX(0,(Time!T$5-Inputs!$F$144)/Inputs!$F$27),1)+Inputs!$F$188*MIN(MAX(MAX(0,(Time!T$5-Inputs!$F$144)/Inputs!$F$27)-1,0),Inputs!$F$190-1)+Inputs!$F$189*MAX(MAX(0,(Time!T$5-Inputs!$F$144)/Inputs!$F$27)-Inputs!$F$190,0))/100)</f>
        <v>187.473205479452</v>
      </c>
      <c r="U675" s="20" t="n">
        <f aca="false">Inputs!$F$149*(1+Inputs!$F$155/100)*(1-(Inputs!$F$187*MIN(MAX(0,(Time!U$5-Inputs!$F$144)/Inputs!$F$27),1)+Inputs!$F$188*MIN(MAX(MAX(0,(Time!U$5-Inputs!$F$144)/Inputs!$F$27)-1,0),Inputs!$F$190-1)+Inputs!$F$189*MAX(MAX(0,(Time!U$5-Inputs!$F$144)/Inputs!$F$27)-Inputs!$F$190,0))/100)</f>
        <v>184.224328767123</v>
      </c>
      <c r="V675" s="20" t="n">
        <f aca="false">Inputs!$F$149*(1+Inputs!$F$155/100)*(1-(Inputs!$F$187*MIN(MAX(0,(Time!V$5-Inputs!$F$144)/Inputs!$F$27),1)+Inputs!$F$188*MIN(MAX(MAX(0,(Time!V$5-Inputs!$F$144)/Inputs!$F$27)-1,0),Inputs!$F$190-1)+Inputs!$F$189*MAX(MAX(0,(Time!V$5-Inputs!$F$144)/Inputs!$F$27)-Inputs!$F$190,0))/100)</f>
        <v>181.496219178082</v>
      </c>
      <c r="W675" s="20" t="n">
        <f aca="false">Inputs!$F$149*(1+Inputs!$F$155/100)*(1-(Inputs!$F$187*MIN(MAX(0,(Time!W$5-Inputs!$F$144)/Inputs!$F$27),1)+Inputs!$F$188*MIN(MAX(MAX(0,(Time!W$5-Inputs!$F$144)/Inputs!$F$27)-1,0),Inputs!$F$190-1)+Inputs!$F$189*MAX(MAX(0,(Time!W$5-Inputs!$F$144)/Inputs!$F$27)-Inputs!$F$190,0))/100)</f>
        <v>179.336219178082</v>
      </c>
      <c r="X675" s="20" t="n">
        <f aca="false">Inputs!$F$149*(1+Inputs!$F$155/100)*(1-(Inputs!$F$187*MIN(MAX(0,(Time!X$5-Inputs!$F$144)/Inputs!$F$27),1)+Inputs!$F$188*MIN(MAX(MAX(0,(Time!X$5-Inputs!$F$144)/Inputs!$F$27)-1,0),Inputs!$F$190-1)+Inputs!$F$189*MAX(MAX(0,(Time!X$5-Inputs!$F$144)/Inputs!$F$27)-Inputs!$F$190,0))/100)</f>
        <v>177.176219178082</v>
      </c>
      <c r="Y675" s="20" t="n">
        <f aca="false">Inputs!$F$149*(1+Inputs!$F$155/100)*(1-(Inputs!$F$187*MIN(MAX(0,(Time!Y$5-Inputs!$F$144)/Inputs!$F$27),1)+Inputs!$F$188*MIN(MAX(MAX(0,(Time!Y$5-Inputs!$F$144)/Inputs!$F$27)-1,0),Inputs!$F$190-1)+Inputs!$F$189*MAX(MAX(0,(Time!Y$5-Inputs!$F$144)/Inputs!$F$27)-Inputs!$F$190,0))/100)</f>
        <v>175.010301369863</v>
      </c>
      <c r="Z675" s="20" t="n">
        <f aca="false">Inputs!$F$149*(1+Inputs!$F$155/100)*(1-(Inputs!$F$187*MIN(MAX(0,(Time!Z$5-Inputs!$F$144)/Inputs!$F$27),1)+Inputs!$F$188*MIN(MAX(MAX(0,(Time!Z$5-Inputs!$F$144)/Inputs!$F$27)-1,0),Inputs!$F$190-1)+Inputs!$F$189*MAX(MAX(0,(Time!Z$5-Inputs!$F$144)/Inputs!$F$27)-Inputs!$F$190,0))/100)</f>
        <v>172.850301369863</v>
      </c>
      <c r="AA675" s="20" t="n">
        <f aca="false">Inputs!$F$149*(1+Inputs!$F$155/100)*(1-(Inputs!$F$187*MIN(MAX(0,(Time!AA$5-Inputs!$F$144)/Inputs!$F$27),1)+Inputs!$F$188*MIN(MAX(MAX(0,(Time!AA$5-Inputs!$F$144)/Inputs!$F$27)-1,0),Inputs!$F$190-1)+Inputs!$F$189*MAX(MAX(0,(Time!AA$5-Inputs!$F$144)/Inputs!$F$27)-Inputs!$F$190,0))/100)</f>
        <v>170.690301369863</v>
      </c>
      <c r="AB675" s="20" t="n">
        <f aca="false">Inputs!$F$149*(1+Inputs!$F$155/100)*(1-(Inputs!$F$187*MIN(MAX(0,(Time!AB$5-Inputs!$F$144)/Inputs!$F$27),1)+Inputs!$F$188*MIN(MAX(MAX(0,(Time!AB$5-Inputs!$F$144)/Inputs!$F$27)-1,0),Inputs!$F$190-1)+Inputs!$F$189*MAX(MAX(0,(Time!AB$5-Inputs!$F$144)/Inputs!$F$27)-Inputs!$F$190,0))/100)</f>
        <v>168.530301369863</v>
      </c>
      <c r="AC675" s="20" t="n">
        <f aca="false">Inputs!$F$149*(1+Inputs!$F$155/100)*(1-(Inputs!$F$187*MIN(MAX(0,(Time!AC$5-Inputs!$F$144)/Inputs!$F$27),1)+Inputs!$F$188*MIN(MAX(MAX(0,(Time!AC$5-Inputs!$F$144)/Inputs!$F$27)-1,0),Inputs!$F$190-1)+Inputs!$F$189*MAX(MAX(0,(Time!AC$5-Inputs!$F$144)/Inputs!$F$27)-Inputs!$F$190,0))/100)</f>
        <v>166.364383561644</v>
      </c>
      <c r="AD675" s="20" t="n">
        <f aca="false">Inputs!$F$149*(1+Inputs!$F$155/100)*(1-(Inputs!$F$187*MIN(MAX(0,(Time!AD$5-Inputs!$F$144)/Inputs!$F$27),1)+Inputs!$F$188*MIN(MAX(MAX(0,(Time!AD$5-Inputs!$F$144)/Inputs!$F$27)-1,0),Inputs!$F$190-1)+Inputs!$F$189*MAX(MAX(0,(Time!AD$5-Inputs!$F$144)/Inputs!$F$27)-Inputs!$F$190,0))/100)</f>
        <v>164.204383561644</v>
      </c>
      <c r="AE675" s="20" t="n">
        <f aca="false">Inputs!$F$149*(1+Inputs!$F$155/100)*(1-(Inputs!$F$187*MIN(MAX(0,(Time!AE$5-Inputs!$F$144)/Inputs!$F$27),1)+Inputs!$F$188*MIN(MAX(MAX(0,(Time!AE$5-Inputs!$F$144)/Inputs!$F$27)-1,0),Inputs!$F$190-1)+Inputs!$F$189*MAX(MAX(0,(Time!AE$5-Inputs!$F$144)/Inputs!$F$27)-Inputs!$F$190,0))/100)</f>
        <v>162.044383561644</v>
      </c>
      <c r="AF675" s="20" t="n">
        <f aca="false">Inputs!$F$149*(1+Inputs!$F$155/100)*(1-(Inputs!$F$187*MIN(MAX(0,(Time!AF$5-Inputs!$F$144)/Inputs!$F$27),1)+Inputs!$F$188*MIN(MAX(MAX(0,(Time!AF$5-Inputs!$F$144)/Inputs!$F$27)-1,0),Inputs!$F$190-1)+Inputs!$F$189*MAX(MAX(0,(Time!AF$5-Inputs!$F$144)/Inputs!$F$27)-Inputs!$F$190,0))/100)</f>
        <v>159.884383561644</v>
      </c>
      <c r="AG675" s="20" t="n">
        <f aca="false">Inputs!$F$149*(1+Inputs!$F$155/100)*(1-(Inputs!$F$187*MIN(MAX(0,(Time!AG$5-Inputs!$F$144)/Inputs!$F$27),1)+Inputs!$F$188*MIN(MAX(MAX(0,(Time!AG$5-Inputs!$F$144)/Inputs!$F$27)-1,0),Inputs!$F$190-1)+Inputs!$F$189*MAX(MAX(0,(Time!AG$5-Inputs!$F$144)/Inputs!$F$27)-Inputs!$F$190,0))/100)</f>
        <v>157.718465753425</v>
      </c>
      <c r="AH675" s="20" t="n">
        <f aca="false">Inputs!$F$149*(1+Inputs!$F$155/100)*(1-(Inputs!$F$187*MIN(MAX(0,(Time!AH$5-Inputs!$F$144)/Inputs!$F$27),1)+Inputs!$F$188*MIN(MAX(MAX(0,(Time!AH$5-Inputs!$F$144)/Inputs!$F$27)-1,0),Inputs!$F$190-1)+Inputs!$F$189*MAX(MAX(0,(Time!AH$5-Inputs!$F$144)/Inputs!$F$27)-Inputs!$F$190,0))/100)</f>
        <v>155.558465753425</v>
      </c>
      <c r="AI675" s="20" t="n">
        <f aca="false">Inputs!$F$149*(1+Inputs!$F$155/100)*(1-(Inputs!$F$187*MIN(MAX(0,(Time!AI$5-Inputs!$F$144)/Inputs!$F$27),1)+Inputs!$F$188*MIN(MAX(MAX(0,(Time!AI$5-Inputs!$F$144)/Inputs!$F$27)-1,0),Inputs!$F$190-1)+Inputs!$F$189*MAX(MAX(0,(Time!AI$5-Inputs!$F$144)/Inputs!$F$27)-Inputs!$F$190,0))/100)</f>
        <v>153.398465753425</v>
      </c>
      <c r="AJ675" s="20" t="n">
        <f aca="false">Inputs!$F$149*(1+Inputs!$F$155/100)*(1-(Inputs!$F$187*MIN(MAX(0,(Time!AJ$5-Inputs!$F$144)/Inputs!$F$27),1)+Inputs!$F$188*MIN(MAX(MAX(0,(Time!AJ$5-Inputs!$F$144)/Inputs!$F$27)-1,0),Inputs!$F$190-1)+Inputs!$F$189*MAX(MAX(0,(Time!AJ$5-Inputs!$F$144)/Inputs!$F$27)-Inputs!$F$190,0))/100)</f>
        <v>151.238465753425</v>
      </c>
      <c r="AK675" s="20" t="n">
        <f aca="false">Inputs!$F$149*(1+Inputs!$F$155/100)*(1-(Inputs!$F$187*MIN(MAX(0,(Time!AK$5-Inputs!$F$144)/Inputs!$F$27),1)+Inputs!$F$188*MIN(MAX(MAX(0,(Time!AK$5-Inputs!$F$144)/Inputs!$F$27)-1,0),Inputs!$F$190-1)+Inputs!$F$189*MAX(MAX(0,(Time!AK$5-Inputs!$F$144)/Inputs!$F$27)-Inputs!$F$190,0))/100)</f>
        <v>149.072547945205</v>
      </c>
      <c r="AL675" s="20" t="n">
        <f aca="false">Inputs!$F$149*(1+Inputs!$F$155/100)*(1-(Inputs!$F$187*MIN(MAX(0,(Time!AL$5-Inputs!$F$144)/Inputs!$F$27),1)+Inputs!$F$188*MIN(MAX(MAX(0,(Time!AL$5-Inputs!$F$144)/Inputs!$F$27)-1,0),Inputs!$F$190-1)+Inputs!$F$189*MAX(MAX(0,(Time!AL$5-Inputs!$F$144)/Inputs!$F$27)-Inputs!$F$190,0))/100)</f>
        <v>146.912547945206</v>
      </c>
      <c r="AM675" s="20" t="n">
        <f aca="false">Inputs!$F$149*(1+Inputs!$F$155/100)*(1-(Inputs!$F$187*MIN(MAX(0,(Time!AM$5-Inputs!$F$144)/Inputs!$F$27),1)+Inputs!$F$188*MIN(MAX(MAX(0,(Time!AM$5-Inputs!$F$144)/Inputs!$F$27)-1,0),Inputs!$F$190-1)+Inputs!$F$189*MAX(MAX(0,(Time!AM$5-Inputs!$F$144)/Inputs!$F$27)-Inputs!$F$190,0))/100)</f>
        <v>144.752547945206</v>
      </c>
      <c r="AN675" s="20" t="n">
        <f aca="false">Inputs!$F$149*(1+Inputs!$F$155/100)*(1-(Inputs!$F$187*MIN(MAX(0,(Time!AN$5-Inputs!$F$144)/Inputs!$F$27),1)+Inputs!$F$188*MIN(MAX(MAX(0,(Time!AN$5-Inputs!$F$144)/Inputs!$F$27)-1,0),Inputs!$F$190-1)+Inputs!$F$189*MAX(MAX(0,(Time!AN$5-Inputs!$F$144)/Inputs!$F$27)-Inputs!$F$190,0))/100)</f>
        <v>142.592547945205</v>
      </c>
      <c r="AO675" s="20" t="n">
        <f aca="false">Inputs!$F$149*(1+Inputs!$F$155/100)*(1-(Inputs!$F$187*MIN(MAX(0,(Time!AO$5-Inputs!$F$144)/Inputs!$F$27),1)+Inputs!$F$188*MIN(MAX(MAX(0,(Time!AO$5-Inputs!$F$144)/Inputs!$F$27)-1,0),Inputs!$F$190-1)+Inputs!$F$189*MAX(MAX(0,(Time!AO$5-Inputs!$F$144)/Inputs!$F$27)-Inputs!$F$190,0))/100)</f>
        <v>140.426630136986</v>
      </c>
      <c r="AP675" s="20" t="n">
        <f aca="false">Inputs!$F$149*(1+Inputs!$F$155/100)*(1-(Inputs!$F$187*MIN(MAX(0,(Time!AP$5-Inputs!$F$144)/Inputs!$F$27),1)+Inputs!$F$188*MIN(MAX(MAX(0,(Time!AP$5-Inputs!$F$144)/Inputs!$F$27)-1,0),Inputs!$F$190-1)+Inputs!$F$189*MAX(MAX(0,(Time!AP$5-Inputs!$F$144)/Inputs!$F$27)-Inputs!$F$190,0))/100)</f>
        <v>138.266630136986</v>
      </c>
      <c r="AQ675" s="20" t="n">
        <f aca="false">Inputs!$F$149*(1+Inputs!$F$155/100)*(1-(Inputs!$F$187*MIN(MAX(0,(Time!AQ$5-Inputs!$F$144)/Inputs!$F$27),1)+Inputs!$F$188*MIN(MAX(MAX(0,(Time!AQ$5-Inputs!$F$144)/Inputs!$F$27)-1,0),Inputs!$F$190-1)+Inputs!$F$189*MAX(MAX(0,(Time!AQ$5-Inputs!$F$144)/Inputs!$F$27)-Inputs!$F$190,0))/100)</f>
        <v>136.106630136986</v>
      </c>
      <c r="AR675" s="20" t="n">
        <f aca="false">Inputs!$F$149*(1+Inputs!$F$155/100)*(1-(Inputs!$F$187*MIN(MAX(0,(Time!AR$5-Inputs!$F$144)/Inputs!$F$27),1)+Inputs!$F$188*MIN(MAX(MAX(0,(Time!AR$5-Inputs!$F$144)/Inputs!$F$27)-1,0),Inputs!$F$190-1)+Inputs!$F$189*MAX(MAX(0,(Time!AR$5-Inputs!$F$144)/Inputs!$F$27)-Inputs!$F$190,0))/100)</f>
        <v>133.946630136986</v>
      </c>
      <c r="AS675" s="20" t="n">
        <f aca="false">Inputs!$F$149*(1+Inputs!$F$155/100)*(1-(Inputs!$F$187*MIN(MAX(0,(Time!AS$5-Inputs!$F$144)/Inputs!$F$27),1)+Inputs!$F$188*MIN(MAX(MAX(0,(Time!AS$5-Inputs!$F$144)/Inputs!$F$27)-1,0),Inputs!$F$190-1)+Inputs!$F$189*MAX(MAX(0,(Time!AS$5-Inputs!$F$144)/Inputs!$F$27)-Inputs!$F$190,0))/100)</f>
        <v>131.780712328767</v>
      </c>
      <c r="AT675" s="20" t="n">
        <f aca="false">Inputs!$F$149*(1+Inputs!$F$155/100)*(1-(Inputs!$F$187*MIN(MAX(0,(Time!AT$5-Inputs!$F$144)/Inputs!$F$27),1)+Inputs!$F$188*MIN(MAX(MAX(0,(Time!AT$5-Inputs!$F$144)/Inputs!$F$27)-1,0),Inputs!$F$190-1)+Inputs!$F$189*MAX(MAX(0,(Time!AT$5-Inputs!$F$144)/Inputs!$F$27)-Inputs!$F$190,0))/100)</f>
        <v>129.620712328767</v>
      </c>
      <c r="AU675" s="20" t="n">
        <f aca="false">Inputs!$F$149*(1+Inputs!$F$155/100)*(1-(Inputs!$F$187*MIN(MAX(0,(Time!AU$5-Inputs!$F$144)/Inputs!$F$27),1)+Inputs!$F$188*MIN(MAX(MAX(0,(Time!AU$5-Inputs!$F$144)/Inputs!$F$27)-1,0),Inputs!$F$190-1)+Inputs!$F$189*MAX(MAX(0,(Time!AU$5-Inputs!$F$144)/Inputs!$F$27)-Inputs!$F$190,0))/100)</f>
        <v>127.460712328767</v>
      </c>
    </row>
    <row r="676" customFormat="false" ht="15" hidden="false" customHeight="false" outlineLevel="0" collapsed="false">
      <c r="D676" s="0" t="s">
        <v>676</v>
      </c>
      <c r="E676" s="0" t="s">
        <v>176</v>
      </c>
      <c r="J676" s="20" t="n">
        <f aca="false">IF(Time!J$5&gt;=(DATE(YEAR(Inputs!$F$144)+Inputs!$F$151,1,1)-1),Inputs!$F$153/100*Inputs!$F$149*(1-(Inputs!$F$187*MIN(MAX(0,(Time!J$5-(DATE(YEAR(Inputs!$F$144)+Inputs!$F$151,1,1)-1))/Inputs!$F$27),1)+Inputs!$F$188*MIN(MAX(MAX(0,(Time!J$5-(DATE(YEAR(Inputs!$F$144)+Inputs!$F$151,1,1)-1))/Inputs!$F$27)-1,0),Inputs!$F$190-1)+Inputs!$F$189*MAX(MAX(0,(Time!J$5-(DATE(YEAR(Inputs!$F$144)+Inputs!$F$151,1,1)-1))/Inputs!$F$27)-Inputs!$F$190,0))/100),0)+IF(Time!J$5&gt;=(DATE(YEAR(Inputs!$F$144)+Inputs!$F$152,1,1)-1),Inputs!$F$153/100*Inputs!$F$149*(1-(Inputs!$F$187*MIN(MAX(0,(Time!J$5-(DATE(YEAR(Inputs!$F$144)+Inputs!$F$152,1,1)-1))/Inputs!$F$27),1)+Inputs!$F$188*MIN(MAX(MAX(0,(Time!J$5-(DATE(YEAR(Inputs!$F$144)+Inputs!$F$152,1,1)-1))/Inputs!$F$27)-1,0),Inputs!$F$190-1)+Inputs!$F$189*MAX(MAX(0,(Time!J$5-(DATE(YEAR(Inputs!$F$144)+Inputs!$F$152,1,1)-1))/Inputs!$F$27)-Inputs!$F$190,0))/100),0)</f>
        <v>0</v>
      </c>
      <c r="K676" s="20" t="n">
        <f aca="false">IF(Time!K$5&gt;=(DATE(YEAR(Inputs!$F$144)+Inputs!$F$151,1,1)-1),Inputs!$F$153/100*Inputs!$F$149*(1-(Inputs!$F$187*MIN(MAX(0,(Time!K$5-(DATE(YEAR(Inputs!$F$144)+Inputs!$F$151,1,1)-1))/Inputs!$F$27),1)+Inputs!$F$188*MIN(MAX(MAX(0,(Time!K$5-(DATE(YEAR(Inputs!$F$144)+Inputs!$F$151,1,1)-1))/Inputs!$F$27)-1,0),Inputs!$F$190-1)+Inputs!$F$189*MAX(MAX(0,(Time!K$5-(DATE(YEAR(Inputs!$F$144)+Inputs!$F$151,1,1)-1))/Inputs!$F$27)-Inputs!$F$190,0))/100),0)+IF(Time!K$5&gt;=(DATE(YEAR(Inputs!$F$144)+Inputs!$F$152,1,1)-1),Inputs!$F$153/100*Inputs!$F$149*(1-(Inputs!$F$187*MIN(MAX(0,(Time!K$5-(DATE(YEAR(Inputs!$F$144)+Inputs!$F$152,1,1)-1))/Inputs!$F$27),1)+Inputs!$F$188*MIN(MAX(MAX(0,(Time!K$5-(DATE(YEAR(Inputs!$F$144)+Inputs!$F$152,1,1)-1))/Inputs!$F$27)-1,0),Inputs!$F$190-1)+Inputs!$F$189*MAX(MAX(0,(Time!K$5-(DATE(YEAR(Inputs!$F$144)+Inputs!$F$152,1,1)-1))/Inputs!$F$27)-Inputs!$F$190,0))/100),0)</f>
        <v>0</v>
      </c>
      <c r="L676" s="20" t="n">
        <f aca="false">IF(Time!L$5&gt;=(DATE(YEAR(Inputs!$F$144)+Inputs!$F$151,1,1)-1),Inputs!$F$153/100*Inputs!$F$149*(1-(Inputs!$F$187*MIN(MAX(0,(Time!L$5-(DATE(YEAR(Inputs!$F$144)+Inputs!$F$151,1,1)-1))/Inputs!$F$27),1)+Inputs!$F$188*MIN(MAX(MAX(0,(Time!L$5-(DATE(YEAR(Inputs!$F$144)+Inputs!$F$151,1,1)-1))/Inputs!$F$27)-1,0),Inputs!$F$190-1)+Inputs!$F$189*MAX(MAX(0,(Time!L$5-(DATE(YEAR(Inputs!$F$144)+Inputs!$F$151,1,1)-1))/Inputs!$F$27)-Inputs!$F$190,0))/100),0)+IF(Time!L$5&gt;=(DATE(YEAR(Inputs!$F$144)+Inputs!$F$152,1,1)-1),Inputs!$F$153/100*Inputs!$F$149*(1-(Inputs!$F$187*MIN(MAX(0,(Time!L$5-(DATE(YEAR(Inputs!$F$144)+Inputs!$F$152,1,1)-1))/Inputs!$F$27),1)+Inputs!$F$188*MIN(MAX(MAX(0,(Time!L$5-(DATE(YEAR(Inputs!$F$144)+Inputs!$F$152,1,1)-1))/Inputs!$F$27)-1,0),Inputs!$F$190-1)+Inputs!$F$189*MAX(MAX(0,(Time!L$5-(DATE(YEAR(Inputs!$F$144)+Inputs!$F$152,1,1)-1))/Inputs!$F$27)-Inputs!$F$190,0))/100),0)</f>
        <v>0</v>
      </c>
      <c r="M676" s="20" t="n">
        <f aca="false">IF(Time!M$5&gt;=(DATE(YEAR(Inputs!$F$144)+Inputs!$F$151,1,1)-1),Inputs!$F$153/100*Inputs!$F$149*(1-(Inputs!$F$187*MIN(MAX(0,(Time!M$5-(DATE(YEAR(Inputs!$F$144)+Inputs!$F$151,1,1)-1))/Inputs!$F$27),1)+Inputs!$F$188*MIN(MAX(MAX(0,(Time!M$5-(DATE(YEAR(Inputs!$F$144)+Inputs!$F$151,1,1)-1))/Inputs!$F$27)-1,0),Inputs!$F$190-1)+Inputs!$F$189*MAX(MAX(0,(Time!M$5-(DATE(YEAR(Inputs!$F$144)+Inputs!$F$151,1,1)-1))/Inputs!$F$27)-Inputs!$F$190,0))/100),0)+IF(Time!M$5&gt;=(DATE(YEAR(Inputs!$F$144)+Inputs!$F$152,1,1)-1),Inputs!$F$153/100*Inputs!$F$149*(1-(Inputs!$F$187*MIN(MAX(0,(Time!M$5-(DATE(YEAR(Inputs!$F$144)+Inputs!$F$152,1,1)-1))/Inputs!$F$27),1)+Inputs!$F$188*MIN(MAX(MAX(0,(Time!M$5-(DATE(YEAR(Inputs!$F$144)+Inputs!$F$152,1,1)-1))/Inputs!$F$27)-1,0),Inputs!$F$190-1)+Inputs!$F$189*MAX(MAX(0,(Time!M$5-(DATE(YEAR(Inputs!$F$144)+Inputs!$F$152,1,1)-1))/Inputs!$F$27)-Inputs!$F$190,0))/100),0)</f>
        <v>0</v>
      </c>
      <c r="N676" s="20" t="n">
        <f aca="false">IF(Time!N$5&gt;=(DATE(YEAR(Inputs!$F$144)+Inputs!$F$151,1,1)-1),Inputs!$F$153/100*Inputs!$F$149*(1-(Inputs!$F$187*MIN(MAX(0,(Time!N$5-(DATE(YEAR(Inputs!$F$144)+Inputs!$F$151,1,1)-1))/Inputs!$F$27),1)+Inputs!$F$188*MIN(MAX(MAX(0,(Time!N$5-(DATE(YEAR(Inputs!$F$144)+Inputs!$F$151,1,1)-1))/Inputs!$F$27)-1,0),Inputs!$F$190-1)+Inputs!$F$189*MAX(MAX(0,(Time!N$5-(DATE(YEAR(Inputs!$F$144)+Inputs!$F$151,1,1)-1))/Inputs!$F$27)-Inputs!$F$190,0))/100),0)+IF(Time!N$5&gt;=(DATE(YEAR(Inputs!$F$144)+Inputs!$F$152,1,1)-1),Inputs!$F$153/100*Inputs!$F$149*(1-(Inputs!$F$187*MIN(MAX(0,(Time!N$5-(DATE(YEAR(Inputs!$F$144)+Inputs!$F$152,1,1)-1))/Inputs!$F$27),1)+Inputs!$F$188*MIN(MAX(MAX(0,(Time!N$5-(DATE(YEAR(Inputs!$F$144)+Inputs!$F$152,1,1)-1))/Inputs!$F$27)-1,0),Inputs!$F$190-1)+Inputs!$F$189*MAX(MAX(0,(Time!N$5-(DATE(YEAR(Inputs!$F$144)+Inputs!$F$152,1,1)-1))/Inputs!$F$27)-Inputs!$F$190,0))/100),0)</f>
        <v>0</v>
      </c>
      <c r="O676" s="20" t="n">
        <f aca="false">IF(Time!O$5&gt;=(DATE(YEAR(Inputs!$F$144)+Inputs!$F$151,1,1)-1),Inputs!$F$153/100*Inputs!$F$149*(1-(Inputs!$F$187*MIN(MAX(0,(Time!O$5-(DATE(YEAR(Inputs!$F$144)+Inputs!$F$151,1,1)-1))/Inputs!$F$27),1)+Inputs!$F$188*MIN(MAX(MAX(0,(Time!O$5-(DATE(YEAR(Inputs!$F$144)+Inputs!$F$151,1,1)-1))/Inputs!$F$27)-1,0),Inputs!$F$190-1)+Inputs!$F$189*MAX(MAX(0,(Time!O$5-(DATE(YEAR(Inputs!$F$144)+Inputs!$F$151,1,1)-1))/Inputs!$F$27)-Inputs!$F$190,0))/100),0)+IF(Time!O$5&gt;=(DATE(YEAR(Inputs!$F$144)+Inputs!$F$152,1,1)-1),Inputs!$F$153/100*Inputs!$F$149*(1-(Inputs!$F$187*MIN(MAX(0,(Time!O$5-(DATE(YEAR(Inputs!$F$144)+Inputs!$F$152,1,1)-1))/Inputs!$F$27),1)+Inputs!$F$188*MIN(MAX(MAX(0,(Time!O$5-(DATE(YEAR(Inputs!$F$144)+Inputs!$F$152,1,1)-1))/Inputs!$F$27)-1,0),Inputs!$F$190-1)+Inputs!$F$189*MAX(MAX(0,(Time!O$5-(DATE(YEAR(Inputs!$F$144)+Inputs!$F$152,1,1)-1))/Inputs!$F$27)-Inputs!$F$190,0))/100),0)</f>
        <v>0</v>
      </c>
      <c r="P676" s="20" t="n">
        <f aca="false">IF(Time!P$5&gt;=(DATE(YEAR(Inputs!$F$144)+Inputs!$F$151,1,1)-1),Inputs!$F$153/100*Inputs!$F$149*(1-(Inputs!$F$187*MIN(MAX(0,(Time!P$5-(DATE(YEAR(Inputs!$F$144)+Inputs!$F$151,1,1)-1))/Inputs!$F$27),1)+Inputs!$F$188*MIN(MAX(MAX(0,(Time!P$5-(DATE(YEAR(Inputs!$F$144)+Inputs!$F$151,1,1)-1))/Inputs!$F$27)-1,0),Inputs!$F$190-1)+Inputs!$F$189*MAX(MAX(0,(Time!P$5-(DATE(YEAR(Inputs!$F$144)+Inputs!$F$151,1,1)-1))/Inputs!$F$27)-Inputs!$F$190,0))/100),0)+IF(Time!P$5&gt;=(DATE(YEAR(Inputs!$F$144)+Inputs!$F$152,1,1)-1),Inputs!$F$153/100*Inputs!$F$149*(1-(Inputs!$F$187*MIN(MAX(0,(Time!P$5-(DATE(YEAR(Inputs!$F$144)+Inputs!$F$152,1,1)-1))/Inputs!$F$27),1)+Inputs!$F$188*MIN(MAX(MAX(0,(Time!P$5-(DATE(YEAR(Inputs!$F$144)+Inputs!$F$152,1,1)-1))/Inputs!$F$27)-1,0),Inputs!$F$190-1)+Inputs!$F$189*MAX(MAX(0,(Time!P$5-(DATE(YEAR(Inputs!$F$144)+Inputs!$F$152,1,1)-1))/Inputs!$F$27)-Inputs!$F$190,0))/100),0)</f>
        <v>12</v>
      </c>
      <c r="Q676" s="20" t="n">
        <f aca="false">IF(Time!Q$5&gt;=(DATE(YEAR(Inputs!$F$144)+Inputs!$F$151,1,1)-1),Inputs!$F$153/100*Inputs!$F$149*(1-(Inputs!$F$187*MIN(MAX(0,(Time!Q$5-(DATE(YEAR(Inputs!$F$144)+Inputs!$F$151,1,1)-1))/Inputs!$F$27),1)+Inputs!$F$188*MIN(MAX(MAX(0,(Time!Q$5-(DATE(YEAR(Inputs!$F$144)+Inputs!$F$151,1,1)-1))/Inputs!$F$27)-1,0),Inputs!$F$190-1)+Inputs!$F$189*MAX(MAX(0,(Time!Q$5-(DATE(YEAR(Inputs!$F$144)+Inputs!$F$151,1,1)-1))/Inputs!$F$27)-Inputs!$F$190,0))/100),0)+IF(Time!Q$5&gt;=(DATE(YEAR(Inputs!$F$144)+Inputs!$F$152,1,1)-1),Inputs!$F$153/100*Inputs!$F$149*(1-(Inputs!$F$187*MIN(MAX(0,(Time!Q$5-(DATE(YEAR(Inputs!$F$144)+Inputs!$F$152,1,1)-1))/Inputs!$F$27),1)+Inputs!$F$188*MIN(MAX(MAX(0,(Time!Q$5-(DATE(YEAR(Inputs!$F$144)+Inputs!$F$152,1,1)-1))/Inputs!$F$27)-1,0),Inputs!$F$190-1)+Inputs!$F$189*MAX(MAX(0,(Time!Q$5-(DATE(YEAR(Inputs!$F$144)+Inputs!$F$152,1,1)-1))/Inputs!$F$27)-Inputs!$F$190,0))/100),0)</f>
        <v>11.7595068493151</v>
      </c>
      <c r="R676" s="20" t="n">
        <f aca="false">IF(Time!R$5&gt;=(DATE(YEAR(Inputs!$F$144)+Inputs!$F$151,1,1)-1),Inputs!$F$153/100*Inputs!$F$149*(1-(Inputs!$F$187*MIN(MAX(0,(Time!R$5-(DATE(YEAR(Inputs!$F$144)+Inputs!$F$151,1,1)-1))/Inputs!$F$27),1)+Inputs!$F$188*MIN(MAX(MAX(0,(Time!R$5-(DATE(YEAR(Inputs!$F$144)+Inputs!$F$151,1,1)-1))/Inputs!$F$27)-1,0),Inputs!$F$190-1)+Inputs!$F$189*MAX(MAX(0,(Time!R$5-(DATE(YEAR(Inputs!$F$144)+Inputs!$F$151,1,1)-1))/Inputs!$F$27)-Inputs!$F$190,0))/100),0)+IF(Time!R$5&gt;=(DATE(YEAR(Inputs!$F$144)+Inputs!$F$152,1,1)-1),Inputs!$F$153/100*Inputs!$F$149*(1-(Inputs!$F$187*MIN(MAX(0,(Time!R$5-(DATE(YEAR(Inputs!$F$144)+Inputs!$F$152,1,1)-1))/Inputs!$F$27),1)+Inputs!$F$188*MIN(MAX(MAX(0,(Time!R$5-(DATE(YEAR(Inputs!$F$144)+Inputs!$F$152,1,1)-1))/Inputs!$F$27)-1,0),Inputs!$F$190-1)+Inputs!$F$189*MAX(MAX(0,(Time!R$5-(DATE(YEAR(Inputs!$F$144)+Inputs!$F$152,1,1)-1))/Inputs!$F$27)-Inputs!$F$190,0))/100),0)</f>
        <v>11.5795068493151</v>
      </c>
      <c r="S676" s="20" t="n">
        <f aca="false">IF(Time!S$5&gt;=(DATE(YEAR(Inputs!$F$144)+Inputs!$F$151,1,1)-1),Inputs!$F$153/100*Inputs!$F$149*(1-(Inputs!$F$187*MIN(MAX(0,(Time!S$5-(DATE(YEAR(Inputs!$F$144)+Inputs!$F$151,1,1)-1))/Inputs!$F$27),1)+Inputs!$F$188*MIN(MAX(MAX(0,(Time!S$5-(DATE(YEAR(Inputs!$F$144)+Inputs!$F$151,1,1)-1))/Inputs!$F$27)-1,0),Inputs!$F$190-1)+Inputs!$F$189*MAX(MAX(0,(Time!S$5-(DATE(YEAR(Inputs!$F$144)+Inputs!$F$151,1,1)-1))/Inputs!$F$27)-Inputs!$F$190,0))/100),0)+IF(Time!S$5&gt;=(DATE(YEAR(Inputs!$F$144)+Inputs!$F$152,1,1)-1),Inputs!$F$153/100*Inputs!$F$149*(1-(Inputs!$F$187*MIN(MAX(0,(Time!S$5-(DATE(YEAR(Inputs!$F$144)+Inputs!$F$152,1,1)-1))/Inputs!$F$27),1)+Inputs!$F$188*MIN(MAX(MAX(0,(Time!S$5-(DATE(YEAR(Inputs!$F$144)+Inputs!$F$152,1,1)-1))/Inputs!$F$27)-1,0),Inputs!$F$190-1)+Inputs!$F$189*MAX(MAX(0,(Time!S$5-(DATE(YEAR(Inputs!$F$144)+Inputs!$F$152,1,1)-1))/Inputs!$F$27)-Inputs!$F$190,0))/100),0)</f>
        <v>11.3995068493151</v>
      </c>
      <c r="T676" s="20" t="n">
        <f aca="false">IF(Time!T$5&gt;=(DATE(YEAR(Inputs!$F$144)+Inputs!$F$151,1,1)-1),Inputs!$F$153/100*Inputs!$F$149*(1-(Inputs!$F$187*MIN(MAX(0,(Time!T$5-(DATE(YEAR(Inputs!$F$144)+Inputs!$F$151,1,1)-1))/Inputs!$F$27),1)+Inputs!$F$188*MIN(MAX(MAX(0,(Time!T$5-(DATE(YEAR(Inputs!$F$144)+Inputs!$F$151,1,1)-1))/Inputs!$F$27)-1,0),Inputs!$F$190-1)+Inputs!$F$189*MAX(MAX(0,(Time!T$5-(DATE(YEAR(Inputs!$F$144)+Inputs!$F$151,1,1)-1))/Inputs!$F$27)-Inputs!$F$190,0))/100),0)+IF(Time!T$5&gt;=(DATE(YEAR(Inputs!$F$144)+Inputs!$F$152,1,1)-1),Inputs!$F$153/100*Inputs!$F$149*(1-(Inputs!$F$187*MIN(MAX(0,(Time!T$5-(DATE(YEAR(Inputs!$F$144)+Inputs!$F$152,1,1)-1))/Inputs!$F$27),1)+Inputs!$F$188*MIN(MAX(MAX(0,(Time!T$5-(DATE(YEAR(Inputs!$F$144)+Inputs!$F$152,1,1)-1))/Inputs!$F$27)-1,0),Inputs!$F$190-1)+Inputs!$F$189*MAX(MAX(0,(Time!T$5-(DATE(YEAR(Inputs!$F$144)+Inputs!$F$152,1,1)-1))/Inputs!$F$27)-Inputs!$F$190,0))/100),0)</f>
        <v>23.2195068493151</v>
      </c>
      <c r="U676" s="20" t="n">
        <f aca="false">IF(Time!U$5&gt;=(DATE(YEAR(Inputs!$F$144)+Inputs!$F$151,1,1)-1),Inputs!$F$153/100*Inputs!$F$149*(1-(Inputs!$F$187*MIN(MAX(0,(Time!U$5-(DATE(YEAR(Inputs!$F$144)+Inputs!$F$151,1,1)-1))/Inputs!$F$27),1)+Inputs!$F$188*MIN(MAX(MAX(0,(Time!U$5-(DATE(YEAR(Inputs!$F$144)+Inputs!$F$151,1,1)-1))/Inputs!$F$27)-1,0),Inputs!$F$190-1)+Inputs!$F$189*MAX(MAX(0,(Time!U$5-(DATE(YEAR(Inputs!$F$144)+Inputs!$F$151,1,1)-1))/Inputs!$F$27)-Inputs!$F$190,0))/100),0)+IF(Time!U$5&gt;=(DATE(YEAR(Inputs!$F$144)+Inputs!$F$152,1,1)-1),Inputs!$F$153/100*Inputs!$F$149*(1-(Inputs!$F$187*MIN(MAX(0,(Time!U$5-(DATE(YEAR(Inputs!$F$144)+Inputs!$F$152,1,1)-1))/Inputs!$F$27),1)+Inputs!$F$188*MIN(MAX(MAX(0,(Time!U$5-(DATE(YEAR(Inputs!$F$144)+Inputs!$F$152,1,1)-1))/Inputs!$F$27)-1,0),Inputs!$F$190-1)+Inputs!$F$189*MAX(MAX(0,(Time!U$5-(DATE(YEAR(Inputs!$F$144)+Inputs!$F$152,1,1)-1))/Inputs!$F$27)-Inputs!$F$190,0))/100),0)</f>
        <v>22.7985205479452</v>
      </c>
      <c r="V676" s="20" t="n">
        <f aca="false">IF(Time!V$5&gt;=(DATE(YEAR(Inputs!$F$144)+Inputs!$F$151,1,1)-1),Inputs!$F$153/100*Inputs!$F$149*(1-(Inputs!$F$187*MIN(MAX(0,(Time!V$5-(DATE(YEAR(Inputs!$F$144)+Inputs!$F$151,1,1)-1))/Inputs!$F$27),1)+Inputs!$F$188*MIN(MAX(MAX(0,(Time!V$5-(DATE(YEAR(Inputs!$F$144)+Inputs!$F$151,1,1)-1))/Inputs!$F$27)-1,0),Inputs!$F$190-1)+Inputs!$F$189*MAX(MAX(0,(Time!V$5-(DATE(YEAR(Inputs!$F$144)+Inputs!$F$151,1,1)-1))/Inputs!$F$27)-Inputs!$F$190,0))/100),0)+IF(Time!V$5&gt;=(DATE(YEAR(Inputs!$F$144)+Inputs!$F$152,1,1)-1),Inputs!$F$153/100*Inputs!$F$149*(1-(Inputs!$F$187*MIN(MAX(0,(Time!V$5-(DATE(YEAR(Inputs!$F$144)+Inputs!$F$152,1,1)-1))/Inputs!$F$27),1)+Inputs!$F$188*MIN(MAX(MAX(0,(Time!V$5-(DATE(YEAR(Inputs!$F$144)+Inputs!$F$152,1,1)-1))/Inputs!$F$27)-1,0),Inputs!$F$190-1)+Inputs!$F$189*MAX(MAX(0,(Time!V$5-(DATE(YEAR(Inputs!$F$144)+Inputs!$F$152,1,1)-1))/Inputs!$F$27)-Inputs!$F$190,0))/100),0)</f>
        <v>22.4385205479452</v>
      </c>
      <c r="W676" s="20" t="n">
        <f aca="false">IF(Time!W$5&gt;=(DATE(YEAR(Inputs!$F$144)+Inputs!$F$151,1,1)-1),Inputs!$F$153/100*Inputs!$F$149*(1-(Inputs!$F$187*MIN(MAX(0,(Time!W$5-(DATE(YEAR(Inputs!$F$144)+Inputs!$F$151,1,1)-1))/Inputs!$F$27),1)+Inputs!$F$188*MIN(MAX(MAX(0,(Time!W$5-(DATE(YEAR(Inputs!$F$144)+Inputs!$F$151,1,1)-1))/Inputs!$F$27)-1,0),Inputs!$F$190-1)+Inputs!$F$189*MAX(MAX(0,(Time!W$5-(DATE(YEAR(Inputs!$F$144)+Inputs!$F$151,1,1)-1))/Inputs!$F$27)-Inputs!$F$190,0))/100),0)+IF(Time!W$5&gt;=(DATE(YEAR(Inputs!$F$144)+Inputs!$F$152,1,1)-1),Inputs!$F$153/100*Inputs!$F$149*(1-(Inputs!$F$187*MIN(MAX(0,(Time!W$5-(DATE(YEAR(Inputs!$F$144)+Inputs!$F$152,1,1)-1))/Inputs!$F$27),1)+Inputs!$F$188*MIN(MAX(MAX(0,(Time!W$5-(DATE(YEAR(Inputs!$F$144)+Inputs!$F$152,1,1)-1))/Inputs!$F$27)-1,0),Inputs!$F$190-1)+Inputs!$F$189*MAX(MAX(0,(Time!W$5-(DATE(YEAR(Inputs!$F$144)+Inputs!$F$152,1,1)-1))/Inputs!$F$27)-Inputs!$F$190,0))/100),0)</f>
        <v>22.0785205479452</v>
      </c>
      <c r="X676" s="20" t="n">
        <f aca="false">IF(Time!X$5&gt;=(DATE(YEAR(Inputs!$F$144)+Inputs!$F$151,1,1)-1),Inputs!$F$153/100*Inputs!$F$149*(1-(Inputs!$F$187*MIN(MAX(0,(Time!X$5-(DATE(YEAR(Inputs!$F$144)+Inputs!$F$151,1,1)-1))/Inputs!$F$27),1)+Inputs!$F$188*MIN(MAX(MAX(0,(Time!X$5-(DATE(YEAR(Inputs!$F$144)+Inputs!$F$151,1,1)-1))/Inputs!$F$27)-1,0),Inputs!$F$190-1)+Inputs!$F$189*MAX(MAX(0,(Time!X$5-(DATE(YEAR(Inputs!$F$144)+Inputs!$F$151,1,1)-1))/Inputs!$F$27)-Inputs!$F$190,0))/100),0)+IF(Time!X$5&gt;=(DATE(YEAR(Inputs!$F$144)+Inputs!$F$152,1,1)-1),Inputs!$F$153/100*Inputs!$F$149*(1-(Inputs!$F$187*MIN(MAX(0,(Time!X$5-(DATE(YEAR(Inputs!$F$144)+Inputs!$F$152,1,1)-1))/Inputs!$F$27),1)+Inputs!$F$188*MIN(MAX(MAX(0,(Time!X$5-(DATE(YEAR(Inputs!$F$144)+Inputs!$F$152,1,1)-1))/Inputs!$F$27)-1,0),Inputs!$F$190-1)+Inputs!$F$189*MAX(MAX(0,(Time!X$5-(DATE(YEAR(Inputs!$F$144)+Inputs!$F$152,1,1)-1))/Inputs!$F$27)-Inputs!$F$190,0))/100),0)</f>
        <v>21.7185205479452</v>
      </c>
      <c r="Y676" s="20" t="n">
        <f aca="false">IF(Time!Y$5&gt;=(DATE(YEAR(Inputs!$F$144)+Inputs!$F$151,1,1)-1),Inputs!$F$153/100*Inputs!$F$149*(1-(Inputs!$F$187*MIN(MAX(0,(Time!Y$5-(DATE(YEAR(Inputs!$F$144)+Inputs!$F$151,1,1)-1))/Inputs!$F$27),1)+Inputs!$F$188*MIN(MAX(MAX(0,(Time!Y$5-(DATE(YEAR(Inputs!$F$144)+Inputs!$F$151,1,1)-1))/Inputs!$F$27)-1,0),Inputs!$F$190-1)+Inputs!$F$189*MAX(MAX(0,(Time!Y$5-(DATE(YEAR(Inputs!$F$144)+Inputs!$F$151,1,1)-1))/Inputs!$F$27)-Inputs!$F$190,0))/100),0)+IF(Time!Y$5&gt;=(DATE(YEAR(Inputs!$F$144)+Inputs!$F$152,1,1)-1),Inputs!$F$153/100*Inputs!$F$149*(1-(Inputs!$F$187*MIN(MAX(0,(Time!Y$5-(DATE(YEAR(Inputs!$F$144)+Inputs!$F$152,1,1)-1))/Inputs!$F$27),1)+Inputs!$F$188*MIN(MAX(MAX(0,(Time!Y$5-(DATE(YEAR(Inputs!$F$144)+Inputs!$F$152,1,1)-1))/Inputs!$F$27)-1,0),Inputs!$F$190-1)+Inputs!$F$189*MAX(MAX(0,(Time!Y$5-(DATE(YEAR(Inputs!$F$144)+Inputs!$F$152,1,1)-1))/Inputs!$F$27)-Inputs!$F$190,0))/100),0)</f>
        <v>21.3575342465753</v>
      </c>
      <c r="Z676" s="20" t="n">
        <f aca="false">IF(Time!Z$5&gt;=(DATE(YEAR(Inputs!$F$144)+Inputs!$F$151,1,1)-1),Inputs!$F$153/100*Inputs!$F$149*(1-(Inputs!$F$187*MIN(MAX(0,(Time!Z$5-(DATE(YEAR(Inputs!$F$144)+Inputs!$F$151,1,1)-1))/Inputs!$F$27),1)+Inputs!$F$188*MIN(MAX(MAX(0,(Time!Z$5-(DATE(YEAR(Inputs!$F$144)+Inputs!$F$151,1,1)-1))/Inputs!$F$27)-1,0),Inputs!$F$190-1)+Inputs!$F$189*MAX(MAX(0,(Time!Z$5-(DATE(YEAR(Inputs!$F$144)+Inputs!$F$151,1,1)-1))/Inputs!$F$27)-Inputs!$F$190,0))/100),0)+IF(Time!Z$5&gt;=(DATE(YEAR(Inputs!$F$144)+Inputs!$F$152,1,1)-1),Inputs!$F$153/100*Inputs!$F$149*(1-(Inputs!$F$187*MIN(MAX(0,(Time!Z$5-(DATE(YEAR(Inputs!$F$144)+Inputs!$F$152,1,1)-1))/Inputs!$F$27),1)+Inputs!$F$188*MIN(MAX(MAX(0,(Time!Z$5-(DATE(YEAR(Inputs!$F$144)+Inputs!$F$152,1,1)-1))/Inputs!$F$27)-1,0),Inputs!$F$190-1)+Inputs!$F$189*MAX(MAX(0,(Time!Z$5-(DATE(YEAR(Inputs!$F$144)+Inputs!$F$152,1,1)-1))/Inputs!$F$27)-Inputs!$F$190,0))/100),0)</f>
        <v>20.9980273972603</v>
      </c>
      <c r="AA676" s="20" t="n">
        <f aca="false">IF(Time!AA$5&gt;=(DATE(YEAR(Inputs!$F$144)+Inputs!$F$151,1,1)-1),Inputs!$F$153/100*Inputs!$F$149*(1-(Inputs!$F$187*MIN(MAX(0,(Time!AA$5-(DATE(YEAR(Inputs!$F$144)+Inputs!$F$151,1,1)-1))/Inputs!$F$27),1)+Inputs!$F$188*MIN(MAX(MAX(0,(Time!AA$5-(DATE(YEAR(Inputs!$F$144)+Inputs!$F$151,1,1)-1))/Inputs!$F$27)-1,0),Inputs!$F$190-1)+Inputs!$F$189*MAX(MAX(0,(Time!AA$5-(DATE(YEAR(Inputs!$F$144)+Inputs!$F$151,1,1)-1))/Inputs!$F$27)-Inputs!$F$190,0))/100),0)+IF(Time!AA$5&gt;=(DATE(YEAR(Inputs!$F$144)+Inputs!$F$152,1,1)-1),Inputs!$F$153/100*Inputs!$F$149*(1-(Inputs!$F$187*MIN(MAX(0,(Time!AA$5-(DATE(YEAR(Inputs!$F$144)+Inputs!$F$152,1,1)-1))/Inputs!$F$27),1)+Inputs!$F$188*MIN(MAX(MAX(0,(Time!AA$5-(DATE(YEAR(Inputs!$F$144)+Inputs!$F$152,1,1)-1))/Inputs!$F$27)-1,0),Inputs!$F$190-1)+Inputs!$F$189*MAX(MAX(0,(Time!AA$5-(DATE(YEAR(Inputs!$F$144)+Inputs!$F$152,1,1)-1))/Inputs!$F$27)-Inputs!$F$190,0))/100),0)</f>
        <v>20.6980273972603</v>
      </c>
      <c r="AB676" s="20" t="n">
        <f aca="false">IF(Time!AB$5&gt;=(DATE(YEAR(Inputs!$F$144)+Inputs!$F$151,1,1)-1),Inputs!$F$153/100*Inputs!$F$149*(1-(Inputs!$F$187*MIN(MAX(0,(Time!AB$5-(DATE(YEAR(Inputs!$F$144)+Inputs!$F$151,1,1)-1))/Inputs!$F$27),1)+Inputs!$F$188*MIN(MAX(MAX(0,(Time!AB$5-(DATE(YEAR(Inputs!$F$144)+Inputs!$F$151,1,1)-1))/Inputs!$F$27)-1,0),Inputs!$F$190-1)+Inputs!$F$189*MAX(MAX(0,(Time!AB$5-(DATE(YEAR(Inputs!$F$144)+Inputs!$F$151,1,1)-1))/Inputs!$F$27)-Inputs!$F$190,0))/100),0)+IF(Time!AB$5&gt;=(DATE(YEAR(Inputs!$F$144)+Inputs!$F$152,1,1)-1),Inputs!$F$153/100*Inputs!$F$149*(1-(Inputs!$F$187*MIN(MAX(0,(Time!AB$5-(DATE(YEAR(Inputs!$F$144)+Inputs!$F$152,1,1)-1))/Inputs!$F$27),1)+Inputs!$F$188*MIN(MAX(MAX(0,(Time!AB$5-(DATE(YEAR(Inputs!$F$144)+Inputs!$F$152,1,1)-1))/Inputs!$F$27)-1,0),Inputs!$F$190-1)+Inputs!$F$189*MAX(MAX(0,(Time!AB$5-(DATE(YEAR(Inputs!$F$144)+Inputs!$F$152,1,1)-1))/Inputs!$F$27)-Inputs!$F$190,0))/100),0)</f>
        <v>20.3980273972603</v>
      </c>
      <c r="AC676" s="20" t="n">
        <f aca="false">IF(Time!AC$5&gt;=(DATE(YEAR(Inputs!$F$144)+Inputs!$F$151,1,1)-1),Inputs!$F$153/100*Inputs!$F$149*(1-(Inputs!$F$187*MIN(MAX(0,(Time!AC$5-(DATE(YEAR(Inputs!$F$144)+Inputs!$F$151,1,1)-1))/Inputs!$F$27),1)+Inputs!$F$188*MIN(MAX(MAX(0,(Time!AC$5-(DATE(YEAR(Inputs!$F$144)+Inputs!$F$151,1,1)-1))/Inputs!$F$27)-1,0),Inputs!$F$190-1)+Inputs!$F$189*MAX(MAX(0,(Time!AC$5-(DATE(YEAR(Inputs!$F$144)+Inputs!$F$151,1,1)-1))/Inputs!$F$27)-Inputs!$F$190,0))/100),0)+IF(Time!AC$5&gt;=(DATE(YEAR(Inputs!$F$144)+Inputs!$F$152,1,1)-1),Inputs!$F$153/100*Inputs!$F$149*(1-(Inputs!$F$187*MIN(MAX(0,(Time!AC$5-(DATE(YEAR(Inputs!$F$144)+Inputs!$F$152,1,1)-1))/Inputs!$F$27),1)+Inputs!$F$188*MIN(MAX(MAX(0,(Time!AC$5-(DATE(YEAR(Inputs!$F$144)+Inputs!$F$152,1,1)-1))/Inputs!$F$27)-1,0),Inputs!$F$190-1)+Inputs!$F$189*MAX(MAX(0,(Time!AC$5-(DATE(YEAR(Inputs!$F$144)+Inputs!$F$152,1,1)-1))/Inputs!$F$27)-Inputs!$F$190,0))/100),0)</f>
        <v>20.0972054794521</v>
      </c>
      <c r="AD676" s="20" t="n">
        <f aca="false">IF(Time!AD$5&gt;=(DATE(YEAR(Inputs!$F$144)+Inputs!$F$151,1,1)-1),Inputs!$F$153/100*Inputs!$F$149*(1-(Inputs!$F$187*MIN(MAX(0,(Time!AD$5-(DATE(YEAR(Inputs!$F$144)+Inputs!$F$151,1,1)-1))/Inputs!$F$27),1)+Inputs!$F$188*MIN(MAX(MAX(0,(Time!AD$5-(DATE(YEAR(Inputs!$F$144)+Inputs!$F$151,1,1)-1))/Inputs!$F$27)-1,0),Inputs!$F$190-1)+Inputs!$F$189*MAX(MAX(0,(Time!AD$5-(DATE(YEAR(Inputs!$F$144)+Inputs!$F$151,1,1)-1))/Inputs!$F$27)-Inputs!$F$190,0))/100),0)+IF(Time!AD$5&gt;=(DATE(YEAR(Inputs!$F$144)+Inputs!$F$152,1,1)-1),Inputs!$F$153/100*Inputs!$F$149*(1-(Inputs!$F$187*MIN(MAX(0,(Time!AD$5-(DATE(YEAR(Inputs!$F$144)+Inputs!$F$152,1,1)-1))/Inputs!$F$27),1)+Inputs!$F$188*MIN(MAX(MAX(0,(Time!AD$5-(DATE(YEAR(Inputs!$F$144)+Inputs!$F$152,1,1)-1))/Inputs!$F$27)-1,0),Inputs!$F$190-1)+Inputs!$F$189*MAX(MAX(0,(Time!AD$5-(DATE(YEAR(Inputs!$F$144)+Inputs!$F$152,1,1)-1))/Inputs!$F$27)-Inputs!$F$190,0))/100),0)</f>
        <v>19.797698630137</v>
      </c>
      <c r="AE676" s="20" t="n">
        <f aca="false">IF(Time!AE$5&gt;=(DATE(YEAR(Inputs!$F$144)+Inputs!$F$151,1,1)-1),Inputs!$F$153/100*Inputs!$F$149*(1-(Inputs!$F$187*MIN(MAX(0,(Time!AE$5-(DATE(YEAR(Inputs!$F$144)+Inputs!$F$151,1,1)-1))/Inputs!$F$27),1)+Inputs!$F$188*MIN(MAX(MAX(0,(Time!AE$5-(DATE(YEAR(Inputs!$F$144)+Inputs!$F$151,1,1)-1))/Inputs!$F$27)-1,0),Inputs!$F$190-1)+Inputs!$F$189*MAX(MAX(0,(Time!AE$5-(DATE(YEAR(Inputs!$F$144)+Inputs!$F$151,1,1)-1))/Inputs!$F$27)-Inputs!$F$190,0))/100),0)+IF(Time!AE$5&gt;=(DATE(YEAR(Inputs!$F$144)+Inputs!$F$152,1,1)-1),Inputs!$F$153/100*Inputs!$F$149*(1-(Inputs!$F$187*MIN(MAX(0,(Time!AE$5-(DATE(YEAR(Inputs!$F$144)+Inputs!$F$152,1,1)-1))/Inputs!$F$27),1)+Inputs!$F$188*MIN(MAX(MAX(0,(Time!AE$5-(DATE(YEAR(Inputs!$F$144)+Inputs!$F$152,1,1)-1))/Inputs!$F$27)-1,0),Inputs!$F$190-1)+Inputs!$F$189*MAX(MAX(0,(Time!AE$5-(DATE(YEAR(Inputs!$F$144)+Inputs!$F$152,1,1)-1))/Inputs!$F$27)-Inputs!$F$190,0))/100),0)</f>
        <v>19.557698630137</v>
      </c>
      <c r="AF676" s="20" t="n">
        <f aca="false">IF(Time!AF$5&gt;=(DATE(YEAR(Inputs!$F$144)+Inputs!$F$151,1,1)-1),Inputs!$F$153/100*Inputs!$F$149*(1-(Inputs!$F$187*MIN(MAX(0,(Time!AF$5-(DATE(YEAR(Inputs!$F$144)+Inputs!$F$151,1,1)-1))/Inputs!$F$27),1)+Inputs!$F$188*MIN(MAX(MAX(0,(Time!AF$5-(DATE(YEAR(Inputs!$F$144)+Inputs!$F$151,1,1)-1))/Inputs!$F$27)-1,0),Inputs!$F$190-1)+Inputs!$F$189*MAX(MAX(0,(Time!AF$5-(DATE(YEAR(Inputs!$F$144)+Inputs!$F$151,1,1)-1))/Inputs!$F$27)-Inputs!$F$190,0))/100),0)+IF(Time!AF$5&gt;=(DATE(YEAR(Inputs!$F$144)+Inputs!$F$152,1,1)-1),Inputs!$F$153/100*Inputs!$F$149*(1-(Inputs!$F$187*MIN(MAX(0,(Time!AF$5-(DATE(YEAR(Inputs!$F$144)+Inputs!$F$152,1,1)-1))/Inputs!$F$27),1)+Inputs!$F$188*MIN(MAX(MAX(0,(Time!AF$5-(DATE(YEAR(Inputs!$F$144)+Inputs!$F$152,1,1)-1))/Inputs!$F$27)-1,0),Inputs!$F$190-1)+Inputs!$F$189*MAX(MAX(0,(Time!AF$5-(DATE(YEAR(Inputs!$F$144)+Inputs!$F$152,1,1)-1))/Inputs!$F$27)-Inputs!$F$190,0))/100),0)</f>
        <v>19.317698630137</v>
      </c>
      <c r="AG676" s="20" t="n">
        <f aca="false">IF(Time!AG$5&gt;=(DATE(YEAR(Inputs!$F$144)+Inputs!$F$151,1,1)-1),Inputs!$F$153/100*Inputs!$F$149*(1-(Inputs!$F$187*MIN(MAX(0,(Time!AG$5-(DATE(YEAR(Inputs!$F$144)+Inputs!$F$151,1,1)-1))/Inputs!$F$27),1)+Inputs!$F$188*MIN(MAX(MAX(0,(Time!AG$5-(DATE(YEAR(Inputs!$F$144)+Inputs!$F$151,1,1)-1))/Inputs!$F$27)-1,0),Inputs!$F$190-1)+Inputs!$F$189*MAX(MAX(0,(Time!AG$5-(DATE(YEAR(Inputs!$F$144)+Inputs!$F$151,1,1)-1))/Inputs!$F$27)-Inputs!$F$190,0))/100),0)+IF(Time!AG$5&gt;=(DATE(YEAR(Inputs!$F$144)+Inputs!$F$152,1,1)-1),Inputs!$F$153/100*Inputs!$F$149*(1-(Inputs!$F$187*MIN(MAX(0,(Time!AG$5-(DATE(YEAR(Inputs!$F$144)+Inputs!$F$152,1,1)-1))/Inputs!$F$27),1)+Inputs!$F$188*MIN(MAX(MAX(0,(Time!AG$5-(DATE(YEAR(Inputs!$F$144)+Inputs!$F$152,1,1)-1))/Inputs!$F$27)-1,0),Inputs!$F$190-1)+Inputs!$F$189*MAX(MAX(0,(Time!AG$5-(DATE(YEAR(Inputs!$F$144)+Inputs!$F$152,1,1)-1))/Inputs!$F$27)-Inputs!$F$190,0))/100),0)</f>
        <v>19.0770410958904</v>
      </c>
      <c r="AH676" s="20" t="n">
        <f aca="false">IF(Time!AH$5&gt;=(DATE(YEAR(Inputs!$F$144)+Inputs!$F$151,1,1)-1),Inputs!$F$153/100*Inputs!$F$149*(1-(Inputs!$F$187*MIN(MAX(0,(Time!AH$5-(DATE(YEAR(Inputs!$F$144)+Inputs!$F$151,1,1)-1))/Inputs!$F$27),1)+Inputs!$F$188*MIN(MAX(MAX(0,(Time!AH$5-(DATE(YEAR(Inputs!$F$144)+Inputs!$F$151,1,1)-1))/Inputs!$F$27)-1,0),Inputs!$F$190-1)+Inputs!$F$189*MAX(MAX(0,(Time!AH$5-(DATE(YEAR(Inputs!$F$144)+Inputs!$F$151,1,1)-1))/Inputs!$F$27)-Inputs!$F$190,0))/100),0)+IF(Time!AH$5&gt;=(DATE(YEAR(Inputs!$F$144)+Inputs!$F$152,1,1)-1),Inputs!$F$153/100*Inputs!$F$149*(1-(Inputs!$F$187*MIN(MAX(0,(Time!AH$5-(DATE(YEAR(Inputs!$F$144)+Inputs!$F$152,1,1)-1))/Inputs!$F$27),1)+Inputs!$F$188*MIN(MAX(MAX(0,(Time!AH$5-(DATE(YEAR(Inputs!$F$144)+Inputs!$F$152,1,1)-1))/Inputs!$F$27)-1,0),Inputs!$F$190-1)+Inputs!$F$189*MAX(MAX(0,(Time!AH$5-(DATE(YEAR(Inputs!$F$144)+Inputs!$F$152,1,1)-1))/Inputs!$F$27)-Inputs!$F$190,0))/100),0)</f>
        <v>18.8370410958904</v>
      </c>
      <c r="AI676" s="20" t="n">
        <f aca="false">IF(Time!AI$5&gt;=(DATE(YEAR(Inputs!$F$144)+Inputs!$F$151,1,1)-1),Inputs!$F$153/100*Inputs!$F$149*(1-(Inputs!$F$187*MIN(MAX(0,(Time!AI$5-(DATE(YEAR(Inputs!$F$144)+Inputs!$F$151,1,1)-1))/Inputs!$F$27),1)+Inputs!$F$188*MIN(MAX(MAX(0,(Time!AI$5-(DATE(YEAR(Inputs!$F$144)+Inputs!$F$151,1,1)-1))/Inputs!$F$27)-1,0),Inputs!$F$190-1)+Inputs!$F$189*MAX(MAX(0,(Time!AI$5-(DATE(YEAR(Inputs!$F$144)+Inputs!$F$151,1,1)-1))/Inputs!$F$27)-Inputs!$F$190,0))/100),0)+IF(Time!AI$5&gt;=(DATE(YEAR(Inputs!$F$144)+Inputs!$F$152,1,1)-1),Inputs!$F$153/100*Inputs!$F$149*(1-(Inputs!$F$187*MIN(MAX(0,(Time!AI$5-(DATE(YEAR(Inputs!$F$144)+Inputs!$F$152,1,1)-1))/Inputs!$F$27),1)+Inputs!$F$188*MIN(MAX(MAX(0,(Time!AI$5-(DATE(YEAR(Inputs!$F$144)+Inputs!$F$152,1,1)-1))/Inputs!$F$27)-1,0),Inputs!$F$190-1)+Inputs!$F$189*MAX(MAX(0,(Time!AI$5-(DATE(YEAR(Inputs!$F$144)+Inputs!$F$152,1,1)-1))/Inputs!$F$27)-Inputs!$F$190,0))/100),0)</f>
        <v>18.5970410958904</v>
      </c>
      <c r="AJ676" s="20" t="n">
        <f aca="false">IF(Time!AJ$5&gt;=(DATE(YEAR(Inputs!$F$144)+Inputs!$F$151,1,1)-1),Inputs!$F$153/100*Inputs!$F$149*(1-(Inputs!$F$187*MIN(MAX(0,(Time!AJ$5-(DATE(YEAR(Inputs!$F$144)+Inputs!$F$151,1,1)-1))/Inputs!$F$27),1)+Inputs!$F$188*MIN(MAX(MAX(0,(Time!AJ$5-(DATE(YEAR(Inputs!$F$144)+Inputs!$F$151,1,1)-1))/Inputs!$F$27)-1,0),Inputs!$F$190-1)+Inputs!$F$189*MAX(MAX(0,(Time!AJ$5-(DATE(YEAR(Inputs!$F$144)+Inputs!$F$151,1,1)-1))/Inputs!$F$27)-Inputs!$F$190,0))/100),0)+IF(Time!AJ$5&gt;=(DATE(YEAR(Inputs!$F$144)+Inputs!$F$152,1,1)-1),Inputs!$F$153/100*Inputs!$F$149*(1-(Inputs!$F$187*MIN(MAX(0,(Time!AJ$5-(DATE(YEAR(Inputs!$F$144)+Inputs!$F$152,1,1)-1))/Inputs!$F$27),1)+Inputs!$F$188*MIN(MAX(MAX(0,(Time!AJ$5-(DATE(YEAR(Inputs!$F$144)+Inputs!$F$152,1,1)-1))/Inputs!$F$27)-1,0),Inputs!$F$190-1)+Inputs!$F$189*MAX(MAX(0,(Time!AJ$5-(DATE(YEAR(Inputs!$F$144)+Inputs!$F$152,1,1)-1))/Inputs!$F$27)-Inputs!$F$190,0))/100),0)</f>
        <v>18.3570410958904</v>
      </c>
      <c r="AK676" s="20" t="n">
        <f aca="false">IF(Time!AK$5&gt;=(DATE(YEAR(Inputs!$F$144)+Inputs!$F$151,1,1)-1),Inputs!$F$153/100*Inputs!$F$149*(1-(Inputs!$F$187*MIN(MAX(0,(Time!AK$5-(DATE(YEAR(Inputs!$F$144)+Inputs!$F$151,1,1)-1))/Inputs!$F$27),1)+Inputs!$F$188*MIN(MAX(MAX(0,(Time!AK$5-(DATE(YEAR(Inputs!$F$144)+Inputs!$F$151,1,1)-1))/Inputs!$F$27)-1,0),Inputs!$F$190-1)+Inputs!$F$189*MAX(MAX(0,(Time!AK$5-(DATE(YEAR(Inputs!$F$144)+Inputs!$F$151,1,1)-1))/Inputs!$F$27)-Inputs!$F$190,0))/100),0)+IF(Time!AK$5&gt;=(DATE(YEAR(Inputs!$F$144)+Inputs!$F$152,1,1)-1),Inputs!$F$153/100*Inputs!$F$149*(1-(Inputs!$F$187*MIN(MAX(0,(Time!AK$5-(DATE(YEAR(Inputs!$F$144)+Inputs!$F$152,1,1)-1))/Inputs!$F$27),1)+Inputs!$F$188*MIN(MAX(MAX(0,(Time!AK$5-(DATE(YEAR(Inputs!$F$144)+Inputs!$F$152,1,1)-1))/Inputs!$F$27)-1,0),Inputs!$F$190-1)+Inputs!$F$189*MAX(MAX(0,(Time!AK$5-(DATE(YEAR(Inputs!$F$144)+Inputs!$F$152,1,1)-1))/Inputs!$F$27)-Inputs!$F$190,0))/100),0)</f>
        <v>18.1163835616438</v>
      </c>
      <c r="AL676" s="20" t="n">
        <f aca="false">IF(Time!AL$5&gt;=(DATE(YEAR(Inputs!$F$144)+Inputs!$F$151,1,1)-1),Inputs!$F$153/100*Inputs!$F$149*(1-(Inputs!$F$187*MIN(MAX(0,(Time!AL$5-(DATE(YEAR(Inputs!$F$144)+Inputs!$F$151,1,1)-1))/Inputs!$F$27),1)+Inputs!$F$188*MIN(MAX(MAX(0,(Time!AL$5-(DATE(YEAR(Inputs!$F$144)+Inputs!$F$151,1,1)-1))/Inputs!$F$27)-1,0),Inputs!$F$190-1)+Inputs!$F$189*MAX(MAX(0,(Time!AL$5-(DATE(YEAR(Inputs!$F$144)+Inputs!$F$151,1,1)-1))/Inputs!$F$27)-Inputs!$F$190,0))/100),0)+IF(Time!AL$5&gt;=(DATE(YEAR(Inputs!$F$144)+Inputs!$F$152,1,1)-1),Inputs!$F$153/100*Inputs!$F$149*(1-(Inputs!$F$187*MIN(MAX(0,(Time!AL$5-(DATE(YEAR(Inputs!$F$144)+Inputs!$F$152,1,1)-1))/Inputs!$F$27),1)+Inputs!$F$188*MIN(MAX(MAX(0,(Time!AL$5-(DATE(YEAR(Inputs!$F$144)+Inputs!$F$152,1,1)-1))/Inputs!$F$27)-1,0),Inputs!$F$190-1)+Inputs!$F$189*MAX(MAX(0,(Time!AL$5-(DATE(YEAR(Inputs!$F$144)+Inputs!$F$152,1,1)-1))/Inputs!$F$27)-Inputs!$F$190,0))/100),0)</f>
        <v>17.8763835616438</v>
      </c>
      <c r="AM676" s="20" t="n">
        <f aca="false">IF(Time!AM$5&gt;=(DATE(YEAR(Inputs!$F$144)+Inputs!$F$151,1,1)-1),Inputs!$F$153/100*Inputs!$F$149*(1-(Inputs!$F$187*MIN(MAX(0,(Time!AM$5-(DATE(YEAR(Inputs!$F$144)+Inputs!$F$151,1,1)-1))/Inputs!$F$27),1)+Inputs!$F$188*MIN(MAX(MAX(0,(Time!AM$5-(DATE(YEAR(Inputs!$F$144)+Inputs!$F$151,1,1)-1))/Inputs!$F$27)-1,0),Inputs!$F$190-1)+Inputs!$F$189*MAX(MAX(0,(Time!AM$5-(DATE(YEAR(Inputs!$F$144)+Inputs!$F$151,1,1)-1))/Inputs!$F$27)-Inputs!$F$190,0))/100),0)+IF(Time!AM$5&gt;=(DATE(YEAR(Inputs!$F$144)+Inputs!$F$152,1,1)-1),Inputs!$F$153/100*Inputs!$F$149*(1-(Inputs!$F$187*MIN(MAX(0,(Time!AM$5-(DATE(YEAR(Inputs!$F$144)+Inputs!$F$152,1,1)-1))/Inputs!$F$27),1)+Inputs!$F$188*MIN(MAX(MAX(0,(Time!AM$5-(DATE(YEAR(Inputs!$F$144)+Inputs!$F$152,1,1)-1))/Inputs!$F$27)-1,0),Inputs!$F$190-1)+Inputs!$F$189*MAX(MAX(0,(Time!AM$5-(DATE(YEAR(Inputs!$F$144)+Inputs!$F$152,1,1)-1))/Inputs!$F$27)-Inputs!$F$190,0))/100),0)</f>
        <v>17.6363835616438</v>
      </c>
      <c r="AN676" s="20" t="n">
        <f aca="false">IF(Time!AN$5&gt;=(DATE(YEAR(Inputs!$F$144)+Inputs!$F$151,1,1)-1),Inputs!$F$153/100*Inputs!$F$149*(1-(Inputs!$F$187*MIN(MAX(0,(Time!AN$5-(DATE(YEAR(Inputs!$F$144)+Inputs!$F$151,1,1)-1))/Inputs!$F$27),1)+Inputs!$F$188*MIN(MAX(MAX(0,(Time!AN$5-(DATE(YEAR(Inputs!$F$144)+Inputs!$F$151,1,1)-1))/Inputs!$F$27)-1,0),Inputs!$F$190-1)+Inputs!$F$189*MAX(MAX(0,(Time!AN$5-(DATE(YEAR(Inputs!$F$144)+Inputs!$F$151,1,1)-1))/Inputs!$F$27)-Inputs!$F$190,0))/100),0)+IF(Time!AN$5&gt;=(DATE(YEAR(Inputs!$F$144)+Inputs!$F$152,1,1)-1),Inputs!$F$153/100*Inputs!$F$149*(1-(Inputs!$F$187*MIN(MAX(0,(Time!AN$5-(DATE(YEAR(Inputs!$F$144)+Inputs!$F$152,1,1)-1))/Inputs!$F$27),1)+Inputs!$F$188*MIN(MAX(MAX(0,(Time!AN$5-(DATE(YEAR(Inputs!$F$144)+Inputs!$F$152,1,1)-1))/Inputs!$F$27)-1,0),Inputs!$F$190-1)+Inputs!$F$189*MAX(MAX(0,(Time!AN$5-(DATE(YEAR(Inputs!$F$144)+Inputs!$F$152,1,1)-1))/Inputs!$F$27)-Inputs!$F$190,0))/100),0)</f>
        <v>17.3963835616438</v>
      </c>
      <c r="AO676" s="20" t="n">
        <f aca="false">IF(Time!AO$5&gt;=(DATE(YEAR(Inputs!$F$144)+Inputs!$F$151,1,1)-1),Inputs!$F$153/100*Inputs!$F$149*(1-(Inputs!$F$187*MIN(MAX(0,(Time!AO$5-(DATE(YEAR(Inputs!$F$144)+Inputs!$F$151,1,1)-1))/Inputs!$F$27),1)+Inputs!$F$188*MIN(MAX(MAX(0,(Time!AO$5-(DATE(YEAR(Inputs!$F$144)+Inputs!$F$151,1,1)-1))/Inputs!$F$27)-1,0),Inputs!$F$190-1)+Inputs!$F$189*MAX(MAX(0,(Time!AO$5-(DATE(YEAR(Inputs!$F$144)+Inputs!$F$151,1,1)-1))/Inputs!$F$27)-Inputs!$F$190,0))/100),0)+IF(Time!AO$5&gt;=(DATE(YEAR(Inputs!$F$144)+Inputs!$F$152,1,1)-1),Inputs!$F$153/100*Inputs!$F$149*(1-(Inputs!$F$187*MIN(MAX(0,(Time!AO$5-(DATE(YEAR(Inputs!$F$144)+Inputs!$F$152,1,1)-1))/Inputs!$F$27),1)+Inputs!$F$188*MIN(MAX(MAX(0,(Time!AO$5-(DATE(YEAR(Inputs!$F$144)+Inputs!$F$152,1,1)-1))/Inputs!$F$27)-1,0),Inputs!$F$190-1)+Inputs!$F$189*MAX(MAX(0,(Time!AO$5-(DATE(YEAR(Inputs!$F$144)+Inputs!$F$152,1,1)-1))/Inputs!$F$27)-Inputs!$F$190,0))/100),0)</f>
        <v>17.1557260273973</v>
      </c>
      <c r="AP676" s="20" t="n">
        <f aca="false">IF(Time!AP$5&gt;=(DATE(YEAR(Inputs!$F$144)+Inputs!$F$151,1,1)-1),Inputs!$F$153/100*Inputs!$F$149*(1-(Inputs!$F$187*MIN(MAX(0,(Time!AP$5-(DATE(YEAR(Inputs!$F$144)+Inputs!$F$151,1,1)-1))/Inputs!$F$27),1)+Inputs!$F$188*MIN(MAX(MAX(0,(Time!AP$5-(DATE(YEAR(Inputs!$F$144)+Inputs!$F$151,1,1)-1))/Inputs!$F$27)-1,0),Inputs!$F$190-1)+Inputs!$F$189*MAX(MAX(0,(Time!AP$5-(DATE(YEAR(Inputs!$F$144)+Inputs!$F$151,1,1)-1))/Inputs!$F$27)-Inputs!$F$190,0))/100),0)+IF(Time!AP$5&gt;=(DATE(YEAR(Inputs!$F$144)+Inputs!$F$152,1,1)-1),Inputs!$F$153/100*Inputs!$F$149*(1-(Inputs!$F$187*MIN(MAX(0,(Time!AP$5-(DATE(YEAR(Inputs!$F$144)+Inputs!$F$152,1,1)-1))/Inputs!$F$27),1)+Inputs!$F$188*MIN(MAX(MAX(0,(Time!AP$5-(DATE(YEAR(Inputs!$F$144)+Inputs!$F$152,1,1)-1))/Inputs!$F$27)-1,0),Inputs!$F$190-1)+Inputs!$F$189*MAX(MAX(0,(Time!AP$5-(DATE(YEAR(Inputs!$F$144)+Inputs!$F$152,1,1)-1))/Inputs!$F$27)-Inputs!$F$190,0))/100),0)</f>
        <v>16.9157260273973</v>
      </c>
      <c r="AQ676" s="20" t="n">
        <f aca="false">IF(Time!AQ$5&gt;=(DATE(YEAR(Inputs!$F$144)+Inputs!$F$151,1,1)-1),Inputs!$F$153/100*Inputs!$F$149*(1-(Inputs!$F$187*MIN(MAX(0,(Time!AQ$5-(DATE(YEAR(Inputs!$F$144)+Inputs!$F$151,1,1)-1))/Inputs!$F$27),1)+Inputs!$F$188*MIN(MAX(MAX(0,(Time!AQ$5-(DATE(YEAR(Inputs!$F$144)+Inputs!$F$151,1,1)-1))/Inputs!$F$27)-1,0),Inputs!$F$190-1)+Inputs!$F$189*MAX(MAX(0,(Time!AQ$5-(DATE(YEAR(Inputs!$F$144)+Inputs!$F$151,1,1)-1))/Inputs!$F$27)-Inputs!$F$190,0))/100),0)+IF(Time!AQ$5&gt;=(DATE(YEAR(Inputs!$F$144)+Inputs!$F$152,1,1)-1),Inputs!$F$153/100*Inputs!$F$149*(1-(Inputs!$F$187*MIN(MAX(0,(Time!AQ$5-(DATE(YEAR(Inputs!$F$144)+Inputs!$F$152,1,1)-1))/Inputs!$F$27),1)+Inputs!$F$188*MIN(MAX(MAX(0,(Time!AQ$5-(DATE(YEAR(Inputs!$F$144)+Inputs!$F$152,1,1)-1))/Inputs!$F$27)-1,0),Inputs!$F$190-1)+Inputs!$F$189*MAX(MAX(0,(Time!AQ$5-(DATE(YEAR(Inputs!$F$144)+Inputs!$F$152,1,1)-1))/Inputs!$F$27)-Inputs!$F$190,0))/100),0)</f>
        <v>16.6757260273973</v>
      </c>
      <c r="AR676" s="20" t="n">
        <f aca="false">IF(Time!AR$5&gt;=(DATE(YEAR(Inputs!$F$144)+Inputs!$F$151,1,1)-1),Inputs!$F$153/100*Inputs!$F$149*(1-(Inputs!$F$187*MIN(MAX(0,(Time!AR$5-(DATE(YEAR(Inputs!$F$144)+Inputs!$F$151,1,1)-1))/Inputs!$F$27),1)+Inputs!$F$188*MIN(MAX(MAX(0,(Time!AR$5-(DATE(YEAR(Inputs!$F$144)+Inputs!$F$151,1,1)-1))/Inputs!$F$27)-1,0),Inputs!$F$190-1)+Inputs!$F$189*MAX(MAX(0,(Time!AR$5-(DATE(YEAR(Inputs!$F$144)+Inputs!$F$151,1,1)-1))/Inputs!$F$27)-Inputs!$F$190,0))/100),0)+IF(Time!AR$5&gt;=(DATE(YEAR(Inputs!$F$144)+Inputs!$F$152,1,1)-1),Inputs!$F$153/100*Inputs!$F$149*(1-(Inputs!$F$187*MIN(MAX(0,(Time!AR$5-(DATE(YEAR(Inputs!$F$144)+Inputs!$F$152,1,1)-1))/Inputs!$F$27),1)+Inputs!$F$188*MIN(MAX(MAX(0,(Time!AR$5-(DATE(YEAR(Inputs!$F$144)+Inputs!$F$152,1,1)-1))/Inputs!$F$27)-1,0),Inputs!$F$190-1)+Inputs!$F$189*MAX(MAX(0,(Time!AR$5-(DATE(YEAR(Inputs!$F$144)+Inputs!$F$152,1,1)-1))/Inputs!$F$27)-Inputs!$F$190,0))/100),0)</f>
        <v>16.4357260273973</v>
      </c>
      <c r="AS676" s="20" t="n">
        <f aca="false">IF(Time!AS$5&gt;=(DATE(YEAR(Inputs!$F$144)+Inputs!$F$151,1,1)-1),Inputs!$F$153/100*Inputs!$F$149*(1-(Inputs!$F$187*MIN(MAX(0,(Time!AS$5-(DATE(YEAR(Inputs!$F$144)+Inputs!$F$151,1,1)-1))/Inputs!$F$27),1)+Inputs!$F$188*MIN(MAX(MAX(0,(Time!AS$5-(DATE(YEAR(Inputs!$F$144)+Inputs!$F$151,1,1)-1))/Inputs!$F$27)-1,0),Inputs!$F$190-1)+Inputs!$F$189*MAX(MAX(0,(Time!AS$5-(DATE(YEAR(Inputs!$F$144)+Inputs!$F$151,1,1)-1))/Inputs!$F$27)-Inputs!$F$190,0))/100),0)+IF(Time!AS$5&gt;=(DATE(YEAR(Inputs!$F$144)+Inputs!$F$152,1,1)-1),Inputs!$F$153/100*Inputs!$F$149*(1-(Inputs!$F$187*MIN(MAX(0,(Time!AS$5-(DATE(YEAR(Inputs!$F$144)+Inputs!$F$152,1,1)-1))/Inputs!$F$27),1)+Inputs!$F$188*MIN(MAX(MAX(0,(Time!AS$5-(DATE(YEAR(Inputs!$F$144)+Inputs!$F$152,1,1)-1))/Inputs!$F$27)-1,0),Inputs!$F$190-1)+Inputs!$F$189*MAX(MAX(0,(Time!AS$5-(DATE(YEAR(Inputs!$F$144)+Inputs!$F$152,1,1)-1))/Inputs!$F$27)-Inputs!$F$190,0))/100),0)</f>
        <v>16.1950684931507</v>
      </c>
      <c r="AT676" s="20" t="n">
        <f aca="false">IF(Time!AT$5&gt;=(DATE(YEAR(Inputs!$F$144)+Inputs!$F$151,1,1)-1),Inputs!$F$153/100*Inputs!$F$149*(1-(Inputs!$F$187*MIN(MAX(0,(Time!AT$5-(DATE(YEAR(Inputs!$F$144)+Inputs!$F$151,1,1)-1))/Inputs!$F$27),1)+Inputs!$F$188*MIN(MAX(MAX(0,(Time!AT$5-(DATE(YEAR(Inputs!$F$144)+Inputs!$F$151,1,1)-1))/Inputs!$F$27)-1,0),Inputs!$F$190-1)+Inputs!$F$189*MAX(MAX(0,(Time!AT$5-(DATE(YEAR(Inputs!$F$144)+Inputs!$F$151,1,1)-1))/Inputs!$F$27)-Inputs!$F$190,0))/100),0)+IF(Time!AT$5&gt;=(DATE(YEAR(Inputs!$F$144)+Inputs!$F$152,1,1)-1),Inputs!$F$153/100*Inputs!$F$149*(1-(Inputs!$F$187*MIN(MAX(0,(Time!AT$5-(DATE(YEAR(Inputs!$F$144)+Inputs!$F$152,1,1)-1))/Inputs!$F$27),1)+Inputs!$F$188*MIN(MAX(MAX(0,(Time!AT$5-(DATE(YEAR(Inputs!$F$144)+Inputs!$F$152,1,1)-1))/Inputs!$F$27)-1,0),Inputs!$F$190-1)+Inputs!$F$189*MAX(MAX(0,(Time!AT$5-(DATE(YEAR(Inputs!$F$144)+Inputs!$F$152,1,1)-1))/Inputs!$F$27)-Inputs!$F$190,0))/100),0)</f>
        <v>15.9550684931507</v>
      </c>
      <c r="AU676" s="20" t="n">
        <f aca="false">IF(Time!AU$5&gt;=(DATE(YEAR(Inputs!$F$144)+Inputs!$F$151,1,1)-1),Inputs!$F$153/100*Inputs!$F$149*(1-(Inputs!$F$187*MIN(MAX(0,(Time!AU$5-(DATE(YEAR(Inputs!$F$144)+Inputs!$F$151,1,1)-1))/Inputs!$F$27),1)+Inputs!$F$188*MIN(MAX(MAX(0,(Time!AU$5-(DATE(YEAR(Inputs!$F$144)+Inputs!$F$151,1,1)-1))/Inputs!$F$27)-1,0),Inputs!$F$190-1)+Inputs!$F$189*MAX(MAX(0,(Time!AU$5-(DATE(YEAR(Inputs!$F$144)+Inputs!$F$151,1,1)-1))/Inputs!$F$27)-Inputs!$F$190,0))/100),0)+IF(Time!AU$5&gt;=(DATE(YEAR(Inputs!$F$144)+Inputs!$F$152,1,1)-1),Inputs!$F$153/100*Inputs!$F$149*(1-(Inputs!$F$187*MIN(MAX(0,(Time!AU$5-(DATE(YEAR(Inputs!$F$144)+Inputs!$F$152,1,1)-1))/Inputs!$F$27),1)+Inputs!$F$188*MIN(MAX(MAX(0,(Time!AU$5-(DATE(YEAR(Inputs!$F$144)+Inputs!$F$152,1,1)-1))/Inputs!$F$27)-1,0),Inputs!$F$190-1)+Inputs!$F$189*MAX(MAX(0,(Time!AU$5-(DATE(YEAR(Inputs!$F$144)+Inputs!$F$152,1,1)-1))/Inputs!$F$27)-Inputs!$F$190,0))/100),0)</f>
        <v>15.7150684931507</v>
      </c>
    </row>
    <row r="677" customFormat="false" ht="15" hidden="false" customHeight="false" outlineLevel="0" collapsed="false">
      <c r="D677" s="0" t="s">
        <v>677</v>
      </c>
      <c r="E677" s="0" t="s">
        <v>176</v>
      </c>
      <c r="J677" s="20" t="n">
        <f aca="false">Operations!J675+Operations!J676</f>
        <v>216</v>
      </c>
      <c r="K677" s="20" t="n">
        <f aca="false">Operations!K675+Operations!K676</f>
        <v>216</v>
      </c>
      <c r="L677" s="20" t="n">
        <f aca="false">Operations!L675+Operations!L676</f>
        <v>213.987945205479</v>
      </c>
      <c r="M677" s="20" t="n">
        <f aca="false">Operations!M675+Operations!M676</f>
        <v>210.162082191781</v>
      </c>
      <c r="N677" s="20" t="n">
        <f aca="false">Operations!N675+Operations!N676</f>
        <v>206.922082191781</v>
      </c>
      <c r="O677" s="20" t="n">
        <f aca="false">Operations!O675+Operations!O676</f>
        <v>203.682082191781</v>
      </c>
      <c r="P677" s="20" t="n">
        <f aca="false">Operations!P675+Operations!P676</f>
        <v>212.442082191781</v>
      </c>
      <c r="Q677" s="20" t="n">
        <f aca="false">Operations!Q675+Operations!Q676</f>
        <v>208.952712328767</v>
      </c>
      <c r="R677" s="20" t="n">
        <f aca="false">Operations!R675+Operations!R676</f>
        <v>205.532712328767</v>
      </c>
      <c r="S677" s="20" t="n">
        <f aca="false">Operations!S675+Operations!S676</f>
        <v>202.112712328767</v>
      </c>
      <c r="T677" s="20" t="n">
        <f aca="false">Operations!T675+Operations!T676</f>
        <v>210.692712328767</v>
      </c>
      <c r="U677" s="20" t="n">
        <f aca="false">Operations!U675+Operations!U676</f>
        <v>207.022849315069</v>
      </c>
      <c r="V677" s="20" t="n">
        <f aca="false">Operations!V675+Operations!V676</f>
        <v>203.934739726027</v>
      </c>
      <c r="W677" s="20" t="n">
        <f aca="false">Operations!W675+Operations!W676</f>
        <v>201.414739726027</v>
      </c>
      <c r="X677" s="20" t="n">
        <f aca="false">Operations!X675+Operations!X676</f>
        <v>198.894739726027</v>
      </c>
      <c r="Y677" s="20" t="n">
        <f aca="false">Operations!Y675+Operations!Y676</f>
        <v>196.367835616438</v>
      </c>
      <c r="Z677" s="20" t="n">
        <f aca="false">Operations!Z675+Operations!Z676</f>
        <v>193.848328767123</v>
      </c>
      <c r="AA677" s="20" t="n">
        <f aca="false">Operations!AA675+Operations!AA676</f>
        <v>191.388328767123</v>
      </c>
      <c r="AB677" s="20" t="n">
        <f aca="false">Operations!AB675+Operations!AB676</f>
        <v>188.928328767123</v>
      </c>
      <c r="AC677" s="20" t="n">
        <f aca="false">Operations!AC675+Operations!AC676</f>
        <v>186.461589041096</v>
      </c>
      <c r="AD677" s="20" t="n">
        <f aca="false">Operations!AD675+Operations!AD676</f>
        <v>184.002082191781</v>
      </c>
      <c r="AE677" s="20" t="n">
        <f aca="false">Operations!AE675+Operations!AE676</f>
        <v>181.602082191781</v>
      </c>
      <c r="AF677" s="20" t="n">
        <f aca="false">Operations!AF675+Operations!AF676</f>
        <v>179.202082191781</v>
      </c>
      <c r="AG677" s="20" t="n">
        <f aca="false">Operations!AG675+Operations!AG676</f>
        <v>176.795506849315</v>
      </c>
      <c r="AH677" s="20" t="n">
        <f aca="false">Operations!AH675+Operations!AH676</f>
        <v>174.395506849315</v>
      </c>
      <c r="AI677" s="20" t="n">
        <f aca="false">Operations!AI675+Operations!AI676</f>
        <v>171.995506849315</v>
      </c>
      <c r="AJ677" s="20" t="n">
        <f aca="false">Operations!AJ675+Operations!AJ676</f>
        <v>169.595506849315</v>
      </c>
      <c r="AK677" s="20" t="n">
        <f aca="false">Operations!AK675+Operations!AK676</f>
        <v>167.188931506849</v>
      </c>
      <c r="AL677" s="20" t="n">
        <f aca="false">Operations!AL675+Operations!AL676</f>
        <v>164.788931506849</v>
      </c>
      <c r="AM677" s="20" t="n">
        <f aca="false">Operations!AM675+Operations!AM676</f>
        <v>162.388931506849</v>
      </c>
      <c r="AN677" s="20" t="n">
        <f aca="false">Operations!AN675+Operations!AN676</f>
        <v>159.988931506849</v>
      </c>
      <c r="AO677" s="20" t="n">
        <f aca="false">Operations!AO675+Operations!AO676</f>
        <v>157.582356164384</v>
      </c>
      <c r="AP677" s="20" t="n">
        <f aca="false">Operations!AP675+Operations!AP676</f>
        <v>155.182356164384</v>
      </c>
      <c r="AQ677" s="20" t="n">
        <f aca="false">Operations!AQ675+Operations!AQ676</f>
        <v>152.782356164384</v>
      </c>
      <c r="AR677" s="20" t="n">
        <f aca="false">Operations!AR675+Operations!AR676</f>
        <v>150.382356164384</v>
      </c>
      <c r="AS677" s="20" t="n">
        <f aca="false">Operations!AS675+Operations!AS676</f>
        <v>147.975780821918</v>
      </c>
      <c r="AT677" s="20" t="n">
        <f aca="false">Operations!AT675+Operations!AT676</f>
        <v>145.575780821918</v>
      </c>
      <c r="AU677" s="20" t="n">
        <f aca="false">Operations!AU675+Operations!AU676</f>
        <v>143.175780821918</v>
      </c>
    </row>
    <row r="678" customFormat="false" ht="15" hidden="false" customHeight="false" outlineLevel="0" collapsed="false">
      <c r="D678" s="0" t="s">
        <v>678</v>
      </c>
      <c r="E678" s="0" t="s">
        <v>176</v>
      </c>
      <c r="J678" s="20" t="n">
        <f aca="false">Inputs!$F$149*(1+Inputs!$F$155/100)*(1-(Inputs!$F$187*MIN(MAX(0,(Time!J$6-Inputs!$F$144)/Inputs!$F$27),1)+Inputs!$F$188*MIN(MAX(MAX(0,(Time!J$6-Inputs!$F$144)/Inputs!$F$27)-1,0),Inputs!$F$190-1)+Inputs!$F$189*MAX(MAX(0,(Time!J$6-Inputs!$F$144)/Inputs!$F$27)-Inputs!$F$190,0))/100)</f>
        <v>216</v>
      </c>
      <c r="K678" s="20" t="n">
        <f aca="false">Inputs!$F$149*(1+Inputs!$F$155/100)*(1-(Inputs!$F$187*MIN(MAX(0,(Time!K$6-Inputs!$F$144)/Inputs!$F$27),1)+Inputs!$F$188*MIN(MAX(MAX(0,(Time!K$6-Inputs!$F$144)/Inputs!$F$27)-1,0),Inputs!$F$190-1)+Inputs!$F$189*MAX(MAX(0,(Time!K$6-Inputs!$F$144)/Inputs!$F$27)-Inputs!$F$190,0))/100)</f>
        <v>213.987945205479</v>
      </c>
      <c r="L678" s="20" t="n">
        <f aca="false">Inputs!$F$149*(1+Inputs!$F$155/100)*(1-(Inputs!$F$187*MIN(MAX(0,(Time!L$6-Inputs!$F$144)/Inputs!$F$27),1)+Inputs!$F$188*MIN(MAX(MAX(0,(Time!L$6-Inputs!$F$144)/Inputs!$F$27)-1,0),Inputs!$F$190-1)+Inputs!$F$189*MAX(MAX(0,(Time!L$6-Inputs!$F$144)/Inputs!$F$27)-Inputs!$F$190,0))/100)</f>
        <v>210.162082191781</v>
      </c>
      <c r="M678" s="20" t="n">
        <f aca="false">Inputs!$F$149*(1+Inputs!$F$155/100)*(1-(Inputs!$F$187*MIN(MAX(0,(Time!M$6-Inputs!$F$144)/Inputs!$F$27),1)+Inputs!$F$188*MIN(MAX(MAX(0,(Time!M$6-Inputs!$F$144)/Inputs!$F$27)-1,0),Inputs!$F$190-1)+Inputs!$F$189*MAX(MAX(0,(Time!M$6-Inputs!$F$144)/Inputs!$F$27)-Inputs!$F$190,0))/100)</f>
        <v>206.922082191781</v>
      </c>
      <c r="N678" s="20" t="n">
        <f aca="false">Inputs!$F$149*(1+Inputs!$F$155/100)*(1-(Inputs!$F$187*MIN(MAX(0,(Time!N$6-Inputs!$F$144)/Inputs!$F$27),1)+Inputs!$F$188*MIN(MAX(MAX(0,(Time!N$6-Inputs!$F$144)/Inputs!$F$27)-1,0),Inputs!$F$190-1)+Inputs!$F$189*MAX(MAX(0,(Time!N$6-Inputs!$F$144)/Inputs!$F$27)-Inputs!$F$190,0))/100)</f>
        <v>203.682082191781</v>
      </c>
      <c r="O678" s="20" t="n">
        <f aca="false">Inputs!$F$149*(1+Inputs!$F$155/100)*(1-(Inputs!$F$187*MIN(MAX(0,(Time!O$6-Inputs!$F$144)/Inputs!$F$27),1)+Inputs!$F$188*MIN(MAX(MAX(0,(Time!O$6-Inputs!$F$144)/Inputs!$F$27)-1,0),Inputs!$F$190-1)+Inputs!$F$189*MAX(MAX(0,(Time!O$6-Inputs!$F$144)/Inputs!$F$27)-Inputs!$F$190,0))/100)</f>
        <v>200.442082191781</v>
      </c>
      <c r="P678" s="20" t="n">
        <f aca="false">Inputs!$F$149*(1+Inputs!$F$155/100)*(1-(Inputs!$F$187*MIN(MAX(0,(Time!P$6-Inputs!$F$144)/Inputs!$F$27),1)+Inputs!$F$188*MIN(MAX(MAX(0,(Time!P$6-Inputs!$F$144)/Inputs!$F$27)-1,0),Inputs!$F$190-1)+Inputs!$F$189*MAX(MAX(0,(Time!P$6-Inputs!$F$144)/Inputs!$F$27)-Inputs!$F$190,0))/100)</f>
        <v>197.193205479452</v>
      </c>
      <c r="Q678" s="20" t="n">
        <f aca="false">Inputs!$F$149*(1+Inputs!$F$155/100)*(1-(Inputs!$F$187*MIN(MAX(0,(Time!Q$6-Inputs!$F$144)/Inputs!$F$27),1)+Inputs!$F$188*MIN(MAX(MAX(0,(Time!Q$6-Inputs!$F$144)/Inputs!$F$27)-1,0),Inputs!$F$190-1)+Inputs!$F$189*MAX(MAX(0,(Time!Q$6-Inputs!$F$144)/Inputs!$F$27)-Inputs!$F$190,0))/100)</f>
        <v>193.953205479452</v>
      </c>
      <c r="R678" s="20" t="n">
        <f aca="false">Inputs!$F$149*(1+Inputs!$F$155/100)*(1-(Inputs!$F$187*MIN(MAX(0,(Time!R$6-Inputs!$F$144)/Inputs!$F$27),1)+Inputs!$F$188*MIN(MAX(MAX(0,(Time!R$6-Inputs!$F$144)/Inputs!$F$27)-1,0),Inputs!$F$190-1)+Inputs!$F$189*MAX(MAX(0,(Time!R$6-Inputs!$F$144)/Inputs!$F$27)-Inputs!$F$190,0))/100)</f>
        <v>190.713205479452</v>
      </c>
      <c r="S678" s="20" t="n">
        <f aca="false">Inputs!$F$149*(1+Inputs!$F$155/100)*(1-(Inputs!$F$187*MIN(MAX(0,(Time!S$6-Inputs!$F$144)/Inputs!$F$27),1)+Inputs!$F$188*MIN(MAX(MAX(0,(Time!S$6-Inputs!$F$144)/Inputs!$F$27)-1,0),Inputs!$F$190-1)+Inputs!$F$189*MAX(MAX(0,(Time!S$6-Inputs!$F$144)/Inputs!$F$27)-Inputs!$F$190,0))/100)</f>
        <v>187.473205479452</v>
      </c>
      <c r="T678" s="20" t="n">
        <f aca="false">Inputs!$F$149*(1+Inputs!$F$155/100)*(1-(Inputs!$F$187*MIN(MAX(0,(Time!T$6-Inputs!$F$144)/Inputs!$F$27),1)+Inputs!$F$188*MIN(MAX(MAX(0,(Time!T$6-Inputs!$F$144)/Inputs!$F$27)-1,0),Inputs!$F$190-1)+Inputs!$F$189*MAX(MAX(0,(Time!T$6-Inputs!$F$144)/Inputs!$F$27)-Inputs!$F$190,0))/100)</f>
        <v>184.224328767123</v>
      </c>
      <c r="U678" s="20" t="n">
        <f aca="false">Inputs!$F$149*(1+Inputs!$F$155/100)*(1-(Inputs!$F$187*MIN(MAX(0,(Time!U$6-Inputs!$F$144)/Inputs!$F$27),1)+Inputs!$F$188*MIN(MAX(MAX(0,(Time!U$6-Inputs!$F$144)/Inputs!$F$27)-1,0),Inputs!$F$190-1)+Inputs!$F$189*MAX(MAX(0,(Time!U$6-Inputs!$F$144)/Inputs!$F$27)-Inputs!$F$190,0))/100)</f>
        <v>181.496219178082</v>
      </c>
      <c r="V678" s="20" t="n">
        <f aca="false">Inputs!$F$149*(1+Inputs!$F$155/100)*(1-(Inputs!$F$187*MIN(MAX(0,(Time!V$6-Inputs!$F$144)/Inputs!$F$27),1)+Inputs!$F$188*MIN(MAX(MAX(0,(Time!V$6-Inputs!$F$144)/Inputs!$F$27)-1,0),Inputs!$F$190-1)+Inputs!$F$189*MAX(MAX(0,(Time!V$6-Inputs!$F$144)/Inputs!$F$27)-Inputs!$F$190,0))/100)</f>
        <v>179.336219178082</v>
      </c>
      <c r="W678" s="20" t="n">
        <f aca="false">Inputs!$F$149*(1+Inputs!$F$155/100)*(1-(Inputs!$F$187*MIN(MAX(0,(Time!W$6-Inputs!$F$144)/Inputs!$F$27),1)+Inputs!$F$188*MIN(MAX(MAX(0,(Time!W$6-Inputs!$F$144)/Inputs!$F$27)-1,0),Inputs!$F$190-1)+Inputs!$F$189*MAX(MAX(0,(Time!W$6-Inputs!$F$144)/Inputs!$F$27)-Inputs!$F$190,0))/100)</f>
        <v>177.176219178082</v>
      </c>
      <c r="X678" s="20" t="n">
        <f aca="false">Inputs!$F$149*(1+Inputs!$F$155/100)*(1-(Inputs!$F$187*MIN(MAX(0,(Time!X$6-Inputs!$F$144)/Inputs!$F$27),1)+Inputs!$F$188*MIN(MAX(MAX(0,(Time!X$6-Inputs!$F$144)/Inputs!$F$27)-1,0),Inputs!$F$190-1)+Inputs!$F$189*MAX(MAX(0,(Time!X$6-Inputs!$F$144)/Inputs!$F$27)-Inputs!$F$190,0))/100)</f>
        <v>175.010301369863</v>
      </c>
      <c r="Y678" s="20" t="n">
        <f aca="false">Inputs!$F$149*(1+Inputs!$F$155/100)*(1-(Inputs!$F$187*MIN(MAX(0,(Time!Y$6-Inputs!$F$144)/Inputs!$F$27),1)+Inputs!$F$188*MIN(MAX(MAX(0,(Time!Y$6-Inputs!$F$144)/Inputs!$F$27)-1,0),Inputs!$F$190-1)+Inputs!$F$189*MAX(MAX(0,(Time!Y$6-Inputs!$F$144)/Inputs!$F$27)-Inputs!$F$190,0))/100)</f>
        <v>172.850301369863</v>
      </c>
      <c r="Z678" s="20" t="n">
        <f aca="false">Inputs!$F$149*(1+Inputs!$F$155/100)*(1-(Inputs!$F$187*MIN(MAX(0,(Time!Z$6-Inputs!$F$144)/Inputs!$F$27),1)+Inputs!$F$188*MIN(MAX(MAX(0,(Time!Z$6-Inputs!$F$144)/Inputs!$F$27)-1,0),Inputs!$F$190-1)+Inputs!$F$189*MAX(MAX(0,(Time!Z$6-Inputs!$F$144)/Inputs!$F$27)-Inputs!$F$190,0))/100)</f>
        <v>170.690301369863</v>
      </c>
      <c r="AA678" s="20" t="n">
        <f aca="false">Inputs!$F$149*(1+Inputs!$F$155/100)*(1-(Inputs!$F$187*MIN(MAX(0,(Time!AA$6-Inputs!$F$144)/Inputs!$F$27),1)+Inputs!$F$188*MIN(MAX(MAX(0,(Time!AA$6-Inputs!$F$144)/Inputs!$F$27)-1,0),Inputs!$F$190-1)+Inputs!$F$189*MAX(MAX(0,(Time!AA$6-Inputs!$F$144)/Inputs!$F$27)-Inputs!$F$190,0))/100)</f>
        <v>168.530301369863</v>
      </c>
      <c r="AB678" s="20" t="n">
        <f aca="false">Inputs!$F$149*(1+Inputs!$F$155/100)*(1-(Inputs!$F$187*MIN(MAX(0,(Time!AB$6-Inputs!$F$144)/Inputs!$F$27),1)+Inputs!$F$188*MIN(MAX(MAX(0,(Time!AB$6-Inputs!$F$144)/Inputs!$F$27)-1,0),Inputs!$F$190-1)+Inputs!$F$189*MAX(MAX(0,(Time!AB$6-Inputs!$F$144)/Inputs!$F$27)-Inputs!$F$190,0))/100)</f>
        <v>166.364383561644</v>
      </c>
      <c r="AC678" s="20" t="n">
        <f aca="false">Inputs!$F$149*(1+Inputs!$F$155/100)*(1-(Inputs!$F$187*MIN(MAX(0,(Time!AC$6-Inputs!$F$144)/Inputs!$F$27),1)+Inputs!$F$188*MIN(MAX(MAX(0,(Time!AC$6-Inputs!$F$144)/Inputs!$F$27)-1,0),Inputs!$F$190-1)+Inputs!$F$189*MAX(MAX(0,(Time!AC$6-Inputs!$F$144)/Inputs!$F$27)-Inputs!$F$190,0))/100)</f>
        <v>164.204383561644</v>
      </c>
      <c r="AD678" s="20" t="n">
        <f aca="false">Inputs!$F$149*(1+Inputs!$F$155/100)*(1-(Inputs!$F$187*MIN(MAX(0,(Time!AD$6-Inputs!$F$144)/Inputs!$F$27),1)+Inputs!$F$188*MIN(MAX(MAX(0,(Time!AD$6-Inputs!$F$144)/Inputs!$F$27)-1,0),Inputs!$F$190-1)+Inputs!$F$189*MAX(MAX(0,(Time!AD$6-Inputs!$F$144)/Inputs!$F$27)-Inputs!$F$190,0))/100)</f>
        <v>162.044383561644</v>
      </c>
      <c r="AE678" s="20" t="n">
        <f aca="false">Inputs!$F$149*(1+Inputs!$F$155/100)*(1-(Inputs!$F$187*MIN(MAX(0,(Time!AE$6-Inputs!$F$144)/Inputs!$F$27),1)+Inputs!$F$188*MIN(MAX(MAX(0,(Time!AE$6-Inputs!$F$144)/Inputs!$F$27)-1,0),Inputs!$F$190-1)+Inputs!$F$189*MAX(MAX(0,(Time!AE$6-Inputs!$F$144)/Inputs!$F$27)-Inputs!$F$190,0))/100)</f>
        <v>159.884383561644</v>
      </c>
      <c r="AF678" s="20" t="n">
        <f aca="false">Inputs!$F$149*(1+Inputs!$F$155/100)*(1-(Inputs!$F$187*MIN(MAX(0,(Time!AF$6-Inputs!$F$144)/Inputs!$F$27),1)+Inputs!$F$188*MIN(MAX(MAX(0,(Time!AF$6-Inputs!$F$144)/Inputs!$F$27)-1,0),Inputs!$F$190-1)+Inputs!$F$189*MAX(MAX(0,(Time!AF$6-Inputs!$F$144)/Inputs!$F$27)-Inputs!$F$190,0))/100)</f>
        <v>157.718465753425</v>
      </c>
      <c r="AG678" s="20" t="n">
        <f aca="false">Inputs!$F$149*(1+Inputs!$F$155/100)*(1-(Inputs!$F$187*MIN(MAX(0,(Time!AG$6-Inputs!$F$144)/Inputs!$F$27),1)+Inputs!$F$188*MIN(MAX(MAX(0,(Time!AG$6-Inputs!$F$144)/Inputs!$F$27)-1,0),Inputs!$F$190-1)+Inputs!$F$189*MAX(MAX(0,(Time!AG$6-Inputs!$F$144)/Inputs!$F$27)-Inputs!$F$190,0))/100)</f>
        <v>155.558465753425</v>
      </c>
      <c r="AH678" s="20" t="n">
        <f aca="false">Inputs!$F$149*(1+Inputs!$F$155/100)*(1-(Inputs!$F$187*MIN(MAX(0,(Time!AH$6-Inputs!$F$144)/Inputs!$F$27),1)+Inputs!$F$188*MIN(MAX(MAX(0,(Time!AH$6-Inputs!$F$144)/Inputs!$F$27)-1,0),Inputs!$F$190-1)+Inputs!$F$189*MAX(MAX(0,(Time!AH$6-Inputs!$F$144)/Inputs!$F$27)-Inputs!$F$190,0))/100)</f>
        <v>153.398465753425</v>
      </c>
      <c r="AI678" s="20" t="n">
        <f aca="false">Inputs!$F$149*(1+Inputs!$F$155/100)*(1-(Inputs!$F$187*MIN(MAX(0,(Time!AI$6-Inputs!$F$144)/Inputs!$F$27),1)+Inputs!$F$188*MIN(MAX(MAX(0,(Time!AI$6-Inputs!$F$144)/Inputs!$F$27)-1,0),Inputs!$F$190-1)+Inputs!$F$189*MAX(MAX(0,(Time!AI$6-Inputs!$F$144)/Inputs!$F$27)-Inputs!$F$190,0))/100)</f>
        <v>151.238465753425</v>
      </c>
      <c r="AJ678" s="20" t="n">
        <f aca="false">Inputs!$F$149*(1+Inputs!$F$155/100)*(1-(Inputs!$F$187*MIN(MAX(0,(Time!AJ$6-Inputs!$F$144)/Inputs!$F$27),1)+Inputs!$F$188*MIN(MAX(MAX(0,(Time!AJ$6-Inputs!$F$144)/Inputs!$F$27)-1,0),Inputs!$F$190-1)+Inputs!$F$189*MAX(MAX(0,(Time!AJ$6-Inputs!$F$144)/Inputs!$F$27)-Inputs!$F$190,0))/100)</f>
        <v>149.072547945205</v>
      </c>
      <c r="AK678" s="20" t="n">
        <f aca="false">Inputs!$F$149*(1+Inputs!$F$155/100)*(1-(Inputs!$F$187*MIN(MAX(0,(Time!AK$6-Inputs!$F$144)/Inputs!$F$27),1)+Inputs!$F$188*MIN(MAX(MAX(0,(Time!AK$6-Inputs!$F$144)/Inputs!$F$27)-1,0),Inputs!$F$190-1)+Inputs!$F$189*MAX(MAX(0,(Time!AK$6-Inputs!$F$144)/Inputs!$F$27)-Inputs!$F$190,0))/100)</f>
        <v>146.912547945206</v>
      </c>
      <c r="AL678" s="20" t="n">
        <f aca="false">Inputs!$F$149*(1+Inputs!$F$155/100)*(1-(Inputs!$F$187*MIN(MAX(0,(Time!AL$6-Inputs!$F$144)/Inputs!$F$27),1)+Inputs!$F$188*MIN(MAX(MAX(0,(Time!AL$6-Inputs!$F$144)/Inputs!$F$27)-1,0),Inputs!$F$190-1)+Inputs!$F$189*MAX(MAX(0,(Time!AL$6-Inputs!$F$144)/Inputs!$F$27)-Inputs!$F$190,0))/100)</f>
        <v>144.752547945206</v>
      </c>
      <c r="AM678" s="20" t="n">
        <f aca="false">Inputs!$F$149*(1+Inputs!$F$155/100)*(1-(Inputs!$F$187*MIN(MAX(0,(Time!AM$6-Inputs!$F$144)/Inputs!$F$27),1)+Inputs!$F$188*MIN(MAX(MAX(0,(Time!AM$6-Inputs!$F$144)/Inputs!$F$27)-1,0),Inputs!$F$190-1)+Inputs!$F$189*MAX(MAX(0,(Time!AM$6-Inputs!$F$144)/Inputs!$F$27)-Inputs!$F$190,0))/100)</f>
        <v>142.592547945205</v>
      </c>
      <c r="AN678" s="20" t="n">
        <f aca="false">Inputs!$F$149*(1+Inputs!$F$155/100)*(1-(Inputs!$F$187*MIN(MAX(0,(Time!AN$6-Inputs!$F$144)/Inputs!$F$27),1)+Inputs!$F$188*MIN(MAX(MAX(0,(Time!AN$6-Inputs!$F$144)/Inputs!$F$27)-1,0),Inputs!$F$190-1)+Inputs!$F$189*MAX(MAX(0,(Time!AN$6-Inputs!$F$144)/Inputs!$F$27)-Inputs!$F$190,0))/100)</f>
        <v>140.426630136986</v>
      </c>
      <c r="AO678" s="20" t="n">
        <f aca="false">Inputs!$F$149*(1+Inputs!$F$155/100)*(1-(Inputs!$F$187*MIN(MAX(0,(Time!AO$6-Inputs!$F$144)/Inputs!$F$27),1)+Inputs!$F$188*MIN(MAX(MAX(0,(Time!AO$6-Inputs!$F$144)/Inputs!$F$27)-1,0),Inputs!$F$190-1)+Inputs!$F$189*MAX(MAX(0,(Time!AO$6-Inputs!$F$144)/Inputs!$F$27)-Inputs!$F$190,0))/100)</f>
        <v>138.266630136986</v>
      </c>
      <c r="AP678" s="20" t="n">
        <f aca="false">Inputs!$F$149*(1+Inputs!$F$155/100)*(1-(Inputs!$F$187*MIN(MAX(0,(Time!AP$6-Inputs!$F$144)/Inputs!$F$27),1)+Inputs!$F$188*MIN(MAX(MAX(0,(Time!AP$6-Inputs!$F$144)/Inputs!$F$27)-1,0),Inputs!$F$190-1)+Inputs!$F$189*MAX(MAX(0,(Time!AP$6-Inputs!$F$144)/Inputs!$F$27)-Inputs!$F$190,0))/100)</f>
        <v>136.106630136986</v>
      </c>
      <c r="AQ678" s="20" t="n">
        <f aca="false">Inputs!$F$149*(1+Inputs!$F$155/100)*(1-(Inputs!$F$187*MIN(MAX(0,(Time!AQ$6-Inputs!$F$144)/Inputs!$F$27),1)+Inputs!$F$188*MIN(MAX(MAX(0,(Time!AQ$6-Inputs!$F$144)/Inputs!$F$27)-1,0),Inputs!$F$190-1)+Inputs!$F$189*MAX(MAX(0,(Time!AQ$6-Inputs!$F$144)/Inputs!$F$27)-Inputs!$F$190,0))/100)</f>
        <v>133.946630136986</v>
      </c>
      <c r="AR678" s="20" t="n">
        <f aca="false">Inputs!$F$149*(1+Inputs!$F$155/100)*(1-(Inputs!$F$187*MIN(MAX(0,(Time!AR$6-Inputs!$F$144)/Inputs!$F$27),1)+Inputs!$F$188*MIN(MAX(MAX(0,(Time!AR$6-Inputs!$F$144)/Inputs!$F$27)-1,0),Inputs!$F$190-1)+Inputs!$F$189*MAX(MAX(0,(Time!AR$6-Inputs!$F$144)/Inputs!$F$27)-Inputs!$F$190,0))/100)</f>
        <v>131.780712328767</v>
      </c>
      <c r="AS678" s="20" t="n">
        <f aca="false">Inputs!$F$149*(1+Inputs!$F$155/100)*(1-(Inputs!$F$187*MIN(MAX(0,(Time!AS$6-Inputs!$F$144)/Inputs!$F$27),1)+Inputs!$F$188*MIN(MAX(MAX(0,(Time!AS$6-Inputs!$F$144)/Inputs!$F$27)-1,0),Inputs!$F$190-1)+Inputs!$F$189*MAX(MAX(0,(Time!AS$6-Inputs!$F$144)/Inputs!$F$27)-Inputs!$F$190,0))/100)</f>
        <v>129.620712328767</v>
      </c>
      <c r="AT678" s="20" t="n">
        <f aca="false">Inputs!$F$149*(1+Inputs!$F$155/100)*(1-(Inputs!$F$187*MIN(MAX(0,(Time!AT$6-Inputs!$F$144)/Inputs!$F$27),1)+Inputs!$F$188*MIN(MAX(MAX(0,(Time!AT$6-Inputs!$F$144)/Inputs!$F$27)-1,0),Inputs!$F$190-1)+Inputs!$F$189*MAX(MAX(0,(Time!AT$6-Inputs!$F$144)/Inputs!$F$27)-Inputs!$F$190,0))/100)</f>
        <v>127.460712328767</v>
      </c>
      <c r="AU678" s="20" t="n">
        <f aca="false">Inputs!$F$149*(1+Inputs!$F$155/100)*(1-(Inputs!$F$187*MIN(MAX(0,(Time!AU$6-Inputs!$F$144)/Inputs!$F$27),1)+Inputs!$F$188*MIN(MAX(MAX(0,(Time!AU$6-Inputs!$F$144)/Inputs!$F$27)-1,0),Inputs!$F$190-1)+Inputs!$F$189*MAX(MAX(0,(Time!AU$6-Inputs!$F$144)/Inputs!$F$27)-Inputs!$F$190,0))/100)</f>
        <v>125.300712328767</v>
      </c>
    </row>
    <row r="679" customFormat="false" ht="15" hidden="false" customHeight="false" outlineLevel="0" collapsed="false">
      <c r="D679" s="0" t="s">
        <v>679</v>
      </c>
      <c r="E679" s="0" t="s">
        <v>176</v>
      </c>
      <c r="J679" s="20" t="n">
        <f aca="false">IF(Time!J$6&gt;=(DATE(YEAR(Inputs!$F$144)+Inputs!$F$151,1,1)-1),Inputs!$F$153/100*Inputs!$F$149*(1-(Inputs!$F$187*MIN(MAX(0,(Time!J$6-(DATE(YEAR(Inputs!$F$144)+Inputs!$F$151,1,1)-1))/Inputs!$F$27),1)+Inputs!$F$188*MIN(MAX(MAX(0,(Time!J$6-(DATE(YEAR(Inputs!$F$144)+Inputs!$F$151,1,1)-1))/Inputs!$F$27)-1,0),Inputs!$F$190-1)+Inputs!$F$189*MAX(MAX(0,(Time!J$6-(DATE(YEAR(Inputs!$F$144)+Inputs!$F$151,1,1)-1))/Inputs!$F$27)-Inputs!$F$190,0))/100),0)+IF(Time!J$6&gt;=(DATE(YEAR(Inputs!$F$144)+Inputs!$F$152,1,1)-1),Inputs!$F$153/100*Inputs!$F$149*(1-(Inputs!$F$187*MIN(MAX(0,(Time!J$6-(DATE(YEAR(Inputs!$F$144)+Inputs!$F$152,1,1)-1))/Inputs!$F$27),1)+Inputs!$F$188*MIN(MAX(MAX(0,(Time!J$6-(DATE(YEAR(Inputs!$F$144)+Inputs!$F$152,1,1)-1))/Inputs!$F$27)-1,0),Inputs!$F$190-1)+Inputs!$F$189*MAX(MAX(0,(Time!J$6-(DATE(YEAR(Inputs!$F$144)+Inputs!$F$152,1,1)-1))/Inputs!$F$27)-Inputs!$F$190,0))/100),0)</f>
        <v>0</v>
      </c>
      <c r="K679" s="20" t="n">
        <f aca="false">IF(Time!K$6&gt;=(DATE(YEAR(Inputs!$F$144)+Inputs!$F$151,1,1)-1),Inputs!$F$153/100*Inputs!$F$149*(1-(Inputs!$F$187*MIN(MAX(0,(Time!K$6-(DATE(YEAR(Inputs!$F$144)+Inputs!$F$151,1,1)-1))/Inputs!$F$27),1)+Inputs!$F$188*MIN(MAX(MAX(0,(Time!K$6-(DATE(YEAR(Inputs!$F$144)+Inputs!$F$151,1,1)-1))/Inputs!$F$27)-1,0),Inputs!$F$190-1)+Inputs!$F$189*MAX(MAX(0,(Time!K$6-(DATE(YEAR(Inputs!$F$144)+Inputs!$F$151,1,1)-1))/Inputs!$F$27)-Inputs!$F$190,0))/100),0)+IF(Time!K$6&gt;=(DATE(YEAR(Inputs!$F$144)+Inputs!$F$152,1,1)-1),Inputs!$F$153/100*Inputs!$F$149*(1-(Inputs!$F$187*MIN(MAX(0,(Time!K$6-(DATE(YEAR(Inputs!$F$144)+Inputs!$F$152,1,1)-1))/Inputs!$F$27),1)+Inputs!$F$188*MIN(MAX(MAX(0,(Time!K$6-(DATE(YEAR(Inputs!$F$144)+Inputs!$F$152,1,1)-1))/Inputs!$F$27)-1,0),Inputs!$F$190-1)+Inputs!$F$189*MAX(MAX(0,(Time!K$6-(DATE(YEAR(Inputs!$F$144)+Inputs!$F$152,1,1)-1))/Inputs!$F$27)-Inputs!$F$190,0))/100),0)</f>
        <v>0</v>
      </c>
      <c r="L679" s="20" t="n">
        <f aca="false">IF(Time!L$6&gt;=(DATE(YEAR(Inputs!$F$144)+Inputs!$F$151,1,1)-1),Inputs!$F$153/100*Inputs!$F$149*(1-(Inputs!$F$187*MIN(MAX(0,(Time!L$6-(DATE(YEAR(Inputs!$F$144)+Inputs!$F$151,1,1)-1))/Inputs!$F$27),1)+Inputs!$F$188*MIN(MAX(MAX(0,(Time!L$6-(DATE(YEAR(Inputs!$F$144)+Inputs!$F$151,1,1)-1))/Inputs!$F$27)-1,0),Inputs!$F$190-1)+Inputs!$F$189*MAX(MAX(0,(Time!L$6-(DATE(YEAR(Inputs!$F$144)+Inputs!$F$151,1,1)-1))/Inputs!$F$27)-Inputs!$F$190,0))/100),0)+IF(Time!L$6&gt;=(DATE(YEAR(Inputs!$F$144)+Inputs!$F$152,1,1)-1),Inputs!$F$153/100*Inputs!$F$149*(1-(Inputs!$F$187*MIN(MAX(0,(Time!L$6-(DATE(YEAR(Inputs!$F$144)+Inputs!$F$152,1,1)-1))/Inputs!$F$27),1)+Inputs!$F$188*MIN(MAX(MAX(0,(Time!L$6-(DATE(YEAR(Inputs!$F$144)+Inputs!$F$152,1,1)-1))/Inputs!$F$27)-1,0),Inputs!$F$190-1)+Inputs!$F$189*MAX(MAX(0,(Time!L$6-(DATE(YEAR(Inputs!$F$144)+Inputs!$F$152,1,1)-1))/Inputs!$F$27)-Inputs!$F$190,0))/100),0)</f>
        <v>0</v>
      </c>
      <c r="M679" s="20" t="n">
        <f aca="false">IF(Time!M$6&gt;=(DATE(YEAR(Inputs!$F$144)+Inputs!$F$151,1,1)-1),Inputs!$F$153/100*Inputs!$F$149*(1-(Inputs!$F$187*MIN(MAX(0,(Time!M$6-(DATE(YEAR(Inputs!$F$144)+Inputs!$F$151,1,1)-1))/Inputs!$F$27),1)+Inputs!$F$188*MIN(MAX(MAX(0,(Time!M$6-(DATE(YEAR(Inputs!$F$144)+Inputs!$F$151,1,1)-1))/Inputs!$F$27)-1,0),Inputs!$F$190-1)+Inputs!$F$189*MAX(MAX(0,(Time!M$6-(DATE(YEAR(Inputs!$F$144)+Inputs!$F$151,1,1)-1))/Inputs!$F$27)-Inputs!$F$190,0))/100),0)+IF(Time!M$6&gt;=(DATE(YEAR(Inputs!$F$144)+Inputs!$F$152,1,1)-1),Inputs!$F$153/100*Inputs!$F$149*(1-(Inputs!$F$187*MIN(MAX(0,(Time!M$6-(DATE(YEAR(Inputs!$F$144)+Inputs!$F$152,1,1)-1))/Inputs!$F$27),1)+Inputs!$F$188*MIN(MAX(MAX(0,(Time!M$6-(DATE(YEAR(Inputs!$F$144)+Inputs!$F$152,1,1)-1))/Inputs!$F$27)-1,0),Inputs!$F$190-1)+Inputs!$F$189*MAX(MAX(0,(Time!M$6-(DATE(YEAR(Inputs!$F$144)+Inputs!$F$152,1,1)-1))/Inputs!$F$27)-Inputs!$F$190,0))/100),0)</f>
        <v>0</v>
      </c>
      <c r="N679" s="20" t="n">
        <f aca="false">IF(Time!N$6&gt;=(DATE(YEAR(Inputs!$F$144)+Inputs!$F$151,1,1)-1),Inputs!$F$153/100*Inputs!$F$149*(1-(Inputs!$F$187*MIN(MAX(0,(Time!N$6-(DATE(YEAR(Inputs!$F$144)+Inputs!$F$151,1,1)-1))/Inputs!$F$27),1)+Inputs!$F$188*MIN(MAX(MAX(0,(Time!N$6-(DATE(YEAR(Inputs!$F$144)+Inputs!$F$151,1,1)-1))/Inputs!$F$27)-1,0),Inputs!$F$190-1)+Inputs!$F$189*MAX(MAX(0,(Time!N$6-(DATE(YEAR(Inputs!$F$144)+Inputs!$F$151,1,1)-1))/Inputs!$F$27)-Inputs!$F$190,0))/100),0)+IF(Time!N$6&gt;=(DATE(YEAR(Inputs!$F$144)+Inputs!$F$152,1,1)-1),Inputs!$F$153/100*Inputs!$F$149*(1-(Inputs!$F$187*MIN(MAX(0,(Time!N$6-(DATE(YEAR(Inputs!$F$144)+Inputs!$F$152,1,1)-1))/Inputs!$F$27),1)+Inputs!$F$188*MIN(MAX(MAX(0,(Time!N$6-(DATE(YEAR(Inputs!$F$144)+Inputs!$F$152,1,1)-1))/Inputs!$F$27)-1,0),Inputs!$F$190-1)+Inputs!$F$189*MAX(MAX(0,(Time!N$6-(DATE(YEAR(Inputs!$F$144)+Inputs!$F$152,1,1)-1))/Inputs!$F$27)-Inputs!$F$190,0))/100),0)</f>
        <v>0</v>
      </c>
      <c r="O679" s="20" t="n">
        <f aca="false">IF(Time!O$6&gt;=(DATE(YEAR(Inputs!$F$144)+Inputs!$F$151,1,1)-1),Inputs!$F$153/100*Inputs!$F$149*(1-(Inputs!$F$187*MIN(MAX(0,(Time!O$6-(DATE(YEAR(Inputs!$F$144)+Inputs!$F$151,1,1)-1))/Inputs!$F$27),1)+Inputs!$F$188*MIN(MAX(MAX(0,(Time!O$6-(DATE(YEAR(Inputs!$F$144)+Inputs!$F$151,1,1)-1))/Inputs!$F$27)-1,0),Inputs!$F$190-1)+Inputs!$F$189*MAX(MAX(0,(Time!O$6-(DATE(YEAR(Inputs!$F$144)+Inputs!$F$151,1,1)-1))/Inputs!$F$27)-Inputs!$F$190,0))/100),0)+IF(Time!O$6&gt;=(DATE(YEAR(Inputs!$F$144)+Inputs!$F$152,1,1)-1),Inputs!$F$153/100*Inputs!$F$149*(1-(Inputs!$F$187*MIN(MAX(0,(Time!O$6-(DATE(YEAR(Inputs!$F$144)+Inputs!$F$152,1,1)-1))/Inputs!$F$27),1)+Inputs!$F$188*MIN(MAX(MAX(0,(Time!O$6-(DATE(YEAR(Inputs!$F$144)+Inputs!$F$152,1,1)-1))/Inputs!$F$27)-1,0),Inputs!$F$190-1)+Inputs!$F$189*MAX(MAX(0,(Time!O$6-(DATE(YEAR(Inputs!$F$144)+Inputs!$F$152,1,1)-1))/Inputs!$F$27)-Inputs!$F$190,0))/100),0)</f>
        <v>12</v>
      </c>
      <c r="P679" s="20" t="n">
        <f aca="false">IF(Time!P$6&gt;=(DATE(YEAR(Inputs!$F$144)+Inputs!$F$151,1,1)-1),Inputs!$F$153/100*Inputs!$F$149*(1-(Inputs!$F$187*MIN(MAX(0,(Time!P$6-(DATE(YEAR(Inputs!$F$144)+Inputs!$F$151,1,1)-1))/Inputs!$F$27),1)+Inputs!$F$188*MIN(MAX(MAX(0,(Time!P$6-(DATE(YEAR(Inputs!$F$144)+Inputs!$F$151,1,1)-1))/Inputs!$F$27)-1,0),Inputs!$F$190-1)+Inputs!$F$189*MAX(MAX(0,(Time!P$6-(DATE(YEAR(Inputs!$F$144)+Inputs!$F$151,1,1)-1))/Inputs!$F$27)-Inputs!$F$190,0))/100),0)+IF(Time!P$6&gt;=(DATE(YEAR(Inputs!$F$144)+Inputs!$F$152,1,1)-1),Inputs!$F$153/100*Inputs!$F$149*(1-(Inputs!$F$187*MIN(MAX(0,(Time!P$6-(DATE(YEAR(Inputs!$F$144)+Inputs!$F$152,1,1)-1))/Inputs!$F$27),1)+Inputs!$F$188*MIN(MAX(MAX(0,(Time!P$6-(DATE(YEAR(Inputs!$F$144)+Inputs!$F$152,1,1)-1))/Inputs!$F$27)-1,0),Inputs!$F$190-1)+Inputs!$F$189*MAX(MAX(0,(Time!P$6-(DATE(YEAR(Inputs!$F$144)+Inputs!$F$152,1,1)-1))/Inputs!$F$27)-Inputs!$F$190,0))/100),0)</f>
        <v>11.7595068493151</v>
      </c>
      <c r="Q679" s="20" t="n">
        <f aca="false">IF(Time!Q$6&gt;=(DATE(YEAR(Inputs!$F$144)+Inputs!$F$151,1,1)-1),Inputs!$F$153/100*Inputs!$F$149*(1-(Inputs!$F$187*MIN(MAX(0,(Time!Q$6-(DATE(YEAR(Inputs!$F$144)+Inputs!$F$151,1,1)-1))/Inputs!$F$27),1)+Inputs!$F$188*MIN(MAX(MAX(0,(Time!Q$6-(DATE(YEAR(Inputs!$F$144)+Inputs!$F$151,1,1)-1))/Inputs!$F$27)-1,0),Inputs!$F$190-1)+Inputs!$F$189*MAX(MAX(0,(Time!Q$6-(DATE(YEAR(Inputs!$F$144)+Inputs!$F$151,1,1)-1))/Inputs!$F$27)-Inputs!$F$190,0))/100),0)+IF(Time!Q$6&gt;=(DATE(YEAR(Inputs!$F$144)+Inputs!$F$152,1,1)-1),Inputs!$F$153/100*Inputs!$F$149*(1-(Inputs!$F$187*MIN(MAX(0,(Time!Q$6-(DATE(YEAR(Inputs!$F$144)+Inputs!$F$152,1,1)-1))/Inputs!$F$27),1)+Inputs!$F$188*MIN(MAX(MAX(0,(Time!Q$6-(DATE(YEAR(Inputs!$F$144)+Inputs!$F$152,1,1)-1))/Inputs!$F$27)-1,0),Inputs!$F$190-1)+Inputs!$F$189*MAX(MAX(0,(Time!Q$6-(DATE(YEAR(Inputs!$F$144)+Inputs!$F$152,1,1)-1))/Inputs!$F$27)-Inputs!$F$190,0))/100),0)</f>
        <v>11.5795068493151</v>
      </c>
      <c r="R679" s="20" t="n">
        <f aca="false">IF(Time!R$6&gt;=(DATE(YEAR(Inputs!$F$144)+Inputs!$F$151,1,1)-1),Inputs!$F$153/100*Inputs!$F$149*(1-(Inputs!$F$187*MIN(MAX(0,(Time!R$6-(DATE(YEAR(Inputs!$F$144)+Inputs!$F$151,1,1)-1))/Inputs!$F$27),1)+Inputs!$F$188*MIN(MAX(MAX(0,(Time!R$6-(DATE(YEAR(Inputs!$F$144)+Inputs!$F$151,1,1)-1))/Inputs!$F$27)-1,0),Inputs!$F$190-1)+Inputs!$F$189*MAX(MAX(0,(Time!R$6-(DATE(YEAR(Inputs!$F$144)+Inputs!$F$151,1,1)-1))/Inputs!$F$27)-Inputs!$F$190,0))/100),0)+IF(Time!R$6&gt;=(DATE(YEAR(Inputs!$F$144)+Inputs!$F$152,1,1)-1),Inputs!$F$153/100*Inputs!$F$149*(1-(Inputs!$F$187*MIN(MAX(0,(Time!R$6-(DATE(YEAR(Inputs!$F$144)+Inputs!$F$152,1,1)-1))/Inputs!$F$27),1)+Inputs!$F$188*MIN(MAX(MAX(0,(Time!R$6-(DATE(YEAR(Inputs!$F$144)+Inputs!$F$152,1,1)-1))/Inputs!$F$27)-1,0),Inputs!$F$190-1)+Inputs!$F$189*MAX(MAX(0,(Time!R$6-(DATE(YEAR(Inputs!$F$144)+Inputs!$F$152,1,1)-1))/Inputs!$F$27)-Inputs!$F$190,0))/100),0)</f>
        <v>11.3995068493151</v>
      </c>
      <c r="S679" s="20" t="n">
        <f aca="false">IF(Time!S$6&gt;=(DATE(YEAR(Inputs!$F$144)+Inputs!$F$151,1,1)-1),Inputs!$F$153/100*Inputs!$F$149*(1-(Inputs!$F$187*MIN(MAX(0,(Time!S$6-(DATE(YEAR(Inputs!$F$144)+Inputs!$F$151,1,1)-1))/Inputs!$F$27),1)+Inputs!$F$188*MIN(MAX(MAX(0,(Time!S$6-(DATE(YEAR(Inputs!$F$144)+Inputs!$F$151,1,1)-1))/Inputs!$F$27)-1,0),Inputs!$F$190-1)+Inputs!$F$189*MAX(MAX(0,(Time!S$6-(DATE(YEAR(Inputs!$F$144)+Inputs!$F$151,1,1)-1))/Inputs!$F$27)-Inputs!$F$190,0))/100),0)+IF(Time!S$6&gt;=(DATE(YEAR(Inputs!$F$144)+Inputs!$F$152,1,1)-1),Inputs!$F$153/100*Inputs!$F$149*(1-(Inputs!$F$187*MIN(MAX(0,(Time!S$6-(DATE(YEAR(Inputs!$F$144)+Inputs!$F$152,1,1)-1))/Inputs!$F$27),1)+Inputs!$F$188*MIN(MAX(MAX(0,(Time!S$6-(DATE(YEAR(Inputs!$F$144)+Inputs!$F$152,1,1)-1))/Inputs!$F$27)-1,0),Inputs!$F$190-1)+Inputs!$F$189*MAX(MAX(0,(Time!S$6-(DATE(YEAR(Inputs!$F$144)+Inputs!$F$152,1,1)-1))/Inputs!$F$27)-Inputs!$F$190,0))/100),0)</f>
        <v>23.2195068493151</v>
      </c>
      <c r="T679" s="20" t="n">
        <f aca="false">IF(Time!T$6&gt;=(DATE(YEAR(Inputs!$F$144)+Inputs!$F$151,1,1)-1),Inputs!$F$153/100*Inputs!$F$149*(1-(Inputs!$F$187*MIN(MAX(0,(Time!T$6-(DATE(YEAR(Inputs!$F$144)+Inputs!$F$151,1,1)-1))/Inputs!$F$27),1)+Inputs!$F$188*MIN(MAX(MAX(0,(Time!T$6-(DATE(YEAR(Inputs!$F$144)+Inputs!$F$151,1,1)-1))/Inputs!$F$27)-1,0),Inputs!$F$190-1)+Inputs!$F$189*MAX(MAX(0,(Time!T$6-(DATE(YEAR(Inputs!$F$144)+Inputs!$F$151,1,1)-1))/Inputs!$F$27)-Inputs!$F$190,0))/100),0)+IF(Time!T$6&gt;=(DATE(YEAR(Inputs!$F$144)+Inputs!$F$152,1,1)-1),Inputs!$F$153/100*Inputs!$F$149*(1-(Inputs!$F$187*MIN(MAX(0,(Time!T$6-(DATE(YEAR(Inputs!$F$144)+Inputs!$F$152,1,1)-1))/Inputs!$F$27),1)+Inputs!$F$188*MIN(MAX(MAX(0,(Time!T$6-(DATE(YEAR(Inputs!$F$144)+Inputs!$F$152,1,1)-1))/Inputs!$F$27)-1,0),Inputs!$F$190-1)+Inputs!$F$189*MAX(MAX(0,(Time!T$6-(DATE(YEAR(Inputs!$F$144)+Inputs!$F$152,1,1)-1))/Inputs!$F$27)-Inputs!$F$190,0))/100),0)</f>
        <v>22.7985205479452</v>
      </c>
      <c r="U679" s="20" t="n">
        <f aca="false">IF(Time!U$6&gt;=(DATE(YEAR(Inputs!$F$144)+Inputs!$F$151,1,1)-1),Inputs!$F$153/100*Inputs!$F$149*(1-(Inputs!$F$187*MIN(MAX(0,(Time!U$6-(DATE(YEAR(Inputs!$F$144)+Inputs!$F$151,1,1)-1))/Inputs!$F$27),1)+Inputs!$F$188*MIN(MAX(MAX(0,(Time!U$6-(DATE(YEAR(Inputs!$F$144)+Inputs!$F$151,1,1)-1))/Inputs!$F$27)-1,0),Inputs!$F$190-1)+Inputs!$F$189*MAX(MAX(0,(Time!U$6-(DATE(YEAR(Inputs!$F$144)+Inputs!$F$151,1,1)-1))/Inputs!$F$27)-Inputs!$F$190,0))/100),0)+IF(Time!U$6&gt;=(DATE(YEAR(Inputs!$F$144)+Inputs!$F$152,1,1)-1),Inputs!$F$153/100*Inputs!$F$149*(1-(Inputs!$F$187*MIN(MAX(0,(Time!U$6-(DATE(YEAR(Inputs!$F$144)+Inputs!$F$152,1,1)-1))/Inputs!$F$27),1)+Inputs!$F$188*MIN(MAX(MAX(0,(Time!U$6-(DATE(YEAR(Inputs!$F$144)+Inputs!$F$152,1,1)-1))/Inputs!$F$27)-1,0),Inputs!$F$190-1)+Inputs!$F$189*MAX(MAX(0,(Time!U$6-(DATE(YEAR(Inputs!$F$144)+Inputs!$F$152,1,1)-1))/Inputs!$F$27)-Inputs!$F$190,0))/100),0)</f>
        <v>22.4385205479452</v>
      </c>
      <c r="V679" s="20" t="n">
        <f aca="false">IF(Time!V$6&gt;=(DATE(YEAR(Inputs!$F$144)+Inputs!$F$151,1,1)-1),Inputs!$F$153/100*Inputs!$F$149*(1-(Inputs!$F$187*MIN(MAX(0,(Time!V$6-(DATE(YEAR(Inputs!$F$144)+Inputs!$F$151,1,1)-1))/Inputs!$F$27),1)+Inputs!$F$188*MIN(MAX(MAX(0,(Time!V$6-(DATE(YEAR(Inputs!$F$144)+Inputs!$F$151,1,1)-1))/Inputs!$F$27)-1,0),Inputs!$F$190-1)+Inputs!$F$189*MAX(MAX(0,(Time!V$6-(DATE(YEAR(Inputs!$F$144)+Inputs!$F$151,1,1)-1))/Inputs!$F$27)-Inputs!$F$190,0))/100),0)+IF(Time!V$6&gt;=(DATE(YEAR(Inputs!$F$144)+Inputs!$F$152,1,1)-1),Inputs!$F$153/100*Inputs!$F$149*(1-(Inputs!$F$187*MIN(MAX(0,(Time!V$6-(DATE(YEAR(Inputs!$F$144)+Inputs!$F$152,1,1)-1))/Inputs!$F$27),1)+Inputs!$F$188*MIN(MAX(MAX(0,(Time!V$6-(DATE(YEAR(Inputs!$F$144)+Inputs!$F$152,1,1)-1))/Inputs!$F$27)-1,0),Inputs!$F$190-1)+Inputs!$F$189*MAX(MAX(0,(Time!V$6-(DATE(YEAR(Inputs!$F$144)+Inputs!$F$152,1,1)-1))/Inputs!$F$27)-Inputs!$F$190,0))/100),0)</f>
        <v>22.0785205479452</v>
      </c>
      <c r="W679" s="20" t="n">
        <f aca="false">IF(Time!W$6&gt;=(DATE(YEAR(Inputs!$F$144)+Inputs!$F$151,1,1)-1),Inputs!$F$153/100*Inputs!$F$149*(1-(Inputs!$F$187*MIN(MAX(0,(Time!W$6-(DATE(YEAR(Inputs!$F$144)+Inputs!$F$151,1,1)-1))/Inputs!$F$27),1)+Inputs!$F$188*MIN(MAX(MAX(0,(Time!W$6-(DATE(YEAR(Inputs!$F$144)+Inputs!$F$151,1,1)-1))/Inputs!$F$27)-1,0),Inputs!$F$190-1)+Inputs!$F$189*MAX(MAX(0,(Time!W$6-(DATE(YEAR(Inputs!$F$144)+Inputs!$F$151,1,1)-1))/Inputs!$F$27)-Inputs!$F$190,0))/100),0)+IF(Time!W$6&gt;=(DATE(YEAR(Inputs!$F$144)+Inputs!$F$152,1,1)-1),Inputs!$F$153/100*Inputs!$F$149*(1-(Inputs!$F$187*MIN(MAX(0,(Time!W$6-(DATE(YEAR(Inputs!$F$144)+Inputs!$F$152,1,1)-1))/Inputs!$F$27),1)+Inputs!$F$188*MIN(MAX(MAX(0,(Time!W$6-(DATE(YEAR(Inputs!$F$144)+Inputs!$F$152,1,1)-1))/Inputs!$F$27)-1,0),Inputs!$F$190-1)+Inputs!$F$189*MAX(MAX(0,(Time!W$6-(DATE(YEAR(Inputs!$F$144)+Inputs!$F$152,1,1)-1))/Inputs!$F$27)-Inputs!$F$190,0))/100),0)</f>
        <v>21.7185205479452</v>
      </c>
      <c r="X679" s="20" t="n">
        <f aca="false">IF(Time!X$6&gt;=(DATE(YEAR(Inputs!$F$144)+Inputs!$F$151,1,1)-1),Inputs!$F$153/100*Inputs!$F$149*(1-(Inputs!$F$187*MIN(MAX(0,(Time!X$6-(DATE(YEAR(Inputs!$F$144)+Inputs!$F$151,1,1)-1))/Inputs!$F$27),1)+Inputs!$F$188*MIN(MAX(MAX(0,(Time!X$6-(DATE(YEAR(Inputs!$F$144)+Inputs!$F$151,1,1)-1))/Inputs!$F$27)-1,0),Inputs!$F$190-1)+Inputs!$F$189*MAX(MAX(0,(Time!X$6-(DATE(YEAR(Inputs!$F$144)+Inputs!$F$151,1,1)-1))/Inputs!$F$27)-Inputs!$F$190,0))/100),0)+IF(Time!X$6&gt;=(DATE(YEAR(Inputs!$F$144)+Inputs!$F$152,1,1)-1),Inputs!$F$153/100*Inputs!$F$149*(1-(Inputs!$F$187*MIN(MAX(0,(Time!X$6-(DATE(YEAR(Inputs!$F$144)+Inputs!$F$152,1,1)-1))/Inputs!$F$27),1)+Inputs!$F$188*MIN(MAX(MAX(0,(Time!X$6-(DATE(YEAR(Inputs!$F$144)+Inputs!$F$152,1,1)-1))/Inputs!$F$27)-1,0),Inputs!$F$190-1)+Inputs!$F$189*MAX(MAX(0,(Time!X$6-(DATE(YEAR(Inputs!$F$144)+Inputs!$F$152,1,1)-1))/Inputs!$F$27)-Inputs!$F$190,0))/100),0)</f>
        <v>21.3575342465753</v>
      </c>
      <c r="Y679" s="20" t="n">
        <f aca="false">IF(Time!Y$6&gt;=(DATE(YEAR(Inputs!$F$144)+Inputs!$F$151,1,1)-1),Inputs!$F$153/100*Inputs!$F$149*(1-(Inputs!$F$187*MIN(MAX(0,(Time!Y$6-(DATE(YEAR(Inputs!$F$144)+Inputs!$F$151,1,1)-1))/Inputs!$F$27),1)+Inputs!$F$188*MIN(MAX(MAX(0,(Time!Y$6-(DATE(YEAR(Inputs!$F$144)+Inputs!$F$151,1,1)-1))/Inputs!$F$27)-1,0),Inputs!$F$190-1)+Inputs!$F$189*MAX(MAX(0,(Time!Y$6-(DATE(YEAR(Inputs!$F$144)+Inputs!$F$151,1,1)-1))/Inputs!$F$27)-Inputs!$F$190,0))/100),0)+IF(Time!Y$6&gt;=(DATE(YEAR(Inputs!$F$144)+Inputs!$F$152,1,1)-1),Inputs!$F$153/100*Inputs!$F$149*(1-(Inputs!$F$187*MIN(MAX(0,(Time!Y$6-(DATE(YEAR(Inputs!$F$144)+Inputs!$F$152,1,1)-1))/Inputs!$F$27),1)+Inputs!$F$188*MIN(MAX(MAX(0,(Time!Y$6-(DATE(YEAR(Inputs!$F$144)+Inputs!$F$152,1,1)-1))/Inputs!$F$27)-1,0),Inputs!$F$190-1)+Inputs!$F$189*MAX(MAX(0,(Time!Y$6-(DATE(YEAR(Inputs!$F$144)+Inputs!$F$152,1,1)-1))/Inputs!$F$27)-Inputs!$F$190,0))/100),0)</f>
        <v>20.9980273972603</v>
      </c>
      <c r="Z679" s="20" t="n">
        <f aca="false">IF(Time!Z$6&gt;=(DATE(YEAR(Inputs!$F$144)+Inputs!$F$151,1,1)-1),Inputs!$F$153/100*Inputs!$F$149*(1-(Inputs!$F$187*MIN(MAX(0,(Time!Z$6-(DATE(YEAR(Inputs!$F$144)+Inputs!$F$151,1,1)-1))/Inputs!$F$27),1)+Inputs!$F$188*MIN(MAX(MAX(0,(Time!Z$6-(DATE(YEAR(Inputs!$F$144)+Inputs!$F$151,1,1)-1))/Inputs!$F$27)-1,0),Inputs!$F$190-1)+Inputs!$F$189*MAX(MAX(0,(Time!Z$6-(DATE(YEAR(Inputs!$F$144)+Inputs!$F$151,1,1)-1))/Inputs!$F$27)-Inputs!$F$190,0))/100),0)+IF(Time!Z$6&gt;=(DATE(YEAR(Inputs!$F$144)+Inputs!$F$152,1,1)-1),Inputs!$F$153/100*Inputs!$F$149*(1-(Inputs!$F$187*MIN(MAX(0,(Time!Z$6-(DATE(YEAR(Inputs!$F$144)+Inputs!$F$152,1,1)-1))/Inputs!$F$27),1)+Inputs!$F$188*MIN(MAX(MAX(0,(Time!Z$6-(DATE(YEAR(Inputs!$F$144)+Inputs!$F$152,1,1)-1))/Inputs!$F$27)-1,0),Inputs!$F$190-1)+Inputs!$F$189*MAX(MAX(0,(Time!Z$6-(DATE(YEAR(Inputs!$F$144)+Inputs!$F$152,1,1)-1))/Inputs!$F$27)-Inputs!$F$190,0))/100),0)</f>
        <v>20.6980273972603</v>
      </c>
      <c r="AA679" s="20" t="n">
        <f aca="false">IF(Time!AA$6&gt;=(DATE(YEAR(Inputs!$F$144)+Inputs!$F$151,1,1)-1),Inputs!$F$153/100*Inputs!$F$149*(1-(Inputs!$F$187*MIN(MAX(0,(Time!AA$6-(DATE(YEAR(Inputs!$F$144)+Inputs!$F$151,1,1)-1))/Inputs!$F$27),1)+Inputs!$F$188*MIN(MAX(MAX(0,(Time!AA$6-(DATE(YEAR(Inputs!$F$144)+Inputs!$F$151,1,1)-1))/Inputs!$F$27)-1,0),Inputs!$F$190-1)+Inputs!$F$189*MAX(MAX(0,(Time!AA$6-(DATE(YEAR(Inputs!$F$144)+Inputs!$F$151,1,1)-1))/Inputs!$F$27)-Inputs!$F$190,0))/100),0)+IF(Time!AA$6&gt;=(DATE(YEAR(Inputs!$F$144)+Inputs!$F$152,1,1)-1),Inputs!$F$153/100*Inputs!$F$149*(1-(Inputs!$F$187*MIN(MAX(0,(Time!AA$6-(DATE(YEAR(Inputs!$F$144)+Inputs!$F$152,1,1)-1))/Inputs!$F$27),1)+Inputs!$F$188*MIN(MAX(MAX(0,(Time!AA$6-(DATE(YEAR(Inputs!$F$144)+Inputs!$F$152,1,1)-1))/Inputs!$F$27)-1,0),Inputs!$F$190-1)+Inputs!$F$189*MAX(MAX(0,(Time!AA$6-(DATE(YEAR(Inputs!$F$144)+Inputs!$F$152,1,1)-1))/Inputs!$F$27)-Inputs!$F$190,0))/100),0)</f>
        <v>20.3980273972603</v>
      </c>
      <c r="AB679" s="20" t="n">
        <f aca="false">IF(Time!AB$6&gt;=(DATE(YEAR(Inputs!$F$144)+Inputs!$F$151,1,1)-1),Inputs!$F$153/100*Inputs!$F$149*(1-(Inputs!$F$187*MIN(MAX(0,(Time!AB$6-(DATE(YEAR(Inputs!$F$144)+Inputs!$F$151,1,1)-1))/Inputs!$F$27),1)+Inputs!$F$188*MIN(MAX(MAX(0,(Time!AB$6-(DATE(YEAR(Inputs!$F$144)+Inputs!$F$151,1,1)-1))/Inputs!$F$27)-1,0),Inputs!$F$190-1)+Inputs!$F$189*MAX(MAX(0,(Time!AB$6-(DATE(YEAR(Inputs!$F$144)+Inputs!$F$151,1,1)-1))/Inputs!$F$27)-Inputs!$F$190,0))/100),0)+IF(Time!AB$6&gt;=(DATE(YEAR(Inputs!$F$144)+Inputs!$F$152,1,1)-1),Inputs!$F$153/100*Inputs!$F$149*(1-(Inputs!$F$187*MIN(MAX(0,(Time!AB$6-(DATE(YEAR(Inputs!$F$144)+Inputs!$F$152,1,1)-1))/Inputs!$F$27),1)+Inputs!$F$188*MIN(MAX(MAX(0,(Time!AB$6-(DATE(YEAR(Inputs!$F$144)+Inputs!$F$152,1,1)-1))/Inputs!$F$27)-1,0),Inputs!$F$190-1)+Inputs!$F$189*MAX(MAX(0,(Time!AB$6-(DATE(YEAR(Inputs!$F$144)+Inputs!$F$152,1,1)-1))/Inputs!$F$27)-Inputs!$F$190,0))/100),0)</f>
        <v>20.0972054794521</v>
      </c>
      <c r="AC679" s="20" t="n">
        <f aca="false">IF(Time!AC$6&gt;=(DATE(YEAR(Inputs!$F$144)+Inputs!$F$151,1,1)-1),Inputs!$F$153/100*Inputs!$F$149*(1-(Inputs!$F$187*MIN(MAX(0,(Time!AC$6-(DATE(YEAR(Inputs!$F$144)+Inputs!$F$151,1,1)-1))/Inputs!$F$27),1)+Inputs!$F$188*MIN(MAX(MAX(0,(Time!AC$6-(DATE(YEAR(Inputs!$F$144)+Inputs!$F$151,1,1)-1))/Inputs!$F$27)-1,0),Inputs!$F$190-1)+Inputs!$F$189*MAX(MAX(0,(Time!AC$6-(DATE(YEAR(Inputs!$F$144)+Inputs!$F$151,1,1)-1))/Inputs!$F$27)-Inputs!$F$190,0))/100),0)+IF(Time!AC$6&gt;=(DATE(YEAR(Inputs!$F$144)+Inputs!$F$152,1,1)-1),Inputs!$F$153/100*Inputs!$F$149*(1-(Inputs!$F$187*MIN(MAX(0,(Time!AC$6-(DATE(YEAR(Inputs!$F$144)+Inputs!$F$152,1,1)-1))/Inputs!$F$27),1)+Inputs!$F$188*MIN(MAX(MAX(0,(Time!AC$6-(DATE(YEAR(Inputs!$F$144)+Inputs!$F$152,1,1)-1))/Inputs!$F$27)-1,0),Inputs!$F$190-1)+Inputs!$F$189*MAX(MAX(0,(Time!AC$6-(DATE(YEAR(Inputs!$F$144)+Inputs!$F$152,1,1)-1))/Inputs!$F$27)-Inputs!$F$190,0))/100),0)</f>
        <v>19.797698630137</v>
      </c>
      <c r="AD679" s="20" t="n">
        <f aca="false">IF(Time!AD$6&gt;=(DATE(YEAR(Inputs!$F$144)+Inputs!$F$151,1,1)-1),Inputs!$F$153/100*Inputs!$F$149*(1-(Inputs!$F$187*MIN(MAX(0,(Time!AD$6-(DATE(YEAR(Inputs!$F$144)+Inputs!$F$151,1,1)-1))/Inputs!$F$27),1)+Inputs!$F$188*MIN(MAX(MAX(0,(Time!AD$6-(DATE(YEAR(Inputs!$F$144)+Inputs!$F$151,1,1)-1))/Inputs!$F$27)-1,0),Inputs!$F$190-1)+Inputs!$F$189*MAX(MAX(0,(Time!AD$6-(DATE(YEAR(Inputs!$F$144)+Inputs!$F$151,1,1)-1))/Inputs!$F$27)-Inputs!$F$190,0))/100),0)+IF(Time!AD$6&gt;=(DATE(YEAR(Inputs!$F$144)+Inputs!$F$152,1,1)-1),Inputs!$F$153/100*Inputs!$F$149*(1-(Inputs!$F$187*MIN(MAX(0,(Time!AD$6-(DATE(YEAR(Inputs!$F$144)+Inputs!$F$152,1,1)-1))/Inputs!$F$27),1)+Inputs!$F$188*MIN(MAX(MAX(0,(Time!AD$6-(DATE(YEAR(Inputs!$F$144)+Inputs!$F$152,1,1)-1))/Inputs!$F$27)-1,0),Inputs!$F$190-1)+Inputs!$F$189*MAX(MAX(0,(Time!AD$6-(DATE(YEAR(Inputs!$F$144)+Inputs!$F$152,1,1)-1))/Inputs!$F$27)-Inputs!$F$190,0))/100),0)</f>
        <v>19.557698630137</v>
      </c>
      <c r="AE679" s="20" t="n">
        <f aca="false">IF(Time!AE$6&gt;=(DATE(YEAR(Inputs!$F$144)+Inputs!$F$151,1,1)-1),Inputs!$F$153/100*Inputs!$F$149*(1-(Inputs!$F$187*MIN(MAX(0,(Time!AE$6-(DATE(YEAR(Inputs!$F$144)+Inputs!$F$151,1,1)-1))/Inputs!$F$27),1)+Inputs!$F$188*MIN(MAX(MAX(0,(Time!AE$6-(DATE(YEAR(Inputs!$F$144)+Inputs!$F$151,1,1)-1))/Inputs!$F$27)-1,0),Inputs!$F$190-1)+Inputs!$F$189*MAX(MAX(0,(Time!AE$6-(DATE(YEAR(Inputs!$F$144)+Inputs!$F$151,1,1)-1))/Inputs!$F$27)-Inputs!$F$190,0))/100),0)+IF(Time!AE$6&gt;=(DATE(YEAR(Inputs!$F$144)+Inputs!$F$152,1,1)-1),Inputs!$F$153/100*Inputs!$F$149*(1-(Inputs!$F$187*MIN(MAX(0,(Time!AE$6-(DATE(YEAR(Inputs!$F$144)+Inputs!$F$152,1,1)-1))/Inputs!$F$27),1)+Inputs!$F$188*MIN(MAX(MAX(0,(Time!AE$6-(DATE(YEAR(Inputs!$F$144)+Inputs!$F$152,1,1)-1))/Inputs!$F$27)-1,0),Inputs!$F$190-1)+Inputs!$F$189*MAX(MAX(0,(Time!AE$6-(DATE(YEAR(Inputs!$F$144)+Inputs!$F$152,1,1)-1))/Inputs!$F$27)-Inputs!$F$190,0))/100),0)</f>
        <v>19.317698630137</v>
      </c>
      <c r="AF679" s="20" t="n">
        <f aca="false">IF(Time!AF$6&gt;=(DATE(YEAR(Inputs!$F$144)+Inputs!$F$151,1,1)-1),Inputs!$F$153/100*Inputs!$F$149*(1-(Inputs!$F$187*MIN(MAX(0,(Time!AF$6-(DATE(YEAR(Inputs!$F$144)+Inputs!$F$151,1,1)-1))/Inputs!$F$27),1)+Inputs!$F$188*MIN(MAX(MAX(0,(Time!AF$6-(DATE(YEAR(Inputs!$F$144)+Inputs!$F$151,1,1)-1))/Inputs!$F$27)-1,0),Inputs!$F$190-1)+Inputs!$F$189*MAX(MAX(0,(Time!AF$6-(DATE(YEAR(Inputs!$F$144)+Inputs!$F$151,1,1)-1))/Inputs!$F$27)-Inputs!$F$190,0))/100),0)+IF(Time!AF$6&gt;=(DATE(YEAR(Inputs!$F$144)+Inputs!$F$152,1,1)-1),Inputs!$F$153/100*Inputs!$F$149*(1-(Inputs!$F$187*MIN(MAX(0,(Time!AF$6-(DATE(YEAR(Inputs!$F$144)+Inputs!$F$152,1,1)-1))/Inputs!$F$27),1)+Inputs!$F$188*MIN(MAX(MAX(0,(Time!AF$6-(DATE(YEAR(Inputs!$F$144)+Inputs!$F$152,1,1)-1))/Inputs!$F$27)-1,0),Inputs!$F$190-1)+Inputs!$F$189*MAX(MAX(0,(Time!AF$6-(DATE(YEAR(Inputs!$F$144)+Inputs!$F$152,1,1)-1))/Inputs!$F$27)-Inputs!$F$190,0))/100),0)</f>
        <v>19.0770410958904</v>
      </c>
      <c r="AG679" s="20" t="n">
        <f aca="false">IF(Time!AG$6&gt;=(DATE(YEAR(Inputs!$F$144)+Inputs!$F$151,1,1)-1),Inputs!$F$153/100*Inputs!$F$149*(1-(Inputs!$F$187*MIN(MAX(0,(Time!AG$6-(DATE(YEAR(Inputs!$F$144)+Inputs!$F$151,1,1)-1))/Inputs!$F$27),1)+Inputs!$F$188*MIN(MAX(MAX(0,(Time!AG$6-(DATE(YEAR(Inputs!$F$144)+Inputs!$F$151,1,1)-1))/Inputs!$F$27)-1,0),Inputs!$F$190-1)+Inputs!$F$189*MAX(MAX(0,(Time!AG$6-(DATE(YEAR(Inputs!$F$144)+Inputs!$F$151,1,1)-1))/Inputs!$F$27)-Inputs!$F$190,0))/100),0)+IF(Time!AG$6&gt;=(DATE(YEAR(Inputs!$F$144)+Inputs!$F$152,1,1)-1),Inputs!$F$153/100*Inputs!$F$149*(1-(Inputs!$F$187*MIN(MAX(0,(Time!AG$6-(DATE(YEAR(Inputs!$F$144)+Inputs!$F$152,1,1)-1))/Inputs!$F$27),1)+Inputs!$F$188*MIN(MAX(MAX(0,(Time!AG$6-(DATE(YEAR(Inputs!$F$144)+Inputs!$F$152,1,1)-1))/Inputs!$F$27)-1,0),Inputs!$F$190-1)+Inputs!$F$189*MAX(MAX(0,(Time!AG$6-(DATE(YEAR(Inputs!$F$144)+Inputs!$F$152,1,1)-1))/Inputs!$F$27)-Inputs!$F$190,0))/100),0)</f>
        <v>18.8370410958904</v>
      </c>
      <c r="AH679" s="20" t="n">
        <f aca="false">IF(Time!AH$6&gt;=(DATE(YEAR(Inputs!$F$144)+Inputs!$F$151,1,1)-1),Inputs!$F$153/100*Inputs!$F$149*(1-(Inputs!$F$187*MIN(MAX(0,(Time!AH$6-(DATE(YEAR(Inputs!$F$144)+Inputs!$F$151,1,1)-1))/Inputs!$F$27),1)+Inputs!$F$188*MIN(MAX(MAX(0,(Time!AH$6-(DATE(YEAR(Inputs!$F$144)+Inputs!$F$151,1,1)-1))/Inputs!$F$27)-1,0),Inputs!$F$190-1)+Inputs!$F$189*MAX(MAX(0,(Time!AH$6-(DATE(YEAR(Inputs!$F$144)+Inputs!$F$151,1,1)-1))/Inputs!$F$27)-Inputs!$F$190,0))/100),0)+IF(Time!AH$6&gt;=(DATE(YEAR(Inputs!$F$144)+Inputs!$F$152,1,1)-1),Inputs!$F$153/100*Inputs!$F$149*(1-(Inputs!$F$187*MIN(MAX(0,(Time!AH$6-(DATE(YEAR(Inputs!$F$144)+Inputs!$F$152,1,1)-1))/Inputs!$F$27),1)+Inputs!$F$188*MIN(MAX(MAX(0,(Time!AH$6-(DATE(YEAR(Inputs!$F$144)+Inputs!$F$152,1,1)-1))/Inputs!$F$27)-1,0),Inputs!$F$190-1)+Inputs!$F$189*MAX(MAX(0,(Time!AH$6-(DATE(YEAR(Inputs!$F$144)+Inputs!$F$152,1,1)-1))/Inputs!$F$27)-Inputs!$F$190,0))/100),0)</f>
        <v>18.5970410958904</v>
      </c>
      <c r="AI679" s="20" t="n">
        <f aca="false">IF(Time!AI$6&gt;=(DATE(YEAR(Inputs!$F$144)+Inputs!$F$151,1,1)-1),Inputs!$F$153/100*Inputs!$F$149*(1-(Inputs!$F$187*MIN(MAX(0,(Time!AI$6-(DATE(YEAR(Inputs!$F$144)+Inputs!$F$151,1,1)-1))/Inputs!$F$27),1)+Inputs!$F$188*MIN(MAX(MAX(0,(Time!AI$6-(DATE(YEAR(Inputs!$F$144)+Inputs!$F$151,1,1)-1))/Inputs!$F$27)-1,0),Inputs!$F$190-1)+Inputs!$F$189*MAX(MAX(0,(Time!AI$6-(DATE(YEAR(Inputs!$F$144)+Inputs!$F$151,1,1)-1))/Inputs!$F$27)-Inputs!$F$190,0))/100),0)+IF(Time!AI$6&gt;=(DATE(YEAR(Inputs!$F$144)+Inputs!$F$152,1,1)-1),Inputs!$F$153/100*Inputs!$F$149*(1-(Inputs!$F$187*MIN(MAX(0,(Time!AI$6-(DATE(YEAR(Inputs!$F$144)+Inputs!$F$152,1,1)-1))/Inputs!$F$27),1)+Inputs!$F$188*MIN(MAX(MAX(0,(Time!AI$6-(DATE(YEAR(Inputs!$F$144)+Inputs!$F$152,1,1)-1))/Inputs!$F$27)-1,0),Inputs!$F$190-1)+Inputs!$F$189*MAX(MAX(0,(Time!AI$6-(DATE(YEAR(Inputs!$F$144)+Inputs!$F$152,1,1)-1))/Inputs!$F$27)-Inputs!$F$190,0))/100),0)</f>
        <v>18.3570410958904</v>
      </c>
      <c r="AJ679" s="20" t="n">
        <f aca="false">IF(Time!AJ$6&gt;=(DATE(YEAR(Inputs!$F$144)+Inputs!$F$151,1,1)-1),Inputs!$F$153/100*Inputs!$F$149*(1-(Inputs!$F$187*MIN(MAX(0,(Time!AJ$6-(DATE(YEAR(Inputs!$F$144)+Inputs!$F$151,1,1)-1))/Inputs!$F$27),1)+Inputs!$F$188*MIN(MAX(MAX(0,(Time!AJ$6-(DATE(YEAR(Inputs!$F$144)+Inputs!$F$151,1,1)-1))/Inputs!$F$27)-1,0),Inputs!$F$190-1)+Inputs!$F$189*MAX(MAX(0,(Time!AJ$6-(DATE(YEAR(Inputs!$F$144)+Inputs!$F$151,1,1)-1))/Inputs!$F$27)-Inputs!$F$190,0))/100),0)+IF(Time!AJ$6&gt;=(DATE(YEAR(Inputs!$F$144)+Inputs!$F$152,1,1)-1),Inputs!$F$153/100*Inputs!$F$149*(1-(Inputs!$F$187*MIN(MAX(0,(Time!AJ$6-(DATE(YEAR(Inputs!$F$144)+Inputs!$F$152,1,1)-1))/Inputs!$F$27),1)+Inputs!$F$188*MIN(MAX(MAX(0,(Time!AJ$6-(DATE(YEAR(Inputs!$F$144)+Inputs!$F$152,1,1)-1))/Inputs!$F$27)-1,0),Inputs!$F$190-1)+Inputs!$F$189*MAX(MAX(0,(Time!AJ$6-(DATE(YEAR(Inputs!$F$144)+Inputs!$F$152,1,1)-1))/Inputs!$F$27)-Inputs!$F$190,0))/100),0)</f>
        <v>18.1163835616438</v>
      </c>
      <c r="AK679" s="20" t="n">
        <f aca="false">IF(Time!AK$6&gt;=(DATE(YEAR(Inputs!$F$144)+Inputs!$F$151,1,1)-1),Inputs!$F$153/100*Inputs!$F$149*(1-(Inputs!$F$187*MIN(MAX(0,(Time!AK$6-(DATE(YEAR(Inputs!$F$144)+Inputs!$F$151,1,1)-1))/Inputs!$F$27),1)+Inputs!$F$188*MIN(MAX(MAX(0,(Time!AK$6-(DATE(YEAR(Inputs!$F$144)+Inputs!$F$151,1,1)-1))/Inputs!$F$27)-1,0),Inputs!$F$190-1)+Inputs!$F$189*MAX(MAX(0,(Time!AK$6-(DATE(YEAR(Inputs!$F$144)+Inputs!$F$151,1,1)-1))/Inputs!$F$27)-Inputs!$F$190,0))/100),0)+IF(Time!AK$6&gt;=(DATE(YEAR(Inputs!$F$144)+Inputs!$F$152,1,1)-1),Inputs!$F$153/100*Inputs!$F$149*(1-(Inputs!$F$187*MIN(MAX(0,(Time!AK$6-(DATE(YEAR(Inputs!$F$144)+Inputs!$F$152,1,1)-1))/Inputs!$F$27),1)+Inputs!$F$188*MIN(MAX(MAX(0,(Time!AK$6-(DATE(YEAR(Inputs!$F$144)+Inputs!$F$152,1,1)-1))/Inputs!$F$27)-1,0),Inputs!$F$190-1)+Inputs!$F$189*MAX(MAX(0,(Time!AK$6-(DATE(YEAR(Inputs!$F$144)+Inputs!$F$152,1,1)-1))/Inputs!$F$27)-Inputs!$F$190,0))/100),0)</f>
        <v>17.8763835616438</v>
      </c>
      <c r="AL679" s="20" t="n">
        <f aca="false">IF(Time!AL$6&gt;=(DATE(YEAR(Inputs!$F$144)+Inputs!$F$151,1,1)-1),Inputs!$F$153/100*Inputs!$F$149*(1-(Inputs!$F$187*MIN(MAX(0,(Time!AL$6-(DATE(YEAR(Inputs!$F$144)+Inputs!$F$151,1,1)-1))/Inputs!$F$27),1)+Inputs!$F$188*MIN(MAX(MAX(0,(Time!AL$6-(DATE(YEAR(Inputs!$F$144)+Inputs!$F$151,1,1)-1))/Inputs!$F$27)-1,0),Inputs!$F$190-1)+Inputs!$F$189*MAX(MAX(0,(Time!AL$6-(DATE(YEAR(Inputs!$F$144)+Inputs!$F$151,1,1)-1))/Inputs!$F$27)-Inputs!$F$190,0))/100),0)+IF(Time!AL$6&gt;=(DATE(YEAR(Inputs!$F$144)+Inputs!$F$152,1,1)-1),Inputs!$F$153/100*Inputs!$F$149*(1-(Inputs!$F$187*MIN(MAX(0,(Time!AL$6-(DATE(YEAR(Inputs!$F$144)+Inputs!$F$152,1,1)-1))/Inputs!$F$27),1)+Inputs!$F$188*MIN(MAX(MAX(0,(Time!AL$6-(DATE(YEAR(Inputs!$F$144)+Inputs!$F$152,1,1)-1))/Inputs!$F$27)-1,0),Inputs!$F$190-1)+Inputs!$F$189*MAX(MAX(0,(Time!AL$6-(DATE(YEAR(Inputs!$F$144)+Inputs!$F$152,1,1)-1))/Inputs!$F$27)-Inputs!$F$190,0))/100),0)</f>
        <v>17.6363835616438</v>
      </c>
      <c r="AM679" s="20" t="n">
        <f aca="false">IF(Time!AM$6&gt;=(DATE(YEAR(Inputs!$F$144)+Inputs!$F$151,1,1)-1),Inputs!$F$153/100*Inputs!$F$149*(1-(Inputs!$F$187*MIN(MAX(0,(Time!AM$6-(DATE(YEAR(Inputs!$F$144)+Inputs!$F$151,1,1)-1))/Inputs!$F$27),1)+Inputs!$F$188*MIN(MAX(MAX(0,(Time!AM$6-(DATE(YEAR(Inputs!$F$144)+Inputs!$F$151,1,1)-1))/Inputs!$F$27)-1,0),Inputs!$F$190-1)+Inputs!$F$189*MAX(MAX(0,(Time!AM$6-(DATE(YEAR(Inputs!$F$144)+Inputs!$F$151,1,1)-1))/Inputs!$F$27)-Inputs!$F$190,0))/100),0)+IF(Time!AM$6&gt;=(DATE(YEAR(Inputs!$F$144)+Inputs!$F$152,1,1)-1),Inputs!$F$153/100*Inputs!$F$149*(1-(Inputs!$F$187*MIN(MAX(0,(Time!AM$6-(DATE(YEAR(Inputs!$F$144)+Inputs!$F$152,1,1)-1))/Inputs!$F$27),1)+Inputs!$F$188*MIN(MAX(MAX(0,(Time!AM$6-(DATE(YEAR(Inputs!$F$144)+Inputs!$F$152,1,1)-1))/Inputs!$F$27)-1,0),Inputs!$F$190-1)+Inputs!$F$189*MAX(MAX(0,(Time!AM$6-(DATE(YEAR(Inputs!$F$144)+Inputs!$F$152,1,1)-1))/Inputs!$F$27)-Inputs!$F$190,0))/100),0)</f>
        <v>17.3963835616438</v>
      </c>
      <c r="AN679" s="20" t="n">
        <f aca="false">IF(Time!AN$6&gt;=(DATE(YEAR(Inputs!$F$144)+Inputs!$F$151,1,1)-1),Inputs!$F$153/100*Inputs!$F$149*(1-(Inputs!$F$187*MIN(MAX(0,(Time!AN$6-(DATE(YEAR(Inputs!$F$144)+Inputs!$F$151,1,1)-1))/Inputs!$F$27),1)+Inputs!$F$188*MIN(MAX(MAX(0,(Time!AN$6-(DATE(YEAR(Inputs!$F$144)+Inputs!$F$151,1,1)-1))/Inputs!$F$27)-1,0),Inputs!$F$190-1)+Inputs!$F$189*MAX(MAX(0,(Time!AN$6-(DATE(YEAR(Inputs!$F$144)+Inputs!$F$151,1,1)-1))/Inputs!$F$27)-Inputs!$F$190,0))/100),0)+IF(Time!AN$6&gt;=(DATE(YEAR(Inputs!$F$144)+Inputs!$F$152,1,1)-1),Inputs!$F$153/100*Inputs!$F$149*(1-(Inputs!$F$187*MIN(MAX(0,(Time!AN$6-(DATE(YEAR(Inputs!$F$144)+Inputs!$F$152,1,1)-1))/Inputs!$F$27),1)+Inputs!$F$188*MIN(MAX(MAX(0,(Time!AN$6-(DATE(YEAR(Inputs!$F$144)+Inputs!$F$152,1,1)-1))/Inputs!$F$27)-1,0),Inputs!$F$190-1)+Inputs!$F$189*MAX(MAX(0,(Time!AN$6-(DATE(YEAR(Inputs!$F$144)+Inputs!$F$152,1,1)-1))/Inputs!$F$27)-Inputs!$F$190,0))/100),0)</f>
        <v>17.1557260273973</v>
      </c>
      <c r="AO679" s="20" t="n">
        <f aca="false">IF(Time!AO$6&gt;=(DATE(YEAR(Inputs!$F$144)+Inputs!$F$151,1,1)-1),Inputs!$F$153/100*Inputs!$F$149*(1-(Inputs!$F$187*MIN(MAX(0,(Time!AO$6-(DATE(YEAR(Inputs!$F$144)+Inputs!$F$151,1,1)-1))/Inputs!$F$27),1)+Inputs!$F$188*MIN(MAX(MAX(0,(Time!AO$6-(DATE(YEAR(Inputs!$F$144)+Inputs!$F$151,1,1)-1))/Inputs!$F$27)-1,0),Inputs!$F$190-1)+Inputs!$F$189*MAX(MAX(0,(Time!AO$6-(DATE(YEAR(Inputs!$F$144)+Inputs!$F$151,1,1)-1))/Inputs!$F$27)-Inputs!$F$190,0))/100),0)+IF(Time!AO$6&gt;=(DATE(YEAR(Inputs!$F$144)+Inputs!$F$152,1,1)-1),Inputs!$F$153/100*Inputs!$F$149*(1-(Inputs!$F$187*MIN(MAX(0,(Time!AO$6-(DATE(YEAR(Inputs!$F$144)+Inputs!$F$152,1,1)-1))/Inputs!$F$27),1)+Inputs!$F$188*MIN(MAX(MAX(0,(Time!AO$6-(DATE(YEAR(Inputs!$F$144)+Inputs!$F$152,1,1)-1))/Inputs!$F$27)-1,0),Inputs!$F$190-1)+Inputs!$F$189*MAX(MAX(0,(Time!AO$6-(DATE(YEAR(Inputs!$F$144)+Inputs!$F$152,1,1)-1))/Inputs!$F$27)-Inputs!$F$190,0))/100),0)</f>
        <v>16.9157260273973</v>
      </c>
      <c r="AP679" s="20" t="n">
        <f aca="false">IF(Time!AP$6&gt;=(DATE(YEAR(Inputs!$F$144)+Inputs!$F$151,1,1)-1),Inputs!$F$153/100*Inputs!$F$149*(1-(Inputs!$F$187*MIN(MAX(0,(Time!AP$6-(DATE(YEAR(Inputs!$F$144)+Inputs!$F$151,1,1)-1))/Inputs!$F$27),1)+Inputs!$F$188*MIN(MAX(MAX(0,(Time!AP$6-(DATE(YEAR(Inputs!$F$144)+Inputs!$F$151,1,1)-1))/Inputs!$F$27)-1,0),Inputs!$F$190-1)+Inputs!$F$189*MAX(MAX(0,(Time!AP$6-(DATE(YEAR(Inputs!$F$144)+Inputs!$F$151,1,1)-1))/Inputs!$F$27)-Inputs!$F$190,0))/100),0)+IF(Time!AP$6&gt;=(DATE(YEAR(Inputs!$F$144)+Inputs!$F$152,1,1)-1),Inputs!$F$153/100*Inputs!$F$149*(1-(Inputs!$F$187*MIN(MAX(0,(Time!AP$6-(DATE(YEAR(Inputs!$F$144)+Inputs!$F$152,1,1)-1))/Inputs!$F$27),1)+Inputs!$F$188*MIN(MAX(MAX(0,(Time!AP$6-(DATE(YEAR(Inputs!$F$144)+Inputs!$F$152,1,1)-1))/Inputs!$F$27)-1,0),Inputs!$F$190-1)+Inputs!$F$189*MAX(MAX(0,(Time!AP$6-(DATE(YEAR(Inputs!$F$144)+Inputs!$F$152,1,1)-1))/Inputs!$F$27)-Inputs!$F$190,0))/100),0)</f>
        <v>16.6757260273973</v>
      </c>
      <c r="AQ679" s="20" t="n">
        <f aca="false">IF(Time!AQ$6&gt;=(DATE(YEAR(Inputs!$F$144)+Inputs!$F$151,1,1)-1),Inputs!$F$153/100*Inputs!$F$149*(1-(Inputs!$F$187*MIN(MAX(0,(Time!AQ$6-(DATE(YEAR(Inputs!$F$144)+Inputs!$F$151,1,1)-1))/Inputs!$F$27),1)+Inputs!$F$188*MIN(MAX(MAX(0,(Time!AQ$6-(DATE(YEAR(Inputs!$F$144)+Inputs!$F$151,1,1)-1))/Inputs!$F$27)-1,0),Inputs!$F$190-1)+Inputs!$F$189*MAX(MAX(0,(Time!AQ$6-(DATE(YEAR(Inputs!$F$144)+Inputs!$F$151,1,1)-1))/Inputs!$F$27)-Inputs!$F$190,0))/100),0)+IF(Time!AQ$6&gt;=(DATE(YEAR(Inputs!$F$144)+Inputs!$F$152,1,1)-1),Inputs!$F$153/100*Inputs!$F$149*(1-(Inputs!$F$187*MIN(MAX(0,(Time!AQ$6-(DATE(YEAR(Inputs!$F$144)+Inputs!$F$152,1,1)-1))/Inputs!$F$27),1)+Inputs!$F$188*MIN(MAX(MAX(0,(Time!AQ$6-(DATE(YEAR(Inputs!$F$144)+Inputs!$F$152,1,1)-1))/Inputs!$F$27)-1,0),Inputs!$F$190-1)+Inputs!$F$189*MAX(MAX(0,(Time!AQ$6-(DATE(YEAR(Inputs!$F$144)+Inputs!$F$152,1,1)-1))/Inputs!$F$27)-Inputs!$F$190,0))/100),0)</f>
        <v>16.4357260273973</v>
      </c>
      <c r="AR679" s="20" t="n">
        <f aca="false">IF(Time!AR$6&gt;=(DATE(YEAR(Inputs!$F$144)+Inputs!$F$151,1,1)-1),Inputs!$F$153/100*Inputs!$F$149*(1-(Inputs!$F$187*MIN(MAX(0,(Time!AR$6-(DATE(YEAR(Inputs!$F$144)+Inputs!$F$151,1,1)-1))/Inputs!$F$27),1)+Inputs!$F$188*MIN(MAX(MAX(0,(Time!AR$6-(DATE(YEAR(Inputs!$F$144)+Inputs!$F$151,1,1)-1))/Inputs!$F$27)-1,0),Inputs!$F$190-1)+Inputs!$F$189*MAX(MAX(0,(Time!AR$6-(DATE(YEAR(Inputs!$F$144)+Inputs!$F$151,1,1)-1))/Inputs!$F$27)-Inputs!$F$190,0))/100),0)+IF(Time!AR$6&gt;=(DATE(YEAR(Inputs!$F$144)+Inputs!$F$152,1,1)-1),Inputs!$F$153/100*Inputs!$F$149*(1-(Inputs!$F$187*MIN(MAX(0,(Time!AR$6-(DATE(YEAR(Inputs!$F$144)+Inputs!$F$152,1,1)-1))/Inputs!$F$27),1)+Inputs!$F$188*MIN(MAX(MAX(0,(Time!AR$6-(DATE(YEAR(Inputs!$F$144)+Inputs!$F$152,1,1)-1))/Inputs!$F$27)-1,0),Inputs!$F$190-1)+Inputs!$F$189*MAX(MAX(0,(Time!AR$6-(DATE(YEAR(Inputs!$F$144)+Inputs!$F$152,1,1)-1))/Inputs!$F$27)-Inputs!$F$190,0))/100),0)</f>
        <v>16.1950684931507</v>
      </c>
      <c r="AS679" s="20" t="n">
        <f aca="false">IF(Time!AS$6&gt;=(DATE(YEAR(Inputs!$F$144)+Inputs!$F$151,1,1)-1),Inputs!$F$153/100*Inputs!$F$149*(1-(Inputs!$F$187*MIN(MAX(0,(Time!AS$6-(DATE(YEAR(Inputs!$F$144)+Inputs!$F$151,1,1)-1))/Inputs!$F$27),1)+Inputs!$F$188*MIN(MAX(MAX(0,(Time!AS$6-(DATE(YEAR(Inputs!$F$144)+Inputs!$F$151,1,1)-1))/Inputs!$F$27)-1,0),Inputs!$F$190-1)+Inputs!$F$189*MAX(MAX(0,(Time!AS$6-(DATE(YEAR(Inputs!$F$144)+Inputs!$F$151,1,1)-1))/Inputs!$F$27)-Inputs!$F$190,0))/100),0)+IF(Time!AS$6&gt;=(DATE(YEAR(Inputs!$F$144)+Inputs!$F$152,1,1)-1),Inputs!$F$153/100*Inputs!$F$149*(1-(Inputs!$F$187*MIN(MAX(0,(Time!AS$6-(DATE(YEAR(Inputs!$F$144)+Inputs!$F$152,1,1)-1))/Inputs!$F$27),1)+Inputs!$F$188*MIN(MAX(MAX(0,(Time!AS$6-(DATE(YEAR(Inputs!$F$144)+Inputs!$F$152,1,1)-1))/Inputs!$F$27)-1,0),Inputs!$F$190-1)+Inputs!$F$189*MAX(MAX(0,(Time!AS$6-(DATE(YEAR(Inputs!$F$144)+Inputs!$F$152,1,1)-1))/Inputs!$F$27)-Inputs!$F$190,0))/100),0)</f>
        <v>15.9550684931507</v>
      </c>
      <c r="AT679" s="20" t="n">
        <f aca="false">IF(Time!AT$6&gt;=(DATE(YEAR(Inputs!$F$144)+Inputs!$F$151,1,1)-1),Inputs!$F$153/100*Inputs!$F$149*(1-(Inputs!$F$187*MIN(MAX(0,(Time!AT$6-(DATE(YEAR(Inputs!$F$144)+Inputs!$F$151,1,1)-1))/Inputs!$F$27),1)+Inputs!$F$188*MIN(MAX(MAX(0,(Time!AT$6-(DATE(YEAR(Inputs!$F$144)+Inputs!$F$151,1,1)-1))/Inputs!$F$27)-1,0),Inputs!$F$190-1)+Inputs!$F$189*MAX(MAX(0,(Time!AT$6-(DATE(YEAR(Inputs!$F$144)+Inputs!$F$151,1,1)-1))/Inputs!$F$27)-Inputs!$F$190,0))/100),0)+IF(Time!AT$6&gt;=(DATE(YEAR(Inputs!$F$144)+Inputs!$F$152,1,1)-1),Inputs!$F$153/100*Inputs!$F$149*(1-(Inputs!$F$187*MIN(MAX(0,(Time!AT$6-(DATE(YEAR(Inputs!$F$144)+Inputs!$F$152,1,1)-1))/Inputs!$F$27),1)+Inputs!$F$188*MIN(MAX(MAX(0,(Time!AT$6-(DATE(YEAR(Inputs!$F$144)+Inputs!$F$152,1,1)-1))/Inputs!$F$27)-1,0),Inputs!$F$190-1)+Inputs!$F$189*MAX(MAX(0,(Time!AT$6-(DATE(YEAR(Inputs!$F$144)+Inputs!$F$152,1,1)-1))/Inputs!$F$27)-Inputs!$F$190,0))/100),0)</f>
        <v>15.7150684931507</v>
      </c>
      <c r="AU679" s="20" t="n">
        <f aca="false">IF(Time!AU$6&gt;=(DATE(YEAR(Inputs!$F$144)+Inputs!$F$151,1,1)-1),Inputs!$F$153/100*Inputs!$F$149*(1-(Inputs!$F$187*MIN(MAX(0,(Time!AU$6-(DATE(YEAR(Inputs!$F$144)+Inputs!$F$151,1,1)-1))/Inputs!$F$27),1)+Inputs!$F$188*MIN(MAX(MAX(0,(Time!AU$6-(DATE(YEAR(Inputs!$F$144)+Inputs!$F$151,1,1)-1))/Inputs!$F$27)-1,0),Inputs!$F$190-1)+Inputs!$F$189*MAX(MAX(0,(Time!AU$6-(DATE(YEAR(Inputs!$F$144)+Inputs!$F$151,1,1)-1))/Inputs!$F$27)-Inputs!$F$190,0))/100),0)+IF(Time!AU$6&gt;=(DATE(YEAR(Inputs!$F$144)+Inputs!$F$152,1,1)-1),Inputs!$F$153/100*Inputs!$F$149*(1-(Inputs!$F$187*MIN(MAX(0,(Time!AU$6-(DATE(YEAR(Inputs!$F$144)+Inputs!$F$152,1,1)-1))/Inputs!$F$27),1)+Inputs!$F$188*MIN(MAX(MAX(0,(Time!AU$6-(DATE(YEAR(Inputs!$F$144)+Inputs!$F$152,1,1)-1))/Inputs!$F$27)-1,0),Inputs!$F$190-1)+Inputs!$F$189*MAX(MAX(0,(Time!AU$6-(DATE(YEAR(Inputs!$F$144)+Inputs!$F$152,1,1)-1))/Inputs!$F$27)-Inputs!$F$190,0))/100),0)</f>
        <v>15.4750684931507</v>
      </c>
    </row>
    <row r="680" customFormat="false" ht="15" hidden="false" customHeight="false" outlineLevel="0" collapsed="false">
      <c r="D680" s="0" t="s">
        <v>680</v>
      </c>
      <c r="E680" s="0" t="s">
        <v>176</v>
      </c>
      <c r="J680" s="20" t="n">
        <f aca="false">Operations!J678+Operations!J679</f>
        <v>216</v>
      </c>
      <c r="K680" s="20" t="n">
        <f aca="false">Operations!K678+Operations!K679</f>
        <v>213.987945205479</v>
      </c>
      <c r="L680" s="20" t="n">
        <f aca="false">Operations!L678+Operations!L679</f>
        <v>210.162082191781</v>
      </c>
      <c r="M680" s="20" t="n">
        <f aca="false">Operations!M678+Operations!M679</f>
        <v>206.922082191781</v>
      </c>
      <c r="N680" s="20" t="n">
        <f aca="false">Operations!N678+Operations!N679</f>
        <v>203.682082191781</v>
      </c>
      <c r="O680" s="20" t="n">
        <f aca="false">Operations!O678+Operations!O679</f>
        <v>212.442082191781</v>
      </c>
      <c r="P680" s="20" t="n">
        <f aca="false">Operations!P678+Operations!P679</f>
        <v>208.952712328767</v>
      </c>
      <c r="Q680" s="20" t="n">
        <f aca="false">Operations!Q678+Operations!Q679</f>
        <v>205.532712328767</v>
      </c>
      <c r="R680" s="20" t="n">
        <f aca="false">Operations!R678+Operations!R679</f>
        <v>202.112712328767</v>
      </c>
      <c r="S680" s="20" t="n">
        <f aca="false">Operations!S678+Operations!S679</f>
        <v>210.692712328767</v>
      </c>
      <c r="T680" s="20" t="n">
        <f aca="false">Operations!T678+Operations!T679</f>
        <v>207.022849315069</v>
      </c>
      <c r="U680" s="20" t="n">
        <f aca="false">Operations!U678+Operations!U679</f>
        <v>203.934739726027</v>
      </c>
      <c r="V680" s="20" t="n">
        <f aca="false">Operations!V678+Operations!V679</f>
        <v>201.414739726027</v>
      </c>
      <c r="W680" s="20" t="n">
        <f aca="false">Operations!W678+Operations!W679</f>
        <v>198.894739726027</v>
      </c>
      <c r="X680" s="20" t="n">
        <f aca="false">Operations!X678+Operations!X679</f>
        <v>196.367835616438</v>
      </c>
      <c r="Y680" s="20" t="n">
        <f aca="false">Operations!Y678+Operations!Y679</f>
        <v>193.848328767123</v>
      </c>
      <c r="Z680" s="20" t="n">
        <f aca="false">Operations!Z678+Operations!Z679</f>
        <v>191.388328767123</v>
      </c>
      <c r="AA680" s="20" t="n">
        <f aca="false">Operations!AA678+Operations!AA679</f>
        <v>188.928328767123</v>
      </c>
      <c r="AB680" s="20" t="n">
        <f aca="false">Operations!AB678+Operations!AB679</f>
        <v>186.461589041096</v>
      </c>
      <c r="AC680" s="20" t="n">
        <f aca="false">Operations!AC678+Operations!AC679</f>
        <v>184.002082191781</v>
      </c>
      <c r="AD680" s="20" t="n">
        <f aca="false">Operations!AD678+Operations!AD679</f>
        <v>181.602082191781</v>
      </c>
      <c r="AE680" s="20" t="n">
        <f aca="false">Operations!AE678+Operations!AE679</f>
        <v>179.202082191781</v>
      </c>
      <c r="AF680" s="20" t="n">
        <f aca="false">Operations!AF678+Operations!AF679</f>
        <v>176.795506849315</v>
      </c>
      <c r="AG680" s="20" t="n">
        <f aca="false">Operations!AG678+Operations!AG679</f>
        <v>174.395506849315</v>
      </c>
      <c r="AH680" s="20" t="n">
        <f aca="false">Operations!AH678+Operations!AH679</f>
        <v>171.995506849315</v>
      </c>
      <c r="AI680" s="20" t="n">
        <f aca="false">Operations!AI678+Operations!AI679</f>
        <v>169.595506849315</v>
      </c>
      <c r="AJ680" s="20" t="n">
        <f aca="false">Operations!AJ678+Operations!AJ679</f>
        <v>167.188931506849</v>
      </c>
      <c r="AK680" s="20" t="n">
        <f aca="false">Operations!AK678+Operations!AK679</f>
        <v>164.788931506849</v>
      </c>
      <c r="AL680" s="20" t="n">
        <f aca="false">Operations!AL678+Operations!AL679</f>
        <v>162.388931506849</v>
      </c>
      <c r="AM680" s="20" t="n">
        <f aca="false">Operations!AM678+Operations!AM679</f>
        <v>159.988931506849</v>
      </c>
      <c r="AN680" s="20" t="n">
        <f aca="false">Operations!AN678+Operations!AN679</f>
        <v>157.582356164384</v>
      </c>
      <c r="AO680" s="20" t="n">
        <f aca="false">Operations!AO678+Operations!AO679</f>
        <v>155.182356164384</v>
      </c>
      <c r="AP680" s="20" t="n">
        <f aca="false">Operations!AP678+Operations!AP679</f>
        <v>152.782356164384</v>
      </c>
      <c r="AQ680" s="20" t="n">
        <f aca="false">Operations!AQ678+Operations!AQ679</f>
        <v>150.382356164384</v>
      </c>
      <c r="AR680" s="20" t="n">
        <f aca="false">Operations!AR678+Operations!AR679</f>
        <v>147.975780821918</v>
      </c>
      <c r="AS680" s="20" t="n">
        <f aca="false">Operations!AS678+Operations!AS679</f>
        <v>145.575780821918</v>
      </c>
      <c r="AT680" s="20" t="n">
        <f aca="false">Operations!AT678+Operations!AT679</f>
        <v>143.175780821918</v>
      </c>
      <c r="AU680" s="20" t="n">
        <f aca="false">Operations!AU678+Operations!AU679</f>
        <v>140.775780821918</v>
      </c>
    </row>
    <row r="681" customFormat="false" ht="15" hidden="false" customHeight="false" outlineLevel="0" collapsed="false">
      <c r="D681" s="0" t="s">
        <v>681</v>
      </c>
      <c r="E681" s="0" t="s">
        <v>176</v>
      </c>
      <c r="J681" s="20" t="n">
        <f aca="false">(Operations!J677+Operations!J680)/2</f>
        <v>216</v>
      </c>
      <c r="K681" s="20" t="n">
        <f aca="false">(Operations!K677+Operations!K680)/2</f>
        <v>214.99397260274</v>
      </c>
      <c r="L681" s="20" t="n">
        <f aca="false">(Operations!L677+Operations!L680)/2</f>
        <v>212.07501369863</v>
      </c>
      <c r="M681" s="20" t="n">
        <f aca="false">(Operations!M677+Operations!M680)/2</f>
        <v>208.542082191781</v>
      </c>
      <c r="N681" s="20" t="n">
        <f aca="false">(Operations!N677+Operations!N680)/2</f>
        <v>205.302082191781</v>
      </c>
      <c r="O681" s="20" t="n">
        <f aca="false">(Operations!O677+Operations!O680)/2</f>
        <v>208.062082191781</v>
      </c>
      <c r="P681" s="20" t="n">
        <f aca="false">(Operations!P677+Operations!P680)/2</f>
        <v>210.697397260274</v>
      </c>
      <c r="Q681" s="20" t="n">
        <f aca="false">(Operations!Q677+Operations!Q680)/2</f>
        <v>207.242712328767</v>
      </c>
      <c r="R681" s="20" t="n">
        <f aca="false">(Operations!R677+Operations!R680)/2</f>
        <v>203.822712328767</v>
      </c>
      <c r="S681" s="20" t="n">
        <f aca="false">(Operations!S677+Operations!S680)/2</f>
        <v>206.402712328767</v>
      </c>
      <c r="T681" s="20" t="n">
        <f aca="false">(Operations!T677+Operations!T680)/2</f>
        <v>208.857780821918</v>
      </c>
      <c r="U681" s="20" t="n">
        <f aca="false">(Operations!U677+Operations!U680)/2</f>
        <v>205.478794520548</v>
      </c>
      <c r="V681" s="20" t="n">
        <f aca="false">(Operations!V677+Operations!V680)/2</f>
        <v>202.674739726027</v>
      </c>
      <c r="W681" s="20" t="n">
        <f aca="false">(Operations!W677+Operations!W680)/2</f>
        <v>200.154739726027</v>
      </c>
      <c r="X681" s="20" t="n">
        <f aca="false">(Operations!X677+Operations!X680)/2</f>
        <v>197.631287671233</v>
      </c>
      <c r="Y681" s="20" t="n">
        <f aca="false">(Operations!Y677+Operations!Y680)/2</f>
        <v>195.108082191781</v>
      </c>
      <c r="Z681" s="20" t="n">
        <f aca="false">(Operations!Z677+Operations!Z680)/2</f>
        <v>192.618328767123</v>
      </c>
      <c r="AA681" s="20" t="n">
        <f aca="false">(Operations!AA677+Operations!AA680)/2</f>
        <v>190.158328767123</v>
      </c>
      <c r="AB681" s="20" t="n">
        <f aca="false">(Operations!AB677+Operations!AB680)/2</f>
        <v>187.69495890411</v>
      </c>
      <c r="AC681" s="20" t="n">
        <f aca="false">(Operations!AC677+Operations!AC680)/2</f>
        <v>185.231835616438</v>
      </c>
      <c r="AD681" s="20" t="n">
        <f aca="false">(Operations!AD677+Operations!AD680)/2</f>
        <v>182.802082191781</v>
      </c>
      <c r="AE681" s="20" t="n">
        <f aca="false">(Operations!AE677+Operations!AE680)/2</f>
        <v>180.402082191781</v>
      </c>
      <c r="AF681" s="20" t="n">
        <f aca="false">(Operations!AF677+Operations!AF680)/2</f>
        <v>177.998794520548</v>
      </c>
      <c r="AG681" s="20" t="n">
        <f aca="false">(Operations!AG677+Operations!AG680)/2</f>
        <v>175.595506849315</v>
      </c>
      <c r="AH681" s="20" t="n">
        <f aca="false">(Operations!AH677+Operations!AH680)/2</f>
        <v>173.195506849315</v>
      </c>
      <c r="AI681" s="20" t="n">
        <f aca="false">(Operations!AI677+Operations!AI680)/2</f>
        <v>170.795506849315</v>
      </c>
      <c r="AJ681" s="20" t="n">
        <f aca="false">(Operations!AJ677+Operations!AJ680)/2</f>
        <v>168.392219178082</v>
      </c>
      <c r="AK681" s="20" t="n">
        <f aca="false">(Operations!AK677+Operations!AK680)/2</f>
        <v>165.988931506849</v>
      </c>
      <c r="AL681" s="20" t="n">
        <f aca="false">(Operations!AL677+Operations!AL680)/2</f>
        <v>163.588931506849</v>
      </c>
      <c r="AM681" s="20" t="n">
        <f aca="false">(Operations!AM677+Operations!AM680)/2</f>
        <v>161.188931506849</v>
      </c>
      <c r="AN681" s="20" t="n">
        <f aca="false">(Operations!AN677+Operations!AN680)/2</f>
        <v>158.785643835616</v>
      </c>
      <c r="AO681" s="20" t="n">
        <f aca="false">(Operations!AO677+Operations!AO680)/2</f>
        <v>156.382356164384</v>
      </c>
      <c r="AP681" s="20" t="n">
        <f aca="false">(Operations!AP677+Operations!AP680)/2</f>
        <v>153.982356164384</v>
      </c>
      <c r="AQ681" s="20" t="n">
        <f aca="false">(Operations!AQ677+Operations!AQ680)/2</f>
        <v>151.582356164384</v>
      </c>
      <c r="AR681" s="20" t="n">
        <f aca="false">(Operations!AR677+Operations!AR680)/2</f>
        <v>149.179068493151</v>
      </c>
      <c r="AS681" s="20" t="n">
        <f aca="false">(Operations!AS677+Operations!AS680)/2</f>
        <v>146.775780821918</v>
      </c>
      <c r="AT681" s="20" t="n">
        <f aca="false">(Operations!AT677+Operations!AT680)/2</f>
        <v>144.375780821918</v>
      </c>
      <c r="AU681" s="20" t="n">
        <f aca="false">(Operations!AU677+Operations!AU680)/2</f>
        <v>141.975780821918</v>
      </c>
    </row>
    <row r="682" customFormat="false" ht="15" hidden="false" customHeight="false" outlineLevel="0" collapsed="false">
      <c r="D682" s="0" t="s">
        <v>682</v>
      </c>
      <c r="E682" s="0" t="s">
        <v>27</v>
      </c>
      <c r="J682" s="14" t="n">
        <f aca="false">MIN(1,Operations!J681/Inputs!$F$149)</f>
        <v>1</v>
      </c>
      <c r="K682" s="14" t="n">
        <f aca="false">MIN(1,Operations!K681/Inputs!$F$149)</f>
        <v>1</v>
      </c>
      <c r="L682" s="14" t="n">
        <f aca="false">MIN(1,Operations!L681/Inputs!$F$149)</f>
        <v>1</v>
      </c>
      <c r="M682" s="14" t="n">
        <f aca="false">MIN(1,Operations!M681/Inputs!$F$149)</f>
        <v>1</v>
      </c>
      <c r="N682" s="14" t="n">
        <f aca="false">MIN(1,Operations!N681/Inputs!$F$149)</f>
        <v>1</v>
      </c>
      <c r="O682" s="14" t="n">
        <f aca="false">MIN(1,Operations!O681/Inputs!$F$149)</f>
        <v>1</v>
      </c>
      <c r="P682" s="14" t="n">
        <f aca="false">MIN(1,Operations!P681/Inputs!$F$149)</f>
        <v>1</v>
      </c>
      <c r="Q682" s="14" t="n">
        <f aca="false">MIN(1,Operations!Q681/Inputs!$F$149)</f>
        <v>1</v>
      </c>
      <c r="R682" s="14" t="n">
        <f aca="false">MIN(1,Operations!R681/Inputs!$F$149)</f>
        <v>1</v>
      </c>
      <c r="S682" s="14" t="n">
        <f aca="false">MIN(1,Operations!S681/Inputs!$F$149)</f>
        <v>1</v>
      </c>
      <c r="T682" s="14" t="n">
        <f aca="false">MIN(1,Operations!T681/Inputs!$F$149)</f>
        <v>1</v>
      </c>
      <c r="U682" s="14" t="n">
        <f aca="false">MIN(1,Operations!U681/Inputs!$F$149)</f>
        <v>1</v>
      </c>
      <c r="V682" s="14" t="n">
        <f aca="false">MIN(1,Operations!V681/Inputs!$F$149)</f>
        <v>1</v>
      </c>
      <c r="W682" s="14" t="n">
        <f aca="false">MIN(1,Operations!W681/Inputs!$F$149)</f>
        <v>1</v>
      </c>
      <c r="X682" s="14" t="n">
        <f aca="false">MIN(1,Operations!X681/Inputs!$F$149)</f>
        <v>0.988156438356164</v>
      </c>
      <c r="Y682" s="14" t="n">
        <f aca="false">MIN(1,Operations!Y681/Inputs!$F$149)</f>
        <v>0.975540410958904</v>
      </c>
      <c r="Z682" s="14" t="n">
        <f aca="false">MIN(1,Operations!Z681/Inputs!$F$149)</f>
        <v>0.963091643835616</v>
      </c>
      <c r="AA682" s="14" t="n">
        <f aca="false">MIN(1,Operations!AA681/Inputs!$F$149)</f>
        <v>0.950791643835616</v>
      </c>
      <c r="AB682" s="14" t="n">
        <f aca="false">MIN(1,Operations!AB681/Inputs!$F$149)</f>
        <v>0.938474794520548</v>
      </c>
      <c r="AC682" s="14" t="n">
        <f aca="false">MIN(1,Operations!AC681/Inputs!$F$149)</f>
        <v>0.926159178082192</v>
      </c>
      <c r="AD682" s="14" t="n">
        <f aca="false">MIN(1,Operations!AD681/Inputs!$F$149)</f>
        <v>0.914010410958904</v>
      </c>
      <c r="AE682" s="14" t="n">
        <f aca="false">MIN(1,Operations!AE681/Inputs!$F$149)</f>
        <v>0.902010410958904</v>
      </c>
      <c r="AF682" s="14" t="n">
        <f aca="false">MIN(1,Operations!AF681/Inputs!$F$149)</f>
        <v>0.88999397260274</v>
      </c>
      <c r="AG682" s="14" t="n">
        <f aca="false">MIN(1,Operations!AG681/Inputs!$F$149)</f>
        <v>0.877977534246575</v>
      </c>
      <c r="AH682" s="14" t="n">
        <f aca="false">MIN(1,Operations!AH681/Inputs!$F$149)</f>
        <v>0.865977534246575</v>
      </c>
      <c r="AI682" s="14" t="n">
        <f aca="false">MIN(1,Operations!AI681/Inputs!$F$149)</f>
        <v>0.853977534246575</v>
      </c>
      <c r="AJ682" s="14" t="n">
        <f aca="false">MIN(1,Operations!AJ681/Inputs!$F$149)</f>
        <v>0.841961095890411</v>
      </c>
      <c r="AK682" s="14" t="n">
        <f aca="false">MIN(1,Operations!AK681/Inputs!$F$149)</f>
        <v>0.829944657534247</v>
      </c>
      <c r="AL682" s="14" t="n">
        <f aca="false">MIN(1,Operations!AL681/Inputs!$F$149)</f>
        <v>0.817944657534247</v>
      </c>
      <c r="AM682" s="14" t="n">
        <f aca="false">MIN(1,Operations!AM681/Inputs!$F$149)</f>
        <v>0.805944657534247</v>
      </c>
      <c r="AN682" s="14" t="n">
        <f aca="false">MIN(1,Operations!AN681/Inputs!$F$149)</f>
        <v>0.793928219178082</v>
      </c>
      <c r="AO682" s="14" t="n">
        <f aca="false">MIN(1,Operations!AO681/Inputs!$F$149)</f>
        <v>0.781911780821918</v>
      </c>
      <c r="AP682" s="14" t="n">
        <f aca="false">MIN(1,Operations!AP681/Inputs!$F$149)</f>
        <v>0.769911780821918</v>
      </c>
      <c r="AQ682" s="14" t="n">
        <f aca="false">MIN(1,Operations!AQ681/Inputs!$F$149)</f>
        <v>0.757911780821918</v>
      </c>
      <c r="AR682" s="14" t="n">
        <f aca="false">MIN(1,Operations!AR681/Inputs!$F$149)</f>
        <v>0.745895342465753</v>
      </c>
      <c r="AS682" s="14" t="n">
        <f aca="false">MIN(1,Operations!AS681/Inputs!$F$149)</f>
        <v>0.733878904109589</v>
      </c>
      <c r="AT682" s="14" t="n">
        <f aca="false">MIN(1,Operations!AT681/Inputs!$F$149)</f>
        <v>0.721878904109589</v>
      </c>
      <c r="AU682" s="14" t="n">
        <f aca="false">MIN(1,Operations!AU681/Inputs!$F$149)</f>
        <v>0.709878904109589</v>
      </c>
    </row>
    <row r="683" customFormat="false" ht="15" hidden="false" customHeight="false" outlineLevel="0" collapsed="false">
      <c r="D683" s="0" t="s">
        <v>683</v>
      </c>
      <c r="E683" s="0" t="s">
        <v>176</v>
      </c>
      <c r="J683" s="20" t="n">
        <f aca="false">IF(OR(Time!J$4=YEAR(Inputs!$F$144)+Inputs!$F$151,Time!J$4=YEAR(Inputs!$F$144)+Inputs!$F$152),Inputs!$F$153/100*Inputs!$F$149,0)</f>
        <v>0</v>
      </c>
      <c r="K683" s="20" t="n">
        <f aca="false">IF(OR(Time!K$4=YEAR(Inputs!$F$144)+Inputs!$F$151,Time!K$4=YEAR(Inputs!$F$144)+Inputs!$F$152),Inputs!$F$153/100*Inputs!$F$149,0)</f>
        <v>0</v>
      </c>
      <c r="L683" s="20" t="n">
        <f aca="false">IF(OR(Time!L$4=YEAR(Inputs!$F$144)+Inputs!$F$151,Time!L$4=YEAR(Inputs!$F$144)+Inputs!$F$152),Inputs!$F$153/100*Inputs!$F$149,0)</f>
        <v>0</v>
      </c>
      <c r="M683" s="20" t="n">
        <f aca="false">IF(OR(Time!M$4=YEAR(Inputs!$F$144)+Inputs!$F$151,Time!M$4=YEAR(Inputs!$F$144)+Inputs!$F$152),Inputs!$F$153/100*Inputs!$F$149,0)</f>
        <v>0</v>
      </c>
      <c r="N683" s="20" t="n">
        <f aca="false">IF(OR(Time!N$4=YEAR(Inputs!$F$144)+Inputs!$F$151,Time!N$4=YEAR(Inputs!$F$144)+Inputs!$F$152),Inputs!$F$153/100*Inputs!$F$149,0)</f>
        <v>0</v>
      </c>
      <c r="O683" s="20" t="n">
        <f aca="false">IF(OR(Time!O$4=YEAR(Inputs!$F$144)+Inputs!$F$151,Time!O$4=YEAR(Inputs!$F$144)+Inputs!$F$152),Inputs!$F$153/100*Inputs!$F$149,0)</f>
        <v>0</v>
      </c>
      <c r="P683" s="20" t="n">
        <f aca="false">IF(OR(Time!P$4=YEAR(Inputs!$F$144)+Inputs!$F$151,Time!P$4=YEAR(Inputs!$F$144)+Inputs!$F$152),Inputs!$F$153/100*Inputs!$F$149,0)</f>
        <v>12</v>
      </c>
      <c r="Q683" s="20" t="n">
        <f aca="false">IF(OR(Time!Q$4=YEAR(Inputs!$F$144)+Inputs!$F$151,Time!Q$4=YEAR(Inputs!$F$144)+Inputs!$F$152),Inputs!$F$153/100*Inputs!$F$149,0)</f>
        <v>0</v>
      </c>
      <c r="R683" s="20" t="n">
        <f aca="false">IF(OR(Time!R$4=YEAR(Inputs!$F$144)+Inputs!$F$151,Time!R$4=YEAR(Inputs!$F$144)+Inputs!$F$152),Inputs!$F$153/100*Inputs!$F$149,0)</f>
        <v>0</v>
      </c>
      <c r="S683" s="20" t="n">
        <f aca="false">IF(OR(Time!S$4=YEAR(Inputs!$F$144)+Inputs!$F$151,Time!S$4=YEAR(Inputs!$F$144)+Inputs!$F$152),Inputs!$F$153/100*Inputs!$F$149,0)</f>
        <v>0</v>
      </c>
      <c r="T683" s="20" t="n">
        <f aca="false">IF(OR(Time!T$4=YEAR(Inputs!$F$144)+Inputs!$F$151,Time!T$4=YEAR(Inputs!$F$144)+Inputs!$F$152),Inputs!$F$153/100*Inputs!$F$149,0)</f>
        <v>12</v>
      </c>
      <c r="U683" s="20" t="n">
        <f aca="false">IF(OR(Time!U$4=YEAR(Inputs!$F$144)+Inputs!$F$151,Time!U$4=YEAR(Inputs!$F$144)+Inputs!$F$152),Inputs!$F$153/100*Inputs!$F$149,0)</f>
        <v>0</v>
      </c>
      <c r="V683" s="20" t="n">
        <f aca="false">IF(OR(Time!V$4=YEAR(Inputs!$F$144)+Inputs!$F$151,Time!V$4=YEAR(Inputs!$F$144)+Inputs!$F$152),Inputs!$F$153/100*Inputs!$F$149,0)</f>
        <v>0</v>
      </c>
      <c r="W683" s="20" t="n">
        <f aca="false">IF(OR(Time!W$4=YEAR(Inputs!$F$144)+Inputs!$F$151,Time!W$4=YEAR(Inputs!$F$144)+Inputs!$F$152),Inputs!$F$153/100*Inputs!$F$149,0)</f>
        <v>0</v>
      </c>
      <c r="X683" s="20" t="n">
        <f aca="false">IF(OR(Time!X$4=YEAR(Inputs!$F$144)+Inputs!$F$151,Time!X$4=YEAR(Inputs!$F$144)+Inputs!$F$152),Inputs!$F$153/100*Inputs!$F$149,0)</f>
        <v>0</v>
      </c>
      <c r="Y683" s="20" t="n">
        <f aca="false">IF(OR(Time!Y$4=YEAR(Inputs!$F$144)+Inputs!$F$151,Time!Y$4=YEAR(Inputs!$F$144)+Inputs!$F$152),Inputs!$F$153/100*Inputs!$F$149,0)</f>
        <v>0</v>
      </c>
      <c r="Z683" s="20" t="n">
        <f aca="false">IF(OR(Time!Z$4=YEAR(Inputs!$F$144)+Inputs!$F$151,Time!Z$4=YEAR(Inputs!$F$144)+Inputs!$F$152),Inputs!$F$153/100*Inputs!$F$149,0)</f>
        <v>0</v>
      </c>
      <c r="AA683" s="20" t="n">
        <f aca="false">IF(OR(Time!AA$4=YEAR(Inputs!$F$144)+Inputs!$F$151,Time!AA$4=YEAR(Inputs!$F$144)+Inputs!$F$152),Inputs!$F$153/100*Inputs!$F$149,0)</f>
        <v>0</v>
      </c>
      <c r="AB683" s="20" t="n">
        <f aca="false">IF(OR(Time!AB$4=YEAR(Inputs!$F$144)+Inputs!$F$151,Time!AB$4=YEAR(Inputs!$F$144)+Inputs!$F$152),Inputs!$F$153/100*Inputs!$F$149,0)</f>
        <v>0</v>
      </c>
      <c r="AC683" s="20" t="n">
        <f aca="false">IF(OR(Time!AC$4=YEAR(Inputs!$F$144)+Inputs!$F$151,Time!AC$4=YEAR(Inputs!$F$144)+Inputs!$F$152),Inputs!$F$153/100*Inputs!$F$149,0)</f>
        <v>0</v>
      </c>
      <c r="AD683" s="20" t="n">
        <f aca="false">IF(OR(Time!AD$4=YEAR(Inputs!$F$144)+Inputs!$F$151,Time!AD$4=YEAR(Inputs!$F$144)+Inputs!$F$152),Inputs!$F$153/100*Inputs!$F$149,0)</f>
        <v>0</v>
      </c>
      <c r="AE683" s="20" t="n">
        <f aca="false">IF(OR(Time!AE$4=YEAR(Inputs!$F$144)+Inputs!$F$151,Time!AE$4=YEAR(Inputs!$F$144)+Inputs!$F$152),Inputs!$F$153/100*Inputs!$F$149,0)</f>
        <v>0</v>
      </c>
      <c r="AF683" s="20" t="n">
        <f aca="false">IF(OR(Time!AF$4=YEAR(Inputs!$F$144)+Inputs!$F$151,Time!AF$4=YEAR(Inputs!$F$144)+Inputs!$F$152),Inputs!$F$153/100*Inputs!$F$149,0)</f>
        <v>0</v>
      </c>
      <c r="AG683" s="20" t="n">
        <f aca="false">IF(OR(Time!AG$4=YEAR(Inputs!$F$144)+Inputs!$F$151,Time!AG$4=YEAR(Inputs!$F$144)+Inputs!$F$152),Inputs!$F$153/100*Inputs!$F$149,0)</f>
        <v>0</v>
      </c>
      <c r="AH683" s="20" t="n">
        <f aca="false">IF(OR(Time!AH$4=YEAR(Inputs!$F$144)+Inputs!$F$151,Time!AH$4=YEAR(Inputs!$F$144)+Inputs!$F$152),Inputs!$F$153/100*Inputs!$F$149,0)</f>
        <v>0</v>
      </c>
      <c r="AI683" s="20" t="n">
        <f aca="false">IF(OR(Time!AI$4=YEAR(Inputs!$F$144)+Inputs!$F$151,Time!AI$4=YEAR(Inputs!$F$144)+Inputs!$F$152),Inputs!$F$153/100*Inputs!$F$149,0)</f>
        <v>0</v>
      </c>
      <c r="AJ683" s="20" t="n">
        <f aca="false">IF(OR(Time!AJ$4=YEAR(Inputs!$F$144)+Inputs!$F$151,Time!AJ$4=YEAR(Inputs!$F$144)+Inputs!$F$152),Inputs!$F$153/100*Inputs!$F$149,0)</f>
        <v>0</v>
      </c>
      <c r="AK683" s="20" t="n">
        <f aca="false">IF(OR(Time!AK$4=YEAR(Inputs!$F$144)+Inputs!$F$151,Time!AK$4=YEAR(Inputs!$F$144)+Inputs!$F$152),Inputs!$F$153/100*Inputs!$F$149,0)</f>
        <v>0</v>
      </c>
      <c r="AL683" s="20" t="n">
        <f aca="false">IF(OR(Time!AL$4=YEAR(Inputs!$F$144)+Inputs!$F$151,Time!AL$4=YEAR(Inputs!$F$144)+Inputs!$F$152),Inputs!$F$153/100*Inputs!$F$149,0)</f>
        <v>0</v>
      </c>
      <c r="AM683" s="20" t="n">
        <f aca="false">IF(OR(Time!AM$4=YEAR(Inputs!$F$144)+Inputs!$F$151,Time!AM$4=YEAR(Inputs!$F$144)+Inputs!$F$152),Inputs!$F$153/100*Inputs!$F$149,0)</f>
        <v>0</v>
      </c>
      <c r="AN683" s="20" t="n">
        <f aca="false">IF(OR(Time!AN$4=YEAR(Inputs!$F$144)+Inputs!$F$151,Time!AN$4=YEAR(Inputs!$F$144)+Inputs!$F$152),Inputs!$F$153/100*Inputs!$F$149,0)</f>
        <v>0</v>
      </c>
      <c r="AO683" s="20" t="n">
        <f aca="false">IF(OR(Time!AO$4=YEAR(Inputs!$F$144)+Inputs!$F$151,Time!AO$4=YEAR(Inputs!$F$144)+Inputs!$F$152),Inputs!$F$153/100*Inputs!$F$149,0)</f>
        <v>0</v>
      </c>
      <c r="AP683" s="20" t="n">
        <f aca="false">IF(OR(Time!AP$4=YEAR(Inputs!$F$144)+Inputs!$F$151,Time!AP$4=YEAR(Inputs!$F$144)+Inputs!$F$152),Inputs!$F$153/100*Inputs!$F$149,0)</f>
        <v>0</v>
      </c>
      <c r="AQ683" s="20" t="n">
        <f aca="false">IF(OR(Time!AQ$4=YEAR(Inputs!$F$144)+Inputs!$F$151,Time!AQ$4=YEAR(Inputs!$F$144)+Inputs!$F$152),Inputs!$F$153/100*Inputs!$F$149,0)</f>
        <v>0</v>
      </c>
      <c r="AR683" s="20" t="n">
        <f aca="false">IF(OR(Time!AR$4=YEAR(Inputs!$F$144)+Inputs!$F$151,Time!AR$4=YEAR(Inputs!$F$144)+Inputs!$F$152),Inputs!$F$153/100*Inputs!$F$149,0)</f>
        <v>0</v>
      </c>
      <c r="AS683" s="20" t="n">
        <f aca="false">IF(OR(Time!AS$4=YEAR(Inputs!$F$144)+Inputs!$F$151,Time!AS$4=YEAR(Inputs!$F$144)+Inputs!$F$152),Inputs!$F$153/100*Inputs!$F$149,0)</f>
        <v>0</v>
      </c>
      <c r="AT683" s="20" t="n">
        <f aca="false">IF(OR(Time!AT$4=YEAR(Inputs!$F$144)+Inputs!$F$151,Time!AT$4=YEAR(Inputs!$F$144)+Inputs!$F$152),Inputs!$F$153/100*Inputs!$F$149,0)</f>
        <v>0</v>
      </c>
      <c r="AU683" s="20" t="n">
        <f aca="false">IF(OR(Time!AU$4=YEAR(Inputs!$F$144)+Inputs!$F$151,Time!AU$4=YEAR(Inputs!$F$144)+Inputs!$F$152),Inputs!$F$153/100*Inputs!$F$149,0)</f>
        <v>0</v>
      </c>
    </row>
    <row r="684" customFormat="false" ht="15" hidden="false" customHeight="false" outlineLevel="0" collapsed="false">
      <c r="D684" s="0" t="s">
        <v>684</v>
      </c>
      <c r="E684" s="0" t="s">
        <v>458</v>
      </c>
      <c r="J684" s="14" t="n">
        <f aca="false">MAX(0,MIN(Inputs!$F$216,Time!J$6)-MAX(Inputs!$F$215,Time!J$5))/Time!J$7</f>
        <v>0</v>
      </c>
      <c r="K684" s="14" t="n">
        <f aca="false">MAX(0,MIN(Inputs!$F$216,Time!K$6)-MAX(Inputs!$F$215,Time!K$5))/Time!K$7</f>
        <v>0.465753424657534</v>
      </c>
      <c r="L684" s="14" t="n">
        <f aca="false">MAX(0,MIN(Inputs!$F$216,Time!L$6)-MAX(Inputs!$F$215,Time!L$5))/Time!L$7</f>
        <v>1</v>
      </c>
      <c r="M684" s="14" t="n">
        <f aca="false">MAX(0,MIN(Inputs!$F$216,Time!M$6)-MAX(Inputs!$F$215,Time!M$5))/Time!M$7</f>
        <v>1</v>
      </c>
      <c r="N684" s="14" t="n">
        <f aca="false">MAX(0,MIN(Inputs!$F$216,Time!N$6)-MAX(Inputs!$F$215,Time!N$5))/Time!N$7</f>
        <v>1</v>
      </c>
      <c r="O684" s="14" t="n">
        <f aca="false">MAX(0,MIN(Inputs!$F$216,Time!O$6)-MAX(Inputs!$F$215,Time!O$5))/Time!O$7</f>
        <v>1</v>
      </c>
      <c r="P684" s="14" t="n">
        <f aca="false">MAX(0,MIN(Inputs!$F$216,Time!P$6)-MAX(Inputs!$F$215,Time!P$5))/Time!P$7</f>
        <v>1</v>
      </c>
      <c r="Q684" s="14" t="n">
        <f aca="false">MAX(0,MIN(Inputs!$F$216,Time!Q$6)-MAX(Inputs!$F$215,Time!Q$5))/Time!Q$7</f>
        <v>1</v>
      </c>
      <c r="R684" s="14" t="n">
        <f aca="false">MAX(0,MIN(Inputs!$F$216,Time!R$6)-MAX(Inputs!$F$215,Time!R$5))/Time!R$7</f>
        <v>0.531506849315069</v>
      </c>
      <c r="S684" s="14" t="n">
        <f aca="false">MAX(0,MIN(Inputs!$F$216,Time!S$6)-MAX(Inputs!$F$215,Time!S$5))/Time!S$7</f>
        <v>0</v>
      </c>
      <c r="T684" s="14" t="n">
        <f aca="false">MAX(0,MIN(Inputs!$F$216,Time!T$6)-MAX(Inputs!$F$215,Time!T$5))/Time!T$7</f>
        <v>0</v>
      </c>
      <c r="U684" s="14" t="n">
        <f aca="false">MAX(0,MIN(Inputs!$F$216,Time!U$6)-MAX(Inputs!$F$215,Time!U$5))/Time!U$7</f>
        <v>0</v>
      </c>
      <c r="V684" s="14" t="n">
        <f aca="false">MAX(0,MIN(Inputs!$F$216,Time!V$6)-MAX(Inputs!$F$215,Time!V$5))/Time!V$7</f>
        <v>0</v>
      </c>
      <c r="W684" s="14" t="n">
        <f aca="false">MAX(0,MIN(Inputs!$F$216,Time!W$6)-MAX(Inputs!$F$215,Time!W$5))/Time!W$7</f>
        <v>0</v>
      </c>
      <c r="X684" s="14" t="n">
        <f aca="false">MAX(0,MIN(Inputs!$F$216,Time!X$6)-MAX(Inputs!$F$215,Time!X$5))/Time!X$7</f>
        <v>0</v>
      </c>
      <c r="Y684" s="14" t="n">
        <f aca="false">MAX(0,MIN(Inputs!$F$216,Time!Y$6)-MAX(Inputs!$F$215,Time!Y$5))/Time!Y$7</f>
        <v>0</v>
      </c>
      <c r="Z684" s="14" t="n">
        <f aca="false">MAX(0,MIN(Inputs!$F$216,Time!Z$6)-MAX(Inputs!$F$215,Time!Z$5))/Time!Z$7</f>
        <v>0</v>
      </c>
      <c r="AA684" s="14" t="n">
        <f aca="false">MAX(0,MIN(Inputs!$F$216,Time!AA$6)-MAX(Inputs!$F$215,Time!AA$5))/Time!AA$7</f>
        <v>0</v>
      </c>
      <c r="AB684" s="14" t="n">
        <f aca="false">MAX(0,MIN(Inputs!$F$216,Time!AB$6)-MAX(Inputs!$F$215,Time!AB$5))/Time!AB$7</f>
        <v>0</v>
      </c>
      <c r="AC684" s="14" t="n">
        <f aca="false">MAX(0,MIN(Inputs!$F$216,Time!AC$6)-MAX(Inputs!$F$215,Time!AC$5))/Time!AC$7</f>
        <v>0</v>
      </c>
      <c r="AD684" s="14" t="n">
        <f aca="false">MAX(0,MIN(Inputs!$F$216,Time!AD$6)-MAX(Inputs!$F$215,Time!AD$5))/Time!AD$7</f>
        <v>0</v>
      </c>
      <c r="AE684" s="14" t="n">
        <f aca="false">MAX(0,MIN(Inputs!$F$216,Time!AE$6)-MAX(Inputs!$F$215,Time!AE$5))/Time!AE$7</f>
        <v>0</v>
      </c>
      <c r="AF684" s="14" t="n">
        <f aca="false">MAX(0,MIN(Inputs!$F$216,Time!AF$6)-MAX(Inputs!$F$215,Time!AF$5))/Time!AF$7</f>
        <v>0</v>
      </c>
      <c r="AG684" s="14" t="n">
        <f aca="false">MAX(0,MIN(Inputs!$F$216,Time!AG$6)-MAX(Inputs!$F$215,Time!AG$5))/Time!AG$7</f>
        <v>0</v>
      </c>
      <c r="AH684" s="14" t="n">
        <f aca="false">MAX(0,MIN(Inputs!$F$216,Time!AH$6)-MAX(Inputs!$F$215,Time!AH$5))/Time!AH$7</f>
        <v>0</v>
      </c>
      <c r="AI684" s="14" t="n">
        <f aca="false">MAX(0,MIN(Inputs!$F$216,Time!AI$6)-MAX(Inputs!$F$215,Time!AI$5))/Time!AI$7</f>
        <v>0</v>
      </c>
      <c r="AJ684" s="14" t="n">
        <f aca="false">MAX(0,MIN(Inputs!$F$216,Time!AJ$6)-MAX(Inputs!$F$215,Time!AJ$5))/Time!AJ$7</f>
        <v>0</v>
      </c>
      <c r="AK684" s="14" t="n">
        <f aca="false">MAX(0,MIN(Inputs!$F$216,Time!AK$6)-MAX(Inputs!$F$215,Time!AK$5))/Time!AK$7</f>
        <v>0</v>
      </c>
      <c r="AL684" s="14" t="n">
        <f aca="false">MAX(0,MIN(Inputs!$F$216,Time!AL$6)-MAX(Inputs!$F$215,Time!AL$5))/Time!AL$7</f>
        <v>0</v>
      </c>
      <c r="AM684" s="14" t="n">
        <f aca="false">MAX(0,MIN(Inputs!$F$216,Time!AM$6)-MAX(Inputs!$F$215,Time!AM$5))/Time!AM$7</f>
        <v>0</v>
      </c>
      <c r="AN684" s="14" t="n">
        <f aca="false">MAX(0,MIN(Inputs!$F$216,Time!AN$6)-MAX(Inputs!$F$215,Time!AN$5))/Time!AN$7</f>
        <v>0</v>
      </c>
      <c r="AO684" s="14" t="n">
        <f aca="false">MAX(0,MIN(Inputs!$F$216,Time!AO$6)-MAX(Inputs!$F$215,Time!AO$5))/Time!AO$7</f>
        <v>0</v>
      </c>
      <c r="AP684" s="14" t="n">
        <f aca="false">MAX(0,MIN(Inputs!$F$216,Time!AP$6)-MAX(Inputs!$F$215,Time!AP$5))/Time!AP$7</f>
        <v>0</v>
      </c>
      <c r="AQ684" s="14" t="n">
        <f aca="false">MAX(0,MIN(Inputs!$F$216,Time!AQ$6)-MAX(Inputs!$F$215,Time!AQ$5))/Time!AQ$7</f>
        <v>0</v>
      </c>
      <c r="AR684" s="14" t="n">
        <f aca="false">MAX(0,MIN(Inputs!$F$216,Time!AR$6)-MAX(Inputs!$F$215,Time!AR$5))/Time!AR$7</f>
        <v>0</v>
      </c>
      <c r="AS684" s="14" t="n">
        <f aca="false">MAX(0,MIN(Inputs!$F$216,Time!AS$6)-MAX(Inputs!$F$215,Time!AS$5))/Time!AS$7</f>
        <v>0</v>
      </c>
      <c r="AT684" s="14" t="n">
        <f aca="false">MAX(0,MIN(Inputs!$F$216,Time!AT$6)-MAX(Inputs!$F$215,Time!AT$5))/Time!AT$7</f>
        <v>0</v>
      </c>
      <c r="AU684" s="14" t="n">
        <f aca="false">MAX(0,MIN(Inputs!$F$216,Time!AU$6)-MAX(Inputs!$F$215,Time!AU$5))/Time!AU$7</f>
        <v>0</v>
      </c>
    </row>
    <row r="685" customFormat="false" ht="15" hidden="false" customHeight="false" outlineLevel="0" collapsed="false">
      <c r="D685" s="0" t="s">
        <v>685</v>
      </c>
      <c r="E685" s="0" t="s">
        <v>47</v>
      </c>
      <c r="G685" s="20" t="n">
        <f aca="false">SUM(J685:AU685)</f>
        <v>76.8299178082192</v>
      </c>
      <c r="J685" s="20" t="n">
        <f aca="false">Inputs!$F$213*Inputs!$F$214*Inputs!$F$143/1000*Operations!J684*(1-MAX(0,Inputs!$F$217-Inputs!$F$150)/100)</f>
        <v>0</v>
      </c>
      <c r="K685" s="20" t="n">
        <f aca="false">Inputs!$F$213*Inputs!$F$214*Inputs!$F$143/1000*Operations!K684*(1-MAX(0,Inputs!$F$217-Inputs!$F$150)/100)</f>
        <v>5.11397260273973</v>
      </c>
      <c r="L685" s="20" t="n">
        <f aca="false">Inputs!$F$213*Inputs!$F$214*Inputs!$F$143/1000*Operations!L684*(1-MAX(0,Inputs!$F$217-Inputs!$F$150)/100)</f>
        <v>10.98</v>
      </c>
      <c r="M685" s="20" t="n">
        <f aca="false">Inputs!$F$213*Inputs!$F$214*Inputs!$F$143/1000*Operations!M684*(1-MAX(0,Inputs!$F$217-Inputs!$F$150)/100)</f>
        <v>10.98</v>
      </c>
      <c r="N685" s="20" t="n">
        <f aca="false">Inputs!$F$213*Inputs!$F$214*Inputs!$F$143/1000*Operations!N684*(1-MAX(0,Inputs!$F$217-Inputs!$F$150)/100)</f>
        <v>10.98</v>
      </c>
      <c r="O685" s="20" t="n">
        <f aca="false">Inputs!$F$213*Inputs!$F$214*Inputs!$F$143/1000*Operations!O684*(1-MAX(0,Inputs!$F$217-Inputs!$F$150)/100)</f>
        <v>10.98</v>
      </c>
      <c r="P685" s="20" t="n">
        <f aca="false">Inputs!$F$213*Inputs!$F$214*Inputs!$F$143/1000*Operations!P684*(1-MAX(0,Inputs!$F$217-Inputs!$F$150)/100)</f>
        <v>10.98</v>
      </c>
      <c r="Q685" s="20" t="n">
        <f aca="false">Inputs!$F$213*Inputs!$F$214*Inputs!$F$143/1000*Operations!Q684*(1-MAX(0,Inputs!$F$217-Inputs!$F$150)/100)</f>
        <v>10.98</v>
      </c>
      <c r="R685" s="20" t="n">
        <f aca="false">Inputs!$F$213*Inputs!$F$214*Inputs!$F$143/1000*Operations!R684*(1-MAX(0,Inputs!$F$217-Inputs!$F$150)/100)</f>
        <v>5.83594520547945</v>
      </c>
      <c r="S685" s="20" t="n">
        <f aca="false">Inputs!$F$213*Inputs!$F$214*Inputs!$F$143/1000*Operations!S684*(1-MAX(0,Inputs!$F$217-Inputs!$F$150)/100)</f>
        <v>0</v>
      </c>
      <c r="T685" s="20" t="n">
        <f aca="false">Inputs!$F$213*Inputs!$F$214*Inputs!$F$143/1000*Operations!T684*(1-MAX(0,Inputs!$F$217-Inputs!$F$150)/100)</f>
        <v>0</v>
      </c>
      <c r="U685" s="20" t="n">
        <f aca="false">Inputs!$F$213*Inputs!$F$214*Inputs!$F$143/1000*Operations!U684*(1-MAX(0,Inputs!$F$217-Inputs!$F$150)/100)</f>
        <v>0</v>
      </c>
      <c r="V685" s="20" t="n">
        <f aca="false">Inputs!$F$213*Inputs!$F$214*Inputs!$F$143/1000*Operations!V684*(1-MAX(0,Inputs!$F$217-Inputs!$F$150)/100)</f>
        <v>0</v>
      </c>
      <c r="W685" s="20" t="n">
        <f aca="false">Inputs!$F$213*Inputs!$F$214*Inputs!$F$143/1000*Operations!W684*(1-MAX(0,Inputs!$F$217-Inputs!$F$150)/100)</f>
        <v>0</v>
      </c>
      <c r="X685" s="20" t="n">
        <f aca="false">Inputs!$F$213*Inputs!$F$214*Inputs!$F$143/1000*Operations!X684*(1-MAX(0,Inputs!$F$217-Inputs!$F$150)/100)</f>
        <v>0</v>
      </c>
      <c r="Y685" s="20" t="n">
        <f aca="false">Inputs!$F$213*Inputs!$F$214*Inputs!$F$143/1000*Operations!Y684*(1-MAX(0,Inputs!$F$217-Inputs!$F$150)/100)</f>
        <v>0</v>
      </c>
      <c r="Z685" s="20" t="n">
        <f aca="false">Inputs!$F$213*Inputs!$F$214*Inputs!$F$143/1000*Operations!Z684*(1-MAX(0,Inputs!$F$217-Inputs!$F$150)/100)</f>
        <v>0</v>
      </c>
      <c r="AA685" s="20" t="n">
        <f aca="false">Inputs!$F$213*Inputs!$F$214*Inputs!$F$143/1000*Operations!AA684*(1-MAX(0,Inputs!$F$217-Inputs!$F$150)/100)</f>
        <v>0</v>
      </c>
      <c r="AB685" s="20" t="n">
        <f aca="false">Inputs!$F$213*Inputs!$F$214*Inputs!$F$143/1000*Operations!AB684*(1-MAX(0,Inputs!$F$217-Inputs!$F$150)/100)</f>
        <v>0</v>
      </c>
      <c r="AC685" s="20" t="n">
        <f aca="false">Inputs!$F$213*Inputs!$F$214*Inputs!$F$143/1000*Operations!AC684*(1-MAX(0,Inputs!$F$217-Inputs!$F$150)/100)</f>
        <v>0</v>
      </c>
      <c r="AD685" s="20" t="n">
        <f aca="false">Inputs!$F$213*Inputs!$F$214*Inputs!$F$143/1000*Operations!AD684*(1-MAX(0,Inputs!$F$217-Inputs!$F$150)/100)</f>
        <v>0</v>
      </c>
      <c r="AE685" s="20" t="n">
        <f aca="false">Inputs!$F$213*Inputs!$F$214*Inputs!$F$143/1000*Operations!AE684*(1-MAX(0,Inputs!$F$217-Inputs!$F$150)/100)</f>
        <v>0</v>
      </c>
      <c r="AF685" s="20" t="n">
        <f aca="false">Inputs!$F$213*Inputs!$F$214*Inputs!$F$143/1000*Operations!AF684*(1-MAX(0,Inputs!$F$217-Inputs!$F$150)/100)</f>
        <v>0</v>
      </c>
      <c r="AG685" s="20" t="n">
        <f aca="false">Inputs!$F$213*Inputs!$F$214*Inputs!$F$143/1000*Operations!AG684*(1-MAX(0,Inputs!$F$217-Inputs!$F$150)/100)</f>
        <v>0</v>
      </c>
      <c r="AH685" s="20" t="n">
        <f aca="false">Inputs!$F$213*Inputs!$F$214*Inputs!$F$143/1000*Operations!AH684*(1-MAX(0,Inputs!$F$217-Inputs!$F$150)/100)</f>
        <v>0</v>
      </c>
      <c r="AI685" s="20" t="n">
        <f aca="false">Inputs!$F$213*Inputs!$F$214*Inputs!$F$143/1000*Operations!AI684*(1-MAX(0,Inputs!$F$217-Inputs!$F$150)/100)</f>
        <v>0</v>
      </c>
      <c r="AJ685" s="20" t="n">
        <f aca="false">Inputs!$F$213*Inputs!$F$214*Inputs!$F$143/1000*Operations!AJ684*(1-MAX(0,Inputs!$F$217-Inputs!$F$150)/100)</f>
        <v>0</v>
      </c>
      <c r="AK685" s="20" t="n">
        <f aca="false">Inputs!$F$213*Inputs!$F$214*Inputs!$F$143/1000*Operations!AK684*(1-MAX(0,Inputs!$F$217-Inputs!$F$150)/100)</f>
        <v>0</v>
      </c>
      <c r="AL685" s="20" t="n">
        <f aca="false">Inputs!$F$213*Inputs!$F$214*Inputs!$F$143/1000*Operations!AL684*(1-MAX(0,Inputs!$F$217-Inputs!$F$150)/100)</f>
        <v>0</v>
      </c>
      <c r="AM685" s="20" t="n">
        <f aca="false">Inputs!$F$213*Inputs!$F$214*Inputs!$F$143/1000*Operations!AM684*(1-MAX(0,Inputs!$F$217-Inputs!$F$150)/100)</f>
        <v>0</v>
      </c>
      <c r="AN685" s="20" t="n">
        <f aca="false">Inputs!$F$213*Inputs!$F$214*Inputs!$F$143/1000*Operations!AN684*(1-MAX(0,Inputs!$F$217-Inputs!$F$150)/100)</f>
        <v>0</v>
      </c>
      <c r="AO685" s="20" t="n">
        <f aca="false">Inputs!$F$213*Inputs!$F$214*Inputs!$F$143/1000*Operations!AO684*(1-MAX(0,Inputs!$F$217-Inputs!$F$150)/100)</f>
        <v>0</v>
      </c>
      <c r="AP685" s="20" t="n">
        <f aca="false">Inputs!$F$213*Inputs!$F$214*Inputs!$F$143/1000*Operations!AP684*(1-MAX(0,Inputs!$F$217-Inputs!$F$150)/100)</f>
        <v>0</v>
      </c>
      <c r="AQ685" s="20" t="n">
        <f aca="false">Inputs!$F$213*Inputs!$F$214*Inputs!$F$143/1000*Operations!AQ684*(1-MAX(0,Inputs!$F$217-Inputs!$F$150)/100)</f>
        <v>0</v>
      </c>
      <c r="AR685" s="20" t="n">
        <f aca="false">Inputs!$F$213*Inputs!$F$214*Inputs!$F$143/1000*Operations!AR684*(1-MAX(0,Inputs!$F$217-Inputs!$F$150)/100)</f>
        <v>0</v>
      </c>
      <c r="AS685" s="20" t="n">
        <f aca="false">Inputs!$F$213*Inputs!$F$214*Inputs!$F$143/1000*Operations!AS684*(1-MAX(0,Inputs!$F$217-Inputs!$F$150)/100)</f>
        <v>0</v>
      </c>
      <c r="AT685" s="20" t="n">
        <f aca="false">Inputs!$F$213*Inputs!$F$214*Inputs!$F$143/1000*Operations!AT684*(1-MAX(0,Inputs!$F$217-Inputs!$F$150)/100)</f>
        <v>0</v>
      </c>
      <c r="AU685" s="20" t="n">
        <f aca="false">Inputs!$F$213*Inputs!$F$214*Inputs!$F$143/1000*Operations!AU684*(1-MAX(0,Inputs!$F$217-Inputs!$F$150)/100)</f>
        <v>0</v>
      </c>
    </row>
    <row r="686" customFormat="false" ht="15" hidden="false" customHeight="false" outlineLevel="0" collapsed="false">
      <c r="D686" s="0" t="s">
        <v>686</v>
      </c>
      <c r="E686" s="0" t="s">
        <v>47</v>
      </c>
      <c r="G686" s="20" t="n">
        <f aca="false">SUM(J686:AU686)</f>
        <v>83.5302951191792</v>
      </c>
      <c r="J686" s="20" t="n">
        <f aca="false">Operations!J451*Inputs!$F$143/1000*Inputs!$F$150/100*Operations!J682*(Operations!J671-Operations!J684)</f>
        <v>0</v>
      </c>
      <c r="K686" s="20" t="n">
        <f aca="false">Operations!K451*Inputs!$F$143/1000*Inputs!$F$150/100*Operations!K682*(Operations!K671-Operations!K684)</f>
        <v>0</v>
      </c>
      <c r="L686" s="20" t="n">
        <f aca="false">Operations!L451*Inputs!$F$143/1000*Inputs!$F$150/100*Operations!L682*(Operations!L671-Operations!L684)</f>
        <v>0</v>
      </c>
      <c r="M686" s="20" t="n">
        <f aca="false">Operations!M451*Inputs!$F$143/1000*Inputs!$F$150/100*Operations!M682*(Operations!M671-Operations!M684)</f>
        <v>0</v>
      </c>
      <c r="N686" s="20" t="n">
        <f aca="false">Operations!N451*Inputs!$F$143/1000*Inputs!$F$150/100*Operations!N682*(Operations!N671-Operations!N684)</f>
        <v>0</v>
      </c>
      <c r="O686" s="20" t="n">
        <f aca="false">Operations!O451*Inputs!$F$143/1000*Inputs!$F$150/100*Operations!O682*(Operations!O671-Operations!O684)</f>
        <v>0</v>
      </c>
      <c r="P686" s="20" t="n">
        <f aca="false">Operations!P451*Inputs!$F$143/1000*Inputs!$F$150/100*Operations!P682*(Operations!P671-Operations!P684)</f>
        <v>0</v>
      </c>
      <c r="Q686" s="20" t="n">
        <f aca="false">Operations!Q451*Inputs!$F$143/1000*Inputs!$F$150/100*Operations!Q682*(Operations!Q671-Operations!Q684)</f>
        <v>0</v>
      </c>
      <c r="R686" s="20" t="n">
        <f aca="false">Operations!R451*Inputs!$F$143/1000*Inputs!$F$150/100*Operations!R682*(Operations!R671-Operations!R684)</f>
        <v>2.80691815068493</v>
      </c>
      <c r="S686" s="20" t="n">
        <f aca="false">Operations!S451*Inputs!$F$143/1000*Inputs!$F$150/100*Operations!S682*(Operations!S671-Operations!S684)</f>
        <v>6.081075</v>
      </c>
      <c r="T686" s="20" t="n">
        <f aca="false">Operations!T451*Inputs!$F$143/1000*Inputs!$F$150/100*Operations!T682*(Operations!T671-Operations!T684)</f>
        <v>6.172725</v>
      </c>
      <c r="U686" s="20" t="n">
        <f aca="false">Operations!U451*Inputs!$F$143/1000*Inputs!$F$150/100*Operations!U682*(Operations!U671-Operations!U684)</f>
        <v>6.26535</v>
      </c>
      <c r="V686" s="20" t="n">
        <f aca="false">Operations!V451*Inputs!$F$143/1000*Inputs!$F$150/100*Operations!V682*(Operations!V671-Operations!V684)</f>
        <v>6.35895</v>
      </c>
      <c r="W686" s="20" t="n">
        <f aca="false">Operations!W451*Inputs!$F$143/1000*Inputs!$F$150/100*Operations!W682*(Operations!W671-Operations!W684)</f>
        <v>6.4545</v>
      </c>
      <c r="X686" s="20" t="n">
        <f aca="false">Operations!X451*Inputs!$F$143/1000*Inputs!$F$150/100*Operations!X682*(Operations!X671-Operations!X684)</f>
        <v>6.47343753158219</v>
      </c>
      <c r="Y686" s="20" t="n">
        <f aca="false">Operations!Y451*Inputs!$F$143/1000*Inputs!$F$150/100*Operations!Y682*(Operations!Y671-Operations!Y684)</f>
        <v>6.48685596267123</v>
      </c>
      <c r="Z686" s="20" t="n">
        <f aca="false">Operations!Z451*Inputs!$F$143/1000*Inputs!$F$150/100*Operations!Z682*(Operations!Z671-Operations!Z684)</f>
        <v>6.49985734966438</v>
      </c>
      <c r="AA686" s="20" t="n">
        <f aca="false">Operations!AA451*Inputs!$F$143/1000*Inputs!$F$150/100*Operations!AA682*(Operations!AA671-Operations!AA684)</f>
        <v>6.51325553734932</v>
      </c>
      <c r="AB686" s="20" t="n">
        <f aca="false">Operations!AB451*Inputs!$F$143/1000*Inputs!$F$150/100*Operations!AB682*(Operations!AB671-Operations!AB684)</f>
        <v>6.52495716573288</v>
      </c>
      <c r="AC686" s="20" t="n">
        <f aca="false">Operations!AC451*Inputs!$F$143/1000*Inputs!$F$150/100*Operations!AC682*(Operations!AC671-Operations!AC684)</f>
        <v>6.53595162768493</v>
      </c>
      <c r="AD686" s="20" t="n">
        <f aca="false">Operations!AD451*Inputs!$F$143/1000*Inputs!$F$150/100*Operations!AD682*(Operations!AD671-Operations!AD684)</f>
        <v>6.54735362708219</v>
      </c>
      <c r="AE686" s="20" t="n">
        <f aca="false">Operations!AE451*Inputs!$F$143/1000*Inputs!$F$150/100*Operations!AE682*(Operations!AE671-Operations!AE684)</f>
        <v>3.80910816672712</v>
      </c>
      <c r="AF686" s="20" t="n">
        <f aca="false">Operations!AF451*Inputs!$F$143/1000*Inputs!$F$150/100*Operations!AF682*(Operations!AF671-Operations!AF684)</f>
        <v>0</v>
      </c>
      <c r="AG686" s="20" t="n">
        <f aca="false">Operations!AG451*Inputs!$F$143/1000*Inputs!$F$150/100*Operations!AG682*(Operations!AG671-Operations!AG684)</f>
        <v>0</v>
      </c>
      <c r="AH686" s="20" t="n">
        <f aca="false">Operations!AH451*Inputs!$F$143/1000*Inputs!$F$150/100*Operations!AH682*(Operations!AH671-Operations!AH684)</f>
        <v>0</v>
      </c>
      <c r="AI686" s="20" t="n">
        <f aca="false">Operations!AI451*Inputs!$F$143/1000*Inputs!$F$150/100*Operations!AI682*(Operations!AI671-Operations!AI684)</f>
        <v>0</v>
      </c>
      <c r="AJ686" s="20" t="n">
        <f aca="false">Operations!AJ451*Inputs!$F$143/1000*Inputs!$F$150/100*Operations!AJ682*(Operations!AJ671-Operations!AJ684)</f>
        <v>0</v>
      </c>
      <c r="AK686" s="20" t="n">
        <f aca="false">Operations!AK451*Inputs!$F$143/1000*Inputs!$F$150/100*Operations!AK682*(Operations!AK671-Operations!AK684)</f>
        <v>0</v>
      </c>
      <c r="AL686" s="20" t="n">
        <f aca="false">Operations!AL451*Inputs!$F$143/1000*Inputs!$F$150/100*Operations!AL682*(Operations!AL671-Operations!AL684)</f>
        <v>0</v>
      </c>
      <c r="AM686" s="20" t="n">
        <f aca="false">Operations!AM451*Inputs!$F$143/1000*Inputs!$F$150/100*Operations!AM682*(Operations!AM671-Operations!AM684)</f>
        <v>0</v>
      </c>
      <c r="AN686" s="20" t="n">
        <f aca="false">Operations!AN451*Inputs!$F$143/1000*Inputs!$F$150/100*Operations!AN682*(Operations!AN671-Operations!AN684)</f>
        <v>0</v>
      </c>
      <c r="AO686" s="20" t="n">
        <f aca="false">Operations!AO451*Inputs!$F$143/1000*Inputs!$F$150/100*Operations!AO682*(Operations!AO671-Operations!AO684)</f>
        <v>0</v>
      </c>
      <c r="AP686" s="20" t="n">
        <f aca="false">Operations!AP451*Inputs!$F$143/1000*Inputs!$F$150/100*Operations!AP682*(Operations!AP671-Operations!AP684)</f>
        <v>0</v>
      </c>
      <c r="AQ686" s="20" t="n">
        <f aca="false">Operations!AQ451*Inputs!$F$143/1000*Inputs!$F$150/100*Operations!AQ682*(Operations!AQ671-Operations!AQ684)</f>
        <v>0</v>
      </c>
      <c r="AR686" s="20" t="n">
        <f aca="false">Operations!AR451*Inputs!$F$143/1000*Inputs!$F$150/100*Operations!AR682*(Operations!AR671-Operations!AR684)</f>
        <v>0</v>
      </c>
      <c r="AS686" s="20" t="n">
        <f aca="false">Operations!AS451*Inputs!$F$143/1000*Inputs!$F$150/100*Operations!AS682*(Operations!AS671-Operations!AS684)</f>
        <v>0</v>
      </c>
      <c r="AT686" s="20" t="n">
        <f aca="false">Operations!AT451*Inputs!$F$143/1000*Inputs!$F$150/100*Operations!AT682*(Operations!AT671-Operations!AT684)</f>
        <v>0</v>
      </c>
      <c r="AU686" s="20" t="n">
        <f aca="false">Operations!AU451*Inputs!$F$143/1000*Inputs!$F$150/100*Operations!AU682*(Operations!AU671-Operations!AU684)</f>
        <v>0</v>
      </c>
    </row>
    <row r="687" customFormat="false" ht="15" hidden="false" customHeight="false" outlineLevel="0" collapsed="false">
      <c r="D687" s="0" t="s">
        <v>687</v>
      </c>
      <c r="E687" s="0" t="s">
        <v>176</v>
      </c>
      <c r="J687" s="20" t="str">
        <f aca="false">IF(Operations!J684&gt;0,MIN(Operations!J677,Operations!J680),"")</f>
        <v/>
      </c>
      <c r="K687" s="20" t="n">
        <f aca="false">IF(Operations!K684&gt;0,MIN(Operations!K677,Operations!K680),"")</f>
        <v>213.987945205479</v>
      </c>
      <c r="L687" s="20" t="n">
        <f aca="false">IF(Operations!L684&gt;0,MIN(Operations!L677,Operations!L680),"")</f>
        <v>210.162082191781</v>
      </c>
      <c r="M687" s="20" t="n">
        <f aca="false">IF(Operations!M684&gt;0,MIN(Operations!M677,Operations!M680),"")</f>
        <v>206.922082191781</v>
      </c>
      <c r="N687" s="20" t="n">
        <f aca="false">IF(Operations!N684&gt;0,MIN(Operations!N677,Operations!N680),"")</f>
        <v>203.682082191781</v>
      </c>
      <c r="O687" s="20" t="n">
        <f aca="false">IF(Operations!O684&gt;0,MIN(Operations!O677,Operations!O680),"")</f>
        <v>203.682082191781</v>
      </c>
      <c r="P687" s="20" t="n">
        <f aca="false">IF(Operations!P684&gt;0,MIN(Operations!P677,Operations!P680),"")</f>
        <v>208.952712328767</v>
      </c>
      <c r="Q687" s="20" t="n">
        <f aca="false">IF(Operations!Q684&gt;0,MIN(Operations!Q677,Operations!Q680),"")</f>
        <v>205.532712328767</v>
      </c>
      <c r="R687" s="20" t="n">
        <f aca="false">IF(Operations!R684&gt;0,MIN(Operations!R677,Operations!R680),"")</f>
        <v>202.112712328767</v>
      </c>
      <c r="S687" s="20" t="str">
        <f aca="false">IF(Operations!S684&gt;0,MIN(Operations!S677,Operations!S680),"")</f>
        <v/>
      </c>
      <c r="T687" s="20" t="str">
        <f aca="false">IF(Operations!T684&gt;0,MIN(Operations!T677,Operations!T680),"")</f>
        <v/>
      </c>
      <c r="U687" s="20" t="str">
        <f aca="false">IF(Operations!U684&gt;0,MIN(Operations!U677,Operations!U680),"")</f>
        <v/>
      </c>
      <c r="V687" s="20" t="str">
        <f aca="false">IF(Operations!V684&gt;0,MIN(Operations!V677,Operations!V680),"")</f>
        <v/>
      </c>
      <c r="W687" s="20" t="str">
        <f aca="false">IF(Operations!W684&gt;0,MIN(Operations!W677,Operations!W680),"")</f>
        <v/>
      </c>
      <c r="X687" s="20" t="str">
        <f aca="false">IF(Operations!X684&gt;0,MIN(Operations!X677,Operations!X680),"")</f>
        <v/>
      </c>
      <c r="Y687" s="20" t="str">
        <f aca="false">IF(Operations!Y684&gt;0,MIN(Operations!Y677,Operations!Y680),"")</f>
        <v/>
      </c>
      <c r="Z687" s="20" t="str">
        <f aca="false">IF(Operations!Z684&gt;0,MIN(Operations!Z677,Operations!Z680),"")</f>
        <v/>
      </c>
      <c r="AA687" s="20" t="str">
        <f aca="false">IF(Operations!AA684&gt;0,MIN(Operations!AA677,Operations!AA680),"")</f>
        <v/>
      </c>
      <c r="AB687" s="20" t="str">
        <f aca="false">IF(Operations!AB684&gt;0,MIN(Operations!AB677,Operations!AB680),"")</f>
        <v/>
      </c>
      <c r="AC687" s="20" t="str">
        <f aca="false">IF(Operations!AC684&gt;0,MIN(Operations!AC677,Operations!AC680),"")</f>
        <v/>
      </c>
      <c r="AD687" s="20" t="str">
        <f aca="false">IF(Operations!AD684&gt;0,MIN(Operations!AD677,Operations!AD680),"")</f>
        <v/>
      </c>
      <c r="AE687" s="20" t="str">
        <f aca="false">IF(Operations!AE684&gt;0,MIN(Operations!AE677,Operations!AE680),"")</f>
        <v/>
      </c>
      <c r="AF687" s="20" t="str">
        <f aca="false">IF(Operations!AF684&gt;0,MIN(Operations!AF677,Operations!AF680),"")</f>
        <v/>
      </c>
      <c r="AG687" s="20" t="str">
        <f aca="false">IF(Operations!AG684&gt;0,MIN(Operations!AG677,Operations!AG680),"")</f>
        <v/>
      </c>
      <c r="AH687" s="20" t="str">
        <f aca="false">IF(Operations!AH684&gt;0,MIN(Operations!AH677,Operations!AH680),"")</f>
        <v/>
      </c>
      <c r="AI687" s="20" t="str">
        <f aca="false">IF(Operations!AI684&gt;0,MIN(Operations!AI677,Operations!AI680),"")</f>
        <v/>
      </c>
      <c r="AJ687" s="20" t="str">
        <f aca="false">IF(Operations!AJ684&gt;0,MIN(Operations!AJ677,Operations!AJ680),"")</f>
        <v/>
      </c>
      <c r="AK687" s="20" t="str">
        <f aca="false">IF(Operations!AK684&gt;0,MIN(Operations!AK677,Operations!AK680),"")</f>
        <v/>
      </c>
      <c r="AL687" s="20" t="str">
        <f aca="false">IF(Operations!AL684&gt;0,MIN(Operations!AL677,Operations!AL680),"")</f>
        <v/>
      </c>
      <c r="AM687" s="20" t="str">
        <f aca="false">IF(Operations!AM684&gt;0,MIN(Operations!AM677,Operations!AM680),"")</f>
        <v/>
      </c>
      <c r="AN687" s="20" t="str">
        <f aca="false">IF(Operations!AN684&gt;0,MIN(Operations!AN677,Operations!AN680),"")</f>
        <v/>
      </c>
      <c r="AO687" s="20" t="str">
        <f aca="false">IF(Operations!AO684&gt;0,MIN(Operations!AO677,Operations!AO680),"")</f>
        <v/>
      </c>
      <c r="AP687" s="20" t="str">
        <f aca="false">IF(Operations!AP684&gt;0,MIN(Operations!AP677,Operations!AP680),"")</f>
        <v/>
      </c>
      <c r="AQ687" s="20" t="str">
        <f aca="false">IF(Operations!AQ684&gt;0,MIN(Operations!AQ677,Operations!AQ680),"")</f>
        <v/>
      </c>
      <c r="AR687" s="20" t="str">
        <f aca="false">IF(Operations!AR684&gt;0,MIN(Operations!AR677,Operations!AR680),"")</f>
        <v/>
      </c>
      <c r="AS687" s="20" t="str">
        <f aca="false">IF(Operations!AS684&gt;0,MIN(Operations!AS677,Operations!AS680),"")</f>
        <v/>
      </c>
      <c r="AT687" s="20" t="str">
        <f aca="false">IF(Operations!AT684&gt;0,MIN(Operations!AT677,Operations!AT680),"")</f>
        <v/>
      </c>
      <c r="AU687" s="20" t="str">
        <f aca="false">IF(Operations!AU684&gt;0,MIN(Operations!AU677,Operations!AU680),"")</f>
        <v/>
      </c>
    </row>
    <row r="688" customFormat="false" ht="15" hidden="false" customHeight="false" outlineLevel="0" collapsed="false">
      <c r="D688" s="0" t="s">
        <v>688</v>
      </c>
      <c r="E688" s="0" t="s">
        <v>47</v>
      </c>
      <c r="J688" s="20" t="n">
        <f aca="false">Operations!J685</f>
        <v>0</v>
      </c>
      <c r="K688" s="20" t="n">
        <f aca="false">Operations!K685</f>
        <v>5.11397260273973</v>
      </c>
      <c r="L688" s="20" t="n">
        <f aca="false">Operations!L685</f>
        <v>10.98</v>
      </c>
      <c r="M688" s="20" t="n">
        <f aca="false">Operations!M685</f>
        <v>10.98</v>
      </c>
      <c r="N688" s="20" t="n">
        <f aca="false">Operations!N685</f>
        <v>10.98</v>
      </c>
      <c r="O688" s="20" t="n">
        <f aca="false">Operations!O685</f>
        <v>10.98</v>
      </c>
      <c r="P688" s="20" t="n">
        <f aca="false">Operations!P685</f>
        <v>10.98</v>
      </c>
      <c r="Q688" s="20" t="n">
        <f aca="false">Operations!Q685</f>
        <v>10.98</v>
      </c>
      <c r="R688" s="20" t="n">
        <f aca="false">Operations!R685</f>
        <v>5.83594520547945</v>
      </c>
      <c r="S688" s="20" t="n">
        <f aca="false">Operations!S685</f>
        <v>0</v>
      </c>
      <c r="T688" s="20" t="n">
        <f aca="false">Operations!T685</f>
        <v>0</v>
      </c>
      <c r="U688" s="20" t="n">
        <f aca="false">Operations!U685</f>
        <v>0</v>
      </c>
      <c r="V688" s="20" t="n">
        <f aca="false">Operations!V685</f>
        <v>0</v>
      </c>
      <c r="W688" s="20" t="n">
        <f aca="false">Operations!W685</f>
        <v>0</v>
      </c>
      <c r="X688" s="20" t="n">
        <f aca="false">Operations!X685</f>
        <v>0</v>
      </c>
      <c r="Y688" s="20" t="n">
        <f aca="false">Operations!Y685</f>
        <v>0</v>
      </c>
      <c r="Z688" s="20" t="n">
        <f aca="false">Operations!Z685</f>
        <v>0</v>
      </c>
      <c r="AA688" s="20" t="n">
        <f aca="false">Operations!AA685</f>
        <v>0</v>
      </c>
      <c r="AB688" s="20" t="n">
        <f aca="false">Operations!AB685</f>
        <v>0</v>
      </c>
      <c r="AC688" s="20" t="n">
        <f aca="false">Operations!AC685</f>
        <v>0</v>
      </c>
      <c r="AD688" s="20" t="n">
        <f aca="false">Operations!AD685</f>
        <v>0</v>
      </c>
      <c r="AE688" s="20" t="n">
        <f aca="false">Operations!AE685</f>
        <v>0</v>
      </c>
      <c r="AF688" s="20" t="n">
        <f aca="false">Operations!AF685</f>
        <v>0</v>
      </c>
      <c r="AG688" s="20" t="n">
        <f aca="false">Operations!AG685</f>
        <v>0</v>
      </c>
      <c r="AH688" s="20" t="n">
        <f aca="false">Operations!AH685</f>
        <v>0</v>
      </c>
      <c r="AI688" s="20" t="n">
        <f aca="false">Operations!AI685</f>
        <v>0</v>
      </c>
      <c r="AJ688" s="20" t="n">
        <f aca="false">Operations!AJ685</f>
        <v>0</v>
      </c>
      <c r="AK688" s="20" t="n">
        <f aca="false">Operations!AK685</f>
        <v>0</v>
      </c>
      <c r="AL688" s="20" t="n">
        <f aca="false">Operations!AL685</f>
        <v>0</v>
      </c>
      <c r="AM688" s="20" t="n">
        <f aca="false">Operations!AM685</f>
        <v>0</v>
      </c>
      <c r="AN688" s="20" t="n">
        <f aca="false">Operations!AN685</f>
        <v>0</v>
      </c>
      <c r="AO688" s="20" t="n">
        <f aca="false">Operations!AO685</f>
        <v>0</v>
      </c>
      <c r="AP688" s="20" t="n">
        <f aca="false">Operations!AP685</f>
        <v>0</v>
      </c>
      <c r="AQ688" s="20" t="n">
        <f aca="false">Operations!AQ685</f>
        <v>0</v>
      </c>
      <c r="AR688" s="20" t="n">
        <f aca="false">Operations!AR685</f>
        <v>0</v>
      </c>
      <c r="AS688" s="20" t="n">
        <f aca="false">Operations!AS685</f>
        <v>0</v>
      </c>
      <c r="AT688" s="20" t="n">
        <f aca="false">Operations!AT685</f>
        <v>0</v>
      </c>
      <c r="AU688" s="20" t="n">
        <f aca="false">Operations!AU685</f>
        <v>0</v>
      </c>
    </row>
    <row r="689" customFormat="false" ht="15" hidden="false" customHeight="false" outlineLevel="0" collapsed="false">
      <c r="D689" s="0" t="s">
        <v>689</v>
      </c>
      <c r="E689" s="0" t="s">
        <v>47</v>
      </c>
      <c r="J689" s="20" t="n">
        <f aca="false">0</f>
        <v>0</v>
      </c>
      <c r="K689" s="20" t="n">
        <f aca="false">0</f>
        <v>0</v>
      </c>
      <c r="L689" s="20" t="n">
        <f aca="false">0</f>
        <v>0</v>
      </c>
      <c r="M689" s="20" t="n">
        <f aca="false">0</f>
        <v>0</v>
      </c>
      <c r="N689" s="20" t="n">
        <f aca="false">0</f>
        <v>0</v>
      </c>
      <c r="O689" s="20" t="n">
        <f aca="false">0</f>
        <v>0</v>
      </c>
      <c r="P689" s="20" t="n">
        <f aca="false">0</f>
        <v>0</v>
      </c>
      <c r="Q689" s="20" t="n">
        <f aca="false">0</f>
        <v>0</v>
      </c>
      <c r="R689" s="20" t="n">
        <f aca="false">0</f>
        <v>0</v>
      </c>
      <c r="S689" s="20" t="n">
        <f aca="false">0</f>
        <v>0</v>
      </c>
      <c r="T689" s="20" t="n">
        <f aca="false">0</f>
        <v>0</v>
      </c>
      <c r="U689" s="20" t="n">
        <f aca="false">0</f>
        <v>0</v>
      </c>
      <c r="V689" s="20" t="n">
        <f aca="false">0</f>
        <v>0</v>
      </c>
      <c r="W689" s="20" t="n">
        <f aca="false">0</f>
        <v>0</v>
      </c>
      <c r="X689" s="20" t="n">
        <f aca="false">0</f>
        <v>0</v>
      </c>
      <c r="Y689" s="20" t="n">
        <f aca="false">0</f>
        <v>0</v>
      </c>
      <c r="Z689" s="20" t="n">
        <f aca="false">0</f>
        <v>0</v>
      </c>
      <c r="AA689" s="20" t="n">
        <f aca="false">0</f>
        <v>0</v>
      </c>
      <c r="AB689" s="20" t="n">
        <f aca="false">0</f>
        <v>0</v>
      </c>
      <c r="AC689" s="20" t="n">
        <f aca="false">0</f>
        <v>0</v>
      </c>
      <c r="AD689" s="20" t="n">
        <f aca="false">0</f>
        <v>0</v>
      </c>
      <c r="AE689" s="20" t="n">
        <f aca="false">0</f>
        <v>0</v>
      </c>
      <c r="AF689" s="20" t="n">
        <f aca="false">0</f>
        <v>0</v>
      </c>
      <c r="AG689" s="20" t="n">
        <f aca="false">0</f>
        <v>0</v>
      </c>
      <c r="AH689" s="20" t="n">
        <f aca="false">0</f>
        <v>0</v>
      </c>
      <c r="AI689" s="20" t="n">
        <f aca="false">0</f>
        <v>0</v>
      </c>
      <c r="AJ689" s="20" t="n">
        <f aca="false">0</f>
        <v>0</v>
      </c>
      <c r="AK689" s="20" t="n">
        <f aca="false">0</f>
        <v>0</v>
      </c>
      <c r="AL689" s="20" t="n">
        <f aca="false">0</f>
        <v>0</v>
      </c>
      <c r="AM689" s="20" t="n">
        <f aca="false">0</f>
        <v>0</v>
      </c>
      <c r="AN689" s="20" t="n">
        <f aca="false">0</f>
        <v>0</v>
      </c>
      <c r="AO689" s="20" t="n">
        <f aca="false">0</f>
        <v>0</v>
      </c>
      <c r="AP689" s="20" t="n">
        <f aca="false">0</f>
        <v>0</v>
      </c>
      <c r="AQ689" s="20" t="n">
        <f aca="false">0</f>
        <v>0</v>
      </c>
      <c r="AR689" s="20" t="n">
        <f aca="false">0</f>
        <v>0</v>
      </c>
      <c r="AS689" s="20" t="n">
        <f aca="false">0</f>
        <v>0</v>
      </c>
      <c r="AT689" s="20" t="n">
        <f aca="false">0</f>
        <v>0</v>
      </c>
      <c r="AU689" s="20" t="n">
        <f aca="false">0</f>
        <v>0</v>
      </c>
    </row>
    <row r="690" customFormat="false" ht="15" hidden="false" customHeight="false" outlineLevel="0" collapsed="false">
      <c r="D690" s="0" t="s">
        <v>690</v>
      </c>
      <c r="E690" s="0" t="s">
        <v>47</v>
      </c>
      <c r="G690" s="20" t="n">
        <f aca="false">SUM(J690:AU690)</f>
        <v>160.360212927398</v>
      </c>
      <c r="J690" s="20" t="n">
        <f aca="false">Operations!J685+Operations!J686</f>
        <v>0</v>
      </c>
      <c r="K690" s="20" t="n">
        <f aca="false">Operations!K685+Operations!K686</f>
        <v>5.11397260273973</v>
      </c>
      <c r="L690" s="20" t="n">
        <f aca="false">Operations!L685+Operations!L686</f>
        <v>10.98</v>
      </c>
      <c r="M690" s="20" t="n">
        <f aca="false">Operations!M685+Operations!M686</f>
        <v>10.98</v>
      </c>
      <c r="N690" s="20" t="n">
        <f aca="false">Operations!N685+Operations!N686</f>
        <v>10.98</v>
      </c>
      <c r="O690" s="20" t="n">
        <f aca="false">Operations!O685+Operations!O686</f>
        <v>10.98</v>
      </c>
      <c r="P690" s="20" t="n">
        <f aca="false">Operations!P685+Operations!P686</f>
        <v>10.98</v>
      </c>
      <c r="Q690" s="20" t="n">
        <f aca="false">Operations!Q685+Operations!Q686</f>
        <v>10.98</v>
      </c>
      <c r="R690" s="20" t="n">
        <f aca="false">Operations!R685+Operations!R686</f>
        <v>8.64286335616439</v>
      </c>
      <c r="S690" s="20" t="n">
        <f aca="false">Operations!S685+Operations!S686</f>
        <v>6.081075</v>
      </c>
      <c r="T690" s="20" t="n">
        <f aca="false">Operations!T685+Operations!T686</f>
        <v>6.172725</v>
      </c>
      <c r="U690" s="20" t="n">
        <f aca="false">Operations!U685+Operations!U686</f>
        <v>6.26535</v>
      </c>
      <c r="V690" s="20" t="n">
        <f aca="false">Operations!V685+Operations!V686</f>
        <v>6.35895</v>
      </c>
      <c r="W690" s="20" t="n">
        <f aca="false">Operations!W685+Operations!W686</f>
        <v>6.4545</v>
      </c>
      <c r="X690" s="20" t="n">
        <f aca="false">Operations!X685+Operations!X686</f>
        <v>6.47343753158219</v>
      </c>
      <c r="Y690" s="20" t="n">
        <f aca="false">Operations!Y685+Operations!Y686</f>
        <v>6.48685596267123</v>
      </c>
      <c r="Z690" s="20" t="n">
        <f aca="false">Operations!Z685+Operations!Z686</f>
        <v>6.49985734966438</v>
      </c>
      <c r="AA690" s="20" t="n">
        <f aca="false">Operations!AA685+Operations!AA686</f>
        <v>6.51325553734932</v>
      </c>
      <c r="AB690" s="20" t="n">
        <f aca="false">Operations!AB685+Operations!AB686</f>
        <v>6.52495716573288</v>
      </c>
      <c r="AC690" s="20" t="n">
        <f aca="false">Operations!AC685+Operations!AC686</f>
        <v>6.53595162768493</v>
      </c>
      <c r="AD690" s="20" t="n">
        <f aca="false">Operations!AD685+Operations!AD686</f>
        <v>6.54735362708219</v>
      </c>
      <c r="AE690" s="20" t="n">
        <f aca="false">Operations!AE685+Operations!AE686</f>
        <v>3.80910816672712</v>
      </c>
      <c r="AF690" s="20" t="n">
        <f aca="false">Operations!AF685+Operations!AF686</f>
        <v>0</v>
      </c>
      <c r="AG690" s="20" t="n">
        <f aca="false">Operations!AG685+Operations!AG686</f>
        <v>0</v>
      </c>
      <c r="AH690" s="20" t="n">
        <f aca="false">Operations!AH685+Operations!AH686</f>
        <v>0</v>
      </c>
      <c r="AI690" s="20" t="n">
        <f aca="false">Operations!AI685+Operations!AI686</f>
        <v>0</v>
      </c>
      <c r="AJ690" s="20" t="n">
        <f aca="false">Operations!AJ685+Operations!AJ686</f>
        <v>0</v>
      </c>
      <c r="AK690" s="20" t="n">
        <f aca="false">Operations!AK685+Operations!AK686</f>
        <v>0</v>
      </c>
      <c r="AL690" s="20" t="n">
        <f aca="false">Operations!AL685+Operations!AL686</f>
        <v>0</v>
      </c>
      <c r="AM690" s="20" t="n">
        <f aca="false">Operations!AM685+Operations!AM686</f>
        <v>0</v>
      </c>
      <c r="AN690" s="20" t="n">
        <f aca="false">Operations!AN685+Operations!AN686</f>
        <v>0</v>
      </c>
      <c r="AO690" s="20" t="n">
        <f aca="false">Operations!AO685+Operations!AO686</f>
        <v>0</v>
      </c>
      <c r="AP690" s="20" t="n">
        <f aca="false">Operations!AP685+Operations!AP686</f>
        <v>0</v>
      </c>
      <c r="AQ690" s="20" t="n">
        <f aca="false">Operations!AQ685+Operations!AQ686</f>
        <v>0</v>
      </c>
      <c r="AR690" s="20" t="n">
        <f aca="false">Operations!AR685+Operations!AR686</f>
        <v>0</v>
      </c>
      <c r="AS690" s="20" t="n">
        <f aca="false">Operations!AS685+Operations!AS686</f>
        <v>0</v>
      </c>
      <c r="AT690" s="20" t="n">
        <f aca="false">Operations!AT685+Operations!AT686</f>
        <v>0</v>
      </c>
      <c r="AU690" s="20" t="n">
        <f aca="false">Operations!AU685+Operations!AU686</f>
        <v>0</v>
      </c>
    </row>
    <row r="691" customFormat="false" ht="15" hidden="false" customHeight="false" outlineLevel="0" collapsed="false">
      <c r="D691" s="0" t="s">
        <v>691</v>
      </c>
      <c r="E691" s="0" t="s">
        <v>47</v>
      </c>
      <c r="J691" s="20" t="n">
        <f aca="false">Operations!J690-Operations!J688-Operations!J689</f>
        <v>0</v>
      </c>
      <c r="K691" s="20" t="n">
        <f aca="false">Operations!K690-Operations!K688-Operations!K689</f>
        <v>0</v>
      </c>
      <c r="L691" s="20" t="n">
        <f aca="false">Operations!L690-Operations!L688-Operations!L689</f>
        <v>0</v>
      </c>
      <c r="M691" s="20" t="n">
        <f aca="false">Operations!M690-Operations!M688-Operations!M689</f>
        <v>0</v>
      </c>
      <c r="N691" s="20" t="n">
        <f aca="false">Operations!N690-Operations!N688-Operations!N689</f>
        <v>0</v>
      </c>
      <c r="O691" s="20" t="n">
        <f aca="false">Operations!O690-Operations!O688-Operations!O689</f>
        <v>0</v>
      </c>
      <c r="P691" s="20" t="n">
        <f aca="false">Operations!P690-Operations!P688-Operations!P689</f>
        <v>0</v>
      </c>
      <c r="Q691" s="20" t="n">
        <f aca="false">Operations!Q690-Operations!Q688-Operations!Q689</f>
        <v>0</v>
      </c>
      <c r="R691" s="20" t="n">
        <f aca="false">Operations!R690-Operations!R688-Operations!R689</f>
        <v>2.80691815068493</v>
      </c>
      <c r="S691" s="20" t="n">
        <f aca="false">Operations!S690-Operations!S688-Operations!S689</f>
        <v>6.081075</v>
      </c>
      <c r="T691" s="20" t="n">
        <f aca="false">Operations!T690-Operations!T688-Operations!T689</f>
        <v>6.172725</v>
      </c>
      <c r="U691" s="20" t="n">
        <f aca="false">Operations!U690-Operations!U688-Operations!U689</f>
        <v>6.26535</v>
      </c>
      <c r="V691" s="20" t="n">
        <f aca="false">Operations!V690-Operations!V688-Operations!V689</f>
        <v>6.35895</v>
      </c>
      <c r="W691" s="20" t="n">
        <f aca="false">Operations!W690-Operations!W688-Operations!W689</f>
        <v>6.4545</v>
      </c>
      <c r="X691" s="20" t="n">
        <f aca="false">Operations!X690-Operations!X688-Operations!X689</f>
        <v>6.47343753158219</v>
      </c>
      <c r="Y691" s="20" t="n">
        <f aca="false">Operations!Y690-Operations!Y688-Operations!Y689</f>
        <v>6.48685596267123</v>
      </c>
      <c r="Z691" s="20" t="n">
        <f aca="false">Operations!Z690-Operations!Z688-Operations!Z689</f>
        <v>6.49985734966438</v>
      </c>
      <c r="AA691" s="20" t="n">
        <f aca="false">Operations!AA690-Operations!AA688-Operations!AA689</f>
        <v>6.51325553734932</v>
      </c>
      <c r="AB691" s="20" t="n">
        <f aca="false">Operations!AB690-Operations!AB688-Operations!AB689</f>
        <v>6.52495716573288</v>
      </c>
      <c r="AC691" s="20" t="n">
        <f aca="false">Operations!AC690-Operations!AC688-Operations!AC689</f>
        <v>6.53595162768493</v>
      </c>
      <c r="AD691" s="20" t="n">
        <f aca="false">Operations!AD690-Operations!AD688-Operations!AD689</f>
        <v>6.54735362708219</v>
      </c>
      <c r="AE691" s="20" t="n">
        <f aca="false">Operations!AE690-Operations!AE688-Operations!AE689</f>
        <v>3.80910816672712</v>
      </c>
      <c r="AF691" s="20" t="n">
        <f aca="false">Operations!AF690-Operations!AF688-Operations!AF689</f>
        <v>0</v>
      </c>
      <c r="AG691" s="20" t="n">
        <f aca="false">Operations!AG690-Operations!AG688-Operations!AG689</f>
        <v>0</v>
      </c>
      <c r="AH691" s="20" t="n">
        <f aca="false">Operations!AH690-Operations!AH688-Operations!AH689</f>
        <v>0</v>
      </c>
      <c r="AI691" s="20" t="n">
        <f aca="false">Operations!AI690-Operations!AI688-Operations!AI689</f>
        <v>0</v>
      </c>
      <c r="AJ691" s="20" t="n">
        <f aca="false">Operations!AJ690-Operations!AJ688-Operations!AJ689</f>
        <v>0</v>
      </c>
      <c r="AK691" s="20" t="n">
        <f aca="false">Operations!AK690-Operations!AK688-Operations!AK689</f>
        <v>0</v>
      </c>
      <c r="AL691" s="20" t="n">
        <f aca="false">Operations!AL690-Operations!AL688-Operations!AL689</f>
        <v>0</v>
      </c>
      <c r="AM691" s="20" t="n">
        <f aca="false">Operations!AM690-Operations!AM688-Operations!AM689</f>
        <v>0</v>
      </c>
      <c r="AN691" s="20" t="n">
        <f aca="false">Operations!AN690-Operations!AN688-Operations!AN689</f>
        <v>0</v>
      </c>
      <c r="AO691" s="20" t="n">
        <f aca="false">Operations!AO690-Operations!AO688-Operations!AO689</f>
        <v>0</v>
      </c>
      <c r="AP691" s="20" t="n">
        <f aca="false">Operations!AP690-Operations!AP688-Operations!AP689</f>
        <v>0</v>
      </c>
      <c r="AQ691" s="20" t="n">
        <f aca="false">Operations!AQ690-Operations!AQ688-Operations!AQ689</f>
        <v>0</v>
      </c>
      <c r="AR691" s="20" t="n">
        <f aca="false">Operations!AR690-Operations!AR688-Operations!AR689</f>
        <v>0</v>
      </c>
      <c r="AS691" s="20" t="n">
        <f aca="false">Operations!AS690-Operations!AS688-Operations!AS689</f>
        <v>0</v>
      </c>
      <c r="AT691" s="20" t="n">
        <f aca="false">Operations!AT690-Operations!AT688-Operations!AT689</f>
        <v>0</v>
      </c>
      <c r="AU691" s="20" t="n">
        <f aca="false">Operations!AU690-Operations!AU688-Operations!AU689</f>
        <v>0</v>
      </c>
    </row>
    <row r="692" customFormat="false" ht="15" hidden="false" customHeight="false" outlineLevel="0" collapsed="false">
      <c r="D692" s="0" t="s">
        <v>692</v>
      </c>
      <c r="E692" s="0" t="s">
        <v>47</v>
      </c>
      <c r="J692" s="20" t="n">
        <f aca="false">Inputs!$F$147*Inputs!$F$143/1000*Time!J$9*Time!J$10*Operations!J671*Operations!$F$445</f>
        <v>0</v>
      </c>
      <c r="K692" s="20" t="n">
        <f aca="false">Inputs!$F$147*Inputs!$F$143/1000*Time!K$9*Time!K$10*Operations!K671*Operations!$F$445</f>
        <v>0.720001</v>
      </c>
      <c r="L692" s="20" t="n">
        <f aca="false">Inputs!$F$147*Inputs!$F$143/1000*Time!L$9*Time!L$10*Operations!L671*Operations!$F$445</f>
        <v>1.5845316125</v>
      </c>
      <c r="M692" s="20" t="n">
        <f aca="false">Inputs!$F$147*Inputs!$F$143/1000*Time!M$9*Time!M$10*Operations!M671*Operations!$F$445</f>
        <v>1.6241449028125</v>
      </c>
      <c r="N692" s="20" t="n">
        <f aca="false">Inputs!$F$147*Inputs!$F$143/1000*Time!N$9*Time!N$10*Operations!N671*Operations!$F$445</f>
        <v>1.66474852538281</v>
      </c>
      <c r="O692" s="20" t="n">
        <f aca="false">Inputs!$F$147*Inputs!$F$143/1000*Time!O$9*Time!O$10*Operations!O671*Operations!$F$445</f>
        <v>1.70636723851738</v>
      </c>
      <c r="P692" s="20" t="n">
        <f aca="false">Inputs!$F$147*Inputs!$F$143/1000*Time!P$9*Time!P$10*Operations!P671*Operations!$F$445</f>
        <v>1.74902641948032</v>
      </c>
      <c r="Q692" s="20" t="n">
        <f aca="false">Inputs!$F$147*Inputs!$F$143/1000*Time!Q$9*Time!Q$10*Operations!Q671*Operations!$F$445</f>
        <v>1.79275207996732</v>
      </c>
      <c r="R692" s="20" t="n">
        <f aca="false">Inputs!$F$147*Inputs!$F$143/1000*Time!R$9*Time!R$10*Operations!R671*Operations!$F$445</f>
        <v>1.83757088196651</v>
      </c>
      <c r="S692" s="20" t="n">
        <f aca="false">Inputs!$F$147*Inputs!$F$143/1000*Time!S$9*Time!S$10*Operations!S671*Operations!$F$445</f>
        <v>1.88351015401567</v>
      </c>
      <c r="T692" s="20" t="n">
        <f aca="false">Inputs!$F$147*Inputs!$F$143/1000*Time!T$9*Time!T$10*Operations!T671*Operations!$F$445</f>
        <v>1.93059790786606</v>
      </c>
      <c r="U692" s="20" t="n">
        <f aca="false">Inputs!$F$147*Inputs!$F$143/1000*Time!U$9*Time!U$10*Operations!U671*Operations!$F$445</f>
        <v>1.97886285556271</v>
      </c>
      <c r="V692" s="20" t="n">
        <f aca="false">Inputs!$F$147*Inputs!$F$143/1000*Time!V$9*Time!V$10*Operations!V671*Operations!$F$445</f>
        <v>2.02833442695178</v>
      </c>
      <c r="W692" s="20" t="n">
        <f aca="false">Inputs!$F$147*Inputs!$F$143/1000*Time!W$9*Time!W$10*Operations!W671*Operations!$F$445</f>
        <v>2.07904278762557</v>
      </c>
      <c r="X692" s="20" t="n">
        <f aca="false">Inputs!$F$147*Inputs!$F$143/1000*Time!X$9*Time!X$10*Operations!X671*Operations!$F$445</f>
        <v>2.13101885731621</v>
      </c>
      <c r="Y692" s="20" t="n">
        <f aca="false">Inputs!$F$147*Inputs!$F$143/1000*Time!Y$9*Time!Y$10*Operations!Y671*Operations!$F$445</f>
        <v>2.18429432874912</v>
      </c>
      <c r="Z692" s="20" t="n">
        <f aca="false">Inputs!$F$147*Inputs!$F$143/1000*Time!Z$9*Time!Z$10*Operations!Z671*Operations!$F$445</f>
        <v>2.23890168696785</v>
      </c>
      <c r="AA692" s="20" t="n">
        <f aca="false">Inputs!$F$147*Inputs!$F$143/1000*Time!AA$9*Time!AA$10*Operations!AA671*Operations!$F$445</f>
        <v>2.29487422914204</v>
      </c>
      <c r="AB692" s="20" t="n">
        <f aca="false">Inputs!$F$147*Inputs!$F$143/1000*Time!AB$9*Time!AB$10*Operations!AB671*Operations!$F$445</f>
        <v>2.35224608487059</v>
      </c>
      <c r="AC692" s="20" t="n">
        <f aca="false">Inputs!$F$147*Inputs!$F$143/1000*Time!AC$9*Time!AC$10*Operations!AC671*Operations!$F$445</f>
        <v>2.41105223699236</v>
      </c>
      <c r="AD692" s="20" t="n">
        <f aca="false">Inputs!$F$147*Inputs!$F$143/1000*Time!AD$9*Time!AD$10*Operations!AD671*Operations!$F$445</f>
        <v>2.47132854291717</v>
      </c>
      <c r="AE692" s="20" t="n">
        <f aca="false">Inputs!$F$147*Inputs!$F$143/1000*Time!AE$9*Time!AE$10*Operations!AE671*Operations!$F$445</f>
        <v>1.47128682842712</v>
      </c>
      <c r="AF692" s="20" t="n">
        <f aca="false">Inputs!$F$147*Inputs!$F$143/1000*Time!AF$9*Time!AF$10*Operations!AF671*Operations!$F$445</f>
        <v>0</v>
      </c>
      <c r="AG692" s="20" t="n">
        <f aca="false">Inputs!$F$147*Inputs!$F$143/1000*Time!AG$9*Time!AG$10*Operations!AG671*Operations!$F$445</f>
        <v>0</v>
      </c>
      <c r="AH692" s="20" t="n">
        <f aca="false">Inputs!$F$147*Inputs!$F$143/1000*Time!AH$9*Time!AH$10*Operations!AH671*Operations!$F$445</f>
        <v>0</v>
      </c>
      <c r="AI692" s="20" t="n">
        <f aca="false">Inputs!$F$147*Inputs!$F$143/1000*Time!AI$9*Time!AI$10*Operations!AI671*Operations!$F$445</f>
        <v>0</v>
      </c>
      <c r="AJ692" s="20" t="n">
        <f aca="false">Inputs!$F$147*Inputs!$F$143/1000*Time!AJ$9*Time!AJ$10*Operations!AJ671*Operations!$F$445</f>
        <v>0</v>
      </c>
      <c r="AK692" s="20" t="n">
        <f aca="false">Inputs!$F$147*Inputs!$F$143/1000*Time!AK$9*Time!AK$10*Operations!AK671*Operations!$F$445</f>
        <v>0</v>
      </c>
      <c r="AL692" s="20" t="n">
        <f aca="false">Inputs!$F$147*Inputs!$F$143/1000*Time!AL$9*Time!AL$10*Operations!AL671*Operations!$F$445</f>
        <v>0</v>
      </c>
      <c r="AM692" s="20" t="n">
        <f aca="false">Inputs!$F$147*Inputs!$F$143/1000*Time!AM$9*Time!AM$10*Operations!AM671*Operations!$F$445</f>
        <v>0</v>
      </c>
      <c r="AN692" s="20" t="n">
        <f aca="false">Inputs!$F$147*Inputs!$F$143/1000*Time!AN$9*Time!AN$10*Operations!AN671*Operations!$F$445</f>
        <v>0</v>
      </c>
      <c r="AO692" s="20" t="n">
        <f aca="false">Inputs!$F$147*Inputs!$F$143/1000*Time!AO$9*Time!AO$10*Operations!AO671*Operations!$F$445</f>
        <v>0</v>
      </c>
      <c r="AP692" s="20" t="n">
        <f aca="false">Inputs!$F$147*Inputs!$F$143/1000*Time!AP$9*Time!AP$10*Operations!AP671*Operations!$F$445</f>
        <v>0</v>
      </c>
      <c r="AQ692" s="20" t="n">
        <f aca="false">Inputs!$F$147*Inputs!$F$143/1000*Time!AQ$9*Time!AQ$10*Operations!AQ671*Operations!$F$445</f>
        <v>0</v>
      </c>
      <c r="AR692" s="20" t="n">
        <f aca="false">Inputs!$F$147*Inputs!$F$143/1000*Time!AR$9*Time!AR$10*Operations!AR671*Operations!$F$445</f>
        <v>0</v>
      </c>
      <c r="AS692" s="20" t="n">
        <f aca="false">Inputs!$F$147*Inputs!$F$143/1000*Time!AS$9*Time!AS$10*Operations!AS671*Operations!$F$445</f>
        <v>0</v>
      </c>
      <c r="AT692" s="20" t="n">
        <f aca="false">Inputs!$F$147*Inputs!$F$143/1000*Time!AT$9*Time!AT$10*Operations!AT671*Operations!$F$445</f>
        <v>0</v>
      </c>
      <c r="AU692" s="20" t="n">
        <f aca="false">Inputs!$F$147*Inputs!$F$143/1000*Time!AU$9*Time!AU$10*Operations!AU671*Operations!$F$445</f>
        <v>0</v>
      </c>
    </row>
    <row r="693" customFormat="false" ht="15" hidden="false" customHeight="false" outlineLevel="0" collapsed="false">
      <c r="D693" s="0" t="s">
        <v>693</v>
      </c>
      <c r="E693" s="0" t="s">
        <v>47</v>
      </c>
      <c r="J693" s="20" t="n">
        <f aca="false">0</f>
        <v>0</v>
      </c>
      <c r="K693" s="20" t="n">
        <f aca="false">0</f>
        <v>0</v>
      </c>
      <c r="L693" s="20" t="n">
        <f aca="false">0</f>
        <v>0</v>
      </c>
      <c r="M693" s="20" t="n">
        <f aca="false">0</f>
        <v>0</v>
      </c>
      <c r="N693" s="20" t="n">
        <f aca="false">0</f>
        <v>0</v>
      </c>
      <c r="O693" s="20" t="n">
        <f aca="false">0</f>
        <v>0</v>
      </c>
      <c r="P693" s="20" t="n">
        <f aca="false">0</f>
        <v>0</v>
      </c>
      <c r="Q693" s="20" t="n">
        <f aca="false">0</f>
        <v>0</v>
      </c>
      <c r="R693" s="20" t="n">
        <f aca="false">0</f>
        <v>0</v>
      </c>
      <c r="S693" s="20" t="n">
        <f aca="false">0</f>
        <v>0</v>
      </c>
      <c r="T693" s="20" t="n">
        <f aca="false">0</f>
        <v>0</v>
      </c>
      <c r="U693" s="20" t="n">
        <f aca="false">0</f>
        <v>0</v>
      </c>
      <c r="V693" s="20" t="n">
        <f aca="false">0</f>
        <v>0</v>
      </c>
      <c r="W693" s="20" t="n">
        <f aca="false">0</f>
        <v>0</v>
      </c>
      <c r="X693" s="20" t="n">
        <f aca="false">0</f>
        <v>0</v>
      </c>
      <c r="Y693" s="20" t="n">
        <f aca="false">0</f>
        <v>0</v>
      </c>
      <c r="Z693" s="20" t="n">
        <f aca="false">0</f>
        <v>0</v>
      </c>
      <c r="AA693" s="20" t="n">
        <f aca="false">0</f>
        <v>0</v>
      </c>
      <c r="AB693" s="20" t="n">
        <f aca="false">0</f>
        <v>0</v>
      </c>
      <c r="AC693" s="20" t="n">
        <f aca="false">0</f>
        <v>0</v>
      </c>
      <c r="AD693" s="20" t="n">
        <f aca="false">0</f>
        <v>0</v>
      </c>
      <c r="AE693" s="20" t="n">
        <f aca="false">0</f>
        <v>0</v>
      </c>
      <c r="AF693" s="20" t="n">
        <f aca="false">0</f>
        <v>0</v>
      </c>
      <c r="AG693" s="20" t="n">
        <f aca="false">0</f>
        <v>0</v>
      </c>
      <c r="AH693" s="20" t="n">
        <f aca="false">0</f>
        <v>0</v>
      </c>
      <c r="AI693" s="20" t="n">
        <f aca="false">0</f>
        <v>0</v>
      </c>
      <c r="AJ693" s="20" t="n">
        <f aca="false">0</f>
        <v>0</v>
      </c>
      <c r="AK693" s="20" t="n">
        <f aca="false">0</f>
        <v>0</v>
      </c>
      <c r="AL693" s="20" t="n">
        <f aca="false">0</f>
        <v>0</v>
      </c>
      <c r="AM693" s="20" t="n">
        <f aca="false">0</f>
        <v>0</v>
      </c>
      <c r="AN693" s="20" t="n">
        <f aca="false">0</f>
        <v>0</v>
      </c>
      <c r="AO693" s="20" t="n">
        <f aca="false">0</f>
        <v>0</v>
      </c>
      <c r="AP693" s="20" t="n">
        <f aca="false">0</f>
        <v>0</v>
      </c>
      <c r="AQ693" s="20" t="n">
        <f aca="false">0</f>
        <v>0</v>
      </c>
      <c r="AR693" s="20" t="n">
        <f aca="false">0</f>
        <v>0</v>
      </c>
      <c r="AS693" s="20" t="n">
        <f aca="false">0</f>
        <v>0</v>
      </c>
      <c r="AT693" s="20" t="n">
        <f aca="false">0</f>
        <v>0</v>
      </c>
      <c r="AU693" s="20" t="n">
        <f aca="false">0</f>
        <v>0</v>
      </c>
    </row>
    <row r="694" customFormat="false" ht="15" hidden="false" customHeight="false" outlineLevel="0" collapsed="false">
      <c r="D694" s="0" t="s">
        <v>694</v>
      </c>
      <c r="E694" s="0" t="s">
        <v>47</v>
      </c>
      <c r="J694" s="20" t="n">
        <f aca="false">Inputs!$F$243/100*Inputs!$F$148*Inputs!$F$143/1000*Time!J$9*Operations!J671</f>
        <v>0</v>
      </c>
      <c r="K694" s="20" t="n">
        <f aca="false">Inputs!$F$243/100*Inputs!$F$148*Inputs!$F$143/1000*Time!K$9*Operations!K671</f>
        <v>0.00601520547945205</v>
      </c>
      <c r="L694" s="20" t="n">
        <f aca="false">Inputs!$F$243/100*Inputs!$F$148*Inputs!$F$143/1000*Time!L$9*Operations!L671</f>
        <v>0.013237875</v>
      </c>
      <c r="M694" s="20" t="n">
        <f aca="false">Inputs!$F$243/100*Inputs!$F$148*Inputs!$F$143/1000*Time!M$9*Operations!M671</f>
        <v>0.013568821875</v>
      </c>
      <c r="N694" s="20" t="n">
        <f aca="false">Inputs!$F$243/100*Inputs!$F$148*Inputs!$F$143/1000*Time!N$9*Operations!N671</f>
        <v>0.013908042421875</v>
      </c>
      <c r="O694" s="20" t="n">
        <f aca="false">Inputs!$F$243/100*Inputs!$F$148*Inputs!$F$143/1000*Time!O$9*Operations!O671</f>
        <v>0.0142557434824219</v>
      </c>
      <c r="P694" s="20" t="n">
        <f aca="false">Inputs!$F$243/100*Inputs!$F$148*Inputs!$F$143/1000*Time!P$9*Operations!P671</f>
        <v>0.0146121370694824</v>
      </c>
      <c r="Q694" s="20" t="n">
        <f aca="false">Inputs!$F$243/100*Inputs!$F$148*Inputs!$F$143/1000*Time!Q$9*Operations!Q671</f>
        <v>0.0149774404962195</v>
      </c>
      <c r="R694" s="20" t="n">
        <f aca="false">Inputs!$F$243/100*Inputs!$F$148*Inputs!$F$143/1000*Time!R$9*Operations!R671</f>
        <v>0.015351876508625</v>
      </c>
      <c r="S694" s="20" t="n">
        <f aca="false">Inputs!$F$243/100*Inputs!$F$148*Inputs!$F$143/1000*Time!S$9*Operations!S671</f>
        <v>0.0157356734213406</v>
      </c>
      <c r="T694" s="20" t="n">
        <f aca="false">Inputs!$F$243/100*Inputs!$F$148*Inputs!$F$143/1000*Time!T$9*Operations!T671</f>
        <v>0.0161290652568741</v>
      </c>
      <c r="U694" s="20" t="n">
        <f aca="false">Inputs!$F$243/100*Inputs!$F$148*Inputs!$F$143/1000*Time!U$9*Operations!U671</f>
        <v>0.0165322918882959</v>
      </c>
      <c r="V694" s="20" t="n">
        <f aca="false">Inputs!$F$243/100*Inputs!$F$148*Inputs!$F$143/1000*Time!V$9*Operations!V671</f>
        <v>0.0169455991855033</v>
      </c>
      <c r="W694" s="20" t="n">
        <f aca="false">Inputs!$F$243/100*Inputs!$F$148*Inputs!$F$143/1000*Time!W$9*Operations!W671</f>
        <v>0.0173692391651409</v>
      </c>
      <c r="X694" s="20" t="n">
        <f aca="false">Inputs!$F$243/100*Inputs!$F$148*Inputs!$F$143/1000*Time!X$9*Operations!X671</f>
        <v>0.0178034701442695</v>
      </c>
      <c r="Y694" s="20" t="n">
        <f aca="false">Inputs!$F$243/100*Inputs!$F$148*Inputs!$F$143/1000*Time!Y$9*Operations!Y671</f>
        <v>0.0182485568978762</v>
      </c>
      <c r="Z694" s="20" t="n">
        <f aca="false">Inputs!$F$243/100*Inputs!$F$148*Inputs!$F$143/1000*Time!Z$9*Operations!Z671</f>
        <v>0.0187047708203231</v>
      </c>
      <c r="AA694" s="20" t="n">
        <f aca="false">Inputs!$F$243/100*Inputs!$F$148*Inputs!$F$143/1000*Time!AA$9*Operations!AA671</f>
        <v>0.0191723900908312</v>
      </c>
      <c r="AB694" s="20" t="n">
        <f aca="false">Inputs!$F$243/100*Inputs!$F$148*Inputs!$F$143/1000*Time!AB$9*Operations!AB671</f>
        <v>0.0196516998431019</v>
      </c>
      <c r="AC694" s="20" t="n">
        <f aca="false">Inputs!$F$243/100*Inputs!$F$148*Inputs!$F$143/1000*Time!AC$9*Operations!AC671</f>
        <v>0.0201429923391795</v>
      </c>
      <c r="AD694" s="20" t="n">
        <f aca="false">Inputs!$F$243/100*Inputs!$F$148*Inputs!$F$143/1000*Time!AD$9*Operations!AD671</f>
        <v>0.020646567147659</v>
      </c>
      <c r="AE694" s="20" t="n">
        <f aca="false">Inputs!$F$243/100*Inputs!$F$148*Inputs!$F$143/1000*Time!AE$9*Operations!AE671</f>
        <v>0.0122917781950309</v>
      </c>
      <c r="AF694" s="20" t="n">
        <f aca="false">Inputs!$F$243/100*Inputs!$F$148*Inputs!$F$143/1000*Time!AF$9*Operations!AF671</f>
        <v>0</v>
      </c>
      <c r="AG694" s="20" t="n">
        <f aca="false">Inputs!$F$243/100*Inputs!$F$148*Inputs!$F$143/1000*Time!AG$9*Operations!AG671</f>
        <v>0</v>
      </c>
      <c r="AH694" s="20" t="n">
        <f aca="false">Inputs!$F$243/100*Inputs!$F$148*Inputs!$F$143/1000*Time!AH$9*Operations!AH671</f>
        <v>0</v>
      </c>
      <c r="AI694" s="20" t="n">
        <f aca="false">Inputs!$F$243/100*Inputs!$F$148*Inputs!$F$143/1000*Time!AI$9*Operations!AI671</f>
        <v>0</v>
      </c>
      <c r="AJ694" s="20" t="n">
        <f aca="false">Inputs!$F$243/100*Inputs!$F$148*Inputs!$F$143/1000*Time!AJ$9*Operations!AJ671</f>
        <v>0</v>
      </c>
      <c r="AK694" s="20" t="n">
        <f aca="false">Inputs!$F$243/100*Inputs!$F$148*Inputs!$F$143/1000*Time!AK$9*Operations!AK671</f>
        <v>0</v>
      </c>
      <c r="AL694" s="20" t="n">
        <f aca="false">Inputs!$F$243/100*Inputs!$F$148*Inputs!$F$143/1000*Time!AL$9*Operations!AL671</f>
        <v>0</v>
      </c>
      <c r="AM694" s="20" t="n">
        <f aca="false">Inputs!$F$243/100*Inputs!$F$148*Inputs!$F$143/1000*Time!AM$9*Operations!AM671</f>
        <v>0</v>
      </c>
      <c r="AN694" s="20" t="n">
        <f aca="false">Inputs!$F$243/100*Inputs!$F$148*Inputs!$F$143/1000*Time!AN$9*Operations!AN671</f>
        <v>0</v>
      </c>
      <c r="AO694" s="20" t="n">
        <f aca="false">Inputs!$F$243/100*Inputs!$F$148*Inputs!$F$143/1000*Time!AO$9*Operations!AO671</f>
        <v>0</v>
      </c>
      <c r="AP694" s="20" t="n">
        <f aca="false">Inputs!$F$243/100*Inputs!$F$148*Inputs!$F$143/1000*Time!AP$9*Operations!AP671</f>
        <v>0</v>
      </c>
      <c r="AQ694" s="20" t="n">
        <f aca="false">Inputs!$F$243/100*Inputs!$F$148*Inputs!$F$143/1000*Time!AQ$9*Operations!AQ671</f>
        <v>0</v>
      </c>
      <c r="AR694" s="20" t="n">
        <f aca="false">Inputs!$F$243/100*Inputs!$F$148*Inputs!$F$143/1000*Time!AR$9*Operations!AR671</f>
        <v>0</v>
      </c>
      <c r="AS694" s="20" t="n">
        <f aca="false">Inputs!$F$243/100*Inputs!$F$148*Inputs!$F$143/1000*Time!AS$9*Operations!AS671</f>
        <v>0</v>
      </c>
      <c r="AT694" s="20" t="n">
        <f aca="false">Inputs!$F$243/100*Inputs!$F$148*Inputs!$F$143/1000*Time!AT$9*Operations!AT671</f>
        <v>0</v>
      </c>
      <c r="AU694" s="20" t="n">
        <f aca="false">Inputs!$F$243/100*Inputs!$F$148*Inputs!$F$143/1000*Time!AU$9*Operations!AU671</f>
        <v>0</v>
      </c>
    </row>
    <row r="695" customFormat="false" ht="15" hidden="false" customHeight="false" outlineLevel="0" collapsed="false">
      <c r="D695" s="0" t="s">
        <v>695</v>
      </c>
      <c r="E695" s="0" t="s">
        <v>47</v>
      </c>
      <c r="J695" s="20" t="n">
        <f aca="false">Inputs!$F$244/100*Inputs!$F$245/100*Operations!J690</f>
        <v>0</v>
      </c>
      <c r="K695" s="20" t="n">
        <f aca="false">Inputs!$F$244/100*Inputs!$F$245/100*Operations!K690</f>
        <v>0.0268483561643836</v>
      </c>
      <c r="L695" s="20" t="n">
        <f aca="false">Inputs!$F$244/100*Inputs!$F$245/100*Operations!L690</f>
        <v>0.057645</v>
      </c>
      <c r="M695" s="20" t="n">
        <f aca="false">Inputs!$F$244/100*Inputs!$F$245/100*Operations!M690</f>
        <v>0.057645</v>
      </c>
      <c r="N695" s="20" t="n">
        <f aca="false">Inputs!$F$244/100*Inputs!$F$245/100*Operations!N690</f>
        <v>0.057645</v>
      </c>
      <c r="O695" s="20" t="n">
        <f aca="false">Inputs!$F$244/100*Inputs!$F$245/100*Operations!O690</f>
        <v>0.057645</v>
      </c>
      <c r="P695" s="20" t="n">
        <f aca="false">Inputs!$F$244/100*Inputs!$F$245/100*Operations!P690</f>
        <v>0.057645</v>
      </c>
      <c r="Q695" s="20" t="n">
        <f aca="false">Inputs!$F$244/100*Inputs!$F$245/100*Operations!Q690</f>
        <v>0.057645</v>
      </c>
      <c r="R695" s="20" t="n">
        <f aca="false">Inputs!$F$244/100*Inputs!$F$245/100*Operations!R690</f>
        <v>0.045375032619863</v>
      </c>
      <c r="S695" s="20" t="n">
        <f aca="false">Inputs!$F$244/100*Inputs!$F$245/100*Operations!S690</f>
        <v>0.03192564375</v>
      </c>
      <c r="T695" s="20" t="n">
        <f aca="false">Inputs!$F$244/100*Inputs!$F$245/100*Operations!T690</f>
        <v>0.03240680625</v>
      </c>
      <c r="U695" s="20" t="n">
        <f aca="false">Inputs!$F$244/100*Inputs!$F$245/100*Operations!U690</f>
        <v>0.0328930875</v>
      </c>
      <c r="V695" s="20" t="n">
        <f aca="false">Inputs!$F$244/100*Inputs!$F$245/100*Operations!V690</f>
        <v>0.0333844875</v>
      </c>
      <c r="W695" s="20" t="n">
        <f aca="false">Inputs!$F$244/100*Inputs!$F$245/100*Operations!W690</f>
        <v>0.033886125</v>
      </c>
      <c r="X695" s="20" t="n">
        <f aca="false">Inputs!$F$244/100*Inputs!$F$245/100*Operations!X690</f>
        <v>0.0339855470408065</v>
      </c>
      <c r="Y695" s="20" t="n">
        <f aca="false">Inputs!$F$244/100*Inputs!$F$245/100*Operations!Y690</f>
        <v>0.034055993804024</v>
      </c>
      <c r="Z695" s="20" t="n">
        <f aca="false">Inputs!$F$244/100*Inputs!$F$245/100*Operations!Z690</f>
        <v>0.034124251085738</v>
      </c>
      <c r="AA695" s="20" t="n">
        <f aca="false">Inputs!$F$244/100*Inputs!$F$245/100*Operations!AA690</f>
        <v>0.0341945915710839</v>
      </c>
      <c r="AB695" s="20" t="n">
        <f aca="false">Inputs!$F$244/100*Inputs!$F$245/100*Operations!AB690</f>
        <v>0.0342560251200976</v>
      </c>
      <c r="AC695" s="20" t="n">
        <f aca="false">Inputs!$F$244/100*Inputs!$F$245/100*Operations!AC690</f>
        <v>0.0343137460453459</v>
      </c>
      <c r="AD695" s="20" t="n">
        <f aca="false">Inputs!$F$244/100*Inputs!$F$245/100*Operations!AD690</f>
        <v>0.0343736065421815</v>
      </c>
      <c r="AE695" s="20" t="n">
        <f aca="false">Inputs!$F$244/100*Inputs!$F$245/100*Operations!AE690</f>
        <v>0.0199978178753174</v>
      </c>
      <c r="AF695" s="20" t="n">
        <f aca="false">Inputs!$F$244/100*Inputs!$F$245/100*Operations!AF690</f>
        <v>0</v>
      </c>
      <c r="AG695" s="20" t="n">
        <f aca="false">Inputs!$F$244/100*Inputs!$F$245/100*Operations!AG690</f>
        <v>0</v>
      </c>
      <c r="AH695" s="20" t="n">
        <f aca="false">Inputs!$F$244/100*Inputs!$F$245/100*Operations!AH690</f>
        <v>0</v>
      </c>
      <c r="AI695" s="20" t="n">
        <f aca="false">Inputs!$F$244/100*Inputs!$F$245/100*Operations!AI690</f>
        <v>0</v>
      </c>
      <c r="AJ695" s="20" t="n">
        <f aca="false">Inputs!$F$244/100*Inputs!$F$245/100*Operations!AJ690</f>
        <v>0</v>
      </c>
      <c r="AK695" s="20" t="n">
        <f aca="false">Inputs!$F$244/100*Inputs!$F$245/100*Operations!AK690</f>
        <v>0</v>
      </c>
      <c r="AL695" s="20" t="n">
        <f aca="false">Inputs!$F$244/100*Inputs!$F$245/100*Operations!AL690</f>
        <v>0</v>
      </c>
      <c r="AM695" s="20" t="n">
        <f aca="false">Inputs!$F$244/100*Inputs!$F$245/100*Operations!AM690</f>
        <v>0</v>
      </c>
      <c r="AN695" s="20" t="n">
        <f aca="false">Inputs!$F$244/100*Inputs!$F$245/100*Operations!AN690</f>
        <v>0</v>
      </c>
      <c r="AO695" s="20" t="n">
        <f aca="false">Inputs!$F$244/100*Inputs!$F$245/100*Operations!AO690</f>
        <v>0</v>
      </c>
      <c r="AP695" s="20" t="n">
        <f aca="false">Inputs!$F$244/100*Inputs!$F$245/100*Operations!AP690</f>
        <v>0</v>
      </c>
      <c r="AQ695" s="20" t="n">
        <f aca="false">Inputs!$F$244/100*Inputs!$F$245/100*Operations!AQ690</f>
        <v>0</v>
      </c>
      <c r="AR695" s="20" t="n">
        <f aca="false">Inputs!$F$244/100*Inputs!$F$245/100*Operations!AR690</f>
        <v>0</v>
      </c>
      <c r="AS695" s="20" t="n">
        <f aca="false">Inputs!$F$244/100*Inputs!$F$245/100*Operations!AS690</f>
        <v>0</v>
      </c>
      <c r="AT695" s="20" t="n">
        <f aca="false">Inputs!$F$244/100*Inputs!$F$245/100*Operations!AT690</f>
        <v>0</v>
      </c>
      <c r="AU695" s="20" t="n">
        <f aca="false">Inputs!$F$244/100*Inputs!$F$245/100*Operations!AU690</f>
        <v>0</v>
      </c>
    </row>
    <row r="696" customFormat="false" ht="15" hidden="false" customHeight="false" outlineLevel="0" collapsed="false">
      <c r="D696" s="0" t="s">
        <v>696</v>
      </c>
      <c r="E696" s="0" t="s">
        <v>47</v>
      </c>
      <c r="G696" s="20" t="n">
        <f aca="false">SUM(J696:AU696)</f>
        <v>119.04852698477</v>
      </c>
      <c r="J696" s="20" t="n">
        <f aca="false">Operations!J690-Operations!J692-Operations!J693-Operations!J694-Operations!J695</f>
        <v>0</v>
      </c>
      <c r="K696" s="20" t="n">
        <f aca="false">Operations!K690-Operations!K692-Operations!K693-Operations!K694-Operations!K695</f>
        <v>4.36110804109589</v>
      </c>
      <c r="L696" s="20" t="n">
        <f aca="false">Operations!L690-Operations!L692-Operations!L693-Operations!L694-Operations!L695</f>
        <v>9.3245855125</v>
      </c>
      <c r="M696" s="20" t="n">
        <f aca="false">Operations!M690-Operations!M692-Operations!M693-Operations!M694-Operations!M695</f>
        <v>9.2846412753125</v>
      </c>
      <c r="N696" s="20" t="n">
        <f aca="false">Operations!N690-Operations!N692-Operations!N693-Operations!N694-Operations!N695</f>
        <v>9.24369843219531</v>
      </c>
      <c r="O696" s="20" t="n">
        <f aca="false">Operations!O690-Operations!O692-Operations!O693-Operations!O694-Operations!O695</f>
        <v>9.2017320180002</v>
      </c>
      <c r="P696" s="20" t="n">
        <f aca="false">Operations!P690-Operations!P692-Operations!P693-Operations!P694-Operations!P695</f>
        <v>9.1587164434502</v>
      </c>
      <c r="Q696" s="20" t="n">
        <f aca="false">Operations!Q690-Operations!Q692-Operations!Q693-Operations!Q694-Operations!Q695</f>
        <v>9.11462547953646</v>
      </c>
      <c r="R696" s="20" t="n">
        <f aca="false">Operations!R690-Operations!R692-Operations!R693-Operations!R694-Operations!R695</f>
        <v>6.74456556506939</v>
      </c>
      <c r="S696" s="20" t="n">
        <f aca="false">Operations!S690-Operations!S692-Operations!S693-Operations!S694-Operations!S695</f>
        <v>4.14990352881299</v>
      </c>
      <c r="T696" s="20" t="n">
        <f aca="false">Operations!T690-Operations!T692-Operations!T693-Operations!T694-Operations!T695</f>
        <v>4.19359122062707</v>
      </c>
      <c r="U696" s="20" t="n">
        <f aca="false">Operations!U690-Operations!U692-Operations!U693-Operations!U694-Operations!U695</f>
        <v>4.23706176504899</v>
      </c>
      <c r="V696" s="20" t="n">
        <f aca="false">Operations!V690-Operations!V692-Operations!V693-Operations!V694-Operations!V695</f>
        <v>4.28028548636272</v>
      </c>
      <c r="W696" s="20" t="n">
        <f aca="false">Operations!W690-Operations!W692-Operations!W693-Operations!W694-Operations!W695</f>
        <v>4.32420184820929</v>
      </c>
      <c r="X696" s="20" t="n">
        <f aca="false">Operations!X690-Operations!X692-Operations!X693-Operations!X694-Operations!X695</f>
        <v>4.2906296570809</v>
      </c>
      <c r="Y696" s="20" t="n">
        <f aca="false">Operations!Y690-Operations!Y692-Operations!Y693-Operations!Y694-Operations!Y695</f>
        <v>4.25025708322022</v>
      </c>
      <c r="Z696" s="20" t="n">
        <f aca="false">Operations!Z690-Operations!Z692-Operations!Z693-Operations!Z694-Operations!Z695</f>
        <v>4.20812664079048</v>
      </c>
      <c r="AA696" s="20" t="n">
        <f aca="false">Operations!AA690-Operations!AA692-Operations!AA693-Operations!AA694-Operations!AA695</f>
        <v>4.16501432654536</v>
      </c>
      <c r="AB696" s="20" t="n">
        <f aca="false">Operations!AB690-Operations!AB692-Operations!AB693-Operations!AB694-Operations!AB695</f>
        <v>4.11880335589908</v>
      </c>
      <c r="AC696" s="20" t="n">
        <f aca="false">Operations!AC690-Operations!AC692-Operations!AC693-Operations!AC694-Operations!AC695</f>
        <v>4.07044265230805</v>
      </c>
      <c r="AD696" s="20" t="n">
        <f aca="false">Operations!AD690-Operations!AD692-Operations!AD693-Operations!AD694-Operations!AD695</f>
        <v>4.02100491047519</v>
      </c>
      <c r="AE696" s="20" t="n">
        <f aca="false">Operations!AE690-Operations!AE692-Operations!AE693-Operations!AE694-Operations!AE695</f>
        <v>2.30553174222964</v>
      </c>
      <c r="AF696" s="20" t="n">
        <f aca="false">Operations!AF690-Operations!AF692-Operations!AF693-Operations!AF694-Operations!AF695</f>
        <v>0</v>
      </c>
      <c r="AG696" s="20" t="n">
        <f aca="false">Operations!AG690-Operations!AG692-Operations!AG693-Operations!AG694-Operations!AG695</f>
        <v>0</v>
      </c>
      <c r="AH696" s="20" t="n">
        <f aca="false">Operations!AH690-Operations!AH692-Operations!AH693-Operations!AH694-Operations!AH695</f>
        <v>0</v>
      </c>
      <c r="AI696" s="20" t="n">
        <f aca="false">Operations!AI690-Operations!AI692-Operations!AI693-Operations!AI694-Operations!AI695</f>
        <v>0</v>
      </c>
      <c r="AJ696" s="20" t="n">
        <f aca="false">Operations!AJ690-Operations!AJ692-Operations!AJ693-Operations!AJ694-Operations!AJ695</f>
        <v>0</v>
      </c>
      <c r="AK696" s="20" t="n">
        <f aca="false">Operations!AK690-Operations!AK692-Operations!AK693-Operations!AK694-Operations!AK695</f>
        <v>0</v>
      </c>
      <c r="AL696" s="20" t="n">
        <f aca="false">Operations!AL690-Operations!AL692-Operations!AL693-Operations!AL694-Operations!AL695</f>
        <v>0</v>
      </c>
      <c r="AM696" s="20" t="n">
        <f aca="false">Operations!AM690-Operations!AM692-Operations!AM693-Operations!AM694-Operations!AM695</f>
        <v>0</v>
      </c>
      <c r="AN696" s="20" t="n">
        <f aca="false">Operations!AN690-Operations!AN692-Operations!AN693-Operations!AN694-Operations!AN695</f>
        <v>0</v>
      </c>
      <c r="AO696" s="20" t="n">
        <f aca="false">Operations!AO690-Operations!AO692-Operations!AO693-Operations!AO694-Operations!AO695</f>
        <v>0</v>
      </c>
      <c r="AP696" s="20" t="n">
        <f aca="false">Operations!AP690-Operations!AP692-Operations!AP693-Operations!AP694-Operations!AP695</f>
        <v>0</v>
      </c>
      <c r="AQ696" s="20" t="n">
        <f aca="false">Operations!AQ690-Operations!AQ692-Operations!AQ693-Operations!AQ694-Operations!AQ695</f>
        <v>0</v>
      </c>
      <c r="AR696" s="20" t="n">
        <f aca="false">Operations!AR690-Operations!AR692-Operations!AR693-Operations!AR694-Operations!AR695</f>
        <v>0</v>
      </c>
      <c r="AS696" s="20" t="n">
        <f aca="false">Operations!AS690-Operations!AS692-Operations!AS693-Operations!AS694-Operations!AS695</f>
        <v>0</v>
      </c>
      <c r="AT696" s="20" t="n">
        <f aca="false">Operations!AT690-Operations!AT692-Operations!AT693-Operations!AT694-Operations!AT695</f>
        <v>0</v>
      </c>
      <c r="AU696" s="20" t="n">
        <f aca="false">Operations!AU690-Operations!AU692-Operations!AU693-Operations!AU694-Operations!AU695</f>
        <v>0</v>
      </c>
    </row>
    <row r="697" customFormat="false" ht="15" hidden="false" customHeight="false" outlineLevel="0" collapsed="false">
      <c r="D697" s="0" t="s">
        <v>697</v>
      </c>
      <c r="E697" s="0" t="s">
        <v>47</v>
      </c>
      <c r="J697" s="20" t="n">
        <f aca="false">IF(OR(Time!J$4=YEAR(Inputs!$F$144)+Inputs!$F$151,Time!J$4=YEAR(Inputs!$F$144)+Inputs!$F$152),Inputs!$F$153/100*Inputs!$F$149*Inputs!$F$154/1000*(1+Inputs!$F$194/100)^(Time!J$4-Inputs!$F$193),0)</f>
        <v>0</v>
      </c>
      <c r="K697" s="20" t="n">
        <f aca="false">IF(OR(Time!K$4=YEAR(Inputs!$F$144)+Inputs!$F$151,Time!K$4=YEAR(Inputs!$F$144)+Inputs!$F$152),Inputs!$F$153/100*Inputs!$F$149*Inputs!$F$154/1000*(1+Inputs!$F$194/100)^(Time!K$4-Inputs!$F$193),0)</f>
        <v>0</v>
      </c>
      <c r="L697" s="20" t="n">
        <f aca="false">IF(OR(Time!L$4=YEAR(Inputs!$F$144)+Inputs!$F$151,Time!L$4=YEAR(Inputs!$F$144)+Inputs!$F$152),Inputs!$F$153/100*Inputs!$F$149*Inputs!$F$154/1000*(1+Inputs!$F$194/100)^(Time!L$4-Inputs!$F$193),0)</f>
        <v>0</v>
      </c>
      <c r="M697" s="20" t="n">
        <f aca="false">IF(OR(Time!M$4=YEAR(Inputs!$F$144)+Inputs!$F$151,Time!M$4=YEAR(Inputs!$F$144)+Inputs!$F$152),Inputs!$F$153/100*Inputs!$F$149*Inputs!$F$154/1000*(1+Inputs!$F$194/100)^(Time!M$4-Inputs!$F$193),0)</f>
        <v>0</v>
      </c>
      <c r="N697" s="20" t="n">
        <f aca="false">IF(OR(Time!N$4=YEAR(Inputs!$F$144)+Inputs!$F$151,Time!N$4=YEAR(Inputs!$F$144)+Inputs!$F$152),Inputs!$F$153/100*Inputs!$F$149*Inputs!$F$154/1000*(1+Inputs!$F$194/100)^(Time!N$4-Inputs!$F$193),0)</f>
        <v>0</v>
      </c>
      <c r="O697" s="20" t="n">
        <f aca="false">IF(OR(Time!O$4=YEAR(Inputs!$F$144)+Inputs!$F$151,Time!O$4=YEAR(Inputs!$F$144)+Inputs!$F$152),Inputs!$F$153/100*Inputs!$F$149*Inputs!$F$154/1000*(1+Inputs!$F$194/100)^(Time!O$4-Inputs!$F$193),0)</f>
        <v>0</v>
      </c>
      <c r="P697" s="20" t="n">
        <f aca="false">IF(OR(Time!P$4=YEAR(Inputs!$F$144)+Inputs!$F$151,Time!P$4=YEAR(Inputs!$F$144)+Inputs!$F$152),Inputs!$F$153/100*Inputs!$F$149*Inputs!$F$154/1000*(1+Inputs!$F$194/100)^(Time!P$4-Inputs!$F$193),0)</f>
        <v>0.5298301875</v>
      </c>
      <c r="Q697" s="20" t="n">
        <f aca="false">IF(OR(Time!Q$4=YEAR(Inputs!$F$144)+Inputs!$F$151,Time!Q$4=YEAR(Inputs!$F$144)+Inputs!$F$152),Inputs!$F$153/100*Inputs!$F$149*Inputs!$F$154/1000*(1+Inputs!$F$194/100)^(Time!Q$4-Inputs!$F$193),0)</f>
        <v>0</v>
      </c>
      <c r="R697" s="20" t="n">
        <f aca="false">IF(OR(Time!R$4=YEAR(Inputs!$F$144)+Inputs!$F$151,Time!R$4=YEAR(Inputs!$F$144)+Inputs!$F$152),Inputs!$F$153/100*Inputs!$F$149*Inputs!$F$154/1000*(1+Inputs!$F$194/100)^(Time!R$4-Inputs!$F$193),0)</f>
        <v>0</v>
      </c>
      <c r="S697" s="20" t="n">
        <f aca="false">IF(OR(Time!S$4=YEAR(Inputs!$F$144)+Inputs!$F$151,Time!S$4=YEAR(Inputs!$F$144)+Inputs!$F$152),Inputs!$F$153/100*Inputs!$F$149*Inputs!$F$154/1000*(1+Inputs!$F$194/100)^(Time!S$4-Inputs!$F$193),0)</f>
        <v>0</v>
      </c>
      <c r="T697" s="20" t="n">
        <f aca="false">IF(OR(Time!T$4=YEAR(Inputs!$F$144)+Inputs!$F$151,Time!T$4=YEAR(Inputs!$F$144)+Inputs!$F$152),Inputs!$F$153/100*Inputs!$F$149*Inputs!$F$154/1000*(1+Inputs!$F$194/100)^(Time!T$4-Inputs!$F$193),0)</f>
        <v>0.58483339080476</v>
      </c>
      <c r="U697" s="20" t="n">
        <f aca="false">IF(OR(Time!U$4=YEAR(Inputs!$F$144)+Inputs!$F$151,Time!U$4=YEAR(Inputs!$F$144)+Inputs!$F$152),Inputs!$F$153/100*Inputs!$F$149*Inputs!$F$154/1000*(1+Inputs!$F$194/100)^(Time!U$4-Inputs!$F$193),0)</f>
        <v>0</v>
      </c>
      <c r="V697" s="20" t="n">
        <f aca="false">IF(OR(Time!V$4=YEAR(Inputs!$F$144)+Inputs!$F$151,Time!V$4=YEAR(Inputs!$F$144)+Inputs!$F$152),Inputs!$F$153/100*Inputs!$F$149*Inputs!$F$154/1000*(1+Inputs!$F$194/100)^(Time!V$4-Inputs!$F$193),0)</f>
        <v>0</v>
      </c>
      <c r="W697" s="20" t="n">
        <f aca="false">IF(OR(Time!W$4=YEAR(Inputs!$F$144)+Inputs!$F$151,Time!W$4=YEAR(Inputs!$F$144)+Inputs!$F$152),Inputs!$F$153/100*Inputs!$F$149*Inputs!$F$154/1000*(1+Inputs!$F$194/100)^(Time!W$4-Inputs!$F$193),0)</f>
        <v>0</v>
      </c>
      <c r="X697" s="20" t="n">
        <f aca="false">IF(OR(Time!X$4=YEAR(Inputs!$F$144)+Inputs!$F$151,Time!X$4=YEAR(Inputs!$F$144)+Inputs!$F$152),Inputs!$F$153/100*Inputs!$F$149*Inputs!$F$154/1000*(1+Inputs!$F$194/100)^(Time!X$4-Inputs!$F$193),0)</f>
        <v>0</v>
      </c>
      <c r="Y697" s="20" t="n">
        <f aca="false">IF(OR(Time!Y$4=YEAR(Inputs!$F$144)+Inputs!$F$151,Time!Y$4=YEAR(Inputs!$F$144)+Inputs!$F$152),Inputs!$F$153/100*Inputs!$F$149*Inputs!$F$154/1000*(1+Inputs!$F$194/100)^(Time!Y$4-Inputs!$F$193),0)</f>
        <v>0</v>
      </c>
      <c r="Z697" s="20" t="n">
        <f aca="false">IF(OR(Time!Z$4=YEAR(Inputs!$F$144)+Inputs!$F$151,Time!Z$4=YEAR(Inputs!$F$144)+Inputs!$F$152),Inputs!$F$153/100*Inputs!$F$149*Inputs!$F$154/1000*(1+Inputs!$F$194/100)^(Time!Z$4-Inputs!$F$193),0)</f>
        <v>0</v>
      </c>
      <c r="AA697" s="20" t="n">
        <f aca="false">IF(OR(Time!AA$4=YEAR(Inputs!$F$144)+Inputs!$F$151,Time!AA$4=YEAR(Inputs!$F$144)+Inputs!$F$152),Inputs!$F$153/100*Inputs!$F$149*Inputs!$F$154/1000*(1+Inputs!$F$194/100)^(Time!AA$4-Inputs!$F$193),0)</f>
        <v>0</v>
      </c>
      <c r="AB697" s="20" t="n">
        <f aca="false">IF(OR(Time!AB$4=YEAR(Inputs!$F$144)+Inputs!$F$151,Time!AB$4=YEAR(Inputs!$F$144)+Inputs!$F$152),Inputs!$F$153/100*Inputs!$F$149*Inputs!$F$154/1000*(1+Inputs!$F$194/100)^(Time!AB$4-Inputs!$F$193),0)</f>
        <v>0</v>
      </c>
      <c r="AC697" s="20" t="n">
        <f aca="false">IF(OR(Time!AC$4=YEAR(Inputs!$F$144)+Inputs!$F$151,Time!AC$4=YEAR(Inputs!$F$144)+Inputs!$F$152),Inputs!$F$153/100*Inputs!$F$149*Inputs!$F$154/1000*(1+Inputs!$F$194/100)^(Time!AC$4-Inputs!$F$193),0)</f>
        <v>0</v>
      </c>
      <c r="AD697" s="20" t="n">
        <f aca="false">IF(OR(Time!AD$4=YEAR(Inputs!$F$144)+Inputs!$F$151,Time!AD$4=YEAR(Inputs!$F$144)+Inputs!$F$152),Inputs!$F$153/100*Inputs!$F$149*Inputs!$F$154/1000*(1+Inputs!$F$194/100)^(Time!AD$4-Inputs!$F$193),0)</f>
        <v>0</v>
      </c>
      <c r="AE697" s="20" t="n">
        <f aca="false">IF(OR(Time!AE$4=YEAR(Inputs!$F$144)+Inputs!$F$151,Time!AE$4=YEAR(Inputs!$F$144)+Inputs!$F$152),Inputs!$F$153/100*Inputs!$F$149*Inputs!$F$154/1000*(1+Inputs!$F$194/100)^(Time!AE$4-Inputs!$F$193),0)</f>
        <v>0</v>
      </c>
      <c r="AF697" s="20" t="n">
        <f aca="false">IF(OR(Time!AF$4=YEAR(Inputs!$F$144)+Inputs!$F$151,Time!AF$4=YEAR(Inputs!$F$144)+Inputs!$F$152),Inputs!$F$153/100*Inputs!$F$149*Inputs!$F$154/1000*(1+Inputs!$F$194/100)^(Time!AF$4-Inputs!$F$193),0)</f>
        <v>0</v>
      </c>
      <c r="AG697" s="20" t="n">
        <f aca="false">IF(OR(Time!AG$4=YEAR(Inputs!$F$144)+Inputs!$F$151,Time!AG$4=YEAR(Inputs!$F$144)+Inputs!$F$152),Inputs!$F$153/100*Inputs!$F$149*Inputs!$F$154/1000*(1+Inputs!$F$194/100)^(Time!AG$4-Inputs!$F$193),0)</f>
        <v>0</v>
      </c>
      <c r="AH697" s="20" t="n">
        <f aca="false">IF(OR(Time!AH$4=YEAR(Inputs!$F$144)+Inputs!$F$151,Time!AH$4=YEAR(Inputs!$F$144)+Inputs!$F$152),Inputs!$F$153/100*Inputs!$F$149*Inputs!$F$154/1000*(1+Inputs!$F$194/100)^(Time!AH$4-Inputs!$F$193),0)</f>
        <v>0</v>
      </c>
      <c r="AI697" s="20" t="n">
        <f aca="false">IF(OR(Time!AI$4=YEAR(Inputs!$F$144)+Inputs!$F$151,Time!AI$4=YEAR(Inputs!$F$144)+Inputs!$F$152),Inputs!$F$153/100*Inputs!$F$149*Inputs!$F$154/1000*(1+Inputs!$F$194/100)^(Time!AI$4-Inputs!$F$193),0)</f>
        <v>0</v>
      </c>
      <c r="AJ697" s="20" t="n">
        <f aca="false">IF(OR(Time!AJ$4=YEAR(Inputs!$F$144)+Inputs!$F$151,Time!AJ$4=YEAR(Inputs!$F$144)+Inputs!$F$152),Inputs!$F$153/100*Inputs!$F$149*Inputs!$F$154/1000*(1+Inputs!$F$194/100)^(Time!AJ$4-Inputs!$F$193),0)</f>
        <v>0</v>
      </c>
      <c r="AK697" s="20" t="n">
        <f aca="false">IF(OR(Time!AK$4=YEAR(Inputs!$F$144)+Inputs!$F$151,Time!AK$4=YEAR(Inputs!$F$144)+Inputs!$F$152),Inputs!$F$153/100*Inputs!$F$149*Inputs!$F$154/1000*(1+Inputs!$F$194/100)^(Time!AK$4-Inputs!$F$193),0)</f>
        <v>0</v>
      </c>
      <c r="AL697" s="20" t="n">
        <f aca="false">IF(OR(Time!AL$4=YEAR(Inputs!$F$144)+Inputs!$F$151,Time!AL$4=YEAR(Inputs!$F$144)+Inputs!$F$152),Inputs!$F$153/100*Inputs!$F$149*Inputs!$F$154/1000*(1+Inputs!$F$194/100)^(Time!AL$4-Inputs!$F$193),0)</f>
        <v>0</v>
      </c>
      <c r="AM697" s="20" t="n">
        <f aca="false">IF(OR(Time!AM$4=YEAR(Inputs!$F$144)+Inputs!$F$151,Time!AM$4=YEAR(Inputs!$F$144)+Inputs!$F$152),Inputs!$F$153/100*Inputs!$F$149*Inputs!$F$154/1000*(1+Inputs!$F$194/100)^(Time!AM$4-Inputs!$F$193),0)</f>
        <v>0</v>
      </c>
      <c r="AN697" s="20" t="n">
        <f aca="false">IF(OR(Time!AN$4=YEAR(Inputs!$F$144)+Inputs!$F$151,Time!AN$4=YEAR(Inputs!$F$144)+Inputs!$F$152),Inputs!$F$153/100*Inputs!$F$149*Inputs!$F$154/1000*(1+Inputs!$F$194/100)^(Time!AN$4-Inputs!$F$193),0)</f>
        <v>0</v>
      </c>
      <c r="AO697" s="20" t="n">
        <f aca="false">IF(OR(Time!AO$4=YEAR(Inputs!$F$144)+Inputs!$F$151,Time!AO$4=YEAR(Inputs!$F$144)+Inputs!$F$152),Inputs!$F$153/100*Inputs!$F$149*Inputs!$F$154/1000*(1+Inputs!$F$194/100)^(Time!AO$4-Inputs!$F$193),0)</f>
        <v>0</v>
      </c>
      <c r="AP697" s="20" t="n">
        <f aca="false">IF(OR(Time!AP$4=YEAR(Inputs!$F$144)+Inputs!$F$151,Time!AP$4=YEAR(Inputs!$F$144)+Inputs!$F$152),Inputs!$F$153/100*Inputs!$F$149*Inputs!$F$154/1000*(1+Inputs!$F$194/100)^(Time!AP$4-Inputs!$F$193),0)</f>
        <v>0</v>
      </c>
      <c r="AQ697" s="20" t="n">
        <f aca="false">IF(OR(Time!AQ$4=YEAR(Inputs!$F$144)+Inputs!$F$151,Time!AQ$4=YEAR(Inputs!$F$144)+Inputs!$F$152),Inputs!$F$153/100*Inputs!$F$149*Inputs!$F$154/1000*(1+Inputs!$F$194/100)^(Time!AQ$4-Inputs!$F$193),0)</f>
        <v>0</v>
      </c>
      <c r="AR697" s="20" t="n">
        <f aca="false">IF(OR(Time!AR$4=YEAR(Inputs!$F$144)+Inputs!$F$151,Time!AR$4=YEAR(Inputs!$F$144)+Inputs!$F$152),Inputs!$F$153/100*Inputs!$F$149*Inputs!$F$154/1000*(1+Inputs!$F$194/100)^(Time!AR$4-Inputs!$F$193),0)</f>
        <v>0</v>
      </c>
      <c r="AS697" s="20" t="n">
        <f aca="false">IF(OR(Time!AS$4=YEAR(Inputs!$F$144)+Inputs!$F$151,Time!AS$4=YEAR(Inputs!$F$144)+Inputs!$F$152),Inputs!$F$153/100*Inputs!$F$149*Inputs!$F$154/1000*(1+Inputs!$F$194/100)^(Time!AS$4-Inputs!$F$193),0)</f>
        <v>0</v>
      </c>
      <c r="AT697" s="20" t="n">
        <f aca="false">IF(OR(Time!AT$4=YEAR(Inputs!$F$144)+Inputs!$F$151,Time!AT$4=YEAR(Inputs!$F$144)+Inputs!$F$152),Inputs!$F$153/100*Inputs!$F$149*Inputs!$F$154/1000*(1+Inputs!$F$194/100)^(Time!AT$4-Inputs!$F$193),0)</f>
        <v>0</v>
      </c>
      <c r="AU697" s="20" t="n">
        <f aca="false">IF(OR(Time!AU$4=YEAR(Inputs!$F$144)+Inputs!$F$151,Time!AU$4=YEAR(Inputs!$F$144)+Inputs!$F$152),Inputs!$F$153/100*Inputs!$F$149*Inputs!$F$154/1000*(1+Inputs!$F$194/100)^(Time!AU$4-Inputs!$F$193),0)</f>
        <v>0</v>
      </c>
    </row>
    <row r="698" customFormat="false" ht="15" hidden="false" customHeight="false" outlineLevel="0" collapsed="false">
      <c r="D698" s="0" t="s">
        <v>698</v>
      </c>
      <c r="E698" s="0" t="s">
        <v>47</v>
      </c>
      <c r="J698" s="20" t="n">
        <f aca="false">IF(Time!J$4=YEAR(Inputs!$F$145),Inputs!$F$148*Inputs!$F$143/1000*Time!J$9,0)</f>
        <v>0</v>
      </c>
      <c r="K698" s="20" t="n">
        <f aca="false">IF(Time!K$4=YEAR(Inputs!$F$145),Inputs!$F$148*Inputs!$F$143/1000*Time!K$9,0)</f>
        <v>0</v>
      </c>
      <c r="L698" s="20" t="n">
        <f aca="false">IF(Time!L$4=YEAR(Inputs!$F$145),Inputs!$F$148*Inputs!$F$143/1000*Time!L$9,0)</f>
        <v>0</v>
      </c>
      <c r="M698" s="20" t="n">
        <f aca="false">IF(Time!M$4=YEAR(Inputs!$F$145),Inputs!$F$148*Inputs!$F$143/1000*Time!M$9,0)</f>
        <v>0</v>
      </c>
      <c r="N698" s="20" t="n">
        <f aca="false">IF(Time!N$4=YEAR(Inputs!$F$145),Inputs!$F$148*Inputs!$F$143/1000*Time!N$9,0)</f>
        <v>0</v>
      </c>
      <c r="O698" s="20" t="n">
        <f aca="false">IF(Time!O$4=YEAR(Inputs!$F$145),Inputs!$F$148*Inputs!$F$143/1000*Time!O$9,0)</f>
        <v>0</v>
      </c>
      <c r="P698" s="20" t="n">
        <f aca="false">IF(Time!P$4=YEAR(Inputs!$F$145),Inputs!$F$148*Inputs!$F$143/1000*Time!P$9,0)</f>
        <v>0</v>
      </c>
      <c r="Q698" s="20" t="n">
        <f aca="false">IF(Time!Q$4=YEAR(Inputs!$F$145),Inputs!$F$148*Inputs!$F$143/1000*Time!Q$9,0)</f>
        <v>0</v>
      </c>
      <c r="R698" s="20" t="n">
        <f aca="false">IF(Time!R$4=YEAR(Inputs!$F$145),Inputs!$F$148*Inputs!$F$143/1000*Time!R$9,0)</f>
        <v>0</v>
      </c>
      <c r="S698" s="20" t="n">
        <f aca="false">IF(Time!S$4=YEAR(Inputs!$F$145),Inputs!$F$148*Inputs!$F$143/1000*Time!S$9,0)</f>
        <v>0</v>
      </c>
      <c r="T698" s="20" t="n">
        <f aca="false">IF(Time!T$4=YEAR(Inputs!$F$145),Inputs!$F$148*Inputs!$F$143/1000*Time!T$9,0)</f>
        <v>0</v>
      </c>
      <c r="U698" s="20" t="n">
        <f aca="false">IF(Time!U$4=YEAR(Inputs!$F$145),Inputs!$F$148*Inputs!$F$143/1000*Time!U$9,0)</f>
        <v>0</v>
      </c>
      <c r="V698" s="20" t="n">
        <f aca="false">IF(Time!V$4=YEAR(Inputs!$F$145),Inputs!$F$148*Inputs!$F$143/1000*Time!V$9,0)</f>
        <v>0</v>
      </c>
      <c r="W698" s="20" t="n">
        <f aca="false">IF(Time!W$4=YEAR(Inputs!$F$145),Inputs!$F$148*Inputs!$F$143/1000*Time!W$9,0)</f>
        <v>0</v>
      </c>
      <c r="X698" s="20" t="n">
        <f aca="false">IF(Time!X$4=YEAR(Inputs!$F$145),Inputs!$F$148*Inputs!$F$143/1000*Time!X$9,0)</f>
        <v>0</v>
      </c>
      <c r="Y698" s="20" t="n">
        <f aca="false">IF(Time!Y$4=YEAR(Inputs!$F$145),Inputs!$F$148*Inputs!$F$143/1000*Time!Y$9,0)</f>
        <v>0</v>
      </c>
      <c r="Z698" s="20" t="n">
        <f aca="false">IF(Time!Z$4=YEAR(Inputs!$F$145),Inputs!$F$148*Inputs!$F$143/1000*Time!Z$9,0)</f>
        <v>0</v>
      </c>
      <c r="AA698" s="20" t="n">
        <f aca="false">IF(Time!AA$4=YEAR(Inputs!$F$145),Inputs!$F$148*Inputs!$F$143/1000*Time!AA$9,0)</f>
        <v>0</v>
      </c>
      <c r="AB698" s="20" t="n">
        <f aca="false">IF(Time!AB$4=YEAR(Inputs!$F$145),Inputs!$F$148*Inputs!$F$143/1000*Time!AB$9,0)</f>
        <v>0</v>
      </c>
      <c r="AC698" s="20" t="n">
        <f aca="false">IF(Time!AC$4=YEAR(Inputs!$F$145),Inputs!$F$148*Inputs!$F$143/1000*Time!AC$9,0)</f>
        <v>0</v>
      </c>
      <c r="AD698" s="20" t="n">
        <f aca="false">IF(Time!AD$4=YEAR(Inputs!$F$145),Inputs!$F$148*Inputs!$F$143/1000*Time!AD$9,0)</f>
        <v>0</v>
      </c>
      <c r="AE698" s="20" t="n">
        <f aca="false">IF(Time!AE$4=YEAR(Inputs!$F$145),Inputs!$F$148*Inputs!$F$143/1000*Time!AE$9,0)</f>
        <v>3.52712188772507</v>
      </c>
      <c r="AF698" s="20" t="n">
        <f aca="false">IF(Time!AF$4=YEAR(Inputs!$F$145),Inputs!$F$148*Inputs!$F$143/1000*Time!AF$9,0)</f>
        <v>0</v>
      </c>
      <c r="AG698" s="20" t="n">
        <f aca="false">IF(Time!AG$4=YEAR(Inputs!$F$145),Inputs!$F$148*Inputs!$F$143/1000*Time!AG$9,0)</f>
        <v>0</v>
      </c>
      <c r="AH698" s="20" t="n">
        <f aca="false">IF(Time!AH$4=YEAR(Inputs!$F$145),Inputs!$F$148*Inputs!$F$143/1000*Time!AH$9,0)</f>
        <v>0</v>
      </c>
      <c r="AI698" s="20" t="n">
        <f aca="false">IF(Time!AI$4=YEAR(Inputs!$F$145),Inputs!$F$148*Inputs!$F$143/1000*Time!AI$9,0)</f>
        <v>0</v>
      </c>
      <c r="AJ698" s="20" t="n">
        <f aca="false">IF(Time!AJ$4=YEAR(Inputs!$F$145),Inputs!$F$148*Inputs!$F$143/1000*Time!AJ$9,0)</f>
        <v>0</v>
      </c>
      <c r="AK698" s="20" t="n">
        <f aca="false">IF(Time!AK$4=YEAR(Inputs!$F$145),Inputs!$F$148*Inputs!$F$143/1000*Time!AK$9,0)</f>
        <v>0</v>
      </c>
      <c r="AL698" s="20" t="n">
        <f aca="false">IF(Time!AL$4=YEAR(Inputs!$F$145),Inputs!$F$148*Inputs!$F$143/1000*Time!AL$9,0)</f>
        <v>0</v>
      </c>
      <c r="AM698" s="20" t="n">
        <f aca="false">IF(Time!AM$4=YEAR(Inputs!$F$145),Inputs!$F$148*Inputs!$F$143/1000*Time!AM$9,0)</f>
        <v>0</v>
      </c>
      <c r="AN698" s="20" t="n">
        <f aca="false">IF(Time!AN$4=YEAR(Inputs!$F$145),Inputs!$F$148*Inputs!$F$143/1000*Time!AN$9,0)</f>
        <v>0</v>
      </c>
      <c r="AO698" s="20" t="n">
        <f aca="false">IF(Time!AO$4=YEAR(Inputs!$F$145),Inputs!$F$148*Inputs!$F$143/1000*Time!AO$9,0)</f>
        <v>0</v>
      </c>
      <c r="AP698" s="20" t="n">
        <f aca="false">IF(Time!AP$4=YEAR(Inputs!$F$145),Inputs!$F$148*Inputs!$F$143/1000*Time!AP$9,0)</f>
        <v>0</v>
      </c>
      <c r="AQ698" s="20" t="n">
        <f aca="false">IF(Time!AQ$4=YEAR(Inputs!$F$145),Inputs!$F$148*Inputs!$F$143/1000*Time!AQ$9,0)</f>
        <v>0</v>
      </c>
      <c r="AR698" s="20" t="n">
        <f aca="false">IF(Time!AR$4=YEAR(Inputs!$F$145),Inputs!$F$148*Inputs!$F$143/1000*Time!AR$9,0)</f>
        <v>0</v>
      </c>
      <c r="AS698" s="20" t="n">
        <f aca="false">IF(Time!AS$4=YEAR(Inputs!$F$145),Inputs!$F$148*Inputs!$F$143/1000*Time!AS$9,0)</f>
        <v>0</v>
      </c>
      <c r="AT698" s="20" t="n">
        <f aca="false">IF(Time!AT$4=YEAR(Inputs!$F$145),Inputs!$F$148*Inputs!$F$143/1000*Time!AT$9,0)</f>
        <v>0</v>
      </c>
      <c r="AU698" s="20" t="n">
        <f aca="false">IF(Time!AU$4=YEAR(Inputs!$F$145),Inputs!$F$148*Inputs!$F$143/1000*Time!AU$9,0)</f>
        <v>0</v>
      </c>
    </row>
    <row r="699" customFormat="false" ht="15" hidden="false" customHeight="false" outlineLevel="0" collapsed="false">
      <c r="D699" s="0" t="s">
        <v>699</v>
      </c>
      <c r="E699" s="0" t="s">
        <v>47</v>
      </c>
      <c r="G699" s="20" t="n">
        <f aca="false">SUM(J699:AU699)</f>
        <v>114.40674151874</v>
      </c>
      <c r="J699" s="20" t="n">
        <f aca="false">Operations!J696-Operations!J697-Operations!J698</f>
        <v>0</v>
      </c>
      <c r="K699" s="20" t="n">
        <f aca="false">Operations!K696-Operations!K697-Operations!K698</f>
        <v>4.36110804109589</v>
      </c>
      <c r="L699" s="20" t="n">
        <f aca="false">Operations!L696-Operations!L697-Operations!L698</f>
        <v>9.3245855125</v>
      </c>
      <c r="M699" s="20" t="n">
        <f aca="false">Operations!M696-Operations!M697-Operations!M698</f>
        <v>9.2846412753125</v>
      </c>
      <c r="N699" s="20" t="n">
        <f aca="false">Operations!N696-Operations!N697-Operations!N698</f>
        <v>9.24369843219531</v>
      </c>
      <c r="O699" s="20" t="n">
        <f aca="false">Operations!O696-Operations!O697-Operations!O698</f>
        <v>9.2017320180002</v>
      </c>
      <c r="P699" s="20" t="n">
        <f aca="false">Operations!P696-Operations!P697-Operations!P698</f>
        <v>8.6288862559502</v>
      </c>
      <c r="Q699" s="20" t="n">
        <f aca="false">Operations!Q696-Operations!Q697-Operations!Q698</f>
        <v>9.11462547953646</v>
      </c>
      <c r="R699" s="20" t="n">
        <f aca="false">Operations!R696-Operations!R697-Operations!R698</f>
        <v>6.74456556506939</v>
      </c>
      <c r="S699" s="20" t="n">
        <f aca="false">Operations!S696-Operations!S697-Operations!S698</f>
        <v>4.14990352881299</v>
      </c>
      <c r="T699" s="20" t="n">
        <f aca="false">Operations!T696-Operations!T697-Operations!T698</f>
        <v>3.60875782982231</v>
      </c>
      <c r="U699" s="20" t="n">
        <f aca="false">Operations!U696-Operations!U697-Operations!U698</f>
        <v>4.23706176504899</v>
      </c>
      <c r="V699" s="20" t="n">
        <f aca="false">Operations!V696-Operations!V697-Operations!V698</f>
        <v>4.28028548636272</v>
      </c>
      <c r="W699" s="20" t="n">
        <f aca="false">Operations!W696-Operations!W697-Operations!W698</f>
        <v>4.32420184820929</v>
      </c>
      <c r="X699" s="20" t="n">
        <f aca="false">Operations!X696-Operations!X697-Operations!X698</f>
        <v>4.2906296570809</v>
      </c>
      <c r="Y699" s="20" t="n">
        <f aca="false">Operations!Y696-Operations!Y697-Operations!Y698</f>
        <v>4.25025708322022</v>
      </c>
      <c r="Z699" s="20" t="n">
        <f aca="false">Operations!Z696-Operations!Z697-Operations!Z698</f>
        <v>4.20812664079048</v>
      </c>
      <c r="AA699" s="20" t="n">
        <f aca="false">Operations!AA696-Operations!AA697-Operations!AA698</f>
        <v>4.16501432654536</v>
      </c>
      <c r="AB699" s="20" t="n">
        <f aca="false">Operations!AB696-Operations!AB697-Operations!AB698</f>
        <v>4.11880335589908</v>
      </c>
      <c r="AC699" s="20" t="n">
        <f aca="false">Operations!AC696-Operations!AC697-Operations!AC698</f>
        <v>4.07044265230805</v>
      </c>
      <c r="AD699" s="20" t="n">
        <f aca="false">Operations!AD696-Operations!AD697-Operations!AD698</f>
        <v>4.02100491047519</v>
      </c>
      <c r="AE699" s="20" t="n">
        <f aca="false">Operations!AE696-Operations!AE697-Operations!AE698</f>
        <v>-1.22159014549543</v>
      </c>
      <c r="AF699" s="20" t="n">
        <f aca="false">Operations!AF696-Operations!AF697-Operations!AF698</f>
        <v>0</v>
      </c>
      <c r="AG699" s="20" t="n">
        <f aca="false">Operations!AG696-Operations!AG697-Operations!AG698</f>
        <v>0</v>
      </c>
      <c r="AH699" s="20" t="n">
        <f aca="false">Operations!AH696-Operations!AH697-Operations!AH698</f>
        <v>0</v>
      </c>
      <c r="AI699" s="20" t="n">
        <f aca="false">Operations!AI696-Operations!AI697-Operations!AI698</f>
        <v>0</v>
      </c>
      <c r="AJ699" s="20" t="n">
        <f aca="false">Operations!AJ696-Operations!AJ697-Operations!AJ698</f>
        <v>0</v>
      </c>
      <c r="AK699" s="20" t="n">
        <f aca="false">Operations!AK696-Operations!AK697-Operations!AK698</f>
        <v>0</v>
      </c>
      <c r="AL699" s="20" t="n">
        <f aca="false">Operations!AL696-Operations!AL697-Operations!AL698</f>
        <v>0</v>
      </c>
      <c r="AM699" s="20" t="n">
        <f aca="false">Operations!AM696-Operations!AM697-Operations!AM698</f>
        <v>0</v>
      </c>
      <c r="AN699" s="20" t="n">
        <f aca="false">Operations!AN696-Operations!AN697-Operations!AN698</f>
        <v>0</v>
      </c>
      <c r="AO699" s="20" t="n">
        <f aca="false">Operations!AO696-Operations!AO697-Operations!AO698</f>
        <v>0</v>
      </c>
      <c r="AP699" s="20" t="n">
        <f aca="false">Operations!AP696-Operations!AP697-Operations!AP698</f>
        <v>0</v>
      </c>
      <c r="AQ699" s="20" t="n">
        <f aca="false">Operations!AQ696-Operations!AQ697-Operations!AQ698</f>
        <v>0</v>
      </c>
      <c r="AR699" s="20" t="n">
        <f aca="false">Operations!AR696-Operations!AR697-Operations!AR698</f>
        <v>0</v>
      </c>
      <c r="AS699" s="20" t="n">
        <f aca="false">Operations!AS696-Operations!AS697-Operations!AS698</f>
        <v>0</v>
      </c>
      <c r="AT699" s="20" t="n">
        <f aca="false">Operations!AT696-Operations!AT697-Operations!AT698</f>
        <v>0</v>
      </c>
      <c r="AU699" s="20" t="n">
        <f aca="false">Operations!AU696-Operations!AU697-Operations!AU698</f>
        <v>0</v>
      </c>
    </row>
    <row r="700" customFormat="false" ht="15" hidden="false" customHeight="false" outlineLevel="0" collapsed="false">
      <c r="D700" s="0" t="s">
        <v>700</v>
      </c>
      <c r="E700" s="0" t="s">
        <v>458</v>
      </c>
      <c r="J700" s="14" t="n">
        <f aca="false">0</f>
        <v>0</v>
      </c>
      <c r="K700" s="14" t="n">
        <f aca="false">0</f>
        <v>0</v>
      </c>
      <c r="L700" s="14" t="n">
        <f aca="false">0</f>
        <v>0</v>
      </c>
      <c r="M700" s="14" t="n">
        <f aca="false">0</f>
        <v>0</v>
      </c>
      <c r="N700" s="14" t="n">
        <f aca="false">0</f>
        <v>0</v>
      </c>
      <c r="O700" s="14" t="n">
        <f aca="false">0</f>
        <v>0</v>
      </c>
      <c r="P700" s="14" t="n">
        <f aca="false">0</f>
        <v>0</v>
      </c>
      <c r="Q700" s="14" t="n">
        <f aca="false">0</f>
        <v>0</v>
      </c>
      <c r="R700" s="14" t="n">
        <f aca="false">0</f>
        <v>0</v>
      </c>
      <c r="S700" s="14" t="n">
        <f aca="false">0</f>
        <v>0</v>
      </c>
      <c r="T700" s="14" t="n">
        <f aca="false">0</f>
        <v>0</v>
      </c>
      <c r="U700" s="14" t="n">
        <f aca="false">0</f>
        <v>0</v>
      </c>
      <c r="V700" s="14" t="n">
        <f aca="false">0</f>
        <v>0</v>
      </c>
      <c r="W700" s="14" t="n">
        <f aca="false">0</f>
        <v>0</v>
      </c>
      <c r="X700" s="14" t="n">
        <f aca="false">0</f>
        <v>0</v>
      </c>
      <c r="Y700" s="14" t="n">
        <f aca="false">0</f>
        <v>0</v>
      </c>
      <c r="Z700" s="14" t="n">
        <f aca="false">0</f>
        <v>0</v>
      </c>
      <c r="AA700" s="14" t="n">
        <f aca="false">0</f>
        <v>0</v>
      </c>
      <c r="AB700" s="14" t="n">
        <f aca="false">0</f>
        <v>0</v>
      </c>
      <c r="AC700" s="14" t="n">
        <f aca="false">0</f>
        <v>0</v>
      </c>
      <c r="AD700" s="14" t="n">
        <f aca="false">0</f>
        <v>0</v>
      </c>
      <c r="AE700" s="14" t="n">
        <f aca="false">0</f>
        <v>0</v>
      </c>
      <c r="AF700" s="14" t="n">
        <f aca="false">0</f>
        <v>0</v>
      </c>
      <c r="AG700" s="14" t="n">
        <f aca="false">0</f>
        <v>0</v>
      </c>
      <c r="AH700" s="14" t="n">
        <f aca="false">0</f>
        <v>0</v>
      </c>
      <c r="AI700" s="14" t="n">
        <f aca="false">0</f>
        <v>0</v>
      </c>
      <c r="AJ700" s="14" t="n">
        <f aca="false">0</f>
        <v>0</v>
      </c>
      <c r="AK700" s="14" t="n">
        <f aca="false">0</f>
        <v>0</v>
      </c>
      <c r="AL700" s="14" t="n">
        <f aca="false">0</f>
        <v>0</v>
      </c>
      <c r="AM700" s="14" t="n">
        <f aca="false">0</f>
        <v>0</v>
      </c>
      <c r="AN700" s="14" t="n">
        <f aca="false">0</f>
        <v>0</v>
      </c>
      <c r="AO700" s="14" t="n">
        <f aca="false">0</f>
        <v>0</v>
      </c>
      <c r="AP700" s="14" t="n">
        <f aca="false">0</f>
        <v>0</v>
      </c>
      <c r="AQ700" s="14" t="n">
        <f aca="false">0</f>
        <v>0</v>
      </c>
      <c r="AR700" s="14" t="n">
        <f aca="false">0</f>
        <v>0</v>
      </c>
      <c r="AS700" s="14" t="n">
        <f aca="false">0</f>
        <v>0</v>
      </c>
      <c r="AT700" s="14" t="n">
        <f aca="false">0</f>
        <v>0</v>
      </c>
      <c r="AU700" s="14" t="n">
        <f aca="false">0</f>
        <v>0</v>
      </c>
    </row>
    <row r="701" customFormat="false" ht="15" hidden="false" customHeight="false" outlineLevel="0" collapsed="false">
      <c r="D701" s="0" t="s">
        <v>701</v>
      </c>
      <c r="E701" s="0" t="s">
        <v>458</v>
      </c>
      <c r="J701" s="14" t="n">
        <f aca="false">1</f>
        <v>1</v>
      </c>
      <c r="K701" s="14" t="n">
        <f aca="false">1</f>
        <v>1</v>
      </c>
      <c r="L701" s="14" t="n">
        <f aca="false">1</f>
        <v>1</v>
      </c>
      <c r="M701" s="14" t="n">
        <f aca="false">1</f>
        <v>1</v>
      </c>
      <c r="N701" s="14" t="n">
        <f aca="false">1</f>
        <v>1</v>
      </c>
      <c r="O701" s="14" t="n">
        <f aca="false">1</f>
        <v>1</v>
      </c>
      <c r="P701" s="14" t="n">
        <f aca="false">1</f>
        <v>1</v>
      </c>
      <c r="Q701" s="14" t="n">
        <f aca="false">1</f>
        <v>1</v>
      </c>
      <c r="R701" s="14" t="n">
        <f aca="false">1</f>
        <v>1</v>
      </c>
      <c r="S701" s="14" t="n">
        <f aca="false">1</f>
        <v>1</v>
      </c>
      <c r="T701" s="14" t="n">
        <f aca="false">1</f>
        <v>1</v>
      </c>
      <c r="U701" s="14" t="n">
        <f aca="false">1</f>
        <v>1</v>
      </c>
      <c r="V701" s="14" t="n">
        <f aca="false">1</f>
        <v>1</v>
      </c>
      <c r="W701" s="14" t="n">
        <f aca="false">1</f>
        <v>1</v>
      </c>
      <c r="X701" s="14" t="n">
        <f aca="false">1</f>
        <v>1</v>
      </c>
      <c r="Y701" s="14" t="n">
        <f aca="false">1</f>
        <v>1</v>
      </c>
      <c r="Z701" s="14" t="n">
        <f aca="false">1</f>
        <v>1</v>
      </c>
      <c r="AA701" s="14" t="n">
        <f aca="false">1</f>
        <v>1</v>
      </c>
      <c r="AB701" s="14" t="n">
        <f aca="false">1</f>
        <v>1</v>
      </c>
      <c r="AC701" s="14" t="n">
        <f aca="false">1</f>
        <v>1</v>
      </c>
      <c r="AD701" s="14" t="n">
        <f aca="false">1</f>
        <v>1</v>
      </c>
      <c r="AE701" s="14" t="n">
        <f aca="false">1</f>
        <v>1</v>
      </c>
      <c r="AF701" s="14" t="n">
        <f aca="false">1</f>
        <v>1</v>
      </c>
      <c r="AG701" s="14" t="n">
        <f aca="false">1</f>
        <v>1</v>
      </c>
      <c r="AH701" s="14" t="n">
        <f aca="false">1</f>
        <v>1</v>
      </c>
      <c r="AI701" s="14" t="n">
        <f aca="false">1</f>
        <v>1</v>
      </c>
      <c r="AJ701" s="14" t="n">
        <f aca="false">1</f>
        <v>1</v>
      </c>
      <c r="AK701" s="14" t="n">
        <f aca="false">1</f>
        <v>1</v>
      </c>
      <c r="AL701" s="14" t="n">
        <f aca="false">1</f>
        <v>1</v>
      </c>
      <c r="AM701" s="14" t="n">
        <f aca="false">1</f>
        <v>1</v>
      </c>
      <c r="AN701" s="14" t="n">
        <f aca="false">1</f>
        <v>1</v>
      </c>
      <c r="AO701" s="14" t="n">
        <f aca="false">1</f>
        <v>1</v>
      </c>
      <c r="AP701" s="14" t="n">
        <f aca="false">1</f>
        <v>1</v>
      </c>
      <c r="AQ701" s="14" t="n">
        <f aca="false">1</f>
        <v>1</v>
      </c>
      <c r="AR701" s="14" t="n">
        <f aca="false">1</f>
        <v>1</v>
      </c>
      <c r="AS701" s="14" t="n">
        <f aca="false">1</f>
        <v>1</v>
      </c>
      <c r="AT701" s="14" t="n">
        <f aca="false">1</f>
        <v>1</v>
      </c>
      <c r="AU701" s="14" t="n">
        <f aca="false">1</f>
        <v>1</v>
      </c>
    </row>
    <row r="702" customFormat="false" ht="15" hidden="false" customHeight="false" outlineLevel="0" collapsed="false">
      <c r="D702" s="0" t="s">
        <v>702</v>
      </c>
      <c r="E702" s="0" t="s">
        <v>47</v>
      </c>
      <c r="G702" s="20" t="n">
        <f aca="false">SUM(J702:AU702)</f>
        <v>113.175369836548</v>
      </c>
      <c r="J702" s="20" t="n">
        <f aca="false">Operations!J699*(1-Operations!J700)*Operations!J673</f>
        <v>0</v>
      </c>
      <c r="K702" s="20" t="n">
        <f aca="false">Operations!K699*(1-Operations!K700)*Operations!K673</f>
        <v>3.12973635890411</v>
      </c>
      <c r="L702" s="20" t="n">
        <f aca="false">Operations!L699*(1-Operations!L700)*Operations!L673</f>
        <v>9.3245855125</v>
      </c>
      <c r="M702" s="20" t="n">
        <f aca="false">Operations!M699*(1-Operations!M700)*Operations!M673</f>
        <v>9.2846412753125</v>
      </c>
      <c r="N702" s="20" t="n">
        <f aca="false">Operations!N699*(1-Operations!N700)*Operations!N673</f>
        <v>9.24369843219531</v>
      </c>
      <c r="O702" s="20" t="n">
        <f aca="false">Operations!O699*(1-Operations!O700)*Operations!O673</f>
        <v>9.2017320180002</v>
      </c>
      <c r="P702" s="20" t="n">
        <f aca="false">Operations!P699*(1-Operations!P700)*Operations!P673</f>
        <v>8.6288862559502</v>
      </c>
      <c r="Q702" s="20" t="n">
        <f aca="false">Operations!Q699*(1-Operations!Q700)*Operations!Q673</f>
        <v>9.11462547953646</v>
      </c>
      <c r="R702" s="20" t="n">
        <f aca="false">Operations!R699*(1-Operations!R700)*Operations!R673</f>
        <v>6.74456556506939</v>
      </c>
      <c r="S702" s="20" t="n">
        <f aca="false">Operations!S699*(1-Operations!S700)*Operations!S673</f>
        <v>4.14990352881299</v>
      </c>
      <c r="T702" s="20" t="n">
        <f aca="false">Operations!T699*(1-Operations!T700)*Operations!T673</f>
        <v>3.60875782982231</v>
      </c>
      <c r="U702" s="20" t="n">
        <f aca="false">Operations!U699*(1-Operations!U700)*Operations!U673</f>
        <v>4.23706176504899</v>
      </c>
      <c r="V702" s="20" t="n">
        <f aca="false">Operations!V699*(1-Operations!V700)*Operations!V673</f>
        <v>4.28028548636272</v>
      </c>
      <c r="W702" s="20" t="n">
        <f aca="false">Operations!W699*(1-Operations!W700)*Operations!W673</f>
        <v>4.32420184820929</v>
      </c>
      <c r="X702" s="20" t="n">
        <f aca="false">Operations!X699*(1-Operations!X700)*Operations!X673</f>
        <v>4.2906296570809</v>
      </c>
      <c r="Y702" s="20" t="n">
        <f aca="false">Operations!Y699*(1-Operations!Y700)*Operations!Y673</f>
        <v>4.25025708322022</v>
      </c>
      <c r="Z702" s="20" t="n">
        <f aca="false">Operations!Z699*(1-Operations!Z700)*Operations!Z673</f>
        <v>4.20812664079048</v>
      </c>
      <c r="AA702" s="20" t="n">
        <f aca="false">Operations!AA699*(1-Operations!AA700)*Operations!AA673</f>
        <v>4.16501432654536</v>
      </c>
      <c r="AB702" s="20" t="n">
        <f aca="false">Operations!AB699*(1-Operations!AB700)*Operations!AB673</f>
        <v>4.11880335589908</v>
      </c>
      <c r="AC702" s="20" t="n">
        <f aca="false">Operations!AC699*(1-Operations!AC700)*Operations!AC673</f>
        <v>4.07044265230805</v>
      </c>
      <c r="AD702" s="20" t="n">
        <f aca="false">Operations!AD699*(1-Operations!AD700)*Operations!AD673</f>
        <v>4.02100491047519</v>
      </c>
      <c r="AE702" s="20" t="n">
        <f aca="false">Operations!AE699*(1-Operations!AE700)*Operations!AE673</f>
        <v>-1.22159014549543</v>
      </c>
      <c r="AF702" s="20" t="n">
        <f aca="false">Operations!AF699*(1-Operations!AF700)*Operations!AF673</f>
        <v>0</v>
      </c>
      <c r="AG702" s="20" t="n">
        <f aca="false">Operations!AG699*(1-Operations!AG700)*Operations!AG673</f>
        <v>0</v>
      </c>
      <c r="AH702" s="20" t="n">
        <f aca="false">Operations!AH699*(1-Operations!AH700)*Operations!AH673</f>
        <v>0</v>
      </c>
      <c r="AI702" s="20" t="n">
        <f aca="false">Operations!AI699*(1-Operations!AI700)*Operations!AI673</f>
        <v>0</v>
      </c>
      <c r="AJ702" s="20" t="n">
        <f aca="false">Operations!AJ699*(1-Operations!AJ700)*Operations!AJ673</f>
        <v>0</v>
      </c>
      <c r="AK702" s="20" t="n">
        <f aca="false">Operations!AK699*(1-Operations!AK700)*Operations!AK673</f>
        <v>0</v>
      </c>
      <c r="AL702" s="20" t="n">
        <f aca="false">Operations!AL699*(1-Operations!AL700)*Operations!AL673</f>
        <v>0</v>
      </c>
      <c r="AM702" s="20" t="n">
        <f aca="false">Operations!AM699*(1-Operations!AM700)*Operations!AM673</f>
        <v>0</v>
      </c>
      <c r="AN702" s="20" t="n">
        <f aca="false">Operations!AN699*(1-Operations!AN700)*Operations!AN673</f>
        <v>0</v>
      </c>
      <c r="AO702" s="20" t="n">
        <f aca="false">Operations!AO699*(1-Operations!AO700)*Operations!AO673</f>
        <v>0</v>
      </c>
      <c r="AP702" s="20" t="n">
        <f aca="false">Operations!AP699*(1-Operations!AP700)*Operations!AP673</f>
        <v>0</v>
      </c>
      <c r="AQ702" s="20" t="n">
        <f aca="false">Operations!AQ699*(1-Operations!AQ700)*Operations!AQ673</f>
        <v>0</v>
      </c>
      <c r="AR702" s="20" t="n">
        <f aca="false">Operations!AR699*(1-Operations!AR700)*Operations!AR673</f>
        <v>0</v>
      </c>
      <c r="AS702" s="20" t="n">
        <f aca="false">Operations!AS699*(1-Operations!AS700)*Operations!AS673</f>
        <v>0</v>
      </c>
      <c r="AT702" s="20" t="n">
        <f aca="false">Operations!AT699*(1-Operations!AT700)*Operations!AT673</f>
        <v>0</v>
      </c>
      <c r="AU702" s="20" t="n">
        <f aca="false">Operations!AU699*(1-Operations!AU700)*Operations!AU673</f>
        <v>0</v>
      </c>
    </row>
    <row r="703" customFormat="false" ht="15" hidden="false" customHeight="false" outlineLevel="0" collapsed="false">
      <c r="D703" s="0" t="s">
        <v>703</v>
      </c>
      <c r="E703" s="0" t="s">
        <v>47</v>
      </c>
      <c r="J703" s="20" t="n">
        <f aca="false">Operations!J699*Operations!J701*Operations!J673</f>
        <v>0</v>
      </c>
      <c r="K703" s="20" t="n">
        <f aca="false">Operations!K699*Operations!K701*Operations!K673</f>
        <v>3.12973635890411</v>
      </c>
      <c r="L703" s="20" t="n">
        <f aca="false">Operations!L699*Operations!L701*Operations!L673</f>
        <v>9.3245855125</v>
      </c>
      <c r="M703" s="20" t="n">
        <f aca="false">Operations!M699*Operations!M701*Operations!M673</f>
        <v>9.2846412753125</v>
      </c>
      <c r="N703" s="20" t="n">
        <f aca="false">Operations!N699*Operations!N701*Operations!N673</f>
        <v>9.24369843219531</v>
      </c>
      <c r="O703" s="20" t="n">
        <f aca="false">Operations!O699*Operations!O701*Operations!O673</f>
        <v>9.2017320180002</v>
      </c>
      <c r="P703" s="20" t="n">
        <f aca="false">Operations!P699*Operations!P701*Operations!P673</f>
        <v>8.6288862559502</v>
      </c>
      <c r="Q703" s="20" t="n">
        <f aca="false">Operations!Q699*Operations!Q701*Operations!Q673</f>
        <v>9.11462547953646</v>
      </c>
      <c r="R703" s="20" t="n">
        <f aca="false">Operations!R699*Operations!R701*Operations!R673</f>
        <v>6.74456556506939</v>
      </c>
      <c r="S703" s="20" t="n">
        <f aca="false">Operations!S699*Operations!S701*Operations!S673</f>
        <v>4.14990352881299</v>
      </c>
      <c r="T703" s="20" t="n">
        <f aca="false">Operations!T699*Operations!T701*Operations!T673</f>
        <v>3.60875782982231</v>
      </c>
      <c r="U703" s="20" t="n">
        <f aca="false">Operations!U699*Operations!U701*Operations!U673</f>
        <v>4.23706176504899</v>
      </c>
      <c r="V703" s="20" t="n">
        <f aca="false">Operations!V699*Operations!V701*Operations!V673</f>
        <v>4.28028548636272</v>
      </c>
      <c r="W703" s="20" t="n">
        <f aca="false">Operations!W699*Operations!W701*Operations!W673</f>
        <v>4.32420184820929</v>
      </c>
      <c r="X703" s="20" t="n">
        <f aca="false">Operations!X699*Operations!X701*Operations!X673</f>
        <v>4.2906296570809</v>
      </c>
      <c r="Y703" s="20" t="n">
        <f aca="false">Operations!Y699*Operations!Y701*Operations!Y673</f>
        <v>4.25025708322022</v>
      </c>
      <c r="Z703" s="20" t="n">
        <f aca="false">Operations!Z699*Operations!Z701*Operations!Z673</f>
        <v>4.20812664079048</v>
      </c>
      <c r="AA703" s="20" t="n">
        <f aca="false">Operations!AA699*Operations!AA701*Operations!AA673</f>
        <v>4.16501432654536</v>
      </c>
      <c r="AB703" s="20" t="n">
        <f aca="false">Operations!AB699*Operations!AB701*Operations!AB673</f>
        <v>4.11880335589908</v>
      </c>
      <c r="AC703" s="20" t="n">
        <f aca="false">Operations!AC699*Operations!AC701*Operations!AC673</f>
        <v>4.07044265230805</v>
      </c>
      <c r="AD703" s="20" t="n">
        <f aca="false">Operations!AD699*Operations!AD701*Operations!AD673</f>
        <v>4.02100491047519</v>
      </c>
      <c r="AE703" s="20" t="n">
        <f aca="false">Operations!AE699*Operations!AE701*Operations!AE673</f>
        <v>-1.22159014549543</v>
      </c>
      <c r="AF703" s="20" t="n">
        <f aca="false">Operations!AF699*Operations!AF701*Operations!AF673</f>
        <v>0</v>
      </c>
      <c r="AG703" s="20" t="n">
        <f aca="false">Operations!AG699*Operations!AG701*Operations!AG673</f>
        <v>0</v>
      </c>
      <c r="AH703" s="20" t="n">
        <f aca="false">Operations!AH699*Operations!AH701*Operations!AH673</f>
        <v>0</v>
      </c>
      <c r="AI703" s="20" t="n">
        <f aca="false">Operations!AI699*Operations!AI701*Operations!AI673</f>
        <v>0</v>
      </c>
      <c r="AJ703" s="20" t="n">
        <f aca="false">Operations!AJ699*Operations!AJ701*Operations!AJ673</f>
        <v>0</v>
      </c>
      <c r="AK703" s="20" t="n">
        <f aca="false">Operations!AK699*Operations!AK701*Operations!AK673</f>
        <v>0</v>
      </c>
      <c r="AL703" s="20" t="n">
        <f aca="false">Operations!AL699*Operations!AL701*Operations!AL673</f>
        <v>0</v>
      </c>
      <c r="AM703" s="20" t="n">
        <f aca="false">Operations!AM699*Operations!AM701*Operations!AM673</f>
        <v>0</v>
      </c>
      <c r="AN703" s="20" t="n">
        <f aca="false">Operations!AN699*Operations!AN701*Operations!AN673</f>
        <v>0</v>
      </c>
      <c r="AO703" s="20" t="n">
        <f aca="false">Operations!AO699*Operations!AO701*Operations!AO673</f>
        <v>0</v>
      </c>
      <c r="AP703" s="20" t="n">
        <f aca="false">Operations!AP699*Operations!AP701*Operations!AP673</f>
        <v>0</v>
      </c>
      <c r="AQ703" s="20" t="n">
        <f aca="false">Operations!AQ699*Operations!AQ701*Operations!AQ673</f>
        <v>0</v>
      </c>
      <c r="AR703" s="20" t="n">
        <f aca="false">Operations!AR699*Operations!AR701*Operations!AR673</f>
        <v>0</v>
      </c>
      <c r="AS703" s="20" t="n">
        <f aca="false">Operations!AS699*Operations!AS701*Operations!AS673</f>
        <v>0</v>
      </c>
      <c r="AT703" s="20" t="n">
        <f aca="false">Operations!AT699*Operations!AT701*Operations!AT673</f>
        <v>0</v>
      </c>
      <c r="AU703" s="20" t="n">
        <f aca="false">Operations!AU699*Operations!AU701*Operations!AU673</f>
        <v>0</v>
      </c>
    </row>
    <row r="704" customFormat="false" ht="15" hidden="false" customHeight="false" outlineLevel="0" collapsed="false">
      <c r="D704" s="0" t="s">
        <v>704</v>
      </c>
      <c r="E704" s="0" t="s">
        <v>47</v>
      </c>
      <c r="J704" s="20" t="n">
        <f aca="false">Operations!J702-Inputs!$F$248/100*Operations!J703</f>
        <v>0</v>
      </c>
      <c r="K704" s="20" t="n">
        <f aca="false">Operations!K702-Inputs!$F$248/100*Operations!K703</f>
        <v>2.47249172353425</v>
      </c>
      <c r="L704" s="20" t="n">
        <f aca="false">Operations!L702-Inputs!$F$248/100*Operations!L703</f>
        <v>7.366422554875</v>
      </c>
      <c r="M704" s="20" t="n">
        <f aca="false">Operations!M702-Inputs!$F$248/100*Operations!M703</f>
        <v>7.33486660749688</v>
      </c>
      <c r="N704" s="20" t="n">
        <f aca="false">Operations!N702-Inputs!$F$248/100*Operations!N703</f>
        <v>7.3025217614343</v>
      </c>
      <c r="O704" s="20" t="n">
        <f aca="false">Operations!O702-Inputs!$F$248/100*Operations!O703</f>
        <v>7.26936829422016</v>
      </c>
      <c r="P704" s="20" t="n">
        <f aca="false">Operations!P702-Inputs!$F$248/100*Operations!P703</f>
        <v>6.81682014220066</v>
      </c>
      <c r="Q704" s="20" t="n">
        <f aca="false">Operations!Q702-Inputs!$F$248/100*Operations!Q703</f>
        <v>7.2005541288338</v>
      </c>
      <c r="R704" s="20" t="n">
        <f aca="false">Operations!R702-Inputs!$F$248/100*Operations!R703</f>
        <v>5.32820679640482</v>
      </c>
      <c r="S704" s="20" t="n">
        <f aca="false">Operations!S702-Inputs!$F$248/100*Operations!S703</f>
        <v>3.27842378776226</v>
      </c>
      <c r="T704" s="20" t="n">
        <f aca="false">Operations!T702-Inputs!$F$248/100*Operations!T703</f>
        <v>2.85091868555962</v>
      </c>
      <c r="U704" s="20" t="n">
        <f aca="false">Operations!U702-Inputs!$F$248/100*Operations!U703</f>
        <v>3.3472787943887</v>
      </c>
      <c r="V704" s="20" t="n">
        <f aca="false">Operations!V702-Inputs!$F$248/100*Operations!V703</f>
        <v>3.38142553422655</v>
      </c>
      <c r="W704" s="20" t="n">
        <f aca="false">Operations!W702-Inputs!$F$248/100*Operations!W703</f>
        <v>3.41611946008534</v>
      </c>
      <c r="X704" s="20" t="n">
        <f aca="false">Operations!X702-Inputs!$F$248/100*Operations!X703</f>
        <v>3.38959742909391</v>
      </c>
      <c r="Y704" s="20" t="n">
        <f aca="false">Operations!Y702-Inputs!$F$248/100*Operations!Y703</f>
        <v>3.35770309574397</v>
      </c>
      <c r="Z704" s="20" t="n">
        <f aca="false">Operations!Z702-Inputs!$F$248/100*Operations!Z703</f>
        <v>3.32442004622448</v>
      </c>
      <c r="AA704" s="20" t="n">
        <f aca="false">Operations!AA702-Inputs!$F$248/100*Operations!AA703</f>
        <v>3.29036131797083</v>
      </c>
      <c r="AB704" s="20" t="n">
        <f aca="false">Operations!AB702-Inputs!$F$248/100*Operations!AB703</f>
        <v>3.25385465116028</v>
      </c>
      <c r="AC704" s="20" t="n">
        <f aca="false">Operations!AC702-Inputs!$F$248/100*Operations!AC703</f>
        <v>3.21564969532336</v>
      </c>
      <c r="AD704" s="20" t="n">
        <f aca="false">Operations!AD702-Inputs!$F$248/100*Operations!AD703</f>
        <v>3.1765938792754</v>
      </c>
      <c r="AE704" s="20" t="n">
        <f aca="false">Operations!AE702-Inputs!$F$248/100*Operations!AE703</f>
        <v>-0.96505621494139</v>
      </c>
      <c r="AF704" s="20" t="n">
        <f aca="false">Operations!AF702-Inputs!$F$248/100*Operations!AF703</f>
        <v>0</v>
      </c>
      <c r="AG704" s="20" t="n">
        <f aca="false">Operations!AG702-Inputs!$F$248/100*Operations!AG703</f>
        <v>0</v>
      </c>
      <c r="AH704" s="20" t="n">
        <f aca="false">Operations!AH702-Inputs!$F$248/100*Operations!AH703</f>
        <v>0</v>
      </c>
      <c r="AI704" s="20" t="n">
        <f aca="false">Operations!AI702-Inputs!$F$248/100*Operations!AI703</f>
        <v>0</v>
      </c>
      <c r="AJ704" s="20" t="n">
        <f aca="false">Operations!AJ702-Inputs!$F$248/100*Operations!AJ703</f>
        <v>0</v>
      </c>
      <c r="AK704" s="20" t="n">
        <f aca="false">Operations!AK702-Inputs!$F$248/100*Operations!AK703</f>
        <v>0</v>
      </c>
      <c r="AL704" s="20" t="n">
        <f aca="false">Operations!AL702-Inputs!$F$248/100*Operations!AL703</f>
        <v>0</v>
      </c>
      <c r="AM704" s="20" t="n">
        <f aca="false">Operations!AM702-Inputs!$F$248/100*Operations!AM703</f>
        <v>0</v>
      </c>
      <c r="AN704" s="20" t="n">
        <f aca="false">Operations!AN702-Inputs!$F$248/100*Operations!AN703</f>
        <v>0</v>
      </c>
      <c r="AO704" s="20" t="n">
        <f aca="false">Operations!AO702-Inputs!$F$248/100*Operations!AO703</f>
        <v>0</v>
      </c>
      <c r="AP704" s="20" t="n">
        <f aca="false">Operations!AP702-Inputs!$F$248/100*Operations!AP703</f>
        <v>0</v>
      </c>
      <c r="AQ704" s="20" t="n">
        <f aca="false">Operations!AQ702-Inputs!$F$248/100*Operations!AQ703</f>
        <v>0</v>
      </c>
      <c r="AR704" s="20" t="n">
        <f aca="false">Operations!AR702-Inputs!$F$248/100*Operations!AR703</f>
        <v>0</v>
      </c>
      <c r="AS704" s="20" t="n">
        <f aca="false">Operations!AS702-Inputs!$F$248/100*Operations!AS703</f>
        <v>0</v>
      </c>
      <c r="AT704" s="20" t="n">
        <f aca="false">Operations!AT702-Inputs!$F$248/100*Operations!AT703</f>
        <v>0</v>
      </c>
      <c r="AU704" s="20" t="n">
        <f aca="false">Operations!AU702-Inputs!$F$248/100*Operations!AU703</f>
        <v>0</v>
      </c>
    </row>
    <row r="705" customFormat="false" ht="15" hidden="false" customHeight="false" outlineLevel="0" collapsed="false">
      <c r="D705" s="0" t="s">
        <v>705</v>
      </c>
      <c r="E705" s="0" t="s">
        <v>458</v>
      </c>
      <c r="J705" s="14" t="n">
        <f aca="false">IF(Operations!J690=0,0,Operations!J688/Operations!J690)</f>
        <v>0</v>
      </c>
      <c r="K705" s="14" t="n">
        <f aca="false">IF(Operations!K690=0,0,Operations!K688/Operations!K690)</f>
        <v>1</v>
      </c>
      <c r="L705" s="14" t="n">
        <f aca="false">IF(Operations!L690=0,0,Operations!L688/Operations!L690)</f>
        <v>1</v>
      </c>
      <c r="M705" s="14" t="n">
        <f aca="false">IF(Operations!M690=0,0,Operations!M688/Operations!M690)</f>
        <v>1</v>
      </c>
      <c r="N705" s="14" t="n">
        <f aca="false">IF(Operations!N690=0,0,Operations!N688/Operations!N690)</f>
        <v>1</v>
      </c>
      <c r="O705" s="14" t="n">
        <f aca="false">IF(Operations!O690=0,0,Operations!O688/Operations!O690)</f>
        <v>1</v>
      </c>
      <c r="P705" s="14" t="n">
        <f aca="false">IF(Operations!P690=0,0,Operations!P688/Operations!P690)</f>
        <v>1</v>
      </c>
      <c r="Q705" s="14" t="n">
        <f aca="false">IF(Operations!Q690=0,0,Operations!Q688/Operations!Q690)</f>
        <v>1</v>
      </c>
      <c r="R705" s="14" t="n">
        <f aca="false">IF(Operations!R690=0,0,Operations!R688/Operations!R690)</f>
        <v>0.675232844138055</v>
      </c>
      <c r="S705" s="14" t="n">
        <f aca="false">IF(Operations!S690=0,0,Operations!S688/Operations!S690)</f>
        <v>0</v>
      </c>
      <c r="T705" s="14" t="n">
        <f aca="false">IF(Operations!T690=0,0,Operations!T688/Operations!T690)</f>
        <v>0</v>
      </c>
      <c r="U705" s="14" t="n">
        <f aca="false">IF(Operations!U690=0,0,Operations!U688/Operations!U690)</f>
        <v>0</v>
      </c>
      <c r="V705" s="14" t="n">
        <f aca="false">IF(Operations!V690=0,0,Operations!V688/Operations!V690)</f>
        <v>0</v>
      </c>
      <c r="W705" s="14" t="n">
        <f aca="false">IF(Operations!W690=0,0,Operations!W688/Operations!W690)</f>
        <v>0</v>
      </c>
      <c r="X705" s="14" t="n">
        <f aca="false">IF(Operations!X690=0,0,Operations!X688/Operations!X690)</f>
        <v>0</v>
      </c>
      <c r="Y705" s="14" t="n">
        <f aca="false">IF(Operations!Y690=0,0,Operations!Y688/Operations!Y690)</f>
        <v>0</v>
      </c>
      <c r="Z705" s="14" t="n">
        <f aca="false">IF(Operations!Z690=0,0,Operations!Z688/Operations!Z690)</f>
        <v>0</v>
      </c>
      <c r="AA705" s="14" t="n">
        <f aca="false">IF(Operations!AA690=0,0,Operations!AA688/Operations!AA690)</f>
        <v>0</v>
      </c>
      <c r="AB705" s="14" t="n">
        <f aca="false">IF(Operations!AB690=0,0,Operations!AB688/Operations!AB690)</f>
        <v>0</v>
      </c>
      <c r="AC705" s="14" t="n">
        <f aca="false">IF(Operations!AC690=0,0,Operations!AC688/Operations!AC690)</f>
        <v>0</v>
      </c>
      <c r="AD705" s="14" t="n">
        <f aca="false">IF(Operations!AD690=0,0,Operations!AD688/Operations!AD690)</f>
        <v>0</v>
      </c>
      <c r="AE705" s="14" t="n">
        <f aca="false">IF(Operations!AE690=0,0,Operations!AE688/Operations!AE690)</f>
        <v>0</v>
      </c>
      <c r="AF705" s="14" t="n">
        <f aca="false">IF(Operations!AF690=0,0,Operations!AF688/Operations!AF690)</f>
        <v>0</v>
      </c>
      <c r="AG705" s="14" t="n">
        <f aca="false">IF(Operations!AG690=0,0,Operations!AG688/Operations!AG690)</f>
        <v>0</v>
      </c>
      <c r="AH705" s="14" t="n">
        <f aca="false">IF(Operations!AH690=0,0,Operations!AH688/Operations!AH690)</f>
        <v>0</v>
      </c>
      <c r="AI705" s="14" t="n">
        <f aca="false">IF(Operations!AI690=0,0,Operations!AI688/Operations!AI690)</f>
        <v>0</v>
      </c>
      <c r="AJ705" s="14" t="n">
        <f aca="false">IF(Operations!AJ690=0,0,Operations!AJ688/Operations!AJ690)</f>
        <v>0</v>
      </c>
      <c r="AK705" s="14" t="n">
        <f aca="false">IF(Operations!AK690=0,0,Operations!AK688/Operations!AK690)</f>
        <v>0</v>
      </c>
      <c r="AL705" s="14" t="n">
        <f aca="false">IF(Operations!AL690=0,0,Operations!AL688/Operations!AL690)</f>
        <v>0</v>
      </c>
      <c r="AM705" s="14" t="n">
        <f aca="false">IF(Operations!AM690=0,0,Operations!AM688/Operations!AM690)</f>
        <v>0</v>
      </c>
      <c r="AN705" s="14" t="n">
        <f aca="false">IF(Operations!AN690=0,0,Operations!AN688/Operations!AN690)</f>
        <v>0</v>
      </c>
      <c r="AO705" s="14" t="n">
        <f aca="false">IF(Operations!AO690=0,0,Operations!AO688/Operations!AO690)</f>
        <v>0</v>
      </c>
      <c r="AP705" s="14" t="n">
        <f aca="false">IF(Operations!AP690=0,0,Operations!AP688/Operations!AP690)</f>
        <v>0</v>
      </c>
      <c r="AQ705" s="14" t="n">
        <f aca="false">IF(Operations!AQ690=0,0,Operations!AQ688/Operations!AQ690)</f>
        <v>0</v>
      </c>
      <c r="AR705" s="14" t="n">
        <f aca="false">IF(Operations!AR690=0,0,Operations!AR688/Operations!AR690)</f>
        <v>0</v>
      </c>
      <c r="AS705" s="14" t="n">
        <f aca="false">IF(Operations!AS690=0,0,Operations!AS688/Operations!AS690)</f>
        <v>0</v>
      </c>
      <c r="AT705" s="14" t="n">
        <f aca="false">IF(Operations!AT690=0,0,Operations!AT688/Operations!AT690)</f>
        <v>0</v>
      </c>
      <c r="AU705" s="14" t="n">
        <f aca="false">IF(Operations!AU690=0,0,Operations!AU688/Operations!AU690)</f>
        <v>0</v>
      </c>
    </row>
    <row r="706" customFormat="false" ht="15" hidden="false" customHeight="false" outlineLevel="0" collapsed="false">
      <c r="D706" s="0" t="s">
        <v>706</v>
      </c>
      <c r="E706" s="0" t="s">
        <v>458</v>
      </c>
      <c r="J706" s="14" t="n">
        <f aca="false">IF(Operations!J690=0,0,Operations!J689/Operations!J690)</f>
        <v>0</v>
      </c>
      <c r="K706" s="14" t="n">
        <f aca="false">IF(Operations!K690=0,0,Operations!K689/Operations!K690)</f>
        <v>0</v>
      </c>
      <c r="L706" s="14" t="n">
        <f aca="false">IF(Operations!L690=0,0,Operations!L689/Operations!L690)</f>
        <v>0</v>
      </c>
      <c r="M706" s="14" t="n">
        <f aca="false">IF(Operations!M690=0,0,Operations!M689/Operations!M690)</f>
        <v>0</v>
      </c>
      <c r="N706" s="14" t="n">
        <f aca="false">IF(Operations!N690=0,0,Operations!N689/Operations!N690)</f>
        <v>0</v>
      </c>
      <c r="O706" s="14" t="n">
        <f aca="false">IF(Operations!O690=0,0,Operations!O689/Operations!O690)</f>
        <v>0</v>
      </c>
      <c r="P706" s="14" t="n">
        <f aca="false">IF(Operations!P690=0,0,Operations!P689/Operations!P690)</f>
        <v>0</v>
      </c>
      <c r="Q706" s="14" t="n">
        <f aca="false">IF(Operations!Q690=0,0,Operations!Q689/Operations!Q690)</f>
        <v>0</v>
      </c>
      <c r="R706" s="14" t="n">
        <f aca="false">IF(Operations!R690=0,0,Operations!R689/Operations!R690)</f>
        <v>0</v>
      </c>
      <c r="S706" s="14" t="n">
        <f aca="false">IF(Operations!S690=0,0,Operations!S689/Operations!S690)</f>
        <v>0</v>
      </c>
      <c r="T706" s="14" t="n">
        <f aca="false">IF(Operations!T690=0,0,Operations!T689/Operations!T690)</f>
        <v>0</v>
      </c>
      <c r="U706" s="14" t="n">
        <f aca="false">IF(Operations!U690=0,0,Operations!U689/Operations!U690)</f>
        <v>0</v>
      </c>
      <c r="V706" s="14" t="n">
        <f aca="false">IF(Operations!V690=0,0,Operations!V689/Operations!V690)</f>
        <v>0</v>
      </c>
      <c r="W706" s="14" t="n">
        <f aca="false">IF(Operations!W690=0,0,Operations!W689/Operations!W690)</f>
        <v>0</v>
      </c>
      <c r="X706" s="14" t="n">
        <f aca="false">IF(Operations!X690=0,0,Operations!X689/Operations!X690)</f>
        <v>0</v>
      </c>
      <c r="Y706" s="14" t="n">
        <f aca="false">IF(Operations!Y690=0,0,Operations!Y689/Operations!Y690)</f>
        <v>0</v>
      </c>
      <c r="Z706" s="14" t="n">
        <f aca="false">IF(Operations!Z690=0,0,Operations!Z689/Operations!Z690)</f>
        <v>0</v>
      </c>
      <c r="AA706" s="14" t="n">
        <f aca="false">IF(Operations!AA690=0,0,Operations!AA689/Operations!AA690)</f>
        <v>0</v>
      </c>
      <c r="AB706" s="14" t="n">
        <f aca="false">IF(Operations!AB690=0,0,Operations!AB689/Operations!AB690)</f>
        <v>0</v>
      </c>
      <c r="AC706" s="14" t="n">
        <f aca="false">IF(Operations!AC690=0,0,Operations!AC689/Operations!AC690)</f>
        <v>0</v>
      </c>
      <c r="AD706" s="14" t="n">
        <f aca="false">IF(Operations!AD690=0,0,Operations!AD689/Operations!AD690)</f>
        <v>0</v>
      </c>
      <c r="AE706" s="14" t="n">
        <f aca="false">IF(Operations!AE690=0,0,Operations!AE689/Operations!AE690)</f>
        <v>0</v>
      </c>
      <c r="AF706" s="14" t="n">
        <f aca="false">IF(Operations!AF690=0,0,Operations!AF689/Operations!AF690)</f>
        <v>0</v>
      </c>
      <c r="AG706" s="14" t="n">
        <f aca="false">IF(Operations!AG690=0,0,Operations!AG689/Operations!AG690)</f>
        <v>0</v>
      </c>
      <c r="AH706" s="14" t="n">
        <f aca="false">IF(Operations!AH690=0,0,Operations!AH689/Operations!AH690)</f>
        <v>0</v>
      </c>
      <c r="AI706" s="14" t="n">
        <f aca="false">IF(Operations!AI690=0,0,Operations!AI689/Operations!AI690)</f>
        <v>0</v>
      </c>
      <c r="AJ706" s="14" t="n">
        <f aca="false">IF(Operations!AJ690=0,0,Operations!AJ689/Operations!AJ690)</f>
        <v>0</v>
      </c>
      <c r="AK706" s="14" t="n">
        <f aca="false">IF(Operations!AK690=0,0,Operations!AK689/Operations!AK690)</f>
        <v>0</v>
      </c>
      <c r="AL706" s="14" t="n">
        <f aca="false">IF(Operations!AL690=0,0,Operations!AL689/Operations!AL690)</f>
        <v>0</v>
      </c>
      <c r="AM706" s="14" t="n">
        <f aca="false">IF(Operations!AM690=0,0,Operations!AM689/Operations!AM690)</f>
        <v>0</v>
      </c>
      <c r="AN706" s="14" t="n">
        <f aca="false">IF(Operations!AN690=0,0,Operations!AN689/Operations!AN690)</f>
        <v>0</v>
      </c>
      <c r="AO706" s="14" t="n">
        <f aca="false">IF(Operations!AO690=0,0,Operations!AO689/Operations!AO690)</f>
        <v>0</v>
      </c>
      <c r="AP706" s="14" t="n">
        <f aca="false">IF(Operations!AP690=0,0,Operations!AP689/Operations!AP690)</f>
        <v>0</v>
      </c>
      <c r="AQ706" s="14" t="n">
        <f aca="false">IF(Operations!AQ690=0,0,Operations!AQ689/Operations!AQ690)</f>
        <v>0</v>
      </c>
      <c r="AR706" s="14" t="n">
        <f aca="false">IF(Operations!AR690=0,0,Operations!AR689/Operations!AR690)</f>
        <v>0</v>
      </c>
      <c r="AS706" s="14" t="n">
        <f aca="false">IF(Operations!AS690=0,0,Operations!AS689/Operations!AS690)</f>
        <v>0</v>
      </c>
      <c r="AT706" s="14" t="n">
        <f aca="false">IF(Operations!AT690=0,0,Operations!AT689/Operations!AT690)</f>
        <v>0</v>
      </c>
      <c r="AU706" s="14" t="n">
        <f aca="false">IF(Operations!AU690=0,0,Operations!AU689/Operations!AU690)</f>
        <v>0</v>
      </c>
    </row>
    <row r="707" customFormat="false" ht="15" hidden="false" customHeight="false" outlineLevel="0" collapsed="false">
      <c r="D707" s="0" t="s">
        <v>707</v>
      </c>
      <c r="E707" s="0" t="s">
        <v>458</v>
      </c>
      <c r="J707" s="14" t="n">
        <f aca="false">1-Operations!J705-Operations!J706</f>
        <v>1</v>
      </c>
      <c r="K707" s="14" t="n">
        <f aca="false">1-Operations!K705-Operations!K706</f>
        <v>0</v>
      </c>
      <c r="L707" s="14" t="n">
        <f aca="false">1-Operations!L705-Operations!L706</f>
        <v>0</v>
      </c>
      <c r="M707" s="14" t="n">
        <f aca="false">1-Operations!M705-Operations!M706</f>
        <v>0</v>
      </c>
      <c r="N707" s="14" t="n">
        <f aca="false">1-Operations!N705-Operations!N706</f>
        <v>0</v>
      </c>
      <c r="O707" s="14" t="n">
        <f aca="false">1-Operations!O705-Operations!O706</f>
        <v>0</v>
      </c>
      <c r="P707" s="14" t="n">
        <f aca="false">1-Operations!P705-Operations!P706</f>
        <v>0</v>
      </c>
      <c r="Q707" s="14" t="n">
        <f aca="false">1-Operations!Q705-Operations!Q706</f>
        <v>0</v>
      </c>
      <c r="R707" s="14" t="n">
        <f aca="false">1-Operations!R705-Operations!R706</f>
        <v>0.324767155861945</v>
      </c>
      <c r="S707" s="14" t="n">
        <f aca="false">1-Operations!S705-Operations!S706</f>
        <v>1</v>
      </c>
      <c r="T707" s="14" t="n">
        <f aca="false">1-Operations!T705-Operations!T706</f>
        <v>1</v>
      </c>
      <c r="U707" s="14" t="n">
        <f aca="false">1-Operations!U705-Operations!U706</f>
        <v>1</v>
      </c>
      <c r="V707" s="14" t="n">
        <f aca="false">1-Operations!V705-Operations!V706</f>
        <v>1</v>
      </c>
      <c r="W707" s="14" t="n">
        <f aca="false">1-Operations!W705-Operations!W706</f>
        <v>1</v>
      </c>
      <c r="X707" s="14" t="n">
        <f aca="false">1-Operations!X705-Operations!X706</f>
        <v>1</v>
      </c>
      <c r="Y707" s="14" t="n">
        <f aca="false">1-Operations!Y705-Operations!Y706</f>
        <v>1</v>
      </c>
      <c r="Z707" s="14" t="n">
        <f aca="false">1-Operations!Z705-Operations!Z706</f>
        <v>1</v>
      </c>
      <c r="AA707" s="14" t="n">
        <f aca="false">1-Operations!AA705-Operations!AA706</f>
        <v>1</v>
      </c>
      <c r="AB707" s="14" t="n">
        <f aca="false">1-Operations!AB705-Operations!AB706</f>
        <v>1</v>
      </c>
      <c r="AC707" s="14" t="n">
        <f aca="false">1-Operations!AC705-Operations!AC706</f>
        <v>1</v>
      </c>
      <c r="AD707" s="14" t="n">
        <f aca="false">1-Operations!AD705-Operations!AD706</f>
        <v>1</v>
      </c>
      <c r="AE707" s="14" t="n">
        <f aca="false">1-Operations!AE705-Operations!AE706</f>
        <v>1</v>
      </c>
      <c r="AF707" s="14" t="n">
        <f aca="false">1-Operations!AF705-Operations!AF706</f>
        <v>1</v>
      </c>
      <c r="AG707" s="14" t="n">
        <f aca="false">1-Operations!AG705-Operations!AG706</f>
        <v>1</v>
      </c>
      <c r="AH707" s="14" t="n">
        <f aca="false">1-Operations!AH705-Operations!AH706</f>
        <v>1</v>
      </c>
      <c r="AI707" s="14" t="n">
        <f aca="false">1-Operations!AI705-Operations!AI706</f>
        <v>1</v>
      </c>
      <c r="AJ707" s="14" t="n">
        <f aca="false">1-Operations!AJ705-Operations!AJ706</f>
        <v>1</v>
      </c>
      <c r="AK707" s="14" t="n">
        <f aca="false">1-Operations!AK705-Operations!AK706</f>
        <v>1</v>
      </c>
      <c r="AL707" s="14" t="n">
        <f aca="false">1-Operations!AL705-Operations!AL706</f>
        <v>1</v>
      </c>
      <c r="AM707" s="14" t="n">
        <f aca="false">1-Operations!AM705-Operations!AM706</f>
        <v>1</v>
      </c>
      <c r="AN707" s="14" t="n">
        <f aca="false">1-Operations!AN705-Operations!AN706</f>
        <v>1</v>
      </c>
      <c r="AO707" s="14" t="n">
        <f aca="false">1-Operations!AO705-Operations!AO706</f>
        <v>1</v>
      </c>
      <c r="AP707" s="14" t="n">
        <f aca="false">1-Operations!AP705-Operations!AP706</f>
        <v>1</v>
      </c>
      <c r="AQ707" s="14" t="n">
        <f aca="false">1-Operations!AQ705-Operations!AQ706</f>
        <v>1</v>
      </c>
      <c r="AR707" s="14" t="n">
        <f aca="false">1-Operations!AR705-Operations!AR706</f>
        <v>1</v>
      </c>
      <c r="AS707" s="14" t="n">
        <f aca="false">1-Operations!AS705-Operations!AS706</f>
        <v>1</v>
      </c>
      <c r="AT707" s="14" t="n">
        <f aca="false">1-Operations!AT705-Operations!AT706</f>
        <v>1</v>
      </c>
      <c r="AU707" s="14" t="n">
        <f aca="false">1-Operations!AU705-Operations!AU706</f>
        <v>1</v>
      </c>
    </row>
    <row r="708" customFormat="false" ht="15" hidden="false" customHeight="false" outlineLevel="0" collapsed="false">
      <c r="D708" s="0" t="s">
        <v>708</v>
      </c>
      <c r="E708" s="0" t="s">
        <v>47</v>
      </c>
      <c r="J708" s="20" t="n">
        <f aca="false">Operations!J688*Operations!J673*(1-Operations!J700)</f>
        <v>0</v>
      </c>
      <c r="K708" s="20" t="n">
        <f aca="false">Operations!K688*Operations!K673*(1-Operations!K700)</f>
        <v>3.67002739726028</v>
      </c>
      <c r="L708" s="20" t="n">
        <f aca="false">Operations!L688*Operations!L673*(1-Operations!L700)</f>
        <v>10.98</v>
      </c>
      <c r="M708" s="20" t="n">
        <f aca="false">Operations!M688*Operations!M673*(1-Operations!M700)</f>
        <v>10.98</v>
      </c>
      <c r="N708" s="20" t="n">
        <f aca="false">Operations!N688*Operations!N673*(1-Operations!N700)</f>
        <v>10.98</v>
      </c>
      <c r="O708" s="20" t="n">
        <f aca="false">Operations!O688*Operations!O673*(1-Operations!O700)</f>
        <v>10.98</v>
      </c>
      <c r="P708" s="20" t="n">
        <f aca="false">Operations!P688*Operations!P673*(1-Operations!P700)</f>
        <v>10.98</v>
      </c>
      <c r="Q708" s="20" t="n">
        <f aca="false">Operations!Q688*Operations!Q673*(1-Operations!Q700)</f>
        <v>10.98</v>
      </c>
      <c r="R708" s="20" t="n">
        <f aca="false">Operations!R688*Operations!R673*(1-Operations!R700)</f>
        <v>5.83594520547945</v>
      </c>
      <c r="S708" s="20" t="n">
        <f aca="false">Operations!S688*Operations!S673*(1-Operations!S700)</f>
        <v>0</v>
      </c>
      <c r="T708" s="20" t="n">
        <f aca="false">Operations!T688*Operations!T673*(1-Operations!T700)</f>
        <v>0</v>
      </c>
      <c r="U708" s="20" t="n">
        <f aca="false">Operations!U688*Operations!U673*(1-Operations!U700)</f>
        <v>0</v>
      </c>
      <c r="V708" s="20" t="n">
        <f aca="false">Operations!V688*Operations!V673*(1-Operations!V700)</f>
        <v>0</v>
      </c>
      <c r="W708" s="20" t="n">
        <f aca="false">Operations!W688*Operations!W673*(1-Operations!W700)</f>
        <v>0</v>
      </c>
      <c r="X708" s="20" t="n">
        <f aca="false">Operations!X688*Operations!X673*(1-Operations!X700)</f>
        <v>0</v>
      </c>
      <c r="Y708" s="20" t="n">
        <f aca="false">Operations!Y688*Operations!Y673*(1-Operations!Y700)</f>
        <v>0</v>
      </c>
      <c r="Z708" s="20" t="n">
        <f aca="false">Operations!Z688*Operations!Z673*(1-Operations!Z700)</f>
        <v>0</v>
      </c>
      <c r="AA708" s="20" t="n">
        <f aca="false">Operations!AA688*Operations!AA673*(1-Operations!AA700)</f>
        <v>0</v>
      </c>
      <c r="AB708" s="20" t="n">
        <f aca="false">Operations!AB688*Operations!AB673*(1-Operations!AB700)</f>
        <v>0</v>
      </c>
      <c r="AC708" s="20" t="n">
        <f aca="false">Operations!AC688*Operations!AC673*(1-Operations!AC700)</f>
        <v>0</v>
      </c>
      <c r="AD708" s="20" t="n">
        <f aca="false">Operations!AD688*Operations!AD673*(1-Operations!AD700)</f>
        <v>0</v>
      </c>
      <c r="AE708" s="20" t="n">
        <f aca="false">Operations!AE688*Operations!AE673*(1-Operations!AE700)</f>
        <v>0</v>
      </c>
      <c r="AF708" s="20" t="n">
        <f aca="false">Operations!AF688*Operations!AF673*(1-Operations!AF700)</f>
        <v>0</v>
      </c>
      <c r="AG708" s="20" t="n">
        <f aca="false">Operations!AG688*Operations!AG673*(1-Operations!AG700)</f>
        <v>0</v>
      </c>
      <c r="AH708" s="20" t="n">
        <f aca="false">Operations!AH688*Operations!AH673*(1-Operations!AH700)</f>
        <v>0</v>
      </c>
      <c r="AI708" s="20" t="n">
        <f aca="false">Operations!AI688*Operations!AI673*(1-Operations!AI700)</f>
        <v>0</v>
      </c>
      <c r="AJ708" s="20" t="n">
        <f aca="false">Operations!AJ688*Operations!AJ673*(1-Operations!AJ700)</f>
        <v>0</v>
      </c>
      <c r="AK708" s="20" t="n">
        <f aca="false">Operations!AK688*Operations!AK673*(1-Operations!AK700)</f>
        <v>0</v>
      </c>
      <c r="AL708" s="20" t="n">
        <f aca="false">Operations!AL688*Operations!AL673*(1-Operations!AL700)</f>
        <v>0</v>
      </c>
      <c r="AM708" s="20" t="n">
        <f aca="false">Operations!AM688*Operations!AM673*(1-Operations!AM700)</f>
        <v>0</v>
      </c>
      <c r="AN708" s="20" t="n">
        <f aca="false">Operations!AN688*Operations!AN673*(1-Operations!AN700)</f>
        <v>0</v>
      </c>
      <c r="AO708" s="20" t="n">
        <f aca="false">Operations!AO688*Operations!AO673*(1-Operations!AO700)</f>
        <v>0</v>
      </c>
      <c r="AP708" s="20" t="n">
        <f aca="false">Operations!AP688*Operations!AP673*(1-Operations!AP700)</f>
        <v>0</v>
      </c>
      <c r="AQ708" s="20" t="n">
        <f aca="false">Operations!AQ688*Operations!AQ673*(1-Operations!AQ700)</f>
        <v>0</v>
      </c>
      <c r="AR708" s="20" t="n">
        <f aca="false">Operations!AR688*Operations!AR673*(1-Operations!AR700)</f>
        <v>0</v>
      </c>
      <c r="AS708" s="20" t="n">
        <f aca="false">Operations!AS688*Operations!AS673*(1-Operations!AS700)</f>
        <v>0</v>
      </c>
      <c r="AT708" s="20" t="n">
        <f aca="false">Operations!AT688*Operations!AT673*(1-Operations!AT700)</f>
        <v>0</v>
      </c>
      <c r="AU708" s="20" t="n">
        <f aca="false">Operations!AU688*Operations!AU673*(1-Operations!AU700)</f>
        <v>0</v>
      </c>
    </row>
    <row r="709" customFormat="false" ht="15" hidden="false" customHeight="false" outlineLevel="0" collapsed="false">
      <c r="D709" s="0" t="s">
        <v>709</v>
      </c>
      <c r="E709" s="0" t="s">
        <v>47</v>
      </c>
      <c r="J709" s="20" t="n">
        <f aca="false">Operations!J689*Operations!J673*(1-Operations!J700)</f>
        <v>0</v>
      </c>
      <c r="K709" s="20" t="n">
        <f aca="false">Operations!K689*Operations!K673*(1-Operations!K700)</f>
        <v>0</v>
      </c>
      <c r="L709" s="20" t="n">
        <f aca="false">Operations!L689*Operations!L673*(1-Operations!L700)</f>
        <v>0</v>
      </c>
      <c r="M709" s="20" t="n">
        <f aca="false">Operations!M689*Operations!M673*(1-Operations!M700)</f>
        <v>0</v>
      </c>
      <c r="N709" s="20" t="n">
        <f aca="false">Operations!N689*Operations!N673*(1-Operations!N700)</f>
        <v>0</v>
      </c>
      <c r="O709" s="20" t="n">
        <f aca="false">Operations!O689*Operations!O673*(1-Operations!O700)</f>
        <v>0</v>
      </c>
      <c r="P709" s="20" t="n">
        <f aca="false">Operations!P689*Operations!P673*(1-Operations!P700)</f>
        <v>0</v>
      </c>
      <c r="Q709" s="20" t="n">
        <f aca="false">Operations!Q689*Operations!Q673*(1-Operations!Q700)</f>
        <v>0</v>
      </c>
      <c r="R709" s="20" t="n">
        <f aca="false">Operations!R689*Operations!R673*(1-Operations!R700)</f>
        <v>0</v>
      </c>
      <c r="S709" s="20" t="n">
        <f aca="false">Operations!S689*Operations!S673*(1-Operations!S700)</f>
        <v>0</v>
      </c>
      <c r="T709" s="20" t="n">
        <f aca="false">Operations!T689*Operations!T673*(1-Operations!T700)</f>
        <v>0</v>
      </c>
      <c r="U709" s="20" t="n">
        <f aca="false">Operations!U689*Operations!U673*(1-Operations!U700)</f>
        <v>0</v>
      </c>
      <c r="V709" s="20" t="n">
        <f aca="false">Operations!V689*Operations!V673*(1-Operations!V700)</f>
        <v>0</v>
      </c>
      <c r="W709" s="20" t="n">
        <f aca="false">Operations!W689*Operations!W673*(1-Operations!W700)</f>
        <v>0</v>
      </c>
      <c r="X709" s="20" t="n">
        <f aca="false">Operations!X689*Operations!X673*(1-Operations!X700)</f>
        <v>0</v>
      </c>
      <c r="Y709" s="20" t="n">
        <f aca="false">Operations!Y689*Operations!Y673*(1-Operations!Y700)</f>
        <v>0</v>
      </c>
      <c r="Z709" s="20" t="n">
        <f aca="false">Operations!Z689*Operations!Z673*(1-Operations!Z700)</f>
        <v>0</v>
      </c>
      <c r="AA709" s="20" t="n">
        <f aca="false">Operations!AA689*Operations!AA673*(1-Operations!AA700)</f>
        <v>0</v>
      </c>
      <c r="AB709" s="20" t="n">
        <f aca="false">Operations!AB689*Operations!AB673*(1-Operations!AB700)</f>
        <v>0</v>
      </c>
      <c r="AC709" s="20" t="n">
        <f aca="false">Operations!AC689*Operations!AC673*(1-Operations!AC700)</f>
        <v>0</v>
      </c>
      <c r="AD709" s="20" t="n">
        <f aca="false">Operations!AD689*Operations!AD673*(1-Operations!AD700)</f>
        <v>0</v>
      </c>
      <c r="AE709" s="20" t="n">
        <f aca="false">Operations!AE689*Operations!AE673*(1-Operations!AE700)</f>
        <v>0</v>
      </c>
      <c r="AF709" s="20" t="n">
        <f aca="false">Operations!AF689*Operations!AF673*(1-Operations!AF700)</f>
        <v>0</v>
      </c>
      <c r="AG709" s="20" t="n">
        <f aca="false">Operations!AG689*Operations!AG673*(1-Operations!AG700)</f>
        <v>0</v>
      </c>
      <c r="AH709" s="20" t="n">
        <f aca="false">Operations!AH689*Operations!AH673*(1-Operations!AH700)</f>
        <v>0</v>
      </c>
      <c r="AI709" s="20" t="n">
        <f aca="false">Operations!AI689*Operations!AI673*(1-Operations!AI700)</f>
        <v>0</v>
      </c>
      <c r="AJ709" s="20" t="n">
        <f aca="false">Operations!AJ689*Operations!AJ673*(1-Operations!AJ700)</f>
        <v>0</v>
      </c>
      <c r="AK709" s="20" t="n">
        <f aca="false">Operations!AK689*Operations!AK673*(1-Operations!AK700)</f>
        <v>0</v>
      </c>
      <c r="AL709" s="20" t="n">
        <f aca="false">Operations!AL689*Operations!AL673*(1-Operations!AL700)</f>
        <v>0</v>
      </c>
      <c r="AM709" s="20" t="n">
        <f aca="false">Operations!AM689*Operations!AM673*(1-Operations!AM700)</f>
        <v>0</v>
      </c>
      <c r="AN709" s="20" t="n">
        <f aca="false">Operations!AN689*Operations!AN673*(1-Operations!AN700)</f>
        <v>0</v>
      </c>
      <c r="AO709" s="20" t="n">
        <f aca="false">Operations!AO689*Operations!AO673*(1-Operations!AO700)</f>
        <v>0</v>
      </c>
      <c r="AP709" s="20" t="n">
        <f aca="false">Operations!AP689*Operations!AP673*(1-Operations!AP700)</f>
        <v>0</v>
      </c>
      <c r="AQ709" s="20" t="n">
        <f aca="false">Operations!AQ689*Operations!AQ673*(1-Operations!AQ700)</f>
        <v>0</v>
      </c>
      <c r="AR709" s="20" t="n">
        <f aca="false">Operations!AR689*Operations!AR673*(1-Operations!AR700)</f>
        <v>0</v>
      </c>
      <c r="AS709" s="20" t="n">
        <f aca="false">Operations!AS689*Operations!AS673*(1-Operations!AS700)</f>
        <v>0</v>
      </c>
      <c r="AT709" s="20" t="n">
        <f aca="false">Operations!AT689*Operations!AT673*(1-Operations!AT700)</f>
        <v>0</v>
      </c>
      <c r="AU709" s="20" t="n">
        <f aca="false">Operations!AU689*Operations!AU673*(1-Operations!AU700)</f>
        <v>0</v>
      </c>
    </row>
    <row r="710" customFormat="false" ht="15" hidden="false" customHeight="false" outlineLevel="0" collapsed="false">
      <c r="D710" s="0" t="s">
        <v>710</v>
      </c>
      <c r="E710" s="0" t="s">
        <v>47</v>
      </c>
      <c r="J710" s="20" t="n">
        <f aca="false">Operations!J691*Operations!J673*(1-Operations!J700)</f>
        <v>0</v>
      </c>
      <c r="K710" s="20" t="n">
        <f aca="false">Operations!K691*Operations!K673*(1-Operations!K700)</f>
        <v>0</v>
      </c>
      <c r="L710" s="20" t="n">
        <f aca="false">Operations!L691*Operations!L673*(1-Operations!L700)</f>
        <v>0</v>
      </c>
      <c r="M710" s="20" t="n">
        <f aca="false">Operations!M691*Operations!M673*(1-Operations!M700)</f>
        <v>0</v>
      </c>
      <c r="N710" s="20" t="n">
        <f aca="false">Operations!N691*Operations!N673*(1-Operations!N700)</f>
        <v>0</v>
      </c>
      <c r="O710" s="20" t="n">
        <f aca="false">Operations!O691*Operations!O673*(1-Operations!O700)</f>
        <v>0</v>
      </c>
      <c r="P710" s="20" t="n">
        <f aca="false">Operations!P691*Operations!P673*(1-Operations!P700)</f>
        <v>0</v>
      </c>
      <c r="Q710" s="20" t="n">
        <f aca="false">Operations!Q691*Operations!Q673*(1-Operations!Q700)</f>
        <v>0</v>
      </c>
      <c r="R710" s="20" t="n">
        <f aca="false">Operations!R691*Operations!R673*(1-Operations!R700)</f>
        <v>2.80691815068493</v>
      </c>
      <c r="S710" s="20" t="n">
        <f aca="false">Operations!S691*Operations!S673*(1-Operations!S700)</f>
        <v>6.081075</v>
      </c>
      <c r="T710" s="20" t="n">
        <f aca="false">Operations!T691*Operations!T673*(1-Operations!T700)</f>
        <v>6.172725</v>
      </c>
      <c r="U710" s="20" t="n">
        <f aca="false">Operations!U691*Operations!U673*(1-Operations!U700)</f>
        <v>6.26535</v>
      </c>
      <c r="V710" s="20" t="n">
        <f aca="false">Operations!V691*Operations!V673*(1-Operations!V700)</f>
        <v>6.35895</v>
      </c>
      <c r="W710" s="20" t="n">
        <f aca="false">Operations!W691*Operations!W673*(1-Operations!W700)</f>
        <v>6.4545</v>
      </c>
      <c r="X710" s="20" t="n">
        <f aca="false">Operations!X691*Operations!X673*(1-Operations!X700)</f>
        <v>6.47343753158219</v>
      </c>
      <c r="Y710" s="20" t="n">
        <f aca="false">Operations!Y691*Operations!Y673*(1-Operations!Y700)</f>
        <v>6.48685596267123</v>
      </c>
      <c r="Z710" s="20" t="n">
        <f aca="false">Operations!Z691*Operations!Z673*(1-Operations!Z700)</f>
        <v>6.49985734966438</v>
      </c>
      <c r="AA710" s="20" t="n">
        <f aca="false">Operations!AA691*Operations!AA673*(1-Operations!AA700)</f>
        <v>6.51325553734932</v>
      </c>
      <c r="AB710" s="20" t="n">
        <f aca="false">Operations!AB691*Operations!AB673*(1-Operations!AB700)</f>
        <v>6.52495716573288</v>
      </c>
      <c r="AC710" s="20" t="n">
        <f aca="false">Operations!AC691*Operations!AC673*(1-Operations!AC700)</f>
        <v>6.53595162768493</v>
      </c>
      <c r="AD710" s="20" t="n">
        <f aca="false">Operations!AD691*Operations!AD673*(1-Operations!AD700)</f>
        <v>6.54735362708219</v>
      </c>
      <c r="AE710" s="20" t="n">
        <f aca="false">Operations!AE691*Operations!AE673*(1-Operations!AE700)</f>
        <v>3.80910816672712</v>
      </c>
      <c r="AF710" s="20" t="n">
        <f aca="false">Operations!AF691*Operations!AF673*(1-Operations!AF700)</f>
        <v>0</v>
      </c>
      <c r="AG710" s="20" t="n">
        <f aca="false">Operations!AG691*Operations!AG673*(1-Operations!AG700)</f>
        <v>0</v>
      </c>
      <c r="AH710" s="20" t="n">
        <f aca="false">Operations!AH691*Operations!AH673*(1-Operations!AH700)</f>
        <v>0</v>
      </c>
      <c r="AI710" s="20" t="n">
        <f aca="false">Operations!AI691*Operations!AI673*(1-Operations!AI700)</f>
        <v>0</v>
      </c>
      <c r="AJ710" s="20" t="n">
        <f aca="false">Operations!AJ691*Operations!AJ673*(1-Operations!AJ700)</f>
        <v>0</v>
      </c>
      <c r="AK710" s="20" t="n">
        <f aca="false">Operations!AK691*Operations!AK673*(1-Operations!AK700)</f>
        <v>0</v>
      </c>
      <c r="AL710" s="20" t="n">
        <f aca="false">Operations!AL691*Operations!AL673*(1-Operations!AL700)</f>
        <v>0</v>
      </c>
      <c r="AM710" s="20" t="n">
        <f aca="false">Operations!AM691*Operations!AM673*(1-Operations!AM700)</f>
        <v>0</v>
      </c>
      <c r="AN710" s="20" t="n">
        <f aca="false">Operations!AN691*Operations!AN673*(1-Operations!AN700)</f>
        <v>0</v>
      </c>
      <c r="AO710" s="20" t="n">
        <f aca="false">Operations!AO691*Operations!AO673*(1-Operations!AO700)</f>
        <v>0</v>
      </c>
      <c r="AP710" s="20" t="n">
        <f aca="false">Operations!AP691*Operations!AP673*(1-Operations!AP700)</f>
        <v>0</v>
      </c>
      <c r="AQ710" s="20" t="n">
        <f aca="false">Operations!AQ691*Operations!AQ673*(1-Operations!AQ700)</f>
        <v>0</v>
      </c>
      <c r="AR710" s="20" t="n">
        <f aca="false">Operations!AR691*Operations!AR673*(1-Operations!AR700)</f>
        <v>0</v>
      </c>
      <c r="AS710" s="20" t="n">
        <f aca="false">Operations!AS691*Operations!AS673*(1-Operations!AS700)</f>
        <v>0</v>
      </c>
      <c r="AT710" s="20" t="n">
        <f aca="false">Operations!AT691*Operations!AT673*(1-Operations!AT700)</f>
        <v>0</v>
      </c>
      <c r="AU710" s="20" t="n">
        <f aca="false">Operations!AU691*Operations!AU673*(1-Operations!AU700)</f>
        <v>0</v>
      </c>
    </row>
    <row r="711" customFormat="false" ht="15" hidden="false" customHeight="false" outlineLevel="0" collapsed="false">
      <c r="D711" s="0" t="s">
        <v>711</v>
      </c>
      <c r="E711" s="0" t="s">
        <v>47</v>
      </c>
      <c r="J711" s="20" t="n">
        <f aca="false">Operations!J690*Operations!J673*(1-Operations!J700)</f>
        <v>0</v>
      </c>
      <c r="K711" s="20" t="n">
        <f aca="false">Operations!K690*Operations!K673*(1-Operations!K700)</f>
        <v>3.67002739726028</v>
      </c>
      <c r="L711" s="20" t="n">
        <f aca="false">Operations!L690*Operations!L673*(1-Operations!L700)</f>
        <v>10.98</v>
      </c>
      <c r="M711" s="20" t="n">
        <f aca="false">Operations!M690*Operations!M673*(1-Operations!M700)</f>
        <v>10.98</v>
      </c>
      <c r="N711" s="20" t="n">
        <f aca="false">Operations!N690*Operations!N673*(1-Operations!N700)</f>
        <v>10.98</v>
      </c>
      <c r="O711" s="20" t="n">
        <f aca="false">Operations!O690*Operations!O673*(1-Operations!O700)</f>
        <v>10.98</v>
      </c>
      <c r="P711" s="20" t="n">
        <f aca="false">Operations!P690*Operations!P673*(1-Operations!P700)</f>
        <v>10.98</v>
      </c>
      <c r="Q711" s="20" t="n">
        <f aca="false">Operations!Q690*Operations!Q673*(1-Operations!Q700)</f>
        <v>10.98</v>
      </c>
      <c r="R711" s="20" t="n">
        <f aca="false">Operations!R690*Operations!R673*(1-Operations!R700)</f>
        <v>8.64286335616439</v>
      </c>
      <c r="S711" s="20" t="n">
        <f aca="false">Operations!S690*Operations!S673*(1-Operations!S700)</f>
        <v>6.081075</v>
      </c>
      <c r="T711" s="20" t="n">
        <f aca="false">Operations!T690*Operations!T673*(1-Operations!T700)</f>
        <v>6.172725</v>
      </c>
      <c r="U711" s="20" t="n">
        <f aca="false">Operations!U690*Operations!U673*(1-Operations!U700)</f>
        <v>6.26535</v>
      </c>
      <c r="V711" s="20" t="n">
        <f aca="false">Operations!V690*Operations!V673*(1-Operations!V700)</f>
        <v>6.35895</v>
      </c>
      <c r="W711" s="20" t="n">
        <f aca="false">Operations!W690*Operations!W673*(1-Operations!W700)</f>
        <v>6.4545</v>
      </c>
      <c r="X711" s="20" t="n">
        <f aca="false">Operations!X690*Operations!X673*(1-Operations!X700)</f>
        <v>6.47343753158219</v>
      </c>
      <c r="Y711" s="20" t="n">
        <f aca="false">Operations!Y690*Operations!Y673*(1-Operations!Y700)</f>
        <v>6.48685596267123</v>
      </c>
      <c r="Z711" s="20" t="n">
        <f aca="false">Operations!Z690*Operations!Z673*(1-Operations!Z700)</f>
        <v>6.49985734966438</v>
      </c>
      <c r="AA711" s="20" t="n">
        <f aca="false">Operations!AA690*Operations!AA673*(1-Operations!AA700)</f>
        <v>6.51325553734932</v>
      </c>
      <c r="AB711" s="20" t="n">
        <f aca="false">Operations!AB690*Operations!AB673*(1-Operations!AB700)</f>
        <v>6.52495716573288</v>
      </c>
      <c r="AC711" s="20" t="n">
        <f aca="false">Operations!AC690*Operations!AC673*(1-Operations!AC700)</f>
        <v>6.53595162768493</v>
      </c>
      <c r="AD711" s="20" t="n">
        <f aca="false">Operations!AD690*Operations!AD673*(1-Operations!AD700)</f>
        <v>6.54735362708219</v>
      </c>
      <c r="AE711" s="20" t="n">
        <f aca="false">Operations!AE690*Operations!AE673*(1-Operations!AE700)</f>
        <v>3.80910816672712</v>
      </c>
      <c r="AF711" s="20" t="n">
        <f aca="false">Operations!AF690*Operations!AF673*(1-Operations!AF700)</f>
        <v>0</v>
      </c>
      <c r="AG711" s="20" t="n">
        <f aca="false">Operations!AG690*Operations!AG673*(1-Operations!AG700)</f>
        <v>0</v>
      </c>
      <c r="AH711" s="20" t="n">
        <f aca="false">Operations!AH690*Operations!AH673*(1-Operations!AH700)</f>
        <v>0</v>
      </c>
      <c r="AI711" s="20" t="n">
        <f aca="false">Operations!AI690*Operations!AI673*(1-Operations!AI700)</f>
        <v>0</v>
      </c>
      <c r="AJ711" s="20" t="n">
        <f aca="false">Operations!AJ690*Operations!AJ673*(1-Operations!AJ700)</f>
        <v>0</v>
      </c>
      <c r="AK711" s="20" t="n">
        <f aca="false">Operations!AK690*Operations!AK673*(1-Operations!AK700)</f>
        <v>0</v>
      </c>
      <c r="AL711" s="20" t="n">
        <f aca="false">Operations!AL690*Operations!AL673*(1-Operations!AL700)</f>
        <v>0</v>
      </c>
      <c r="AM711" s="20" t="n">
        <f aca="false">Operations!AM690*Operations!AM673*(1-Operations!AM700)</f>
        <v>0</v>
      </c>
      <c r="AN711" s="20" t="n">
        <f aca="false">Operations!AN690*Operations!AN673*(1-Operations!AN700)</f>
        <v>0</v>
      </c>
      <c r="AO711" s="20" t="n">
        <f aca="false">Operations!AO690*Operations!AO673*(1-Operations!AO700)</f>
        <v>0</v>
      </c>
      <c r="AP711" s="20" t="n">
        <f aca="false">Operations!AP690*Operations!AP673*(1-Operations!AP700)</f>
        <v>0</v>
      </c>
      <c r="AQ711" s="20" t="n">
        <f aca="false">Operations!AQ690*Operations!AQ673*(1-Operations!AQ700)</f>
        <v>0</v>
      </c>
      <c r="AR711" s="20" t="n">
        <f aca="false">Operations!AR690*Operations!AR673*(1-Operations!AR700)</f>
        <v>0</v>
      </c>
      <c r="AS711" s="20" t="n">
        <f aca="false">Operations!AS690*Operations!AS673*(1-Operations!AS700)</f>
        <v>0</v>
      </c>
      <c r="AT711" s="20" t="n">
        <f aca="false">Operations!AT690*Operations!AT673*(1-Operations!AT700)</f>
        <v>0</v>
      </c>
      <c r="AU711" s="20" t="n">
        <f aca="false">Operations!AU690*Operations!AU673*(1-Operations!AU700)</f>
        <v>0</v>
      </c>
    </row>
    <row r="712" customFormat="false" ht="15" hidden="false" customHeight="false" outlineLevel="0" collapsed="false">
      <c r="D712" s="19" t="s">
        <v>712</v>
      </c>
    </row>
    <row r="713" customFormat="false" ht="15" hidden="false" customHeight="false" outlineLevel="0" collapsed="false">
      <c r="D713" s="0" t="s">
        <v>713</v>
      </c>
      <c r="E713" s="0" t="s">
        <v>458</v>
      </c>
      <c r="J713" s="14" t="n">
        <f aca="false">MAX(0,MIN(Inputs!$F$158,Time!J$6)-MAX(Inputs!$F$157,Time!J$5))/Time!J$7</f>
        <v>0</v>
      </c>
      <c r="K713" s="14" t="n">
        <f aca="false">MAX(0,MIN(Inputs!$F$158,Time!K$6)-MAX(Inputs!$F$157,Time!K$5))/Time!K$7</f>
        <v>0</v>
      </c>
      <c r="L713" s="14" t="n">
        <f aca="false">MAX(0,MIN(Inputs!$F$158,Time!L$6)-MAX(Inputs!$F$157,Time!L$5))/Time!L$7</f>
        <v>0.745901639344262</v>
      </c>
      <c r="M713" s="14" t="n">
        <f aca="false">MAX(0,MIN(Inputs!$F$158,Time!M$6)-MAX(Inputs!$F$157,Time!M$5))/Time!M$7</f>
        <v>1</v>
      </c>
      <c r="N713" s="14" t="n">
        <f aca="false">MAX(0,MIN(Inputs!$F$158,Time!N$6)-MAX(Inputs!$F$157,Time!N$5))/Time!N$7</f>
        <v>1</v>
      </c>
      <c r="O713" s="14" t="n">
        <f aca="false">MAX(0,MIN(Inputs!$F$158,Time!O$6)-MAX(Inputs!$F$157,Time!O$5))/Time!O$7</f>
        <v>1</v>
      </c>
      <c r="P713" s="14" t="n">
        <f aca="false">MAX(0,MIN(Inputs!$F$158,Time!P$6)-MAX(Inputs!$F$157,Time!P$5))/Time!P$7</f>
        <v>1</v>
      </c>
      <c r="Q713" s="14" t="n">
        <f aca="false">MAX(0,MIN(Inputs!$F$158,Time!Q$6)-MAX(Inputs!$F$157,Time!Q$5))/Time!Q$7</f>
        <v>1</v>
      </c>
      <c r="R713" s="14" t="n">
        <f aca="false">MAX(0,MIN(Inputs!$F$158,Time!R$6)-MAX(Inputs!$F$157,Time!R$5))/Time!R$7</f>
        <v>1</v>
      </c>
      <c r="S713" s="14" t="n">
        <f aca="false">MAX(0,MIN(Inputs!$F$158,Time!S$6)-MAX(Inputs!$F$157,Time!S$5))/Time!S$7</f>
        <v>1</v>
      </c>
      <c r="T713" s="14" t="n">
        <f aca="false">MAX(0,MIN(Inputs!$F$158,Time!T$6)-MAX(Inputs!$F$157,Time!T$5))/Time!T$7</f>
        <v>1</v>
      </c>
      <c r="U713" s="14" t="n">
        <f aca="false">MAX(0,MIN(Inputs!$F$158,Time!U$6)-MAX(Inputs!$F$157,Time!U$5))/Time!U$7</f>
        <v>1</v>
      </c>
      <c r="V713" s="14" t="n">
        <f aca="false">MAX(0,MIN(Inputs!$F$158,Time!V$6)-MAX(Inputs!$F$157,Time!V$5))/Time!V$7</f>
        <v>1</v>
      </c>
      <c r="W713" s="14" t="n">
        <f aca="false">MAX(0,MIN(Inputs!$F$158,Time!W$6)-MAX(Inputs!$F$157,Time!W$5))/Time!W$7</f>
        <v>1</v>
      </c>
      <c r="X713" s="14" t="n">
        <f aca="false">MAX(0,MIN(Inputs!$F$158,Time!X$6)-MAX(Inputs!$F$157,Time!X$5))/Time!X$7</f>
        <v>1</v>
      </c>
      <c r="Y713" s="14" t="n">
        <f aca="false">MAX(0,MIN(Inputs!$F$158,Time!Y$6)-MAX(Inputs!$F$157,Time!Y$5))/Time!Y$7</f>
        <v>1</v>
      </c>
      <c r="Z713" s="14" t="n">
        <f aca="false">MAX(0,MIN(Inputs!$F$158,Time!Z$6)-MAX(Inputs!$F$157,Time!Z$5))/Time!Z$7</f>
        <v>1</v>
      </c>
      <c r="AA713" s="14" t="n">
        <f aca="false">MAX(0,MIN(Inputs!$F$158,Time!AA$6)-MAX(Inputs!$F$157,Time!AA$5))/Time!AA$7</f>
        <v>1</v>
      </c>
      <c r="AB713" s="14" t="n">
        <f aca="false">MAX(0,MIN(Inputs!$F$158,Time!AB$6)-MAX(Inputs!$F$157,Time!AB$5))/Time!AB$7</f>
        <v>1</v>
      </c>
      <c r="AC713" s="14" t="n">
        <f aca="false">MAX(0,MIN(Inputs!$F$158,Time!AC$6)-MAX(Inputs!$F$157,Time!AC$5))/Time!AC$7</f>
        <v>1</v>
      </c>
      <c r="AD713" s="14" t="n">
        <f aca="false">MAX(0,MIN(Inputs!$F$158,Time!AD$6)-MAX(Inputs!$F$157,Time!AD$5))/Time!AD$7</f>
        <v>1</v>
      </c>
      <c r="AE713" s="14" t="n">
        <f aca="false">MAX(0,MIN(Inputs!$F$158,Time!AE$6)-MAX(Inputs!$F$157,Time!AE$5))/Time!AE$7</f>
        <v>1</v>
      </c>
      <c r="AF713" s="14" t="n">
        <f aca="false">MAX(0,MIN(Inputs!$F$158,Time!AF$6)-MAX(Inputs!$F$157,Time!AF$5))/Time!AF$7</f>
        <v>0.248633879781421</v>
      </c>
      <c r="AG713" s="14" t="n">
        <f aca="false">MAX(0,MIN(Inputs!$F$158,Time!AG$6)-MAX(Inputs!$F$157,Time!AG$5))/Time!AG$7</f>
        <v>0</v>
      </c>
      <c r="AH713" s="14" t="n">
        <f aca="false">MAX(0,MIN(Inputs!$F$158,Time!AH$6)-MAX(Inputs!$F$157,Time!AH$5))/Time!AH$7</f>
        <v>0</v>
      </c>
      <c r="AI713" s="14" t="n">
        <f aca="false">MAX(0,MIN(Inputs!$F$158,Time!AI$6)-MAX(Inputs!$F$157,Time!AI$5))/Time!AI$7</f>
        <v>0</v>
      </c>
      <c r="AJ713" s="14" t="n">
        <f aca="false">MAX(0,MIN(Inputs!$F$158,Time!AJ$6)-MAX(Inputs!$F$157,Time!AJ$5))/Time!AJ$7</f>
        <v>0</v>
      </c>
      <c r="AK713" s="14" t="n">
        <f aca="false">MAX(0,MIN(Inputs!$F$158,Time!AK$6)-MAX(Inputs!$F$157,Time!AK$5))/Time!AK$7</f>
        <v>0</v>
      </c>
      <c r="AL713" s="14" t="n">
        <f aca="false">MAX(0,MIN(Inputs!$F$158,Time!AL$6)-MAX(Inputs!$F$157,Time!AL$5))/Time!AL$7</f>
        <v>0</v>
      </c>
      <c r="AM713" s="14" t="n">
        <f aca="false">MAX(0,MIN(Inputs!$F$158,Time!AM$6)-MAX(Inputs!$F$157,Time!AM$5))/Time!AM$7</f>
        <v>0</v>
      </c>
      <c r="AN713" s="14" t="n">
        <f aca="false">MAX(0,MIN(Inputs!$F$158,Time!AN$6)-MAX(Inputs!$F$157,Time!AN$5))/Time!AN$7</f>
        <v>0</v>
      </c>
      <c r="AO713" s="14" t="n">
        <f aca="false">MAX(0,MIN(Inputs!$F$158,Time!AO$6)-MAX(Inputs!$F$157,Time!AO$5))/Time!AO$7</f>
        <v>0</v>
      </c>
      <c r="AP713" s="14" t="n">
        <f aca="false">MAX(0,MIN(Inputs!$F$158,Time!AP$6)-MAX(Inputs!$F$157,Time!AP$5))/Time!AP$7</f>
        <v>0</v>
      </c>
      <c r="AQ713" s="14" t="n">
        <f aca="false">MAX(0,MIN(Inputs!$F$158,Time!AQ$6)-MAX(Inputs!$F$157,Time!AQ$5))/Time!AQ$7</f>
        <v>0</v>
      </c>
      <c r="AR713" s="14" t="n">
        <f aca="false">MAX(0,MIN(Inputs!$F$158,Time!AR$6)-MAX(Inputs!$F$157,Time!AR$5))/Time!AR$7</f>
        <v>0</v>
      </c>
      <c r="AS713" s="14" t="n">
        <f aca="false">MAX(0,MIN(Inputs!$F$158,Time!AS$6)-MAX(Inputs!$F$157,Time!AS$5))/Time!AS$7</f>
        <v>0</v>
      </c>
      <c r="AT713" s="14" t="n">
        <f aca="false">MAX(0,MIN(Inputs!$F$158,Time!AT$6)-MAX(Inputs!$F$157,Time!AT$5))/Time!AT$7</f>
        <v>0</v>
      </c>
      <c r="AU713" s="14" t="n">
        <f aca="false">MAX(0,MIN(Inputs!$F$158,Time!AU$6)-MAX(Inputs!$F$157,Time!AU$5))/Time!AU$7</f>
        <v>0</v>
      </c>
    </row>
    <row r="714" customFormat="false" ht="15" hidden="false" customHeight="false" outlineLevel="0" collapsed="false">
      <c r="D714" s="0" t="s">
        <v>714</v>
      </c>
      <c r="E714" s="0" t="s">
        <v>458</v>
      </c>
      <c r="J714" s="14" t="n">
        <f aca="false">MAX(0,MIN(Inputs!$F$158,Time!J$6)-MAX(MAX(Inputs!$F$159,Inputs!$F$157),Time!J$5))/Time!J$7</f>
        <v>0</v>
      </c>
      <c r="K714" s="14" t="n">
        <f aca="false">MAX(0,MIN(Inputs!$F$158,Time!K$6)-MAX(MAX(Inputs!$F$159,Inputs!$F$157),Time!K$5))/Time!K$7</f>
        <v>0</v>
      </c>
      <c r="L714" s="14" t="n">
        <f aca="false">MAX(0,MIN(Inputs!$F$158,Time!L$6)-MAX(MAX(Inputs!$F$159,Inputs!$F$157),Time!L$5))/Time!L$7</f>
        <v>0.745901639344262</v>
      </c>
      <c r="M714" s="14" t="n">
        <f aca="false">MAX(0,MIN(Inputs!$F$158,Time!M$6)-MAX(MAX(Inputs!$F$159,Inputs!$F$157),Time!M$5))/Time!M$7</f>
        <v>1</v>
      </c>
      <c r="N714" s="14" t="n">
        <f aca="false">MAX(0,MIN(Inputs!$F$158,Time!N$6)-MAX(MAX(Inputs!$F$159,Inputs!$F$157),Time!N$5))/Time!N$7</f>
        <v>1</v>
      </c>
      <c r="O714" s="14" t="n">
        <f aca="false">MAX(0,MIN(Inputs!$F$158,Time!O$6)-MAX(MAX(Inputs!$F$159,Inputs!$F$157),Time!O$5))/Time!O$7</f>
        <v>1</v>
      </c>
      <c r="P714" s="14" t="n">
        <f aca="false">MAX(0,MIN(Inputs!$F$158,Time!P$6)-MAX(MAX(Inputs!$F$159,Inputs!$F$157),Time!P$5))/Time!P$7</f>
        <v>1</v>
      </c>
      <c r="Q714" s="14" t="n">
        <f aca="false">MAX(0,MIN(Inputs!$F$158,Time!Q$6)-MAX(MAX(Inputs!$F$159,Inputs!$F$157),Time!Q$5))/Time!Q$7</f>
        <v>1</v>
      </c>
      <c r="R714" s="14" t="n">
        <f aca="false">MAX(0,MIN(Inputs!$F$158,Time!R$6)-MAX(MAX(Inputs!$F$159,Inputs!$F$157),Time!R$5))/Time!R$7</f>
        <v>1</v>
      </c>
      <c r="S714" s="14" t="n">
        <f aca="false">MAX(0,MIN(Inputs!$F$158,Time!S$6)-MAX(MAX(Inputs!$F$159,Inputs!$F$157),Time!S$5))/Time!S$7</f>
        <v>1</v>
      </c>
      <c r="T714" s="14" t="n">
        <f aca="false">MAX(0,MIN(Inputs!$F$158,Time!T$6)-MAX(MAX(Inputs!$F$159,Inputs!$F$157),Time!T$5))/Time!T$7</f>
        <v>1</v>
      </c>
      <c r="U714" s="14" t="n">
        <f aca="false">MAX(0,MIN(Inputs!$F$158,Time!U$6)-MAX(MAX(Inputs!$F$159,Inputs!$F$157),Time!U$5))/Time!U$7</f>
        <v>1</v>
      </c>
      <c r="V714" s="14" t="n">
        <f aca="false">MAX(0,MIN(Inputs!$F$158,Time!V$6)-MAX(MAX(Inputs!$F$159,Inputs!$F$157),Time!V$5))/Time!V$7</f>
        <v>1</v>
      </c>
      <c r="W714" s="14" t="n">
        <f aca="false">MAX(0,MIN(Inputs!$F$158,Time!W$6)-MAX(MAX(Inputs!$F$159,Inputs!$F$157),Time!W$5))/Time!W$7</f>
        <v>1</v>
      </c>
      <c r="X714" s="14" t="n">
        <f aca="false">MAX(0,MIN(Inputs!$F$158,Time!X$6)-MAX(MAX(Inputs!$F$159,Inputs!$F$157),Time!X$5))/Time!X$7</f>
        <v>1</v>
      </c>
      <c r="Y714" s="14" t="n">
        <f aca="false">MAX(0,MIN(Inputs!$F$158,Time!Y$6)-MAX(MAX(Inputs!$F$159,Inputs!$F$157),Time!Y$5))/Time!Y$7</f>
        <v>1</v>
      </c>
      <c r="Z714" s="14" t="n">
        <f aca="false">MAX(0,MIN(Inputs!$F$158,Time!Z$6)-MAX(MAX(Inputs!$F$159,Inputs!$F$157),Time!Z$5))/Time!Z$7</f>
        <v>1</v>
      </c>
      <c r="AA714" s="14" t="n">
        <f aca="false">MAX(0,MIN(Inputs!$F$158,Time!AA$6)-MAX(MAX(Inputs!$F$159,Inputs!$F$157),Time!AA$5))/Time!AA$7</f>
        <v>1</v>
      </c>
      <c r="AB714" s="14" t="n">
        <f aca="false">MAX(0,MIN(Inputs!$F$158,Time!AB$6)-MAX(MAX(Inputs!$F$159,Inputs!$F$157),Time!AB$5))/Time!AB$7</f>
        <v>1</v>
      </c>
      <c r="AC714" s="14" t="n">
        <f aca="false">MAX(0,MIN(Inputs!$F$158,Time!AC$6)-MAX(MAX(Inputs!$F$159,Inputs!$F$157),Time!AC$5))/Time!AC$7</f>
        <v>1</v>
      </c>
      <c r="AD714" s="14" t="n">
        <f aca="false">MAX(0,MIN(Inputs!$F$158,Time!AD$6)-MAX(MAX(Inputs!$F$159,Inputs!$F$157),Time!AD$5))/Time!AD$7</f>
        <v>1</v>
      </c>
      <c r="AE714" s="14" t="n">
        <f aca="false">MAX(0,MIN(Inputs!$F$158,Time!AE$6)-MAX(MAX(Inputs!$F$159,Inputs!$F$157),Time!AE$5))/Time!AE$7</f>
        <v>1</v>
      </c>
      <c r="AF714" s="14" t="n">
        <f aca="false">MAX(0,MIN(Inputs!$F$158,Time!AF$6)-MAX(MAX(Inputs!$F$159,Inputs!$F$157),Time!AF$5))/Time!AF$7</f>
        <v>0.248633879781421</v>
      </c>
      <c r="AG714" s="14" t="n">
        <f aca="false">MAX(0,MIN(Inputs!$F$158,Time!AG$6)-MAX(MAX(Inputs!$F$159,Inputs!$F$157),Time!AG$5))/Time!AG$7</f>
        <v>0</v>
      </c>
      <c r="AH714" s="14" t="n">
        <f aca="false">MAX(0,MIN(Inputs!$F$158,Time!AH$6)-MAX(MAX(Inputs!$F$159,Inputs!$F$157),Time!AH$5))/Time!AH$7</f>
        <v>0</v>
      </c>
      <c r="AI714" s="14" t="n">
        <f aca="false">MAX(0,MIN(Inputs!$F$158,Time!AI$6)-MAX(MAX(Inputs!$F$159,Inputs!$F$157),Time!AI$5))/Time!AI$7</f>
        <v>0</v>
      </c>
      <c r="AJ714" s="14" t="n">
        <f aca="false">MAX(0,MIN(Inputs!$F$158,Time!AJ$6)-MAX(MAX(Inputs!$F$159,Inputs!$F$157),Time!AJ$5))/Time!AJ$7</f>
        <v>0</v>
      </c>
      <c r="AK714" s="14" t="n">
        <f aca="false">MAX(0,MIN(Inputs!$F$158,Time!AK$6)-MAX(MAX(Inputs!$F$159,Inputs!$F$157),Time!AK$5))/Time!AK$7</f>
        <v>0</v>
      </c>
      <c r="AL714" s="14" t="n">
        <f aca="false">MAX(0,MIN(Inputs!$F$158,Time!AL$6)-MAX(MAX(Inputs!$F$159,Inputs!$F$157),Time!AL$5))/Time!AL$7</f>
        <v>0</v>
      </c>
      <c r="AM714" s="14" t="n">
        <f aca="false">MAX(0,MIN(Inputs!$F$158,Time!AM$6)-MAX(MAX(Inputs!$F$159,Inputs!$F$157),Time!AM$5))/Time!AM$7</f>
        <v>0</v>
      </c>
      <c r="AN714" s="14" t="n">
        <f aca="false">MAX(0,MIN(Inputs!$F$158,Time!AN$6)-MAX(MAX(Inputs!$F$159,Inputs!$F$157),Time!AN$5))/Time!AN$7</f>
        <v>0</v>
      </c>
      <c r="AO714" s="14" t="n">
        <f aca="false">MAX(0,MIN(Inputs!$F$158,Time!AO$6)-MAX(MAX(Inputs!$F$159,Inputs!$F$157),Time!AO$5))/Time!AO$7</f>
        <v>0</v>
      </c>
      <c r="AP714" s="14" t="n">
        <f aca="false">MAX(0,MIN(Inputs!$F$158,Time!AP$6)-MAX(MAX(Inputs!$F$159,Inputs!$F$157),Time!AP$5))/Time!AP$7</f>
        <v>0</v>
      </c>
      <c r="AQ714" s="14" t="n">
        <f aca="false">MAX(0,MIN(Inputs!$F$158,Time!AQ$6)-MAX(MAX(Inputs!$F$159,Inputs!$F$157),Time!AQ$5))/Time!AQ$7</f>
        <v>0</v>
      </c>
      <c r="AR714" s="14" t="n">
        <f aca="false">MAX(0,MIN(Inputs!$F$158,Time!AR$6)-MAX(MAX(Inputs!$F$159,Inputs!$F$157),Time!AR$5))/Time!AR$7</f>
        <v>0</v>
      </c>
      <c r="AS714" s="14" t="n">
        <f aca="false">MAX(0,MIN(Inputs!$F$158,Time!AS$6)-MAX(MAX(Inputs!$F$159,Inputs!$F$157),Time!AS$5))/Time!AS$7</f>
        <v>0</v>
      </c>
      <c r="AT714" s="14" t="n">
        <f aca="false">MAX(0,MIN(Inputs!$F$158,Time!AT$6)-MAX(MAX(Inputs!$F$159,Inputs!$F$157),Time!AT$5))/Time!AT$7</f>
        <v>0</v>
      </c>
      <c r="AU714" s="14" t="n">
        <f aca="false">MAX(0,MIN(Inputs!$F$158,Time!AU$6)-MAX(MAX(Inputs!$F$159,Inputs!$F$157),Time!AU$5))/Time!AU$7</f>
        <v>0</v>
      </c>
    </row>
    <row r="715" customFormat="false" ht="15" hidden="false" customHeight="false" outlineLevel="0" collapsed="false">
      <c r="D715" s="0" t="s">
        <v>715</v>
      </c>
      <c r="E715" s="0" t="s">
        <v>458</v>
      </c>
      <c r="J715" s="14" t="n">
        <f aca="false">IF(Operations!J713&gt;0,Operations!J714/Operations!J713,0)</f>
        <v>0</v>
      </c>
      <c r="K715" s="14" t="n">
        <f aca="false">IF(Operations!K713&gt;0,Operations!K714/Operations!K713,0)</f>
        <v>0</v>
      </c>
      <c r="L715" s="14" t="n">
        <f aca="false">IF(Operations!L713&gt;0,Operations!L714/Operations!L713,0)</f>
        <v>1</v>
      </c>
      <c r="M715" s="14" t="n">
        <f aca="false">IF(Operations!M713&gt;0,Operations!M714/Operations!M713,0)</f>
        <v>1</v>
      </c>
      <c r="N715" s="14" t="n">
        <f aca="false">IF(Operations!N713&gt;0,Operations!N714/Operations!N713,0)</f>
        <v>1</v>
      </c>
      <c r="O715" s="14" t="n">
        <f aca="false">IF(Operations!O713&gt;0,Operations!O714/Operations!O713,0)</f>
        <v>1</v>
      </c>
      <c r="P715" s="14" t="n">
        <f aca="false">IF(Operations!P713&gt;0,Operations!P714/Operations!P713,0)</f>
        <v>1</v>
      </c>
      <c r="Q715" s="14" t="n">
        <f aca="false">IF(Operations!Q713&gt;0,Operations!Q714/Operations!Q713,0)</f>
        <v>1</v>
      </c>
      <c r="R715" s="14" t="n">
        <f aca="false">IF(Operations!R713&gt;0,Operations!R714/Operations!R713,0)</f>
        <v>1</v>
      </c>
      <c r="S715" s="14" t="n">
        <f aca="false">IF(Operations!S713&gt;0,Operations!S714/Operations!S713,0)</f>
        <v>1</v>
      </c>
      <c r="T715" s="14" t="n">
        <f aca="false">IF(Operations!T713&gt;0,Operations!T714/Operations!T713,0)</f>
        <v>1</v>
      </c>
      <c r="U715" s="14" t="n">
        <f aca="false">IF(Operations!U713&gt;0,Operations!U714/Operations!U713,0)</f>
        <v>1</v>
      </c>
      <c r="V715" s="14" t="n">
        <f aca="false">IF(Operations!V713&gt;0,Operations!V714/Operations!V713,0)</f>
        <v>1</v>
      </c>
      <c r="W715" s="14" t="n">
        <f aca="false">IF(Operations!W713&gt;0,Operations!W714/Operations!W713,0)</f>
        <v>1</v>
      </c>
      <c r="X715" s="14" t="n">
        <f aca="false">IF(Operations!X713&gt;0,Operations!X714/Operations!X713,0)</f>
        <v>1</v>
      </c>
      <c r="Y715" s="14" t="n">
        <f aca="false">IF(Operations!Y713&gt;0,Operations!Y714/Operations!Y713,0)</f>
        <v>1</v>
      </c>
      <c r="Z715" s="14" t="n">
        <f aca="false">IF(Operations!Z713&gt;0,Operations!Z714/Operations!Z713,0)</f>
        <v>1</v>
      </c>
      <c r="AA715" s="14" t="n">
        <f aca="false">IF(Operations!AA713&gt;0,Operations!AA714/Operations!AA713,0)</f>
        <v>1</v>
      </c>
      <c r="AB715" s="14" t="n">
        <f aca="false">IF(Operations!AB713&gt;0,Operations!AB714/Operations!AB713,0)</f>
        <v>1</v>
      </c>
      <c r="AC715" s="14" t="n">
        <f aca="false">IF(Operations!AC713&gt;0,Operations!AC714/Operations!AC713,0)</f>
        <v>1</v>
      </c>
      <c r="AD715" s="14" t="n">
        <f aca="false">IF(Operations!AD713&gt;0,Operations!AD714/Operations!AD713,0)</f>
        <v>1</v>
      </c>
      <c r="AE715" s="14" t="n">
        <f aca="false">IF(Operations!AE713&gt;0,Operations!AE714/Operations!AE713,0)</f>
        <v>1</v>
      </c>
      <c r="AF715" s="14" t="n">
        <f aca="false">IF(Operations!AF713&gt;0,Operations!AF714/Operations!AF713,0)</f>
        <v>1</v>
      </c>
      <c r="AG715" s="14" t="n">
        <f aca="false">IF(Operations!AG713&gt;0,Operations!AG714/Operations!AG713,0)</f>
        <v>0</v>
      </c>
      <c r="AH715" s="14" t="n">
        <f aca="false">IF(Operations!AH713&gt;0,Operations!AH714/Operations!AH713,0)</f>
        <v>0</v>
      </c>
      <c r="AI715" s="14" t="n">
        <f aca="false">IF(Operations!AI713&gt;0,Operations!AI714/Operations!AI713,0)</f>
        <v>0</v>
      </c>
      <c r="AJ715" s="14" t="n">
        <f aca="false">IF(Operations!AJ713&gt;0,Operations!AJ714/Operations!AJ713,0)</f>
        <v>0</v>
      </c>
      <c r="AK715" s="14" t="n">
        <f aca="false">IF(Operations!AK713&gt;0,Operations!AK714/Operations!AK713,0)</f>
        <v>0</v>
      </c>
      <c r="AL715" s="14" t="n">
        <f aca="false">IF(Operations!AL713&gt;0,Operations!AL714/Operations!AL713,0)</f>
        <v>0</v>
      </c>
      <c r="AM715" s="14" t="n">
        <f aca="false">IF(Operations!AM713&gt;0,Operations!AM714/Operations!AM713,0)</f>
        <v>0</v>
      </c>
      <c r="AN715" s="14" t="n">
        <f aca="false">IF(Operations!AN713&gt;0,Operations!AN714/Operations!AN713,0)</f>
        <v>0</v>
      </c>
      <c r="AO715" s="14" t="n">
        <f aca="false">IF(Operations!AO713&gt;0,Operations!AO714/Operations!AO713,0)</f>
        <v>0</v>
      </c>
      <c r="AP715" s="14" t="n">
        <f aca="false">IF(Operations!AP713&gt;0,Operations!AP714/Operations!AP713,0)</f>
        <v>0</v>
      </c>
      <c r="AQ715" s="14" t="n">
        <f aca="false">IF(Operations!AQ713&gt;0,Operations!AQ714/Operations!AQ713,0)</f>
        <v>0</v>
      </c>
      <c r="AR715" s="14" t="n">
        <f aca="false">IF(Operations!AR713&gt;0,Operations!AR714/Operations!AR713,0)</f>
        <v>0</v>
      </c>
      <c r="AS715" s="14" t="n">
        <f aca="false">IF(Operations!AS713&gt;0,Operations!AS714/Operations!AS713,0)</f>
        <v>0</v>
      </c>
      <c r="AT715" s="14" t="n">
        <f aca="false">IF(Operations!AT713&gt;0,Operations!AT714/Operations!AT713,0)</f>
        <v>0</v>
      </c>
      <c r="AU715" s="14" t="n">
        <f aca="false">IF(Operations!AU713&gt;0,Operations!AU714/Operations!AU713,0)</f>
        <v>0</v>
      </c>
    </row>
    <row r="716" customFormat="false" ht="15" hidden="false" customHeight="false" outlineLevel="0" collapsed="false">
      <c r="D716" s="0" t="s">
        <v>716</v>
      </c>
      <c r="E716" s="0" t="s">
        <v>96</v>
      </c>
      <c r="J716" s="18" t="n">
        <f aca="false">Operations!J450</f>
        <v>75.4952</v>
      </c>
      <c r="K716" s="18" t="n">
        <f aca="false">Operations!K450</f>
        <v>61.9344</v>
      </c>
      <c r="L716" s="18" t="n">
        <f aca="false">Operations!L450</f>
        <v>30.4612</v>
      </c>
      <c r="M716" s="18" t="n">
        <f aca="false">Operations!M450</f>
        <v>40.2776</v>
      </c>
      <c r="N716" s="18" t="n">
        <f aca="false">Operations!N450</f>
        <v>45.1352</v>
      </c>
      <c r="O716" s="18" t="n">
        <f aca="false">Operations!O450</f>
        <v>47.8676</v>
      </c>
      <c r="P716" s="18" t="n">
        <f aca="false">Operations!P450</f>
        <v>49.6892</v>
      </c>
      <c r="Q716" s="18" t="n">
        <f aca="false">Operations!Q450</f>
        <v>51.0048</v>
      </c>
      <c r="R716" s="18" t="n">
        <f aca="false">Operations!R450</f>
        <v>52.4216</v>
      </c>
      <c r="S716" s="18" t="n">
        <f aca="false">Operations!S450</f>
        <v>53.47408</v>
      </c>
      <c r="T716" s="18" t="n">
        <f aca="false">Operations!T450</f>
        <v>54.5468</v>
      </c>
      <c r="U716" s="18" t="n">
        <f aca="false">Operations!U450</f>
        <v>55.63976</v>
      </c>
      <c r="V716" s="18" t="n">
        <f aca="false">Operations!V450</f>
        <v>56.75296</v>
      </c>
      <c r="W716" s="18" t="n">
        <f aca="false">Operations!W450</f>
        <v>57.8864</v>
      </c>
      <c r="X716" s="18" t="n">
        <f aca="false">Operations!X450</f>
        <v>59.04008</v>
      </c>
      <c r="Y716" s="18" t="n">
        <f aca="false">Operations!Y450</f>
        <v>60.22412</v>
      </c>
      <c r="Z716" s="18" t="n">
        <f aca="false">Operations!Z450</f>
        <v>61.4284</v>
      </c>
      <c r="AA716" s="18" t="n">
        <f aca="false">Operations!AA450</f>
        <v>62.65292</v>
      </c>
      <c r="AB716" s="18" t="n">
        <f aca="false">Operations!AB450</f>
        <v>63.9078</v>
      </c>
      <c r="AC716" s="18" t="n">
        <f aca="false">Operations!AC450</f>
        <v>65.18292</v>
      </c>
      <c r="AD716" s="18" t="n">
        <f aca="false">Operations!AD450</f>
        <v>66.4884</v>
      </c>
      <c r="AE716" s="18" t="n">
        <f aca="false">Operations!AE450</f>
        <v>67.81412</v>
      </c>
      <c r="AF716" s="18" t="n">
        <f aca="false">Operations!AF450</f>
        <v>69.1702</v>
      </c>
      <c r="AG716" s="18" t="n">
        <f aca="false">Operations!AG450</f>
        <v>70.55664</v>
      </c>
      <c r="AH716" s="18" t="n">
        <f aca="false">Operations!AH450</f>
        <v>71.96332</v>
      </c>
      <c r="AI716" s="18" t="n">
        <f aca="false">Operations!AI450</f>
        <v>73.40036</v>
      </c>
      <c r="AJ716" s="18" t="n">
        <f aca="false">Operations!AJ450</f>
        <v>74.86776</v>
      </c>
      <c r="AK716" s="18" t="n">
        <f aca="false">Operations!AK450</f>
        <v>76.36552</v>
      </c>
      <c r="AL716" s="18" t="n">
        <f aca="false">Operations!AL450</f>
        <v>77.89364</v>
      </c>
      <c r="AM716" s="18" t="n">
        <f aca="false">Operations!AM450</f>
        <v>79.45212</v>
      </c>
      <c r="AN716" s="18" t="n">
        <f aca="false">Operations!AN450</f>
        <v>81.04096</v>
      </c>
      <c r="AO716" s="18" t="n">
        <f aca="false">Operations!AO450</f>
        <v>82.66016</v>
      </c>
      <c r="AP716" s="18" t="n">
        <f aca="false">Operations!AP450</f>
        <v>84.30972</v>
      </c>
      <c r="AQ716" s="18" t="n">
        <f aca="false">Operations!AQ450</f>
        <v>85.99976</v>
      </c>
      <c r="AR716" s="18" t="n">
        <f aca="false">Operations!AR450</f>
        <v>87.72016</v>
      </c>
      <c r="AS716" s="18" t="n">
        <f aca="false">Operations!AS450</f>
        <v>89.47092</v>
      </c>
      <c r="AT716" s="18" t="n">
        <f aca="false">Operations!AT450</f>
        <v>91.26216</v>
      </c>
      <c r="AU716" s="18" t="n">
        <f aca="false">Operations!AU450</f>
        <v>93.08376</v>
      </c>
    </row>
    <row r="717" customFormat="false" ht="15" hidden="false" customHeight="false" outlineLevel="0" collapsed="false">
      <c r="D717" s="0" t="s">
        <v>717</v>
      </c>
      <c r="E717" s="0" t="s">
        <v>176</v>
      </c>
      <c r="J717" s="20" t="n">
        <f aca="false">Inputs!$F$162*(1+Inputs!$F$168/100)*(1-(Inputs!$F$187*MIN(MAX(0,(Time!J$5-Inputs!$F$157)/Inputs!$F$27),1)+Inputs!$F$188*MIN(MAX(MAX(0,(Time!J$5-Inputs!$F$157)/Inputs!$F$27)-1,0),Inputs!$F$190-1)+Inputs!$F$189*MAX(MAX(0,(Time!J$5-Inputs!$F$157)/Inputs!$F$27)-Inputs!$F$190,0))/100)</f>
        <v>324</v>
      </c>
      <c r="K717" s="20" t="n">
        <f aca="false">Inputs!$F$162*(1+Inputs!$F$168/100)*(1-(Inputs!$F$187*MIN(MAX(0,(Time!K$5-Inputs!$F$157)/Inputs!$F$27),1)+Inputs!$F$188*MIN(MAX(MAX(0,(Time!K$5-Inputs!$F$157)/Inputs!$F$27)-1,0),Inputs!$F$190-1)+Inputs!$F$189*MAX(MAX(0,(Time!K$5-Inputs!$F$157)/Inputs!$F$27)-Inputs!$F$190,0))/100)</f>
        <v>324</v>
      </c>
      <c r="L717" s="20" t="n">
        <f aca="false">Inputs!$F$162*(1+Inputs!$F$168/100)*(1-(Inputs!$F$187*MIN(MAX(0,(Time!L$5-Inputs!$F$157)/Inputs!$F$27),1)+Inputs!$F$188*MIN(MAX(MAX(0,(Time!L$5-Inputs!$F$157)/Inputs!$F$27)-1,0),Inputs!$F$190-1)+Inputs!$F$189*MAX(MAX(0,(Time!L$5-Inputs!$F$157)/Inputs!$F$27)-Inputs!$F$190,0))/100)</f>
        <v>324</v>
      </c>
      <c r="M717" s="20" t="n">
        <f aca="false">Inputs!$F$162*(1+Inputs!$F$168/100)*(1-(Inputs!$F$187*MIN(MAX(0,(Time!M$5-Inputs!$F$157)/Inputs!$F$27),1)+Inputs!$F$188*MIN(MAX(MAX(0,(Time!M$5-Inputs!$F$157)/Inputs!$F$27)-1,0),Inputs!$F$190-1)+Inputs!$F$189*MAX(MAX(0,(Time!M$5-Inputs!$F$157)/Inputs!$F$27)-Inputs!$F$190,0))/100)</f>
        <v>319.153315068493</v>
      </c>
      <c r="N717" s="20" t="n">
        <f aca="false">Inputs!$F$162*(1+Inputs!$F$168/100)*(1-(Inputs!$F$187*MIN(MAX(0,(Time!N$5-Inputs!$F$157)/Inputs!$F$27),1)+Inputs!$F$188*MIN(MAX(MAX(0,(Time!N$5-Inputs!$F$157)/Inputs!$F$27)-1,0),Inputs!$F$190-1)+Inputs!$F$189*MAX(MAX(0,(Time!N$5-Inputs!$F$157)/Inputs!$F$27)-Inputs!$F$190,0))/100)</f>
        <v>313.88498630137</v>
      </c>
      <c r="O717" s="20" t="n">
        <f aca="false">Inputs!$F$162*(1+Inputs!$F$168/100)*(1-(Inputs!$F$187*MIN(MAX(0,(Time!O$5-Inputs!$F$157)/Inputs!$F$27),1)+Inputs!$F$188*MIN(MAX(MAX(0,(Time!O$5-Inputs!$F$157)/Inputs!$F$27)-1,0),Inputs!$F$190-1)+Inputs!$F$189*MAX(MAX(0,(Time!O$5-Inputs!$F$157)/Inputs!$F$27)-Inputs!$F$190,0))/100)</f>
        <v>309.02498630137</v>
      </c>
      <c r="P717" s="20" t="n">
        <f aca="false">Inputs!$F$162*(1+Inputs!$F$168/100)*(1-(Inputs!$F$187*MIN(MAX(0,(Time!P$5-Inputs!$F$157)/Inputs!$F$27),1)+Inputs!$F$188*MIN(MAX(MAX(0,(Time!P$5-Inputs!$F$157)/Inputs!$F$27)-1,0),Inputs!$F$190-1)+Inputs!$F$189*MAX(MAX(0,(Time!P$5-Inputs!$F$157)/Inputs!$F$27)-Inputs!$F$190,0))/100)</f>
        <v>304.16498630137</v>
      </c>
      <c r="Q717" s="20" t="n">
        <f aca="false">Inputs!$F$162*(1+Inputs!$F$168/100)*(1-(Inputs!$F$187*MIN(MAX(0,(Time!Q$5-Inputs!$F$157)/Inputs!$F$27),1)+Inputs!$F$188*MIN(MAX(MAX(0,(Time!Q$5-Inputs!$F$157)/Inputs!$F$27)-1,0),Inputs!$F$190-1)+Inputs!$F$189*MAX(MAX(0,(Time!Q$5-Inputs!$F$157)/Inputs!$F$27)-Inputs!$F$190,0))/100)</f>
        <v>299.291671232877</v>
      </c>
      <c r="R717" s="20" t="n">
        <f aca="false">Inputs!$F$162*(1+Inputs!$F$168/100)*(1-(Inputs!$F$187*MIN(MAX(0,(Time!R$5-Inputs!$F$157)/Inputs!$F$27),1)+Inputs!$F$188*MIN(MAX(MAX(0,(Time!R$5-Inputs!$F$157)/Inputs!$F$27)-1,0),Inputs!$F$190-1)+Inputs!$F$189*MAX(MAX(0,(Time!R$5-Inputs!$F$157)/Inputs!$F$27)-Inputs!$F$190,0))/100)</f>
        <v>294.431671232877</v>
      </c>
      <c r="S717" s="20" t="n">
        <f aca="false">Inputs!$F$162*(1+Inputs!$F$168/100)*(1-(Inputs!$F$187*MIN(MAX(0,(Time!S$5-Inputs!$F$157)/Inputs!$F$27),1)+Inputs!$F$188*MIN(MAX(MAX(0,(Time!S$5-Inputs!$F$157)/Inputs!$F$27)-1,0),Inputs!$F$190-1)+Inputs!$F$189*MAX(MAX(0,(Time!S$5-Inputs!$F$157)/Inputs!$F$27)-Inputs!$F$190,0))/100)</f>
        <v>289.571671232877</v>
      </c>
      <c r="T717" s="20" t="n">
        <f aca="false">Inputs!$F$162*(1+Inputs!$F$168/100)*(1-(Inputs!$F$187*MIN(MAX(0,(Time!T$5-Inputs!$F$157)/Inputs!$F$27),1)+Inputs!$F$188*MIN(MAX(MAX(0,(Time!T$5-Inputs!$F$157)/Inputs!$F$27)-1,0),Inputs!$F$190-1)+Inputs!$F$189*MAX(MAX(0,(Time!T$5-Inputs!$F$157)/Inputs!$F$27)-Inputs!$F$190,0))/100)</f>
        <v>284.711671232877</v>
      </c>
      <c r="U717" s="20" t="n">
        <f aca="false">Inputs!$F$162*(1+Inputs!$F$168/100)*(1-(Inputs!$F$187*MIN(MAX(0,(Time!U$5-Inputs!$F$157)/Inputs!$F$27),1)+Inputs!$F$188*MIN(MAX(MAX(0,(Time!U$5-Inputs!$F$157)/Inputs!$F$27)-1,0),Inputs!$F$190-1)+Inputs!$F$189*MAX(MAX(0,(Time!U$5-Inputs!$F$157)/Inputs!$F$27)-Inputs!$F$190,0))/100)</f>
        <v>279.838356164384</v>
      </c>
      <c r="V717" s="20" t="n">
        <f aca="false">Inputs!$F$162*(1+Inputs!$F$168/100)*(1-(Inputs!$F$187*MIN(MAX(0,(Time!V$5-Inputs!$F$157)/Inputs!$F$27),1)+Inputs!$F$188*MIN(MAX(MAX(0,(Time!V$5-Inputs!$F$157)/Inputs!$F$27)-1,0),Inputs!$F$190-1)+Inputs!$F$189*MAX(MAX(0,(Time!V$5-Inputs!$F$157)/Inputs!$F$27)-Inputs!$F$190,0))/100)</f>
        <v>274.978356164384</v>
      </c>
      <c r="W717" s="20" t="n">
        <f aca="false">Inputs!$F$162*(1+Inputs!$F$168/100)*(1-(Inputs!$F$187*MIN(MAX(0,(Time!W$5-Inputs!$F$157)/Inputs!$F$27),1)+Inputs!$F$188*MIN(MAX(MAX(0,(Time!W$5-Inputs!$F$157)/Inputs!$F$27)-1,0),Inputs!$F$190-1)+Inputs!$F$189*MAX(MAX(0,(Time!W$5-Inputs!$F$157)/Inputs!$F$27)-Inputs!$F$190,0))/100)</f>
        <v>271.338904109589</v>
      </c>
      <c r="X717" s="20" t="n">
        <f aca="false">Inputs!$F$162*(1+Inputs!$F$168/100)*(1-(Inputs!$F$187*MIN(MAX(0,(Time!X$5-Inputs!$F$157)/Inputs!$F$27),1)+Inputs!$F$188*MIN(MAX(MAX(0,(Time!X$5-Inputs!$F$157)/Inputs!$F$27)-1,0),Inputs!$F$190-1)+Inputs!$F$189*MAX(MAX(0,(Time!X$5-Inputs!$F$157)/Inputs!$F$27)-Inputs!$F$190,0))/100)</f>
        <v>268.098904109589</v>
      </c>
      <c r="Y717" s="20" t="n">
        <f aca="false">Inputs!$F$162*(1+Inputs!$F$168/100)*(1-(Inputs!$F$187*MIN(MAX(0,(Time!Y$5-Inputs!$F$157)/Inputs!$F$27),1)+Inputs!$F$188*MIN(MAX(MAX(0,(Time!Y$5-Inputs!$F$157)/Inputs!$F$27)-1,0),Inputs!$F$190-1)+Inputs!$F$189*MAX(MAX(0,(Time!Y$5-Inputs!$F$157)/Inputs!$F$27)-Inputs!$F$190,0))/100)</f>
        <v>264.85002739726</v>
      </c>
      <c r="Z717" s="20" t="n">
        <f aca="false">Inputs!$F$162*(1+Inputs!$F$168/100)*(1-(Inputs!$F$187*MIN(MAX(0,(Time!Z$5-Inputs!$F$157)/Inputs!$F$27),1)+Inputs!$F$188*MIN(MAX(MAX(0,(Time!Z$5-Inputs!$F$157)/Inputs!$F$27)-1,0),Inputs!$F$190-1)+Inputs!$F$189*MAX(MAX(0,(Time!Z$5-Inputs!$F$157)/Inputs!$F$27)-Inputs!$F$190,0))/100)</f>
        <v>261.61002739726</v>
      </c>
      <c r="AA717" s="20" t="n">
        <f aca="false">Inputs!$F$162*(1+Inputs!$F$168/100)*(1-(Inputs!$F$187*MIN(MAX(0,(Time!AA$5-Inputs!$F$157)/Inputs!$F$27),1)+Inputs!$F$188*MIN(MAX(MAX(0,(Time!AA$5-Inputs!$F$157)/Inputs!$F$27)-1,0),Inputs!$F$190-1)+Inputs!$F$189*MAX(MAX(0,(Time!AA$5-Inputs!$F$157)/Inputs!$F$27)-Inputs!$F$190,0))/100)</f>
        <v>258.37002739726</v>
      </c>
      <c r="AB717" s="20" t="n">
        <f aca="false">Inputs!$F$162*(1+Inputs!$F$168/100)*(1-(Inputs!$F$187*MIN(MAX(0,(Time!AB$5-Inputs!$F$157)/Inputs!$F$27),1)+Inputs!$F$188*MIN(MAX(MAX(0,(Time!AB$5-Inputs!$F$157)/Inputs!$F$27)-1,0),Inputs!$F$190-1)+Inputs!$F$189*MAX(MAX(0,(Time!AB$5-Inputs!$F$157)/Inputs!$F$27)-Inputs!$F$190,0))/100)</f>
        <v>255.13002739726</v>
      </c>
      <c r="AC717" s="20" t="n">
        <f aca="false">Inputs!$F$162*(1+Inputs!$F$168/100)*(1-(Inputs!$F$187*MIN(MAX(0,(Time!AC$5-Inputs!$F$157)/Inputs!$F$27),1)+Inputs!$F$188*MIN(MAX(MAX(0,(Time!AC$5-Inputs!$F$157)/Inputs!$F$27)-1,0),Inputs!$F$190-1)+Inputs!$F$189*MAX(MAX(0,(Time!AC$5-Inputs!$F$157)/Inputs!$F$27)-Inputs!$F$190,0))/100)</f>
        <v>251.881150684932</v>
      </c>
      <c r="AD717" s="20" t="n">
        <f aca="false">Inputs!$F$162*(1+Inputs!$F$168/100)*(1-(Inputs!$F$187*MIN(MAX(0,(Time!AD$5-Inputs!$F$157)/Inputs!$F$27),1)+Inputs!$F$188*MIN(MAX(MAX(0,(Time!AD$5-Inputs!$F$157)/Inputs!$F$27)-1,0),Inputs!$F$190-1)+Inputs!$F$189*MAX(MAX(0,(Time!AD$5-Inputs!$F$157)/Inputs!$F$27)-Inputs!$F$190,0))/100)</f>
        <v>248.641150684932</v>
      </c>
      <c r="AE717" s="20" t="n">
        <f aca="false">Inputs!$F$162*(1+Inputs!$F$168/100)*(1-(Inputs!$F$187*MIN(MAX(0,(Time!AE$5-Inputs!$F$157)/Inputs!$F$27),1)+Inputs!$F$188*MIN(MAX(MAX(0,(Time!AE$5-Inputs!$F$157)/Inputs!$F$27)-1,0),Inputs!$F$190-1)+Inputs!$F$189*MAX(MAX(0,(Time!AE$5-Inputs!$F$157)/Inputs!$F$27)-Inputs!$F$190,0))/100)</f>
        <v>245.401150684932</v>
      </c>
      <c r="AF717" s="20" t="n">
        <f aca="false">Inputs!$F$162*(1+Inputs!$F$168/100)*(1-(Inputs!$F$187*MIN(MAX(0,(Time!AF$5-Inputs!$F$157)/Inputs!$F$27),1)+Inputs!$F$188*MIN(MAX(MAX(0,(Time!AF$5-Inputs!$F$157)/Inputs!$F$27)-1,0),Inputs!$F$190-1)+Inputs!$F$189*MAX(MAX(0,(Time!AF$5-Inputs!$F$157)/Inputs!$F$27)-Inputs!$F$190,0))/100)</f>
        <v>242.161150684932</v>
      </c>
      <c r="AG717" s="20" t="n">
        <f aca="false">Inputs!$F$162*(1+Inputs!$F$168/100)*(1-(Inputs!$F$187*MIN(MAX(0,(Time!AG$5-Inputs!$F$157)/Inputs!$F$27),1)+Inputs!$F$188*MIN(MAX(MAX(0,(Time!AG$5-Inputs!$F$157)/Inputs!$F$27)-1,0),Inputs!$F$190-1)+Inputs!$F$189*MAX(MAX(0,(Time!AG$5-Inputs!$F$157)/Inputs!$F$27)-Inputs!$F$190,0))/100)</f>
        <v>238.912273972603</v>
      </c>
      <c r="AH717" s="20" t="n">
        <f aca="false">Inputs!$F$162*(1+Inputs!$F$168/100)*(1-(Inputs!$F$187*MIN(MAX(0,(Time!AH$5-Inputs!$F$157)/Inputs!$F$27),1)+Inputs!$F$188*MIN(MAX(MAX(0,(Time!AH$5-Inputs!$F$157)/Inputs!$F$27)-1,0),Inputs!$F$190-1)+Inputs!$F$189*MAX(MAX(0,(Time!AH$5-Inputs!$F$157)/Inputs!$F$27)-Inputs!$F$190,0))/100)</f>
        <v>235.672273972603</v>
      </c>
      <c r="AI717" s="20" t="n">
        <f aca="false">Inputs!$F$162*(1+Inputs!$F$168/100)*(1-(Inputs!$F$187*MIN(MAX(0,(Time!AI$5-Inputs!$F$157)/Inputs!$F$27),1)+Inputs!$F$188*MIN(MAX(MAX(0,(Time!AI$5-Inputs!$F$157)/Inputs!$F$27)-1,0),Inputs!$F$190-1)+Inputs!$F$189*MAX(MAX(0,(Time!AI$5-Inputs!$F$157)/Inputs!$F$27)-Inputs!$F$190,0))/100)</f>
        <v>232.432273972603</v>
      </c>
      <c r="AJ717" s="20" t="n">
        <f aca="false">Inputs!$F$162*(1+Inputs!$F$168/100)*(1-(Inputs!$F$187*MIN(MAX(0,(Time!AJ$5-Inputs!$F$157)/Inputs!$F$27),1)+Inputs!$F$188*MIN(MAX(MAX(0,(Time!AJ$5-Inputs!$F$157)/Inputs!$F$27)-1,0),Inputs!$F$190-1)+Inputs!$F$189*MAX(MAX(0,(Time!AJ$5-Inputs!$F$157)/Inputs!$F$27)-Inputs!$F$190,0))/100)</f>
        <v>229.192273972603</v>
      </c>
      <c r="AK717" s="20" t="n">
        <f aca="false">Inputs!$F$162*(1+Inputs!$F$168/100)*(1-(Inputs!$F$187*MIN(MAX(0,(Time!AK$5-Inputs!$F$157)/Inputs!$F$27),1)+Inputs!$F$188*MIN(MAX(MAX(0,(Time!AK$5-Inputs!$F$157)/Inputs!$F$27)-1,0),Inputs!$F$190-1)+Inputs!$F$189*MAX(MAX(0,(Time!AK$5-Inputs!$F$157)/Inputs!$F$27)-Inputs!$F$190,0))/100)</f>
        <v>225.943397260274</v>
      </c>
      <c r="AL717" s="20" t="n">
        <f aca="false">Inputs!$F$162*(1+Inputs!$F$168/100)*(1-(Inputs!$F$187*MIN(MAX(0,(Time!AL$5-Inputs!$F$157)/Inputs!$F$27),1)+Inputs!$F$188*MIN(MAX(MAX(0,(Time!AL$5-Inputs!$F$157)/Inputs!$F$27)-1,0),Inputs!$F$190-1)+Inputs!$F$189*MAX(MAX(0,(Time!AL$5-Inputs!$F$157)/Inputs!$F$27)-Inputs!$F$190,0))/100)</f>
        <v>222.703397260274</v>
      </c>
      <c r="AM717" s="20" t="n">
        <f aca="false">Inputs!$F$162*(1+Inputs!$F$168/100)*(1-(Inputs!$F$187*MIN(MAX(0,(Time!AM$5-Inputs!$F$157)/Inputs!$F$27),1)+Inputs!$F$188*MIN(MAX(MAX(0,(Time!AM$5-Inputs!$F$157)/Inputs!$F$27)-1,0),Inputs!$F$190-1)+Inputs!$F$189*MAX(MAX(0,(Time!AM$5-Inputs!$F$157)/Inputs!$F$27)-Inputs!$F$190,0))/100)</f>
        <v>219.463397260274</v>
      </c>
      <c r="AN717" s="20" t="n">
        <f aca="false">Inputs!$F$162*(1+Inputs!$F$168/100)*(1-(Inputs!$F$187*MIN(MAX(0,(Time!AN$5-Inputs!$F$157)/Inputs!$F$27),1)+Inputs!$F$188*MIN(MAX(MAX(0,(Time!AN$5-Inputs!$F$157)/Inputs!$F$27)-1,0),Inputs!$F$190-1)+Inputs!$F$189*MAX(MAX(0,(Time!AN$5-Inputs!$F$157)/Inputs!$F$27)-Inputs!$F$190,0))/100)</f>
        <v>216.223397260274</v>
      </c>
      <c r="AO717" s="20" t="n">
        <f aca="false">Inputs!$F$162*(1+Inputs!$F$168/100)*(1-(Inputs!$F$187*MIN(MAX(0,(Time!AO$5-Inputs!$F$157)/Inputs!$F$27),1)+Inputs!$F$188*MIN(MAX(MAX(0,(Time!AO$5-Inputs!$F$157)/Inputs!$F$27)-1,0),Inputs!$F$190-1)+Inputs!$F$189*MAX(MAX(0,(Time!AO$5-Inputs!$F$157)/Inputs!$F$27)-Inputs!$F$190,0))/100)</f>
        <v>212.974520547945</v>
      </c>
      <c r="AP717" s="20" t="n">
        <f aca="false">Inputs!$F$162*(1+Inputs!$F$168/100)*(1-(Inputs!$F$187*MIN(MAX(0,(Time!AP$5-Inputs!$F$157)/Inputs!$F$27),1)+Inputs!$F$188*MIN(MAX(MAX(0,(Time!AP$5-Inputs!$F$157)/Inputs!$F$27)-1,0),Inputs!$F$190-1)+Inputs!$F$189*MAX(MAX(0,(Time!AP$5-Inputs!$F$157)/Inputs!$F$27)-Inputs!$F$190,0))/100)</f>
        <v>209.734520547945</v>
      </c>
      <c r="AQ717" s="20" t="n">
        <f aca="false">Inputs!$F$162*(1+Inputs!$F$168/100)*(1-(Inputs!$F$187*MIN(MAX(0,(Time!AQ$5-Inputs!$F$157)/Inputs!$F$27),1)+Inputs!$F$188*MIN(MAX(MAX(0,(Time!AQ$5-Inputs!$F$157)/Inputs!$F$27)-1,0),Inputs!$F$190-1)+Inputs!$F$189*MAX(MAX(0,(Time!AQ$5-Inputs!$F$157)/Inputs!$F$27)-Inputs!$F$190,0))/100)</f>
        <v>206.494520547945</v>
      </c>
      <c r="AR717" s="20" t="n">
        <f aca="false">Inputs!$F$162*(1+Inputs!$F$168/100)*(1-(Inputs!$F$187*MIN(MAX(0,(Time!AR$5-Inputs!$F$157)/Inputs!$F$27),1)+Inputs!$F$188*MIN(MAX(MAX(0,(Time!AR$5-Inputs!$F$157)/Inputs!$F$27)-1,0),Inputs!$F$190-1)+Inputs!$F$189*MAX(MAX(0,(Time!AR$5-Inputs!$F$157)/Inputs!$F$27)-Inputs!$F$190,0))/100)</f>
        <v>203.254520547945</v>
      </c>
      <c r="AS717" s="20" t="n">
        <f aca="false">Inputs!$F$162*(1+Inputs!$F$168/100)*(1-(Inputs!$F$187*MIN(MAX(0,(Time!AS$5-Inputs!$F$157)/Inputs!$F$27),1)+Inputs!$F$188*MIN(MAX(MAX(0,(Time!AS$5-Inputs!$F$157)/Inputs!$F$27)-1,0),Inputs!$F$190-1)+Inputs!$F$189*MAX(MAX(0,(Time!AS$5-Inputs!$F$157)/Inputs!$F$27)-Inputs!$F$190,0))/100)</f>
        <v>200.005643835616</v>
      </c>
      <c r="AT717" s="20" t="n">
        <f aca="false">Inputs!$F$162*(1+Inputs!$F$168/100)*(1-(Inputs!$F$187*MIN(MAX(0,(Time!AT$5-Inputs!$F$157)/Inputs!$F$27),1)+Inputs!$F$188*MIN(MAX(MAX(0,(Time!AT$5-Inputs!$F$157)/Inputs!$F$27)-1,0),Inputs!$F$190-1)+Inputs!$F$189*MAX(MAX(0,(Time!AT$5-Inputs!$F$157)/Inputs!$F$27)-Inputs!$F$190,0))/100)</f>
        <v>196.765643835616</v>
      </c>
      <c r="AU717" s="20" t="n">
        <f aca="false">Inputs!$F$162*(1+Inputs!$F$168/100)*(1-(Inputs!$F$187*MIN(MAX(0,(Time!AU$5-Inputs!$F$157)/Inputs!$F$27),1)+Inputs!$F$188*MIN(MAX(MAX(0,(Time!AU$5-Inputs!$F$157)/Inputs!$F$27)-1,0),Inputs!$F$190-1)+Inputs!$F$189*MAX(MAX(0,(Time!AU$5-Inputs!$F$157)/Inputs!$F$27)-Inputs!$F$190,0))/100)</f>
        <v>193.525643835616</v>
      </c>
    </row>
    <row r="718" customFormat="false" ht="15" hidden="false" customHeight="false" outlineLevel="0" collapsed="false">
      <c r="D718" s="0" t="s">
        <v>718</v>
      </c>
      <c r="E718" s="0" t="s">
        <v>176</v>
      </c>
      <c r="J718" s="20" t="n">
        <f aca="false">IF(Time!J$5&gt;=(DATE(YEAR(Inputs!$F$157)+Inputs!$F$164,1,1)-1),Inputs!$F$166/100*Inputs!$F$162*(1-(Inputs!$F$187*MIN(MAX(0,(Time!J$5-(DATE(YEAR(Inputs!$F$157)+Inputs!$F$164,1,1)-1))/Inputs!$F$27),1)+Inputs!$F$188*MIN(MAX(MAX(0,(Time!J$5-(DATE(YEAR(Inputs!$F$157)+Inputs!$F$164,1,1)-1))/Inputs!$F$27)-1,0),Inputs!$F$190-1)+Inputs!$F$189*MAX(MAX(0,(Time!J$5-(DATE(YEAR(Inputs!$F$157)+Inputs!$F$164,1,1)-1))/Inputs!$F$27)-Inputs!$F$190,0))/100),0)+IF(Time!J$5&gt;=(DATE(YEAR(Inputs!$F$157)+Inputs!$F$165,1,1)-1),Inputs!$F$166/100*Inputs!$F$162*(1-(Inputs!$F$187*MIN(MAX(0,(Time!J$5-(DATE(YEAR(Inputs!$F$157)+Inputs!$F$165,1,1)-1))/Inputs!$F$27),1)+Inputs!$F$188*MIN(MAX(MAX(0,(Time!J$5-(DATE(YEAR(Inputs!$F$157)+Inputs!$F$165,1,1)-1))/Inputs!$F$27)-1,0),Inputs!$F$190-1)+Inputs!$F$189*MAX(MAX(0,(Time!J$5-(DATE(YEAR(Inputs!$F$157)+Inputs!$F$165,1,1)-1))/Inputs!$F$27)-Inputs!$F$190,0))/100),0)</f>
        <v>0</v>
      </c>
      <c r="K718" s="20" t="n">
        <f aca="false">IF(Time!K$5&gt;=(DATE(YEAR(Inputs!$F$157)+Inputs!$F$164,1,1)-1),Inputs!$F$166/100*Inputs!$F$162*(1-(Inputs!$F$187*MIN(MAX(0,(Time!K$5-(DATE(YEAR(Inputs!$F$157)+Inputs!$F$164,1,1)-1))/Inputs!$F$27),1)+Inputs!$F$188*MIN(MAX(MAX(0,(Time!K$5-(DATE(YEAR(Inputs!$F$157)+Inputs!$F$164,1,1)-1))/Inputs!$F$27)-1,0),Inputs!$F$190-1)+Inputs!$F$189*MAX(MAX(0,(Time!K$5-(DATE(YEAR(Inputs!$F$157)+Inputs!$F$164,1,1)-1))/Inputs!$F$27)-Inputs!$F$190,0))/100),0)+IF(Time!K$5&gt;=(DATE(YEAR(Inputs!$F$157)+Inputs!$F$165,1,1)-1),Inputs!$F$166/100*Inputs!$F$162*(1-(Inputs!$F$187*MIN(MAX(0,(Time!K$5-(DATE(YEAR(Inputs!$F$157)+Inputs!$F$165,1,1)-1))/Inputs!$F$27),1)+Inputs!$F$188*MIN(MAX(MAX(0,(Time!K$5-(DATE(YEAR(Inputs!$F$157)+Inputs!$F$165,1,1)-1))/Inputs!$F$27)-1,0),Inputs!$F$190-1)+Inputs!$F$189*MAX(MAX(0,(Time!K$5-(DATE(YEAR(Inputs!$F$157)+Inputs!$F$165,1,1)-1))/Inputs!$F$27)-Inputs!$F$190,0))/100),0)</f>
        <v>0</v>
      </c>
      <c r="L718" s="20" t="n">
        <f aca="false">IF(Time!L$5&gt;=(DATE(YEAR(Inputs!$F$157)+Inputs!$F$164,1,1)-1),Inputs!$F$166/100*Inputs!$F$162*(1-(Inputs!$F$187*MIN(MAX(0,(Time!L$5-(DATE(YEAR(Inputs!$F$157)+Inputs!$F$164,1,1)-1))/Inputs!$F$27),1)+Inputs!$F$188*MIN(MAX(MAX(0,(Time!L$5-(DATE(YEAR(Inputs!$F$157)+Inputs!$F$164,1,1)-1))/Inputs!$F$27)-1,0),Inputs!$F$190-1)+Inputs!$F$189*MAX(MAX(0,(Time!L$5-(DATE(YEAR(Inputs!$F$157)+Inputs!$F$164,1,1)-1))/Inputs!$F$27)-Inputs!$F$190,0))/100),0)+IF(Time!L$5&gt;=(DATE(YEAR(Inputs!$F$157)+Inputs!$F$165,1,1)-1),Inputs!$F$166/100*Inputs!$F$162*(1-(Inputs!$F$187*MIN(MAX(0,(Time!L$5-(DATE(YEAR(Inputs!$F$157)+Inputs!$F$165,1,1)-1))/Inputs!$F$27),1)+Inputs!$F$188*MIN(MAX(MAX(0,(Time!L$5-(DATE(YEAR(Inputs!$F$157)+Inputs!$F$165,1,1)-1))/Inputs!$F$27)-1,0),Inputs!$F$190-1)+Inputs!$F$189*MAX(MAX(0,(Time!L$5-(DATE(YEAR(Inputs!$F$157)+Inputs!$F$165,1,1)-1))/Inputs!$F$27)-Inputs!$F$190,0))/100),0)</f>
        <v>0</v>
      </c>
      <c r="M718" s="20" t="n">
        <f aca="false">IF(Time!M$5&gt;=(DATE(YEAR(Inputs!$F$157)+Inputs!$F$164,1,1)-1),Inputs!$F$166/100*Inputs!$F$162*(1-(Inputs!$F$187*MIN(MAX(0,(Time!M$5-(DATE(YEAR(Inputs!$F$157)+Inputs!$F$164,1,1)-1))/Inputs!$F$27),1)+Inputs!$F$188*MIN(MAX(MAX(0,(Time!M$5-(DATE(YEAR(Inputs!$F$157)+Inputs!$F$164,1,1)-1))/Inputs!$F$27)-1,0),Inputs!$F$190-1)+Inputs!$F$189*MAX(MAX(0,(Time!M$5-(DATE(YEAR(Inputs!$F$157)+Inputs!$F$164,1,1)-1))/Inputs!$F$27)-Inputs!$F$190,0))/100),0)+IF(Time!M$5&gt;=(DATE(YEAR(Inputs!$F$157)+Inputs!$F$165,1,1)-1),Inputs!$F$166/100*Inputs!$F$162*(1-(Inputs!$F$187*MIN(MAX(0,(Time!M$5-(DATE(YEAR(Inputs!$F$157)+Inputs!$F$165,1,1)-1))/Inputs!$F$27),1)+Inputs!$F$188*MIN(MAX(MAX(0,(Time!M$5-(DATE(YEAR(Inputs!$F$157)+Inputs!$F$165,1,1)-1))/Inputs!$F$27)-1,0),Inputs!$F$190-1)+Inputs!$F$189*MAX(MAX(0,(Time!M$5-(DATE(YEAR(Inputs!$F$157)+Inputs!$F$165,1,1)-1))/Inputs!$F$27)-Inputs!$F$190,0))/100),0)</f>
        <v>0</v>
      </c>
      <c r="N718" s="20" t="n">
        <f aca="false">IF(Time!N$5&gt;=(DATE(YEAR(Inputs!$F$157)+Inputs!$F$164,1,1)-1),Inputs!$F$166/100*Inputs!$F$162*(1-(Inputs!$F$187*MIN(MAX(0,(Time!N$5-(DATE(YEAR(Inputs!$F$157)+Inputs!$F$164,1,1)-1))/Inputs!$F$27),1)+Inputs!$F$188*MIN(MAX(MAX(0,(Time!N$5-(DATE(YEAR(Inputs!$F$157)+Inputs!$F$164,1,1)-1))/Inputs!$F$27)-1,0),Inputs!$F$190-1)+Inputs!$F$189*MAX(MAX(0,(Time!N$5-(DATE(YEAR(Inputs!$F$157)+Inputs!$F$164,1,1)-1))/Inputs!$F$27)-Inputs!$F$190,0))/100),0)+IF(Time!N$5&gt;=(DATE(YEAR(Inputs!$F$157)+Inputs!$F$165,1,1)-1),Inputs!$F$166/100*Inputs!$F$162*(1-(Inputs!$F$187*MIN(MAX(0,(Time!N$5-(DATE(YEAR(Inputs!$F$157)+Inputs!$F$165,1,1)-1))/Inputs!$F$27),1)+Inputs!$F$188*MIN(MAX(MAX(0,(Time!N$5-(DATE(YEAR(Inputs!$F$157)+Inputs!$F$165,1,1)-1))/Inputs!$F$27)-1,0),Inputs!$F$190-1)+Inputs!$F$189*MAX(MAX(0,(Time!N$5-(DATE(YEAR(Inputs!$F$157)+Inputs!$F$165,1,1)-1))/Inputs!$F$27)-Inputs!$F$190,0))/100),0)</f>
        <v>0</v>
      </c>
      <c r="O718" s="20" t="n">
        <f aca="false">IF(Time!O$5&gt;=(DATE(YEAR(Inputs!$F$157)+Inputs!$F$164,1,1)-1),Inputs!$F$166/100*Inputs!$F$162*(1-(Inputs!$F$187*MIN(MAX(0,(Time!O$5-(DATE(YEAR(Inputs!$F$157)+Inputs!$F$164,1,1)-1))/Inputs!$F$27),1)+Inputs!$F$188*MIN(MAX(MAX(0,(Time!O$5-(DATE(YEAR(Inputs!$F$157)+Inputs!$F$164,1,1)-1))/Inputs!$F$27)-1,0),Inputs!$F$190-1)+Inputs!$F$189*MAX(MAX(0,(Time!O$5-(DATE(YEAR(Inputs!$F$157)+Inputs!$F$164,1,1)-1))/Inputs!$F$27)-Inputs!$F$190,0))/100),0)+IF(Time!O$5&gt;=(DATE(YEAR(Inputs!$F$157)+Inputs!$F$165,1,1)-1),Inputs!$F$166/100*Inputs!$F$162*(1-(Inputs!$F$187*MIN(MAX(0,(Time!O$5-(DATE(YEAR(Inputs!$F$157)+Inputs!$F$165,1,1)-1))/Inputs!$F$27),1)+Inputs!$F$188*MIN(MAX(MAX(0,(Time!O$5-(DATE(YEAR(Inputs!$F$157)+Inputs!$F$165,1,1)-1))/Inputs!$F$27)-1,0),Inputs!$F$190-1)+Inputs!$F$189*MAX(MAX(0,(Time!O$5-(DATE(YEAR(Inputs!$F$157)+Inputs!$F$165,1,1)-1))/Inputs!$F$27)-Inputs!$F$190,0))/100),0)</f>
        <v>0</v>
      </c>
      <c r="P718" s="20" t="n">
        <f aca="false">IF(Time!P$5&gt;=(DATE(YEAR(Inputs!$F$157)+Inputs!$F$164,1,1)-1),Inputs!$F$166/100*Inputs!$F$162*(1-(Inputs!$F$187*MIN(MAX(0,(Time!P$5-(DATE(YEAR(Inputs!$F$157)+Inputs!$F$164,1,1)-1))/Inputs!$F$27),1)+Inputs!$F$188*MIN(MAX(MAX(0,(Time!P$5-(DATE(YEAR(Inputs!$F$157)+Inputs!$F$164,1,1)-1))/Inputs!$F$27)-1,0),Inputs!$F$190-1)+Inputs!$F$189*MAX(MAX(0,(Time!P$5-(DATE(YEAR(Inputs!$F$157)+Inputs!$F$164,1,1)-1))/Inputs!$F$27)-Inputs!$F$190,0))/100),0)+IF(Time!P$5&gt;=(DATE(YEAR(Inputs!$F$157)+Inputs!$F$165,1,1)-1),Inputs!$F$166/100*Inputs!$F$162*(1-(Inputs!$F$187*MIN(MAX(0,(Time!P$5-(DATE(YEAR(Inputs!$F$157)+Inputs!$F$165,1,1)-1))/Inputs!$F$27),1)+Inputs!$F$188*MIN(MAX(MAX(0,(Time!P$5-(DATE(YEAR(Inputs!$F$157)+Inputs!$F$165,1,1)-1))/Inputs!$F$27)-1,0),Inputs!$F$190-1)+Inputs!$F$189*MAX(MAX(0,(Time!P$5-(DATE(YEAR(Inputs!$F$157)+Inputs!$F$165,1,1)-1))/Inputs!$F$27)-Inputs!$F$190,0))/100),0)</f>
        <v>0</v>
      </c>
      <c r="Q718" s="20" t="n">
        <f aca="false">IF(Time!Q$5&gt;=(DATE(YEAR(Inputs!$F$157)+Inputs!$F$164,1,1)-1),Inputs!$F$166/100*Inputs!$F$162*(1-(Inputs!$F$187*MIN(MAX(0,(Time!Q$5-(DATE(YEAR(Inputs!$F$157)+Inputs!$F$164,1,1)-1))/Inputs!$F$27),1)+Inputs!$F$188*MIN(MAX(MAX(0,(Time!Q$5-(DATE(YEAR(Inputs!$F$157)+Inputs!$F$164,1,1)-1))/Inputs!$F$27)-1,0),Inputs!$F$190-1)+Inputs!$F$189*MAX(MAX(0,(Time!Q$5-(DATE(YEAR(Inputs!$F$157)+Inputs!$F$164,1,1)-1))/Inputs!$F$27)-Inputs!$F$190,0))/100),0)+IF(Time!Q$5&gt;=(DATE(YEAR(Inputs!$F$157)+Inputs!$F$165,1,1)-1),Inputs!$F$166/100*Inputs!$F$162*(1-(Inputs!$F$187*MIN(MAX(0,(Time!Q$5-(DATE(YEAR(Inputs!$F$157)+Inputs!$F$165,1,1)-1))/Inputs!$F$27),1)+Inputs!$F$188*MIN(MAX(MAX(0,(Time!Q$5-(DATE(YEAR(Inputs!$F$157)+Inputs!$F$165,1,1)-1))/Inputs!$F$27)-1,0),Inputs!$F$190-1)+Inputs!$F$189*MAX(MAX(0,(Time!Q$5-(DATE(YEAR(Inputs!$F$157)+Inputs!$F$165,1,1)-1))/Inputs!$F$27)-Inputs!$F$190,0))/100),0)</f>
        <v>18</v>
      </c>
      <c r="R718" s="20" t="n">
        <f aca="false">IF(Time!R$5&gt;=(DATE(YEAR(Inputs!$F$157)+Inputs!$F$164,1,1)-1),Inputs!$F$166/100*Inputs!$F$162*(1-(Inputs!$F$187*MIN(MAX(0,(Time!R$5-(DATE(YEAR(Inputs!$F$157)+Inputs!$F$164,1,1)-1))/Inputs!$F$27),1)+Inputs!$F$188*MIN(MAX(MAX(0,(Time!R$5-(DATE(YEAR(Inputs!$F$157)+Inputs!$F$164,1,1)-1))/Inputs!$F$27)-1,0),Inputs!$F$190-1)+Inputs!$F$189*MAX(MAX(0,(Time!R$5-(DATE(YEAR(Inputs!$F$157)+Inputs!$F$164,1,1)-1))/Inputs!$F$27)-Inputs!$F$190,0))/100),0)+IF(Time!R$5&gt;=(DATE(YEAR(Inputs!$F$157)+Inputs!$F$165,1,1)-1),Inputs!$F$166/100*Inputs!$F$162*(1-(Inputs!$F$187*MIN(MAX(0,(Time!R$5-(DATE(YEAR(Inputs!$F$157)+Inputs!$F$165,1,1)-1))/Inputs!$F$27),1)+Inputs!$F$188*MIN(MAX(MAX(0,(Time!R$5-(DATE(YEAR(Inputs!$F$157)+Inputs!$F$165,1,1)-1))/Inputs!$F$27)-1,0),Inputs!$F$190-1)+Inputs!$F$189*MAX(MAX(0,(Time!R$5-(DATE(YEAR(Inputs!$F$157)+Inputs!$F$165,1,1)-1))/Inputs!$F$27)-Inputs!$F$190,0))/100),0)</f>
        <v>17.64</v>
      </c>
      <c r="S718" s="20" t="n">
        <f aca="false">IF(Time!S$5&gt;=(DATE(YEAR(Inputs!$F$157)+Inputs!$F$164,1,1)-1),Inputs!$F$166/100*Inputs!$F$162*(1-(Inputs!$F$187*MIN(MAX(0,(Time!S$5-(DATE(YEAR(Inputs!$F$157)+Inputs!$F$164,1,1)-1))/Inputs!$F$27),1)+Inputs!$F$188*MIN(MAX(MAX(0,(Time!S$5-(DATE(YEAR(Inputs!$F$157)+Inputs!$F$164,1,1)-1))/Inputs!$F$27)-1,0),Inputs!$F$190-1)+Inputs!$F$189*MAX(MAX(0,(Time!S$5-(DATE(YEAR(Inputs!$F$157)+Inputs!$F$164,1,1)-1))/Inputs!$F$27)-Inputs!$F$190,0))/100),0)+IF(Time!S$5&gt;=(DATE(YEAR(Inputs!$F$157)+Inputs!$F$165,1,1)-1),Inputs!$F$166/100*Inputs!$F$162*(1-(Inputs!$F$187*MIN(MAX(0,(Time!S$5-(DATE(YEAR(Inputs!$F$157)+Inputs!$F$165,1,1)-1))/Inputs!$F$27),1)+Inputs!$F$188*MIN(MAX(MAX(0,(Time!S$5-(DATE(YEAR(Inputs!$F$157)+Inputs!$F$165,1,1)-1))/Inputs!$F$27)-1,0),Inputs!$F$190-1)+Inputs!$F$189*MAX(MAX(0,(Time!S$5-(DATE(YEAR(Inputs!$F$157)+Inputs!$F$165,1,1)-1))/Inputs!$F$27)-Inputs!$F$190,0))/100),0)</f>
        <v>17.37</v>
      </c>
      <c r="T718" s="20" t="n">
        <f aca="false">IF(Time!T$5&gt;=(DATE(YEAR(Inputs!$F$157)+Inputs!$F$164,1,1)-1),Inputs!$F$166/100*Inputs!$F$162*(1-(Inputs!$F$187*MIN(MAX(0,(Time!T$5-(DATE(YEAR(Inputs!$F$157)+Inputs!$F$164,1,1)-1))/Inputs!$F$27),1)+Inputs!$F$188*MIN(MAX(MAX(0,(Time!T$5-(DATE(YEAR(Inputs!$F$157)+Inputs!$F$164,1,1)-1))/Inputs!$F$27)-1,0),Inputs!$F$190-1)+Inputs!$F$189*MAX(MAX(0,(Time!T$5-(DATE(YEAR(Inputs!$F$157)+Inputs!$F$164,1,1)-1))/Inputs!$F$27)-Inputs!$F$190,0))/100),0)+IF(Time!T$5&gt;=(DATE(YEAR(Inputs!$F$157)+Inputs!$F$165,1,1)-1),Inputs!$F$166/100*Inputs!$F$162*(1-(Inputs!$F$187*MIN(MAX(0,(Time!T$5-(DATE(YEAR(Inputs!$F$157)+Inputs!$F$165,1,1)-1))/Inputs!$F$27),1)+Inputs!$F$188*MIN(MAX(MAX(0,(Time!T$5-(DATE(YEAR(Inputs!$F$157)+Inputs!$F$165,1,1)-1))/Inputs!$F$27)-1,0),Inputs!$F$190-1)+Inputs!$F$189*MAX(MAX(0,(Time!T$5-(DATE(YEAR(Inputs!$F$157)+Inputs!$F$165,1,1)-1))/Inputs!$F$27)-Inputs!$F$190,0))/100),0)</f>
        <v>17.1</v>
      </c>
      <c r="U718" s="20" t="n">
        <f aca="false">IF(Time!U$5&gt;=(DATE(YEAR(Inputs!$F$157)+Inputs!$F$164,1,1)-1),Inputs!$F$166/100*Inputs!$F$162*(1-(Inputs!$F$187*MIN(MAX(0,(Time!U$5-(DATE(YEAR(Inputs!$F$157)+Inputs!$F$164,1,1)-1))/Inputs!$F$27),1)+Inputs!$F$188*MIN(MAX(MAX(0,(Time!U$5-(DATE(YEAR(Inputs!$F$157)+Inputs!$F$164,1,1)-1))/Inputs!$F$27)-1,0),Inputs!$F$190-1)+Inputs!$F$189*MAX(MAX(0,(Time!U$5-(DATE(YEAR(Inputs!$F$157)+Inputs!$F$164,1,1)-1))/Inputs!$F$27)-Inputs!$F$190,0))/100),0)+IF(Time!U$5&gt;=(DATE(YEAR(Inputs!$F$157)+Inputs!$F$165,1,1)-1),Inputs!$F$166/100*Inputs!$F$162*(1-(Inputs!$F$187*MIN(MAX(0,(Time!U$5-(DATE(YEAR(Inputs!$F$157)+Inputs!$F$165,1,1)-1))/Inputs!$F$27),1)+Inputs!$F$188*MIN(MAX(MAX(0,(Time!U$5-(DATE(YEAR(Inputs!$F$157)+Inputs!$F$165,1,1)-1))/Inputs!$F$27)-1,0),Inputs!$F$190-1)+Inputs!$F$189*MAX(MAX(0,(Time!U$5-(DATE(YEAR(Inputs!$F$157)+Inputs!$F$165,1,1)-1))/Inputs!$F$27)-Inputs!$F$190,0))/100),0)</f>
        <v>34.8292602739726</v>
      </c>
      <c r="V718" s="20" t="n">
        <f aca="false">IF(Time!V$5&gt;=(DATE(YEAR(Inputs!$F$157)+Inputs!$F$164,1,1)-1),Inputs!$F$166/100*Inputs!$F$162*(1-(Inputs!$F$187*MIN(MAX(0,(Time!V$5-(DATE(YEAR(Inputs!$F$157)+Inputs!$F$164,1,1)-1))/Inputs!$F$27),1)+Inputs!$F$188*MIN(MAX(MAX(0,(Time!V$5-(DATE(YEAR(Inputs!$F$157)+Inputs!$F$164,1,1)-1))/Inputs!$F$27)-1,0),Inputs!$F$190-1)+Inputs!$F$189*MAX(MAX(0,(Time!V$5-(DATE(YEAR(Inputs!$F$157)+Inputs!$F$164,1,1)-1))/Inputs!$F$27)-Inputs!$F$190,0))/100),0)+IF(Time!V$5&gt;=(DATE(YEAR(Inputs!$F$157)+Inputs!$F$165,1,1)-1),Inputs!$F$166/100*Inputs!$F$162*(1-(Inputs!$F$187*MIN(MAX(0,(Time!V$5-(DATE(YEAR(Inputs!$F$157)+Inputs!$F$165,1,1)-1))/Inputs!$F$27),1)+Inputs!$F$188*MIN(MAX(MAX(0,(Time!V$5-(DATE(YEAR(Inputs!$F$157)+Inputs!$F$165,1,1)-1))/Inputs!$F$27)-1,0),Inputs!$F$190-1)+Inputs!$F$189*MAX(MAX(0,(Time!V$5-(DATE(YEAR(Inputs!$F$157)+Inputs!$F$165,1,1)-1))/Inputs!$F$27)-Inputs!$F$190,0))/100),0)</f>
        <v>34.1992602739726</v>
      </c>
      <c r="W718" s="20" t="n">
        <f aca="false">IF(Time!W$5&gt;=(DATE(YEAR(Inputs!$F$157)+Inputs!$F$164,1,1)-1),Inputs!$F$166/100*Inputs!$F$162*(1-(Inputs!$F$187*MIN(MAX(0,(Time!W$5-(DATE(YEAR(Inputs!$F$157)+Inputs!$F$164,1,1)-1))/Inputs!$F$27),1)+Inputs!$F$188*MIN(MAX(MAX(0,(Time!W$5-(DATE(YEAR(Inputs!$F$157)+Inputs!$F$164,1,1)-1))/Inputs!$F$27)-1,0),Inputs!$F$190-1)+Inputs!$F$189*MAX(MAX(0,(Time!W$5-(DATE(YEAR(Inputs!$F$157)+Inputs!$F$164,1,1)-1))/Inputs!$F$27)-Inputs!$F$190,0))/100),0)+IF(Time!W$5&gt;=(DATE(YEAR(Inputs!$F$157)+Inputs!$F$165,1,1)-1),Inputs!$F$166/100*Inputs!$F$162*(1-(Inputs!$F$187*MIN(MAX(0,(Time!W$5-(DATE(YEAR(Inputs!$F$157)+Inputs!$F$165,1,1)-1))/Inputs!$F$27),1)+Inputs!$F$188*MIN(MAX(MAX(0,(Time!W$5-(DATE(YEAR(Inputs!$F$157)+Inputs!$F$165,1,1)-1))/Inputs!$F$27)-1,0),Inputs!$F$190-1)+Inputs!$F$189*MAX(MAX(0,(Time!W$5-(DATE(YEAR(Inputs!$F$157)+Inputs!$F$165,1,1)-1))/Inputs!$F$27)-Inputs!$F$190,0))/100),0)</f>
        <v>33.6592602739726</v>
      </c>
      <c r="X718" s="20" t="n">
        <f aca="false">IF(Time!X$5&gt;=(DATE(YEAR(Inputs!$F$157)+Inputs!$F$164,1,1)-1),Inputs!$F$166/100*Inputs!$F$162*(1-(Inputs!$F$187*MIN(MAX(0,(Time!X$5-(DATE(YEAR(Inputs!$F$157)+Inputs!$F$164,1,1)-1))/Inputs!$F$27),1)+Inputs!$F$188*MIN(MAX(MAX(0,(Time!X$5-(DATE(YEAR(Inputs!$F$157)+Inputs!$F$164,1,1)-1))/Inputs!$F$27)-1,0),Inputs!$F$190-1)+Inputs!$F$189*MAX(MAX(0,(Time!X$5-(DATE(YEAR(Inputs!$F$157)+Inputs!$F$164,1,1)-1))/Inputs!$F$27)-Inputs!$F$190,0))/100),0)+IF(Time!X$5&gt;=(DATE(YEAR(Inputs!$F$157)+Inputs!$F$165,1,1)-1),Inputs!$F$166/100*Inputs!$F$162*(1-(Inputs!$F$187*MIN(MAX(0,(Time!X$5-(DATE(YEAR(Inputs!$F$157)+Inputs!$F$165,1,1)-1))/Inputs!$F$27),1)+Inputs!$F$188*MIN(MAX(MAX(0,(Time!X$5-(DATE(YEAR(Inputs!$F$157)+Inputs!$F$165,1,1)-1))/Inputs!$F$27)-1,0),Inputs!$F$190-1)+Inputs!$F$189*MAX(MAX(0,(Time!X$5-(DATE(YEAR(Inputs!$F$157)+Inputs!$F$165,1,1)-1))/Inputs!$F$27)-Inputs!$F$190,0))/100),0)</f>
        <v>33.1192602739726</v>
      </c>
      <c r="Y718" s="20" t="n">
        <f aca="false">IF(Time!Y$5&gt;=(DATE(YEAR(Inputs!$F$157)+Inputs!$F$164,1,1)-1),Inputs!$F$166/100*Inputs!$F$162*(1-(Inputs!$F$187*MIN(MAX(0,(Time!Y$5-(DATE(YEAR(Inputs!$F$157)+Inputs!$F$164,1,1)-1))/Inputs!$F$27),1)+Inputs!$F$188*MIN(MAX(MAX(0,(Time!Y$5-(DATE(YEAR(Inputs!$F$157)+Inputs!$F$164,1,1)-1))/Inputs!$F$27)-1,0),Inputs!$F$190-1)+Inputs!$F$189*MAX(MAX(0,(Time!Y$5-(DATE(YEAR(Inputs!$F$157)+Inputs!$F$164,1,1)-1))/Inputs!$F$27)-Inputs!$F$190,0))/100),0)+IF(Time!Y$5&gt;=(DATE(YEAR(Inputs!$F$157)+Inputs!$F$165,1,1)-1),Inputs!$F$166/100*Inputs!$F$162*(1-(Inputs!$F$187*MIN(MAX(0,(Time!Y$5-(DATE(YEAR(Inputs!$F$157)+Inputs!$F$165,1,1)-1))/Inputs!$F$27),1)+Inputs!$F$188*MIN(MAX(MAX(0,(Time!Y$5-(DATE(YEAR(Inputs!$F$157)+Inputs!$F$165,1,1)-1))/Inputs!$F$27)-1,0),Inputs!$F$190-1)+Inputs!$F$189*MAX(MAX(0,(Time!Y$5-(DATE(YEAR(Inputs!$F$157)+Inputs!$F$165,1,1)-1))/Inputs!$F$27)-Inputs!$F$190,0))/100),0)</f>
        <v>32.5777808219178</v>
      </c>
      <c r="Z718" s="20" t="n">
        <f aca="false">IF(Time!Z$5&gt;=(DATE(YEAR(Inputs!$F$157)+Inputs!$F$164,1,1)-1),Inputs!$F$166/100*Inputs!$F$162*(1-(Inputs!$F$187*MIN(MAX(0,(Time!Z$5-(DATE(YEAR(Inputs!$F$157)+Inputs!$F$164,1,1)-1))/Inputs!$F$27),1)+Inputs!$F$188*MIN(MAX(MAX(0,(Time!Z$5-(DATE(YEAR(Inputs!$F$157)+Inputs!$F$164,1,1)-1))/Inputs!$F$27)-1,0),Inputs!$F$190-1)+Inputs!$F$189*MAX(MAX(0,(Time!Z$5-(DATE(YEAR(Inputs!$F$157)+Inputs!$F$164,1,1)-1))/Inputs!$F$27)-Inputs!$F$190,0))/100),0)+IF(Time!Z$5&gt;=(DATE(YEAR(Inputs!$F$157)+Inputs!$F$165,1,1)-1),Inputs!$F$166/100*Inputs!$F$162*(1-(Inputs!$F$187*MIN(MAX(0,(Time!Z$5-(DATE(YEAR(Inputs!$F$157)+Inputs!$F$165,1,1)-1))/Inputs!$F$27),1)+Inputs!$F$188*MIN(MAX(MAX(0,(Time!Z$5-(DATE(YEAR(Inputs!$F$157)+Inputs!$F$165,1,1)-1))/Inputs!$F$27)-1,0),Inputs!$F$190-1)+Inputs!$F$189*MAX(MAX(0,(Time!Z$5-(DATE(YEAR(Inputs!$F$157)+Inputs!$F$165,1,1)-1))/Inputs!$F$27)-Inputs!$F$190,0))/100),0)</f>
        <v>32.0377808219178</v>
      </c>
      <c r="AA718" s="20" t="n">
        <f aca="false">IF(Time!AA$5&gt;=(DATE(YEAR(Inputs!$F$157)+Inputs!$F$164,1,1)-1),Inputs!$F$166/100*Inputs!$F$162*(1-(Inputs!$F$187*MIN(MAX(0,(Time!AA$5-(DATE(YEAR(Inputs!$F$157)+Inputs!$F$164,1,1)-1))/Inputs!$F$27),1)+Inputs!$F$188*MIN(MAX(MAX(0,(Time!AA$5-(DATE(YEAR(Inputs!$F$157)+Inputs!$F$164,1,1)-1))/Inputs!$F$27)-1,0),Inputs!$F$190-1)+Inputs!$F$189*MAX(MAX(0,(Time!AA$5-(DATE(YEAR(Inputs!$F$157)+Inputs!$F$164,1,1)-1))/Inputs!$F$27)-Inputs!$F$190,0))/100),0)+IF(Time!AA$5&gt;=(DATE(YEAR(Inputs!$F$157)+Inputs!$F$165,1,1)-1),Inputs!$F$166/100*Inputs!$F$162*(1-(Inputs!$F$187*MIN(MAX(0,(Time!AA$5-(DATE(YEAR(Inputs!$F$157)+Inputs!$F$165,1,1)-1))/Inputs!$F$27),1)+Inputs!$F$188*MIN(MAX(MAX(0,(Time!AA$5-(DATE(YEAR(Inputs!$F$157)+Inputs!$F$165,1,1)-1))/Inputs!$F$27)-1,0),Inputs!$F$190-1)+Inputs!$F$189*MAX(MAX(0,(Time!AA$5-(DATE(YEAR(Inputs!$F$157)+Inputs!$F$165,1,1)-1))/Inputs!$F$27)-Inputs!$F$190,0))/100),0)</f>
        <v>31.4982739726027</v>
      </c>
      <c r="AB718" s="20" t="n">
        <f aca="false">IF(Time!AB$5&gt;=(DATE(YEAR(Inputs!$F$157)+Inputs!$F$164,1,1)-1),Inputs!$F$166/100*Inputs!$F$162*(1-(Inputs!$F$187*MIN(MAX(0,(Time!AB$5-(DATE(YEAR(Inputs!$F$157)+Inputs!$F$164,1,1)-1))/Inputs!$F$27),1)+Inputs!$F$188*MIN(MAX(MAX(0,(Time!AB$5-(DATE(YEAR(Inputs!$F$157)+Inputs!$F$164,1,1)-1))/Inputs!$F$27)-1,0),Inputs!$F$190-1)+Inputs!$F$189*MAX(MAX(0,(Time!AB$5-(DATE(YEAR(Inputs!$F$157)+Inputs!$F$164,1,1)-1))/Inputs!$F$27)-Inputs!$F$190,0))/100),0)+IF(Time!AB$5&gt;=(DATE(YEAR(Inputs!$F$157)+Inputs!$F$165,1,1)-1),Inputs!$F$166/100*Inputs!$F$162*(1-(Inputs!$F$187*MIN(MAX(0,(Time!AB$5-(DATE(YEAR(Inputs!$F$157)+Inputs!$F$165,1,1)-1))/Inputs!$F$27),1)+Inputs!$F$188*MIN(MAX(MAX(0,(Time!AB$5-(DATE(YEAR(Inputs!$F$157)+Inputs!$F$165,1,1)-1))/Inputs!$F$27)-1,0),Inputs!$F$190-1)+Inputs!$F$189*MAX(MAX(0,(Time!AB$5-(DATE(YEAR(Inputs!$F$157)+Inputs!$F$165,1,1)-1))/Inputs!$F$27)-Inputs!$F$190,0))/100),0)</f>
        <v>31.0482739726027</v>
      </c>
      <c r="AC718" s="20" t="n">
        <f aca="false">IF(Time!AC$5&gt;=(DATE(YEAR(Inputs!$F$157)+Inputs!$F$164,1,1)-1),Inputs!$F$166/100*Inputs!$F$162*(1-(Inputs!$F$187*MIN(MAX(0,(Time!AC$5-(DATE(YEAR(Inputs!$F$157)+Inputs!$F$164,1,1)-1))/Inputs!$F$27),1)+Inputs!$F$188*MIN(MAX(MAX(0,(Time!AC$5-(DATE(YEAR(Inputs!$F$157)+Inputs!$F$164,1,1)-1))/Inputs!$F$27)-1,0),Inputs!$F$190-1)+Inputs!$F$189*MAX(MAX(0,(Time!AC$5-(DATE(YEAR(Inputs!$F$157)+Inputs!$F$164,1,1)-1))/Inputs!$F$27)-Inputs!$F$190,0))/100),0)+IF(Time!AC$5&gt;=(DATE(YEAR(Inputs!$F$157)+Inputs!$F$165,1,1)-1),Inputs!$F$166/100*Inputs!$F$162*(1-(Inputs!$F$187*MIN(MAX(0,(Time!AC$5-(DATE(YEAR(Inputs!$F$157)+Inputs!$F$165,1,1)-1))/Inputs!$F$27),1)+Inputs!$F$188*MIN(MAX(MAX(0,(Time!AC$5-(DATE(YEAR(Inputs!$F$157)+Inputs!$F$165,1,1)-1))/Inputs!$F$27)-1,0),Inputs!$F$190-1)+Inputs!$F$189*MAX(MAX(0,(Time!AC$5-(DATE(YEAR(Inputs!$F$157)+Inputs!$F$165,1,1)-1))/Inputs!$F$27)-Inputs!$F$190,0))/100),0)</f>
        <v>30.5970410958904</v>
      </c>
      <c r="AD718" s="20" t="n">
        <f aca="false">IF(Time!AD$5&gt;=(DATE(YEAR(Inputs!$F$157)+Inputs!$F$164,1,1)-1),Inputs!$F$166/100*Inputs!$F$162*(1-(Inputs!$F$187*MIN(MAX(0,(Time!AD$5-(DATE(YEAR(Inputs!$F$157)+Inputs!$F$164,1,1)-1))/Inputs!$F$27),1)+Inputs!$F$188*MIN(MAX(MAX(0,(Time!AD$5-(DATE(YEAR(Inputs!$F$157)+Inputs!$F$164,1,1)-1))/Inputs!$F$27)-1,0),Inputs!$F$190-1)+Inputs!$F$189*MAX(MAX(0,(Time!AD$5-(DATE(YEAR(Inputs!$F$157)+Inputs!$F$164,1,1)-1))/Inputs!$F$27)-Inputs!$F$190,0))/100),0)+IF(Time!AD$5&gt;=(DATE(YEAR(Inputs!$F$157)+Inputs!$F$165,1,1)-1),Inputs!$F$166/100*Inputs!$F$162*(1-(Inputs!$F$187*MIN(MAX(0,(Time!AD$5-(DATE(YEAR(Inputs!$F$157)+Inputs!$F$165,1,1)-1))/Inputs!$F$27),1)+Inputs!$F$188*MIN(MAX(MAX(0,(Time!AD$5-(DATE(YEAR(Inputs!$F$157)+Inputs!$F$165,1,1)-1))/Inputs!$F$27)-1,0),Inputs!$F$190-1)+Inputs!$F$189*MAX(MAX(0,(Time!AD$5-(DATE(YEAR(Inputs!$F$157)+Inputs!$F$165,1,1)-1))/Inputs!$F$27)-Inputs!$F$190,0))/100),0)</f>
        <v>30.1470410958904</v>
      </c>
      <c r="AE718" s="20" t="n">
        <f aca="false">IF(Time!AE$5&gt;=(DATE(YEAR(Inputs!$F$157)+Inputs!$F$164,1,1)-1),Inputs!$F$166/100*Inputs!$F$162*(1-(Inputs!$F$187*MIN(MAX(0,(Time!AE$5-(DATE(YEAR(Inputs!$F$157)+Inputs!$F$164,1,1)-1))/Inputs!$F$27),1)+Inputs!$F$188*MIN(MAX(MAX(0,(Time!AE$5-(DATE(YEAR(Inputs!$F$157)+Inputs!$F$164,1,1)-1))/Inputs!$F$27)-1,0),Inputs!$F$190-1)+Inputs!$F$189*MAX(MAX(0,(Time!AE$5-(DATE(YEAR(Inputs!$F$157)+Inputs!$F$164,1,1)-1))/Inputs!$F$27)-Inputs!$F$190,0))/100),0)+IF(Time!AE$5&gt;=(DATE(YEAR(Inputs!$F$157)+Inputs!$F$165,1,1)-1),Inputs!$F$166/100*Inputs!$F$162*(1-(Inputs!$F$187*MIN(MAX(0,(Time!AE$5-(DATE(YEAR(Inputs!$F$157)+Inputs!$F$165,1,1)-1))/Inputs!$F$27),1)+Inputs!$F$188*MIN(MAX(MAX(0,(Time!AE$5-(DATE(YEAR(Inputs!$F$157)+Inputs!$F$165,1,1)-1))/Inputs!$F$27)-1,0),Inputs!$F$190-1)+Inputs!$F$189*MAX(MAX(0,(Time!AE$5-(DATE(YEAR(Inputs!$F$157)+Inputs!$F$165,1,1)-1))/Inputs!$F$27)-Inputs!$F$190,0))/100),0)</f>
        <v>29.6975342465753</v>
      </c>
      <c r="AF718" s="20" t="n">
        <f aca="false">IF(Time!AF$5&gt;=(DATE(YEAR(Inputs!$F$157)+Inputs!$F$164,1,1)-1),Inputs!$F$166/100*Inputs!$F$162*(1-(Inputs!$F$187*MIN(MAX(0,(Time!AF$5-(DATE(YEAR(Inputs!$F$157)+Inputs!$F$164,1,1)-1))/Inputs!$F$27),1)+Inputs!$F$188*MIN(MAX(MAX(0,(Time!AF$5-(DATE(YEAR(Inputs!$F$157)+Inputs!$F$164,1,1)-1))/Inputs!$F$27)-1,0),Inputs!$F$190-1)+Inputs!$F$189*MAX(MAX(0,(Time!AF$5-(DATE(YEAR(Inputs!$F$157)+Inputs!$F$164,1,1)-1))/Inputs!$F$27)-Inputs!$F$190,0))/100),0)+IF(Time!AF$5&gt;=(DATE(YEAR(Inputs!$F$157)+Inputs!$F$165,1,1)-1),Inputs!$F$166/100*Inputs!$F$162*(1-(Inputs!$F$187*MIN(MAX(0,(Time!AF$5-(DATE(YEAR(Inputs!$F$157)+Inputs!$F$165,1,1)-1))/Inputs!$F$27),1)+Inputs!$F$188*MIN(MAX(MAX(0,(Time!AF$5-(DATE(YEAR(Inputs!$F$157)+Inputs!$F$165,1,1)-1))/Inputs!$F$27)-1,0),Inputs!$F$190-1)+Inputs!$F$189*MAX(MAX(0,(Time!AF$5-(DATE(YEAR(Inputs!$F$157)+Inputs!$F$165,1,1)-1))/Inputs!$F$27)-Inputs!$F$190,0))/100),0)</f>
        <v>29.3375342465753</v>
      </c>
      <c r="AG718" s="20" t="n">
        <f aca="false">IF(Time!AG$5&gt;=(DATE(YEAR(Inputs!$F$157)+Inputs!$F$164,1,1)-1),Inputs!$F$166/100*Inputs!$F$162*(1-(Inputs!$F$187*MIN(MAX(0,(Time!AG$5-(DATE(YEAR(Inputs!$F$157)+Inputs!$F$164,1,1)-1))/Inputs!$F$27),1)+Inputs!$F$188*MIN(MAX(MAX(0,(Time!AG$5-(DATE(YEAR(Inputs!$F$157)+Inputs!$F$164,1,1)-1))/Inputs!$F$27)-1,0),Inputs!$F$190-1)+Inputs!$F$189*MAX(MAX(0,(Time!AG$5-(DATE(YEAR(Inputs!$F$157)+Inputs!$F$164,1,1)-1))/Inputs!$F$27)-Inputs!$F$190,0))/100),0)+IF(Time!AG$5&gt;=(DATE(YEAR(Inputs!$F$157)+Inputs!$F$165,1,1)-1),Inputs!$F$166/100*Inputs!$F$162*(1-(Inputs!$F$187*MIN(MAX(0,(Time!AG$5-(DATE(YEAR(Inputs!$F$157)+Inputs!$F$165,1,1)-1))/Inputs!$F$27),1)+Inputs!$F$188*MIN(MAX(MAX(0,(Time!AG$5-(DATE(YEAR(Inputs!$F$157)+Inputs!$F$165,1,1)-1))/Inputs!$F$27)-1,0),Inputs!$F$190-1)+Inputs!$F$189*MAX(MAX(0,(Time!AG$5-(DATE(YEAR(Inputs!$F$157)+Inputs!$F$165,1,1)-1))/Inputs!$F$27)-Inputs!$F$190,0))/100),0)</f>
        <v>28.9765479452055</v>
      </c>
      <c r="AH718" s="20" t="n">
        <f aca="false">IF(Time!AH$5&gt;=(DATE(YEAR(Inputs!$F$157)+Inputs!$F$164,1,1)-1),Inputs!$F$166/100*Inputs!$F$162*(1-(Inputs!$F$187*MIN(MAX(0,(Time!AH$5-(DATE(YEAR(Inputs!$F$157)+Inputs!$F$164,1,1)-1))/Inputs!$F$27),1)+Inputs!$F$188*MIN(MAX(MAX(0,(Time!AH$5-(DATE(YEAR(Inputs!$F$157)+Inputs!$F$164,1,1)-1))/Inputs!$F$27)-1,0),Inputs!$F$190-1)+Inputs!$F$189*MAX(MAX(0,(Time!AH$5-(DATE(YEAR(Inputs!$F$157)+Inputs!$F$164,1,1)-1))/Inputs!$F$27)-Inputs!$F$190,0))/100),0)+IF(Time!AH$5&gt;=(DATE(YEAR(Inputs!$F$157)+Inputs!$F$165,1,1)-1),Inputs!$F$166/100*Inputs!$F$162*(1-(Inputs!$F$187*MIN(MAX(0,(Time!AH$5-(DATE(YEAR(Inputs!$F$157)+Inputs!$F$165,1,1)-1))/Inputs!$F$27),1)+Inputs!$F$188*MIN(MAX(MAX(0,(Time!AH$5-(DATE(YEAR(Inputs!$F$157)+Inputs!$F$165,1,1)-1))/Inputs!$F$27)-1,0),Inputs!$F$190-1)+Inputs!$F$189*MAX(MAX(0,(Time!AH$5-(DATE(YEAR(Inputs!$F$157)+Inputs!$F$165,1,1)-1))/Inputs!$F$27)-Inputs!$F$190,0))/100),0)</f>
        <v>28.6165479452055</v>
      </c>
      <c r="AI718" s="20" t="n">
        <f aca="false">IF(Time!AI$5&gt;=(DATE(YEAR(Inputs!$F$157)+Inputs!$F$164,1,1)-1),Inputs!$F$166/100*Inputs!$F$162*(1-(Inputs!$F$187*MIN(MAX(0,(Time!AI$5-(DATE(YEAR(Inputs!$F$157)+Inputs!$F$164,1,1)-1))/Inputs!$F$27),1)+Inputs!$F$188*MIN(MAX(MAX(0,(Time!AI$5-(DATE(YEAR(Inputs!$F$157)+Inputs!$F$164,1,1)-1))/Inputs!$F$27)-1,0),Inputs!$F$190-1)+Inputs!$F$189*MAX(MAX(0,(Time!AI$5-(DATE(YEAR(Inputs!$F$157)+Inputs!$F$164,1,1)-1))/Inputs!$F$27)-Inputs!$F$190,0))/100),0)+IF(Time!AI$5&gt;=(DATE(YEAR(Inputs!$F$157)+Inputs!$F$165,1,1)-1),Inputs!$F$166/100*Inputs!$F$162*(1-(Inputs!$F$187*MIN(MAX(0,(Time!AI$5-(DATE(YEAR(Inputs!$F$157)+Inputs!$F$165,1,1)-1))/Inputs!$F$27),1)+Inputs!$F$188*MIN(MAX(MAX(0,(Time!AI$5-(DATE(YEAR(Inputs!$F$157)+Inputs!$F$165,1,1)-1))/Inputs!$F$27)-1,0),Inputs!$F$190-1)+Inputs!$F$189*MAX(MAX(0,(Time!AI$5-(DATE(YEAR(Inputs!$F$157)+Inputs!$F$165,1,1)-1))/Inputs!$F$27)-Inputs!$F$190,0))/100),0)</f>
        <v>28.2565479452055</v>
      </c>
      <c r="AJ718" s="20" t="n">
        <f aca="false">IF(Time!AJ$5&gt;=(DATE(YEAR(Inputs!$F$157)+Inputs!$F$164,1,1)-1),Inputs!$F$166/100*Inputs!$F$162*(1-(Inputs!$F$187*MIN(MAX(0,(Time!AJ$5-(DATE(YEAR(Inputs!$F$157)+Inputs!$F$164,1,1)-1))/Inputs!$F$27),1)+Inputs!$F$188*MIN(MAX(MAX(0,(Time!AJ$5-(DATE(YEAR(Inputs!$F$157)+Inputs!$F$164,1,1)-1))/Inputs!$F$27)-1,0),Inputs!$F$190-1)+Inputs!$F$189*MAX(MAX(0,(Time!AJ$5-(DATE(YEAR(Inputs!$F$157)+Inputs!$F$164,1,1)-1))/Inputs!$F$27)-Inputs!$F$190,0))/100),0)+IF(Time!AJ$5&gt;=(DATE(YEAR(Inputs!$F$157)+Inputs!$F$165,1,1)-1),Inputs!$F$166/100*Inputs!$F$162*(1-(Inputs!$F$187*MIN(MAX(0,(Time!AJ$5-(DATE(YEAR(Inputs!$F$157)+Inputs!$F$165,1,1)-1))/Inputs!$F$27),1)+Inputs!$F$188*MIN(MAX(MAX(0,(Time!AJ$5-(DATE(YEAR(Inputs!$F$157)+Inputs!$F$165,1,1)-1))/Inputs!$F$27)-1,0),Inputs!$F$190-1)+Inputs!$F$189*MAX(MAX(0,(Time!AJ$5-(DATE(YEAR(Inputs!$F$157)+Inputs!$F$165,1,1)-1))/Inputs!$F$27)-Inputs!$F$190,0))/100),0)</f>
        <v>27.8965479452055</v>
      </c>
      <c r="AK718" s="20" t="n">
        <f aca="false">IF(Time!AK$5&gt;=(DATE(YEAR(Inputs!$F$157)+Inputs!$F$164,1,1)-1),Inputs!$F$166/100*Inputs!$F$162*(1-(Inputs!$F$187*MIN(MAX(0,(Time!AK$5-(DATE(YEAR(Inputs!$F$157)+Inputs!$F$164,1,1)-1))/Inputs!$F$27),1)+Inputs!$F$188*MIN(MAX(MAX(0,(Time!AK$5-(DATE(YEAR(Inputs!$F$157)+Inputs!$F$164,1,1)-1))/Inputs!$F$27)-1,0),Inputs!$F$190-1)+Inputs!$F$189*MAX(MAX(0,(Time!AK$5-(DATE(YEAR(Inputs!$F$157)+Inputs!$F$164,1,1)-1))/Inputs!$F$27)-Inputs!$F$190,0))/100),0)+IF(Time!AK$5&gt;=(DATE(YEAR(Inputs!$F$157)+Inputs!$F$165,1,1)-1),Inputs!$F$166/100*Inputs!$F$162*(1-(Inputs!$F$187*MIN(MAX(0,(Time!AK$5-(DATE(YEAR(Inputs!$F$157)+Inputs!$F$165,1,1)-1))/Inputs!$F$27),1)+Inputs!$F$188*MIN(MAX(MAX(0,(Time!AK$5-(DATE(YEAR(Inputs!$F$157)+Inputs!$F$165,1,1)-1))/Inputs!$F$27)-1,0),Inputs!$F$190-1)+Inputs!$F$189*MAX(MAX(0,(Time!AK$5-(DATE(YEAR(Inputs!$F$157)+Inputs!$F$165,1,1)-1))/Inputs!$F$27)-Inputs!$F$190,0))/100),0)</f>
        <v>27.5355616438356</v>
      </c>
      <c r="AL718" s="20" t="n">
        <f aca="false">IF(Time!AL$5&gt;=(DATE(YEAR(Inputs!$F$157)+Inputs!$F$164,1,1)-1),Inputs!$F$166/100*Inputs!$F$162*(1-(Inputs!$F$187*MIN(MAX(0,(Time!AL$5-(DATE(YEAR(Inputs!$F$157)+Inputs!$F$164,1,1)-1))/Inputs!$F$27),1)+Inputs!$F$188*MIN(MAX(MAX(0,(Time!AL$5-(DATE(YEAR(Inputs!$F$157)+Inputs!$F$164,1,1)-1))/Inputs!$F$27)-1,0),Inputs!$F$190-1)+Inputs!$F$189*MAX(MAX(0,(Time!AL$5-(DATE(YEAR(Inputs!$F$157)+Inputs!$F$164,1,1)-1))/Inputs!$F$27)-Inputs!$F$190,0))/100),0)+IF(Time!AL$5&gt;=(DATE(YEAR(Inputs!$F$157)+Inputs!$F$165,1,1)-1),Inputs!$F$166/100*Inputs!$F$162*(1-(Inputs!$F$187*MIN(MAX(0,(Time!AL$5-(DATE(YEAR(Inputs!$F$157)+Inputs!$F$165,1,1)-1))/Inputs!$F$27),1)+Inputs!$F$188*MIN(MAX(MAX(0,(Time!AL$5-(DATE(YEAR(Inputs!$F$157)+Inputs!$F$165,1,1)-1))/Inputs!$F$27)-1,0),Inputs!$F$190-1)+Inputs!$F$189*MAX(MAX(0,(Time!AL$5-(DATE(YEAR(Inputs!$F$157)+Inputs!$F$165,1,1)-1))/Inputs!$F$27)-Inputs!$F$190,0))/100),0)</f>
        <v>27.1755616438356</v>
      </c>
      <c r="AM718" s="20" t="n">
        <f aca="false">IF(Time!AM$5&gt;=(DATE(YEAR(Inputs!$F$157)+Inputs!$F$164,1,1)-1),Inputs!$F$166/100*Inputs!$F$162*(1-(Inputs!$F$187*MIN(MAX(0,(Time!AM$5-(DATE(YEAR(Inputs!$F$157)+Inputs!$F$164,1,1)-1))/Inputs!$F$27),1)+Inputs!$F$188*MIN(MAX(MAX(0,(Time!AM$5-(DATE(YEAR(Inputs!$F$157)+Inputs!$F$164,1,1)-1))/Inputs!$F$27)-1,0),Inputs!$F$190-1)+Inputs!$F$189*MAX(MAX(0,(Time!AM$5-(DATE(YEAR(Inputs!$F$157)+Inputs!$F$164,1,1)-1))/Inputs!$F$27)-Inputs!$F$190,0))/100),0)+IF(Time!AM$5&gt;=(DATE(YEAR(Inputs!$F$157)+Inputs!$F$165,1,1)-1),Inputs!$F$166/100*Inputs!$F$162*(1-(Inputs!$F$187*MIN(MAX(0,(Time!AM$5-(DATE(YEAR(Inputs!$F$157)+Inputs!$F$165,1,1)-1))/Inputs!$F$27),1)+Inputs!$F$188*MIN(MAX(MAX(0,(Time!AM$5-(DATE(YEAR(Inputs!$F$157)+Inputs!$F$165,1,1)-1))/Inputs!$F$27)-1,0),Inputs!$F$190-1)+Inputs!$F$189*MAX(MAX(0,(Time!AM$5-(DATE(YEAR(Inputs!$F$157)+Inputs!$F$165,1,1)-1))/Inputs!$F$27)-Inputs!$F$190,0))/100),0)</f>
        <v>26.8155616438356</v>
      </c>
      <c r="AN718" s="20" t="n">
        <f aca="false">IF(Time!AN$5&gt;=(DATE(YEAR(Inputs!$F$157)+Inputs!$F$164,1,1)-1),Inputs!$F$166/100*Inputs!$F$162*(1-(Inputs!$F$187*MIN(MAX(0,(Time!AN$5-(DATE(YEAR(Inputs!$F$157)+Inputs!$F$164,1,1)-1))/Inputs!$F$27),1)+Inputs!$F$188*MIN(MAX(MAX(0,(Time!AN$5-(DATE(YEAR(Inputs!$F$157)+Inputs!$F$164,1,1)-1))/Inputs!$F$27)-1,0),Inputs!$F$190-1)+Inputs!$F$189*MAX(MAX(0,(Time!AN$5-(DATE(YEAR(Inputs!$F$157)+Inputs!$F$164,1,1)-1))/Inputs!$F$27)-Inputs!$F$190,0))/100),0)+IF(Time!AN$5&gt;=(DATE(YEAR(Inputs!$F$157)+Inputs!$F$165,1,1)-1),Inputs!$F$166/100*Inputs!$F$162*(1-(Inputs!$F$187*MIN(MAX(0,(Time!AN$5-(DATE(YEAR(Inputs!$F$157)+Inputs!$F$165,1,1)-1))/Inputs!$F$27),1)+Inputs!$F$188*MIN(MAX(MAX(0,(Time!AN$5-(DATE(YEAR(Inputs!$F$157)+Inputs!$F$165,1,1)-1))/Inputs!$F$27)-1,0),Inputs!$F$190-1)+Inputs!$F$189*MAX(MAX(0,(Time!AN$5-(DATE(YEAR(Inputs!$F$157)+Inputs!$F$165,1,1)-1))/Inputs!$F$27)-Inputs!$F$190,0))/100),0)</f>
        <v>26.4555616438356</v>
      </c>
      <c r="AO718" s="20" t="n">
        <f aca="false">IF(Time!AO$5&gt;=(DATE(YEAR(Inputs!$F$157)+Inputs!$F$164,1,1)-1),Inputs!$F$166/100*Inputs!$F$162*(1-(Inputs!$F$187*MIN(MAX(0,(Time!AO$5-(DATE(YEAR(Inputs!$F$157)+Inputs!$F$164,1,1)-1))/Inputs!$F$27),1)+Inputs!$F$188*MIN(MAX(MAX(0,(Time!AO$5-(DATE(YEAR(Inputs!$F$157)+Inputs!$F$164,1,1)-1))/Inputs!$F$27)-1,0),Inputs!$F$190-1)+Inputs!$F$189*MAX(MAX(0,(Time!AO$5-(DATE(YEAR(Inputs!$F$157)+Inputs!$F$164,1,1)-1))/Inputs!$F$27)-Inputs!$F$190,0))/100),0)+IF(Time!AO$5&gt;=(DATE(YEAR(Inputs!$F$157)+Inputs!$F$165,1,1)-1),Inputs!$F$166/100*Inputs!$F$162*(1-(Inputs!$F$187*MIN(MAX(0,(Time!AO$5-(DATE(YEAR(Inputs!$F$157)+Inputs!$F$165,1,1)-1))/Inputs!$F$27),1)+Inputs!$F$188*MIN(MAX(MAX(0,(Time!AO$5-(DATE(YEAR(Inputs!$F$157)+Inputs!$F$165,1,1)-1))/Inputs!$F$27)-1,0),Inputs!$F$190-1)+Inputs!$F$189*MAX(MAX(0,(Time!AO$5-(DATE(YEAR(Inputs!$F$157)+Inputs!$F$165,1,1)-1))/Inputs!$F$27)-Inputs!$F$190,0))/100),0)</f>
        <v>26.0945753424658</v>
      </c>
      <c r="AP718" s="20" t="n">
        <f aca="false">IF(Time!AP$5&gt;=(DATE(YEAR(Inputs!$F$157)+Inputs!$F$164,1,1)-1),Inputs!$F$166/100*Inputs!$F$162*(1-(Inputs!$F$187*MIN(MAX(0,(Time!AP$5-(DATE(YEAR(Inputs!$F$157)+Inputs!$F$164,1,1)-1))/Inputs!$F$27),1)+Inputs!$F$188*MIN(MAX(MAX(0,(Time!AP$5-(DATE(YEAR(Inputs!$F$157)+Inputs!$F$164,1,1)-1))/Inputs!$F$27)-1,0),Inputs!$F$190-1)+Inputs!$F$189*MAX(MAX(0,(Time!AP$5-(DATE(YEAR(Inputs!$F$157)+Inputs!$F$164,1,1)-1))/Inputs!$F$27)-Inputs!$F$190,0))/100),0)+IF(Time!AP$5&gt;=(DATE(YEAR(Inputs!$F$157)+Inputs!$F$165,1,1)-1),Inputs!$F$166/100*Inputs!$F$162*(1-(Inputs!$F$187*MIN(MAX(0,(Time!AP$5-(DATE(YEAR(Inputs!$F$157)+Inputs!$F$165,1,1)-1))/Inputs!$F$27),1)+Inputs!$F$188*MIN(MAX(MAX(0,(Time!AP$5-(DATE(YEAR(Inputs!$F$157)+Inputs!$F$165,1,1)-1))/Inputs!$F$27)-1,0),Inputs!$F$190-1)+Inputs!$F$189*MAX(MAX(0,(Time!AP$5-(DATE(YEAR(Inputs!$F$157)+Inputs!$F$165,1,1)-1))/Inputs!$F$27)-Inputs!$F$190,0))/100),0)</f>
        <v>25.7345753424658</v>
      </c>
      <c r="AQ718" s="20" t="n">
        <f aca="false">IF(Time!AQ$5&gt;=(DATE(YEAR(Inputs!$F$157)+Inputs!$F$164,1,1)-1),Inputs!$F$166/100*Inputs!$F$162*(1-(Inputs!$F$187*MIN(MAX(0,(Time!AQ$5-(DATE(YEAR(Inputs!$F$157)+Inputs!$F$164,1,1)-1))/Inputs!$F$27),1)+Inputs!$F$188*MIN(MAX(MAX(0,(Time!AQ$5-(DATE(YEAR(Inputs!$F$157)+Inputs!$F$164,1,1)-1))/Inputs!$F$27)-1,0),Inputs!$F$190-1)+Inputs!$F$189*MAX(MAX(0,(Time!AQ$5-(DATE(YEAR(Inputs!$F$157)+Inputs!$F$164,1,1)-1))/Inputs!$F$27)-Inputs!$F$190,0))/100),0)+IF(Time!AQ$5&gt;=(DATE(YEAR(Inputs!$F$157)+Inputs!$F$165,1,1)-1),Inputs!$F$166/100*Inputs!$F$162*(1-(Inputs!$F$187*MIN(MAX(0,(Time!AQ$5-(DATE(YEAR(Inputs!$F$157)+Inputs!$F$165,1,1)-1))/Inputs!$F$27),1)+Inputs!$F$188*MIN(MAX(MAX(0,(Time!AQ$5-(DATE(YEAR(Inputs!$F$157)+Inputs!$F$165,1,1)-1))/Inputs!$F$27)-1,0),Inputs!$F$190-1)+Inputs!$F$189*MAX(MAX(0,(Time!AQ$5-(DATE(YEAR(Inputs!$F$157)+Inputs!$F$165,1,1)-1))/Inputs!$F$27)-Inputs!$F$190,0))/100),0)</f>
        <v>25.3745753424658</v>
      </c>
      <c r="AR718" s="20" t="n">
        <f aca="false">IF(Time!AR$5&gt;=(DATE(YEAR(Inputs!$F$157)+Inputs!$F$164,1,1)-1),Inputs!$F$166/100*Inputs!$F$162*(1-(Inputs!$F$187*MIN(MAX(0,(Time!AR$5-(DATE(YEAR(Inputs!$F$157)+Inputs!$F$164,1,1)-1))/Inputs!$F$27),1)+Inputs!$F$188*MIN(MAX(MAX(0,(Time!AR$5-(DATE(YEAR(Inputs!$F$157)+Inputs!$F$164,1,1)-1))/Inputs!$F$27)-1,0),Inputs!$F$190-1)+Inputs!$F$189*MAX(MAX(0,(Time!AR$5-(DATE(YEAR(Inputs!$F$157)+Inputs!$F$164,1,1)-1))/Inputs!$F$27)-Inputs!$F$190,0))/100),0)+IF(Time!AR$5&gt;=(DATE(YEAR(Inputs!$F$157)+Inputs!$F$165,1,1)-1),Inputs!$F$166/100*Inputs!$F$162*(1-(Inputs!$F$187*MIN(MAX(0,(Time!AR$5-(DATE(YEAR(Inputs!$F$157)+Inputs!$F$165,1,1)-1))/Inputs!$F$27),1)+Inputs!$F$188*MIN(MAX(MAX(0,(Time!AR$5-(DATE(YEAR(Inputs!$F$157)+Inputs!$F$165,1,1)-1))/Inputs!$F$27)-1,0),Inputs!$F$190-1)+Inputs!$F$189*MAX(MAX(0,(Time!AR$5-(DATE(YEAR(Inputs!$F$157)+Inputs!$F$165,1,1)-1))/Inputs!$F$27)-Inputs!$F$190,0))/100),0)</f>
        <v>25.0145753424658</v>
      </c>
      <c r="AS718" s="20" t="n">
        <f aca="false">IF(Time!AS$5&gt;=(DATE(YEAR(Inputs!$F$157)+Inputs!$F$164,1,1)-1),Inputs!$F$166/100*Inputs!$F$162*(1-(Inputs!$F$187*MIN(MAX(0,(Time!AS$5-(DATE(YEAR(Inputs!$F$157)+Inputs!$F$164,1,1)-1))/Inputs!$F$27),1)+Inputs!$F$188*MIN(MAX(MAX(0,(Time!AS$5-(DATE(YEAR(Inputs!$F$157)+Inputs!$F$164,1,1)-1))/Inputs!$F$27)-1,0),Inputs!$F$190-1)+Inputs!$F$189*MAX(MAX(0,(Time!AS$5-(DATE(YEAR(Inputs!$F$157)+Inputs!$F$164,1,1)-1))/Inputs!$F$27)-Inputs!$F$190,0))/100),0)+IF(Time!AS$5&gt;=(DATE(YEAR(Inputs!$F$157)+Inputs!$F$165,1,1)-1),Inputs!$F$166/100*Inputs!$F$162*(1-(Inputs!$F$187*MIN(MAX(0,(Time!AS$5-(DATE(YEAR(Inputs!$F$157)+Inputs!$F$165,1,1)-1))/Inputs!$F$27),1)+Inputs!$F$188*MIN(MAX(MAX(0,(Time!AS$5-(DATE(YEAR(Inputs!$F$157)+Inputs!$F$165,1,1)-1))/Inputs!$F$27)-1,0),Inputs!$F$190-1)+Inputs!$F$189*MAX(MAX(0,(Time!AS$5-(DATE(YEAR(Inputs!$F$157)+Inputs!$F$165,1,1)-1))/Inputs!$F$27)-Inputs!$F$190,0))/100),0)</f>
        <v>24.6535890410959</v>
      </c>
      <c r="AT718" s="20" t="n">
        <f aca="false">IF(Time!AT$5&gt;=(DATE(YEAR(Inputs!$F$157)+Inputs!$F$164,1,1)-1),Inputs!$F$166/100*Inputs!$F$162*(1-(Inputs!$F$187*MIN(MAX(0,(Time!AT$5-(DATE(YEAR(Inputs!$F$157)+Inputs!$F$164,1,1)-1))/Inputs!$F$27),1)+Inputs!$F$188*MIN(MAX(MAX(0,(Time!AT$5-(DATE(YEAR(Inputs!$F$157)+Inputs!$F$164,1,1)-1))/Inputs!$F$27)-1,0),Inputs!$F$190-1)+Inputs!$F$189*MAX(MAX(0,(Time!AT$5-(DATE(YEAR(Inputs!$F$157)+Inputs!$F$164,1,1)-1))/Inputs!$F$27)-Inputs!$F$190,0))/100),0)+IF(Time!AT$5&gt;=(DATE(YEAR(Inputs!$F$157)+Inputs!$F$165,1,1)-1),Inputs!$F$166/100*Inputs!$F$162*(1-(Inputs!$F$187*MIN(MAX(0,(Time!AT$5-(DATE(YEAR(Inputs!$F$157)+Inputs!$F$165,1,1)-1))/Inputs!$F$27),1)+Inputs!$F$188*MIN(MAX(MAX(0,(Time!AT$5-(DATE(YEAR(Inputs!$F$157)+Inputs!$F$165,1,1)-1))/Inputs!$F$27)-1,0),Inputs!$F$190-1)+Inputs!$F$189*MAX(MAX(0,(Time!AT$5-(DATE(YEAR(Inputs!$F$157)+Inputs!$F$165,1,1)-1))/Inputs!$F$27)-Inputs!$F$190,0))/100),0)</f>
        <v>24.2935890410959</v>
      </c>
      <c r="AU718" s="20" t="n">
        <f aca="false">IF(Time!AU$5&gt;=(DATE(YEAR(Inputs!$F$157)+Inputs!$F$164,1,1)-1),Inputs!$F$166/100*Inputs!$F$162*(1-(Inputs!$F$187*MIN(MAX(0,(Time!AU$5-(DATE(YEAR(Inputs!$F$157)+Inputs!$F$164,1,1)-1))/Inputs!$F$27),1)+Inputs!$F$188*MIN(MAX(MAX(0,(Time!AU$5-(DATE(YEAR(Inputs!$F$157)+Inputs!$F$164,1,1)-1))/Inputs!$F$27)-1,0),Inputs!$F$190-1)+Inputs!$F$189*MAX(MAX(0,(Time!AU$5-(DATE(YEAR(Inputs!$F$157)+Inputs!$F$164,1,1)-1))/Inputs!$F$27)-Inputs!$F$190,0))/100),0)+IF(Time!AU$5&gt;=(DATE(YEAR(Inputs!$F$157)+Inputs!$F$165,1,1)-1),Inputs!$F$166/100*Inputs!$F$162*(1-(Inputs!$F$187*MIN(MAX(0,(Time!AU$5-(DATE(YEAR(Inputs!$F$157)+Inputs!$F$165,1,1)-1))/Inputs!$F$27),1)+Inputs!$F$188*MIN(MAX(MAX(0,(Time!AU$5-(DATE(YEAR(Inputs!$F$157)+Inputs!$F$165,1,1)-1))/Inputs!$F$27)-1,0),Inputs!$F$190-1)+Inputs!$F$189*MAX(MAX(0,(Time!AU$5-(DATE(YEAR(Inputs!$F$157)+Inputs!$F$165,1,1)-1))/Inputs!$F$27)-Inputs!$F$190,0))/100),0)</f>
        <v>23.9335890410959</v>
      </c>
    </row>
    <row r="719" customFormat="false" ht="15" hidden="false" customHeight="false" outlineLevel="0" collapsed="false">
      <c r="D719" s="0" t="s">
        <v>719</v>
      </c>
      <c r="E719" s="0" t="s">
        <v>176</v>
      </c>
      <c r="J719" s="20" t="n">
        <f aca="false">Operations!J717+Operations!J718</f>
        <v>324</v>
      </c>
      <c r="K719" s="20" t="n">
        <f aca="false">Operations!K717+Operations!K718</f>
        <v>324</v>
      </c>
      <c r="L719" s="20" t="n">
        <f aca="false">Operations!L717+Operations!L718</f>
        <v>324</v>
      </c>
      <c r="M719" s="20" t="n">
        <f aca="false">Operations!M717+Operations!M718</f>
        <v>319.153315068493</v>
      </c>
      <c r="N719" s="20" t="n">
        <f aca="false">Operations!N717+Operations!N718</f>
        <v>313.88498630137</v>
      </c>
      <c r="O719" s="20" t="n">
        <f aca="false">Operations!O717+Operations!O718</f>
        <v>309.02498630137</v>
      </c>
      <c r="P719" s="20" t="n">
        <f aca="false">Operations!P717+Operations!P718</f>
        <v>304.16498630137</v>
      </c>
      <c r="Q719" s="20" t="n">
        <f aca="false">Operations!Q717+Operations!Q718</f>
        <v>317.291671232877</v>
      </c>
      <c r="R719" s="20" t="n">
        <f aca="false">Operations!R717+Operations!R718</f>
        <v>312.071671232877</v>
      </c>
      <c r="S719" s="20" t="n">
        <f aca="false">Operations!S717+Operations!S718</f>
        <v>306.941671232877</v>
      </c>
      <c r="T719" s="20" t="n">
        <f aca="false">Operations!T717+Operations!T718</f>
        <v>301.811671232877</v>
      </c>
      <c r="U719" s="20" t="n">
        <f aca="false">Operations!U717+Operations!U718</f>
        <v>314.667616438356</v>
      </c>
      <c r="V719" s="20" t="n">
        <f aca="false">Operations!V717+Operations!V718</f>
        <v>309.177616438356</v>
      </c>
      <c r="W719" s="20" t="n">
        <f aca="false">Operations!W717+Operations!W718</f>
        <v>304.998164383562</v>
      </c>
      <c r="X719" s="20" t="n">
        <f aca="false">Operations!X717+Operations!X718</f>
        <v>301.218164383562</v>
      </c>
      <c r="Y719" s="20" t="n">
        <f aca="false">Operations!Y717+Operations!Y718</f>
        <v>297.427808219178</v>
      </c>
      <c r="Z719" s="20" t="n">
        <f aca="false">Operations!Z717+Operations!Z718</f>
        <v>293.647808219178</v>
      </c>
      <c r="AA719" s="20" t="n">
        <f aca="false">Operations!AA717+Operations!AA718</f>
        <v>289.868301369863</v>
      </c>
      <c r="AB719" s="20" t="n">
        <f aca="false">Operations!AB717+Operations!AB718</f>
        <v>286.178301369863</v>
      </c>
      <c r="AC719" s="20" t="n">
        <f aca="false">Operations!AC717+Operations!AC718</f>
        <v>282.478191780822</v>
      </c>
      <c r="AD719" s="20" t="n">
        <f aca="false">Operations!AD717+Operations!AD718</f>
        <v>278.788191780822</v>
      </c>
      <c r="AE719" s="20" t="n">
        <f aca="false">Operations!AE717+Operations!AE718</f>
        <v>275.098684931507</v>
      </c>
      <c r="AF719" s="20" t="n">
        <f aca="false">Operations!AF717+Operations!AF718</f>
        <v>271.498684931507</v>
      </c>
      <c r="AG719" s="20" t="n">
        <f aca="false">Operations!AG717+Operations!AG718</f>
        <v>267.888821917808</v>
      </c>
      <c r="AH719" s="20" t="n">
        <f aca="false">Operations!AH717+Operations!AH718</f>
        <v>264.288821917808</v>
      </c>
      <c r="AI719" s="20" t="n">
        <f aca="false">Operations!AI717+Operations!AI718</f>
        <v>260.688821917808</v>
      </c>
      <c r="AJ719" s="20" t="n">
        <f aca="false">Operations!AJ717+Operations!AJ718</f>
        <v>257.088821917808</v>
      </c>
      <c r="AK719" s="20" t="n">
        <f aca="false">Operations!AK717+Operations!AK718</f>
        <v>253.47895890411</v>
      </c>
      <c r="AL719" s="20" t="n">
        <f aca="false">Operations!AL717+Operations!AL718</f>
        <v>249.87895890411</v>
      </c>
      <c r="AM719" s="20" t="n">
        <f aca="false">Operations!AM717+Operations!AM718</f>
        <v>246.27895890411</v>
      </c>
      <c r="AN719" s="20" t="n">
        <f aca="false">Operations!AN717+Operations!AN718</f>
        <v>242.67895890411</v>
      </c>
      <c r="AO719" s="20" t="n">
        <f aca="false">Operations!AO717+Operations!AO718</f>
        <v>239.069095890411</v>
      </c>
      <c r="AP719" s="20" t="n">
        <f aca="false">Operations!AP717+Operations!AP718</f>
        <v>235.469095890411</v>
      </c>
      <c r="AQ719" s="20" t="n">
        <f aca="false">Operations!AQ717+Operations!AQ718</f>
        <v>231.869095890411</v>
      </c>
      <c r="AR719" s="20" t="n">
        <f aca="false">Operations!AR717+Operations!AR718</f>
        <v>228.269095890411</v>
      </c>
      <c r="AS719" s="20" t="n">
        <f aca="false">Operations!AS717+Operations!AS718</f>
        <v>224.659232876712</v>
      </c>
      <c r="AT719" s="20" t="n">
        <f aca="false">Operations!AT717+Operations!AT718</f>
        <v>221.059232876712</v>
      </c>
      <c r="AU719" s="20" t="n">
        <f aca="false">Operations!AU717+Operations!AU718</f>
        <v>217.459232876712</v>
      </c>
    </row>
    <row r="720" customFormat="false" ht="15" hidden="false" customHeight="false" outlineLevel="0" collapsed="false">
      <c r="D720" s="0" t="s">
        <v>720</v>
      </c>
      <c r="E720" s="0" t="s">
        <v>176</v>
      </c>
      <c r="J720" s="20" t="n">
        <f aca="false">Inputs!$F$162*(1+Inputs!$F$168/100)*(1-(Inputs!$F$187*MIN(MAX(0,(Time!J$6-Inputs!$F$157)/Inputs!$F$27),1)+Inputs!$F$188*MIN(MAX(MAX(0,(Time!J$6-Inputs!$F$157)/Inputs!$F$27)-1,0),Inputs!$F$190-1)+Inputs!$F$189*MAX(MAX(0,(Time!J$6-Inputs!$F$157)/Inputs!$F$27)-Inputs!$F$190,0))/100)</f>
        <v>324</v>
      </c>
      <c r="K720" s="20" t="n">
        <f aca="false">Inputs!$F$162*(1+Inputs!$F$168/100)*(1-(Inputs!$F$187*MIN(MAX(0,(Time!K$6-Inputs!$F$157)/Inputs!$F$27),1)+Inputs!$F$188*MIN(MAX(MAX(0,(Time!K$6-Inputs!$F$157)/Inputs!$F$27)-1,0),Inputs!$F$190-1)+Inputs!$F$189*MAX(MAX(0,(Time!K$6-Inputs!$F$157)/Inputs!$F$27)-Inputs!$F$190,0))/100)</f>
        <v>324</v>
      </c>
      <c r="L720" s="20" t="n">
        <f aca="false">Inputs!$F$162*(1+Inputs!$F$168/100)*(1-(Inputs!$F$187*MIN(MAX(0,(Time!L$6-Inputs!$F$157)/Inputs!$F$27),1)+Inputs!$F$188*MIN(MAX(MAX(0,(Time!L$6-Inputs!$F$157)/Inputs!$F$27)-1,0),Inputs!$F$190-1)+Inputs!$F$189*MAX(MAX(0,(Time!L$6-Inputs!$F$157)/Inputs!$F$27)-Inputs!$F$190,0))/100)</f>
        <v>319.153315068493</v>
      </c>
      <c r="M720" s="20" t="n">
        <f aca="false">Inputs!$F$162*(1+Inputs!$F$168/100)*(1-(Inputs!$F$187*MIN(MAX(0,(Time!M$6-Inputs!$F$157)/Inputs!$F$27),1)+Inputs!$F$188*MIN(MAX(MAX(0,(Time!M$6-Inputs!$F$157)/Inputs!$F$27)-1,0),Inputs!$F$190-1)+Inputs!$F$189*MAX(MAX(0,(Time!M$6-Inputs!$F$157)/Inputs!$F$27)-Inputs!$F$190,0))/100)</f>
        <v>313.88498630137</v>
      </c>
      <c r="N720" s="20" t="n">
        <f aca="false">Inputs!$F$162*(1+Inputs!$F$168/100)*(1-(Inputs!$F$187*MIN(MAX(0,(Time!N$6-Inputs!$F$157)/Inputs!$F$27),1)+Inputs!$F$188*MIN(MAX(MAX(0,(Time!N$6-Inputs!$F$157)/Inputs!$F$27)-1,0),Inputs!$F$190-1)+Inputs!$F$189*MAX(MAX(0,(Time!N$6-Inputs!$F$157)/Inputs!$F$27)-Inputs!$F$190,0))/100)</f>
        <v>309.02498630137</v>
      </c>
      <c r="O720" s="20" t="n">
        <f aca="false">Inputs!$F$162*(1+Inputs!$F$168/100)*(1-(Inputs!$F$187*MIN(MAX(0,(Time!O$6-Inputs!$F$157)/Inputs!$F$27),1)+Inputs!$F$188*MIN(MAX(MAX(0,(Time!O$6-Inputs!$F$157)/Inputs!$F$27)-1,0),Inputs!$F$190-1)+Inputs!$F$189*MAX(MAX(0,(Time!O$6-Inputs!$F$157)/Inputs!$F$27)-Inputs!$F$190,0))/100)</f>
        <v>304.16498630137</v>
      </c>
      <c r="P720" s="20" t="n">
        <f aca="false">Inputs!$F$162*(1+Inputs!$F$168/100)*(1-(Inputs!$F$187*MIN(MAX(0,(Time!P$6-Inputs!$F$157)/Inputs!$F$27),1)+Inputs!$F$188*MIN(MAX(MAX(0,(Time!P$6-Inputs!$F$157)/Inputs!$F$27)-1,0),Inputs!$F$190-1)+Inputs!$F$189*MAX(MAX(0,(Time!P$6-Inputs!$F$157)/Inputs!$F$27)-Inputs!$F$190,0))/100)</f>
        <v>299.291671232877</v>
      </c>
      <c r="Q720" s="20" t="n">
        <f aca="false">Inputs!$F$162*(1+Inputs!$F$168/100)*(1-(Inputs!$F$187*MIN(MAX(0,(Time!Q$6-Inputs!$F$157)/Inputs!$F$27),1)+Inputs!$F$188*MIN(MAX(MAX(0,(Time!Q$6-Inputs!$F$157)/Inputs!$F$27)-1,0),Inputs!$F$190-1)+Inputs!$F$189*MAX(MAX(0,(Time!Q$6-Inputs!$F$157)/Inputs!$F$27)-Inputs!$F$190,0))/100)</f>
        <v>294.431671232877</v>
      </c>
      <c r="R720" s="20" t="n">
        <f aca="false">Inputs!$F$162*(1+Inputs!$F$168/100)*(1-(Inputs!$F$187*MIN(MAX(0,(Time!R$6-Inputs!$F$157)/Inputs!$F$27),1)+Inputs!$F$188*MIN(MAX(MAX(0,(Time!R$6-Inputs!$F$157)/Inputs!$F$27)-1,0),Inputs!$F$190-1)+Inputs!$F$189*MAX(MAX(0,(Time!R$6-Inputs!$F$157)/Inputs!$F$27)-Inputs!$F$190,0))/100)</f>
        <v>289.571671232877</v>
      </c>
      <c r="S720" s="20" t="n">
        <f aca="false">Inputs!$F$162*(1+Inputs!$F$168/100)*(1-(Inputs!$F$187*MIN(MAX(0,(Time!S$6-Inputs!$F$157)/Inputs!$F$27),1)+Inputs!$F$188*MIN(MAX(MAX(0,(Time!S$6-Inputs!$F$157)/Inputs!$F$27)-1,0),Inputs!$F$190-1)+Inputs!$F$189*MAX(MAX(0,(Time!S$6-Inputs!$F$157)/Inputs!$F$27)-Inputs!$F$190,0))/100)</f>
        <v>284.711671232877</v>
      </c>
      <c r="T720" s="20" t="n">
        <f aca="false">Inputs!$F$162*(1+Inputs!$F$168/100)*(1-(Inputs!$F$187*MIN(MAX(0,(Time!T$6-Inputs!$F$157)/Inputs!$F$27),1)+Inputs!$F$188*MIN(MAX(MAX(0,(Time!T$6-Inputs!$F$157)/Inputs!$F$27)-1,0),Inputs!$F$190-1)+Inputs!$F$189*MAX(MAX(0,(Time!T$6-Inputs!$F$157)/Inputs!$F$27)-Inputs!$F$190,0))/100)</f>
        <v>279.838356164384</v>
      </c>
      <c r="U720" s="20" t="n">
        <f aca="false">Inputs!$F$162*(1+Inputs!$F$168/100)*(1-(Inputs!$F$187*MIN(MAX(0,(Time!U$6-Inputs!$F$157)/Inputs!$F$27),1)+Inputs!$F$188*MIN(MAX(MAX(0,(Time!U$6-Inputs!$F$157)/Inputs!$F$27)-1,0),Inputs!$F$190-1)+Inputs!$F$189*MAX(MAX(0,(Time!U$6-Inputs!$F$157)/Inputs!$F$27)-Inputs!$F$190,0))/100)</f>
        <v>274.978356164384</v>
      </c>
      <c r="V720" s="20" t="n">
        <f aca="false">Inputs!$F$162*(1+Inputs!$F$168/100)*(1-(Inputs!$F$187*MIN(MAX(0,(Time!V$6-Inputs!$F$157)/Inputs!$F$27),1)+Inputs!$F$188*MIN(MAX(MAX(0,(Time!V$6-Inputs!$F$157)/Inputs!$F$27)-1,0),Inputs!$F$190-1)+Inputs!$F$189*MAX(MAX(0,(Time!V$6-Inputs!$F$157)/Inputs!$F$27)-Inputs!$F$190,0))/100)</f>
        <v>271.338904109589</v>
      </c>
      <c r="W720" s="20" t="n">
        <f aca="false">Inputs!$F$162*(1+Inputs!$F$168/100)*(1-(Inputs!$F$187*MIN(MAX(0,(Time!W$6-Inputs!$F$157)/Inputs!$F$27),1)+Inputs!$F$188*MIN(MAX(MAX(0,(Time!W$6-Inputs!$F$157)/Inputs!$F$27)-1,0),Inputs!$F$190-1)+Inputs!$F$189*MAX(MAX(0,(Time!W$6-Inputs!$F$157)/Inputs!$F$27)-Inputs!$F$190,0))/100)</f>
        <v>268.098904109589</v>
      </c>
      <c r="X720" s="20" t="n">
        <f aca="false">Inputs!$F$162*(1+Inputs!$F$168/100)*(1-(Inputs!$F$187*MIN(MAX(0,(Time!X$6-Inputs!$F$157)/Inputs!$F$27),1)+Inputs!$F$188*MIN(MAX(MAX(0,(Time!X$6-Inputs!$F$157)/Inputs!$F$27)-1,0),Inputs!$F$190-1)+Inputs!$F$189*MAX(MAX(0,(Time!X$6-Inputs!$F$157)/Inputs!$F$27)-Inputs!$F$190,0))/100)</f>
        <v>264.85002739726</v>
      </c>
      <c r="Y720" s="20" t="n">
        <f aca="false">Inputs!$F$162*(1+Inputs!$F$168/100)*(1-(Inputs!$F$187*MIN(MAX(0,(Time!Y$6-Inputs!$F$157)/Inputs!$F$27),1)+Inputs!$F$188*MIN(MAX(MAX(0,(Time!Y$6-Inputs!$F$157)/Inputs!$F$27)-1,0),Inputs!$F$190-1)+Inputs!$F$189*MAX(MAX(0,(Time!Y$6-Inputs!$F$157)/Inputs!$F$27)-Inputs!$F$190,0))/100)</f>
        <v>261.61002739726</v>
      </c>
      <c r="Z720" s="20" t="n">
        <f aca="false">Inputs!$F$162*(1+Inputs!$F$168/100)*(1-(Inputs!$F$187*MIN(MAX(0,(Time!Z$6-Inputs!$F$157)/Inputs!$F$27),1)+Inputs!$F$188*MIN(MAX(MAX(0,(Time!Z$6-Inputs!$F$157)/Inputs!$F$27)-1,0),Inputs!$F$190-1)+Inputs!$F$189*MAX(MAX(0,(Time!Z$6-Inputs!$F$157)/Inputs!$F$27)-Inputs!$F$190,0))/100)</f>
        <v>258.37002739726</v>
      </c>
      <c r="AA720" s="20" t="n">
        <f aca="false">Inputs!$F$162*(1+Inputs!$F$168/100)*(1-(Inputs!$F$187*MIN(MAX(0,(Time!AA$6-Inputs!$F$157)/Inputs!$F$27),1)+Inputs!$F$188*MIN(MAX(MAX(0,(Time!AA$6-Inputs!$F$157)/Inputs!$F$27)-1,0),Inputs!$F$190-1)+Inputs!$F$189*MAX(MAX(0,(Time!AA$6-Inputs!$F$157)/Inputs!$F$27)-Inputs!$F$190,0))/100)</f>
        <v>255.13002739726</v>
      </c>
      <c r="AB720" s="20" t="n">
        <f aca="false">Inputs!$F$162*(1+Inputs!$F$168/100)*(1-(Inputs!$F$187*MIN(MAX(0,(Time!AB$6-Inputs!$F$157)/Inputs!$F$27),1)+Inputs!$F$188*MIN(MAX(MAX(0,(Time!AB$6-Inputs!$F$157)/Inputs!$F$27)-1,0),Inputs!$F$190-1)+Inputs!$F$189*MAX(MAX(0,(Time!AB$6-Inputs!$F$157)/Inputs!$F$27)-Inputs!$F$190,0))/100)</f>
        <v>251.881150684932</v>
      </c>
      <c r="AC720" s="20" t="n">
        <f aca="false">Inputs!$F$162*(1+Inputs!$F$168/100)*(1-(Inputs!$F$187*MIN(MAX(0,(Time!AC$6-Inputs!$F$157)/Inputs!$F$27),1)+Inputs!$F$188*MIN(MAX(MAX(0,(Time!AC$6-Inputs!$F$157)/Inputs!$F$27)-1,0),Inputs!$F$190-1)+Inputs!$F$189*MAX(MAX(0,(Time!AC$6-Inputs!$F$157)/Inputs!$F$27)-Inputs!$F$190,0))/100)</f>
        <v>248.641150684932</v>
      </c>
      <c r="AD720" s="20" t="n">
        <f aca="false">Inputs!$F$162*(1+Inputs!$F$168/100)*(1-(Inputs!$F$187*MIN(MAX(0,(Time!AD$6-Inputs!$F$157)/Inputs!$F$27),1)+Inputs!$F$188*MIN(MAX(MAX(0,(Time!AD$6-Inputs!$F$157)/Inputs!$F$27)-1,0),Inputs!$F$190-1)+Inputs!$F$189*MAX(MAX(0,(Time!AD$6-Inputs!$F$157)/Inputs!$F$27)-Inputs!$F$190,0))/100)</f>
        <v>245.401150684932</v>
      </c>
      <c r="AE720" s="20" t="n">
        <f aca="false">Inputs!$F$162*(1+Inputs!$F$168/100)*(1-(Inputs!$F$187*MIN(MAX(0,(Time!AE$6-Inputs!$F$157)/Inputs!$F$27),1)+Inputs!$F$188*MIN(MAX(MAX(0,(Time!AE$6-Inputs!$F$157)/Inputs!$F$27)-1,0),Inputs!$F$190-1)+Inputs!$F$189*MAX(MAX(0,(Time!AE$6-Inputs!$F$157)/Inputs!$F$27)-Inputs!$F$190,0))/100)</f>
        <v>242.161150684932</v>
      </c>
      <c r="AF720" s="20" t="n">
        <f aca="false">Inputs!$F$162*(1+Inputs!$F$168/100)*(1-(Inputs!$F$187*MIN(MAX(0,(Time!AF$6-Inputs!$F$157)/Inputs!$F$27),1)+Inputs!$F$188*MIN(MAX(MAX(0,(Time!AF$6-Inputs!$F$157)/Inputs!$F$27)-1,0),Inputs!$F$190-1)+Inputs!$F$189*MAX(MAX(0,(Time!AF$6-Inputs!$F$157)/Inputs!$F$27)-Inputs!$F$190,0))/100)</f>
        <v>238.912273972603</v>
      </c>
      <c r="AG720" s="20" t="n">
        <f aca="false">Inputs!$F$162*(1+Inputs!$F$168/100)*(1-(Inputs!$F$187*MIN(MAX(0,(Time!AG$6-Inputs!$F$157)/Inputs!$F$27),1)+Inputs!$F$188*MIN(MAX(MAX(0,(Time!AG$6-Inputs!$F$157)/Inputs!$F$27)-1,0),Inputs!$F$190-1)+Inputs!$F$189*MAX(MAX(0,(Time!AG$6-Inputs!$F$157)/Inputs!$F$27)-Inputs!$F$190,0))/100)</f>
        <v>235.672273972603</v>
      </c>
      <c r="AH720" s="20" t="n">
        <f aca="false">Inputs!$F$162*(1+Inputs!$F$168/100)*(1-(Inputs!$F$187*MIN(MAX(0,(Time!AH$6-Inputs!$F$157)/Inputs!$F$27),1)+Inputs!$F$188*MIN(MAX(MAX(0,(Time!AH$6-Inputs!$F$157)/Inputs!$F$27)-1,0),Inputs!$F$190-1)+Inputs!$F$189*MAX(MAX(0,(Time!AH$6-Inputs!$F$157)/Inputs!$F$27)-Inputs!$F$190,0))/100)</f>
        <v>232.432273972603</v>
      </c>
      <c r="AI720" s="20" t="n">
        <f aca="false">Inputs!$F$162*(1+Inputs!$F$168/100)*(1-(Inputs!$F$187*MIN(MAX(0,(Time!AI$6-Inputs!$F$157)/Inputs!$F$27),1)+Inputs!$F$188*MIN(MAX(MAX(0,(Time!AI$6-Inputs!$F$157)/Inputs!$F$27)-1,0),Inputs!$F$190-1)+Inputs!$F$189*MAX(MAX(0,(Time!AI$6-Inputs!$F$157)/Inputs!$F$27)-Inputs!$F$190,0))/100)</f>
        <v>229.192273972603</v>
      </c>
      <c r="AJ720" s="20" t="n">
        <f aca="false">Inputs!$F$162*(1+Inputs!$F$168/100)*(1-(Inputs!$F$187*MIN(MAX(0,(Time!AJ$6-Inputs!$F$157)/Inputs!$F$27),1)+Inputs!$F$188*MIN(MAX(MAX(0,(Time!AJ$6-Inputs!$F$157)/Inputs!$F$27)-1,0),Inputs!$F$190-1)+Inputs!$F$189*MAX(MAX(0,(Time!AJ$6-Inputs!$F$157)/Inputs!$F$27)-Inputs!$F$190,0))/100)</f>
        <v>225.943397260274</v>
      </c>
      <c r="AK720" s="20" t="n">
        <f aca="false">Inputs!$F$162*(1+Inputs!$F$168/100)*(1-(Inputs!$F$187*MIN(MAX(0,(Time!AK$6-Inputs!$F$157)/Inputs!$F$27),1)+Inputs!$F$188*MIN(MAX(MAX(0,(Time!AK$6-Inputs!$F$157)/Inputs!$F$27)-1,0),Inputs!$F$190-1)+Inputs!$F$189*MAX(MAX(0,(Time!AK$6-Inputs!$F$157)/Inputs!$F$27)-Inputs!$F$190,0))/100)</f>
        <v>222.703397260274</v>
      </c>
      <c r="AL720" s="20" t="n">
        <f aca="false">Inputs!$F$162*(1+Inputs!$F$168/100)*(1-(Inputs!$F$187*MIN(MAX(0,(Time!AL$6-Inputs!$F$157)/Inputs!$F$27),1)+Inputs!$F$188*MIN(MAX(MAX(0,(Time!AL$6-Inputs!$F$157)/Inputs!$F$27)-1,0),Inputs!$F$190-1)+Inputs!$F$189*MAX(MAX(0,(Time!AL$6-Inputs!$F$157)/Inputs!$F$27)-Inputs!$F$190,0))/100)</f>
        <v>219.463397260274</v>
      </c>
      <c r="AM720" s="20" t="n">
        <f aca="false">Inputs!$F$162*(1+Inputs!$F$168/100)*(1-(Inputs!$F$187*MIN(MAX(0,(Time!AM$6-Inputs!$F$157)/Inputs!$F$27),1)+Inputs!$F$188*MIN(MAX(MAX(0,(Time!AM$6-Inputs!$F$157)/Inputs!$F$27)-1,0),Inputs!$F$190-1)+Inputs!$F$189*MAX(MAX(0,(Time!AM$6-Inputs!$F$157)/Inputs!$F$27)-Inputs!$F$190,0))/100)</f>
        <v>216.223397260274</v>
      </c>
      <c r="AN720" s="20" t="n">
        <f aca="false">Inputs!$F$162*(1+Inputs!$F$168/100)*(1-(Inputs!$F$187*MIN(MAX(0,(Time!AN$6-Inputs!$F$157)/Inputs!$F$27),1)+Inputs!$F$188*MIN(MAX(MAX(0,(Time!AN$6-Inputs!$F$157)/Inputs!$F$27)-1,0),Inputs!$F$190-1)+Inputs!$F$189*MAX(MAX(0,(Time!AN$6-Inputs!$F$157)/Inputs!$F$27)-Inputs!$F$190,0))/100)</f>
        <v>212.974520547945</v>
      </c>
      <c r="AO720" s="20" t="n">
        <f aca="false">Inputs!$F$162*(1+Inputs!$F$168/100)*(1-(Inputs!$F$187*MIN(MAX(0,(Time!AO$6-Inputs!$F$157)/Inputs!$F$27),1)+Inputs!$F$188*MIN(MAX(MAX(0,(Time!AO$6-Inputs!$F$157)/Inputs!$F$27)-1,0),Inputs!$F$190-1)+Inputs!$F$189*MAX(MAX(0,(Time!AO$6-Inputs!$F$157)/Inputs!$F$27)-Inputs!$F$190,0))/100)</f>
        <v>209.734520547945</v>
      </c>
      <c r="AP720" s="20" t="n">
        <f aca="false">Inputs!$F$162*(1+Inputs!$F$168/100)*(1-(Inputs!$F$187*MIN(MAX(0,(Time!AP$6-Inputs!$F$157)/Inputs!$F$27),1)+Inputs!$F$188*MIN(MAX(MAX(0,(Time!AP$6-Inputs!$F$157)/Inputs!$F$27)-1,0),Inputs!$F$190-1)+Inputs!$F$189*MAX(MAX(0,(Time!AP$6-Inputs!$F$157)/Inputs!$F$27)-Inputs!$F$190,0))/100)</f>
        <v>206.494520547945</v>
      </c>
      <c r="AQ720" s="20" t="n">
        <f aca="false">Inputs!$F$162*(1+Inputs!$F$168/100)*(1-(Inputs!$F$187*MIN(MAX(0,(Time!AQ$6-Inputs!$F$157)/Inputs!$F$27),1)+Inputs!$F$188*MIN(MAX(MAX(0,(Time!AQ$6-Inputs!$F$157)/Inputs!$F$27)-1,0),Inputs!$F$190-1)+Inputs!$F$189*MAX(MAX(0,(Time!AQ$6-Inputs!$F$157)/Inputs!$F$27)-Inputs!$F$190,0))/100)</f>
        <v>203.254520547945</v>
      </c>
      <c r="AR720" s="20" t="n">
        <f aca="false">Inputs!$F$162*(1+Inputs!$F$168/100)*(1-(Inputs!$F$187*MIN(MAX(0,(Time!AR$6-Inputs!$F$157)/Inputs!$F$27),1)+Inputs!$F$188*MIN(MAX(MAX(0,(Time!AR$6-Inputs!$F$157)/Inputs!$F$27)-1,0),Inputs!$F$190-1)+Inputs!$F$189*MAX(MAX(0,(Time!AR$6-Inputs!$F$157)/Inputs!$F$27)-Inputs!$F$190,0))/100)</f>
        <v>200.005643835616</v>
      </c>
      <c r="AS720" s="20" t="n">
        <f aca="false">Inputs!$F$162*(1+Inputs!$F$168/100)*(1-(Inputs!$F$187*MIN(MAX(0,(Time!AS$6-Inputs!$F$157)/Inputs!$F$27),1)+Inputs!$F$188*MIN(MAX(MAX(0,(Time!AS$6-Inputs!$F$157)/Inputs!$F$27)-1,0),Inputs!$F$190-1)+Inputs!$F$189*MAX(MAX(0,(Time!AS$6-Inputs!$F$157)/Inputs!$F$27)-Inputs!$F$190,0))/100)</f>
        <v>196.765643835616</v>
      </c>
      <c r="AT720" s="20" t="n">
        <f aca="false">Inputs!$F$162*(1+Inputs!$F$168/100)*(1-(Inputs!$F$187*MIN(MAX(0,(Time!AT$6-Inputs!$F$157)/Inputs!$F$27),1)+Inputs!$F$188*MIN(MAX(MAX(0,(Time!AT$6-Inputs!$F$157)/Inputs!$F$27)-1,0),Inputs!$F$190-1)+Inputs!$F$189*MAX(MAX(0,(Time!AT$6-Inputs!$F$157)/Inputs!$F$27)-Inputs!$F$190,0))/100)</f>
        <v>193.525643835616</v>
      </c>
      <c r="AU720" s="20" t="n">
        <f aca="false">Inputs!$F$162*(1+Inputs!$F$168/100)*(1-(Inputs!$F$187*MIN(MAX(0,(Time!AU$6-Inputs!$F$157)/Inputs!$F$27),1)+Inputs!$F$188*MIN(MAX(MAX(0,(Time!AU$6-Inputs!$F$157)/Inputs!$F$27)-1,0),Inputs!$F$190-1)+Inputs!$F$189*MAX(MAX(0,(Time!AU$6-Inputs!$F$157)/Inputs!$F$27)-Inputs!$F$190,0))/100)</f>
        <v>190.285643835616</v>
      </c>
    </row>
    <row r="721" customFormat="false" ht="15" hidden="false" customHeight="false" outlineLevel="0" collapsed="false">
      <c r="D721" s="0" t="s">
        <v>721</v>
      </c>
      <c r="E721" s="0" t="s">
        <v>176</v>
      </c>
      <c r="J721" s="20" t="n">
        <f aca="false">IF(Time!J$6&gt;=(DATE(YEAR(Inputs!$F$157)+Inputs!$F$164,1,1)-1),Inputs!$F$166/100*Inputs!$F$162*(1-(Inputs!$F$187*MIN(MAX(0,(Time!J$6-(DATE(YEAR(Inputs!$F$157)+Inputs!$F$164,1,1)-1))/Inputs!$F$27),1)+Inputs!$F$188*MIN(MAX(MAX(0,(Time!J$6-(DATE(YEAR(Inputs!$F$157)+Inputs!$F$164,1,1)-1))/Inputs!$F$27)-1,0),Inputs!$F$190-1)+Inputs!$F$189*MAX(MAX(0,(Time!J$6-(DATE(YEAR(Inputs!$F$157)+Inputs!$F$164,1,1)-1))/Inputs!$F$27)-Inputs!$F$190,0))/100),0)+IF(Time!J$6&gt;=(DATE(YEAR(Inputs!$F$157)+Inputs!$F$165,1,1)-1),Inputs!$F$166/100*Inputs!$F$162*(1-(Inputs!$F$187*MIN(MAX(0,(Time!J$6-(DATE(YEAR(Inputs!$F$157)+Inputs!$F$165,1,1)-1))/Inputs!$F$27),1)+Inputs!$F$188*MIN(MAX(MAX(0,(Time!J$6-(DATE(YEAR(Inputs!$F$157)+Inputs!$F$165,1,1)-1))/Inputs!$F$27)-1,0),Inputs!$F$190-1)+Inputs!$F$189*MAX(MAX(0,(Time!J$6-(DATE(YEAR(Inputs!$F$157)+Inputs!$F$165,1,1)-1))/Inputs!$F$27)-Inputs!$F$190,0))/100),0)</f>
        <v>0</v>
      </c>
      <c r="K721" s="20" t="n">
        <f aca="false">IF(Time!K$6&gt;=(DATE(YEAR(Inputs!$F$157)+Inputs!$F$164,1,1)-1),Inputs!$F$166/100*Inputs!$F$162*(1-(Inputs!$F$187*MIN(MAX(0,(Time!K$6-(DATE(YEAR(Inputs!$F$157)+Inputs!$F$164,1,1)-1))/Inputs!$F$27),1)+Inputs!$F$188*MIN(MAX(MAX(0,(Time!K$6-(DATE(YEAR(Inputs!$F$157)+Inputs!$F$164,1,1)-1))/Inputs!$F$27)-1,0),Inputs!$F$190-1)+Inputs!$F$189*MAX(MAX(0,(Time!K$6-(DATE(YEAR(Inputs!$F$157)+Inputs!$F$164,1,1)-1))/Inputs!$F$27)-Inputs!$F$190,0))/100),0)+IF(Time!K$6&gt;=(DATE(YEAR(Inputs!$F$157)+Inputs!$F$165,1,1)-1),Inputs!$F$166/100*Inputs!$F$162*(1-(Inputs!$F$187*MIN(MAX(0,(Time!K$6-(DATE(YEAR(Inputs!$F$157)+Inputs!$F$165,1,1)-1))/Inputs!$F$27),1)+Inputs!$F$188*MIN(MAX(MAX(0,(Time!K$6-(DATE(YEAR(Inputs!$F$157)+Inputs!$F$165,1,1)-1))/Inputs!$F$27)-1,0),Inputs!$F$190-1)+Inputs!$F$189*MAX(MAX(0,(Time!K$6-(DATE(YEAR(Inputs!$F$157)+Inputs!$F$165,1,1)-1))/Inputs!$F$27)-Inputs!$F$190,0))/100),0)</f>
        <v>0</v>
      </c>
      <c r="L721" s="20" t="n">
        <f aca="false">IF(Time!L$6&gt;=(DATE(YEAR(Inputs!$F$157)+Inputs!$F$164,1,1)-1),Inputs!$F$166/100*Inputs!$F$162*(1-(Inputs!$F$187*MIN(MAX(0,(Time!L$6-(DATE(YEAR(Inputs!$F$157)+Inputs!$F$164,1,1)-1))/Inputs!$F$27),1)+Inputs!$F$188*MIN(MAX(MAX(0,(Time!L$6-(DATE(YEAR(Inputs!$F$157)+Inputs!$F$164,1,1)-1))/Inputs!$F$27)-1,0),Inputs!$F$190-1)+Inputs!$F$189*MAX(MAX(0,(Time!L$6-(DATE(YEAR(Inputs!$F$157)+Inputs!$F$164,1,1)-1))/Inputs!$F$27)-Inputs!$F$190,0))/100),0)+IF(Time!L$6&gt;=(DATE(YEAR(Inputs!$F$157)+Inputs!$F$165,1,1)-1),Inputs!$F$166/100*Inputs!$F$162*(1-(Inputs!$F$187*MIN(MAX(0,(Time!L$6-(DATE(YEAR(Inputs!$F$157)+Inputs!$F$165,1,1)-1))/Inputs!$F$27),1)+Inputs!$F$188*MIN(MAX(MAX(0,(Time!L$6-(DATE(YEAR(Inputs!$F$157)+Inputs!$F$165,1,1)-1))/Inputs!$F$27)-1,0),Inputs!$F$190-1)+Inputs!$F$189*MAX(MAX(0,(Time!L$6-(DATE(YEAR(Inputs!$F$157)+Inputs!$F$165,1,1)-1))/Inputs!$F$27)-Inputs!$F$190,0))/100),0)</f>
        <v>0</v>
      </c>
      <c r="M721" s="20" t="n">
        <f aca="false">IF(Time!M$6&gt;=(DATE(YEAR(Inputs!$F$157)+Inputs!$F$164,1,1)-1),Inputs!$F$166/100*Inputs!$F$162*(1-(Inputs!$F$187*MIN(MAX(0,(Time!M$6-(DATE(YEAR(Inputs!$F$157)+Inputs!$F$164,1,1)-1))/Inputs!$F$27),1)+Inputs!$F$188*MIN(MAX(MAX(0,(Time!M$6-(DATE(YEAR(Inputs!$F$157)+Inputs!$F$164,1,1)-1))/Inputs!$F$27)-1,0),Inputs!$F$190-1)+Inputs!$F$189*MAX(MAX(0,(Time!M$6-(DATE(YEAR(Inputs!$F$157)+Inputs!$F$164,1,1)-1))/Inputs!$F$27)-Inputs!$F$190,0))/100),0)+IF(Time!M$6&gt;=(DATE(YEAR(Inputs!$F$157)+Inputs!$F$165,1,1)-1),Inputs!$F$166/100*Inputs!$F$162*(1-(Inputs!$F$187*MIN(MAX(0,(Time!M$6-(DATE(YEAR(Inputs!$F$157)+Inputs!$F$165,1,1)-1))/Inputs!$F$27),1)+Inputs!$F$188*MIN(MAX(MAX(0,(Time!M$6-(DATE(YEAR(Inputs!$F$157)+Inputs!$F$165,1,1)-1))/Inputs!$F$27)-1,0),Inputs!$F$190-1)+Inputs!$F$189*MAX(MAX(0,(Time!M$6-(DATE(YEAR(Inputs!$F$157)+Inputs!$F$165,1,1)-1))/Inputs!$F$27)-Inputs!$F$190,0))/100),0)</f>
        <v>0</v>
      </c>
      <c r="N721" s="20" t="n">
        <f aca="false">IF(Time!N$6&gt;=(DATE(YEAR(Inputs!$F$157)+Inputs!$F$164,1,1)-1),Inputs!$F$166/100*Inputs!$F$162*(1-(Inputs!$F$187*MIN(MAX(0,(Time!N$6-(DATE(YEAR(Inputs!$F$157)+Inputs!$F$164,1,1)-1))/Inputs!$F$27),1)+Inputs!$F$188*MIN(MAX(MAX(0,(Time!N$6-(DATE(YEAR(Inputs!$F$157)+Inputs!$F$164,1,1)-1))/Inputs!$F$27)-1,0),Inputs!$F$190-1)+Inputs!$F$189*MAX(MAX(0,(Time!N$6-(DATE(YEAR(Inputs!$F$157)+Inputs!$F$164,1,1)-1))/Inputs!$F$27)-Inputs!$F$190,0))/100),0)+IF(Time!N$6&gt;=(DATE(YEAR(Inputs!$F$157)+Inputs!$F$165,1,1)-1),Inputs!$F$166/100*Inputs!$F$162*(1-(Inputs!$F$187*MIN(MAX(0,(Time!N$6-(DATE(YEAR(Inputs!$F$157)+Inputs!$F$165,1,1)-1))/Inputs!$F$27),1)+Inputs!$F$188*MIN(MAX(MAX(0,(Time!N$6-(DATE(YEAR(Inputs!$F$157)+Inputs!$F$165,1,1)-1))/Inputs!$F$27)-1,0),Inputs!$F$190-1)+Inputs!$F$189*MAX(MAX(0,(Time!N$6-(DATE(YEAR(Inputs!$F$157)+Inputs!$F$165,1,1)-1))/Inputs!$F$27)-Inputs!$F$190,0))/100),0)</f>
        <v>0</v>
      </c>
      <c r="O721" s="20" t="n">
        <f aca="false">IF(Time!O$6&gt;=(DATE(YEAR(Inputs!$F$157)+Inputs!$F$164,1,1)-1),Inputs!$F$166/100*Inputs!$F$162*(1-(Inputs!$F$187*MIN(MAX(0,(Time!O$6-(DATE(YEAR(Inputs!$F$157)+Inputs!$F$164,1,1)-1))/Inputs!$F$27),1)+Inputs!$F$188*MIN(MAX(MAX(0,(Time!O$6-(DATE(YEAR(Inputs!$F$157)+Inputs!$F$164,1,1)-1))/Inputs!$F$27)-1,0),Inputs!$F$190-1)+Inputs!$F$189*MAX(MAX(0,(Time!O$6-(DATE(YEAR(Inputs!$F$157)+Inputs!$F$164,1,1)-1))/Inputs!$F$27)-Inputs!$F$190,0))/100),0)+IF(Time!O$6&gt;=(DATE(YEAR(Inputs!$F$157)+Inputs!$F$165,1,1)-1),Inputs!$F$166/100*Inputs!$F$162*(1-(Inputs!$F$187*MIN(MAX(0,(Time!O$6-(DATE(YEAR(Inputs!$F$157)+Inputs!$F$165,1,1)-1))/Inputs!$F$27),1)+Inputs!$F$188*MIN(MAX(MAX(0,(Time!O$6-(DATE(YEAR(Inputs!$F$157)+Inputs!$F$165,1,1)-1))/Inputs!$F$27)-1,0),Inputs!$F$190-1)+Inputs!$F$189*MAX(MAX(0,(Time!O$6-(DATE(YEAR(Inputs!$F$157)+Inputs!$F$165,1,1)-1))/Inputs!$F$27)-Inputs!$F$190,0))/100),0)</f>
        <v>0</v>
      </c>
      <c r="P721" s="20" t="n">
        <f aca="false">IF(Time!P$6&gt;=(DATE(YEAR(Inputs!$F$157)+Inputs!$F$164,1,1)-1),Inputs!$F$166/100*Inputs!$F$162*(1-(Inputs!$F$187*MIN(MAX(0,(Time!P$6-(DATE(YEAR(Inputs!$F$157)+Inputs!$F$164,1,1)-1))/Inputs!$F$27),1)+Inputs!$F$188*MIN(MAX(MAX(0,(Time!P$6-(DATE(YEAR(Inputs!$F$157)+Inputs!$F$164,1,1)-1))/Inputs!$F$27)-1,0),Inputs!$F$190-1)+Inputs!$F$189*MAX(MAX(0,(Time!P$6-(DATE(YEAR(Inputs!$F$157)+Inputs!$F$164,1,1)-1))/Inputs!$F$27)-Inputs!$F$190,0))/100),0)+IF(Time!P$6&gt;=(DATE(YEAR(Inputs!$F$157)+Inputs!$F$165,1,1)-1),Inputs!$F$166/100*Inputs!$F$162*(1-(Inputs!$F$187*MIN(MAX(0,(Time!P$6-(DATE(YEAR(Inputs!$F$157)+Inputs!$F$165,1,1)-1))/Inputs!$F$27),1)+Inputs!$F$188*MIN(MAX(MAX(0,(Time!P$6-(DATE(YEAR(Inputs!$F$157)+Inputs!$F$165,1,1)-1))/Inputs!$F$27)-1,0),Inputs!$F$190-1)+Inputs!$F$189*MAX(MAX(0,(Time!P$6-(DATE(YEAR(Inputs!$F$157)+Inputs!$F$165,1,1)-1))/Inputs!$F$27)-Inputs!$F$190,0))/100),0)</f>
        <v>18</v>
      </c>
      <c r="Q721" s="20" t="n">
        <f aca="false">IF(Time!Q$6&gt;=(DATE(YEAR(Inputs!$F$157)+Inputs!$F$164,1,1)-1),Inputs!$F$166/100*Inputs!$F$162*(1-(Inputs!$F$187*MIN(MAX(0,(Time!Q$6-(DATE(YEAR(Inputs!$F$157)+Inputs!$F$164,1,1)-1))/Inputs!$F$27),1)+Inputs!$F$188*MIN(MAX(MAX(0,(Time!Q$6-(DATE(YEAR(Inputs!$F$157)+Inputs!$F$164,1,1)-1))/Inputs!$F$27)-1,0),Inputs!$F$190-1)+Inputs!$F$189*MAX(MAX(0,(Time!Q$6-(DATE(YEAR(Inputs!$F$157)+Inputs!$F$164,1,1)-1))/Inputs!$F$27)-Inputs!$F$190,0))/100),0)+IF(Time!Q$6&gt;=(DATE(YEAR(Inputs!$F$157)+Inputs!$F$165,1,1)-1),Inputs!$F$166/100*Inputs!$F$162*(1-(Inputs!$F$187*MIN(MAX(0,(Time!Q$6-(DATE(YEAR(Inputs!$F$157)+Inputs!$F$165,1,1)-1))/Inputs!$F$27),1)+Inputs!$F$188*MIN(MAX(MAX(0,(Time!Q$6-(DATE(YEAR(Inputs!$F$157)+Inputs!$F$165,1,1)-1))/Inputs!$F$27)-1,0),Inputs!$F$190-1)+Inputs!$F$189*MAX(MAX(0,(Time!Q$6-(DATE(YEAR(Inputs!$F$157)+Inputs!$F$165,1,1)-1))/Inputs!$F$27)-Inputs!$F$190,0))/100),0)</f>
        <v>17.64</v>
      </c>
      <c r="R721" s="20" t="n">
        <f aca="false">IF(Time!R$6&gt;=(DATE(YEAR(Inputs!$F$157)+Inputs!$F$164,1,1)-1),Inputs!$F$166/100*Inputs!$F$162*(1-(Inputs!$F$187*MIN(MAX(0,(Time!R$6-(DATE(YEAR(Inputs!$F$157)+Inputs!$F$164,1,1)-1))/Inputs!$F$27),1)+Inputs!$F$188*MIN(MAX(MAX(0,(Time!R$6-(DATE(YEAR(Inputs!$F$157)+Inputs!$F$164,1,1)-1))/Inputs!$F$27)-1,0),Inputs!$F$190-1)+Inputs!$F$189*MAX(MAX(0,(Time!R$6-(DATE(YEAR(Inputs!$F$157)+Inputs!$F$164,1,1)-1))/Inputs!$F$27)-Inputs!$F$190,0))/100),0)+IF(Time!R$6&gt;=(DATE(YEAR(Inputs!$F$157)+Inputs!$F$165,1,1)-1),Inputs!$F$166/100*Inputs!$F$162*(1-(Inputs!$F$187*MIN(MAX(0,(Time!R$6-(DATE(YEAR(Inputs!$F$157)+Inputs!$F$165,1,1)-1))/Inputs!$F$27),1)+Inputs!$F$188*MIN(MAX(MAX(0,(Time!R$6-(DATE(YEAR(Inputs!$F$157)+Inputs!$F$165,1,1)-1))/Inputs!$F$27)-1,0),Inputs!$F$190-1)+Inputs!$F$189*MAX(MAX(0,(Time!R$6-(DATE(YEAR(Inputs!$F$157)+Inputs!$F$165,1,1)-1))/Inputs!$F$27)-Inputs!$F$190,0))/100),0)</f>
        <v>17.37</v>
      </c>
      <c r="S721" s="20" t="n">
        <f aca="false">IF(Time!S$6&gt;=(DATE(YEAR(Inputs!$F$157)+Inputs!$F$164,1,1)-1),Inputs!$F$166/100*Inputs!$F$162*(1-(Inputs!$F$187*MIN(MAX(0,(Time!S$6-(DATE(YEAR(Inputs!$F$157)+Inputs!$F$164,1,1)-1))/Inputs!$F$27),1)+Inputs!$F$188*MIN(MAX(MAX(0,(Time!S$6-(DATE(YEAR(Inputs!$F$157)+Inputs!$F$164,1,1)-1))/Inputs!$F$27)-1,0),Inputs!$F$190-1)+Inputs!$F$189*MAX(MAX(0,(Time!S$6-(DATE(YEAR(Inputs!$F$157)+Inputs!$F$164,1,1)-1))/Inputs!$F$27)-Inputs!$F$190,0))/100),0)+IF(Time!S$6&gt;=(DATE(YEAR(Inputs!$F$157)+Inputs!$F$165,1,1)-1),Inputs!$F$166/100*Inputs!$F$162*(1-(Inputs!$F$187*MIN(MAX(0,(Time!S$6-(DATE(YEAR(Inputs!$F$157)+Inputs!$F$165,1,1)-1))/Inputs!$F$27),1)+Inputs!$F$188*MIN(MAX(MAX(0,(Time!S$6-(DATE(YEAR(Inputs!$F$157)+Inputs!$F$165,1,1)-1))/Inputs!$F$27)-1,0),Inputs!$F$190-1)+Inputs!$F$189*MAX(MAX(0,(Time!S$6-(DATE(YEAR(Inputs!$F$157)+Inputs!$F$165,1,1)-1))/Inputs!$F$27)-Inputs!$F$190,0))/100),0)</f>
        <v>17.1</v>
      </c>
      <c r="T721" s="20" t="n">
        <f aca="false">IF(Time!T$6&gt;=(DATE(YEAR(Inputs!$F$157)+Inputs!$F$164,1,1)-1),Inputs!$F$166/100*Inputs!$F$162*(1-(Inputs!$F$187*MIN(MAX(0,(Time!T$6-(DATE(YEAR(Inputs!$F$157)+Inputs!$F$164,1,1)-1))/Inputs!$F$27),1)+Inputs!$F$188*MIN(MAX(MAX(0,(Time!T$6-(DATE(YEAR(Inputs!$F$157)+Inputs!$F$164,1,1)-1))/Inputs!$F$27)-1,0),Inputs!$F$190-1)+Inputs!$F$189*MAX(MAX(0,(Time!T$6-(DATE(YEAR(Inputs!$F$157)+Inputs!$F$164,1,1)-1))/Inputs!$F$27)-Inputs!$F$190,0))/100),0)+IF(Time!T$6&gt;=(DATE(YEAR(Inputs!$F$157)+Inputs!$F$165,1,1)-1),Inputs!$F$166/100*Inputs!$F$162*(1-(Inputs!$F$187*MIN(MAX(0,(Time!T$6-(DATE(YEAR(Inputs!$F$157)+Inputs!$F$165,1,1)-1))/Inputs!$F$27),1)+Inputs!$F$188*MIN(MAX(MAX(0,(Time!T$6-(DATE(YEAR(Inputs!$F$157)+Inputs!$F$165,1,1)-1))/Inputs!$F$27)-1,0),Inputs!$F$190-1)+Inputs!$F$189*MAX(MAX(0,(Time!T$6-(DATE(YEAR(Inputs!$F$157)+Inputs!$F$165,1,1)-1))/Inputs!$F$27)-Inputs!$F$190,0))/100),0)</f>
        <v>34.8292602739726</v>
      </c>
      <c r="U721" s="20" t="n">
        <f aca="false">IF(Time!U$6&gt;=(DATE(YEAR(Inputs!$F$157)+Inputs!$F$164,1,1)-1),Inputs!$F$166/100*Inputs!$F$162*(1-(Inputs!$F$187*MIN(MAX(0,(Time!U$6-(DATE(YEAR(Inputs!$F$157)+Inputs!$F$164,1,1)-1))/Inputs!$F$27),1)+Inputs!$F$188*MIN(MAX(MAX(0,(Time!U$6-(DATE(YEAR(Inputs!$F$157)+Inputs!$F$164,1,1)-1))/Inputs!$F$27)-1,0),Inputs!$F$190-1)+Inputs!$F$189*MAX(MAX(0,(Time!U$6-(DATE(YEAR(Inputs!$F$157)+Inputs!$F$164,1,1)-1))/Inputs!$F$27)-Inputs!$F$190,0))/100),0)+IF(Time!U$6&gt;=(DATE(YEAR(Inputs!$F$157)+Inputs!$F$165,1,1)-1),Inputs!$F$166/100*Inputs!$F$162*(1-(Inputs!$F$187*MIN(MAX(0,(Time!U$6-(DATE(YEAR(Inputs!$F$157)+Inputs!$F$165,1,1)-1))/Inputs!$F$27),1)+Inputs!$F$188*MIN(MAX(MAX(0,(Time!U$6-(DATE(YEAR(Inputs!$F$157)+Inputs!$F$165,1,1)-1))/Inputs!$F$27)-1,0),Inputs!$F$190-1)+Inputs!$F$189*MAX(MAX(0,(Time!U$6-(DATE(YEAR(Inputs!$F$157)+Inputs!$F$165,1,1)-1))/Inputs!$F$27)-Inputs!$F$190,0))/100),0)</f>
        <v>34.1992602739726</v>
      </c>
      <c r="V721" s="20" t="n">
        <f aca="false">IF(Time!V$6&gt;=(DATE(YEAR(Inputs!$F$157)+Inputs!$F$164,1,1)-1),Inputs!$F$166/100*Inputs!$F$162*(1-(Inputs!$F$187*MIN(MAX(0,(Time!V$6-(DATE(YEAR(Inputs!$F$157)+Inputs!$F$164,1,1)-1))/Inputs!$F$27),1)+Inputs!$F$188*MIN(MAX(MAX(0,(Time!V$6-(DATE(YEAR(Inputs!$F$157)+Inputs!$F$164,1,1)-1))/Inputs!$F$27)-1,0),Inputs!$F$190-1)+Inputs!$F$189*MAX(MAX(0,(Time!V$6-(DATE(YEAR(Inputs!$F$157)+Inputs!$F$164,1,1)-1))/Inputs!$F$27)-Inputs!$F$190,0))/100),0)+IF(Time!V$6&gt;=(DATE(YEAR(Inputs!$F$157)+Inputs!$F$165,1,1)-1),Inputs!$F$166/100*Inputs!$F$162*(1-(Inputs!$F$187*MIN(MAX(0,(Time!V$6-(DATE(YEAR(Inputs!$F$157)+Inputs!$F$165,1,1)-1))/Inputs!$F$27),1)+Inputs!$F$188*MIN(MAX(MAX(0,(Time!V$6-(DATE(YEAR(Inputs!$F$157)+Inputs!$F$165,1,1)-1))/Inputs!$F$27)-1,0),Inputs!$F$190-1)+Inputs!$F$189*MAX(MAX(0,(Time!V$6-(DATE(YEAR(Inputs!$F$157)+Inputs!$F$165,1,1)-1))/Inputs!$F$27)-Inputs!$F$190,0))/100),0)</f>
        <v>33.6592602739726</v>
      </c>
      <c r="W721" s="20" t="n">
        <f aca="false">IF(Time!W$6&gt;=(DATE(YEAR(Inputs!$F$157)+Inputs!$F$164,1,1)-1),Inputs!$F$166/100*Inputs!$F$162*(1-(Inputs!$F$187*MIN(MAX(0,(Time!W$6-(DATE(YEAR(Inputs!$F$157)+Inputs!$F$164,1,1)-1))/Inputs!$F$27),1)+Inputs!$F$188*MIN(MAX(MAX(0,(Time!W$6-(DATE(YEAR(Inputs!$F$157)+Inputs!$F$164,1,1)-1))/Inputs!$F$27)-1,0),Inputs!$F$190-1)+Inputs!$F$189*MAX(MAX(0,(Time!W$6-(DATE(YEAR(Inputs!$F$157)+Inputs!$F$164,1,1)-1))/Inputs!$F$27)-Inputs!$F$190,0))/100),0)+IF(Time!W$6&gt;=(DATE(YEAR(Inputs!$F$157)+Inputs!$F$165,1,1)-1),Inputs!$F$166/100*Inputs!$F$162*(1-(Inputs!$F$187*MIN(MAX(0,(Time!W$6-(DATE(YEAR(Inputs!$F$157)+Inputs!$F$165,1,1)-1))/Inputs!$F$27),1)+Inputs!$F$188*MIN(MAX(MAX(0,(Time!W$6-(DATE(YEAR(Inputs!$F$157)+Inputs!$F$165,1,1)-1))/Inputs!$F$27)-1,0),Inputs!$F$190-1)+Inputs!$F$189*MAX(MAX(0,(Time!W$6-(DATE(YEAR(Inputs!$F$157)+Inputs!$F$165,1,1)-1))/Inputs!$F$27)-Inputs!$F$190,0))/100),0)</f>
        <v>33.1192602739726</v>
      </c>
      <c r="X721" s="20" t="n">
        <f aca="false">IF(Time!X$6&gt;=(DATE(YEAR(Inputs!$F$157)+Inputs!$F$164,1,1)-1),Inputs!$F$166/100*Inputs!$F$162*(1-(Inputs!$F$187*MIN(MAX(0,(Time!X$6-(DATE(YEAR(Inputs!$F$157)+Inputs!$F$164,1,1)-1))/Inputs!$F$27),1)+Inputs!$F$188*MIN(MAX(MAX(0,(Time!X$6-(DATE(YEAR(Inputs!$F$157)+Inputs!$F$164,1,1)-1))/Inputs!$F$27)-1,0),Inputs!$F$190-1)+Inputs!$F$189*MAX(MAX(0,(Time!X$6-(DATE(YEAR(Inputs!$F$157)+Inputs!$F$164,1,1)-1))/Inputs!$F$27)-Inputs!$F$190,0))/100),0)+IF(Time!X$6&gt;=(DATE(YEAR(Inputs!$F$157)+Inputs!$F$165,1,1)-1),Inputs!$F$166/100*Inputs!$F$162*(1-(Inputs!$F$187*MIN(MAX(0,(Time!X$6-(DATE(YEAR(Inputs!$F$157)+Inputs!$F$165,1,1)-1))/Inputs!$F$27),1)+Inputs!$F$188*MIN(MAX(MAX(0,(Time!X$6-(DATE(YEAR(Inputs!$F$157)+Inputs!$F$165,1,1)-1))/Inputs!$F$27)-1,0),Inputs!$F$190-1)+Inputs!$F$189*MAX(MAX(0,(Time!X$6-(DATE(YEAR(Inputs!$F$157)+Inputs!$F$165,1,1)-1))/Inputs!$F$27)-Inputs!$F$190,0))/100),0)</f>
        <v>32.5777808219178</v>
      </c>
      <c r="Y721" s="20" t="n">
        <f aca="false">IF(Time!Y$6&gt;=(DATE(YEAR(Inputs!$F$157)+Inputs!$F$164,1,1)-1),Inputs!$F$166/100*Inputs!$F$162*(1-(Inputs!$F$187*MIN(MAX(0,(Time!Y$6-(DATE(YEAR(Inputs!$F$157)+Inputs!$F$164,1,1)-1))/Inputs!$F$27),1)+Inputs!$F$188*MIN(MAX(MAX(0,(Time!Y$6-(DATE(YEAR(Inputs!$F$157)+Inputs!$F$164,1,1)-1))/Inputs!$F$27)-1,0),Inputs!$F$190-1)+Inputs!$F$189*MAX(MAX(0,(Time!Y$6-(DATE(YEAR(Inputs!$F$157)+Inputs!$F$164,1,1)-1))/Inputs!$F$27)-Inputs!$F$190,0))/100),0)+IF(Time!Y$6&gt;=(DATE(YEAR(Inputs!$F$157)+Inputs!$F$165,1,1)-1),Inputs!$F$166/100*Inputs!$F$162*(1-(Inputs!$F$187*MIN(MAX(0,(Time!Y$6-(DATE(YEAR(Inputs!$F$157)+Inputs!$F$165,1,1)-1))/Inputs!$F$27),1)+Inputs!$F$188*MIN(MAX(MAX(0,(Time!Y$6-(DATE(YEAR(Inputs!$F$157)+Inputs!$F$165,1,1)-1))/Inputs!$F$27)-1,0),Inputs!$F$190-1)+Inputs!$F$189*MAX(MAX(0,(Time!Y$6-(DATE(YEAR(Inputs!$F$157)+Inputs!$F$165,1,1)-1))/Inputs!$F$27)-Inputs!$F$190,0))/100),0)</f>
        <v>32.0377808219178</v>
      </c>
      <c r="Z721" s="20" t="n">
        <f aca="false">IF(Time!Z$6&gt;=(DATE(YEAR(Inputs!$F$157)+Inputs!$F$164,1,1)-1),Inputs!$F$166/100*Inputs!$F$162*(1-(Inputs!$F$187*MIN(MAX(0,(Time!Z$6-(DATE(YEAR(Inputs!$F$157)+Inputs!$F$164,1,1)-1))/Inputs!$F$27),1)+Inputs!$F$188*MIN(MAX(MAX(0,(Time!Z$6-(DATE(YEAR(Inputs!$F$157)+Inputs!$F$164,1,1)-1))/Inputs!$F$27)-1,0),Inputs!$F$190-1)+Inputs!$F$189*MAX(MAX(0,(Time!Z$6-(DATE(YEAR(Inputs!$F$157)+Inputs!$F$164,1,1)-1))/Inputs!$F$27)-Inputs!$F$190,0))/100),0)+IF(Time!Z$6&gt;=(DATE(YEAR(Inputs!$F$157)+Inputs!$F$165,1,1)-1),Inputs!$F$166/100*Inputs!$F$162*(1-(Inputs!$F$187*MIN(MAX(0,(Time!Z$6-(DATE(YEAR(Inputs!$F$157)+Inputs!$F$165,1,1)-1))/Inputs!$F$27),1)+Inputs!$F$188*MIN(MAX(MAX(0,(Time!Z$6-(DATE(YEAR(Inputs!$F$157)+Inputs!$F$165,1,1)-1))/Inputs!$F$27)-1,0),Inputs!$F$190-1)+Inputs!$F$189*MAX(MAX(0,(Time!Z$6-(DATE(YEAR(Inputs!$F$157)+Inputs!$F$165,1,1)-1))/Inputs!$F$27)-Inputs!$F$190,0))/100),0)</f>
        <v>31.4982739726027</v>
      </c>
      <c r="AA721" s="20" t="n">
        <f aca="false">IF(Time!AA$6&gt;=(DATE(YEAR(Inputs!$F$157)+Inputs!$F$164,1,1)-1),Inputs!$F$166/100*Inputs!$F$162*(1-(Inputs!$F$187*MIN(MAX(0,(Time!AA$6-(DATE(YEAR(Inputs!$F$157)+Inputs!$F$164,1,1)-1))/Inputs!$F$27),1)+Inputs!$F$188*MIN(MAX(MAX(0,(Time!AA$6-(DATE(YEAR(Inputs!$F$157)+Inputs!$F$164,1,1)-1))/Inputs!$F$27)-1,0),Inputs!$F$190-1)+Inputs!$F$189*MAX(MAX(0,(Time!AA$6-(DATE(YEAR(Inputs!$F$157)+Inputs!$F$164,1,1)-1))/Inputs!$F$27)-Inputs!$F$190,0))/100),0)+IF(Time!AA$6&gt;=(DATE(YEAR(Inputs!$F$157)+Inputs!$F$165,1,1)-1),Inputs!$F$166/100*Inputs!$F$162*(1-(Inputs!$F$187*MIN(MAX(0,(Time!AA$6-(DATE(YEAR(Inputs!$F$157)+Inputs!$F$165,1,1)-1))/Inputs!$F$27),1)+Inputs!$F$188*MIN(MAX(MAX(0,(Time!AA$6-(DATE(YEAR(Inputs!$F$157)+Inputs!$F$165,1,1)-1))/Inputs!$F$27)-1,0),Inputs!$F$190-1)+Inputs!$F$189*MAX(MAX(0,(Time!AA$6-(DATE(YEAR(Inputs!$F$157)+Inputs!$F$165,1,1)-1))/Inputs!$F$27)-Inputs!$F$190,0))/100),0)</f>
        <v>31.0482739726027</v>
      </c>
      <c r="AB721" s="20" t="n">
        <f aca="false">IF(Time!AB$6&gt;=(DATE(YEAR(Inputs!$F$157)+Inputs!$F$164,1,1)-1),Inputs!$F$166/100*Inputs!$F$162*(1-(Inputs!$F$187*MIN(MAX(0,(Time!AB$6-(DATE(YEAR(Inputs!$F$157)+Inputs!$F$164,1,1)-1))/Inputs!$F$27),1)+Inputs!$F$188*MIN(MAX(MAX(0,(Time!AB$6-(DATE(YEAR(Inputs!$F$157)+Inputs!$F$164,1,1)-1))/Inputs!$F$27)-1,0),Inputs!$F$190-1)+Inputs!$F$189*MAX(MAX(0,(Time!AB$6-(DATE(YEAR(Inputs!$F$157)+Inputs!$F$164,1,1)-1))/Inputs!$F$27)-Inputs!$F$190,0))/100),0)+IF(Time!AB$6&gt;=(DATE(YEAR(Inputs!$F$157)+Inputs!$F$165,1,1)-1),Inputs!$F$166/100*Inputs!$F$162*(1-(Inputs!$F$187*MIN(MAX(0,(Time!AB$6-(DATE(YEAR(Inputs!$F$157)+Inputs!$F$165,1,1)-1))/Inputs!$F$27),1)+Inputs!$F$188*MIN(MAX(MAX(0,(Time!AB$6-(DATE(YEAR(Inputs!$F$157)+Inputs!$F$165,1,1)-1))/Inputs!$F$27)-1,0),Inputs!$F$190-1)+Inputs!$F$189*MAX(MAX(0,(Time!AB$6-(DATE(YEAR(Inputs!$F$157)+Inputs!$F$165,1,1)-1))/Inputs!$F$27)-Inputs!$F$190,0))/100),0)</f>
        <v>30.5970410958904</v>
      </c>
      <c r="AC721" s="20" t="n">
        <f aca="false">IF(Time!AC$6&gt;=(DATE(YEAR(Inputs!$F$157)+Inputs!$F$164,1,1)-1),Inputs!$F$166/100*Inputs!$F$162*(1-(Inputs!$F$187*MIN(MAX(0,(Time!AC$6-(DATE(YEAR(Inputs!$F$157)+Inputs!$F$164,1,1)-1))/Inputs!$F$27),1)+Inputs!$F$188*MIN(MAX(MAX(0,(Time!AC$6-(DATE(YEAR(Inputs!$F$157)+Inputs!$F$164,1,1)-1))/Inputs!$F$27)-1,0),Inputs!$F$190-1)+Inputs!$F$189*MAX(MAX(0,(Time!AC$6-(DATE(YEAR(Inputs!$F$157)+Inputs!$F$164,1,1)-1))/Inputs!$F$27)-Inputs!$F$190,0))/100),0)+IF(Time!AC$6&gt;=(DATE(YEAR(Inputs!$F$157)+Inputs!$F$165,1,1)-1),Inputs!$F$166/100*Inputs!$F$162*(1-(Inputs!$F$187*MIN(MAX(0,(Time!AC$6-(DATE(YEAR(Inputs!$F$157)+Inputs!$F$165,1,1)-1))/Inputs!$F$27),1)+Inputs!$F$188*MIN(MAX(MAX(0,(Time!AC$6-(DATE(YEAR(Inputs!$F$157)+Inputs!$F$165,1,1)-1))/Inputs!$F$27)-1,0),Inputs!$F$190-1)+Inputs!$F$189*MAX(MAX(0,(Time!AC$6-(DATE(YEAR(Inputs!$F$157)+Inputs!$F$165,1,1)-1))/Inputs!$F$27)-Inputs!$F$190,0))/100),0)</f>
        <v>30.1470410958904</v>
      </c>
      <c r="AD721" s="20" t="n">
        <f aca="false">IF(Time!AD$6&gt;=(DATE(YEAR(Inputs!$F$157)+Inputs!$F$164,1,1)-1),Inputs!$F$166/100*Inputs!$F$162*(1-(Inputs!$F$187*MIN(MAX(0,(Time!AD$6-(DATE(YEAR(Inputs!$F$157)+Inputs!$F$164,1,1)-1))/Inputs!$F$27),1)+Inputs!$F$188*MIN(MAX(MAX(0,(Time!AD$6-(DATE(YEAR(Inputs!$F$157)+Inputs!$F$164,1,1)-1))/Inputs!$F$27)-1,0),Inputs!$F$190-1)+Inputs!$F$189*MAX(MAX(0,(Time!AD$6-(DATE(YEAR(Inputs!$F$157)+Inputs!$F$164,1,1)-1))/Inputs!$F$27)-Inputs!$F$190,0))/100),0)+IF(Time!AD$6&gt;=(DATE(YEAR(Inputs!$F$157)+Inputs!$F$165,1,1)-1),Inputs!$F$166/100*Inputs!$F$162*(1-(Inputs!$F$187*MIN(MAX(0,(Time!AD$6-(DATE(YEAR(Inputs!$F$157)+Inputs!$F$165,1,1)-1))/Inputs!$F$27),1)+Inputs!$F$188*MIN(MAX(MAX(0,(Time!AD$6-(DATE(YEAR(Inputs!$F$157)+Inputs!$F$165,1,1)-1))/Inputs!$F$27)-1,0),Inputs!$F$190-1)+Inputs!$F$189*MAX(MAX(0,(Time!AD$6-(DATE(YEAR(Inputs!$F$157)+Inputs!$F$165,1,1)-1))/Inputs!$F$27)-Inputs!$F$190,0))/100),0)</f>
        <v>29.6975342465753</v>
      </c>
      <c r="AE721" s="20" t="n">
        <f aca="false">IF(Time!AE$6&gt;=(DATE(YEAR(Inputs!$F$157)+Inputs!$F$164,1,1)-1),Inputs!$F$166/100*Inputs!$F$162*(1-(Inputs!$F$187*MIN(MAX(0,(Time!AE$6-(DATE(YEAR(Inputs!$F$157)+Inputs!$F$164,1,1)-1))/Inputs!$F$27),1)+Inputs!$F$188*MIN(MAX(MAX(0,(Time!AE$6-(DATE(YEAR(Inputs!$F$157)+Inputs!$F$164,1,1)-1))/Inputs!$F$27)-1,0),Inputs!$F$190-1)+Inputs!$F$189*MAX(MAX(0,(Time!AE$6-(DATE(YEAR(Inputs!$F$157)+Inputs!$F$164,1,1)-1))/Inputs!$F$27)-Inputs!$F$190,0))/100),0)+IF(Time!AE$6&gt;=(DATE(YEAR(Inputs!$F$157)+Inputs!$F$165,1,1)-1),Inputs!$F$166/100*Inputs!$F$162*(1-(Inputs!$F$187*MIN(MAX(0,(Time!AE$6-(DATE(YEAR(Inputs!$F$157)+Inputs!$F$165,1,1)-1))/Inputs!$F$27),1)+Inputs!$F$188*MIN(MAX(MAX(0,(Time!AE$6-(DATE(YEAR(Inputs!$F$157)+Inputs!$F$165,1,1)-1))/Inputs!$F$27)-1,0),Inputs!$F$190-1)+Inputs!$F$189*MAX(MAX(0,(Time!AE$6-(DATE(YEAR(Inputs!$F$157)+Inputs!$F$165,1,1)-1))/Inputs!$F$27)-Inputs!$F$190,0))/100),0)</f>
        <v>29.3375342465753</v>
      </c>
      <c r="AF721" s="20" t="n">
        <f aca="false">IF(Time!AF$6&gt;=(DATE(YEAR(Inputs!$F$157)+Inputs!$F$164,1,1)-1),Inputs!$F$166/100*Inputs!$F$162*(1-(Inputs!$F$187*MIN(MAX(0,(Time!AF$6-(DATE(YEAR(Inputs!$F$157)+Inputs!$F$164,1,1)-1))/Inputs!$F$27),1)+Inputs!$F$188*MIN(MAX(MAX(0,(Time!AF$6-(DATE(YEAR(Inputs!$F$157)+Inputs!$F$164,1,1)-1))/Inputs!$F$27)-1,0),Inputs!$F$190-1)+Inputs!$F$189*MAX(MAX(0,(Time!AF$6-(DATE(YEAR(Inputs!$F$157)+Inputs!$F$164,1,1)-1))/Inputs!$F$27)-Inputs!$F$190,0))/100),0)+IF(Time!AF$6&gt;=(DATE(YEAR(Inputs!$F$157)+Inputs!$F$165,1,1)-1),Inputs!$F$166/100*Inputs!$F$162*(1-(Inputs!$F$187*MIN(MAX(0,(Time!AF$6-(DATE(YEAR(Inputs!$F$157)+Inputs!$F$165,1,1)-1))/Inputs!$F$27),1)+Inputs!$F$188*MIN(MAX(MAX(0,(Time!AF$6-(DATE(YEAR(Inputs!$F$157)+Inputs!$F$165,1,1)-1))/Inputs!$F$27)-1,0),Inputs!$F$190-1)+Inputs!$F$189*MAX(MAX(0,(Time!AF$6-(DATE(YEAR(Inputs!$F$157)+Inputs!$F$165,1,1)-1))/Inputs!$F$27)-Inputs!$F$190,0))/100),0)</f>
        <v>28.9765479452055</v>
      </c>
      <c r="AG721" s="20" t="n">
        <f aca="false">IF(Time!AG$6&gt;=(DATE(YEAR(Inputs!$F$157)+Inputs!$F$164,1,1)-1),Inputs!$F$166/100*Inputs!$F$162*(1-(Inputs!$F$187*MIN(MAX(0,(Time!AG$6-(DATE(YEAR(Inputs!$F$157)+Inputs!$F$164,1,1)-1))/Inputs!$F$27),1)+Inputs!$F$188*MIN(MAX(MAX(0,(Time!AG$6-(DATE(YEAR(Inputs!$F$157)+Inputs!$F$164,1,1)-1))/Inputs!$F$27)-1,0),Inputs!$F$190-1)+Inputs!$F$189*MAX(MAX(0,(Time!AG$6-(DATE(YEAR(Inputs!$F$157)+Inputs!$F$164,1,1)-1))/Inputs!$F$27)-Inputs!$F$190,0))/100),0)+IF(Time!AG$6&gt;=(DATE(YEAR(Inputs!$F$157)+Inputs!$F$165,1,1)-1),Inputs!$F$166/100*Inputs!$F$162*(1-(Inputs!$F$187*MIN(MAX(0,(Time!AG$6-(DATE(YEAR(Inputs!$F$157)+Inputs!$F$165,1,1)-1))/Inputs!$F$27),1)+Inputs!$F$188*MIN(MAX(MAX(0,(Time!AG$6-(DATE(YEAR(Inputs!$F$157)+Inputs!$F$165,1,1)-1))/Inputs!$F$27)-1,0),Inputs!$F$190-1)+Inputs!$F$189*MAX(MAX(0,(Time!AG$6-(DATE(YEAR(Inputs!$F$157)+Inputs!$F$165,1,1)-1))/Inputs!$F$27)-Inputs!$F$190,0))/100),0)</f>
        <v>28.6165479452055</v>
      </c>
      <c r="AH721" s="20" t="n">
        <f aca="false">IF(Time!AH$6&gt;=(DATE(YEAR(Inputs!$F$157)+Inputs!$F$164,1,1)-1),Inputs!$F$166/100*Inputs!$F$162*(1-(Inputs!$F$187*MIN(MAX(0,(Time!AH$6-(DATE(YEAR(Inputs!$F$157)+Inputs!$F$164,1,1)-1))/Inputs!$F$27),1)+Inputs!$F$188*MIN(MAX(MAX(0,(Time!AH$6-(DATE(YEAR(Inputs!$F$157)+Inputs!$F$164,1,1)-1))/Inputs!$F$27)-1,0),Inputs!$F$190-1)+Inputs!$F$189*MAX(MAX(0,(Time!AH$6-(DATE(YEAR(Inputs!$F$157)+Inputs!$F$164,1,1)-1))/Inputs!$F$27)-Inputs!$F$190,0))/100),0)+IF(Time!AH$6&gt;=(DATE(YEAR(Inputs!$F$157)+Inputs!$F$165,1,1)-1),Inputs!$F$166/100*Inputs!$F$162*(1-(Inputs!$F$187*MIN(MAX(0,(Time!AH$6-(DATE(YEAR(Inputs!$F$157)+Inputs!$F$165,1,1)-1))/Inputs!$F$27),1)+Inputs!$F$188*MIN(MAX(MAX(0,(Time!AH$6-(DATE(YEAR(Inputs!$F$157)+Inputs!$F$165,1,1)-1))/Inputs!$F$27)-1,0),Inputs!$F$190-1)+Inputs!$F$189*MAX(MAX(0,(Time!AH$6-(DATE(YEAR(Inputs!$F$157)+Inputs!$F$165,1,1)-1))/Inputs!$F$27)-Inputs!$F$190,0))/100),0)</f>
        <v>28.2565479452055</v>
      </c>
      <c r="AI721" s="20" t="n">
        <f aca="false">IF(Time!AI$6&gt;=(DATE(YEAR(Inputs!$F$157)+Inputs!$F$164,1,1)-1),Inputs!$F$166/100*Inputs!$F$162*(1-(Inputs!$F$187*MIN(MAX(0,(Time!AI$6-(DATE(YEAR(Inputs!$F$157)+Inputs!$F$164,1,1)-1))/Inputs!$F$27),1)+Inputs!$F$188*MIN(MAX(MAX(0,(Time!AI$6-(DATE(YEAR(Inputs!$F$157)+Inputs!$F$164,1,1)-1))/Inputs!$F$27)-1,0),Inputs!$F$190-1)+Inputs!$F$189*MAX(MAX(0,(Time!AI$6-(DATE(YEAR(Inputs!$F$157)+Inputs!$F$164,1,1)-1))/Inputs!$F$27)-Inputs!$F$190,0))/100),0)+IF(Time!AI$6&gt;=(DATE(YEAR(Inputs!$F$157)+Inputs!$F$165,1,1)-1),Inputs!$F$166/100*Inputs!$F$162*(1-(Inputs!$F$187*MIN(MAX(0,(Time!AI$6-(DATE(YEAR(Inputs!$F$157)+Inputs!$F$165,1,1)-1))/Inputs!$F$27),1)+Inputs!$F$188*MIN(MAX(MAX(0,(Time!AI$6-(DATE(YEAR(Inputs!$F$157)+Inputs!$F$165,1,1)-1))/Inputs!$F$27)-1,0),Inputs!$F$190-1)+Inputs!$F$189*MAX(MAX(0,(Time!AI$6-(DATE(YEAR(Inputs!$F$157)+Inputs!$F$165,1,1)-1))/Inputs!$F$27)-Inputs!$F$190,0))/100),0)</f>
        <v>27.8965479452055</v>
      </c>
      <c r="AJ721" s="20" t="n">
        <f aca="false">IF(Time!AJ$6&gt;=(DATE(YEAR(Inputs!$F$157)+Inputs!$F$164,1,1)-1),Inputs!$F$166/100*Inputs!$F$162*(1-(Inputs!$F$187*MIN(MAX(0,(Time!AJ$6-(DATE(YEAR(Inputs!$F$157)+Inputs!$F$164,1,1)-1))/Inputs!$F$27),1)+Inputs!$F$188*MIN(MAX(MAX(0,(Time!AJ$6-(DATE(YEAR(Inputs!$F$157)+Inputs!$F$164,1,1)-1))/Inputs!$F$27)-1,0),Inputs!$F$190-1)+Inputs!$F$189*MAX(MAX(0,(Time!AJ$6-(DATE(YEAR(Inputs!$F$157)+Inputs!$F$164,1,1)-1))/Inputs!$F$27)-Inputs!$F$190,0))/100),0)+IF(Time!AJ$6&gt;=(DATE(YEAR(Inputs!$F$157)+Inputs!$F$165,1,1)-1),Inputs!$F$166/100*Inputs!$F$162*(1-(Inputs!$F$187*MIN(MAX(0,(Time!AJ$6-(DATE(YEAR(Inputs!$F$157)+Inputs!$F$165,1,1)-1))/Inputs!$F$27),1)+Inputs!$F$188*MIN(MAX(MAX(0,(Time!AJ$6-(DATE(YEAR(Inputs!$F$157)+Inputs!$F$165,1,1)-1))/Inputs!$F$27)-1,0),Inputs!$F$190-1)+Inputs!$F$189*MAX(MAX(0,(Time!AJ$6-(DATE(YEAR(Inputs!$F$157)+Inputs!$F$165,1,1)-1))/Inputs!$F$27)-Inputs!$F$190,0))/100),0)</f>
        <v>27.5355616438356</v>
      </c>
      <c r="AK721" s="20" t="n">
        <f aca="false">IF(Time!AK$6&gt;=(DATE(YEAR(Inputs!$F$157)+Inputs!$F$164,1,1)-1),Inputs!$F$166/100*Inputs!$F$162*(1-(Inputs!$F$187*MIN(MAX(0,(Time!AK$6-(DATE(YEAR(Inputs!$F$157)+Inputs!$F$164,1,1)-1))/Inputs!$F$27),1)+Inputs!$F$188*MIN(MAX(MAX(0,(Time!AK$6-(DATE(YEAR(Inputs!$F$157)+Inputs!$F$164,1,1)-1))/Inputs!$F$27)-1,0),Inputs!$F$190-1)+Inputs!$F$189*MAX(MAX(0,(Time!AK$6-(DATE(YEAR(Inputs!$F$157)+Inputs!$F$164,1,1)-1))/Inputs!$F$27)-Inputs!$F$190,0))/100),0)+IF(Time!AK$6&gt;=(DATE(YEAR(Inputs!$F$157)+Inputs!$F$165,1,1)-1),Inputs!$F$166/100*Inputs!$F$162*(1-(Inputs!$F$187*MIN(MAX(0,(Time!AK$6-(DATE(YEAR(Inputs!$F$157)+Inputs!$F$165,1,1)-1))/Inputs!$F$27),1)+Inputs!$F$188*MIN(MAX(MAX(0,(Time!AK$6-(DATE(YEAR(Inputs!$F$157)+Inputs!$F$165,1,1)-1))/Inputs!$F$27)-1,0),Inputs!$F$190-1)+Inputs!$F$189*MAX(MAX(0,(Time!AK$6-(DATE(YEAR(Inputs!$F$157)+Inputs!$F$165,1,1)-1))/Inputs!$F$27)-Inputs!$F$190,0))/100),0)</f>
        <v>27.1755616438356</v>
      </c>
      <c r="AL721" s="20" t="n">
        <f aca="false">IF(Time!AL$6&gt;=(DATE(YEAR(Inputs!$F$157)+Inputs!$F$164,1,1)-1),Inputs!$F$166/100*Inputs!$F$162*(1-(Inputs!$F$187*MIN(MAX(0,(Time!AL$6-(DATE(YEAR(Inputs!$F$157)+Inputs!$F$164,1,1)-1))/Inputs!$F$27),1)+Inputs!$F$188*MIN(MAX(MAX(0,(Time!AL$6-(DATE(YEAR(Inputs!$F$157)+Inputs!$F$164,1,1)-1))/Inputs!$F$27)-1,0),Inputs!$F$190-1)+Inputs!$F$189*MAX(MAX(0,(Time!AL$6-(DATE(YEAR(Inputs!$F$157)+Inputs!$F$164,1,1)-1))/Inputs!$F$27)-Inputs!$F$190,0))/100),0)+IF(Time!AL$6&gt;=(DATE(YEAR(Inputs!$F$157)+Inputs!$F$165,1,1)-1),Inputs!$F$166/100*Inputs!$F$162*(1-(Inputs!$F$187*MIN(MAX(0,(Time!AL$6-(DATE(YEAR(Inputs!$F$157)+Inputs!$F$165,1,1)-1))/Inputs!$F$27),1)+Inputs!$F$188*MIN(MAX(MAX(0,(Time!AL$6-(DATE(YEAR(Inputs!$F$157)+Inputs!$F$165,1,1)-1))/Inputs!$F$27)-1,0),Inputs!$F$190-1)+Inputs!$F$189*MAX(MAX(0,(Time!AL$6-(DATE(YEAR(Inputs!$F$157)+Inputs!$F$165,1,1)-1))/Inputs!$F$27)-Inputs!$F$190,0))/100),0)</f>
        <v>26.8155616438356</v>
      </c>
      <c r="AM721" s="20" t="n">
        <f aca="false">IF(Time!AM$6&gt;=(DATE(YEAR(Inputs!$F$157)+Inputs!$F$164,1,1)-1),Inputs!$F$166/100*Inputs!$F$162*(1-(Inputs!$F$187*MIN(MAX(0,(Time!AM$6-(DATE(YEAR(Inputs!$F$157)+Inputs!$F$164,1,1)-1))/Inputs!$F$27),1)+Inputs!$F$188*MIN(MAX(MAX(0,(Time!AM$6-(DATE(YEAR(Inputs!$F$157)+Inputs!$F$164,1,1)-1))/Inputs!$F$27)-1,0),Inputs!$F$190-1)+Inputs!$F$189*MAX(MAX(0,(Time!AM$6-(DATE(YEAR(Inputs!$F$157)+Inputs!$F$164,1,1)-1))/Inputs!$F$27)-Inputs!$F$190,0))/100),0)+IF(Time!AM$6&gt;=(DATE(YEAR(Inputs!$F$157)+Inputs!$F$165,1,1)-1),Inputs!$F$166/100*Inputs!$F$162*(1-(Inputs!$F$187*MIN(MAX(0,(Time!AM$6-(DATE(YEAR(Inputs!$F$157)+Inputs!$F$165,1,1)-1))/Inputs!$F$27),1)+Inputs!$F$188*MIN(MAX(MAX(0,(Time!AM$6-(DATE(YEAR(Inputs!$F$157)+Inputs!$F$165,1,1)-1))/Inputs!$F$27)-1,0),Inputs!$F$190-1)+Inputs!$F$189*MAX(MAX(0,(Time!AM$6-(DATE(YEAR(Inputs!$F$157)+Inputs!$F$165,1,1)-1))/Inputs!$F$27)-Inputs!$F$190,0))/100),0)</f>
        <v>26.4555616438356</v>
      </c>
      <c r="AN721" s="20" t="n">
        <f aca="false">IF(Time!AN$6&gt;=(DATE(YEAR(Inputs!$F$157)+Inputs!$F$164,1,1)-1),Inputs!$F$166/100*Inputs!$F$162*(1-(Inputs!$F$187*MIN(MAX(0,(Time!AN$6-(DATE(YEAR(Inputs!$F$157)+Inputs!$F$164,1,1)-1))/Inputs!$F$27),1)+Inputs!$F$188*MIN(MAX(MAX(0,(Time!AN$6-(DATE(YEAR(Inputs!$F$157)+Inputs!$F$164,1,1)-1))/Inputs!$F$27)-1,0),Inputs!$F$190-1)+Inputs!$F$189*MAX(MAX(0,(Time!AN$6-(DATE(YEAR(Inputs!$F$157)+Inputs!$F$164,1,1)-1))/Inputs!$F$27)-Inputs!$F$190,0))/100),0)+IF(Time!AN$6&gt;=(DATE(YEAR(Inputs!$F$157)+Inputs!$F$165,1,1)-1),Inputs!$F$166/100*Inputs!$F$162*(1-(Inputs!$F$187*MIN(MAX(0,(Time!AN$6-(DATE(YEAR(Inputs!$F$157)+Inputs!$F$165,1,1)-1))/Inputs!$F$27),1)+Inputs!$F$188*MIN(MAX(MAX(0,(Time!AN$6-(DATE(YEAR(Inputs!$F$157)+Inputs!$F$165,1,1)-1))/Inputs!$F$27)-1,0),Inputs!$F$190-1)+Inputs!$F$189*MAX(MAX(0,(Time!AN$6-(DATE(YEAR(Inputs!$F$157)+Inputs!$F$165,1,1)-1))/Inputs!$F$27)-Inputs!$F$190,0))/100),0)</f>
        <v>26.0945753424658</v>
      </c>
      <c r="AO721" s="20" t="n">
        <f aca="false">IF(Time!AO$6&gt;=(DATE(YEAR(Inputs!$F$157)+Inputs!$F$164,1,1)-1),Inputs!$F$166/100*Inputs!$F$162*(1-(Inputs!$F$187*MIN(MAX(0,(Time!AO$6-(DATE(YEAR(Inputs!$F$157)+Inputs!$F$164,1,1)-1))/Inputs!$F$27),1)+Inputs!$F$188*MIN(MAX(MAX(0,(Time!AO$6-(DATE(YEAR(Inputs!$F$157)+Inputs!$F$164,1,1)-1))/Inputs!$F$27)-1,0),Inputs!$F$190-1)+Inputs!$F$189*MAX(MAX(0,(Time!AO$6-(DATE(YEAR(Inputs!$F$157)+Inputs!$F$164,1,1)-1))/Inputs!$F$27)-Inputs!$F$190,0))/100),0)+IF(Time!AO$6&gt;=(DATE(YEAR(Inputs!$F$157)+Inputs!$F$165,1,1)-1),Inputs!$F$166/100*Inputs!$F$162*(1-(Inputs!$F$187*MIN(MAX(0,(Time!AO$6-(DATE(YEAR(Inputs!$F$157)+Inputs!$F$165,1,1)-1))/Inputs!$F$27),1)+Inputs!$F$188*MIN(MAX(MAX(0,(Time!AO$6-(DATE(YEAR(Inputs!$F$157)+Inputs!$F$165,1,1)-1))/Inputs!$F$27)-1,0),Inputs!$F$190-1)+Inputs!$F$189*MAX(MAX(0,(Time!AO$6-(DATE(YEAR(Inputs!$F$157)+Inputs!$F$165,1,1)-1))/Inputs!$F$27)-Inputs!$F$190,0))/100),0)</f>
        <v>25.7345753424658</v>
      </c>
      <c r="AP721" s="20" t="n">
        <f aca="false">IF(Time!AP$6&gt;=(DATE(YEAR(Inputs!$F$157)+Inputs!$F$164,1,1)-1),Inputs!$F$166/100*Inputs!$F$162*(1-(Inputs!$F$187*MIN(MAX(0,(Time!AP$6-(DATE(YEAR(Inputs!$F$157)+Inputs!$F$164,1,1)-1))/Inputs!$F$27),1)+Inputs!$F$188*MIN(MAX(MAX(0,(Time!AP$6-(DATE(YEAR(Inputs!$F$157)+Inputs!$F$164,1,1)-1))/Inputs!$F$27)-1,0),Inputs!$F$190-1)+Inputs!$F$189*MAX(MAX(0,(Time!AP$6-(DATE(YEAR(Inputs!$F$157)+Inputs!$F$164,1,1)-1))/Inputs!$F$27)-Inputs!$F$190,0))/100),0)+IF(Time!AP$6&gt;=(DATE(YEAR(Inputs!$F$157)+Inputs!$F$165,1,1)-1),Inputs!$F$166/100*Inputs!$F$162*(1-(Inputs!$F$187*MIN(MAX(0,(Time!AP$6-(DATE(YEAR(Inputs!$F$157)+Inputs!$F$165,1,1)-1))/Inputs!$F$27),1)+Inputs!$F$188*MIN(MAX(MAX(0,(Time!AP$6-(DATE(YEAR(Inputs!$F$157)+Inputs!$F$165,1,1)-1))/Inputs!$F$27)-1,0),Inputs!$F$190-1)+Inputs!$F$189*MAX(MAX(0,(Time!AP$6-(DATE(YEAR(Inputs!$F$157)+Inputs!$F$165,1,1)-1))/Inputs!$F$27)-Inputs!$F$190,0))/100),0)</f>
        <v>25.3745753424658</v>
      </c>
      <c r="AQ721" s="20" t="n">
        <f aca="false">IF(Time!AQ$6&gt;=(DATE(YEAR(Inputs!$F$157)+Inputs!$F$164,1,1)-1),Inputs!$F$166/100*Inputs!$F$162*(1-(Inputs!$F$187*MIN(MAX(0,(Time!AQ$6-(DATE(YEAR(Inputs!$F$157)+Inputs!$F$164,1,1)-1))/Inputs!$F$27),1)+Inputs!$F$188*MIN(MAX(MAX(0,(Time!AQ$6-(DATE(YEAR(Inputs!$F$157)+Inputs!$F$164,1,1)-1))/Inputs!$F$27)-1,0),Inputs!$F$190-1)+Inputs!$F$189*MAX(MAX(0,(Time!AQ$6-(DATE(YEAR(Inputs!$F$157)+Inputs!$F$164,1,1)-1))/Inputs!$F$27)-Inputs!$F$190,0))/100),0)+IF(Time!AQ$6&gt;=(DATE(YEAR(Inputs!$F$157)+Inputs!$F$165,1,1)-1),Inputs!$F$166/100*Inputs!$F$162*(1-(Inputs!$F$187*MIN(MAX(0,(Time!AQ$6-(DATE(YEAR(Inputs!$F$157)+Inputs!$F$165,1,1)-1))/Inputs!$F$27),1)+Inputs!$F$188*MIN(MAX(MAX(0,(Time!AQ$6-(DATE(YEAR(Inputs!$F$157)+Inputs!$F$165,1,1)-1))/Inputs!$F$27)-1,0),Inputs!$F$190-1)+Inputs!$F$189*MAX(MAX(0,(Time!AQ$6-(DATE(YEAR(Inputs!$F$157)+Inputs!$F$165,1,1)-1))/Inputs!$F$27)-Inputs!$F$190,0))/100),0)</f>
        <v>25.0145753424658</v>
      </c>
      <c r="AR721" s="20" t="n">
        <f aca="false">IF(Time!AR$6&gt;=(DATE(YEAR(Inputs!$F$157)+Inputs!$F$164,1,1)-1),Inputs!$F$166/100*Inputs!$F$162*(1-(Inputs!$F$187*MIN(MAX(0,(Time!AR$6-(DATE(YEAR(Inputs!$F$157)+Inputs!$F$164,1,1)-1))/Inputs!$F$27),1)+Inputs!$F$188*MIN(MAX(MAX(0,(Time!AR$6-(DATE(YEAR(Inputs!$F$157)+Inputs!$F$164,1,1)-1))/Inputs!$F$27)-1,0),Inputs!$F$190-1)+Inputs!$F$189*MAX(MAX(0,(Time!AR$6-(DATE(YEAR(Inputs!$F$157)+Inputs!$F$164,1,1)-1))/Inputs!$F$27)-Inputs!$F$190,0))/100),0)+IF(Time!AR$6&gt;=(DATE(YEAR(Inputs!$F$157)+Inputs!$F$165,1,1)-1),Inputs!$F$166/100*Inputs!$F$162*(1-(Inputs!$F$187*MIN(MAX(0,(Time!AR$6-(DATE(YEAR(Inputs!$F$157)+Inputs!$F$165,1,1)-1))/Inputs!$F$27),1)+Inputs!$F$188*MIN(MAX(MAX(0,(Time!AR$6-(DATE(YEAR(Inputs!$F$157)+Inputs!$F$165,1,1)-1))/Inputs!$F$27)-1,0),Inputs!$F$190-1)+Inputs!$F$189*MAX(MAX(0,(Time!AR$6-(DATE(YEAR(Inputs!$F$157)+Inputs!$F$165,1,1)-1))/Inputs!$F$27)-Inputs!$F$190,0))/100),0)</f>
        <v>24.6535890410959</v>
      </c>
      <c r="AS721" s="20" t="n">
        <f aca="false">IF(Time!AS$6&gt;=(DATE(YEAR(Inputs!$F$157)+Inputs!$F$164,1,1)-1),Inputs!$F$166/100*Inputs!$F$162*(1-(Inputs!$F$187*MIN(MAX(0,(Time!AS$6-(DATE(YEAR(Inputs!$F$157)+Inputs!$F$164,1,1)-1))/Inputs!$F$27),1)+Inputs!$F$188*MIN(MAX(MAX(0,(Time!AS$6-(DATE(YEAR(Inputs!$F$157)+Inputs!$F$164,1,1)-1))/Inputs!$F$27)-1,0),Inputs!$F$190-1)+Inputs!$F$189*MAX(MAX(0,(Time!AS$6-(DATE(YEAR(Inputs!$F$157)+Inputs!$F$164,1,1)-1))/Inputs!$F$27)-Inputs!$F$190,0))/100),0)+IF(Time!AS$6&gt;=(DATE(YEAR(Inputs!$F$157)+Inputs!$F$165,1,1)-1),Inputs!$F$166/100*Inputs!$F$162*(1-(Inputs!$F$187*MIN(MAX(0,(Time!AS$6-(DATE(YEAR(Inputs!$F$157)+Inputs!$F$165,1,1)-1))/Inputs!$F$27),1)+Inputs!$F$188*MIN(MAX(MAX(0,(Time!AS$6-(DATE(YEAR(Inputs!$F$157)+Inputs!$F$165,1,1)-1))/Inputs!$F$27)-1,0),Inputs!$F$190-1)+Inputs!$F$189*MAX(MAX(0,(Time!AS$6-(DATE(YEAR(Inputs!$F$157)+Inputs!$F$165,1,1)-1))/Inputs!$F$27)-Inputs!$F$190,0))/100),0)</f>
        <v>24.2935890410959</v>
      </c>
      <c r="AT721" s="20" t="n">
        <f aca="false">IF(Time!AT$6&gt;=(DATE(YEAR(Inputs!$F$157)+Inputs!$F$164,1,1)-1),Inputs!$F$166/100*Inputs!$F$162*(1-(Inputs!$F$187*MIN(MAX(0,(Time!AT$6-(DATE(YEAR(Inputs!$F$157)+Inputs!$F$164,1,1)-1))/Inputs!$F$27),1)+Inputs!$F$188*MIN(MAX(MAX(0,(Time!AT$6-(DATE(YEAR(Inputs!$F$157)+Inputs!$F$164,1,1)-1))/Inputs!$F$27)-1,0),Inputs!$F$190-1)+Inputs!$F$189*MAX(MAX(0,(Time!AT$6-(DATE(YEAR(Inputs!$F$157)+Inputs!$F$164,1,1)-1))/Inputs!$F$27)-Inputs!$F$190,0))/100),0)+IF(Time!AT$6&gt;=(DATE(YEAR(Inputs!$F$157)+Inputs!$F$165,1,1)-1),Inputs!$F$166/100*Inputs!$F$162*(1-(Inputs!$F$187*MIN(MAX(0,(Time!AT$6-(DATE(YEAR(Inputs!$F$157)+Inputs!$F$165,1,1)-1))/Inputs!$F$27),1)+Inputs!$F$188*MIN(MAX(MAX(0,(Time!AT$6-(DATE(YEAR(Inputs!$F$157)+Inputs!$F$165,1,1)-1))/Inputs!$F$27)-1,0),Inputs!$F$190-1)+Inputs!$F$189*MAX(MAX(0,(Time!AT$6-(DATE(YEAR(Inputs!$F$157)+Inputs!$F$165,1,1)-1))/Inputs!$F$27)-Inputs!$F$190,0))/100),0)</f>
        <v>23.9335890410959</v>
      </c>
      <c r="AU721" s="20" t="n">
        <f aca="false">IF(Time!AU$6&gt;=(DATE(YEAR(Inputs!$F$157)+Inputs!$F$164,1,1)-1),Inputs!$F$166/100*Inputs!$F$162*(1-(Inputs!$F$187*MIN(MAX(0,(Time!AU$6-(DATE(YEAR(Inputs!$F$157)+Inputs!$F$164,1,1)-1))/Inputs!$F$27),1)+Inputs!$F$188*MIN(MAX(MAX(0,(Time!AU$6-(DATE(YEAR(Inputs!$F$157)+Inputs!$F$164,1,1)-1))/Inputs!$F$27)-1,0),Inputs!$F$190-1)+Inputs!$F$189*MAX(MAX(0,(Time!AU$6-(DATE(YEAR(Inputs!$F$157)+Inputs!$F$164,1,1)-1))/Inputs!$F$27)-Inputs!$F$190,0))/100),0)+IF(Time!AU$6&gt;=(DATE(YEAR(Inputs!$F$157)+Inputs!$F$165,1,1)-1),Inputs!$F$166/100*Inputs!$F$162*(1-(Inputs!$F$187*MIN(MAX(0,(Time!AU$6-(DATE(YEAR(Inputs!$F$157)+Inputs!$F$165,1,1)-1))/Inputs!$F$27),1)+Inputs!$F$188*MIN(MAX(MAX(0,(Time!AU$6-(DATE(YEAR(Inputs!$F$157)+Inputs!$F$165,1,1)-1))/Inputs!$F$27)-1,0),Inputs!$F$190-1)+Inputs!$F$189*MAX(MAX(0,(Time!AU$6-(DATE(YEAR(Inputs!$F$157)+Inputs!$F$165,1,1)-1))/Inputs!$F$27)-Inputs!$F$190,0))/100),0)</f>
        <v>23.5735890410959</v>
      </c>
    </row>
    <row r="722" customFormat="false" ht="15" hidden="false" customHeight="false" outlineLevel="0" collapsed="false">
      <c r="D722" s="0" t="s">
        <v>722</v>
      </c>
      <c r="E722" s="0" t="s">
        <v>176</v>
      </c>
      <c r="J722" s="20" t="n">
        <f aca="false">Operations!J720+Operations!J721</f>
        <v>324</v>
      </c>
      <c r="K722" s="20" t="n">
        <f aca="false">Operations!K720+Operations!K721</f>
        <v>324</v>
      </c>
      <c r="L722" s="20" t="n">
        <f aca="false">Operations!L720+Operations!L721</f>
        <v>319.153315068493</v>
      </c>
      <c r="M722" s="20" t="n">
        <f aca="false">Operations!M720+Operations!M721</f>
        <v>313.88498630137</v>
      </c>
      <c r="N722" s="20" t="n">
        <f aca="false">Operations!N720+Operations!N721</f>
        <v>309.02498630137</v>
      </c>
      <c r="O722" s="20" t="n">
        <f aca="false">Operations!O720+Operations!O721</f>
        <v>304.16498630137</v>
      </c>
      <c r="P722" s="20" t="n">
        <f aca="false">Operations!P720+Operations!P721</f>
        <v>317.291671232877</v>
      </c>
      <c r="Q722" s="20" t="n">
        <f aca="false">Operations!Q720+Operations!Q721</f>
        <v>312.071671232877</v>
      </c>
      <c r="R722" s="20" t="n">
        <f aca="false">Operations!R720+Operations!R721</f>
        <v>306.941671232877</v>
      </c>
      <c r="S722" s="20" t="n">
        <f aca="false">Operations!S720+Operations!S721</f>
        <v>301.811671232877</v>
      </c>
      <c r="T722" s="20" t="n">
        <f aca="false">Operations!T720+Operations!T721</f>
        <v>314.667616438356</v>
      </c>
      <c r="U722" s="20" t="n">
        <f aca="false">Operations!U720+Operations!U721</f>
        <v>309.177616438356</v>
      </c>
      <c r="V722" s="20" t="n">
        <f aca="false">Operations!V720+Operations!V721</f>
        <v>304.998164383562</v>
      </c>
      <c r="W722" s="20" t="n">
        <f aca="false">Operations!W720+Operations!W721</f>
        <v>301.218164383562</v>
      </c>
      <c r="X722" s="20" t="n">
        <f aca="false">Operations!X720+Operations!X721</f>
        <v>297.427808219178</v>
      </c>
      <c r="Y722" s="20" t="n">
        <f aca="false">Operations!Y720+Operations!Y721</f>
        <v>293.647808219178</v>
      </c>
      <c r="Z722" s="20" t="n">
        <f aca="false">Operations!Z720+Operations!Z721</f>
        <v>289.868301369863</v>
      </c>
      <c r="AA722" s="20" t="n">
        <f aca="false">Operations!AA720+Operations!AA721</f>
        <v>286.178301369863</v>
      </c>
      <c r="AB722" s="20" t="n">
        <f aca="false">Operations!AB720+Operations!AB721</f>
        <v>282.478191780822</v>
      </c>
      <c r="AC722" s="20" t="n">
        <f aca="false">Operations!AC720+Operations!AC721</f>
        <v>278.788191780822</v>
      </c>
      <c r="AD722" s="20" t="n">
        <f aca="false">Operations!AD720+Operations!AD721</f>
        <v>275.098684931507</v>
      </c>
      <c r="AE722" s="20" t="n">
        <f aca="false">Operations!AE720+Operations!AE721</f>
        <v>271.498684931507</v>
      </c>
      <c r="AF722" s="20" t="n">
        <f aca="false">Operations!AF720+Operations!AF721</f>
        <v>267.888821917808</v>
      </c>
      <c r="AG722" s="20" t="n">
        <f aca="false">Operations!AG720+Operations!AG721</f>
        <v>264.288821917808</v>
      </c>
      <c r="AH722" s="20" t="n">
        <f aca="false">Operations!AH720+Operations!AH721</f>
        <v>260.688821917808</v>
      </c>
      <c r="AI722" s="20" t="n">
        <f aca="false">Operations!AI720+Operations!AI721</f>
        <v>257.088821917808</v>
      </c>
      <c r="AJ722" s="20" t="n">
        <f aca="false">Operations!AJ720+Operations!AJ721</f>
        <v>253.47895890411</v>
      </c>
      <c r="AK722" s="20" t="n">
        <f aca="false">Operations!AK720+Operations!AK721</f>
        <v>249.87895890411</v>
      </c>
      <c r="AL722" s="20" t="n">
        <f aca="false">Operations!AL720+Operations!AL721</f>
        <v>246.27895890411</v>
      </c>
      <c r="AM722" s="20" t="n">
        <f aca="false">Operations!AM720+Operations!AM721</f>
        <v>242.67895890411</v>
      </c>
      <c r="AN722" s="20" t="n">
        <f aca="false">Operations!AN720+Operations!AN721</f>
        <v>239.069095890411</v>
      </c>
      <c r="AO722" s="20" t="n">
        <f aca="false">Operations!AO720+Operations!AO721</f>
        <v>235.469095890411</v>
      </c>
      <c r="AP722" s="20" t="n">
        <f aca="false">Operations!AP720+Operations!AP721</f>
        <v>231.869095890411</v>
      </c>
      <c r="AQ722" s="20" t="n">
        <f aca="false">Operations!AQ720+Operations!AQ721</f>
        <v>228.269095890411</v>
      </c>
      <c r="AR722" s="20" t="n">
        <f aca="false">Operations!AR720+Operations!AR721</f>
        <v>224.659232876712</v>
      </c>
      <c r="AS722" s="20" t="n">
        <f aca="false">Operations!AS720+Operations!AS721</f>
        <v>221.059232876712</v>
      </c>
      <c r="AT722" s="20" t="n">
        <f aca="false">Operations!AT720+Operations!AT721</f>
        <v>217.459232876712</v>
      </c>
      <c r="AU722" s="20" t="n">
        <f aca="false">Operations!AU720+Operations!AU721</f>
        <v>213.859232876712</v>
      </c>
    </row>
    <row r="723" customFormat="false" ht="15" hidden="false" customHeight="false" outlineLevel="0" collapsed="false">
      <c r="D723" s="0" t="s">
        <v>723</v>
      </c>
      <c r="E723" s="0" t="s">
        <v>176</v>
      </c>
      <c r="J723" s="20" t="n">
        <f aca="false">(Operations!J719+Operations!J722)/2</f>
        <v>324</v>
      </c>
      <c r="K723" s="20" t="n">
        <f aca="false">(Operations!K719+Operations!K722)/2</f>
        <v>324</v>
      </c>
      <c r="L723" s="20" t="n">
        <f aca="false">(Operations!L719+Operations!L722)/2</f>
        <v>321.576657534247</v>
      </c>
      <c r="M723" s="20" t="n">
        <f aca="false">(Operations!M719+Operations!M722)/2</f>
        <v>316.519150684932</v>
      </c>
      <c r="N723" s="20" t="n">
        <f aca="false">(Operations!N719+Operations!N722)/2</f>
        <v>311.45498630137</v>
      </c>
      <c r="O723" s="20" t="n">
        <f aca="false">(Operations!O719+Operations!O722)/2</f>
        <v>306.59498630137</v>
      </c>
      <c r="P723" s="20" t="n">
        <f aca="false">(Operations!P719+Operations!P722)/2</f>
        <v>310.728328767123</v>
      </c>
      <c r="Q723" s="20" t="n">
        <f aca="false">(Operations!Q719+Operations!Q722)/2</f>
        <v>314.681671232877</v>
      </c>
      <c r="R723" s="20" t="n">
        <f aca="false">(Operations!R719+Operations!R722)/2</f>
        <v>309.506671232877</v>
      </c>
      <c r="S723" s="20" t="n">
        <f aca="false">(Operations!S719+Operations!S722)/2</f>
        <v>304.376671232877</v>
      </c>
      <c r="T723" s="20" t="n">
        <f aca="false">(Operations!T719+Operations!T722)/2</f>
        <v>308.239643835616</v>
      </c>
      <c r="U723" s="20" t="n">
        <f aca="false">(Operations!U719+Operations!U722)/2</f>
        <v>311.922616438356</v>
      </c>
      <c r="V723" s="20" t="n">
        <f aca="false">(Operations!V719+Operations!V722)/2</f>
        <v>307.087890410959</v>
      </c>
      <c r="W723" s="20" t="n">
        <f aca="false">(Operations!W719+Operations!W722)/2</f>
        <v>303.108164383562</v>
      </c>
      <c r="X723" s="20" t="n">
        <f aca="false">(Operations!X719+Operations!X722)/2</f>
        <v>299.32298630137</v>
      </c>
      <c r="Y723" s="20" t="n">
        <f aca="false">(Operations!Y719+Operations!Y722)/2</f>
        <v>295.537808219178</v>
      </c>
      <c r="Z723" s="20" t="n">
        <f aca="false">(Operations!Z719+Operations!Z722)/2</f>
        <v>291.758054794521</v>
      </c>
      <c r="AA723" s="20" t="n">
        <f aca="false">(Operations!AA719+Operations!AA722)/2</f>
        <v>288.023301369863</v>
      </c>
      <c r="AB723" s="20" t="n">
        <f aca="false">(Operations!AB719+Operations!AB722)/2</f>
        <v>284.328246575343</v>
      </c>
      <c r="AC723" s="20" t="n">
        <f aca="false">(Operations!AC719+Operations!AC722)/2</f>
        <v>280.633191780822</v>
      </c>
      <c r="AD723" s="20" t="n">
        <f aca="false">(Operations!AD719+Operations!AD722)/2</f>
        <v>276.943438356164</v>
      </c>
      <c r="AE723" s="20" t="n">
        <f aca="false">(Operations!AE719+Operations!AE722)/2</f>
        <v>273.298684931507</v>
      </c>
      <c r="AF723" s="20" t="n">
        <f aca="false">(Operations!AF719+Operations!AF722)/2</f>
        <v>269.693753424658</v>
      </c>
      <c r="AG723" s="20" t="n">
        <f aca="false">(Operations!AG719+Operations!AG722)/2</f>
        <v>266.088821917808</v>
      </c>
      <c r="AH723" s="20" t="n">
        <f aca="false">(Operations!AH719+Operations!AH722)/2</f>
        <v>262.488821917808</v>
      </c>
      <c r="AI723" s="20" t="n">
        <f aca="false">(Operations!AI719+Operations!AI722)/2</f>
        <v>258.888821917808</v>
      </c>
      <c r="AJ723" s="20" t="n">
        <f aca="false">(Operations!AJ719+Operations!AJ722)/2</f>
        <v>255.283890410959</v>
      </c>
      <c r="AK723" s="20" t="n">
        <f aca="false">(Operations!AK719+Operations!AK722)/2</f>
        <v>251.67895890411</v>
      </c>
      <c r="AL723" s="20" t="n">
        <f aca="false">(Operations!AL719+Operations!AL722)/2</f>
        <v>248.07895890411</v>
      </c>
      <c r="AM723" s="20" t="n">
        <f aca="false">(Operations!AM719+Operations!AM722)/2</f>
        <v>244.47895890411</v>
      </c>
      <c r="AN723" s="20" t="n">
        <f aca="false">(Operations!AN719+Operations!AN722)/2</f>
        <v>240.87402739726</v>
      </c>
      <c r="AO723" s="20" t="n">
        <f aca="false">(Operations!AO719+Operations!AO722)/2</f>
        <v>237.269095890411</v>
      </c>
      <c r="AP723" s="20" t="n">
        <f aca="false">(Operations!AP719+Operations!AP722)/2</f>
        <v>233.669095890411</v>
      </c>
      <c r="AQ723" s="20" t="n">
        <f aca="false">(Operations!AQ719+Operations!AQ722)/2</f>
        <v>230.069095890411</v>
      </c>
      <c r="AR723" s="20" t="n">
        <f aca="false">(Operations!AR719+Operations!AR722)/2</f>
        <v>226.464164383562</v>
      </c>
      <c r="AS723" s="20" t="n">
        <f aca="false">(Operations!AS719+Operations!AS722)/2</f>
        <v>222.859232876712</v>
      </c>
      <c r="AT723" s="20" t="n">
        <f aca="false">(Operations!AT719+Operations!AT722)/2</f>
        <v>219.259232876712</v>
      </c>
      <c r="AU723" s="20" t="n">
        <f aca="false">(Operations!AU719+Operations!AU722)/2</f>
        <v>215.659232876712</v>
      </c>
    </row>
    <row r="724" customFormat="false" ht="15" hidden="false" customHeight="false" outlineLevel="0" collapsed="false">
      <c r="D724" s="0" t="s">
        <v>724</v>
      </c>
      <c r="E724" s="0" t="s">
        <v>27</v>
      </c>
      <c r="J724" s="14" t="n">
        <f aca="false">MIN(1,Operations!J723/Inputs!$F$162)</f>
        <v>1</v>
      </c>
      <c r="K724" s="14" t="n">
        <f aca="false">MIN(1,Operations!K723/Inputs!$F$162)</f>
        <v>1</v>
      </c>
      <c r="L724" s="14" t="n">
        <f aca="false">MIN(1,Operations!L723/Inputs!$F$162)</f>
        <v>1</v>
      </c>
      <c r="M724" s="14" t="n">
        <f aca="false">MIN(1,Operations!M723/Inputs!$F$162)</f>
        <v>1</v>
      </c>
      <c r="N724" s="14" t="n">
        <f aca="false">MIN(1,Operations!N723/Inputs!$F$162)</f>
        <v>1</v>
      </c>
      <c r="O724" s="14" t="n">
        <f aca="false">MIN(1,Operations!O723/Inputs!$F$162)</f>
        <v>1</v>
      </c>
      <c r="P724" s="14" t="n">
        <f aca="false">MIN(1,Operations!P723/Inputs!$F$162)</f>
        <v>1</v>
      </c>
      <c r="Q724" s="14" t="n">
        <f aca="false">MIN(1,Operations!Q723/Inputs!$F$162)</f>
        <v>1</v>
      </c>
      <c r="R724" s="14" t="n">
        <f aca="false">MIN(1,Operations!R723/Inputs!$F$162)</f>
        <v>1</v>
      </c>
      <c r="S724" s="14" t="n">
        <f aca="false">MIN(1,Operations!S723/Inputs!$F$162)</f>
        <v>1</v>
      </c>
      <c r="T724" s="14" t="n">
        <f aca="false">MIN(1,Operations!T723/Inputs!$F$162)</f>
        <v>1</v>
      </c>
      <c r="U724" s="14" t="n">
        <f aca="false">MIN(1,Operations!U723/Inputs!$F$162)</f>
        <v>1</v>
      </c>
      <c r="V724" s="14" t="n">
        <f aca="false">MIN(1,Operations!V723/Inputs!$F$162)</f>
        <v>1</v>
      </c>
      <c r="W724" s="14" t="n">
        <f aca="false">MIN(1,Operations!W723/Inputs!$F$162)</f>
        <v>1</v>
      </c>
      <c r="X724" s="14" t="n">
        <f aca="false">MIN(1,Operations!X723/Inputs!$F$162)</f>
        <v>0.997743287671233</v>
      </c>
      <c r="Y724" s="14" t="n">
        <f aca="false">MIN(1,Operations!Y723/Inputs!$F$162)</f>
        <v>0.98512602739726</v>
      </c>
      <c r="Z724" s="14" t="n">
        <f aca="false">MIN(1,Operations!Z723/Inputs!$F$162)</f>
        <v>0.972526849315069</v>
      </c>
      <c r="AA724" s="14" t="n">
        <f aca="false">MIN(1,Operations!AA723/Inputs!$F$162)</f>
        <v>0.960077671232877</v>
      </c>
      <c r="AB724" s="14" t="n">
        <f aca="false">MIN(1,Operations!AB723/Inputs!$F$162)</f>
        <v>0.947760821917808</v>
      </c>
      <c r="AC724" s="14" t="n">
        <f aca="false">MIN(1,Operations!AC723/Inputs!$F$162)</f>
        <v>0.93544397260274</v>
      </c>
      <c r="AD724" s="14" t="n">
        <f aca="false">MIN(1,Operations!AD723/Inputs!$F$162)</f>
        <v>0.923144794520548</v>
      </c>
      <c r="AE724" s="14" t="n">
        <f aca="false">MIN(1,Operations!AE723/Inputs!$F$162)</f>
        <v>0.910995616438356</v>
      </c>
      <c r="AF724" s="14" t="n">
        <f aca="false">MIN(1,Operations!AF723/Inputs!$F$162)</f>
        <v>0.898979178082192</v>
      </c>
      <c r="AG724" s="14" t="n">
        <f aca="false">MIN(1,Operations!AG723/Inputs!$F$162)</f>
        <v>0.886962739726027</v>
      </c>
      <c r="AH724" s="14" t="n">
        <f aca="false">MIN(1,Operations!AH723/Inputs!$F$162)</f>
        <v>0.874962739726027</v>
      </c>
      <c r="AI724" s="14" t="n">
        <f aca="false">MIN(1,Operations!AI723/Inputs!$F$162)</f>
        <v>0.862962739726027</v>
      </c>
      <c r="AJ724" s="14" t="n">
        <f aca="false">MIN(1,Operations!AJ723/Inputs!$F$162)</f>
        <v>0.850946301369863</v>
      </c>
      <c r="AK724" s="14" t="n">
        <f aca="false">MIN(1,Operations!AK723/Inputs!$F$162)</f>
        <v>0.838929863013699</v>
      </c>
      <c r="AL724" s="14" t="n">
        <f aca="false">MIN(1,Operations!AL723/Inputs!$F$162)</f>
        <v>0.826929863013699</v>
      </c>
      <c r="AM724" s="14" t="n">
        <f aca="false">MIN(1,Operations!AM723/Inputs!$F$162)</f>
        <v>0.814929863013699</v>
      </c>
      <c r="AN724" s="14" t="n">
        <f aca="false">MIN(1,Operations!AN723/Inputs!$F$162)</f>
        <v>0.802913424657534</v>
      </c>
      <c r="AO724" s="14" t="n">
        <f aca="false">MIN(1,Operations!AO723/Inputs!$F$162)</f>
        <v>0.79089698630137</v>
      </c>
      <c r="AP724" s="14" t="n">
        <f aca="false">MIN(1,Operations!AP723/Inputs!$F$162)</f>
        <v>0.77889698630137</v>
      </c>
      <c r="AQ724" s="14" t="n">
        <f aca="false">MIN(1,Operations!AQ723/Inputs!$F$162)</f>
        <v>0.76689698630137</v>
      </c>
      <c r="AR724" s="14" t="n">
        <f aca="false">MIN(1,Operations!AR723/Inputs!$F$162)</f>
        <v>0.754880547945205</v>
      </c>
      <c r="AS724" s="14" t="n">
        <f aca="false">MIN(1,Operations!AS723/Inputs!$F$162)</f>
        <v>0.742864109589041</v>
      </c>
      <c r="AT724" s="14" t="n">
        <f aca="false">MIN(1,Operations!AT723/Inputs!$F$162)</f>
        <v>0.730864109589041</v>
      </c>
      <c r="AU724" s="14" t="n">
        <f aca="false">MIN(1,Operations!AU723/Inputs!$F$162)</f>
        <v>0.718864109589041</v>
      </c>
    </row>
    <row r="725" customFormat="false" ht="15" hidden="false" customHeight="false" outlineLevel="0" collapsed="false">
      <c r="D725" s="0" t="s">
        <v>725</v>
      </c>
      <c r="E725" s="0" t="s">
        <v>176</v>
      </c>
      <c r="J725" s="20" t="n">
        <f aca="false">IF(OR(Time!J$4=YEAR(Inputs!$F$157)+Inputs!$F$164,Time!J$4=YEAR(Inputs!$F$157)+Inputs!$F$165),Inputs!$F$166/100*Inputs!$F$162,0)</f>
        <v>0</v>
      </c>
      <c r="K725" s="20" t="n">
        <f aca="false">IF(OR(Time!K$4=YEAR(Inputs!$F$157)+Inputs!$F$164,Time!K$4=YEAR(Inputs!$F$157)+Inputs!$F$165),Inputs!$F$166/100*Inputs!$F$162,0)</f>
        <v>0</v>
      </c>
      <c r="L725" s="20" t="n">
        <f aca="false">IF(OR(Time!L$4=YEAR(Inputs!$F$157)+Inputs!$F$164,Time!L$4=YEAR(Inputs!$F$157)+Inputs!$F$165),Inputs!$F$166/100*Inputs!$F$162,0)</f>
        <v>0</v>
      </c>
      <c r="M725" s="20" t="n">
        <f aca="false">IF(OR(Time!M$4=YEAR(Inputs!$F$157)+Inputs!$F$164,Time!M$4=YEAR(Inputs!$F$157)+Inputs!$F$165),Inputs!$F$166/100*Inputs!$F$162,0)</f>
        <v>0</v>
      </c>
      <c r="N725" s="20" t="n">
        <f aca="false">IF(OR(Time!N$4=YEAR(Inputs!$F$157)+Inputs!$F$164,Time!N$4=YEAR(Inputs!$F$157)+Inputs!$F$165),Inputs!$F$166/100*Inputs!$F$162,0)</f>
        <v>0</v>
      </c>
      <c r="O725" s="20" t="n">
        <f aca="false">IF(OR(Time!O$4=YEAR(Inputs!$F$157)+Inputs!$F$164,Time!O$4=YEAR(Inputs!$F$157)+Inputs!$F$165),Inputs!$F$166/100*Inputs!$F$162,0)</f>
        <v>0</v>
      </c>
      <c r="P725" s="20" t="n">
        <f aca="false">IF(OR(Time!P$4=YEAR(Inputs!$F$157)+Inputs!$F$164,Time!P$4=YEAR(Inputs!$F$157)+Inputs!$F$165),Inputs!$F$166/100*Inputs!$F$162,0)</f>
        <v>0</v>
      </c>
      <c r="Q725" s="20" t="n">
        <f aca="false">IF(OR(Time!Q$4=YEAR(Inputs!$F$157)+Inputs!$F$164,Time!Q$4=YEAR(Inputs!$F$157)+Inputs!$F$165),Inputs!$F$166/100*Inputs!$F$162,0)</f>
        <v>18</v>
      </c>
      <c r="R725" s="20" t="n">
        <f aca="false">IF(OR(Time!R$4=YEAR(Inputs!$F$157)+Inputs!$F$164,Time!R$4=YEAR(Inputs!$F$157)+Inputs!$F$165),Inputs!$F$166/100*Inputs!$F$162,0)</f>
        <v>0</v>
      </c>
      <c r="S725" s="20" t="n">
        <f aca="false">IF(OR(Time!S$4=YEAR(Inputs!$F$157)+Inputs!$F$164,Time!S$4=YEAR(Inputs!$F$157)+Inputs!$F$165),Inputs!$F$166/100*Inputs!$F$162,0)</f>
        <v>0</v>
      </c>
      <c r="T725" s="20" t="n">
        <f aca="false">IF(OR(Time!T$4=YEAR(Inputs!$F$157)+Inputs!$F$164,Time!T$4=YEAR(Inputs!$F$157)+Inputs!$F$165),Inputs!$F$166/100*Inputs!$F$162,0)</f>
        <v>0</v>
      </c>
      <c r="U725" s="20" t="n">
        <f aca="false">IF(OR(Time!U$4=YEAR(Inputs!$F$157)+Inputs!$F$164,Time!U$4=YEAR(Inputs!$F$157)+Inputs!$F$165),Inputs!$F$166/100*Inputs!$F$162,0)</f>
        <v>18</v>
      </c>
      <c r="V725" s="20" t="n">
        <f aca="false">IF(OR(Time!V$4=YEAR(Inputs!$F$157)+Inputs!$F$164,Time!V$4=YEAR(Inputs!$F$157)+Inputs!$F$165),Inputs!$F$166/100*Inputs!$F$162,0)</f>
        <v>0</v>
      </c>
      <c r="W725" s="20" t="n">
        <f aca="false">IF(OR(Time!W$4=YEAR(Inputs!$F$157)+Inputs!$F$164,Time!W$4=YEAR(Inputs!$F$157)+Inputs!$F$165),Inputs!$F$166/100*Inputs!$F$162,0)</f>
        <v>0</v>
      </c>
      <c r="X725" s="20" t="n">
        <f aca="false">IF(OR(Time!X$4=YEAR(Inputs!$F$157)+Inputs!$F$164,Time!X$4=YEAR(Inputs!$F$157)+Inputs!$F$165),Inputs!$F$166/100*Inputs!$F$162,0)</f>
        <v>0</v>
      </c>
      <c r="Y725" s="20" t="n">
        <f aca="false">IF(OR(Time!Y$4=YEAR(Inputs!$F$157)+Inputs!$F$164,Time!Y$4=YEAR(Inputs!$F$157)+Inputs!$F$165),Inputs!$F$166/100*Inputs!$F$162,0)</f>
        <v>0</v>
      </c>
      <c r="Z725" s="20" t="n">
        <f aca="false">IF(OR(Time!Z$4=YEAR(Inputs!$F$157)+Inputs!$F$164,Time!Z$4=YEAR(Inputs!$F$157)+Inputs!$F$165),Inputs!$F$166/100*Inputs!$F$162,0)</f>
        <v>0</v>
      </c>
      <c r="AA725" s="20" t="n">
        <f aca="false">IF(OR(Time!AA$4=YEAR(Inputs!$F$157)+Inputs!$F$164,Time!AA$4=YEAR(Inputs!$F$157)+Inputs!$F$165),Inputs!$F$166/100*Inputs!$F$162,0)</f>
        <v>0</v>
      </c>
      <c r="AB725" s="20" t="n">
        <f aca="false">IF(OR(Time!AB$4=YEAR(Inputs!$F$157)+Inputs!$F$164,Time!AB$4=YEAR(Inputs!$F$157)+Inputs!$F$165),Inputs!$F$166/100*Inputs!$F$162,0)</f>
        <v>0</v>
      </c>
      <c r="AC725" s="20" t="n">
        <f aca="false">IF(OR(Time!AC$4=YEAR(Inputs!$F$157)+Inputs!$F$164,Time!AC$4=YEAR(Inputs!$F$157)+Inputs!$F$165),Inputs!$F$166/100*Inputs!$F$162,0)</f>
        <v>0</v>
      </c>
      <c r="AD725" s="20" t="n">
        <f aca="false">IF(OR(Time!AD$4=YEAR(Inputs!$F$157)+Inputs!$F$164,Time!AD$4=YEAR(Inputs!$F$157)+Inputs!$F$165),Inputs!$F$166/100*Inputs!$F$162,0)</f>
        <v>0</v>
      </c>
      <c r="AE725" s="20" t="n">
        <f aca="false">IF(OR(Time!AE$4=YEAR(Inputs!$F$157)+Inputs!$F$164,Time!AE$4=YEAR(Inputs!$F$157)+Inputs!$F$165),Inputs!$F$166/100*Inputs!$F$162,0)</f>
        <v>0</v>
      </c>
      <c r="AF725" s="20" t="n">
        <f aca="false">IF(OR(Time!AF$4=YEAR(Inputs!$F$157)+Inputs!$F$164,Time!AF$4=YEAR(Inputs!$F$157)+Inputs!$F$165),Inputs!$F$166/100*Inputs!$F$162,0)</f>
        <v>0</v>
      </c>
      <c r="AG725" s="20" t="n">
        <f aca="false">IF(OR(Time!AG$4=YEAR(Inputs!$F$157)+Inputs!$F$164,Time!AG$4=YEAR(Inputs!$F$157)+Inputs!$F$165),Inputs!$F$166/100*Inputs!$F$162,0)</f>
        <v>0</v>
      </c>
      <c r="AH725" s="20" t="n">
        <f aca="false">IF(OR(Time!AH$4=YEAR(Inputs!$F$157)+Inputs!$F$164,Time!AH$4=YEAR(Inputs!$F$157)+Inputs!$F$165),Inputs!$F$166/100*Inputs!$F$162,0)</f>
        <v>0</v>
      </c>
      <c r="AI725" s="20" t="n">
        <f aca="false">IF(OR(Time!AI$4=YEAR(Inputs!$F$157)+Inputs!$F$164,Time!AI$4=YEAR(Inputs!$F$157)+Inputs!$F$165),Inputs!$F$166/100*Inputs!$F$162,0)</f>
        <v>0</v>
      </c>
      <c r="AJ725" s="20" t="n">
        <f aca="false">IF(OR(Time!AJ$4=YEAR(Inputs!$F$157)+Inputs!$F$164,Time!AJ$4=YEAR(Inputs!$F$157)+Inputs!$F$165),Inputs!$F$166/100*Inputs!$F$162,0)</f>
        <v>0</v>
      </c>
      <c r="AK725" s="20" t="n">
        <f aca="false">IF(OR(Time!AK$4=YEAR(Inputs!$F$157)+Inputs!$F$164,Time!AK$4=YEAR(Inputs!$F$157)+Inputs!$F$165),Inputs!$F$166/100*Inputs!$F$162,0)</f>
        <v>0</v>
      </c>
      <c r="AL725" s="20" t="n">
        <f aca="false">IF(OR(Time!AL$4=YEAR(Inputs!$F$157)+Inputs!$F$164,Time!AL$4=YEAR(Inputs!$F$157)+Inputs!$F$165),Inputs!$F$166/100*Inputs!$F$162,0)</f>
        <v>0</v>
      </c>
      <c r="AM725" s="20" t="n">
        <f aca="false">IF(OR(Time!AM$4=YEAR(Inputs!$F$157)+Inputs!$F$164,Time!AM$4=YEAR(Inputs!$F$157)+Inputs!$F$165),Inputs!$F$166/100*Inputs!$F$162,0)</f>
        <v>0</v>
      </c>
      <c r="AN725" s="20" t="n">
        <f aca="false">IF(OR(Time!AN$4=YEAR(Inputs!$F$157)+Inputs!$F$164,Time!AN$4=YEAR(Inputs!$F$157)+Inputs!$F$165),Inputs!$F$166/100*Inputs!$F$162,0)</f>
        <v>0</v>
      </c>
      <c r="AO725" s="20" t="n">
        <f aca="false">IF(OR(Time!AO$4=YEAR(Inputs!$F$157)+Inputs!$F$164,Time!AO$4=YEAR(Inputs!$F$157)+Inputs!$F$165),Inputs!$F$166/100*Inputs!$F$162,0)</f>
        <v>0</v>
      </c>
      <c r="AP725" s="20" t="n">
        <f aca="false">IF(OR(Time!AP$4=YEAR(Inputs!$F$157)+Inputs!$F$164,Time!AP$4=YEAR(Inputs!$F$157)+Inputs!$F$165),Inputs!$F$166/100*Inputs!$F$162,0)</f>
        <v>0</v>
      </c>
      <c r="AQ725" s="20" t="n">
        <f aca="false">IF(OR(Time!AQ$4=YEAR(Inputs!$F$157)+Inputs!$F$164,Time!AQ$4=YEAR(Inputs!$F$157)+Inputs!$F$165),Inputs!$F$166/100*Inputs!$F$162,0)</f>
        <v>0</v>
      </c>
      <c r="AR725" s="20" t="n">
        <f aca="false">IF(OR(Time!AR$4=YEAR(Inputs!$F$157)+Inputs!$F$164,Time!AR$4=YEAR(Inputs!$F$157)+Inputs!$F$165),Inputs!$F$166/100*Inputs!$F$162,0)</f>
        <v>0</v>
      </c>
      <c r="AS725" s="20" t="n">
        <f aca="false">IF(OR(Time!AS$4=YEAR(Inputs!$F$157)+Inputs!$F$164,Time!AS$4=YEAR(Inputs!$F$157)+Inputs!$F$165),Inputs!$F$166/100*Inputs!$F$162,0)</f>
        <v>0</v>
      </c>
      <c r="AT725" s="20" t="n">
        <f aca="false">IF(OR(Time!AT$4=YEAR(Inputs!$F$157)+Inputs!$F$164,Time!AT$4=YEAR(Inputs!$F$157)+Inputs!$F$165),Inputs!$F$166/100*Inputs!$F$162,0)</f>
        <v>0</v>
      </c>
      <c r="AU725" s="20" t="n">
        <f aca="false">IF(OR(Time!AU$4=YEAR(Inputs!$F$157)+Inputs!$F$164,Time!AU$4=YEAR(Inputs!$F$157)+Inputs!$F$165),Inputs!$F$166/100*Inputs!$F$162,0)</f>
        <v>0</v>
      </c>
    </row>
    <row r="726" customFormat="false" ht="15" hidden="false" customHeight="false" outlineLevel="0" collapsed="false">
      <c r="D726" s="0" t="s">
        <v>726</v>
      </c>
      <c r="E726" s="0" t="s">
        <v>458</v>
      </c>
      <c r="J726" s="14" t="n">
        <f aca="false">MAX(0,MIN(Inputs!$F$223,Time!J$6)-MAX(Inputs!$F$222,Time!J$5))/Time!J$7</f>
        <v>0</v>
      </c>
      <c r="K726" s="14" t="n">
        <f aca="false">MAX(0,MIN(Inputs!$F$223,Time!K$6)-MAX(Inputs!$F$222,Time!K$5))/Time!K$7</f>
        <v>0</v>
      </c>
      <c r="L726" s="14" t="n">
        <f aca="false">MAX(0,MIN(Inputs!$F$223,Time!L$6)-MAX(Inputs!$F$222,Time!L$5))/Time!L$7</f>
        <v>0.745901639344262</v>
      </c>
      <c r="M726" s="14" t="n">
        <f aca="false">MAX(0,MIN(Inputs!$F$223,Time!M$6)-MAX(Inputs!$F$222,Time!M$5))/Time!M$7</f>
        <v>1</v>
      </c>
      <c r="N726" s="14" t="n">
        <f aca="false">MAX(0,MIN(Inputs!$F$223,Time!N$6)-MAX(Inputs!$F$222,Time!N$5))/Time!N$7</f>
        <v>1</v>
      </c>
      <c r="O726" s="14" t="n">
        <f aca="false">MAX(0,MIN(Inputs!$F$223,Time!O$6)-MAX(Inputs!$F$222,Time!O$5))/Time!O$7</f>
        <v>1</v>
      </c>
      <c r="P726" s="14" t="n">
        <f aca="false">MAX(0,MIN(Inputs!$F$223,Time!P$6)-MAX(Inputs!$F$222,Time!P$5))/Time!P$7</f>
        <v>1</v>
      </c>
      <c r="Q726" s="14" t="n">
        <f aca="false">MAX(0,MIN(Inputs!$F$223,Time!Q$6)-MAX(Inputs!$F$222,Time!Q$5))/Time!Q$7</f>
        <v>1</v>
      </c>
      <c r="R726" s="14" t="n">
        <f aca="false">MAX(0,MIN(Inputs!$F$223,Time!R$6)-MAX(Inputs!$F$222,Time!R$5))/Time!R$7</f>
        <v>1</v>
      </c>
      <c r="S726" s="14" t="n">
        <f aca="false">MAX(0,MIN(Inputs!$F$223,Time!S$6)-MAX(Inputs!$F$222,Time!S$5))/Time!S$7</f>
        <v>1</v>
      </c>
      <c r="T726" s="14" t="n">
        <f aca="false">MAX(0,MIN(Inputs!$F$223,Time!T$6)-MAX(Inputs!$F$222,Time!T$5))/Time!T$7</f>
        <v>0.251366120218579</v>
      </c>
      <c r="U726" s="14" t="n">
        <f aca="false">MAX(0,MIN(Inputs!$F$223,Time!U$6)-MAX(Inputs!$F$222,Time!U$5))/Time!U$7</f>
        <v>0</v>
      </c>
      <c r="V726" s="14" t="n">
        <f aca="false">MAX(0,MIN(Inputs!$F$223,Time!V$6)-MAX(Inputs!$F$222,Time!V$5))/Time!V$7</f>
        <v>0</v>
      </c>
      <c r="W726" s="14" t="n">
        <f aca="false">MAX(0,MIN(Inputs!$F$223,Time!W$6)-MAX(Inputs!$F$222,Time!W$5))/Time!W$7</f>
        <v>0</v>
      </c>
      <c r="X726" s="14" t="n">
        <f aca="false">MAX(0,MIN(Inputs!$F$223,Time!X$6)-MAX(Inputs!$F$222,Time!X$5))/Time!X$7</f>
        <v>0</v>
      </c>
      <c r="Y726" s="14" t="n">
        <f aca="false">MAX(0,MIN(Inputs!$F$223,Time!Y$6)-MAX(Inputs!$F$222,Time!Y$5))/Time!Y$7</f>
        <v>0</v>
      </c>
      <c r="Z726" s="14" t="n">
        <f aca="false">MAX(0,MIN(Inputs!$F$223,Time!Z$6)-MAX(Inputs!$F$222,Time!Z$5))/Time!Z$7</f>
        <v>0</v>
      </c>
      <c r="AA726" s="14" t="n">
        <f aca="false">MAX(0,MIN(Inputs!$F$223,Time!AA$6)-MAX(Inputs!$F$222,Time!AA$5))/Time!AA$7</f>
        <v>0</v>
      </c>
      <c r="AB726" s="14" t="n">
        <f aca="false">MAX(0,MIN(Inputs!$F$223,Time!AB$6)-MAX(Inputs!$F$222,Time!AB$5))/Time!AB$7</f>
        <v>0</v>
      </c>
      <c r="AC726" s="14" t="n">
        <f aca="false">MAX(0,MIN(Inputs!$F$223,Time!AC$6)-MAX(Inputs!$F$222,Time!AC$5))/Time!AC$7</f>
        <v>0</v>
      </c>
      <c r="AD726" s="14" t="n">
        <f aca="false">MAX(0,MIN(Inputs!$F$223,Time!AD$6)-MAX(Inputs!$F$222,Time!AD$5))/Time!AD$7</f>
        <v>0</v>
      </c>
      <c r="AE726" s="14" t="n">
        <f aca="false">MAX(0,MIN(Inputs!$F$223,Time!AE$6)-MAX(Inputs!$F$222,Time!AE$5))/Time!AE$7</f>
        <v>0</v>
      </c>
      <c r="AF726" s="14" t="n">
        <f aca="false">MAX(0,MIN(Inputs!$F$223,Time!AF$6)-MAX(Inputs!$F$222,Time!AF$5))/Time!AF$7</f>
        <v>0</v>
      </c>
      <c r="AG726" s="14" t="n">
        <f aca="false">MAX(0,MIN(Inputs!$F$223,Time!AG$6)-MAX(Inputs!$F$222,Time!AG$5))/Time!AG$7</f>
        <v>0</v>
      </c>
      <c r="AH726" s="14" t="n">
        <f aca="false">MAX(0,MIN(Inputs!$F$223,Time!AH$6)-MAX(Inputs!$F$222,Time!AH$5))/Time!AH$7</f>
        <v>0</v>
      </c>
      <c r="AI726" s="14" t="n">
        <f aca="false">MAX(0,MIN(Inputs!$F$223,Time!AI$6)-MAX(Inputs!$F$222,Time!AI$5))/Time!AI$7</f>
        <v>0</v>
      </c>
      <c r="AJ726" s="14" t="n">
        <f aca="false">MAX(0,MIN(Inputs!$F$223,Time!AJ$6)-MAX(Inputs!$F$222,Time!AJ$5))/Time!AJ$7</f>
        <v>0</v>
      </c>
      <c r="AK726" s="14" t="n">
        <f aca="false">MAX(0,MIN(Inputs!$F$223,Time!AK$6)-MAX(Inputs!$F$222,Time!AK$5))/Time!AK$7</f>
        <v>0</v>
      </c>
      <c r="AL726" s="14" t="n">
        <f aca="false">MAX(0,MIN(Inputs!$F$223,Time!AL$6)-MAX(Inputs!$F$222,Time!AL$5))/Time!AL$7</f>
        <v>0</v>
      </c>
      <c r="AM726" s="14" t="n">
        <f aca="false">MAX(0,MIN(Inputs!$F$223,Time!AM$6)-MAX(Inputs!$F$222,Time!AM$5))/Time!AM$7</f>
        <v>0</v>
      </c>
      <c r="AN726" s="14" t="n">
        <f aca="false">MAX(0,MIN(Inputs!$F$223,Time!AN$6)-MAX(Inputs!$F$222,Time!AN$5))/Time!AN$7</f>
        <v>0</v>
      </c>
      <c r="AO726" s="14" t="n">
        <f aca="false">MAX(0,MIN(Inputs!$F$223,Time!AO$6)-MAX(Inputs!$F$222,Time!AO$5))/Time!AO$7</f>
        <v>0</v>
      </c>
      <c r="AP726" s="14" t="n">
        <f aca="false">MAX(0,MIN(Inputs!$F$223,Time!AP$6)-MAX(Inputs!$F$222,Time!AP$5))/Time!AP$7</f>
        <v>0</v>
      </c>
      <c r="AQ726" s="14" t="n">
        <f aca="false">MAX(0,MIN(Inputs!$F$223,Time!AQ$6)-MAX(Inputs!$F$222,Time!AQ$5))/Time!AQ$7</f>
        <v>0</v>
      </c>
      <c r="AR726" s="14" t="n">
        <f aca="false">MAX(0,MIN(Inputs!$F$223,Time!AR$6)-MAX(Inputs!$F$222,Time!AR$5))/Time!AR$7</f>
        <v>0</v>
      </c>
      <c r="AS726" s="14" t="n">
        <f aca="false">MAX(0,MIN(Inputs!$F$223,Time!AS$6)-MAX(Inputs!$F$222,Time!AS$5))/Time!AS$7</f>
        <v>0</v>
      </c>
      <c r="AT726" s="14" t="n">
        <f aca="false">MAX(0,MIN(Inputs!$F$223,Time!AT$6)-MAX(Inputs!$F$222,Time!AT$5))/Time!AT$7</f>
        <v>0</v>
      </c>
      <c r="AU726" s="14" t="n">
        <f aca="false">MAX(0,MIN(Inputs!$F$223,Time!AU$6)-MAX(Inputs!$F$222,Time!AU$5))/Time!AU$7</f>
        <v>0</v>
      </c>
    </row>
    <row r="727" customFormat="false" ht="15" hidden="false" customHeight="false" outlineLevel="0" collapsed="false">
      <c r="D727" s="0" t="s">
        <v>727</v>
      </c>
      <c r="E727" s="0" t="s">
        <v>100</v>
      </c>
      <c r="J727" s="18" t="n">
        <f aca="false">Operations!J451*Inputs!$F$163/100*Operations!J724</f>
        <v>0</v>
      </c>
      <c r="K727" s="18" t="n">
        <f aca="false">Operations!K451*Inputs!$F$163/100*Operations!K724</f>
        <v>138.9375</v>
      </c>
      <c r="L727" s="18" t="n">
        <f aca="false">Operations!L451*Inputs!$F$163/100*Operations!L724</f>
        <v>60.255</v>
      </c>
      <c r="M727" s="18" t="n">
        <f aca="false">Operations!M451*Inputs!$F$163/100*Operations!M724</f>
        <v>51.09</v>
      </c>
      <c r="N727" s="18" t="n">
        <f aca="false">Operations!N451*Inputs!$F$163/100*Operations!N724</f>
        <v>56.4525</v>
      </c>
      <c r="O727" s="18" t="n">
        <f aca="false">Operations!O451*Inputs!$F$163/100*Operations!O724</f>
        <v>57.30075</v>
      </c>
      <c r="P727" s="18" t="n">
        <f aca="false">Operations!P451*Inputs!$F$163/100*Operations!P724</f>
        <v>58.15875</v>
      </c>
      <c r="Q727" s="18" t="n">
        <f aca="false">Operations!Q451*Inputs!$F$163/100*Operations!Q724</f>
        <v>59.0265</v>
      </c>
      <c r="R727" s="18" t="n">
        <f aca="false">Operations!R451*Inputs!$F$163/100*Operations!R724</f>
        <v>59.91375</v>
      </c>
      <c r="S727" s="18" t="n">
        <f aca="false">Operations!S451*Inputs!$F$163/100*Operations!S724</f>
        <v>60.81075</v>
      </c>
      <c r="T727" s="18" t="n">
        <f aca="false">Operations!T451*Inputs!$F$163/100*Operations!T724</f>
        <v>61.72725</v>
      </c>
      <c r="U727" s="18" t="n">
        <f aca="false">Operations!U451*Inputs!$F$163/100*Operations!U724</f>
        <v>62.6535</v>
      </c>
      <c r="V727" s="18" t="n">
        <f aca="false">Operations!V451*Inputs!$F$163/100*Operations!V724</f>
        <v>63.5895</v>
      </c>
      <c r="W727" s="18" t="n">
        <f aca="false">Operations!W451*Inputs!$F$163/100*Operations!W724</f>
        <v>64.545</v>
      </c>
      <c r="X727" s="18" t="n">
        <f aca="false">Operations!X451*Inputs!$F$163/100*Operations!X724</f>
        <v>65.3624122111644</v>
      </c>
      <c r="Y727" s="18" t="n">
        <f aca="false">Operations!Y451*Inputs!$F$163/100*Operations!Y724</f>
        <v>65.5059551917808</v>
      </c>
      <c r="Z727" s="18" t="n">
        <f aca="false">Operations!Z451*Inputs!$F$163/100*Operations!Z724</f>
        <v>65.6353507968493</v>
      </c>
      <c r="AA727" s="18" t="n">
        <f aca="false">Operations!AA451*Inputs!$F$163/100*Operations!AA724</f>
        <v>65.7686807513014</v>
      </c>
      <c r="AB727" s="18" t="n">
        <f aca="false">Operations!AB451*Inputs!$F$163/100*Operations!AB724</f>
        <v>65.895203605685</v>
      </c>
      <c r="AC727" s="18" t="n">
        <f aca="false">Operations!AC451*Inputs!$F$163/100*Operations!AC724</f>
        <v>66.0147488685616</v>
      </c>
      <c r="AD727" s="18" t="n">
        <f aca="false">Operations!AD451*Inputs!$F$163/100*Operations!AD724</f>
        <v>66.127861852089</v>
      </c>
      <c r="AE727" s="18" t="n">
        <f aca="false">Operations!AE451*Inputs!$F$163/100*Operations!AE724</f>
        <v>66.234619539863</v>
      </c>
      <c r="AF727" s="18" t="n">
        <f aca="false">Operations!AF451*Inputs!$F$163/100*Operations!AF724</f>
        <v>66.3426406393151</v>
      </c>
      <c r="AG727" s="18" t="n">
        <f aca="false">Operations!AG451*Inputs!$F$163/100*Operations!AG724</f>
        <v>66.4417136108219</v>
      </c>
      <c r="AH727" s="18" t="n">
        <f aca="false">Operations!AH451*Inputs!$F$163/100*Operations!AH724</f>
        <v>66.5238545827397</v>
      </c>
      <c r="AI727" s="18" t="n">
        <f aca="false">Operations!AI451*Inputs!$F$163/100*Operations!AI724</f>
        <v>66.5959133280822</v>
      </c>
      <c r="AJ727" s="18" t="n">
        <f aca="false">Operations!AJ451*Inputs!$F$163/100*Operations!AJ724</f>
        <v>66.6559002057534</v>
      </c>
      <c r="AK727" s="18" t="n">
        <f aca="false">Operations!AK451*Inputs!$F$163/100*Operations!AK724</f>
        <v>66.7043620705479</v>
      </c>
      <c r="AL727" s="18" t="n">
        <f aca="false">Operations!AL451*Inputs!$F$163/100*Operations!AL724</f>
        <v>66.7338601426027</v>
      </c>
      <c r="AM727" s="18" t="n">
        <f aca="false">Operations!AM451*Inputs!$F$163/100*Operations!AM724</f>
        <v>66.7507013469863</v>
      </c>
      <c r="AN727" s="18" t="n">
        <f aca="false">Operations!AN451*Inputs!$F$163/100*Operations!AN724</f>
        <v>66.7528170275342</v>
      </c>
      <c r="AO727" s="18" t="n">
        <f aca="false">Operations!AO451*Inputs!$F$163/100*Operations!AO724</f>
        <v>66.740830810274</v>
      </c>
      <c r="AP727" s="18" t="n">
        <f aca="false">Operations!AP451*Inputs!$F$163/100*Operations!AP724</f>
        <v>66.715447740411</v>
      </c>
      <c r="AQ727" s="18" t="n">
        <f aca="false">Operations!AQ451*Inputs!$F$163/100*Operations!AQ724</f>
        <v>66.6745991617808</v>
      </c>
      <c r="AR727" s="18" t="n">
        <f aca="false">Operations!AR451*Inputs!$F$163/100*Operations!AR724</f>
        <v>66.6161324346575</v>
      </c>
      <c r="AS727" s="18" t="n">
        <f aca="false">Operations!AS451*Inputs!$F$163/100*Operations!AS724</f>
        <v>66.5407526042466</v>
      </c>
      <c r="AT727" s="18" t="n">
        <f aca="false">Operations!AT451*Inputs!$F$163/100*Operations!AT724</f>
        <v>66.4492512636986</v>
      </c>
      <c r="AU727" s="18" t="n">
        <f aca="false">Operations!AU451*Inputs!$F$163/100*Operations!AU724</f>
        <v>66.3394757732877</v>
      </c>
    </row>
    <row r="728" customFormat="false" ht="15" hidden="false" customHeight="false" outlineLevel="0" collapsed="false">
      <c r="D728" s="0" t="s">
        <v>728</v>
      </c>
      <c r="E728" s="0" t="s">
        <v>100</v>
      </c>
      <c r="J728" s="18" t="n">
        <f aca="false">Operations!J727*(Operations!J713&gt;0)</f>
        <v>0</v>
      </c>
      <c r="K728" s="18" t="n">
        <f aca="false">Operations!K727*(Operations!K713&gt;0)</f>
        <v>0</v>
      </c>
      <c r="L728" s="18" t="n">
        <f aca="false">Operations!L727*(Operations!L713&gt;0)</f>
        <v>60.255</v>
      </c>
      <c r="M728" s="18" t="n">
        <f aca="false">Operations!M727*(Operations!M713&gt;0)</f>
        <v>51.09</v>
      </c>
      <c r="N728" s="18" t="n">
        <f aca="false">Operations!N727*(Operations!N713&gt;0)</f>
        <v>56.4525</v>
      </c>
      <c r="O728" s="18" t="n">
        <f aca="false">Operations!O727*(Operations!O713&gt;0)</f>
        <v>57.30075</v>
      </c>
      <c r="P728" s="18" t="n">
        <f aca="false">Operations!P727*(Operations!P713&gt;0)</f>
        <v>58.15875</v>
      </c>
      <c r="Q728" s="18" t="n">
        <f aca="false">Operations!Q727*(Operations!Q713&gt;0)</f>
        <v>59.0265</v>
      </c>
      <c r="R728" s="18" t="n">
        <f aca="false">Operations!R727*(Operations!R713&gt;0)</f>
        <v>59.91375</v>
      </c>
      <c r="S728" s="18" t="n">
        <f aca="false">Operations!S727*(Operations!S713&gt;0)</f>
        <v>60.81075</v>
      </c>
      <c r="T728" s="18" t="n">
        <f aca="false">Operations!T727*(Operations!T713&gt;0)</f>
        <v>61.72725</v>
      </c>
      <c r="U728" s="18" t="n">
        <f aca="false">Operations!U727*(Operations!U713&gt;0)</f>
        <v>62.6535</v>
      </c>
      <c r="V728" s="18" t="n">
        <f aca="false">Operations!V727*(Operations!V713&gt;0)</f>
        <v>63.5895</v>
      </c>
      <c r="W728" s="18" t="n">
        <f aca="false">Operations!W727*(Operations!W713&gt;0)</f>
        <v>64.545</v>
      </c>
      <c r="X728" s="18" t="n">
        <f aca="false">Operations!X727*(Operations!X713&gt;0)</f>
        <v>65.3624122111644</v>
      </c>
      <c r="Y728" s="18" t="n">
        <f aca="false">Operations!Y727*(Operations!Y713&gt;0)</f>
        <v>65.5059551917808</v>
      </c>
      <c r="Z728" s="18" t="n">
        <f aca="false">Operations!Z727*(Operations!Z713&gt;0)</f>
        <v>65.6353507968493</v>
      </c>
      <c r="AA728" s="18" t="n">
        <f aca="false">Operations!AA727*(Operations!AA713&gt;0)</f>
        <v>65.7686807513014</v>
      </c>
      <c r="AB728" s="18" t="n">
        <f aca="false">Operations!AB727*(Operations!AB713&gt;0)</f>
        <v>65.895203605685</v>
      </c>
      <c r="AC728" s="18" t="n">
        <f aca="false">Operations!AC727*(Operations!AC713&gt;0)</f>
        <v>66.0147488685616</v>
      </c>
      <c r="AD728" s="18" t="n">
        <f aca="false">Operations!AD727*(Operations!AD713&gt;0)</f>
        <v>66.127861852089</v>
      </c>
      <c r="AE728" s="18" t="n">
        <f aca="false">Operations!AE727*(Operations!AE713&gt;0)</f>
        <v>66.234619539863</v>
      </c>
      <c r="AF728" s="18" t="n">
        <f aca="false">Operations!AF727*(Operations!AF713&gt;0)</f>
        <v>66.3426406393151</v>
      </c>
      <c r="AG728" s="18" t="n">
        <f aca="false">Operations!AG727*(Operations!AG713&gt;0)</f>
        <v>0</v>
      </c>
      <c r="AH728" s="18" t="n">
        <f aca="false">Operations!AH727*(Operations!AH713&gt;0)</f>
        <v>0</v>
      </c>
      <c r="AI728" s="18" t="n">
        <f aca="false">Operations!AI727*(Operations!AI713&gt;0)</f>
        <v>0</v>
      </c>
      <c r="AJ728" s="18" t="n">
        <f aca="false">Operations!AJ727*(Operations!AJ713&gt;0)</f>
        <v>0</v>
      </c>
      <c r="AK728" s="18" t="n">
        <f aca="false">Operations!AK727*(Operations!AK713&gt;0)</f>
        <v>0</v>
      </c>
      <c r="AL728" s="18" t="n">
        <f aca="false">Operations!AL727*(Operations!AL713&gt;0)</f>
        <v>0</v>
      </c>
      <c r="AM728" s="18" t="n">
        <f aca="false">Operations!AM727*(Operations!AM713&gt;0)</f>
        <v>0</v>
      </c>
      <c r="AN728" s="18" t="n">
        <f aca="false">Operations!AN727*(Operations!AN713&gt;0)</f>
        <v>0</v>
      </c>
      <c r="AO728" s="18" t="n">
        <f aca="false">Operations!AO727*(Operations!AO713&gt;0)</f>
        <v>0</v>
      </c>
      <c r="AP728" s="18" t="n">
        <f aca="false">Operations!AP727*(Operations!AP713&gt;0)</f>
        <v>0</v>
      </c>
      <c r="AQ728" s="18" t="n">
        <f aca="false">Operations!AQ727*(Operations!AQ713&gt;0)</f>
        <v>0</v>
      </c>
      <c r="AR728" s="18" t="n">
        <f aca="false">Operations!AR727*(Operations!AR713&gt;0)</f>
        <v>0</v>
      </c>
      <c r="AS728" s="18" t="n">
        <f aca="false">Operations!AS727*(Operations!AS713&gt;0)</f>
        <v>0</v>
      </c>
      <c r="AT728" s="18" t="n">
        <f aca="false">Operations!AT727*(Operations!AT713&gt;0)</f>
        <v>0</v>
      </c>
      <c r="AU728" s="18" t="n">
        <f aca="false">Operations!AU727*(Operations!AU713&gt;0)</f>
        <v>0</v>
      </c>
    </row>
    <row r="729" customFormat="false" ht="15" hidden="false" customHeight="false" outlineLevel="0" collapsed="false">
      <c r="D729" s="0" t="s">
        <v>729</v>
      </c>
      <c r="E729" s="0" t="s">
        <v>47</v>
      </c>
      <c r="G729" s="20" t="n">
        <f aca="false">SUM(J729:AU729)</f>
        <v>19.2876557377049</v>
      </c>
      <c r="J729" s="20" t="n">
        <f aca="false">MAX(0,Inputs!$F$218-Operations!J727)*Inputs!$F$156/1000*Operations!J726</f>
        <v>0</v>
      </c>
      <c r="K729" s="20" t="n">
        <f aca="false">MAX(0,Inputs!$F$218-Operations!K727)*Inputs!$F$156/1000*Operations!K726</f>
        <v>0</v>
      </c>
      <c r="L729" s="20" t="n">
        <f aca="false">MAX(0,Inputs!$F$218-Operations!L727)*Inputs!$F$156/1000*Operations!L726</f>
        <v>1.53786270491803</v>
      </c>
      <c r="M729" s="20" t="n">
        <f aca="false">MAX(0,Inputs!$F$218-Operations!M727)*Inputs!$F$156/1000*Operations!M726</f>
        <v>3.4365</v>
      </c>
      <c r="N729" s="20" t="n">
        <f aca="false">MAX(0,Inputs!$F$218-Operations!N727)*Inputs!$F$156/1000*Operations!N726</f>
        <v>2.632125</v>
      </c>
      <c r="O729" s="20" t="n">
        <f aca="false">MAX(0,Inputs!$F$218-Operations!O727)*Inputs!$F$156/1000*Operations!O726</f>
        <v>2.5048875</v>
      </c>
      <c r="P729" s="20" t="n">
        <f aca="false">MAX(0,Inputs!$F$218-Operations!P727)*Inputs!$F$156/1000*Operations!P726</f>
        <v>2.3761875</v>
      </c>
      <c r="Q729" s="20" t="n">
        <f aca="false">MAX(0,Inputs!$F$218-Operations!Q727)*Inputs!$F$156/1000*Operations!Q726</f>
        <v>2.246025</v>
      </c>
      <c r="R729" s="20" t="n">
        <f aca="false">MAX(0,Inputs!$F$218-Operations!R727)*Inputs!$F$156/1000*Operations!R726</f>
        <v>2.1129375</v>
      </c>
      <c r="S729" s="20" t="n">
        <f aca="false">MAX(0,Inputs!$F$218-Operations!S727)*Inputs!$F$156/1000*Operations!S726</f>
        <v>1.9783875</v>
      </c>
      <c r="T729" s="20" t="n">
        <f aca="false">MAX(0,Inputs!$F$218-Operations!T727)*Inputs!$F$156/1000*Operations!T726</f>
        <v>0.462743032786885</v>
      </c>
      <c r="U729" s="20" t="n">
        <f aca="false">MAX(0,Inputs!$F$218-Operations!U727)*Inputs!$F$156/1000*Operations!U726</f>
        <v>0</v>
      </c>
      <c r="V729" s="20" t="n">
        <f aca="false">MAX(0,Inputs!$F$218-Operations!V727)*Inputs!$F$156/1000*Operations!V726</f>
        <v>0</v>
      </c>
      <c r="W729" s="20" t="n">
        <f aca="false">MAX(0,Inputs!$F$218-Operations!W727)*Inputs!$F$156/1000*Operations!W726</f>
        <v>0</v>
      </c>
      <c r="X729" s="20" t="n">
        <f aca="false">MAX(0,Inputs!$F$218-Operations!X727)*Inputs!$F$156/1000*Operations!X726</f>
        <v>0</v>
      </c>
      <c r="Y729" s="20" t="n">
        <f aca="false">MAX(0,Inputs!$F$218-Operations!Y727)*Inputs!$F$156/1000*Operations!Y726</f>
        <v>0</v>
      </c>
      <c r="Z729" s="20" t="n">
        <f aca="false">MAX(0,Inputs!$F$218-Operations!Z727)*Inputs!$F$156/1000*Operations!Z726</f>
        <v>0</v>
      </c>
      <c r="AA729" s="20" t="n">
        <f aca="false">MAX(0,Inputs!$F$218-Operations!AA727)*Inputs!$F$156/1000*Operations!AA726</f>
        <v>0</v>
      </c>
      <c r="AB729" s="20" t="n">
        <f aca="false">MAX(0,Inputs!$F$218-Operations!AB727)*Inputs!$F$156/1000*Operations!AB726</f>
        <v>0</v>
      </c>
      <c r="AC729" s="20" t="n">
        <f aca="false">MAX(0,Inputs!$F$218-Operations!AC727)*Inputs!$F$156/1000*Operations!AC726</f>
        <v>0</v>
      </c>
      <c r="AD729" s="20" t="n">
        <f aca="false">MAX(0,Inputs!$F$218-Operations!AD727)*Inputs!$F$156/1000*Operations!AD726</f>
        <v>0</v>
      </c>
      <c r="AE729" s="20" t="n">
        <f aca="false">MAX(0,Inputs!$F$218-Operations!AE727)*Inputs!$F$156/1000*Operations!AE726</f>
        <v>0</v>
      </c>
      <c r="AF729" s="20" t="n">
        <f aca="false">MAX(0,Inputs!$F$218-Operations!AF727)*Inputs!$F$156/1000*Operations!AF726</f>
        <v>0</v>
      </c>
      <c r="AG729" s="20" t="n">
        <f aca="false">MAX(0,Inputs!$F$218-Operations!AG727)*Inputs!$F$156/1000*Operations!AG726</f>
        <v>0</v>
      </c>
      <c r="AH729" s="20" t="n">
        <f aca="false">MAX(0,Inputs!$F$218-Operations!AH727)*Inputs!$F$156/1000*Operations!AH726</f>
        <v>0</v>
      </c>
      <c r="AI729" s="20" t="n">
        <f aca="false">MAX(0,Inputs!$F$218-Operations!AI727)*Inputs!$F$156/1000*Operations!AI726</f>
        <v>0</v>
      </c>
      <c r="AJ729" s="20" t="n">
        <f aca="false">MAX(0,Inputs!$F$218-Operations!AJ727)*Inputs!$F$156/1000*Operations!AJ726</f>
        <v>0</v>
      </c>
      <c r="AK729" s="20" t="n">
        <f aca="false">MAX(0,Inputs!$F$218-Operations!AK727)*Inputs!$F$156/1000*Operations!AK726</f>
        <v>0</v>
      </c>
      <c r="AL729" s="20" t="n">
        <f aca="false">MAX(0,Inputs!$F$218-Operations!AL727)*Inputs!$F$156/1000*Operations!AL726</f>
        <v>0</v>
      </c>
      <c r="AM729" s="20" t="n">
        <f aca="false">MAX(0,Inputs!$F$218-Operations!AM727)*Inputs!$F$156/1000*Operations!AM726</f>
        <v>0</v>
      </c>
      <c r="AN729" s="20" t="n">
        <f aca="false">MAX(0,Inputs!$F$218-Operations!AN727)*Inputs!$F$156/1000*Operations!AN726</f>
        <v>0</v>
      </c>
      <c r="AO729" s="20" t="n">
        <f aca="false">MAX(0,Inputs!$F$218-Operations!AO727)*Inputs!$F$156/1000*Operations!AO726</f>
        <v>0</v>
      </c>
      <c r="AP729" s="20" t="n">
        <f aca="false">MAX(0,Inputs!$F$218-Operations!AP727)*Inputs!$F$156/1000*Operations!AP726</f>
        <v>0</v>
      </c>
      <c r="AQ729" s="20" t="n">
        <f aca="false">MAX(0,Inputs!$F$218-Operations!AQ727)*Inputs!$F$156/1000*Operations!AQ726</f>
        <v>0</v>
      </c>
      <c r="AR729" s="20" t="n">
        <f aca="false">MAX(0,Inputs!$F$218-Operations!AR727)*Inputs!$F$156/1000*Operations!AR726</f>
        <v>0</v>
      </c>
      <c r="AS729" s="20" t="n">
        <f aca="false">MAX(0,Inputs!$F$218-Operations!AS727)*Inputs!$F$156/1000*Operations!AS726</f>
        <v>0</v>
      </c>
      <c r="AT729" s="20" t="n">
        <f aca="false">MAX(0,Inputs!$F$218-Operations!AT727)*Inputs!$F$156/1000*Operations!AT726</f>
        <v>0</v>
      </c>
      <c r="AU729" s="20" t="n">
        <f aca="false">MAX(0,Inputs!$F$218-Operations!AU727)*Inputs!$F$156/1000*Operations!AU726</f>
        <v>0</v>
      </c>
    </row>
    <row r="730" customFormat="false" ht="15" hidden="false" customHeight="false" outlineLevel="0" collapsed="false">
      <c r="D730" s="0" t="s">
        <v>255</v>
      </c>
      <c r="E730" s="0" t="s">
        <v>47</v>
      </c>
      <c r="G730" s="20" t="n">
        <f aca="false">SUM(J730:AU730)</f>
        <v>6.95762295081967</v>
      </c>
      <c r="J730" s="20" t="n">
        <f aca="false">Inputs!$F$219*Inputs!$F$156/1000*Operations!J726</f>
        <v>0</v>
      </c>
      <c r="K730" s="20" t="n">
        <f aca="false">Inputs!$F$219*Inputs!$F$156/1000*Operations!K726</f>
        <v>0</v>
      </c>
      <c r="L730" s="20" t="n">
        <f aca="false">Inputs!$F$219*Inputs!$F$156/1000*Operations!L726</f>
        <v>0.648934426229508</v>
      </c>
      <c r="M730" s="20" t="n">
        <f aca="false">Inputs!$F$219*Inputs!$F$156/1000*Operations!M726</f>
        <v>0.87</v>
      </c>
      <c r="N730" s="20" t="n">
        <f aca="false">Inputs!$F$219*Inputs!$F$156/1000*Operations!N726</f>
        <v>0.87</v>
      </c>
      <c r="O730" s="20" t="n">
        <f aca="false">Inputs!$F$219*Inputs!$F$156/1000*Operations!O726</f>
        <v>0.87</v>
      </c>
      <c r="P730" s="20" t="n">
        <f aca="false">Inputs!$F$219*Inputs!$F$156/1000*Operations!P726</f>
        <v>0.87</v>
      </c>
      <c r="Q730" s="20" t="n">
        <f aca="false">Inputs!$F$219*Inputs!$F$156/1000*Operations!Q726</f>
        <v>0.87</v>
      </c>
      <c r="R730" s="20" t="n">
        <f aca="false">Inputs!$F$219*Inputs!$F$156/1000*Operations!R726</f>
        <v>0.87</v>
      </c>
      <c r="S730" s="20" t="n">
        <f aca="false">Inputs!$F$219*Inputs!$F$156/1000*Operations!S726</f>
        <v>0.87</v>
      </c>
      <c r="T730" s="20" t="n">
        <f aca="false">Inputs!$F$219*Inputs!$F$156/1000*Operations!T726</f>
        <v>0.218688524590164</v>
      </c>
      <c r="U730" s="20" t="n">
        <f aca="false">Inputs!$F$219*Inputs!$F$156/1000*Operations!U726</f>
        <v>0</v>
      </c>
      <c r="V730" s="20" t="n">
        <f aca="false">Inputs!$F$219*Inputs!$F$156/1000*Operations!V726</f>
        <v>0</v>
      </c>
      <c r="W730" s="20" t="n">
        <f aca="false">Inputs!$F$219*Inputs!$F$156/1000*Operations!W726</f>
        <v>0</v>
      </c>
      <c r="X730" s="20" t="n">
        <f aca="false">Inputs!$F$219*Inputs!$F$156/1000*Operations!X726</f>
        <v>0</v>
      </c>
      <c r="Y730" s="20" t="n">
        <f aca="false">Inputs!$F$219*Inputs!$F$156/1000*Operations!Y726</f>
        <v>0</v>
      </c>
      <c r="Z730" s="20" t="n">
        <f aca="false">Inputs!$F$219*Inputs!$F$156/1000*Operations!Z726</f>
        <v>0</v>
      </c>
      <c r="AA730" s="20" t="n">
        <f aca="false">Inputs!$F$219*Inputs!$F$156/1000*Operations!AA726</f>
        <v>0</v>
      </c>
      <c r="AB730" s="20" t="n">
        <f aca="false">Inputs!$F$219*Inputs!$F$156/1000*Operations!AB726</f>
        <v>0</v>
      </c>
      <c r="AC730" s="20" t="n">
        <f aca="false">Inputs!$F$219*Inputs!$F$156/1000*Operations!AC726</f>
        <v>0</v>
      </c>
      <c r="AD730" s="20" t="n">
        <f aca="false">Inputs!$F$219*Inputs!$F$156/1000*Operations!AD726</f>
        <v>0</v>
      </c>
      <c r="AE730" s="20" t="n">
        <f aca="false">Inputs!$F$219*Inputs!$F$156/1000*Operations!AE726</f>
        <v>0</v>
      </c>
      <c r="AF730" s="20" t="n">
        <f aca="false">Inputs!$F$219*Inputs!$F$156/1000*Operations!AF726</f>
        <v>0</v>
      </c>
      <c r="AG730" s="20" t="n">
        <f aca="false">Inputs!$F$219*Inputs!$F$156/1000*Operations!AG726</f>
        <v>0</v>
      </c>
      <c r="AH730" s="20" t="n">
        <f aca="false">Inputs!$F$219*Inputs!$F$156/1000*Operations!AH726</f>
        <v>0</v>
      </c>
      <c r="AI730" s="20" t="n">
        <f aca="false">Inputs!$F$219*Inputs!$F$156/1000*Operations!AI726</f>
        <v>0</v>
      </c>
      <c r="AJ730" s="20" t="n">
        <f aca="false">Inputs!$F$219*Inputs!$F$156/1000*Operations!AJ726</f>
        <v>0</v>
      </c>
      <c r="AK730" s="20" t="n">
        <f aca="false">Inputs!$F$219*Inputs!$F$156/1000*Operations!AK726</f>
        <v>0</v>
      </c>
      <c r="AL730" s="20" t="n">
        <f aca="false">Inputs!$F$219*Inputs!$F$156/1000*Operations!AL726</f>
        <v>0</v>
      </c>
      <c r="AM730" s="20" t="n">
        <f aca="false">Inputs!$F$219*Inputs!$F$156/1000*Operations!AM726</f>
        <v>0</v>
      </c>
      <c r="AN730" s="20" t="n">
        <f aca="false">Inputs!$F$219*Inputs!$F$156/1000*Operations!AN726</f>
        <v>0</v>
      </c>
      <c r="AO730" s="20" t="n">
        <f aca="false">Inputs!$F$219*Inputs!$F$156/1000*Operations!AO726</f>
        <v>0</v>
      </c>
      <c r="AP730" s="20" t="n">
        <f aca="false">Inputs!$F$219*Inputs!$F$156/1000*Operations!AP726</f>
        <v>0</v>
      </c>
      <c r="AQ730" s="20" t="n">
        <f aca="false">Inputs!$F$219*Inputs!$F$156/1000*Operations!AQ726</f>
        <v>0</v>
      </c>
      <c r="AR730" s="20" t="n">
        <f aca="false">Inputs!$F$219*Inputs!$F$156/1000*Operations!AR726</f>
        <v>0</v>
      </c>
      <c r="AS730" s="20" t="n">
        <f aca="false">Inputs!$F$219*Inputs!$F$156/1000*Operations!AS726</f>
        <v>0</v>
      </c>
      <c r="AT730" s="20" t="n">
        <f aca="false">Inputs!$F$219*Inputs!$F$156/1000*Operations!AT726</f>
        <v>0</v>
      </c>
      <c r="AU730" s="20" t="n">
        <f aca="false">Inputs!$F$219*Inputs!$F$156/1000*Operations!AU726</f>
        <v>0</v>
      </c>
    </row>
    <row r="731" customFormat="false" ht="15" hidden="false" customHeight="false" outlineLevel="0" collapsed="false">
      <c r="D731" s="0" t="s">
        <v>730</v>
      </c>
      <c r="E731" s="0" t="s">
        <v>47</v>
      </c>
      <c r="G731" s="20" t="n">
        <f aca="false">SUM(J731:AU731)</f>
        <v>0</v>
      </c>
      <c r="J731" s="20" t="n">
        <f aca="false">Inputs!$F$220/100*MAX(0,Operations!J727-Inputs!$F$221)*Inputs!$F$156/1000*Operations!J726</f>
        <v>0</v>
      </c>
      <c r="K731" s="20" t="n">
        <f aca="false">Inputs!$F$220/100*MAX(0,Operations!K727-Inputs!$F$221)*Inputs!$F$156/1000*Operations!K726</f>
        <v>0</v>
      </c>
      <c r="L731" s="20" t="n">
        <f aca="false">Inputs!$F$220/100*MAX(0,Operations!L727-Inputs!$F$221)*Inputs!$F$156/1000*Operations!L726</f>
        <v>0</v>
      </c>
      <c r="M731" s="20" t="n">
        <f aca="false">Inputs!$F$220/100*MAX(0,Operations!M727-Inputs!$F$221)*Inputs!$F$156/1000*Operations!M726</f>
        <v>0</v>
      </c>
      <c r="N731" s="20" t="n">
        <f aca="false">Inputs!$F$220/100*MAX(0,Operations!N727-Inputs!$F$221)*Inputs!$F$156/1000*Operations!N726</f>
        <v>0</v>
      </c>
      <c r="O731" s="20" t="n">
        <f aca="false">Inputs!$F$220/100*MAX(0,Operations!O727-Inputs!$F$221)*Inputs!$F$156/1000*Operations!O726</f>
        <v>0</v>
      </c>
      <c r="P731" s="20" t="n">
        <f aca="false">Inputs!$F$220/100*MAX(0,Operations!P727-Inputs!$F$221)*Inputs!$F$156/1000*Operations!P726</f>
        <v>0</v>
      </c>
      <c r="Q731" s="20" t="n">
        <f aca="false">Inputs!$F$220/100*MAX(0,Operations!Q727-Inputs!$F$221)*Inputs!$F$156/1000*Operations!Q726</f>
        <v>0</v>
      </c>
      <c r="R731" s="20" t="n">
        <f aca="false">Inputs!$F$220/100*MAX(0,Operations!R727-Inputs!$F$221)*Inputs!$F$156/1000*Operations!R726</f>
        <v>0</v>
      </c>
      <c r="S731" s="20" t="n">
        <f aca="false">Inputs!$F$220/100*MAX(0,Operations!S727-Inputs!$F$221)*Inputs!$F$156/1000*Operations!S726</f>
        <v>0</v>
      </c>
      <c r="T731" s="20" t="n">
        <f aca="false">Inputs!$F$220/100*MAX(0,Operations!T727-Inputs!$F$221)*Inputs!$F$156/1000*Operations!T726</f>
        <v>0</v>
      </c>
      <c r="U731" s="20" t="n">
        <f aca="false">Inputs!$F$220/100*MAX(0,Operations!U727-Inputs!$F$221)*Inputs!$F$156/1000*Operations!U726</f>
        <v>0</v>
      </c>
      <c r="V731" s="20" t="n">
        <f aca="false">Inputs!$F$220/100*MAX(0,Operations!V727-Inputs!$F$221)*Inputs!$F$156/1000*Operations!V726</f>
        <v>0</v>
      </c>
      <c r="W731" s="20" t="n">
        <f aca="false">Inputs!$F$220/100*MAX(0,Operations!W727-Inputs!$F$221)*Inputs!$F$156/1000*Operations!W726</f>
        <v>0</v>
      </c>
      <c r="X731" s="20" t="n">
        <f aca="false">Inputs!$F$220/100*MAX(0,Operations!X727-Inputs!$F$221)*Inputs!$F$156/1000*Operations!X726</f>
        <v>0</v>
      </c>
      <c r="Y731" s="20" t="n">
        <f aca="false">Inputs!$F$220/100*MAX(0,Operations!Y727-Inputs!$F$221)*Inputs!$F$156/1000*Operations!Y726</f>
        <v>0</v>
      </c>
      <c r="Z731" s="20" t="n">
        <f aca="false">Inputs!$F$220/100*MAX(0,Operations!Z727-Inputs!$F$221)*Inputs!$F$156/1000*Operations!Z726</f>
        <v>0</v>
      </c>
      <c r="AA731" s="20" t="n">
        <f aca="false">Inputs!$F$220/100*MAX(0,Operations!AA727-Inputs!$F$221)*Inputs!$F$156/1000*Operations!AA726</f>
        <v>0</v>
      </c>
      <c r="AB731" s="20" t="n">
        <f aca="false">Inputs!$F$220/100*MAX(0,Operations!AB727-Inputs!$F$221)*Inputs!$F$156/1000*Operations!AB726</f>
        <v>0</v>
      </c>
      <c r="AC731" s="20" t="n">
        <f aca="false">Inputs!$F$220/100*MAX(0,Operations!AC727-Inputs!$F$221)*Inputs!$F$156/1000*Operations!AC726</f>
        <v>0</v>
      </c>
      <c r="AD731" s="20" t="n">
        <f aca="false">Inputs!$F$220/100*MAX(0,Operations!AD727-Inputs!$F$221)*Inputs!$F$156/1000*Operations!AD726</f>
        <v>0</v>
      </c>
      <c r="AE731" s="20" t="n">
        <f aca="false">Inputs!$F$220/100*MAX(0,Operations!AE727-Inputs!$F$221)*Inputs!$F$156/1000*Operations!AE726</f>
        <v>0</v>
      </c>
      <c r="AF731" s="20" t="n">
        <f aca="false">Inputs!$F$220/100*MAX(0,Operations!AF727-Inputs!$F$221)*Inputs!$F$156/1000*Operations!AF726</f>
        <v>0</v>
      </c>
      <c r="AG731" s="20" t="n">
        <f aca="false">Inputs!$F$220/100*MAX(0,Operations!AG727-Inputs!$F$221)*Inputs!$F$156/1000*Operations!AG726</f>
        <v>0</v>
      </c>
      <c r="AH731" s="20" t="n">
        <f aca="false">Inputs!$F$220/100*MAX(0,Operations!AH727-Inputs!$F$221)*Inputs!$F$156/1000*Operations!AH726</f>
        <v>0</v>
      </c>
      <c r="AI731" s="20" t="n">
        <f aca="false">Inputs!$F$220/100*MAX(0,Operations!AI727-Inputs!$F$221)*Inputs!$F$156/1000*Operations!AI726</f>
        <v>0</v>
      </c>
      <c r="AJ731" s="20" t="n">
        <f aca="false">Inputs!$F$220/100*MAX(0,Operations!AJ727-Inputs!$F$221)*Inputs!$F$156/1000*Operations!AJ726</f>
        <v>0</v>
      </c>
      <c r="AK731" s="20" t="n">
        <f aca="false">Inputs!$F$220/100*MAX(0,Operations!AK727-Inputs!$F$221)*Inputs!$F$156/1000*Operations!AK726</f>
        <v>0</v>
      </c>
      <c r="AL731" s="20" t="n">
        <f aca="false">Inputs!$F$220/100*MAX(0,Operations!AL727-Inputs!$F$221)*Inputs!$F$156/1000*Operations!AL726</f>
        <v>0</v>
      </c>
      <c r="AM731" s="20" t="n">
        <f aca="false">Inputs!$F$220/100*MAX(0,Operations!AM727-Inputs!$F$221)*Inputs!$F$156/1000*Operations!AM726</f>
        <v>0</v>
      </c>
      <c r="AN731" s="20" t="n">
        <f aca="false">Inputs!$F$220/100*MAX(0,Operations!AN727-Inputs!$F$221)*Inputs!$F$156/1000*Operations!AN726</f>
        <v>0</v>
      </c>
      <c r="AO731" s="20" t="n">
        <f aca="false">Inputs!$F$220/100*MAX(0,Operations!AO727-Inputs!$F$221)*Inputs!$F$156/1000*Operations!AO726</f>
        <v>0</v>
      </c>
      <c r="AP731" s="20" t="n">
        <f aca="false">Inputs!$F$220/100*MAX(0,Operations!AP727-Inputs!$F$221)*Inputs!$F$156/1000*Operations!AP726</f>
        <v>0</v>
      </c>
      <c r="AQ731" s="20" t="n">
        <f aca="false">Inputs!$F$220/100*MAX(0,Operations!AQ727-Inputs!$F$221)*Inputs!$F$156/1000*Operations!AQ726</f>
        <v>0</v>
      </c>
      <c r="AR731" s="20" t="n">
        <f aca="false">Inputs!$F$220/100*MAX(0,Operations!AR727-Inputs!$F$221)*Inputs!$F$156/1000*Operations!AR726</f>
        <v>0</v>
      </c>
      <c r="AS731" s="20" t="n">
        <f aca="false">Inputs!$F$220/100*MAX(0,Operations!AS727-Inputs!$F$221)*Inputs!$F$156/1000*Operations!AS726</f>
        <v>0</v>
      </c>
      <c r="AT731" s="20" t="n">
        <f aca="false">Inputs!$F$220/100*MAX(0,Operations!AT727-Inputs!$F$221)*Inputs!$F$156/1000*Operations!AT726</f>
        <v>0</v>
      </c>
      <c r="AU731" s="20" t="n">
        <f aca="false">Inputs!$F$220/100*MAX(0,Operations!AU727-Inputs!$F$221)*Inputs!$F$156/1000*Operations!AU726</f>
        <v>0</v>
      </c>
    </row>
    <row r="732" customFormat="false" ht="15" hidden="false" customHeight="false" outlineLevel="0" collapsed="false">
      <c r="D732" s="0" t="s">
        <v>731</v>
      </c>
      <c r="E732" s="0" t="s">
        <v>47</v>
      </c>
      <c r="G732" s="20" t="n">
        <f aca="false">SUM(J732:AU732)</f>
        <v>12.3300327868852</v>
      </c>
      <c r="J732" s="20" t="n">
        <f aca="false">Operations!J729-Operations!J730-Operations!J731</f>
        <v>0</v>
      </c>
      <c r="K732" s="20" t="n">
        <f aca="false">Operations!K729-Operations!K730-Operations!K731</f>
        <v>0</v>
      </c>
      <c r="L732" s="20" t="n">
        <f aca="false">Operations!L729-Operations!L730-Operations!L731</f>
        <v>0.888928278688524</v>
      </c>
      <c r="M732" s="20" t="n">
        <f aca="false">Operations!M729-Operations!M730-Operations!M731</f>
        <v>2.5665</v>
      </c>
      <c r="N732" s="20" t="n">
        <f aca="false">Operations!N729-Operations!N730-Operations!N731</f>
        <v>1.762125</v>
      </c>
      <c r="O732" s="20" t="n">
        <f aca="false">Operations!O729-Operations!O730-Operations!O731</f>
        <v>1.6348875</v>
      </c>
      <c r="P732" s="20" t="n">
        <f aca="false">Operations!P729-Operations!P730-Operations!P731</f>
        <v>1.5061875</v>
      </c>
      <c r="Q732" s="20" t="n">
        <f aca="false">Operations!Q729-Operations!Q730-Operations!Q731</f>
        <v>1.376025</v>
      </c>
      <c r="R732" s="20" t="n">
        <f aca="false">Operations!R729-Operations!R730-Operations!R731</f>
        <v>1.2429375</v>
      </c>
      <c r="S732" s="20" t="n">
        <f aca="false">Operations!S729-Operations!S730-Operations!S731</f>
        <v>1.1083875</v>
      </c>
      <c r="T732" s="20" t="n">
        <f aca="false">Operations!T729-Operations!T730-Operations!T731</f>
        <v>0.244054508196721</v>
      </c>
      <c r="U732" s="20" t="n">
        <f aca="false">Operations!U729-Operations!U730-Operations!U731</f>
        <v>0</v>
      </c>
      <c r="V732" s="20" t="n">
        <f aca="false">Operations!V729-Operations!V730-Operations!V731</f>
        <v>0</v>
      </c>
      <c r="W732" s="20" t="n">
        <f aca="false">Operations!W729-Operations!W730-Operations!W731</f>
        <v>0</v>
      </c>
      <c r="X732" s="20" t="n">
        <f aca="false">Operations!X729-Operations!X730-Operations!X731</f>
        <v>0</v>
      </c>
      <c r="Y732" s="20" t="n">
        <f aca="false">Operations!Y729-Operations!Y730-Operations!Y731</f>
        <v>0</v>
      </c>
      <c r="Z732" s="20" t="n">
        <f aca="false">Operations!Z729-Operations!Z730-Operations!Z731</f>
        <v>0</v>
      </c>
      <c r="AA732" s="20" t="n">
        <f aca="false">Operations!AA729-Operations!AA730-Operations!AA731</f>
        <v>0</v>
      </c>
      <c r="AB732" s="20" t="n">
        <f aca="false">Operations!AB729-Operations!AB730-Operations!AB731</f>
        <v>0</v>
      </c>
      <c r="AC732" s="20" t="n">
        <f aca="false">Operations!AC729-Operations!AC730-Operations!AC731</f>
        <v>0</v>
      </c>
      <c r="AD732" s="20" t="n">
        <f aca="false">Operations!AD729-Operations!AD730-Operations!AD731</f>
        <v>0</v>
      </c>
      <c r="AE732" s="20" t="n">
        <f aca="false">Operations!AE729-Operations!AE730-Operations!AE731</f>
        <v>0</v>
      </c>
      <c r="AF732" s="20" t="n">
        <f aca="false">Operations!AF729-Operations!AF730-Operations!AF731</f>
        <v>0</v>
      </c>
      <c r="AG732" s="20" t="n">
        <f aca="false">Operations!AG729-Operations!AG730-Operations!AG731</f>
        <v>0</v>
      </c>
      <c r="AH732" s="20" t="n">
        <f aca="false">Operations!AH729-Operations!AH730-Operations!AH731</f>
        <v>0</v>
      </c>
      <c r="AI732" s="20" t="n">
        <f aca="false">Operations!AI729-Operations!AI730-Operations!AI731</f>
        <v>0</v>
      </c>
      <c r="AJ732" s="20" t="n">
        <f aca="false">Operations!AJ729-Operations!AJ730-Operations!AJ731</f>
        <v>0</v>
      </c>
      <c r="AK732" s="20" t="n">
        <f aca="false">Operations!AK729-Operations!AK730-Operations!AK731</f>
        <v>0</v>
      </c>
      <c r="AL732" s="20" t="n">
        <f aca="false">Operations!AL729-Operations!AL730-Operations!AL731</f>
        <v>0</v>
      </c>
      <c r="AM732" s="20" t="n">
        <f aca="false">Operations!AM729-Operations!AM730-Operations!AM731</f>
        <v>0</v>
      </c>
      <c r="AN732" s="20" t="n">
        <f aca="false">Operations!AN729-Operations!AN730-Operations!AN731</f>
        <v>0</v>
      </c>
      <c r="AO732" s="20" t="n">
        <f aca="false">Operations!AO729-Operations!AO730-Operations!AO731</f>
        <v>0</v>
      </c>
      <c r="AP732" s="20" t="n">
        <f aca="false">Operations!AP729-Operations!AP730-Operations!AP731</f>
        <v>0</v>
      </c>
      <c r="AQ732" s="20" t="n">
        <f aca="false">Operations!AQ729-Operations!AQ730-Operations!AQ731</f>
        <v>0</v>
      </c>
      <c r="AR732" s="20" t="n">
        <f aca="false">Operations!AR729-Operations!AR730-Operations!AR731</f>
        <v>0</v>
      </c>
      <c r="AS732" s="20" t="n">
        <f aca="false">Operations!AS729-Operations!AS730-Operations!AS731</f>
        <v>0</v>
      </c>
      <c r="AT732" s="20" t="n">
        <f aca="false">Operations!AT729-Operations!AT730-Operations!AT731</f>
        <v>0</v>
      </c>
      <c r="AU732" s="20" t="n">
        <f aca="false">Operations!AU729-Operations!AU730-Operations!AU731</f>
        <v>0</v>
      </c>
    </row>
    <row r="733" customFormat="false" ht="15" hidden="false" customHeight="false" outlineLevel="0" collapsed="false">
      <c r="D733" s="0" t="s">
        <v>732</v>
      </c>
      <c r="E733" s="0" t="s">
        <v>47</v>
      </c>
      <c r="G733" s="20" t="n">
        <f aca="false">SUM(J733:AU733)</f>
        <v>81.8120491803279</v>
      </c>
      <c r="J733" s="20" t="n">
        <f aca="false">(MAX(Operations!J727,Inputs!$F$218)-Inputs!$F$219-Inputs!$F$220/100*MAX(0,Operations!J727-Inputs!$F$221))*Inputs!$F$156/1000*Operations!J726</f>
        <v>0</v>
      </c>
      <c r="K733" s="20" t="n">
        <f aca="false">(MAX(Operations!K727,Inputs!$F$218)-Inputs!$F$219-Inputs!$F$220/100*MAX(0,Operations!K727-Inputs!$F$221))*Inputs!$F$156/1000*Operations!K726</f>
        <v>0</v>
      </c>
      <c r="L733" s="20" t="n">
        <f aca="false">(MAX(Operations!L727,Inputs!$F$218)-Inputs!$F$219-Inputs!$F$220/100*MAX(0,Operations!L727-Inputs!$F$221))*Inputs!$F$156/1000*Operations!L726</f>
        <v>7.6305737704918</v>
      </c>
      <c r="M733" s="20" t="n">
        <f aca="false">(MAX(Operations!M727,Inputs!$F$218)-Inputs!$F$219-Inputs!$F$220/100*MAX(0,Operations!M727-Inputs!$F$221))*Inputs!$F$156/1000*Operations!M726</f>
        <v>10.23</v>
      </c>
      <c r="N733" s="20" t="n">
        <f aca="false">(MAX(Operations!N727,Inputs!$F$218)-Inputs!$F$219-Inputs!$F$220/100*MAX(0,Operations!N727-Inputs!$F$221))*Inputs!$F$156/1000*Operations!N726</f>
        <v>10.23</v>
      </c>
      <c r="O733" s="20" t="n">
        <f aca="false">(MAX(Operations!O727,Inputs!$F$218)-Inputs!$F$219-Inputs!$F$220/100*MAX(0,Operations!O727-Inputs!$F$221))*Inputs!$F$156/1000*Operations!O726</f>
        <v>10.23</v>
      </c>
      <c r="P733" s="20" t="n">
        <f aca="false">(MAX(Operations!P727,Inputs!$F$218)-Inputs!$F$219-Inputs!$F$220/100*MAX(0,Operations!P727-Inputs!$F$221))*Inputs!$F$156/1000*Operations!P726</f>
        <v>10.23</v>
      </c>
      <c r="Q733" s="20" t="n">
        <f aca="false">(MAX(Operations!Q727,Inputs!$F$218)-Inputs!$F$219-Inputs!$F$220/100*MAX(0,Operations!Q727-Inputs!$F$221))*Inputs!$F$156/1000*Operations!Q726</f>
        <v>10.23</v>
      </c>
      <c r="R733" s="20" t="n">
        <f aca="false">(MAX(Operations!R727,Inputs!$F$218)-Inputs!$F$219-Inputs!$F$220/100*MAX(0,Operations!R727-Inputs!$F$221))*Inputs!$F$156/1000*Operations!R726</f>
        <v>10.23</v>
      </c>
      <c r="S733" s="20" t="n">
        <f aca="false">(MAX(Operations!S727,Inputs!$F$218)-Inputs!$F$219-Inputs!$F$220/100*MAX(0,Operations!S727-Inputs!$F$221))*Inputs!$F$156/1000*Operations!S726</f>
        <v>10.23</v>
      </c>
      <c r="T733" s="20" t="n">
        <f aca="false">(MAX(Operations!T727,Inputs!$F$218)-Inputs!$F$219-Inputs!$F$220/100*MAX(0,Operations!T727-Inputs!$F$221))*Inputs!$F$156/1000*Operations!T726</f>
        <v>2.57147540983607</v>
      </c>
      <c r="U733" s="20" t="n">
        <f aca="false">(MAX(Operations!U727,Inputs!$F$218)-Inputs!$F$219-Inputs!$F$220/100*MAX(0,Operations!U727-Inputs!$F$221))*Inputs!$F$156/1000*Operations!U726</f>
        <v>0</v>
      </c>
      <c r="V733" s="20" t="n">
        <f aca="false">(MAX(Operations!V727,Inputs!$F$218)-Inputs!$F$219-Inputs!$F$220/100*MAX(0,Operations!V727-Inputs!$F$221))*Inputs!$F$156/1000*Operations!V726</f>
        <v>0</v>
      </c>
      <c r="W733" s="20" t="n">
        <f aca="false">(MAX(Operations!W727,Inputs!$F$218)-Inputs!$F$219-Inputs!$F$220/100*MAX(0,Operations!W727-Inputs!$F$221))*Inputs!$F$156/1000*Operations!W726</f>
        <v>0</v>
      </c>
      <c r="X733" s="20" t="n">
        <f aca="false">(MAX(Operations!X727,Inputs!$F$218)-Inputs!$F$219-Inputs!$F$220/100*MAX(0,Operations!X727-Inputs!$F$221))*Inputs!$F$156/1000*Operations!X726</f>
        <v>0</v>
      </c>
      <c r="Y733" s="20" t="n">
        <f aca="false">(MAX(Operations!Y727,Inputs!$F$218)-Inputs!$F$219-Inputs!$F$220/100*MAX(0,Operations!Y727-Inputs!$F$221))*Inputs!$F$156/1000*Operations!Y726</f>
        <v>0</v>
      </c>
      <c r="Z733" s="20" t="n">
        <f aca="false">(MAX(Operations!Z727,Inputs!$F$218)-Inputs!$F$219-Inputs!$F$220/100*MAX(0,Operations!Z727-Inputs!$F$221))*Inputs!$F$156/1000*Operations!Z726</f>
        <v>0</v>
      </c>
      <c r="AA733" s="20" t="n">
        <f aca="false">(MAX(Operations!AA727,Inputs!$F$218)-Inputs!$F$219-Inputs!$F$220/100*MAX(0,Operations!AA727-Inputs!$F$221))*Inputs!$F$156/1000*Operations!AA726</f>
        <v>0</v>
      </c>
      <c r="AB733" s="20" t="n">
        <f aca="false">(MAX(Operations!AB727,Inputs!$F$218)-Inputs!$F$219-Inputs!$F$220/100*MAX(0,Operations!AB727-Inputs!$F$221))*Inputs!$F$156/1000*Operations!AB726</f>
        <v>0</v>
      </c>
      <c r="AC733" s="20" t="n">
        <f aca="false">(MAX(Operations!AC727,Inputs!$F$218)-Inputs!$F$219-Inputs!$F$220/100*MAX(0,Operations!AC727-Inputs!$F$221))*Inputs!$F$156/1000*Operations!AC726</f>
        <v>0</v>
      </c>
      <c r="AD733" s="20" t="n">
        <f aca="false">(MAX(Operations!AD727,Inputs!$F$218)-Inputs!$F$219-Inputs!$F$220/100*MAX(0,Operations!AD727-Inputs!$F$221))*Inputs!$F$156/1000*Operations!AD726</f>
        <v>0</v>
      </c>
      <c r="AE733" s="20" t="n">
        <f aca="false">(MAX(Operations!AE727,Inputs!$F$218)-Inputs!$F$219-Inputs!$F$220/100*MAX(0,Operations!AE727-Inputs!$F$221))*Inputs!$F$156/1000*Operations!AE726</f>
        <v>0</v>
      </c>
      <c r="AF733" s="20" t="n">
        <f aca="false">(MAX(Operations!AF727,Inputs!$F$218)-Inputs!$F$219-Inputs!$F$220/100*MAX(0,Operations!AF727-Inputs!$F$221))*Inputs!$F$156/1000*Operations!AF726</f>
        <v>0</v>
      </c>
      <c r="AG733" s="20" t="n">
        <f aca="false">(MAX(Operations!AG727,Inputs!$F$218)-Inputs!$F$219-Inputs!$F$220/100*MAX(0,Operations!AG727-Inputs!$F$221))*Inputs!$F$156/1000*Operations!AG726</f>
        <v>0</v>
      </c>
      <c r="AH733" s="20" t="n">
        <f aca="false">(MAX(Operations!AH727,Inputs!$F$218)-Inputs!$F$219-Inputs!$F$220/100*MAX(0,Operations!AH727-Inputs!$F$221))*Inputs!$F$156/1000*Operations!AH726</f>
        <v>0</v>
      </c>
      <c r="AI733" s="20" t="n">
        <f aca="false">(MAX(Operations!AI727,Inputs!$F$218)-Inputs!$F$219-Inputs!$F$220/100*MAX(0,Operations!AI727-Inputs!$F$221))*Inputs!$F$156/1000*Operations!AI726</f>
        <v>0</v>
      </c>
      <c r="AJ733" s="20" t="n">
        <f aca="false">(MAX(Operations!AJ727,Inputs!$F$218)-Inputs!$F$219-Inputs!$F$220/100*MAX(0,Operations!AJ727-Inputs!$F$221))*Inputs!$F$156/1000*Operations!AJ726</f>
        <v>0</v>
      </c>
      <c r="AK733" s="20" t="n">
        <f aca="false">(MAX(Operations!AK727,Inputs!$F$218)-Inputs!$F$219-Inputs!$F$220/100*MAX(0,Operations!AK727-Inputs!$F$221))*Inputs!$F$156/1000*Operations!AK726</f>
        <v>0</v>
      </c>
      <c r="AL733" s="20" t="n">
        <f aca="false">(MAX(Operations!AL727,Inputs!$F$218)-Inputs!$F$219-Inputs!$F$220/100*MAX(0,Operations!AL727-Inputs!$F$221))*Inputs!$F$156/1000*Operations!AL726</f>
        <v>0</v>
      </c>
      <c r="AM733" s="20" t="n">
        <f aca="false">(MAX(Operations!AM727,Inputs!$F$218)-Inputs!$F$219-Inputs!$F$220/100*MAX(0,Operations!AM727-Inputs!$F$221))*Inputs!$F$156/1000*Operations!AM726</f>
        <v>0</v>
      </c>
      <c r="AN733" s="20" t="n">
        <f aca="false">(MAX(Operations!AN727,Inputs!$F$218)-Inputs!$F$219-Inputs!$F$220/100*MAX(0,Operations!AN727-Inputs!$F$221))*Inputs!$F$156/1000*Operations!AN726</f>
        <v>0</v>
      </c>
      <c r="AO733" s="20" t="n">
        <f aca="false">(MAX(Operations!AO727,Inputs!$F$218)-Inputs!$F$219-Inputs!$F$220/100*MAX(0,Operations!AO727-Inputs!$F$221))*Inputs!$F$156/1000*Operations!AO726</f>
        <v>0</v>
      </c>
      <c r="AP733" s="20" t="n">
        <f aca="false">(MAX(Operations!AP727,Inputs!$F$218)-Inputs!$F$219-Inputs!$F$220/100*MAX(0,Operations!AP727-Inputs!$F$221))*Inputs!$F$156/1000*Operations!AP726</f>
        <v>0</v>
      </c>
      <c r="AQ733" s="20" t="n">
        <f aca="false">(MAX(Operations!AQ727,Inputs!$F$218)-Inputs!$F$219-Inputs!$F$220/100*MAX(0,Operations!AQ727-Inputs!$F$221))*Inputs!$F$156/1000*Operations!AQ726</f>
        <v>0</v>
      </c>
      <c r="AR733" s="20" t="n">
        <f aca="false">(MAX(Operations!AR727,Inputs!$F$218)-Inputs!$F$219-Inputs!$F$220/100*MAX(0,Operations!AR727-Inputs!$F$221))*Inputs!$F$156/1000*Operations!AR726</f>
        <v>0</v>
      </c>
      <c r="AS733" s="20" t="n">
        <f aca="false">(MAX(Operations!AS727,Inputs!$F$218)-Inputs!$F$219-Inputs!$F$220/100*MAX(0,Operations!AS727-Inputs!$F$221))*Inputs!$F$156/1000*Operations!AS726</f>
        <v>0</v>
      </c>
      <c r="AT733" s="20" t="n">
        <f aca="false">(MAX(Operations!AT727,Inputs!$F$218)-Inputs!$F$219-Inputs!$F$220/100*MAX(0,Operations!AT727-Inputs!$F$221))*Inputs!$F$156/1000*Operations!AT726</f>
        <v>0</v>
      </c>
      <c r="AU733" s="20" t="n">
        <f aca="false">(MAX(Operations!AU727,Inputs!$F$218)-Inputs!$F$219-Inputs!$F$220/100*MAX(0,Operations!AU727-Inputs!$F$221))*Inputs!$F$156/1000*Operations!AU726</f>
        <v>0</v>
      </c>
    </row>
    <row r="734" customFormat="false" ht="15" hidden="false" customHeight="false" outlineLevel="0" collapsed="false">
      <c r="D734" s="0" t="s">
        <v>733</v>
      </c>
      <c r="E734" s="0" t="s">
        <v>47</v>
      </c>
      <c r="G734" s="20" t="n">
        <f aca="false">SUM(J734:AU734)</f>
        <v>117.005845741519</v>
      </c>
      <c r="J734" s="20" t="n">
        <f aca="false">Operations!J727*Inputs!$F$156/1000*(Operations!J713-Operations!J726)</f>
        <v>0</v>
      </c>
      <c r="K734" s="20" t="n">
        <f aca="false">Operations!K727*Inputs!$F$156/1000*(Operations!K713-Operations!K726)</f>
        <v>0</v>
      </c>
      <c r="L734" s="20" t="n">
        <f aca="false">Operations!L727*Inputs!$F$156/1000*(Operations!L713-Operations!L726)</f>
        <v>0</v>
      </c>
      <c r="M734" s="20" t="n">
        <f aca="false">Operations!M727*Inputs!$F$156/1000*(Operations!M713-Operations!M726)</f>
        <v>0</v>
      </c>
      <c r="N734" s="20" t="n">
        <f aca="false">Operations!N727*Inputs!$F$156/1000*(Operations!N713-Operations!N726)</f>
        <v>0</v>
      </c>
      <c r="O734" s="20" t="n">
        <f aca="false">Operations!O727*Inputs!$F$156/1000*(Operations!O713-Operations!O726)</f>
        <v>0</v>
      </c>
      <c r="P734" s="20" t="n">
        <f aca="false">Operations!P727*Inputs!$F$156/1000*(Operations!P713-Operations!P726)</f>
        <v>0</v>
      </c>
      <c r="Q734" s="20" t="n">
        <f aca="false">Operations!Q727*Inputs!$F$156/1000*(Operations!Q713-Operations!Q726)</f>
        <v>0</v>
      </c>
      <c r="R734" s="20" t="n">
        <f aca="false">Operations!R727*Inputs!$F$156/1000*(Operations!R713-Operations!R726)</f>
        <v>0</v>
      </c>
      <c r="S734" s="20" t="n">
        <f aca="false">Operations!S727*Inputs!$F$156/1000*(Operations!S713-Operations!S726)</f>
        <v>0</v>
      </c>
      <c r="T734" s="20" t="n">
        <f aca="false">Operations!T727*Inputs!$F$156/1000*(Operations!T713-Operations!T726)</f>
        <v>6.93166659836066</v>
      </c>
      <c r="U734" s="20" t="n">
        <f aca="false">Operations!U727*Inputs!$F$156/1000*(Operations!U713-Operations!U726)</f>
        <v>9.398025</v>
      </c>
      <c r="V734" s="20" t="n">
        <f aca="false">Operations!V727*Inputs!$F$156/1000*(Operations!V713-Operations!V726)</f>
        <v>9.538425</v>
      </c>
      <c r="W734" s="20" t="n">
        <f aca="false">Operations!W727*Inputs!$F$156/1000*(Operations!W713-Operations!W726)</f>
        <v>9.68175</v>
      </c>
      <c r="X734" s="20" t="n">
        <f aca="false">Operations!X727*Inputs!$F$156/1000*(Operations!X713-Operations!X726)</f>
        <v>9.80436183167466</v>
      </c>
      <c r="Y734" s="20" t="n">
        <f aca="false">Operations!Y727*Inputs!$F$156/1000*(Operations!Y713-Operations!Y726)</f>
        <v>9.82589327876712</v>
      </c>
      <c r="Z734" s="20" t="n">
        <f aca="false">Operations!Z727*Inputs!$F$156/1000*(Operations!Z713-Operations!Z726)</f>
        <v>9.8453026195274</v>
      </c>
      <c r="AA734" s="20" t="n">
        <f aca="false">Operations!AA727*Inputs!$F$156/1000*(Operations!AA713-Operations!AA726)</f>
        <v>9.86530211269521</v>
      </c>
      <c r="AB734" s="20" t="n">
        <f aca="false">Operations!AB727*Inputs!$F$156/1000*(Operations!AB713-Operations!AB726)</f>
        <v>9.88428054085274</v>
      </c>
      <c r="AC734" s="20" t="n">
        <f aca="false">Operations!AC727*Inputs!$F$156/1000*(Operations!AC713-Operations!AC726)</f>
        <v>9.90221233028425</v>
      </c>
      <c r="AD734" s="20" t="n">
        <f aca="false">Operations!AD727*Inputs!$F$156/1000*(Operations!AD713-Operations!AD726)</f>
        <v>9.91917927781336</v>
      </c>
      <c r="AE734" s="20" t="n">
        <f aca="false">Operations!AE727*Inputs!$F$156/1000*(Operations!AE713-Operations!AE726)</f>
        <v>9.93519293097945</v>
      </c>
      <c r="AF734" s="20" t="n">
        <f aca="false">Operations!AF727*Inputs!$F$156/1000*(Operations!AF713-Operations!AF726)</f>
        <v>2.47425422056462</v>
      </c>
      <c r="AG734" s="20" t="n">
        <f aca="false">Operations!AG727*Inputs!$F$156/1000*(Operations!AG713-Operations!AG726)</f>
        <v>0</v>
      </c>
      <c r="AH734" s="20" t="n">
        <f aca="false">Operations!AH727*Inputs!$F$156/1000*(Operations!AH713-Operations!AH726)</f>
        <v>0</v>
      </c>
      <c r="AI734" s="20" t="n">
        <f aca="false">Operations!AI727*Inputs!$F$156/1000*(Operations!AI713-Operations!AI726)</f>
        <v>0</v>
      </c>
      <c r="AJ734" s="20" t="n">
        <f aca="false">Operations!AJ727*Inputs!$F$156/1000*(Operations!AJ713-Operations!AJ726)</f>
        <v>0</v>
      </c>
      <c r="AK734" s="20" t="n">
        <f aca="false">Operations!AK727*Inputs!$F$156/1000*(Operations!AK713-Operations!AK726)</f>
        <v>0</v>
      </c>
      <c r="AL734" s="20" t="n">
        <f aca="false">Operations!AL727*Inputs!$F$156/1000*(Operations!AL713-Operations!AL726)</f>
        <v>0</v>
      </c>
      <c r="AM734" s="20" t="n">
        <f aca="false">Operations!AM727*Inputs!$F$156/1000*(Operations!AM713-Operations!AM726)</f>
        <v>0</v>
      </c>
      <c r="AN734" s="20" t="n">
        <f aca="false">Operations!AN727*Inputs!$F$156/1000*(Operations!AN713-Operations!AN726)</f>
        <v>0</v>
      </c>
      <c r="AO734" s="20" t="n">
        <f aca="false">Operations!AO727*Inputs!$F$156/1000*(Operations!AO713-Operations!AO726)</f>
        <v>0</v>
      </c>
      <c r="AP734" s="20" t="n">
        <f aca="false">Operations!AP727*Inputs!$F$156/1000*(Operations!AP713-Operations!AP726)</f>
        <v>0</v>
      </c>
      <c r="AQ734" s="20" t="n">
        <f aca="false">Operations!AQ727*Inputs!$F$156/1000*(Operations!AQ713-Operations!AQ726)</f>
        <v>0</v>
      </c>
      <c r="AR734" s="20" t="n">
        <f aca="false">Operations!AR727*Inputs!$F$156/1000*(Operations!AR713-Operations!AR726)</f>
        <v>0</v>
      </c>
      <c r="AS734" s="20" t="n">
        <f aca="false">Operations!AS727*Inputs!$F$156/1000*(Operations!AS713-Operations!AS726)</f>
        <v>0</v>
      </c>
      <c r="AT734" s="20" t="n">
        <f aca="false">Operations!AT727*Inputs!$F$156/1000*(Operations!AT713-Operations!AT726)</f>
        <v>0</v>
      </c>
      <c r="AU734" s="20" t="n">
        <f aca="false">Operations!AU727*Inputs!$F$156/1000*(Operations!AU713-Operations!AU726)</f>
        <v>0</v>
      </c>
    </row>
    <row r="735" customFormat="false" ht="15" hidden="false" customHeight="false" outlineLevel="0" collapsed="false">
      <c r="D735" s="0" t="s">
        <v>734</v>
      </c>
      <c r="E735" s="0" t="s">
        <v>47</v>
      </c>
      <c r="J735" s="20" t="n">
        <f aca="false">(Inputs!$F$218-Inputs!$F$219)*Inputs!$F$156/1000*Operations!J726</f>
        <v>0</v>
      </c>
      <c r="K735" s="20" t="n">
        <f aca="false">(Inputs!$F$218-Inputs!$F$219)*Inputs!$F$156/1000*Operations!K726</f>
        <v>0</v>
      </c>
      <c r="L735" s="20" t="n">
        <f aca="false">(Inputs!$F$218-Inputs!$F$219)*Inputs!$F$156/1000*Operations!L726</f>
        <v>7.6305737704918</v>
      </c>
      <c r="M735" s="20" t="n">
        <f aca="false">(Inputs!$F$218-Inputs!$F$219)*Inputs!$F$156/1000*Operations!M726</f>
        <v>10.23</v>
      </c>
      <c r="N735" s="20" t="n">
        <f aca="false">(Inputs!$F$218-Inputs!$F$219)*Inputs!$F$156/1000*Operations!N726</f>
        <v>10.23</v>
      </c>
      <c r="O735" s="20" t="n">
        <f aca="false">(Inputs!$F$218-Inputs!$F$219)*Inputs!$F$156/1000*Operations!O726</f>
        <v>10.23</v>
      </c>
      <c r="P735" s="20" t="n">
        <f aca="false">(Inputs!$F$218-Inputs!$F$219)*Inputs!$F$156/1000*Operations!P726</f>
        <v>10.23</v>
      </c>
      <c r="Q735" s="20" t="n">
        <f aca="false">(Inputs!$F$218-Inputs!$F$219)*Inputs!$F$156/1000*Operations!Q726</f>
        <v>10.23</v>
      </c>
      <c r="R735" s="20" t="n">
        <f aca="false">(Inputs!$F$218-Inputs!$F$219)*Inputs!$F$156/1000*Operations!R726</f>
        <v>10.23</v>
      </c>
      <c r="S735" s="20" t="n">
        <f aca="false">(Inputs!$F$218-Inputs!$F$219)*Inputs!$F$156/1000*Operations!S726</f>
        <v>10.23</v>
      </c>
      <c r="T735" s="20" t="n">
        <f aca="false">(Inputs!$F$218-Inputs!$F$219)*Inputs!$F$156/1000*Operations!T726</f>
        <v>2.57147540983607</v>
      </c>
      <c r="U735" s="20" t="n">
        <f aca="false">(Inputs!$F$218-Inputs!$F$219)*Inputs!$F$156/1000*Operations!U726</f>
        <v>0</v>
      </c>
      <c r="V735" s="20" t="n">
        <f aca="false">(Inputs!$F$218-Inputs!$F$219)*Inputs!$F$156/1000*Operations!V726</f>
        <v>0</v>
      </c>
      <c r="W735" s="20" t="n">
        <f aca="false">(Inputs!$F$218-Inputs!$F$219)*Inputs!$F$156/1000*Operations!W726</f>
        <v>0</v>
      </c>
      <c r="X735" s="20" t="n">
        <f aca="false">(Inputs!$F$218-Inputs!$F$219)*Inputs!$F$156/1000*Operations!X726</f>
        <v>0</v>
      </c>
      <c r="Y735" s="20" t="n">
        <f aca="false">(Inputs!$F$218-Inputs!$F$219)*Inputs!$F$156/1000*Operations!Y726</f>
        <v>0</v>
      </c>
      <c r="Z735" s="20" t="n">
        <f aca="false">(Inputs!$F$218-Inputs!$F$219)*Inputs!$F$156/1000*Operations!Z726</f>
        <v>0</v>
      </c>
      <c r="AA735" s="20" t="n">
        <f aca="false">(Inputs!$F$218-Inputs!$F$219)*Inputs!$F$156/1000*Operations!AA726</f>
        <v>0</v>
      </c>
      <c r="AB735" s="20" t="n">
        <f aca="false">(Inputs!$F$218-Inputs!$F$219)*Inputs!$F$156/1000*Operations!AB726</f>
        <v>0</v>
      </c>
      <c r="AC735" s="20" t="n">
        <f aca="false">(Inputs!$F$218-Inputs!$F$219)*Inputs!$F$156/1000*Operations!AC726</f>
        <v>0</v>
      </c>
      <c r="AD735" s="20" t="n">
        <f aca="false">(Inputs!$F$218-Inputs!$F$219)*Inputs!$F$156/1000*Operations!AD726</f>
        <v>0</v>
      </c>
      <c r="AE735" s="20" t="n">
        <f aca="false">(Inputs!$F$218-Inputs!$F$219)*Inputs!$F$156/1000*Operations!AE726</f>
        <v>0</v>
      </c>
      <c r="AF735" s="20" t="n">
        <f aca="false">(Inputs!$F$218-Inputs!$F$219)*Inputs!$F$156/1000*Operations!AF726</f>
        <v>0</v>
      </c>
      <c r="AG735" s="20" t="n">
        <f aca="false">(Inputs!$F$218-Inputs!$F$219)*Inputs!$F$156/1000*Operations!AG726</f>
        <v>0</v>
      </c>
      <c r="AH735" s="20" t="n">
        <f aca="false">(Inputs!$F$218-Inputs!$F$219)*Inputs!$F$156/1000*Operations!AH726</f>
        <v>0</v>
      </c>
      <c r="AI735" s="20" t="n">
        <f aca="false">(Inputs!$F$218-Inputs!$F$219)*Inputs!$F$156/1000*Operations!AI726</f>
        <v>0</v>
      </c>
      <c r="AJ735" s="20" t="n">
        <f aca="false">(Inputs!$F$218-Inputs!$F$219)*Inputs!$F$156/1000*Operations!AJ726</f>
        <v>0</v>
      </c>
      <c r="AK735" s="20" t="n">
        <f aca="false">(Inputs!$F$218-Inputs!$F$219)*Inputs!$F$156/1000*Operations!AK726</f>
        <v>0</v>
      </c>
      <c r="AL735" s="20" t="n">
        <f aca="false">(Inputs!$F$218-Inputs!$F$219)*Inputs!$F$156/1000*Operations!AL726</f>
        <v>0</v>
      </c>
      <c r="AM735" s="20" t="n">
        <f aca="false">(Inputs!$F$218-Inputs!$F$219)*Inputs!$F$156/1000*Operations!AM726</f>
        <v>0</v>
      </c>
      <c r="AN735" s="20" t="n">
        <f aca="false">(Inputs!$F$218-Inputs!$F$219)*Inputs!$F$156/1000*Operations!AN726</f>
        <v>0</v>
      </c>
      <c r="AO735" s="20" t="n">
        <f aca="false">(Inputs!$F$218-Inputs!$F$219)*Inputs!$F$156/1000*Operations!AO726</f>
        <v>0</v>
      </c>
      <c r="AP735" s="20" t="n">
        <f aca="false">(Inputs!$F$218-Inputs!$F$219)*Inputs!$F$156/1000*Operations!AP726</f>
        <v>0</v>
      </c>
      <c r="AQ735" s="20" t="n">
        <f aca="false">(Inputs!$F$218-Inputs!$F$219)*Inputs!$F$156/1000*Operations!AQ726</f>
        <v>0</v>
      </c>
      <c r="AR735" s="20" t="n">
        <f aca="false">(Inputs!$F$218-Inputs!$F$219)*Inputs!$F$156/1000*Operations!AR726</f>
        <v>0</v>
      </c>
      <c r="AS735" s="20" t="n">
        <f aca="false">(Inputs!$F$218-Inputs!$F$219)*Inputs!$F$156/1000*Operations!AS726</f>
        <v>0</v>
      </c>
      <c r="AT735" s="20" t="n">
        <f aca="false">(Inputs!$F$218-Inputs!$F$219)*Inputs!$F$156/1000*Operations!AT726</f>
        <v>0</v>
      </c>
      <c r="AU735" s="20" t="n">
        <f aca="false">(Inputs!$F$218-Inputs!$F$219)*Inputs!$F$156/1000*Operations!AU726</f>
        <v>0</v>
      </c>
    </row>
    <row r="736" customFormat="false" ht="15" hidden="false" customHeight="false" outlineLevel="0" collapsed="false">
      <c r="D736" s="0" t="s">
        <v>735</v>
      </c>
      <c r="E736" s="0" t="s">
        <v>47</v>
      </c>
      <c r="J736" s="20" t="n">
        <f aca="false">0</f>
        <v>0</v>
      </c>
      <c r="K736" s="20" t="n">
        <f aca="false">0</f>
        <v>0</v>
      </c>
      <c r="L736" s="20" t="n">
        <f aca="false">0</f>
        <v>0</v>
      </c>
      <c r="M736" s="20" t="n">
        <f aca="false">0</f>
        <v>0</v>
      </c>
      <c r="N736" s="20" t="n">
        <f aca="false">0</f>
        <v>0</v>
      </c>
      <c r="O736" s="20" t="n">
        <f aca="false">0</f>
        <v>0</v>
      </c>
      <c r="P736" s="20" t="n">
        <f aca="false">0</f>
        <v>0</v>
      </c>
      <c r="Q736" s="20" t="n">
        <f aca="false">0</f>
        <v>0</v>
      </c>
      <c r="R736" s="20" t="n">
        <f aca="false">0</f>
        <v>0</v>
      </c>
      <c r="S736" s="20" t="n">
        <f aca="false">0</f>
        <v>0</v>
      </c>
      <c r="T736" s="20" t="n">
        <f aca="false">0</f>
        <v>0</v>
      </c>
      <c r="U736" s="20" t="n">
        <f aca="false">0</f>
        <v>0</v>
      </c>
      <c r="V736" s="20" t="n">
        <f aca="false">0</f>
        <v>0</v>
      </c>
      <c r="W736" s="20" t="n">
        <f aca="false">0</f>
        <v>0</v>
      </c>
      <c r="X736" s="20" t="n">
        <f aca="false">0</f>
        <v>0</v>
      </c>
      <c r="Y736" s="20" t="n">
        <f aca="false">0</f>
        <v>0</v>
      </c>
      <c r="Z736" s="20" t="n">
        <f aca="false">0</f>
        <v>0</v>
      </c>
      <c r="AA736" s="20" t="n">
        <f aca="false">0</f>
        <v>0</v>
      </c>
      <c r="AB736" s="20" t="n">
        <f aca="false">0</f>
        <v>0</v>
      </c>
      <c r="AC736" s="20" t="n">
        <f aca="false">0</f>
        <v>0</v>
      </c>
      <c r="AD736" s="20" t="n">
        <f aca="false">0</f>
        <v>0</v>
      </c>
      <c r="AE736" s="20" t="n">
        <f aca="false">0</f>
        <v>0</v>
      </c>
      <c r="AF736" s="20" t="n">
        <f aca="false">0</f>
        <v>0</v>
      </c>
      <c r="AG736" s="20" t="n">
        <f aca="false">0</f>
        <v>0</v>
      </c>
      <c r="AH736" s="20" t="n">
        <f aca="false">0</f>
        <v>0</v>
      </c>
      <c r="AI736" s="20" t="n">
        <f aca="false">0</f>
        <v>0</v>
      </c>
      <c r="AJ736" s="20" t="n">
        <f aca="false">0</f>
        <v>0</v>
      </c>
      <c r="AK736" s="20" t="n">
        <f aca="false">0</f>
        <v>0</v>
      </c>
      <c r="AL736" s="20" t="n">
        <f aca="false">0</f>
        <v>0</v>
      </c>
      <c r="AM736" s="20" t="n">
        <f aca="false">0</f>
        <v>0</v>
      </c>
      <c r="AN736" s="20" t="n">
        <f aca="false">0</f>
        <v>0</v>
      </c>
      <c r="AO736" s="20" t="n">
        <f aca="false">0</f>
        <v>0</v>
      </c>
      <c r="AP736" s="20" t="n">
        <f aca="false">0</f>
        <v>0</v>
      </c>
      <c r="AQ736" s="20" t="n">
        <f aca="false">0</f>
        <v>0</v>
      </c>
      <c r="AR736" s="20" t="n">
        <f aca="false">0</f>
        <v>0</v>
      </c>
      <c r="AS736" s="20" t="n">
        <f aca="false">0</f>
        <v>0</v>
      </c>
      <c r="AT736" s="20" t="n">
        <f aca="false">0</f>
        <v>0</v>
      </c>
      <c r="AU736" s="20" t="n">
        <f aca="false">0</f>
        <v>0</v>
      </c>
    </row>
    <row r="737" customFormat="false" ht="15" hidden="false" customHeight="false" outlineLevel="0" collapsed="false">
      <c r="D737" s="0" t="s">
        <v>736</v>
      </c>
      <c r="E737" s="0" t="s">
        <v>47</v>
      </c>
      <c r="G737" s="20" t="n">
        <f aca="false">SUM(J737:AU737)</f>
        <v>198.817894921847</v>
      </c>
      <c r="J737" s="20" t="n">
        <f aca="false">Operations!J733+Operations!J734</f>
        <v>0</v>
      </c>
      <c r="K737" s="20" t="n">
        <f aca="false">Operations!K733+Operations!K734</f>
        <v>0</v>
      </c>
      <c r="L737" s="20" t="n">
        <f aca="false">Operations!L733+Operations!L734</f>
        <v>7.6305737704918</v>
      </c>
      <c r="M737" s="20" t="n">
        <f aca="false">Operations!M733+Operations!M734</f>
        <v>10.23</v>
      </c>
      <c r="N737" s="20" t="n">
        <f aca="false">Operations!N733+Operations!N734</f>
        <v>10.23</v>
      </c>
      <c r="O737" s="20" t="n">
        <f aca="false">Operations!O733+Operations!O734</f>
        <v>10.23</v>
      </c>
      <c r="P737" s="20" t="n">
        <f aca="false">Operations!P733+Operations!P734</f>
        <v>10.23</v>
      </c>
      <c r="Q737" s="20" t="n">
        <f aca="false">Operations!Q733+Operations!Q734</f>
        <v>10.23</v>
      </c>
      <c r="R737" s="20" t="n">
        <f aca="false">Operations!R733+Operations!R734</f>
        <v>10.23</v>
      </c>
      <c r="S737" s="20" t="n">
        <f aca="false">Operations!S733+Operations!S734</f>
        <v>10.23</v>
      </c>
      <c r="T737" s="20" t="n">
        <f aca="false">Operations!T733+Operations!T734</f>
        <v>9.50314200819672</v>
      </c>
      <c r="U737" s="20" t="n">
        <f aca="false">Operations!U733+Operations!U734</f>
        <v>9.398025</v>
      </c>
      <c r="V737" s="20" t="n">
        <f aca="false">Operations!V733+Operations!V734</f>
        <v>9.538425</v>
      </c>
      <c r="W737" s="20" t="n">
        <f aca="false">Operations!W733+Operations!W734</f>
        <v>9.68175</v>
      </c>
      <c r="X737" s="20" t="n">
        <f aca="false">Operations!X733+Operations!X734</f>
        <v>9.80436183167466</v>
      </c>
      <c r="Y737" s="20" t="n">
        <f aca="false">Operations!Y733+Operations!Y734</f>
        <v>9.82589327876712</v>
      </c>
      <c r="Z737" s="20" t="n">
        <f aca="false">Operations!Z733+Operations!Z734</f>
        <v>9.8453026195274</v>
      </c>
      <c r="AA737" s="20" t="n">
        <f aca="false">Operations!AA733+Operations!AA734</f>
        <v>9.86530211269521</v>
      </c>
      <c r="AB737" s="20" t="n">
        <f aca="false">Operations!AB733+Operations!AB734</f>
        <v>9.88428054085274</v>
      </c>
      <c r="AC737" s="20" t="n">
        <f aca="false">Operations!AC733+Operations!AC734</f>
        <v>9.90221233028425</v>
      </c>
      <c r="AD737" s="20" t="n">
        <f aca="false">Operations!AD733+Operations!AD734</f>
        <v>9.91917927781336</v>
      </c>
      <c r="AE737" s="20" t="n">
        <f aca="false">Operations!AE733+Operations!AE734</f>
        <v>9.93519293097945</v>
      </c>
      <c r="AF737" s="20" t="n">
        <f aca="false">Operations!AF733+Operations!AF734</f>
        <v>2.47425422056462</v>
      </c>
      <c r="AG737" s="20" t="n">
        <f aca="false">Operations!AG733+Operations!AG734</f>
        <v>0</v>
      </c>
      <c r="AH737" s="20" t="n">
        <f aca="false">Operations!AH733+Operations!AH734</f>
        <v>0</v>
      </c>
      <c r="AI737" s="20" t="n">
        <f aca="false">Operations!AI733+Operations!AI734</f>
        <v>0</v>
      </c>
      <c r="AJ737" s="20" t="n">
        <f aca="false">Operations!AJ733+Operations!AJ734</f>
        <v>0</v>
      </c>
      <c r="AK737" s="20" t="n">
        <f aca="false">Operations!AK733+Operations!AK734</f>
        <v>0</v>
      </c>
      <c r="AL737" s="20" t="n">
        <f aca="false">Operations!AL733+Operations!AL734</f>
        <v>0</v>
      </c>
      <c r="AM737" s="20" t="n">
        <f aca="false">Operations!AM733+Operations!AM734</f>
        <v>0</v>
      </c>
      <c r="AN737" s="20" t="n">
        <f aca="false">Operations!AN733+Operations!AN734</f>
        <v>0</v>
      </c>
      <c r="AO737" s="20" t="n">
        <f aca="false">Operations!AO733+Operations!AO734</f>
        <v>0</v>
      </c>
      <c r="AP737" s="20" t="n">
        <f aca="false">Operations!AP733+Operations!AP734</f>
        <v>0</v>
      </c>
      <c r="AQ737" s="20" t="n">
        <f aca="false">Operations!AQ733+Operations!AQ734</f>
        <v>0</v>
      </c>
      <c r="AR737" s="20" t="n">
        <f aca="false">Operations!AR733+Operations!AR734</f>
        <v>0</v>
      </c>
      <c r="AS737" s="20" t="n">
        <f aca="false">Operations!AS733+Operations!AS734</f>
        <v>0</v>
      </c>
      <c r="AT737" s="20" t="n">
        <f aca="false">Operations!AT733+Operations!AT734</f>
        <v>0</v>
      </c>
      <c r="AU737" s="20" t="n">
        <f aca="false">Operations!AU733+Operations!AU734</f>
        <v>0</v>
      </c>
    </row>
    <row r="738" customFormat="false" ht="15" hidden="false" customHeight="false" outlineLevel="0" collapsed="false">
      <c r="D738" s="0" t="s">
        <v>737</v>
      </c>
      <c r="E738" s="0" t="s">
        <v>47</v>
      </c>
      <c r="J738" s="20" t="n">
        <f aca="false">Operations!J737-Operations!J735-Operations!J736</f>
        <v>0</v>
      </c>
      <c r="K738" s="20" t="n">
        <f aca="false">Operations!K737-Operations!K735-Operations!K736</f>
        <v>0</v>
      </c>
      <c r="L738" s="20" t="n">
        <f aca="false">Operations!L737-Operations!L735-Operations!L736</f>
        <v>0</v>
      </c>
      <c r="M738" s="20" t="n">
        <f aca="false">Operations!M737-Operations!M735-Operations!M736</f>
        <v>0</v>
      </c>
      <c r="N738" s="20" t="n">
        <f aca="false">Operations!N737-Operations!N735-Operations!N736</f>
        <v>0</v>
      </c>
      <c r="O738" s="20" t="n">
        <f aca="false">Operations!O737-Operations!O735-Operations!O736</f>
        <v>0</v>
      </c>
      <c r="P738" s="20" t="n">
        <f aca="false">Operations!P737-Operations!P735-Operations!P736</f>
        <v>0</v>
      </c>
      <c r="Q738" s="20" t="n">
        <f aca="false">Operations!Q737-Operations!Q735-Operations!Q736</f>
        <v>0</v>
      </c>
      <c r="R738" s="20" t="n">
        <f aca="false">Operations!R737-Operations!R735-Operations!R736</f>
        <v>0</v>
      </c>
      <c r="S738" s="20" t="n">
        <f aca="false">Operations!S737-Operations!S735-Operations!S736</f>
        <v>0</v>
      </c>
      <c r="T738" s="20" t="n">
        <f aca="false">Operations!T737-Operations!T735-Operations!T736</f>
        <v>6.93166659836066</v>
      </c>
      <c r="U738" s="20" t="n">
        <f aca="false">Operations!U737-Operations!U735-Operations!U736</f>
        <v>9.398025</v>
      </c>
      <c r="V738" s="20" t="n">
        <f aca="false">Operations!V737-Operations!V735-Operations!V736</f>
        <v>9.538425</v>
      </c>
      <c r="W738" s="20" t="n">
        <f aca="false">Operations!W737-Operations!W735-Operations!W736</f>
        <v>9.68175</v>
      </c>
      <c r="X738" s="20" t="n">
        <f aca="false">Operations!X737-Operations!X735-Operations!X736</f>
        <v>9.80436183167466</v>
      </c>
      <c r="Y738" s="20" t="n">
        <f aca="false">Operations!Y737-Operations!Y735-Operations!Y736</f>
        <v>9.82589327876712</v>
      </c>
      <c r="Z738" s="20" t="n">
        <f aca="false">Operations!Z737-Operations!Z735-Operations!Z736</f>
        <v>9.8453026195274</v>
      </c>
      <c r="AA738" s="20" t="n">
        <f aca="false">Operations!AA737-Operations!AA735-Operations!AA736</f>
        <v>9.86530211269521</v>
      </c>
      <c r="AB738" s="20" t="n">
        <f aca="false">Operations!AB737-Operations!AB735-Operations!AB736</f>
        <v>9.88428054085274</v>
      </c>
      <c r="AC738" s="20" t="n">
        <f aca="false">Operations!AC737-Operations!AC735-Operations!AC736</f>
        <v>9.90221233028425</v>
      </c>
      <c r="AD738" s="20" t="n">
        <f aca="false">Operations!AD737-Operations!AD735-Operations!AD736</f>
        <v>9.91917927781336</v>
      </c>
      <c r="AE738" s="20" t="n">
        <f aca="false">Operations!AE737-Operations!AE735-Operations!AE736</f>
        <v>9.93519293097945</v>
      </c>
      <c r="AF738" s="20" t="n">
        <f aca="false">Operations!AF737-Operations!AF735-Operations!AF736</f>
        <v>2.47425422056462</v>
      </c>
      <c r="AG738" s="20" t="n">
        <f aca="false">Operations!AG737-Operations!AG735-Operations!AG736</f>
        <v>0</v>
      </c>
      <c r="AH738" s="20" t="n">
        <f aca="false">Operations!AH737-Operations!AH735-Operations!AH736</f>
        <v>0</v>
      </c>
      <c r="AI738" s="20" t="n">
        <f aca="false">Operations!AI737-Operations!AI735-Operations!AI736</f>
        <v>0</v>
      </c>
      <c r="AJ738" s="20" t="n">
        <f aca="false">Operations!AJ737-Operations!AJ735-Operations!AJ736</f>
        <v>0</v>
      </c>
      <c r="AK738" s="20" t="n">
        <f aca="false">Operations!AK737-Operations!AK735-Operations!AK736</f>
        <v>0</v>
      </c>
      <c r="AL738" s="20" t="n">
        <f aca="false">Operations!AL737-Operations!AL735-Operations!AL736</f>
        <v>0</v>
      </c>
      <c r="AM738" s="20" t="n">
        <f aca="false">Operations!AM737-Operations!AM735-Operations!AM736</f>
        <v>0</v>
      </c>
      <c r="AN738" s="20" t="n">
        <f aca="false">Operations!AN737-Operations!AN735-Operations!AN736</f>
        <v>0</v>
      </c>
      <c r="AO738" s="20" t="n">
        <f aca="false">Operations!AO737-Operations!AO735-Operations!AO736</f>
        <v>0</v>
      </c>
      <c r="AP738" s="20" t="n">
        <f aca="false">Operations!AP737-Operations!AP735-Operations!AP736</f>
        <v>0</v>
      </c>
      <c r="AQ738" s="20" t="n">
        <f aca="false">Operations!AQ737-Operations!AQ735-Operations!AQ736</f>
        <v>0</v>
      </c>
      <c r="AR738" s="20" t="n">
        <f aca="false">Operations!AR737-Operations!AR735-Operations!AR736</f>
        <v>0</v>
      </c>
      <c r="AS738" s="20" t="n">
        <f aca="false">Operations!AS737-Operations!AS735-Operations!AS736</f>
        <v>0</v>
      </c>
      <c r="AT738" s="20" t="n">
        <f aca="false">Operations!AT737-Operations!AT735-Operations!AT736</f>
        <v>0</v>
      </c>
      <c r="AU738" s="20" t="n">
        <f aca="false">Operations!AU737-Operations!AU735-Operations!AU736</f>
        <v>0</v>
      </c>
    </row>
    <row r="739" customFormat="false" ht="15" hidden="false" customHeight="false" outlineLevel="0" collapsed="false">
      <c r="D739" s="0" t="s">
        <v>738</v>
      </c>
      <c r="E739" s="0" t="s">
        <v>47</v>
      </c>
      <c r="J739" s="20" t="n">
        <f aca="false">Inputs!$F$160*Inputs!$F$156/1000*Time!J$9*Time!J$10*Operations!J713*Operations!$F$445</f>
        <v>0</v>
      </c>
      <c r="K739" s="20" t="n">
        <f aca="false">Inputs!$F$160*Inputs!$F$156/1000*Time!K$9*Time!K$10*Operations!K713*Operations!$F$445</f>
        <v>0</v>
      </c>
      <c r="L739" s="20" t="n">
        <f aca="false">Inputs!$F$160*Inputs!$F$156/1000*Time!L$9*Time!L$10*Operations!L713*Operations!$F$445</f>
        <v>1.77285709103484</v>
      </c>
      <c r="M739" s="20" t="n">
        <f aca="false">Inputs!$F$160*Inputs!$F$156/1000*Time!M$9*Time!M$10*Operations!M713*Operations!$F$445</f>
        <v>2.43621735421875</v>
      </c>
      <c r="N739" s="20" t="n">
        <f aca="false">Inputs!$F$160*Inputs!$F$156/1000*Time!N$9*Time!N$10*Operations!N713*Operations!$F$445</f>
        <v>2.49712278807422</v>
      </c>
      <c r="O739" s="20" t="n">
        <f aca="false">Inputs!$F$160*Inputs!$F$156/1000*Time!O$9*Time!O$10*Operations!O713*Operations!$F$445</f>
        <v>2.55955085777607</v>
      </c>
      <c r="P739" s="20" t="n">
        <f aca="false">Inputs!$F$160*Inputs!$F$156/1000*Time!P$9*Time!P$10*Operations!P713*Operations!$F$445</f>
        <v>2.62353962922047</v>
      </c>
      <c r="Q739" s="20" t="n">
        <f aca="false">Inputs!$F$160*Inputs!$F$156/1000*Time!Q$9*Time!Q$10*Operations!Q713*Operations!$F$445</f>
        <v>2.68912811995099</v>
      </c>
      <c r="R739" s="20" t="n">
        <f aca="false">Inputs!$F$160*Inputs!$F$156/1000*Time!R$9*Time!R$10*Operations!R713*Operations!$F$445</f>
        <v>2.75635632294976</v>
      </c>
      <c r="S739" s="20" t="n">
        <f aca="false">Inputs!$F$160*Inputs!$F$156/1000*Time!S$9*Time!S$10*Operations!S713*Operations!$F$445</f>
        <v>2.8252652310235</v>
      </c>
      <c r="T739" s="20" t="n">
        <f aca="false">Inputs!$F$160*Inputs!$F$156/1000*Time!T$9*Time!T$10*Operations!T713*Operations!$F$445</f>
        <v>2.89589686179909</v>
      </c>
      <c r="U739" s="20" t="n">
        <f aca="false">Inputs!$F$160*Inputs!$F$156/1000*Time!U$9*Time!U$10*Operations!U713*Operations!$F$445</f>
        <v>2.96829428334407</v>
      </c>
      <c r="V739" s="20" t="n">
        <f aca="false">Inputs!$F$160*Inputs!$F$156/1000*Time!V$9*Time!V$10*Operations!V713*Operations!$F$445</f>
        <v>3.04250164042767</v>
      </c>
      <c r="W739" s="20" t="n">
        <f aca="false">Inputs!$F$160*Inputs!$F$156/1000*Time!W$9*Time!W$10*Operations!W713*Operations!$F$445</f>
        <v>3.11856418143836</v>
      </c>
      <c r="X739" s="20" t="n">
        <f aca="false">Inputs!$F$160*Inputs!$F$156/1000*Time!X$9*Time!X$10*Operations!X713*Operations!$F$445</f>
        <v>3.19652828597432</v>
      </c>
      <c r="Y739" s="20" t="n">
        <f aca="false">Inputs!$F$160*Inputs!$F$156/1000*Time!Y$9*Time!Y$10*Operations!Y713*Operations!$F$445</f>
        <v>3.27644149312368</v>
      </c>
      <c r="Z739" s="20" t="n">
        <f aca="false">Inputs!$F$160*Inputs!$F$156/1000*Time!Z$9*Time!Z$10*Operations!Z713*Operations!$F$445</f>
        <v>3.35835253045177</v>
      </c>
      <c r="AA739" s="20" t="n">
        <f aca="false">Inputs!$F$160*Inputs!$F$156/1000*Time!AA$9*Time!AA$10*Operations!AA713*Operations!$F$445</f>
        <v>3.44231134371306</v>
      </c>
      <c r="AB739" s="20" t="n">
        <f aca="false">Inputs!$F$160*Inputs!$F$156/1000*Time!AB$9*Time!AB$10*Operations!AB713*Operations!$F$445</f>
        <v>3.52836912730589</v>
      </c>
      <c r="AC739" s="20" t="n">
        <f aca="false">Inputs!$F$160*Inputs!$F$156/1000*Time!AC$9*Time!AC$10*Operations!AC713*Operations!$F$445</f>
        <v>3.61657835548854</v>
      </c>
      <c r="AD739" s="20" t="n">
        <f aca="false">Inputs!$F$160*Inputs!$F$156/1000*Time!AD$9*Time!AD$10*Operations!AD713*Operations!$F$445</f>
        <v>3.70699281437575</v>
      </c>
      <c r="AE739" s="20" t="n">
        <f aca="false">Inputs!$F$160*Inputs!$F$156/1000*Time!AE$9*Time!AE$10*Operations!AE713*Operations!$F$445</f>
        <v>3.79966763473514</v>
      </c>
      <c r="AF739" s="20" t="n">
        <f aca="false">Inputs!$F$160*Inputs!$F$156/1000*Time!AF$9*Time!AF$10*Operations!AF713*Operations!$F$445</f>
        <v>0.968344258551695</v>
      </c>
      <c r="AG739" s="20" t="n">
        <f aca="false">Inputs!$F$160*Inputs!$F$156/1000*Time!AG$9*Time!AG$10*Operations!AG713*Operations!$F$445</f>
        <v>0</v>
      </c>
      <c r="AH739" s="20" t="n">
        <f aca="false">Inputs!$F$160*Inputs!$F$156/1000*Time!AH$9*Time!AH$10*Operations!AH713*Operations!$F$445</f>
        <v>0</v>
      </c>
      <c r="AI739" s="20" t="n">
        <f aca="false">Inputs!$F$160*Inputs!$F$156/1000*Time!AI$9*Time!AI$10*Operations!AI713*Operations!$F$445</f>
        <v>0</v>
      </c>
      <c r="AJ739" s="20" t="n">
        <f aca="false">Inputs!$F$160*Inputs!$F$156/1000*Time!AJ$9*Time!AJ$10*Operations!AJ713*Operations!$F$445</f>
        <v>0</v>
      </c>
      <c r="AK739" s="20" t="n">
        <f aca="false">Inputs!$F$160*Inputs!$F$156/1000*Time!AK$9*Time!AK$10*Operations!AK713*Operations!$F$445</f>
        <v>0</v>
      </c>
      <c r="AL739" s="20" t="n">
        <f aca="false">Inputs!$F$160*Inputs!$F$156/1000*Time!AL$9*Time!AL$10*Operations!AL713*Operations!$F$445</f>
        <v>0</v>
      </c>
      <c r="AM739" s="20" t="n">
        <f aca="false">Inputs!$F$160*Inputs!$F$156/1000*Time!AM$9*Time!AM$10*Operations!AM713*Operations!$F$445</f>
        <v>0</v>
      </c>
      <c r="AN739" s="20" t="n">
        <f aca="false">Inputs!$F$160*Inputs!$F$156/1000*Time!AN$9*Time!AN$10*Operations!AN713*Operations!$F$445</f>
        <v>0</v>
      </c>
      <c r="AO739" s="20" t="n">
        <f aca="false">Inputs!$F$160*Inputs!$F$156/1000*Time!AO$9*Time!AO$10*Operations!AO713*Operations!$F$445</f>
        <v>0</v>
      </c>
      <c r="AP739" s="20" t="n">
        <f aca="false">Inputs!$F$160*Inputs!$F$156/1000*Time!AP$9*Time!AP$10*Operations!AP713*Operations!$F$445</f>
        <v>0</v>
      </c>
      <c r="AQ739" s="20" t="n">
        <f aca="false">Inputs!$F$160*Inputs!$F$156/1000*Time!AQ$9*Time!AQ$10*Operations!AQ713*Operations!$F$445</f>
        <v>0</v>
      </c>
      <c r="AR739" s="20" t="n">
        <f aca="false">Inputs!$F$160*Inputs!$F$156/1000*Time!AR$9*Time!AR$10*Operations!AR713*Operations!$F$445</f>
        <v>0</v>
      </c>
      <c r="AS739" s="20" t="n">
        <f aca="false">Inputs!$F$160*Inputs!$F$156/1000*Time!AS$9*Time!AS$10*Operations!AS713*Operations!$F$445</f>
        <v>0</v>
      </c>
      <c r="AT739" s="20" t="n">
        <f aca="false">Inputs!$F$160*Inputs!$F$156/1000*Time!AT$9*Time!AT$10*Operations!AT713*Operations!$F$445</f>
        <v>0</v>
      </c>
      <c r="AU739" s="20" t="n">
        <f aca="false">Inputs!$F$160*Inputs!$F$156/1000*Time!AU$9*Time!AU$10*Operations!AU713*Operations!$F$445</f>
        <v>0</v>
      </c>
    </row>
    <row r="740" customFormat="false" ht="15" hidden="false" customHeight="false" outlineLevel="0" collapsed="false">
      <c r="D740" s="0" t="s">
        <v>739</v>
      </c>
      <c r="E740" s="0" t="s">
        <v>47</v>
      </c>
      <c r="J740" s="20" t="n">
        <f aca="false">0</f>
        <v>0</v>
      </c>
      <c r="K740" s="20" t="n">
        <f aca="false">0</f>
        <v>0</v>
      </c>
      <c r="L740" s="20" t="n">
        <f aca="false">0</f>
        <v>0</v>
      </c>
      <c r="M740" s="20" t="n">
        <f aca="false">0</f>
        <v>0</v>
      </c>
      <c r="N740" s="20" t="n">
        <f aca="false">0</f>
        <v>0</v>
      </c>
      <c r="O740" s="20" t="n">
        <f aca="false">0</f>
        <v>0</v>
      </c>
      <c r="P740" s="20" t="n">
        <f aca="false">0</f>
        <v>0</v>
      </c>
      <c r="Q740" s="20" t="n">
        <f aca="false">0</f>
        <v>0</v>
      </c>
      <c r="R740" s="20" t="n">
        <f aca="false">0</f>
        <v>0</v>
      </c>
      <c r="S740" s="20" t="n">
        <f aca="false">0</f>
        <v>0</v>
      </c>
      <c r="T740" s="20" t="n">
        <f aca="false">0</f>
        <v>0</v>
      </c>
      <c r="U740" s="20" t="n">
        <f aca="false">0</f>
        <v>0</v>
      </c>
      <c r="V740" s="20" t="n">
        <f aca="false">0</f>
        <v>0</v>
      </c>
      <c r="W740" s="20" t="n">
        <f aca="false">0</f>
        <v>0</v>
      </c>
      <c r="X740" s="20" t="n">
        <f aca="false">0</f>
        <v>0</v>
      </c>
      <c r="Y740" s="20" t="n">
        <f aca="false">0</f>
        <v>0</v>
      </c>
      <c r="Z740" s="20" t="n">
        <f aca="false">0</f>
        <v>0</v>
      </c>
      <c r="AA740" s="20" t="n">
        <f aca="false">0</f>
        <v>0</v>
      </c>
      <c r="AB740" s="20" t="n">
        <f aca="false">0</f>
        <v>0</v>
      </c>
      <c r="AC740" s="20" t="n">
        <f aca="false">0</f>
        <v>0</v>
      </c>
      <c r="AD740" s="20" t="n">
        <f aca="false">0</f>
        <v>0</v>
      </c>
      <c r="AE740" s="20" t="n">
        <f aca="false">0</f>
        <v>0</v>
      </c>
      <c r="AF740" s="20" t="n">
        <f aca="false">0</f>
        <v>0</v>
      </c>
      <c r="AG740" s="20" t="n">
        <f aca="false">0</f>
        <v>0</v>
      </c>
      <c r="AH740" s="20" t="n">
        <f aca="false">0</f>
        <v>0</v>
      </c>
      <c r="AI740" s="20" t="n">
        <f aca="false">0</f>
        <v>0</v>
      </c>
      <c r="AJ740" s="20" t="n">
        <f aca="false">0</f>
        <v>0</v>
      </c>
      <c r="AK740" s="20" t="n">
        <f aca="false">0</f>
        <v>0</v>
      </c>
      <c r="AL740" s="20" t="n">
        <f aca="false">0</f>
        <v>0</v>
      </c>
      <c r="AM740" s="20" t="n">
        <f aca="false">0</f>
        <v>0</v>
      </c>
      <c r="AN740" s="20" t="n">
        <f aca="false">0</f>
        <v>0</v>
      </c>
      <c r="AO740" s="20" t="n">
        <f aca="false">0</f>
        <v>0</v>
      </c>
      <c r="AP740" s="20" t="n">
        <f aca="false">0</f>
        <v>0</v>
      </c>
      <c r="AQ740" s="20" t="n">
        <f aca="false">0</f>
        <v>0</v>
      </c>
      <c r="AR740" s="20" t="n">
        <f aca="false">0</f>
        <v>0</v>
      </c>
      <c r="AS740" s="20" t="n">
        <f aca="false">0</f>
        <v>0</v>
      </c>
      <c r="AT740" s="20" t="n">
        <f aca="false">0</f>
        <v>0</v>
      </c>
      <c r="AU740" s="20" t="n">
        <f aca="false">0</f>
        <v>0</v>
      </c>
    </row>
    <row r="741" customFormat="false" ht="15" hidden="false" customHeight="false" outlineLevel="0" collapsed="false">
      <c r="D741" s="0" t="s">
        <v>740</v>
      </c>
      <c r="E741" s="0" t="s">
        <v>47</v>
      </c>
      <c r="J741" s="20" t="n">
        <f aca="false">Inputs!$F$243/100*Inputs!$F$161*Inputs!$F$156/1000*Time!J$9*Operations!J713</f>
        <v>0</v>
      </c>
      <c r="K741" s="20" t="n">
        <f aca="false">Inputs!$F$243/100*Inputs!$F$161*Inputs!$F$156/1000*Time!K$9*Operations!K713</f>
        <v>0</v>
      </c>
      <c r="L741" s="20" t="n">
        <f aca="false">Inputs!$F$243/100*Inputs!$F$161*Inputs!$F$156/1000*Time!L$9*Operations!L713</f>
        <v>0.0148112289959016</v>
      </c>
      <c r="M741" s="20" t="n">
        <f aca="false">Inputs!$F$243/100*Inputs!$F$161*Inputs!$F$156/1000*Time!M$9*Operations!M713</f>
        <v>0.0203532328125</v>
      </c>
      <c r="N741" s="20" t="n">
        <f aca="false">Inputs!$F$243/100*Inputs!$F$161*Inputs!$F$156/1000*Time!N$9*Operations!N713</f>
        <v>0.0208620636328125</v>
      </c>
      <c r="O741" s="20" t="n">
        <f aca="false">Inputs!$F$243/100*Inputs!$F$161*Inputs!$F$156/1000*Time!O$9*Operations!O713</f>
        <v>0.0213836152236328</v>
      </c>
      <c r="P741" s="20" t="n">
        <f aca="false">Inputs!$F$243/100*Inputs!$F$161*Inputs!$F$156/1000*Time!P$9*Operations!P713</f>
        <v>0.0219182056042236</v>
      </c>
      <c r="Q741" s="20" t="n">
        <f aca="false">Inputs!$F$243/100*Inputs!$F$161*Inputs!$F$156/1000*Time!Q$9*Operations!Q713</f>
        <v>0.0224661607443292</v>
      </c>
      <c r="R741" s="20" t="n">
        <f aca="false">Inputs!$F$243/100*Inputs!$F$161*Inputs!$F$156/1000*Time!R$9*Operations!R713</f>
        <v>0.0230278147629374</v>
      </c>
      <c r="S741" s="20" t="n">
        <f aca="false">Inputs!$F$243/100*Inputs!$F$161*Inputs!$F$156/1000*Time!S$9*Operations!S713</f>
        <v>0.0236035101320109</v>
      </c>
      <c r="T741" s="20" t="n">
        <f aca="false">Inputs!$F$243/100*Inputs!$F$161*Inputs!$F$156/1000*Time!T$9*Operations!T713</f>
        <v>0.0241935978853111</v>
      </c>
      <c r="U741" s="20" t="n">
        <f aca="false">Inputs!$F$243/100*Inputs!$F$161*Inputs!$F$156/1000*Time!U$9*Operations!U713</f>
        <v>0.0247984378324439</v>
      </c>
      <c r="V741" s="20" t="n">
        <f aca="false">Inputs!$F$243/100*Inputs!$F$161*Inputs!$F$156/1000*Time!V$9*Operations!V713</f>
        <v>0.025418398778255</v>
      </c>
      <c r="W741" s="20" t="n">
        <f aca="false">Inputs!$F$243/100*Inputs!$F$161*Inputs!$F$156/1000*Time!W$9*Operations!W713</f>
        <v>0.0260538587477114</v>
      </c>
      <c r="X741" s="20" t="n">
        <f aca="false">Inputs!$F$243/100*Inputs!$F$161*Inputs!$F$156/1000*Time!X$9*Operations!X713</f>
        <v>0.0267052052164042</v>
      </c>
      <c r="Y741" s="20" t="n">
        <f aca="false">Inputs!$F$243/100*Inputs!$F$161*Inputs!$F$156/1000*Time!Y$9*Operations!Y713</f>
        <v>0.0273728353468143</v>
      </c>
      <c r="Z741" s="20" t="n">
        <f aca="false">Inputs!$F$243/100*Inputs!$F$161*Inputs!$F$156/1000*Time!Z$9*Operations!Z713</f>
        <v>0.0280571562304846</v>
      </c>
      <c r="AA741" s="20" t="n">
        <f aca="false">Inputs!$F$243/100*Inputs!$F$161*Inputs!$F$156/1000*Time!AA$9*Operations!AA713</f>
        <v>0.0287585851362467</v>
      </c>
      <c r="AB741" s="20" t="n">
        <f aca="false">Inputs!$F$243/100*Inputs!$F$161*Inputs!$F$156/1000*Time!AB$9*Operations!AB713</f>
        <v>0.0294775497646529</v>
      </c>
      <c r="AC741" s="20" t="n">
        <f aca="false">Inputs!$F$243/100*Inputs!$F$161*Inputs!$F$156/1000*Time!AC$9*Operations!AC713</f>
        <v>0.0302144885087692</v>
      </c>
      <c r="AD741" s="20" t="n">
        <f aca="false">Inputs!$F$243/100*Inputs!$F$161*Inputs!$F$156/1000*Time!AD$9*Operations!AD713</f>
        <v>0.0309698507214885</v>
      </c>
      <c r="AE741" s="20" t="n">
        <f aca="false">Inputs!$F$243/100*Inputs!$F$161*Inputs!$F$156/1000*Time!AE$9*Operations!AE713</f>
        <v>0.0317440969895257</v>
      </c>
      <c r="AF741" s="20" t="n">
        <f aca="false">Inputs!$F$243/100*Inputs!$F$161*Inputs!$F$156/1000*Time!AF$9*Operations!AF713</f>
        <v>0.00808997444453007</v>
      </c>
      <c r="AG741" s="20" t="n">
        <f aca="false">Inputs!$F$243/100*Inputs!$F$161*Inputs!$F$156/1000*Time!AG$9*Operations!AG713</f>
        <v>0</v>
      </c>
      <c r="AH741" s="20" t="n">
        <f aca="false">Inputs!$F$243/100*Inputs!$F$161*Inputs!$F$156/1000*Time!AH$9*Operations!AH713</f>
        <v>0</v>
      </c>
      <c r="AI741" s="20" t="n">
        <f aca="false">Inputs!$F$243/100*Inputs!$F$161*Inputs!$F$156/1000*Time!AI$9*Operations!AI713</f>
        <v>0</v>
      </c>
      <c r="AJ741" s="20" t="n">
        <f aca="false">Inputs!$F$243/100*Inputs!$F$161*Inputs!$F$156/1000*Time!AJ$9*Operations!AJ713</f>
        <v>0</v>
      </c>
      <c r="AK741" s="20" t="n">
        <f aca="false">Inputs!$F$243/100*Inputs!$F$161*Inputs!$F$156/1000*Time!AK$9*Operations!AK713</f>
        <v>0</v>
      </c>
      <c r="AL741" s="20" t="n">
        <f aca="false">Inputs!$F$243/100*Inputs!$F$161*Inputs!$F$156/1000*Time!AL$9*Operations!AL713</f>
        <v>0</v>
      </c>
      <c r="AM741" s="20" t="n">
        <f aca="false">Inputs!$F$243/100*Inputs!$F$161*Inputs!$F$156/1000*Time!AM$9*Operations!AM713</f>
        <v>0</v>
      </c>
      <c r="AN741" s="20" t="n">
        <f aca="false">Inputs!$F$243/100*Inputs!$F$161*Inputs!$F$156/1000*Time!AN$9*Operations!AN713</f>
        <v>0</v>
      </c>
      <c r="AO741" s="20" t="n">
        <f aca="false">Inputs!$F$243/100*Inputs!$F$161*Inputs!$F$156/1000*Time!AO$9*Operations!AO713</f>
        <v>0</v>
      </c>
      <c r="AP741" s="20" t="n">
        <f aca="false">Inputs!$F$243/100*Inputs!$F$161*Inputs!$F$156/1000*Time!AP$9*Operations!AP713</f>
        <v>0</v>
      </c>
      <c r="AQ741" s="20" t="n">
        <f aca="false">Inputs!$F$243/100*Inputs!$F$161*Inputs!$F$156/1000*Time!AQ$9*Operations!AQ713</f>
        <v>0</v>
      </c>
      <c r="AR741" s="20" t="n">
        <f aca="false">Inputs!$F$243/100*Inputs!$F$161*Inputs!$F$156/1000*Time!AR$9*Operations!AR713</f>
        <v>0</v>
      </c>
      <c r="AS741" s="20" t="n">
        <f aca="false">Inputs!$F$243/100*Inputs!$F$161*Inputs!$F$156/1000*Time!AS$9*Operations!AS713</f>
        <v>0</v>
      </c>
      <c r="AT741" s="20" t="n">
        <f aca="false">Inputs!$F$243/100*Inputs!$F$161*Inputs!$F$156/1000*Time!AT$9*Operations!AT713</f>
        <v>0</v>
      </c>
      <c r="AU741" s="20" t="n">
        <f aca="false">Inputs!$F$243/100*Inputs!$F$161*Inputs!$F$156/1000*Time!AU$9*Operations!AU713</f>
        <v>0</v>
      </c>
    </row>
    <row r="742" customFormat="false" ht="15" hidden="false" customHeight="false" outlineLevel="0" collapsed="false">
      <c r="D742" s="0" t="s">
        <v>741</v>
      </c>
      <c r="E742" s="0" t="s">
        <v>47</v>
      </c>
      <c r="J742" s="20" t="n">
        <f aca="false">Inputs!$F$244/100*Inputs!$F$245/100*Operations!J737</f>
        <v>0</v>
      </c>
      <c r="K742" s="20" t="n">
        <f aca="false">Inputs!$F$244/100*Inputs!$F$245/100*Operations!K737</f>
        <v>0</v>
      </c>
      <c r="L742" s="20" t="n">
        <f aca="false">Inputs!$F$244/100*Inputs!$F$245/100*Operations!L737</f>
        <v>0.040060512295082</v>
      </c>
      <c r="M742" s="20" t="n">
        <f aca="false">Inputs!$F$244/100*Inputs!$F$245/100*Operations!M737</f>
        <v>0.0537075</v>
      </c>
      <c r="N742" s="20" t="n">
        <f aca="false">Inputs!$F$244/100*Inputs!$F$245/100*Operations!N737</f>
        <v>0.0537075</v>
      </c>
      <c r="O742" s="20" t="n">
        <f aca="false">Inputs!$F$244/100*Inputs!$F$245/100*Operations!O737</f>
        <v>0.0537075</v>
      </c>
      <c r="P742" s="20" t="n">
        <f aca="false">Inputs!$F$244/100*Inputs!$F$245/100*Operations!P737</f>
        <v>0.0537075</v>
      </c>
      <c r="Q742" s="20" t="n">
        <f aca="false">Inputs!$F$244/100*Inputs!$F$245/100*Operations!Q737</f>
        <v>0.0537075</v>
      </c>
      <c r="R742" s="20" t="n">
        <f aca="false">Inputs!$F$244/100*Inputs!$F$245/100*Operations!R737</f>
        <v>0.0537075</v>
      </c>
      <c r="S742" s="20" t="n">
        <f aca="false">Inputs!$F$244/100*Inputs!$F$245/100*Operations!S737</f>
        <v>0.0537075</v>
      </c>
      <c r="T742" s="20" t="n">
        <f aca="false">Inputs!$F$244/100*Inputs!$F$245/100*Operations!T737</f>
        <v>0.0498914955430328</v>
      </c>
      <c r="U742" s="20" t="n">
        <f aca="false">Inputs!$F$244/100*Inputs!$F$245/100*Operations!U737</f>
        <v>0.04933963125</v>
      </c>
      <c r="V742" s="20" t="n">
        <f aca="false">Inputs!$F$244/100*Inputs!$F$245/100*Operations!V737</f>
        <v>0.05007673125</v>
      </c>
      <c r="W742" s="20" t="n">
        <f aca="false">Inputs!$F$244/100*Inputs!$F$245/100*Operations!W737</f>
        <v>0.0508291875</v>
      </c>
      <c r="X742" s="20" t="n">
        <f aca="false">Inputs!$F$244/100*Inputs!$F$245/100*Operations!X737</f>
        <v>0.051472899616292</v>
      </c>
      <c r="Y742" s="20" t="n">
        <f aca="false">Inputs!$F$244/100*Inputs!$F$245/100*Operations!Y737</f>
        <v>0.0515859397135274</v>
      </c>
      <c r="Z742" s="20" t="n">
        <f aca="false">Inputs!$F$244/100*Inputs!$F$245/100*Operations!Z737</f>
        <v>0.0516878387525188</v>
      </c>
      <c r="AA742" s="20" t="n">
        <f aca="false">Inputs!$F$244/100*Inputs!$F$245/100*Operations!AA737</f>
        <v>0.0517928360916498</v>
      </c>
      <c r="AB742" s="20" t="n">
        <f aca="false">Inputs!$F$244/100*Inputs!$F$245/100*Operations!AB737</f>
        <v>0.0518924728394769</v>
      </c>
      <c r="AC742" s="20" t="n">
        <f aca="false">Inputs!$F$244/100*Inputs!$F$245/100*Operations!AC737</f>
        <v>0.0519866147339923</v>
      </c>
      <c r="AD742" s="20" t="n">
        <f aca="false">Inputs!$F$244/100*Inputs!$F$245/100*Operations!AD737</f>
        <v>0.0520756912085201</v>
      </c>
      <c r="AE742" s="20" t="n">
        <f aca="false">Inputs!$F$244/100*Inputs!$F$245/100*Operations!AE737</f>
        <v>0.0521597628876421</v>
      </c>
      <c r="AF742" s="20" t="n">
        <f aca="false">Inputs!$F$244/100*Inputs!$F$245/100*Operations!AF737</f>
        <v>0.0129898346579643</v>
      </c>
      <c r="AG742" s="20" t="n">
        <f aca="false">Inputs!$F$244/100*Inputs!$F$245/100*Operations!AG737</f>
        <v>0</v>
      </c>
      <c r="AH742" s="20" t="n">
        <f aca="false">Inputs!$F$244/100*Inputs!$F$245/100*Operations!AH737</f>
        <v>0</v>
      </c>
      <c r="AI742" s="20" t="n">
        <f aca="false">Inputs!$F$244/100*Inputs!$F$245/100*Operations!AI737</f>
        <v>0</v>
      </c>
      <c r="AJ742" s="20" t="n">
        <f aca="false">Inputs!$F$244/100*Inputs!$F$245/100*Operations!AJ737</f>
        <v>0</v>
      </c>
      <c r="AK742" s="20" t="n">
        <f aca="false">Inputs!$F$244/100*Inputs!$F$245/100*Operations!AK737</f>
        <v>0</v>
      </c>
      <c r="AL742" s="20" t="n">
        <f aca="false">Inputs!$F$244/100*Inputs!$F$245/100*Operations!AL737</f>
        <v>0</v>
      </c>
      <c r="AM742" s="20" t="n">
        <f aca="false">Inputs!$F$244/100*Inputs!$F$245/100*Operations!AM737</f>
        <v>0</v>
      </c>
      <c r="AN742" s="20" t="n">
        <f aca="false">Inputs!$F$244/100*Inputs!$F$245/100*Operations!AN737</f>
        <v>0</v>
      </c>
      <c r="AO742" s="20" t="n">
        <f aca="false">Inputs!$F$244/100*Inputs!$F$245/100*Operations!AO737</f>
        <v>0</v>
      </c>
      <c r="AP742" s="20" t="n">
        <f aca="false">Inputs!$F$244/100*Inputs!$F$245/100*Operations!AP737</f>
        <v>0</v>
      </c>
      <c r="AQ742" s="20" t="n">
        <f aca="false">Inputs!$F$244/100*Inputs!$F$245/100*Operations!AQ737</f>
        <v>0</v>
      </c>
      <c r="AR742" s="20" t="n">
        <f aca="false">Inputs!$F$244/100*Inputs!$F$245/100*Operations!AR737</f>
        <v>0</v>
      </c>
      <c r="AS742" s="20" t="n">
        <f aca="false">Inputs!$F$244/100*Inputs!$F$245/100*Operations!AS737</f>
        <v>0</v>
      </c>
      <c r="AT742" s="20" t="n">
        <f aca="false">Inputs!$F$244/100*Inputs!$F$245/100*Operations!AT737</f>
        <v>0</v>
      </c>
      <c r="AU742" s="20" t="n">
        <f aca="false">Inputs!$F$244/100*Inputs!$F$245/100*Operations!AU737</f>
        <v>0</v>
      </c>
    </row>
    <row r="743" customFormat="false" ht="15" hidden="false" customHeight="false" outlineLevel="0" collapsed="false">
      <c r="D743" s="0" t="s">
        <v>742</v>
      </c>
      <c r="E743" s="0" t="s">
        <v>47</v>
      </c>
      <c r="G743" s="20" t="n">
        <f aca="false">SUM(J743:AU743)</f>
        <v>136.184940901019</v>
      </c>
      <c r="J743" s="20" t="n">
        <f aca="false">Operations!J737-Operations!J739-Operations!J740-Operations!J741-Operations!J742</f>
        <v>0</v>
      </c>
      <c r="K743" s="20" t="n">
        <f aca="false">Operations!K737-Operations!K739-Operations!K740-Operations!K741-Operations!K742</f>
        <v>0</v>
      </c>
      <c r="L743" s="20" t="n">
        <f aca="false">Operations!L737-Operations!L739-Operations!L740-Operations!L741-Operations!L742</f>
        <v>5.80284493816598</v>
      </c>
      <c r="M743" s="20" t="n">
        <f aca="false">Operations!M737-Operations!M739-Operations!M740-Operations!M741-Operations!M742</f>
        <v>7.71972191296875</v>
      </c>
      <c r="N743" s="20" t="n">
        <f aca="false">Operations!N737-Operations!N739-Operations!N740-Operations!N741-Operations!N742</f>
        <v>7.65830764829297</v>
      </c>
      <c r="O743" s="20" t="n">
        <f aca="false">Operations!O737-Operations!O739-Operations!O740-Operations!O741-Operations!O742</f>
        <v>7.5953580270003</v>
      </c>
      <c r="P743" s="20" t="n">
        <f aca="false">Operations!P737-Operations!P739-Operations!P740-Operations!P741-Operations!P742</f>
        <v>7.5308346651753</v>
      </c>
      <c r="Q743" s="20" t="n">
        <f aca="false">Operations!Q737-Operations!Q739-Operations!Q740-Operations!Q741-Operations!Q742</f>
        <v>7.46469821930469</v>
      </c>
      <c r="R743" s="20" t="n">
        <f aca="false">Operations!R737-Operations!R739-Operations!R740-Operations!R741-Operations!R742</f>
        <v>7.3969083622873</v>
      </c>
      <c r="S743" s="20" t="n">
        <f aca="false">Operations!S737-Operations!S739-Operations!S740-Operations!S741-Operations!S742</f>
        <v>7.32742375884449</v>
      </c>
      <c r="T743" s="20" t="n">
        <f aca="false">Operations!T737-Operations!T739-Operations!T740-Operations!T741-Operations!T742</f>
        <v>6.53316005296929</v>
      </c>
      <c r="U743" s="20" t="n">
        <f aca="false">Operations!U737-Operations!U739-Operations!U740-Operations!U741-Operations!U742</f>
        <v>6.35559264757349</v>
      </c>
      <c r="V743" s="20" t="n">
        <f aca="false">Operations!V737-Operations!V739-Operations!V740-Operations!V741-Operations!V742</f>
        <v>6.42042822954408</v>
      </c>
      <c r="W743" s="20" t="n">
        <f aca="false">Operations!W737-Operations!W739-Operations!W740-Operations!W741-Operations!W742</f>
        <v>6.48630277231393</v>
      </c>
      <c r="X743" s="20" t="n">
        <f aca="false">Operations!X737-Operations!X739-Operations!X740-Operations!X741-Operations!X742</f>
        <v>6.52965544086764</v>
      </c>
      <c r="Y743" s="20" t="n">
        <f aca="false">Operations!Y737-Operations!Y739-Operations!Y740-Operations!Y741-Operations!Y742</f>
        <v>6.4704930105831</v>
      </c>
      <c r="Z743" s="20" t="n">
        <f aca="false">Operations!Z737-Operations!Z739-Operations!Z740-Operations!Z741-Operations!Z742</f>
        <v>6.40720509409262</v>
      </c>
      <c r="AA743" s="20" t="n">
        <f aca="false">Operations!AA737-Operations!AA739-Operations!AA740-Operations!AA741-Operations!AA742</f>
        <v>6.34243934775425</v>
      </c>
      <c r="AB743" s="20" t="n">
        <f aca="false">Operations!AB737-Operations!AB739-Operations!AB740-Operations!AB741-Operations!AB742</f>
        <v>6.27454139094273</v>
      </c>
      <c r="AC743" s="20" t="n">
        <f aca="false">Operations!AC737-Operations!AC739-Operations!AC740-Operations!AC741-Operations!AC742</f>
        <v>6.20343287155295</v>
      </c>
      <c r="AD743" s="20" t="n">
        <f aca="false">Operations!AD737-Operations!AD739-Operations!AD740-Operations!AD741-Operations!AD742</f>
        <v>6.1291409215076</v>
      </c>
      <c r="AE743" s="20" t="n">
        <f aca="false">Operations!AE737-Operations!AE739-Operations!AE740-Operations!AE741-Operations!AE742</f>
        <v>6.05162143636714</v>
      </c>
      <c r="AF743" s="20" t="n">
        <f aca="false">Operations!AF737-Operations!AF739-Operations!AF740-Operations!AF741-Operations!AF742</f>
        <v>1.48483015291043</v>
      </c>
      <c r="AG743" s="20" t="n">
        <f aca="false">Operations!AG737-Operations!AG739-Operations!AG740-Operations!AG741-Operations!AG742</f>
        <v>0</v>
      </c>
      <c r="AH743" s="20" t="n">
        <f aca="false">Operations!AH737-Operations!AH739-Operations!AH740-Operations!AH741-Operations!AH742</f>
        <v>0</v>
      </c>
      <c r="AI743" s="20" t="n">
        <f aca="false">Operations!AI737-Operations!AI739-Operations!AI740-Operations!AI741-Operations!AI742</f>
        <v>0</v>
      </c>
      <c r="AJ743" s="20" t="n">
        <f aca="false">Operations!AJ737-Operations!AJ739-Operations!AJ740-Operations!AJ741-Operations!AJ742</f>
        <v>0</v>
      </c>
      <c r="AK743" s="20" t="n">
        <f aca="false">Operations!AK737-Operations!AK739-Operations!AK740-Operations!AK741-Operations!AK742</f>
        <v>0</v>
      </c>
      <c r="AL743" s="20" t="n">
        <f aca="false">Operations!AL737-Operations!AL739-Operations!AL740-Operations!AL741-Operations!AL742</f>
        <v>0</v>
      </c>
      <c r="AM743" s="20" t="n">
        <f aca="false">Operations!AM737-Operations!AM739-Operations!AM740-Operations!AM741-Operations!AM742</f>
        <v>0</v>
      </c>
      <c r="AN743" s="20" t="n">
        <f aca="false">Operations!AN737-Operations!AN739-Operations!AN740-Operations!AN741-Operations!AN742</f>
        <v>0</v>
      </c>
      <c r="AO743" s="20" t="n">
        <f aca="false">Operations!AO737-Operations!AO739-Operations!AO740-Operations!AO741-Operations!AO742</f>
        <v>0</v>
      </c>
      <c r="AP743" s="20" t="n">
        <f aca="false">Operations!AP737-Operations!AP739-Operations!AP740-Operations!AP741-Operations!AP742</f>
        <v>0</v>
      </c>
      <c r="AQ743" s="20" t="n">
        <f aca="false">Operations!AQ737-Operations!AQ739-Operations!AQ740-Operations!AQ741-Operations!AQ742</f>
        <v>0</v>
      </c>
      <c r="AR743" s="20" t="n">
        <f aca="false">Operations!AR737-Operations!AR739-Operations!AR740-Operations!AR741-Operations!AR742</f>
        <v>0</v>
      </c>
      <c r="AS743" s="20" t="n">
        <f aca="false">Operations!AS737-Operations!AS739-Operations!AS740-Operations!AS741-Operations!AS742</f>
        <v>0</v>
      </c>
      <c r="AT743" s="20" t="n">
        <f aca="false">Operations!AT737-Operations!AT739-Operations!AT740-Operations!AT741-Operations!AT742</f>
        <v>0</v>
      </c>
      <c r="AU743" s="20" t="n">
        <f aca="false">Operations!AU737-Operations!AU739-Operations!AU740-Operations!AU741-Operations!AU742</f>
        <v>0</v>
      </c>
    </row>
    <row r="744" customFormat="false" ht="15" hidden="false" customHeight="false" outlineLevel="0" collapsed="false">
      <c r="D744" s="0" t="s">
        <v>743</v>
      </c>
      <c r="E744" s="0" t="s">
        <v>47</v>
      </c>
      <c r="J744" s="20" t="n">
        <f aca="false">IF(OR(Time!J$4=YEAR(Inputs!$F$157)+Inputs!$F$164,Time!J$4=YEAR(Inputs!$F$157)+Inputs!$F$165),Inputs!$F$166/100*Inputs!$F$162*Inputs!$F$167/1000*(1+Inputs!$F$194/100)^(Time!J$4-Inputs!$F$193),0)</f>
        <v>0</v>
      </c>
      <c r="K744" s="20" t="n">
        <f aca="false">IF(OR(Time!K$4=YEAR(Inputs!$F$157)+Inputs!$F$164,Time!K$4=YEAR(Inputs!$F$157)+Inputs!$F$165),Inputs!$F$166/100*Inputs!$F$162*Inputs!$F$167/1000*(1+Inputs!$F$194/100)^(Time!K$4-Inputs!$F$193),0)</f>
        <v>0</v>
      </c>
      <c r="L744" s="20" t="n">
        <f aca="false">IF(OR(Time!L$4=YEAR(Inputs!$F$157)+Inputs!$F$164,Time!L$4=YEAR(Inputs!$F$157)+Inputs!$F$165),Inputs!$F$166/100*Inputs!$F$162*Inputs!$F$167/1000*(1+Inputs!$F$194/100)^(Time!L$4-Inputs!$F$193),0)</f>
        <v>0</v>
      </c>
      <c r="M744" s="20" t="n">
        <f aca="false">IF(OR(Time!M$4=YEAR(Inputs!$F$157)+Inputs!$F$164,Time!M$4=YEAR(Inputs!$F$157)+Inputs!$F$165),Inputs!$F$166/100*Inputs!$F$162*Inputs!$F$167/1000*(1+Inputs!$F$194/100)^(Time!M$4-Inputs!$F$193),0)</f>
        <v>0</v>
      </c>
      <c r="N744" s="20" t="n">
        <f aca="false">IF(OR(Time!N$4=YEAR(Inputs!$F$157)+Inputs!$F$164,Time!N$4=YEAR(Inputs!$F$157)+Inputs!$F$165),Inputs!$F$166/100*Inputs!$F$162*Inputs!$F$167/1000*(1+Inputs!$F$194/100)^(Time!N$4-Inputs!$F$193),0)</f>
        <v>0</v>
      </c>
      <c r="O744" s="20" t="n">
        <f aca="false">IF(OR(Time!O$4=YEAR(Inputs!$F$157)+Inputs!$F$164,Time!O$4=YEAR(Inputs!$F$157)+Inputs!$F$165),Inputs!$F$166/100*Inputs!$F$162*Inputs!$F$167/1000*(1+Inputs!$F$194/100)^(Time!O$4-Inputs!$F$193),0)</f>
        <v>0</v>
      </c>
      <c r="P744" s="20" t="n">
        <f aca="false">IF(OR(Time!P$4=YEAR(Inputs!$F$157)+Inputs!$F$164,Time!P$4=YEAR(Inputs!$F$157)+Inputs!$F$165),Inputs!$F$166/100*Inputs!$F$162*Inputs!$F$167/1000*(1+Inputs!$F$194/100)^(Time!P$4-Inputs!$F$193),0)</f>
        <v>0</v>
      </c>
      <c r="Q744" s="20" t="n">
        <f aca="false">IF(OR(Time!Q$4=YEAR(Inputs!$F$157)+Inputs!$F$164,Time!Q$4=YEAR(Inputs!$F$157)+Inputs!$F$165),Inputs!$F$166/100*Inputs!$F$162*Inputs!$F$167/1000*(1+Inputs!$F$194/100)^(Time!Q$4-Inputs!$F$193),0)</f>
        <v>0.81461391328125</v>
      </c>
      <c r="R744" s="20" t="n">
        <f aca="false">IF(OR(Time!R$4=YEAR(Inputs!$F$157)+Inputs!$F$164,Time!R$4=YEAR(Inputs!$F$157)+Inputs!$F$165),Inputs!$F$166/100*Inputs!$F$162*Inputs!$F$167/1000*(1+Inputs!$F$194/100)^(Time!R$4-Inputs!$F$193),0)</f>
        <v>0</v>
      </c>
      <c r="S744" s="20" t="n">
        <f aca="false">IF(OR(Time!S$4=YEAR(Inputs!$F$157)+Inputs!$F$164,Time!S$4=YEAR(Inputs!$F$157)+Inputs!$F$165),Inputs!$F$166/100*Inputs!$F$162*Inputs!$F$167/1000*(1+Inputs!$F$194/100)^(Time!S$4-Inputs!$F$193),0)</f>
        <v>0</v>
      </c>
      <c r="T744" s="20" t="n">
        <f aca="false">IF(OR(Time!T$4=YEAR(Inputs!$F$157)+Inputs!$F$164,Time!T$4=YEAR(Inputs!$F$157)+Inputs!$F$165),Inputs!$F$166/100*Inputs!$F$162*Inputs!$F$167/1000*(1+Inputs!$F$194/100)^(Time!T$4-Inputs!$F$193),0)</f>
        <v>0</v>
      </c>
      <c r="U744" s="20" t="n">
        <f aca="false">IF(OR(Time!U$4=YEAR(Inputs!$F$157)+Inputs!$F$164,Time!U$4=YEAR(Inputs!$F$157)+Inputs!$F$165),Inputs!$F$166/100*Inputs!$F$162*Inputs!$F$167/1000*(1+Inputs!$F$194/100)^(Time!U$4-Inputs!$F$193),0)</f>
        <v>0.899181338362319</v>
      </c>
      <c r="V744" s="20" t="n">
        <f aca="false">IF(OR(Time!V$4=YEAR(Inputs!$F$157)+Inputs!$F$164,Time!V$4=YEAR(Inputs!$F$157)+Inputs!$F$165),Inputs!$F$166/100*Inputs!$F$162*Inputs!$F$167/1000*(1+Inputs!$F$194/100)^(Time!V$4-Inputs!$F$193),0)</f>
        <v>0</v>
      </c>
      <c r="W744" s="20" t="n">
        <f aca="false">IF(OR(Time!W$4=YEAR(Inputs!$F$157)+Inputs!$F$164,Time!W$4=YEAR(Inputs!$F$157)+Inputs!$F$165),Inputs!$F$166/100*Inputs!$F$162*Inputs!$F$167/1000*(1+Inputs!$F$194/100)^(Time!W$4-Inputs!$F$193),0)</f>
        <v>0</v>
      </c>
      <c r="X744" s="20" t="n">
        <f aca="false">IF(OR(Time!X$4=YEAR(Inputs!$F$157)+Inputs!$F$164,Time!X$4=YEAR(Inputs!$F$157)+Inputs!$F$165),Inputs!$F$166/100*Inputs!$F$162*Inputs!$F$167/1000*(1+Inputs!$F$194/100)^(Time!X$4-Inputs!$F$193),0)</f>
        <v>0</v>
      </c>
      <c r="Y744" s="20" t="n">
        <f aca="false">IF(OR(Time!Y$4=YEAR(Inputs!$F$157)+Inputs!$F$164,Time!Y$4=YEAR(Inputs!$F$157)+Inputs!$F$165),Inputs!$F$166/100*Inputs!$F$162*Inputs!$F$167/1000*(1+Inputs!$F$194/100)^(Time!Y$4-Inputs!$F$193),0)</f>
        <v>0</v>
      </c>
      <c r="Z744" s="20" t="n">
        <f aca="false">IF(OR(Time!Z$4=YEAR(Inputs!$F$157)+Inputs!$F$164,Time!Z$4=YEAR(Inputs!$F$157)+Inputs!$F$165),Inputs!$F$166/100*Inputs!$F$162*Inputs!$F$167/1000*(1+Inputs!$F$194/100)^(Time!Z$4-Inputs!$F$193),0)</f>
        <v>0</v>
      </c>
      <c r="AA744" s="20" t="n">
        <f aca="false">IF(OR(Time!AA$4=YEAR(Inputs!$F$157)+Inputs!$F$164,Time!AA$4=YEAR(Inputs!$F$157)+Inputs!$F$165),Inputs!$F$166/100*Inputs!$F$162*Inputs!$F$167/1000*(1+Inputs!$F$194/100)^(Time!AA$4-Inputs!$F$193),0)</f>
        <v>0</v>
      </c>
      <c r="AB744" s="20" t="n">
        <f aca="false">IF(OR(Time!AB$4=YEAR(Inputs!$F$157)+Inputs!$F$164,Time!AB$4=YEAR(Inputs!$F$157)+Inputs!$F$165),Inputs!$F$166/100*Inputs!$F$162*Inputs!$F$167/1000*(1+Inputs!$F$194/100)^(Time!AB$4-Inputs!$F$193),0)</f>
        <v>0</v>
      </c>
      <c r="AC744" s="20" t="n">
        <f aca="false">IF(OR(Time!AC$4=YEAR(Inputs!$F$157)+Inputs!$F$164,Time!AC$4=YEAR(Inputs!$F$157)+Inputs!$F$165),Inputs!$F$166/100*Inputs!$F$162*Inputs!$F$167/1000*(1+Inputs!$F$194/100)^(Time!AC$4-Inputs!$F$193),0)</f>
        <v>0</v>
      </c>
      <c r="AD744" s="20" t="n">
        <f aca="false">IF(OR(Time!AD$4=YEAR(Inputs!$F$157)+Inputs!$F$164,Time!AD$4=YEAR(Inputs!$F$157)+Inputs!$F$165),Inputs!$F$166/100*Inputs!$F$162*Inputs!$F$167/1000*(1+Inputs!$F$194/100)^(Time!AD$4-Inputs!$F$193),0)</f>
        <v>0</v>
      </c>
      <c r="AE744" s="20" t="n">
        <f aca="false">IF(OR(Time!AE$4=YEAR(Inputs!$F$157)+Inputs!$F$164,Time!AE$4=YEAR(Inputs!$F$157)+Inputs!$F$165),Inputs!$F$166/100*Inputs!$F$162*Inputs!$F$167/1000*(1+Inputs!$F$194/100)^(Time!AE$4-Inputs!$F$193),0)</f>
        <v>0</v>
      </c>
      <c r="AF744" s="20" t="n">
        <f aca="false">IF(OR(Time!AF$4=YEAR(Inputs!$F$157)+Inputs!$F$164,Time!AF$4=YEAR(Inputs!$F$157)+Inputs!$F$165),Inputs!$F$166/100*Inputs!$F$162*Inputs!$F$167/1000*(1+Inputs!$F$194/100)^(Time!AF$4-Inputs!$F$193),0)</f>
        <v>0</v>
      </c>
      <c r="AG744" s="20" t="n">
        <f aca="false">IF(OR(Time!AG$4=YEAR(Inputs!$F$157)+Inputs!$F$164,Time!AG$4=YEAR(Inputs!$F$157)+Inputs!$F$165),Inputs!$F$166/100*Inputs!$F$162*Inputs!$F$167/1000*(1+Inputs!$F$194/100)^(Time!AG$4-Inputs!$F$193),0)</f>
        <v>0</v>
      </c>
      <c r="AH744" s="20" t="n">
        <f aca="false">IF(OR(Time!AH$4=YEAR(Inputs!$F$157)+Inputs!$F$164,Time!AH$4=YEAR(Inputs!$F$157)+Inputs!$F$165),Inputs!$F$166/100*Inputs!$F$162*Inputs!$F$167/1000*(1+Inputs!$F$194/100)^(Time!AH$4-Inputs!$F$193),0)</f>
        <v>0</v>
      </c>
      <c r="AI744" s="20" t="n">
        <f aca="false">IF(OR(Time!AI$4=YEAR(Inputs!$F$157)+Inputs!$F$164,Time!AI$4=YEAR(Inputs!$F$157)+Inputs!$F$165),Inputs!$F$166/100*Inputs!$F$162*Inputs!$F$167/1000*(1+Inputs!$F$194/100)^(Time!AI$4-Inputs!$F$193),0)</f>
        <v>0</v>
      </c>
      <c r="AJ744" s="20" t="n">
        <f aca="false">IF(OR(Time!AJ$4=YEAR(Inputs!$F$157)+Inputs!$F$164,Time!AJ$4=YEAR(Inputs!$F$157)+Inputs!$F$165),Inputs!$F$166/100*Inputs!$F$162*Inputs!$F$167/1000*(1+Inputs!$F$194/100)^(Time!AJ$4-Inputs!$F$193),0)</f>
        <v>0</v>
      </c>
      <c r="AK744" s="20" t="n">
        <f aca="false">IF(OR(Time!AK$4=YEAR(Inputs!$F$157)+Inputs!$F$164,Time!AK$4=YEAR(Inputs!$F$157)+Inputs!$F$165),Inputs!$F$166/100*Inputs!$F$162*Inputs!$F$167/1000*(1+Inputs!$F$194/100)^(Time!AK$4-Inputs!$F$193),0)</f>
        <v>0</v>
      </c>
      <c r="AL744" s="20" t="n">
        <f aca="false">IF(OR(Time!AL$4=YEAR(Inputs!$F$157)+Inputs!$F$164,Time!AL$4=YEAR(Inputs!$F$157)+Inputs!$F$165),Inputs!$F$166/100*Inputs!$F$162*Inputs!$F$167/1000*(1+Inputs!$F$194/100)^(Time!AL$4-Inputs!$F$193),0)</f>
        <v>0</v>
      </c>
      <c r="AM744" s="20" t="n">
        <f aca="false">IF(OR(Time!AM$4=YEAR(Inputs!$F$157)+Inputs!$F$164,Time!AM$4=YEAR(Inputs!$F$157)+Inputs!$F$165),Inputs!$F$166/100*Inputs!$F$162*Inputs!$F$167/1000*(1+Inputs!$F$194/100)^(Time!AM$4-Inputs!$F$193),0)</f>
        <v>0</v>
      </c>
      <c r="AN744" s="20" t="n">
        <f aca="false">IF(OR(Time!AN$4=YEAR(Inputs!$F$157)+Inputs!$F$164,Time!AN$4=YEAR(Inputs!$F$157)+Inputs!$F$165),Inputs!$F$166/100*Inputs!$F$162*Inputs!$F$167/1000*(1+Inputs!$F$194/100)^(Time!AN$4-Inputs!$F$193),0)</f>
        <v>0</v>
      </c>
      <c r="AO744" s="20" t="n">
        <f aca="false">IF(OR(Time!AO$4=YEAR(Inputs!$F$157)+Inputs!$F$164,Time!AO$4=YEAR(Inputs!$F$157)+Inputs!$F$165),Inputs!$F$166/100*Inputs!$F$162*Inputs!$F$167/1000*(1+Inputs!$F$194/100)^(Time!AO$4-Inputs!$F$193),0)</f>
        <v>0</v>
      </c>
      <c r="AP744" s="20" t="n">
        <f aca="false">IF(OR(Time!AP$4=YEAR(Inputs!$F$157)+Inputs!$F$164,Time!AP$4=YEAR(Inputs!$F$157)+Inputs!$F$165),Inputs!$F$166/100*Inputs!$F$162*Inputs!$F$167/1000*(1+Inputs!$F$194/100)^(Time!AP$4-Inputs!$F$193),0)</f>
        <v>0</v>
      </c>
      <c r="AQ744" s="20" t="n">
        <f aca="false">IF(OR(Time!AQ$4=YEAR(Inputs!$F$157)+Inputs!$F$164,Time!AQ$4=YEAR(Inputs!$F$157)+Inputs!$F$165),Inputs!$F$166/100*Inputs!$F$162*Inputs!$F$167/1000*(1+Inputs!$F$194/100)^(Time!AQ$4-Inputs!$F$193),0)</f>
        <v>0</v>
      </c>
      <c r="AR744" s="20" t="n">
        <f aca="false">IF(OR(Time!AR$4=YEAR(Inputs!$F$157)+Inputs!$F$164,Time!AR$4=YEAR(Inputs!$F$157)+Inputs!$F$165),Inputs!$F$166/100*Inputs!$F$162*Inputs!$F$167/1000*(1+Inputs!$F$194/100)^(Time!AR$4-Inputs!$F$193),0)</f>
        <v>0</v>
      </c>
      <c r="AS744" s="20" t="n">
        <f aca="false">IF(OR(Time!AS$4=YEAR(Inputs!$F$157)+Inputs!$F$164,Time!AS$4=YEAR(Inputs!$F$157)+Inputs!$F$165),Inputs!$F$166/100*Inputs!$F$162*Inputs!$F$167/1000*(1+Inputs!$F$194/100)^(Time!AS$4-Inputs!$F$193),0)</f>
        <v>0</v>
      </c>
      <c r="AT744" s="20" t="n">
        <f aca="false">IF(OR(Time!AT$4=YEAR(Inputs!$F$157)+Inputs!$F$164,Time!AT$4=YEAR(Inputs!$F$157)+Inputs!$F$165),Inputs!$F$166/100*Inputs!$F$162*Inputs!$F$167/1000*(1+Inputs!$F$194/100)^(Time!AT$4-Inputs!$F$193),0)</f>
        <v>0</v>
      </c>
      <c r="AU744" s="20" t="n">
        <f aca="false">IF(OR(Time!AU$4=YEAR(Inputs!$F$157)+Inputs!$F$164,Time!AU$4=YEAR(Inputs!$F$157)+Inputs!$F$165),Inputs!$F$166/100*Inputs!$F$162*Inputs!$F$167/1000*(1+Inputs!$F$194/100)^(Time!AU$4-Inputs!$F$193),0)</f>
        <v>0</v>
      </c>
    </row>
    <row r="745" customFormat="false" ht="15" hidden="false" customHeight="false" outlineLevel="0" collapsed="false">
      <c r="D745" s="0" t="s">
        <v>744</v>
      </c>
      <c r="E745" s="0" t="s">
        <v>47</v>
      </c>
      <c r="J745" s="20" t="n">
        <f aca="false">IF(Time!J$4=YEAR(Inputs!$F$158),Inputs!$F$161*Inputs!$F$156/1000*Time!J$9,0)</f>
        <v>0</v>
      </c>
      <c r="K745" s="20" t="n">
        <f aca="false">IF(Time!K$4=YEAR(Inputs!$F$158),Inputs!$F$161*Inputs!$F$156/1000*Time!K$9,0)</f>
        <v>0</v>
      </c>
      <c r="L745" s="20" t="n">
        <f aca="false">IF(Time!L$4=YEAR(Inputs!$F$158),Inputs!$F$161*Inputs!$F$156/1000*Time!L$9,0)</f>
        <v>0</v>
      </c>
      <c r="M745" s="20" t="n">
        <f aca="false">IF(Time!M$4=YEAR(Inputs!$F$158),Inputs!$F$161*Inputs!$F$156/1000*Time!M$9,0)</f>
        <v>0</v>
      </c>
      <c r="N745" s="20" t="n">
        <f aca="false">IF(Time!N$4=YEAR(Inputs!$F$158),Inputs!$F$161*Inputs!$F$156/1000*Time!N$9,0)</f>
        <v>0</v>
      </c>
      <c r="O745" s="20" t="n">
        <f aca="false">IF(Time!O$4=YEAR(Inputs!$F$158),Inputs!$F$161*Inputs!$F$156/1000*Time!O$9,0)</f>
        <v>0</v>
      </c>
      <c r="P745" s="20" t="n">
        <f aca="false">IF(Time!P$4=YEAR(Inputs!$F$158),Inputs!$F$161*Inputs!$F$156/1000*Time!P$9,0)</f>
        <v>0</v>
      </c>
      <c r="Q745" s="20" t="n">
        <f aca="false">IF(Time!Q$4=YEAR(Inputs!$F$158),Inputs!$F$161*Inputs!$F$156/1000*Time!Q$9,0)</f>
        <v>0</v>
      </c>
      <c r="R745" s="20" t="n">
        <f aca="false">IF(Time!R$4=YEAR(Inputs!$F$158),Inputs!$F$161*Inputs!$F$156/1000*Time!R$9,0)</f>
        <v>0</v>
      </c>
      <c r="S745" s="20" t="n">
        <f aca="false">IF(Time!S$4=YEAR(Inputs!$F$158),Inputs!$F$161*Inputs!$F$156/1000*Time!S$9,0)</f>
        <v>0</v>
      </c>
      <c r="T745" s="20" t="n">
        <f aca="false">IF(Time!T$4=YEAR(Inputs!$F$158),Inputs!$F$161*Inputs!$F$156/1000*Time!T$9,0)</f>
        <v>0</v>
      </c>
      <c r="U745" s="20" t="n">
        <f aca="false">IF(Time!U$4=YEAR(Inputs!$F$158),Inputs!$F$161*Inputs!$F$156/1000*Time!U$9,0)</f>
        <v>0</v>
      </c>
      <c r="V745" s="20" t="n">
        <f aca="false">IF(Time!V$4=YEAR(Inputs!$F$158),Inputs!$F$161*Inputs!$F$156/1000*Time!V$9,0)</f>
        <v>0</v>
      </c>
      <c r="W745" s="20" t="n">
        <f aca="false">IF(Time!W$4=YEAR(Inputs!$F$158),Inputs!$F$161*Inputs!$F$156/1000*Time!W$9,0)</f>
        <v>0</v>
      </c>
      <c r="X745" s="20" t="n">
        <f aca="false">IF(Time!X$4=YEAR(Inputs!$F$158),Inputs!$F$161*Inputs!$F$156/1000*Time!X$9,0)</f>
        <v>0</v>
      </c>
      <c r="Y745" s="20" t="n">
        <f aca="false">IF(Time!Y$4=YEAR(Inputs!$F$158),Inputs!$F$161*Inputs!$F$156/1000*Time!Y$9,0)</f>
        <v>0</v>
      </c>
      <c r="Z745" s="20" t="n">
        <f aca="false">IF(Time!Z$4=YEAR(Inputs!$F$158),Inputs!$F$161*Inputs!$F$156/1000*Time!Z$9,0)</f>
        <v>0</v>
      </c>
      <c r="AA745" s="20" t="n">
        <f aca="false">IF(Time!AA$4=YEAR(Inputs!$F$158),Inputs!$F$161*Inputs!$F$156/1000*Time!AA$9,0)</f>
        <v>0</v>
      </c>
      <c r="AB745" s="20" t="n">
        <f aca="false">IF(Time!AB$4=YEAR(Inputs!$F$158),Inputs!$F$161*Inputs!$F$156/1000*Time!AB$9,0)</f>
        <v>0</v>
      </c>
      <c r="AC745" s="20" t="n">
        <f aca="false">IF(Time!AC$4=YEAR(Inputs!$F$158),Inputs!$F$161*Inputs!$F$156/1000*Time!AC$9,0)</f>
        <v>0</v>
      </c>
      <c r="AD745" s="20" t="n">
        <f aca="false">IF(Time!AD$4=YEAR(Inputs!$F$158),Inputs!$F$161*Inputs!$F$156/1000*Time!AD$9,0)</f>
        <v>0</v>
      </c>
      <c r="AE745" s="20" t="n">
        <f aca="false">IF(Time!AE$4=YEAR(Inputs!$F$158),Inputs!$F$161*Inputs!$F$156/1000*Time!AE$9,0)</f>
        <v>0</v>
      </c>
      <c r="AF745" s="20" t="n">
        <f aca="false">IF(Time!AF$4=YEAR(Inputs!$F$158),Inputs!$F$161*Inputs!$F$156/1000*Time!AF$9,0)</f>
        <v>5.4229499023773</v>
      </c>
      <c r="AG745" s="20" t="n">
        <f aca="false">IF(Time!AG$4=YEAR(Inputs!$F$158),Inputs!$F$161*Inputs!$F$156/1000*Time!AG$9,0)</f>
        <v>0</v>
      </c>
      <c r="AH745" s="20" t="n">
        <f aca="false">IF(Time!AH$4=YEAR(Inputs!$F$158),Inputs!$F$161*Inputs!$F$156/1000*Time!AH$9,0)</f>
        <v>0</v>
      </c>
      <c r="AI745" s="20" t="n">
        <f aca="false">IF(Time!AI$4=YEAR(Inputs!$F$158),Inputs!$F$161*Inputs!$F$156/1000*Time!AI$9,0)</f>
        <v>0</v>
      </c>
      <c r="AJ745" s="20" t="n">
        <f aca="false">IF(Time!AJ$4=YEAR(Inputs!$F$158),Inputs!$F$161*Inputs!$F$156/1000*Time!AJ$9,0)</f>
        <v>0</v>
      </c>
      <c r="AK745" s="20" t="n">
        <f aca="false">IF(Time!AK$4=YEAR(Inputs!$F$158),Inputs!$F$161*Inputs!$F$156/1000*Time!AK$9,0)</f>
        <v>0</v>
      </c>
      <c r="AL745" s="20" t="n">
        <f aca="false">IF(Time!AL$4=YEAR(Inputs!$F$158),Inputs!$F$161*Inputs!$F$156/1000*Time!AL$9,0)</f>
        <v>0</v>
      </c>
      <c r="AM745" s="20" t="n">
        <f aca="false">IF(Time!AM$4=YEAR(Inputs!$F$158),Inputs!$F$161*Inputs!$F$156/1000*Time!AM$9,0)</f>
        <v>0</v>
      </c>
      <c r="AN745" s="20" t="n">
        <f aca="false">IF(Time!AN$4=YEAR(Inputs!$F$158),Inputs!$F$161*Inputs!$F$156/1000*Time!AN$9,0)</f>
        <v>0</v>
      </c>
      <c r="AO745" s="20" t="n">
        <f aca="false">IF(Time!AO$4=YEAR(Inputs!$F$158),Inputs!$F$161*Inputs!$F$156/1000*Time!AO$9,0)</f>
        <v>0</v>
      </c>
      <c r="AP745" s="20" t="n">
        <f aca="false">IF(Time!AP$4=YEAR(Inputs!$F$158),Inputs!$F$161*Inputs!$F$156/1000*Time!AP$9,0)</f>
        <v>0</v>
      </c>
      <c r="AQ745" s="20" t="n">
        <f aca="false">IF(Time!AQ$4=YEAR(Inputs!$F$158),Inputs!$F$161*Inputs!$F$156/1000*Time!AQ$9,0)</f>
        <v>0</v>
      </c>
      <c r="AR745" s="20" t="n">
        <f aca="false">IF(Time!AR$4=YEAR(Inputs!$F$158),Inputs!$F$161*Inputs!$F$156/1000*Time!AR$9,0)</f>
        <v>0</v>
      </c>
      <c r="AS745" s="20" t="n">
        <f aca="false">IF(Time!AS$4=YEAR(Inputs!$F$158),Inputs!$F$161*Inputs!$F$156/1000*Time!AS$9,0)</f>
        <v>0</v>
      </c>
      <c r="AT745" s="20" t="n">
        <f aca="false">IF(Time!AT$4=YEAR(Inputs!$F$158),Inputs!$F$161*Inputs!$F$156/1000*Time!AT$9,0)</f>
        <v>0</v>
      </c>
      <c r="AU745" s="20" t="n">
        <f aca="false">IF(Time!AU$4=YEAR(Inputs!$F$158),Inputs!$F$161*Inputs!$F$156/1000*Time!AU$9,0)</f>
        <v>0</v>
      </c>
    </row>
    <row r="746" customFormat="false" ht="15" hidden="false" customHeight="false" outlineLevel="0" collapsed="false">
      <c r="D746" s="0" t="s">
        <v>745</v>
      </c>
      <c r="E746" s="0" t="s">
        <v>47</v>
      </c>
      <c r="G746" s="20" t="n">
        <f aca="false">SUM(J746:AU746)</f>
        <v>129.048195746998</v>
      </c>
      <c r="J746" s="20" t="n">
        <f aca="false">Operations!J743-Operations!J744-Operations!J745</f>
        <v>0</v>
      </c>
      <c r="K746" s="20" t="n">
        <f aca="false">Operations!K743-Operations!K744-Operations!K745</f>
        <v>0</v>
      </c>
      <c r="L746" s="20" t="n">
        <f aca="false">Operations!L743-Operations!L744-Operations!L745</f>
        <v>5.80284493816598</v>
      </c>
      <c r="M746" s="20" t="n">
        <f aca="false">Operations!M743-Operations!M744-Operations!M745</f>
        <v>7.71972191296875</v>
      </c>
      <c r="N746" s="20" t="n">
        <f aca="false">Operations!N743-Operations!N744-Operations!N745</f>
        <v>7.65830764829297</v>
      </c>
      <c r="O746" s="20" t="n">
        <f aca="false">Operations!O743-Operations!O744-Operations!O745</f>
        <v>7.5953580270003</v>
      </c>
      <c r="P746" s="20" t="n">
        <f aca="false">Operations!P743-Operations!P744-Operations!P745</f>
        <v>7.5308346651753</v>
      </c>
      <c r="Q746" s="20" t="n">
        <f aca="false">Operations!Q743-Operations!Q744-Operations!Q745</f>
        <v>6.65008430602344</v>
      </c>
      <c r="R746" s="20" t="n">
        <f aca="false">Operations!R743-Operations!R744-Operations!R745</f>
        <v>7.3969083622873</v>
      </c>
      <c r="S746" s="20" t="n">
        <f aca="false">Operations!S743-Operations!S744-Operations!S745</f>
        <v>7.32742375884449</v>
      </c>
      <c r="T746" s="20" t="n">
        <f aca="false">Operations!T743-Operations!T744-Operations!T745</f>
        <v>6.53316005296929</v>
      </c>
      <c r="U746" s="20" t="n">
        <f aca="false">Operations!U743-Operations!U744-Operations!U745</f>
        <v>5.45641130921117</v>
      </c>
      <c r="V746" s="20" t="n">
        <f aca="false">Operations!V743-Operations!V744-Operations!V745</f>
        <v>6.42042822954408</v>
      </c>
      <c r="W746" s="20" t="n">
        <f aca="false">Operations!W743-Operations!W744-Operations!W745</f>
        <v>6.48630277231393</v>
      </c>
      <c r="X746" s="20" t="n">
        <f aca="false">Operations!X743-Operations!X744-Operations!X745</f>
        <v>6.52965544086764</v>
      </c>
      <c r="Y746" s="20" t="n">
        <f aca="false">Operations!Y743-Operations!Y744-Operations!Y745</f>
        <v>6.4704930105831</v>
      </c>
      <c r="Z746" s="20" t="n">
        <f aca="false">Operations!Z743-Operations!Z744-Operations!Z745</f>
        <v>6.40720509409262</v>
      </c>
      <c r="AA746" s="20" t="n">
        <f aca="false">Operations!AA743-Operations!AA744-Operations!AA745</f>
        <v>6.34243934775425</v>
      </c>
      <c r="AB746" s="20" t="n">
        <f aca="false">Operations!AB743-Operations!AB744-Operations!AB745</f>
        <v>6.27454139094273</v>
      </c>
      <c r="AC746" s="20" t="n">
        <f aca="false">Operations!AC743-Operations!AC744-Operations!AC745</f>
        <v>6.20343287155295</v>
      </c>
      <c r="AD746" s="20" t="n">
        <f aca="false">Operations!AD743-Operations!AD744-Operations!AD745</f>
        <v>6.1291409215076</v>
      </c>
      <c r="AE746" s="20" t="n">
        <f aca="false">Operations!AE743-Operations!AE744-Operations!AE745</f>
        <v>6.05162143636714</v>
      </c>
      <c r="AF746" s="20" t="n">
        <f aca="false">Operations!AF743-Operations!AF744-Operations!AF745</f>
        <v>-3.93811974946687</v>
      </c>
      <c r="AG746" s="20" t="n">
        <f aca="false">Operations!AG743-Operations!AG744-Operations!AG745</f>
        <v>0</v>
      </c>
      <c r="AH746" s="20" t="n">
        <f aca="false">Operations!AH743-Operations!AH744-Operations!AH745</f>
        <v>0</v>
      </c>
      <c r="AI746" s="20" t="n">
        <f aca="false">Operations!AI743-Operations!AI744-Operations!AI745</f>
        <v>0</v>
      </c>
      <c r="AJ746" s="20" t="n">
        <f aca="false">Operations!AJ743-Operations!AJ744-Operations!AJ745</f>
        <v>0</v>
      </c>
      <c r="AK746" s="20" t="n">
        <f aca="false">Operations!AK743-Operations!AK744-Operations!AK745</f>
        <v>0</v>
      </c>
      <c r="AL746" s="20" t="n">
        <f aca="false">Operations!AL743-Operations!AL744-Operations!AL745</f>
        <v>0</v>
      </c>
      <c r="AM746" s="20" t="n">
        <f aca="false">Operations!AM743-Operations!AM744-Operations!AM745</f>
        <v>0</v>
      </c>
      <c r="AN746" s="20" t="n">
        <f aca="false">Operations!AN743-Operations!AN744-Operations!AN745</f>
        <v>0</v>
      </c>
      <c r="AO746" s="20" t="n">
        <f aca="false">Operations!AO743-Operations!AO744-Operations!AO745</f>
        <v>0</v>
      </c>
      <c r="AP746" s="20" t="n">
        <f aca="false">Operations!AP743-Operations!AP744-Operations!AP745</f>
        <v>0</v>
      </c>
      <c r="AQ746" s="20" t="n">
        <f aca="false">Operations!AQ743-Operations!AQ744-Operations!AQ745</f>
        <v>0</v>
      </c>
      <c r="AR746" s="20" t="n">
        <f aca="false">Operations!AR743-Operations!AR744-Operations!AR745</f>
        <v>0</v>
      </c>
      <c r="AS746" s="20" t="n">
        <f aca="false">Operations!AS743-Operations!AS744-Operations!AS745</f>
        <v>0</v>
      </c>
      <c r="AT746" s="20" t="n">
        <f aca="false">Operations!AT743-Operations!AT744-Operations!AT745</f>
        <v>0</v>
      </c>
      <c r="AU746" s="20" t="n">
        <f aca="false">Operations!AU743-Operations!AU744-Operations!AU745</f>
        <v>0</v>
      </c>
    </row>
    <row r="747" customFormat="false" ht="15" hidden="false" customHeight="false" outlineLevel="0" collapsed="false">
      <c r="D747" s="0" t="s">
        <v>746</v>
      </c>
      <c r="E747" s="0" t="s">
        <v>458</v>
      </c>
      <c r="J747" s="14" t="n">
        <f aca="false">0</f>
        <v>0</v>
      </c>
      <c r="K747" s="14" t="n">
        <f aca="false">0</f>
        <v>0</v>
      </c>
      <c r="L747" s="14" t="n">
        <f aca="false">0</f>
        <v>0</v>
      </c>
      <c r="M747" s="14" t="n">
        <f aca="false">0</f>
        <v>0</v>
      </c>
      <c r="N747" s="14" t="n">
        <f aca="false">0</f>
        <v>0</v>
      </c>
      <c r="O747" s="14" t="n">
        <f aca="false">0</f>
        <v>0</v>
      </c>
      <c r="P747" s="14" t="n">
        <f aca="false">0</f>
        <v>0</v>
      </c>
      <c r="Q747" s="14" t="n">
        <f aca="false">0</f>
        <v>0</v>
      </c>
      <c r="R747" s="14" t="n">
        <f aca="false">0</f>
        <v>0</v>
      </c>
      <c r="S747" s="14" t="n">
        <f aca="false">0</f>
        <v>0</v>
      </c>
      <c r="T747" s="14" t="n">
        <f aca="false">0</f>
        <v>0</v>
      </c>
      <c r="U747" s="14" t="n">
        <f aca="false">0</f>
        <v>0</v>
      </c>
      <c r="V747" s="14" t="n">
        <f aca="false">0</f>
        <v>0</v>
      </c>
      <c r="W747" s="14" t="n">
        <f aca="false">0</f>
        <v>0</v>
      </c>
      <c r="X747" s="14" t="n">
        <f aca="false">0</f>
        <v>0</v>
      </c>
      <c r="Y747" s="14" t="n">
        <f aca="false">0</f>
        <v>0</v>
      </c>
      <c r="Z747" s="14" t="n">
        <f aca="false">0</f>
        <v>0</v>
      </c>
      <c r="AA747" s="14" t="n">
        <f aca="false">0</f>
        <v>0</v>
      </c>
      <c r="AB747" s="14" t="n">
        <f aca="false">0</f>
        <v>0</v>
      </c>
      <c r="AC747" s="14" t="n">
        <f aca="false">0</f>
        <v>0</v>
      </c>
      <c r="AD747" s="14" t="n">
        <f aca="false">0</f>
        <v>0</v>
      </c>
      <c r="AE747" s="14" t="n">
        <f aca="false">0</f>
        <v>0</v>
      </c>
      <c r="AF747" s="14" t="n">
        <f aca="false">0</f>
        <v>0</v>
      </c>
      <c r="AG747" s="14" t="n">
        <f aca="false">0</f>
        <v>0</v>
      </c>
      <c r="AH747" s="14" t="n">
        <f aca="false">0</f>
        <v>0</v>
      </c>
      <c r="AI747" s="14" t="n">
        <f aca="false">0</f>
        <v>0</v>
      </c>
      <c r="AJ747" s="14" t="n">
        <f aca="false">0</f>
        <v>0</v>
      </c>
      <c r="AK747" s="14" t="n">
        <f aca="false">0</f>
        <v>0</v>
      </c>
      <c r="AL747" s="14" t="n">
        <f aca="false">0</f>
        <v>0</v>
      </c>
      <c r="AM747" s="14" t="n">
        <f aca="false">0</f>
        <v>0</v>
      </c>
      <c r="AN747" s="14" t="n">
        <f aca="false">0</f>
        <v>0</v>
      </c>
      <c r="AO747" s="14" t="n">
        <f aca="false">0</f>
        <v>0</v>
      </c>
      <c r="AP747" s="14" t="n">
        <f aca="false">0</f>
        <v>0</v>
      </c>
      <c r="AQ747" s="14" t="n">
        <f aca="false">0</f>
        <v>0</v>
      </c>
      <c r="AR747" s="14" t="n">
        <f aca="false">0</f>
        <v>0</v>
      </c>
      <c r="AS747" s="14" t="n">
        <f aca="false">0</f>
        <v>0</v>
      </c>
      <c r="AT747" s="14" t="n">
        <f aca="false">0</f>
        <v>0</v>
      </c>
      <c r="AU747" s="14" t="n">
        <f aca="false">0</f>
        <v>0</v>
      </c>
    </row>
    <row r="748" customFormat="false" ht="15" hidden="false" customHeight="false" outlineLevel="0" collapsed="false">
      <c r="D748" s="0" t="s">
        <v>747</v>
      </c>
      <c r="E748" s="0" t="s">
        <v>458</v>
      </c>
      <c r="J748" s="14" t="n">
        <f aca="false">1</f>
        <v>1</v>
      </c>
      <c r="K748" s="14" t="n">
        <f aca="false">1</f>
        <v>1</v>
      </c>
      <c r="L748" s="14" t="n">
        <f aca="false">1</f>
        <v>1</v>
      </c>
      <c r="M748" s="14" t="n">
        <f aca="false">1</f>
        <v>1</v>
      </c>
      <c r="N748" s="14" t="n">
        <f aca="false">1</f>
        <v>1</v>
      </c>
      <c r="O748" s="14" t="n">
        <f aca="false">1</f>
        <v>1</v>
      </c>
      <c r="P748" s="14" t="n">
        <f aca="false">1</f>
        <v>1</v>
      </c>
      <c r="Q748" s="14" t="n">
        <f aca="false">1</f>
        <v>1</v>
      </c>
      <c r="R748" s="14" t="n">
        <f aca="false">1</f>
        <v>1</v>
      </c>
      <c r="S748" s="14" t="n">
        <f aca="false">1</f>
        <v>1</v>
      </c>
      <c r="T748" s="14" t="n">
        <f aca="false">1</f>
        <v>1</v>
      </c>
      <c r="U748" s="14" t="n">
        <f aca="false">1</f>
        <v>1</v>
      </c>
      <c r="V748" s="14" t="n">
        <f aca="false">1</f>
        <v>1</v>
      </c>
      <c r="W748" s="14" t="n">
        <f aca="false">1</f>
        <v>1</v>
      </c>
      <c r="X748" s="14" t="n">
        <f aca="false">1</f>
        <v>1</v>
      </c>
      <c r="Y748" s="14" t="n">
        <f aca="false">1</f>
        <v>1</v>
      </c>
      <c r="Z748" s="14" t="n">
        <f aca="false">1</f>
        <v>1</v>
      </c>
      <c r="AA748" s="14" t="n">
        <f aca="false">1</f>
        <v>1</v>
      </c>
      <c r="AB748" s="14" t="n">
        <f aca="false">1</f>
        <v>1</v>
      </c>
      <c r="AC748" s="14" t="n">
        <f aca="false">1</f>
        <v>1</v>
      </c>
      <c r="AD748" s="14" t="n">
        <f aca="false">1</f>
        <v>1</v>
      </c>
      <c r="AE748" s="14" t="n">
        <f aca="false">1</f>
        <v>1</v>
      </c>
      <c r="AF748" s="14" t="n">
        <f aca="false">1</f>
        <v>1</v>
      </c>
      <c r="AG748" s="14" t="n">
        <f aca="false">1</f>
        <v>1</v>
      </c>
      <c r="AH748" s="14" t="n">
        <f aca="false">1</f>
        <v>1</v>
      </c>
      <c r="AI748" s="14" t="n">
        <f aca="false">1</f>
        <v>1</v>
      </c>
      <c r="AJ748" s="14" t="n">
        <f aca="false">1</f>
        <v>1</v>
      </c>
      <c r="AK748" s="14" t="n">
        <f aca="false">1</f>
        <v>1</v>
      </c>
      <c r="AL748" s="14" t="n">
        <f aca="false">1</f>
        <v>1</v>
      </c>
      <c r="AM748" s="14" t="n">
        <f aca="false">1</f>
        <v>1</v>
      </c>
      <c r="AN748" s="14" t="n">
        <f aca="false">1</f>
        <v>1</v>
      </c>
      <c r="AO748" s="14" t="n">
        <f aca="false">1</f>
        <v>1</v>
      </c>
      <c r="AP748" s="14" t="n">
        <f aca="false">1</f>
        <v>1</v>
      </c>
      <c r="AQ748" s="14" t="n">
        <f aca="false">1</f>
        <v>1</v>
      </c>
      <c r="AR748" s="14" t="n">
        <f aca="false">1</f>
        <v>1</v>
      </c>
      <c r="AS748" s="14" t="n">
        <f aca="false">1</f>
        <v>1</v>
      </c>
      <c r="AT748" s="14" t="n">
        <f aca="false">1</f>
        <v>1</v>
      </c>
      <c r="AU748" s="14" t="n">
        <f aca="false">1</f>
        <v>1</v>
      </c>
    </row>
    <row r="749" customFormat="false" ht="15" hidden="false" customHeight="false" outlineLevel="0" collapsed="false">
      <c r="D749" s="0" t="s">
        <v>748</v>
      </c>
      <c r="E749" s="0" t="s">
        <v>47</v>
      </c>
      <c r="G749" s="20" t="n">
        <f aca="false">SUM(J749:AU749)</f>
        <v>129.048195746998</v>
      </c>
      <c r="J749" s="20" t="n">
        <f aca="false">Operations!J746*(1-Operations!J747)*Operations!J715</f>
        <v>0</v>
      </c>
      <c r="K749" s="20" t="n">
        <f aca="false">Operations!K746*(1-Operations!K747)*Operations!K715</f>
        <v>0</v>
      </c>
      <c r="L749" s="20" t="n">
        <f aca="false">Operations!L746*(1-Operations!L747)*Operations!L715</f>
        <v>5.80284493816598</v>
      </c>
      <c r="M749" s="20" t="n">
        <f aca="false">Operations!M746*(1-Operations!M747)*Operations!M715</f>
        <v>7.71972191296875</v>
      </c>
      <c r="N749" s="20" t="n">
        <f aca="false">Operations!N746*(1-Operations!N747)*Operations!N715</f>
        <v>7.65830764829297</v>
      </c>
      <c r="O749" s="20" t="n">
        <f aca="false">Operations!O746*(1-Operations!O747)*Operations!O715</f>
        <v>7.5953580270003</v>
      </c>
      <c r="P749" s="20" t="n">
        <f aca="false">Operations!P746*(1-Operations!P747)*Operations!P715</f>
        <v>7.5308346651753</v>
      </c>
      <c r="Q749" s="20" t="n">
        <f aca="false">Operations!Q746*(1-Operations!Q747)*Operations!Q715</f>
        <v>6.65008430602344</v>
      </c>
      <c r="R749" s="20" t="n">
        <f aca="false">Operations!R746*(1-Operations!R747)*Operations!R715</f>
        <v>7.3969083622873</v>
      </c>
      <c r="S749" s="20" t="n">
        <f aca="false">Operations!S746*(1-Operations!S747)*Operations!S715</f>
        <v>7.32742375884449</v>
      </c>
      <c r="T749" s="20" t="n">
        <f aca="false">Operations!T746*(1-Operations!T747)*Operations!T715</f>
        <v>6.53316005296929</v>
      </c>
      <c r="U749" s="20" t="n">
        <f aca="false">Operations!U746*(1-Operations!U747)*Operations!U715</f>
        <v>5.45641130921117</v>
      </c>
      <c r="V749" s="20" t="n">
        <f aca="false">Operations!V746*(1-Operations!V747)*Operations!V715</f>
        <v>6.42042822954408</v>
      </c>
      <c r="W749" s="20" t="n">
        <f aca="false">Operations!W746*(1-Operations!W747)*Operations!W715</f>
        <v>6.48630277231393</v>
      </c>
      <c r="X749" s="20" t="n">
        <f aca="false">Operations!X746*(1-Operations!X747)*Operations!X715</f>
        <v>6.52965544086764</v>
      </c>
      <c r="Y749" s="20" t="n">
        <f aca="false">Operations!Y746*(1-Operations!Y747)*Operations!Y715</f>
        <v>6.4704930105831</v>
      </c>
      <c r="Z749" s="20" t="n">
        <f aca="false">Operations!Z746*(1-Operations!Z747)*Operations!Z715</f>
        <v>6.40720509409262</v>
      </c>
      <c r="AA749" s="20" t="n">
        <f aca="false">Operations!AA746*(1-Operations!AA747)*Operations!AA715</f>
        <v>6.34243934775425</v>
      </c>
      <c r="AB749" s="20" t="n">
        <f aca="false">Operations!AB746*(1-Operations!AB747)*Operations!AB715</f>
        <v>6.27454139094273</v>
      </c>
      <c r="AC749" s="20" t="n">
        <f aca="false">Operations!AC746*(1-Operations!AC747)*Operations!AC715</f>
        <v>6.20343287155295</v>
      </c>
      <c r="AD749" s="20" t="n">
        <f aca="false">Operations!AD746*(1-Operations!AD747)*Operations!AD715</f>
        <v>6.1291409215076</v>
      </c>
      <c r="AE749" s="20" t="n">
        <f aca="false">Operations!AE746*(1-Operations!AE747)*Operations!AE715</f>
        <v>6.05162143636714</v>
      </c>
      <c r="AF749" s="20" t="n">
        <f aca="false">Operations!AF746*(1-Operations!AF747)*Operations!AF715</f>
        <v>-3.93811974946687</v>
      </c>
      <c r="AG749" s="20" t="n">
        <f aca="false">Operations!AG746*(1-Operations!AG747)*Operations!AG715</f>
        <v>0</v>
      </c>
      <c r="AH749" s="20" t="n">
        <f aca="false">Operations!AH746*(1-Operations!AH747)*Operations!AH715</f>
        <v>0</v>
      </c>
      <c r="AI749" s="20" t="n">
        <f aca="false">Operations!AI746*(1-Operations!AI747)*Operations!AI715</f>
        <v>0</v>
      </c>
      <c r="AJ749" s="20" t="n">
        <f aca="false">Operations!AJ746*(1-Operations!AJ747)*Operations!AJ715</f>
        <v>0</v>
      </c>
      <c r="AK749" s="20" t="n">
        <f aca="false">Operations!AK746*(1-Operations!AK747)*Operations!AK715</f>
        <v>0</v>
      </c>
      <c r="AL749" s="20" t="n">
        <f aca="false">Operations!AL746*(1-Operations!AL747)*Operations!AL715</f>
        <v>0</v>
      </c>
      <c r="AM749" s="20" t="n">
        <f aca="false">Operations!AM746*(1-Operations!AM747)*Operations!AM715</f>
        <v>0</v>
      </c>
      <c r="AN749" s="20" t="n">
        <f aca="false">Operations!AN746*(1-Operations!AN747)*Operations!AN715</f>
        <v>0</v>
      </c>
      <c r="AO749" s="20" t="n">
        <f aca="false">Operations!AO746*(1-Operations!AO747)*Operations!AO715</f>
        <v>0</v>
      </c>
      <c r="AP749" s="20" t="n">
        <f aca="false">Operations!AP746*(1-Operations!AP747)*Operations!AP715</f>
        <v>0</v>
      </c>
      <c r="AQ749" s="20" t="n">
        <f aca="false">Operations!AQ746*(1-Operations!AQ747)*Operations!AQ715</f>
        <v>0</v>
      </c>
      <c r="AR749" s="20" t="n">
        <f aca="false">Operations!AR746*(1-Operations!AR747)*Operations!AR715</f>
        <v>0</v>
      </c>
      <c r="AS749" s="20" t="n">
        <f aca="false">Operations!AS746*(1-Operations!AS747)*Operations!AS715</f>
        <v>0</v>
      </c>
      <c r="AT749" s="20" t="n">
        <f aca="false">Operations!AT746*(1-Operations!AT747)*Operations!AT715</f>
        <v>0</v>
      </c>
      <c r="AU749" s="20" t="n">
        <f aca="false">Operations!AU746*(1-Operations!AU747)*Operations!AU715</f>
        <v>0</v>
      </c>
    </row>
    <row r="750" customFormat="false" ht="15" hidden="false" customHeight="false" outlineLevel="0" collapsed="false">
      <c r="D750" s="0" t="s">
        <v>749</v>
      </c>
      <c r="E750" s="0" t="s">
        <v>47</v>
      </c>
      <c r="J750" s="20" t="n">
        <f aca="false">Operations!J746*Operations!J748*Operations!J715</f>
        <v>0</v>
      </c>
      <c r="K750" s="20" t="n">
        <f aca="false">Operations!K746*Operations!K748*Operations!K715</f>
        <v>0</v>
      </c>
      <c r="L750" s="20" t="n">
        <f aca="false">Operations!L746*Operations!L748*Operations!L715</f>
        <v>5.80284493816598</v>
      </c>
      <c r="M750" s="20" t="n">
        <f aca="false">Operations!M746*Operations!M748*Operations!M715</f>
        <v>7.71972191296875</v>
      </c>
      <c r="N750" s="20" t="n">
        <f aca="false">Operations!N746*Operations!N748*Operations!N715</f>
        <v>7.65830764829297</v>
      </c>
      <c r="O750" s="20" t="n">
        <f aca="false">Operations!O746*Operations!O748*Operations!O715</f>
        <v>7.5953580270003</v>
      </c>
      <c r="P750" s="20" t="n">
        <f aca="false">Operations!P746*Operations!P748*Operations!P715</f>
        <v>7.5308346651753</v>
      </c>
      <c r="Q750" s="20" t="n">
        <f aca="false">Operations!Q746*Operations!Q748*Operations!Q715</f>
        <v>6.65008430602344</v>
      </c>
      <c r="R750" s="20" t="n">
        <f aca="false">Operations!R746*Operations!R748*Operations!R715</f>
        <v>7.3969083622873</v>
      </c>
      <c r="S750" s="20" t="n">
        <f aca="false">Operations!S746*Operations!S748*Operations!S715</f>
        <v>7.32742375884449</v>
      </c>
      <c r="T750" s="20" t="n">
        <f aca="false">Operations!T746*Operations!T748*Operations!T715</f>
        <v>6.53316005296929</v>
      </c>
      <c r="U750" s="20" t="n">
        <f aca="false">Operations!U746*Operations!U748*Operations!U715</f>
        <v>5.45641130921117</v>
      </c>
      <c r="V750" s="20" t="n">
        <f aca="false">Operations!V746*Operations!V748*Operations!V715</f>
        <v>6.42042822954408</v>
      </c>
      <c r="W750" s="20" t="n">
        <f aca="false">Operations!W746*Operations!W748*Operations!W715</f>
        <v>6.48630277231393</v>
      </c>
      <c r="X750" s="20" t="n">
        <f aca="false">Operations!X746*Operations!X748*Operations!X715</f>
        <v>6.52965544086764</v>
      </c>
      <c r="Y750" s="20" t="n">
        <f aca="false">Operations!Y746*Operations!Y748*Operations!Y715</f>
        <v>6.4704930105831</v>
      </c>
      <c r="Z750" s="20" t="n">
        <f aca="false">Operations!Z746*Operations!Z748*Operations!Z715</f>
        <v>6.40720509409262</v>
      </c>
      <c r="AA750" s="20" t="n">
        <f aca="false">Operations!AA746*Operations!AA748*Operations!AA715</f>
        <v>6.34243934775425</v>
      </c>
      <c r="AB750" s="20" t="n">
        <f aca="false">Operations!AB746*Operations!AB748*Operations!AB715</f>
        <v>6.27454139094273</v>
      </c>
      <c r="AC750" s="20" t="n">
        <f aca="false">Operations!AC746*Operations!AC748*Operations!AC715</f>
        <v>6.20343287155295</v>
      </c>
      <c r="AD750" s="20" t="n">
        <f aca="false">Operations!AD746*Operations!AD748*Operations!AD715</f>
        <v>6.1291409215076</v>
      </c>
      <c r="AE750" s="20" t="n">
        <f aca="false">Operations!AE746*Operations!AE748*Operations!AE715</f>
        <v>6.05162143636714</v>
      </c>
      <c r="AF750" s="20" t="n">
        <f aca="false">Operations!AF746*Operations!AF748*Operations!AF715</f>
        <v>-3.93811974946687</v>
      </c>
      <c r="AG750" s="20" t="n">
        <f aca="false">Operations!AG746*Operations!AG748*Operations!AG715</f>
        <v>0</v>
      </c>
      <c r="AH750" s="20" t="n">
        <f aca="false">Operations!AH746*Operations!AH748*Operations!AH715</f>
        <v>0</v>
      </c>
      <c r="AI750" s="20" t="n">
        <f aca="false">Operations!AI746*Operations!AI748*Operations!AI715</f>
        <v>0</v>
      </c>
      <c r="AJ750" s="20" t="n">
        <f aca="false">Operations!AJ746*Operations!AJ748*Operations!AJ715</f>
        <v>0</v>
      </c>
      <c r="AK750" s="20" t="n">
        <f aca="false">Operations!AK746*Operations!AK748*Operations!AK715</f>
        <v>0</v>
      </c>
      <c r="AL750" s="20" t="n">
        <f aca="false">Operations!AL746*Operations!AL748*Operations!AL715</f>
        <v>0</v>
      </c>
      <c r="AM750" s="20" t="n">
        <f aca="false">Operations!AM746*Operations!AM748*Operations!AM715</f>
        <v>0</v>
      </c>
      <c r="AN750" s="20" t="n">
        <f aca="false">Operations!AN746*Operations!AN748*Operations!AN715</f>
        <v>0</v>
      </c>
      <c r="AO750" s="20" t="n">
        <f aca="false">Operations!AO746*Operations!AO748*Operations!AO715</f>
        <v>0</v>
      </c>
      <c r="AP750" s="20" t="n">
        <f aca="false">Operations!AP746*Operations!AP748*Operations!AP715</f>
        <v>0</v>
      </c>
      <c r="AQ750" s="20" t="n">
        <f aca="false">Operations!AQ746*Operations!AQ748*Operations!AQ715</f>
        <v>0</v>
      </c>
      <c r="AR750" s="20" t="n">
        <f aca="false">Operations!AR746*Operations!AR748*Operations!AR715</f>
        <v>0</v>
      </c>
      <c r="AS750" s="20" t="n">
        <f aca="false">Operations!AS746*Operations!AS748*Operations!AS715</f>
        <v>0</v>
      </c>
      <c r="AT750" s="20" t="n">
        <f aca="false">Operations!AT746*Operations!AT748*Operations!AT715</f>
        <v>0</v>
      </c>
      <c r="AU750" s="20" t="n">
        <f aca="false">Operations!AU746*Operations!AU748*Operations!AU715</f>
        <v>0</v>
      </c>
    </row>
    <row r="751" customFormat="false" ht="15" hidden="false" customHeight="false" outlineLevel="0" collapsed="false">
      <c r="D751" s="0" t="s">
        <v>750</v>
      </c>
      <c r="E751" s="0" t="s">
        <v>47</v>
      </c>
      <c r="J751" s="20" t="n">
        <f aca="false">Operations!J749-Inputs!$F$248/100*Operations!J750</f>
        <v>0</v>
      </c>
      <c r="K751" s="20" t="n">
        <f aca="false">Operations!K749-Inputs!$F$248/100*Operations!K750</f>
        <v>0</v>
      </c>
      <c r="L751" s="20" t="n">
        <f aca="false">Operations!L749-Inputs!$F$248/100*Operations!L750</f>
        <v>4.58424750115113</v>
      </c>
      <c r="M751" s="20" t="n">
        <f aca="false">Operations!M749-Inputs!$F$248/100*Operations!M750</f>
        <v>6.09858031124531</v>
      </c>
      <c r="N751" s="20" t="n">
        <f aca="false">Operations!N749-Inputs!$F$248/100*Operations!N750</f>
        <v>6.05006304215145</v>
      </c>
      <c r="O751" s="20" t="n">
        <f aca="false">Operations!O749-Inputs!$F$248/100*Operations!O750</f>
        <v>6.00033284133023</v>
      </c>
      <c r="P751" s="20" t="n">
        <f aca="false">Operations!P749-Inputs!$F$248/100*Operations!P750</f>
        <v>5.94935938548849</v>
      </c>
      <c r="Q751" s="20" t="n">
        <f aca="false">Operations!Q749-Inputs!$F$248/100*Operations!Q750</f>
        <v>5.25356660175851</v>
      </c>
      <c r="R751" s="20" t="n">
        <f aca="false">Operations!R749-Inputs!$F$248/100*Operations!R750</f>
        <v>5.84355760620697</v>
      </c>
      <c r="S751" s="20" t="n">
        <f aca="false">Operations!S749-Inputs!$F$248/100*Operations!S750</f>
        <v>5.78866476948714</v>
      </c>
      <c r="T751" s="20" t="n">
        <f aca="false">Operations!T749-Inputs!$F$248/100*Operations!T750</f>
        <v>5.16119644184574</v>
      </c>
      <c r="U751" s="20" t="n">
        <f aca="false">Operations!U749-Inputs!$F$248/100*Operations!U750</f>
        <v>4.31056493427682</v>
      </c>
      <c r="V751" s="20" t="n">
        <f aca="false">Operations!V749-Inputs!$F$248/100*Operations!V750</f>
        <v>5.07213830133982</v>
      </c>
      <c r="W751" s="20" t="n">
        <f aca="false">Operations!W749-Inputs!$F$248/100*Operations!W750</f>
        <v>5.124179190128</v>
      </c>
      <c r="X751" s="20" t="n">
        <f aca="false">Operations!X749-Inputs!$F$248/100*Operations!X750</f>
        <v>5.15842779828544</v>
      </c>
      <c r="Y751" s="20" t="n">
        <f aca="false">Operations!Y749-Inputs!$F$248/100*Operations!Y750</f>
        <v>5.11168947836065</v>
      </c>
      <c r="Z751" s="20" t="n">
        <f aca="false">Operations!Z749-Inputs!$F$248/100*Operations!Z750</f>
        <v>5.06169202433317</v>
      </c>
      <c r="AA751" s="20" t="n">
        <f aca="false">Operations!AA749-Inputs!$F$248/100*Operations!AA750</f>
        <v>5.01052708472585</v>
      </c>
      <c r="AB751" s="20" t="n">
        <f aca="false">Operations!AB749-Inputs!$F$248/100*Operations!AB750</f>
        <v>4.95688769884475</v>
      </c>
      <c r="AC751" s="20" t="n">
        <f aca="false">Operations!AC749-Inputs!$F$248/100*Operations!AC750</f>
        <v>4.90071196852683</v>
      </c>
      <c r="AD751" s="20" t="n">
        <f aca="false">Operations!AD749-Inputs!$F$248/100*Operations!AD750</f>
        <v>4.842021327991</v>
      </c>
      <c r="AE751" s="20" t="n">
        <f aca="false">Operations!AE749-Inputs!$F$248/100*Operations!AE750</f>
        <v>4.78078093473004</v>
      </c>
      <c r="AF751" s="20" t="n">
        <f aca="false">Operations!AF749-Inputs!$F$248/100*Operations!AF750</f>
        <v>-3.11111460207883</v>
      </c>
      <c r="AG751" s="20" t="n">
        <f aca="false">Operations!AG749-Inputs!$F$248/100*Operations!AG750</f>
        <v>0</v>
      </c>
      <c r="AH751" s="20" t="n">
        <f aca="false">Operations!AH749-Inputs!$F$248/100*Operations!AH750</f>
        <v>0</v>
      </c>
      <c r="AI751" s="20" t="n">
        <f aca="false">Operations!AI749-Inputs!$F$248/100*Operations!AI750</f>
        <v>0</v>
      </c>
      <c r="AJ751" s="20" t="n">
        <f aca="false">Operations!AJ749-Inputs!$F$248/100*Operations!AJ750</f>
        <v>0</v>
      </c>
      <c r="AK751" s="20" t="n">
        <f aca="false">Operations!AK749-Inputs!$F$248/100*Operations!AK750</f>
        <v>0</v>
      </c>
      <c r="AL751" s="20" t="n">
        <f aca="false">Operations!AL749-Inputs!$F$248/100*Operations!AL750</f>
        <v>0</v>
      </c>
      <c r="AM751" s="20" t="n">
        <f aca="false">Operations!AM749-Inputs!$F$248/100*Operations!AM750</f>
        <v>0</v>
      </c>
      <c r="AN751" s="20" t="n">
        <f aca="false">Operations!AN749-Inputs!$F$248/100*Operations!AN750</f>
        <v>0</v>
      </c>
      <c r="AO751" s="20" t="n">
        <f aca="false">Operations!AO749-Inputs!$F$248/100*Operations!AO750</f>
        <v>0</v>
      </c>
      <c r="AP751" s="20" t="n">
        <f aca="false">Operations!AP749-Inputs!$F$248/100*Operations!AP750</f>
        <v>0</v>
      </c>
      <c r="AQ751" s="20" t="n">
        <f aca="false">Operations!AQ749-Inputs!$F$248/100*Operations!AQ750</f>
        <v>0</v>
      </c>
      <c r="AR751" s="20" t="n">
        <f aca="false">Operations!AR749-Inputs!$F$248/100*Operations!AR750</f>
        <v>0</v>
      </c>
      <c r="AS751" s="20" t="n">
        <f aca="false">Operations!AS749-Inputs!$F$248/100*Operations!AS750</f>
        <v>0</v>
      </c>
      <c r="AT751" s="20" t="n">
        <f aca="false">Operations!AT749-Inputs!$F$248/100*Operations!AT750</f>
        <v>0</v>
      </c>
      <c r="AU751" s="20" t="n">
        <f aca="false">Operations!AU749-Inputs!$F$248/100*Operations!AU750</f>
        <v>0</v>
      </c>
    </row>
    <row r="752" customFormat="false" ht="15" hidden="false" customHeight="false" outlineLevel="0" collapsed="false">
      <c r="D752" s="0" t="s">
        <v>751</v>
      </c>
      <c r="E752" s="0" t="s">
        <v>458</v>
      </c>
      <c r="J752" s="14" t="n">
        <f aca="false">IF(Operations!J737=0,0,Operations!J735/Operations!J737)</f>
        <v>0</v>
      </c>
      <c r="K752" s="14" t="n">
        <f aca="false">IF(Operations!K737=0,0,Operations!K735/Operations!K737)</f>
        <v>0</v>
      </c>
      <c r="L752" s="14" t="n">
        <f aca="false">IF(Operations!L737=0,0,Operations!L735/Operations!L737)</f>
        <v>1</v>
      </c>
      <c r="M752" s="14" t="n">
        <f aca="false">IF(Operations!M737=0,0,Operations!M735/Operations!M737)</f>
        <v>1</v>
      </c>
      <c r="N752" s="14" t="n">
        <f aca="false">IF(Operations!N737=0,0,Operations!N735/Operations!N737)</f>
        <v>1</v>
      </c>
      <c r="O752" s="14" t="n">
        <f aca="false">IF(Operations!O737=0,0,Operations!O735/Operations!O737)</f>
        <v>1</v>
      </c>
      <c r="P752" s="14" t="n">
        <f aca="false">IF(Operations!P737=0,0,Operations!P735/Operations!P737)</f>
        <v>1</v>
      </c>
      <c r="Q752" s="14" t="n">
        <f aca="false">IF(Operations!Q737=0,0,Operations!Q735/Operations!Q737)</f>
        <v>1</v>
      </c>
      <c r="R752" s="14" t="n">
        <f aca="false">IF(Operations!R737=0,0,Operations!R735/Operations!R737)</f>
        <v>1</v>
      </c>
      <c r="S752" s="14" t="n">
        <f aca="false">IF(Operations!S737=0,0,Operations!S735/Operations!S737)</f>
        <v>1</v>
      </c>
      <c r="T752" s="14" t="n">
        <f aca="false">IF(Operations!T737=0,0,Operations!T735/Operations!T737)</f>
        <v>0.270592127068931</v>
      </c>
      <c r="U752" s="14" t="n">
        <f aca="false">IF(Operations!U737=0,0,Operations!U735/Operations!U737)</f>
        <v>0</v>
      </c>
      <c r="V752" s="14" t="n">
        <f aca="false">IF(Operations!V737=0,0,Operations!V735/Operations!V737)</f>
        <v>0</v>
      </c>
      <c r="W752" s="14" t="n">
        <f aca="false">IF(Operations!W737=0,0,Operations!W735/Operations!W737)</f>
        <v>0</v>
      </c>
      <c r="X752" s="14" t="n">
        <f aca="false">IF(Operations!X737=0,0,Operations!X735/Operations!X737)</f>
        <v>0</v>
      </c>
      <c r="Y752" s="14" t="n">
        <f aca="false">IF(Operations!Y737=0,0,Operations!Y735/Operations!Y737)</f>
        <v>0</v>
      </c>
      <c r="Z752" s="14" t="n">
        <f aca="false">IF(Operations!Z737=0,0,Operations!Z735/Operations!Z737)</f>
        <v>0</v>
      </c>
      <c r="AA752" s="14" t="n">
        <f aca="false">IF(Operations!AA737=0,0,Operations!AA735/Operations!AA737)</f>
        <v>0</v>
      </c>
      <c r="AB752" s="14" t="n">
        <f aca="false">IF(Operations!AB737=0,0,Operations!AB735/Operations!AB737)</f>
        <v>0</v>
      </c>
      <c r="AC752" s="14" t="n">
        <f aca="false">IF(Operations!AC737=0,0,Operations!AC735/Operations!AC737)</f>
        <v>0</v>
      </c>
      <c r="AD752" s="14" t="n">
        <f aca="false">IF(Operations!AD737=0,0,Operations!AD735/Operations!AD737)</f>
        <v>0</v>
      </c>
      <c r="AE752" s="14" t="n">
        <f aca="false">IF(Operations!AE737=0,0,Operations!AE735/Operations!AE737)</f>
        <v>0</v>
      </c>
      <c r="AF752" s="14" t="n">
        <f aca="false">IF(Operations!AF737=0,0,Operations!AF735/Operations!AF737)</f>
        <v>0</v>
      </c>
      <c r="AG752" s="14" t="n">
        <f aca="false">IF(Operations!AG737=0,0,Operations!AG735/Operations!AG737)</f>
        <v>0</v>
      </c>
      <c r="AH752" s="14" t="n">
        <f aca="false">IF(Operations!AH737=0,0,Operations!AH735/Operations!AH737)</f>
        <v>0</v>
      </c>
      <c r="AI752" s="14" t="n">
        <f aca="false">IF(Operations!AI737=0,0,Operations!AI735/Operations!AI737)</f>
        <v>0</v>
      </c>
      <c r="AJ752" s="14" t="n">
        <f aca="false">IF(Operations!AJ737=0,0,Operations!AJ735/Operations!AJ737)</f>
        <v>0</v>
      </c>
      <c r="AK752" s="14" t="n">
        <f aca="false">IF(Operations!AK737=0,0,Operations!AK735/Operations!AK737)</f>
        <v>0</v>
      </c>
      <c r="AL752" s="14" t="n">
        <f aca="false">IF(Operations!AL737=0,0,Operations!AL735/Operations!AL737)</f>
        <v>0</v>
      </c>
      <c r="AM752" s="14" t="n">
        <f aca="false">IF(Operations!AM737=0,0,Operations!AM735/Operations!AM737)</f>
        <v>0</v>
      </c>
      <c r="AN752" s="14" t="n">
        <f aca="false">IF(Operations!AN737=0,0,Operations!AN735/Operations!AN737)</f>
        <v>0</v>
      </c>
      <c r="AO752" s="14" t="n">
        <f aca="false">IF(Operations!AO737=0,0,Operations!AO735/Operations!AO737)</f>
        <v>0</v>
      </c>
      <c r="AP752" s="14" t="n">
        <f aca="false">IF(Operations!AP737=0,0,Operations!AP735/Operations!AP737)</f>
        <v>0</v>
      </c>
      <c r="AQ752" s="14" t="n">
        <f aca="false">IF(Operations!AQ737=0,0,Operations!AQ735/Operations!AQ737)</f>
        <v>0</v>
      </c>
      <c r="AR752" s="14" t="n">
        <f aca="false">IF(Operations!AR737=0,0,Operations!AR735/Operations!AR737)</f>
        <v>0</v>
      </c>
      <c r="AS752" s="14" t="n">
        <f aca="false">IF(Operations!AS737=0,0,Operations!AS735/Operations!AS737)</f>
        <v>0</v>
      </c>
      <c r="AT752" s="14" t="n">
        <f aca="false">IF(Operations!AT737=0,0,Operations!AT735/Operations!AT737)</f>
        <v>0</v>
      </c>
      <c r="AU752" s="14" t="n">
        <f aca="false">IF(Operations!AU737=0,0,Operations!AU735/Operations!AU737)</f>
        <v>0</v>
      </c>
    </row>
    <row r="753" customFormat="false" ht="15" hidden="false" customHeight="false" outlineLevel="0" collapsed="false">
      <c r="D753" s="0" t="s">
        <v>752</v>
      </c>
      <c r="E753" s="0" t="s">
        <v>458</v>
      </c>
      <c r="J753" s="14" t="n">
        <f aca="false">IF(Operations!J737=0,0,Operations!J736/Operations!J737)</f>
        <v>0</v>
      </c>
      <c r="K753" s="14" t="n">
        <f aca="false">IF(Operations!K737=0,0,Operations!K736/Operations!K737)</f>
        <v>0</v>
      </c>
      <c r="L753" s="14" t="n">
        <f aca="false">IF(Operations!L737=0,0,Operations!L736/Operations!L737)</f>
        <v>0</v>
      </c>
      <c r="M753" s="14" t="n">
        <f aca="false">IF(Operations!M737=0,0,Operations!M736/Operations!M737)</f>
        <v>0</v>
      </c>
      <c r="N753" s="14" t="n">
        <f aca="false">IF(Operations!N737=0,0,Operations!N736/Operations!N737)</f>
        <v>0</v>
      </c>
      <c r="O753" s="14" t="n">
        <f aca="false">IF(Operations!O737=0,0,Operations!O736/Operations!O737)</f>
        <v>0</v>
      </c>
      <c r="P753" s="14" t="n">
        <f aca="false">IF(Operations!P737=0,0,Operations!P736/Operations!P737)</f>
        <v>0</v>
      </c>
      <c r="Q753" s="14" t="n">
        <f aca="false">IF(Operations!Q737=0,0,Operations!Q736/Operations!Q737)</f>
        <v>0</v>
      </c>
      <c r="R753" s="14" t="n">
        <f aca="false">IF(Operations!R737=0,0,Operations!R736/Operations!R737)</f>
        <v>0</v>
      </c>
      <c r="S753" s="14" t="n">
        <f aca="false">IF(Operations!S737=0,0,Operations!S736/Operations!S737)</f>
        <v>0</v>
      </c>
      <c r="T753" s="14" t="n">
        <f aca="false">IF(Operations!T737=0,0,Operations!T736/Operations!T737)</f>
        <v>0</v>
      </c>
      <c r="U753" s="14" t="n">
        <f aca="false">IF(Operations!U737=0,0,Operations!U736/Operations!U737)</f>
        <v>0</v>
      </c>
      <c r="V753" s="14" t="n">
        <f aca="false">IF(Operations!V737=0,0,Operations!V736/Operations!V737)</f>
        <v>0</v>
      </c>
      <c r="W753" s="14" t="n">
        <f aca="false">IF(Operations!W737=0,0,Operations!W736/Operations!W737)</f>
        <v>0</v>
      </c>
      <c r="X753" s="14" t="n">
        <f aca="false">IF(Operations!X737=0,0,Operations!X736/Operations!X737)</f>
        <v>0</v>
      </c>
      <c r="Y753" s="14" t="n">
        <f aca="false">IF(Operations!Y737=0,0,Operations!Y736/Operations!Y737)</f>
        <v>0</v>
      </c>
      <c r="Z753" s="14" t="n">
        <f aca="false">IF(Operations!Z737=0,0,Operations!Z736/Operations!Z737)</f>
        <v>0</v>
      </c>
      <c r="AA753" s="14" t="n">
        <f aca="false">IF(Operations!AA737=0,0,Operations!AA736/Operations!AA737)</f>
        <v>0</v>
      </c>
      <c r="AB753" s="14" t="n">
        <f aca="false">IF(Operations!AB737=0,0,Operations!AB736/Operations!AB737)</f>
        <v>0</v>
      </c>
      <c r="AC753" s="14" t="n">
        <f aca="false">IF(Operations!AC737=0,0,Operations!AC736/Operations!AC737)</f>
        <v>0</v>
      </c>
      <c r="AD753" s="14" t="n">
        <f aca="false">IF(Operations!AD737=0,0,Operations!AD736/Operations!AD737)</f>
        <v>0</v>
      </c>
      <c r="AE753" s="14" t="n">
        <f aca="false">IF(Operations!AE737=0,0,Operations!AE736/Operations!AE737)</f>
        <v>0</v>
      </c>
      <c r="AF753" s="14" t="n">
        <f aca="false">IF(Operations!AF737=0,0,Operations!AF736/Operations!AF737)</f>
        <v>0</v>
      </c>
      <c r="AG753" s="14" t="n">
        <f aca="false">IF(Operations!AG737=0,0,Operations!AG736/Operations!AG737)</f>
        <v>0</v>
      </c>
      <c r="AH753" s="14" t="n">
        <f aca="false">IF(Operations!AH737=0,0,Operations!AH736/Operations!AH737)</f>
        <v>0</v>
      </c>
      <c r="AI753" s="14" t="n">
        <f aca="false">IF(Operations!AI737=0,0,Operations!AI736/Operations!AI737)</f>
        <v>0</v>
      </c>
      <c r="AJ753" s="14" t="n">
        <f aca="false">IF(Operations!AJ737=0,0,Operations!AJ736/Operations!AJ737)</f>
        <v>0</v>
      </c>
      <c r="AK753" s="14" t="n">
        <f aca="false">IF(Operations!AK737=0,0,Operations!AK736/Operations!AK737)</f>
        <v>0</v>
      </c>
      <c r="AL753" s="14" t="n">
        <f aca="false">IF(Operations!AL737=0,0,Operations!AL736/Operations!AL737)</f>
        <v>0</v>
      </c>
      <c r="AM753" s="14" t="n">
        <f aca="false">IF(Operations!AM737=0,0,Operations!AM736/Operations!AM737)</f>
        <v>0</v>
      </c>
      <c r="AN753" s="14" t="n">
        <f aca="false">IF(Operations!AN737=0,0,Operations!AN736/Operations!AN737)</f>
        <v>0</v>
      </c>
      <c r="AO753" s="14" t="n">
        <f aca="false">IF(Operations!AO737=0,0,Operations!AO736/Operations!AO737)</f>
        <v>0</v>
      </c>
      <c r="AP753" s="14" t="n">
        <f aca="false">IF(Operations!AP737=0,0,Operations!AP736/Operations!AP737)</f>
        <v>0</v>
      </c>
      <c r="AQ753" s="14" t="n">
        <f aca="false">IF(Operations!AQ737=0,0,Operations!AQ736/Operations!AQ737)</f>
        <v>0</v>
      </c>
      <c r="AR753" s="14" t="n">
        <f aca="false">IF(Operations!AR737=0,0,Operations!AR736/Operations!AR737)</f>
        <v>0</v>
      </c>
      <c r="AS753" s="14" t="n">
        <f aca="false">IF(Operations!AS737=0,0,Operations!AS736/Operations!AS737)</f>
        <v>0</v>
      </c>
      <c r="AT753" s="14" t="n">
        <f aca="false">IF(Operations!AT737=0,0,Operations!AT736/Operations!AT737)</f>
        <v>0</v>
      </c>
      <c r="AU753" s="14" t="n">
        <f aca="false">IF(Operations!AU737=0,0,Operations!AU736/Operations!AU737)</f>
        <v>0</v>
      </c>
    </row>
    <row r="754" customFormat="false" ht="15" hidden="false" customHeight="false" outlineLevel="0" collapsed="false">
      <c r="D754" s="0" t="s">
        <v>753</v>
      </c>
      <c r="E754" s="0" t="s">
        <v>458</v>
      </c>
      <c r="J754" s="14" t="n">
        <f aca="false">1-Operations!J752-Operations!J753</f>
        <v>1</v>
      </c>
      <c r="K754" s="14" t="n">
        <f aca="false">1-Operations!K752-Operations!K753</f>
        <v>1</v>
      </c>
      <c r="L754" s="14" t="n">
        <f aca="false">1-Operations!L752-Operations!L753</f>
        <v>0</v>
      </c>
      <c r="M754" s="14" t="n">
        <f aca="false">1-Operations!M752-Operations!M753</f>
        <v>0</v>
      </c>
      <c r="N754" s="14" t="n">
        <f aca="false">1-Operations!N752-Operations!N753</f>
        <v>0</v>
      </c>
      <c r="O754" s="14" t="n">
        <f aca="false">1-Operations!O752-Operations!O753</f>
        <v>0</v>
      </c>
      <c r="P754" s="14" t="n">
        <f aca="false">1-Operations!P752-Operations!P753</f>
        <v>0</v>
      </c>
      <c r="Q754" s="14" t="n">
        <f aca="false">1-Operations!Q752-Operations!Q753</f>
        <v>0</v>
      </c>
      <c r="R754" s="14" t="n">
        <f aca="false">1-Operations!R752-Operations!R753</f>
        <v>0</v>
      </c>
      <c r="S754" s="14" t="n">
        <f aca="false">1-Operations!S752-Operations!S753</f>
        <v>0</v>
      </c>
      <c r="T754" s="14" t="n">
        <f aca="false">1-Operations!T752-Operations!T753</f>
        <v>0.729407872931069</v>
      </c>
      <c r="U754" s="14" t="n">
        <f aca="false">1-Operations!U752-Operations!U753</f>
        <v>1</v>
      </c>
      <c r="V754" s="14" t="n">
        <f aca="false">1-Operations!V752-Operations!V753</f>
        <v>1</v>
      </c>
      <c r="W754" s="14" t="n">
        <f aca="false">1-Operations!W752-Operations!W753</f>
        <v>1</v>
      </c>
      <c r="X754" s="14" t="n">
        <f aca="false">1-Operations!X752-Operations!X753</f>
        <v>1</v>
      </c>
      <c r="Y754" s="14" t="n">
        <f aca="false">1-Operations!Y752-Operations!Y753</f>
        <v>1</v>
      </c>
      <c r="Z754" s="14" t="n">
        <f aca="false">1-Operations!Z752-Operations!Z753</f>
        <v>1</v>
      </c>
      <c r="AA754" s="14" t="n">
        <f aca="false">1-Operations!AA752-Operations!AA753</f>
        <v>1</v>
      </c>
      <c r="AB754" s="14" t="n">
        <f aca="false">1-Operations!AB752-Operations!AB753</f>
        <v>1</v>
      </c>
      <c r="AC754" s="14" t="n">
        <f aca="false">1-Operations!AC752-Operations!AC753</f>
        <v>1</v>
      </c>
      <c r="AD754" s="14" t="n">
        <f aca="false">1-Operations!AD752-Operations!AD753</f>
        <v>1</v>
      </c>
      <c r="AE754" s="14" t="n">
        <f aca="false">1-Operations!AE752-Operations!AE753</f>
        <v>1</v>
      </c>
      <c r="AF754" s="14" t="n">
        <f aca="false">1-Operations!AF752-Operations!AF753</f>
        <v>1</v>
      </c>
      <c r="AG754" s="14" t="n">
        <f aca="false">1-Operations!AG752-Operations!AG753</f>
        <v>1</v>
      </c>
      <c r="AH754" s="14" t="n">
        <f aca="false">1-Operations!AH752-Operations!AH753</f>
        <v>1</v>
      </c>
      <c r="AI754" s="14" t="n">
        <f aca="false">1-Operations!AI752-Operations!AI753</f>
        <v>1</v>
      </c>
      <c r="AJ754" s="14" t="n">
        <f aca="false">1-Operations!AJ752-Operations!AJ753</f>
        <v>1</v>
      </c>
      <c r="AK754" s="14" t="n">
        <f aca="false">1-Operations!AK752-Operations!AK753</f>
        <v>1</v>
      </c>
      <c r="AL754" s="14" t="n">
        <f aca="false">1-Operations!AL752-Operations!AL753</f>
        <v>1</v>
      </c>
      <c r="AM754" s="14" t="n">
        <f aca="false">1-Operations!AM752-Operations!AM753</f>
        <v>1</v>
      </c>
      <c r="AN754" s="14" t="n">
        <f aca="false">1-Operations!AN752-Operations!AN753</f>
        <v>1</v>
      </c>
      <c r="AO754" s="14" t="n">
        <f aca="false">1-Operations!AO752-Operations!AO753</f>
        <v>1</v>
      </c>
      <c r="AP754" s="14" t="n">
        <f aca="false">1-Operations!AP752-Operations!AP753</f>
        <v>1</v>
      </c>
      <c r="AQ754" s="14" t="n">
        <f aca="false">1-Operations!AQ752-Operations!AQ753</f>
        <v>1</v>
      </c>
      <c r="AR754" s="14" t="n">
        <f aca="false">1-Operations!AR752-Operations!AR753</f>
        <v>1</v>
      </c>
      <c r="AS754" s="14" t="n">
        <f aca="false">1-Operations!AS752-Operations!AS753</f>
        <v>1</v>
      </c>
      <c r="AT754" s="14" t="n">
        <f aca="false">1-Operations!AT752-Operations!AT753</f>
        <v>1</v>
      </c>
      <c r="AU754" s="14" t="n">
        <f aca="false">1-Operations!AU752-Operations!AU753</f>
        <v>1</v>
      </c>
    </row>
    <row r="755" customFormat="false" ht="15" hidden="false" customHeight="false" outlineLevel="0" collapsed="false">
      <c r="D755" s="0" t="s">
        <v>754</v>
      </c>
      <c r="E755" s="0" t="s">
        <v>47</v>
      </c>
      <c r="J755" s="20" t="n">
        <f aca="false">Operations!J735*Operations!J715*(1-Operations!J747)</f>
        <v>0</v>
      </c>
      <c r="K755" s="20" t="n">
        <f aca="false">Operations!K735*Operations!K715*(1-Operations!K747)</f>
        <v>0</v>
      </c>
      <c r="L755" s="20" t="n">
        <f aca="false">Operations!L735*Operations!L715*(1-Operations!L747)</f>
        <v>7.6305737704918</v>
      </c>
      <c r="M755" s="20" t="n">
        <f aca="false">Operations!M735*Operations!M715*(1-Operations!M747)</f>
        <v>10.23</v>
      </c>
      <c r="N755" s="20" t="n">
        <f aca="false">Operations!N735*Operations!N715*(1-Operations!N747)</f>
        <v>10.23</v>
      </c>
      <c r="O755" s="20" t="n">
        <f aca="false">Operations!O735*Operations!O715*(1-Operations!O747)</f>
        <v>10.23</v>
      </c>
      <c r="P755" s="20" t="n">
        <f aca="false">Operations!P735*Operations!P715*(1-Operations!P747)</f>
        <v>10.23</v>
      </c>
      <c r="Q755" s="20" t="n">
        <f aca="false">Operations!Q735*Operations!Q715*(1-Operations!Q747)</f>
        <v>10.23</v>
      </c>
      <c r="R755" s="20" t="n">
        <f aca="false">Operations!R735*Operations!R715*(1-Operations!R747)</f>
        <v>10.23</v>
      </c>
      <c r="S755" s="20" t="n">
        <f aca="false">Operations!S735*Operations!S715*(1-Operations!S747)</f>
        <v>10.23</v>
      </c>
      <c r="T755" s="20" t="n">
        <f aca="false">Operations!T735*Operations!T715*(1-Operations!T747)</f>
        <v>2.57147540983607</v>
      </c>
      <c r="U755" s="20" t="n">
        <f aca="false">Operations!U735*Operations!U715*(1-Operations!U747)</f>
        <v>0</v>
      </c>
      <c r="V755" s="20" t="n">
        <f aca="false">Operations!V735*Operations!V715*(1-Operations!V747)</f>
        <v>0</v>
      </c>
      <c r="W755" s="20" t="n">
        <f aca="false">Operations!W735*Operations!W715*(1-Operations!W747)</f>
        <v>0</v>
      </c>
      <c r="X755" s="20" t="n">
        <f aca="false">Operations!X735*Operations!X715*(1-Operations!X747)</f>
        <v>0</v>
      </c>
      <c r="Y755" s="20" t="n">
        <f aca="false">Operations!Y735*Operations!Y715*(1-Operations!Y747)</f>
        <v>0</v>
      </c>
      <c r="Z755" s="20" t="n">
        <f aca="false">Operations!Z735*Operations!Z715*(1-Operations!Z747)</f>
        <v>0</v>
      </c>
      <c r="AA755" s="20" t="n">
        <f aca="false">Operations!AA735*Operations!AA715*(1-Operations!AA747)</f>
        <v>0</v>
      </c>
      <c r="AB755" s="20" t="n">
        <f aca="false">Operations!AB735*Operations!AB715*(1-Operations!AB747)</f>
        <v>0</v>
      </c>
      <c r="AC755" s="20" t="n">
        <f aca="false">Operations!AC735*Operations!AC715*(1-Operations!AC747)</f>
        <v>0</v>
      </c>
      <c r="AD755" s="20" t="n">
        <f aca="false">Operations!AD735*Operations!AD715*(1-Operations!AD747)</f>
        <v>0</v>
      </c>
      <c r="AE755" s="20" t="n">
        <f aca="false">Operations!AE735*Operations!AE715*(1-Operations!AE747)</f>
        <v>0</v>
      </c>
      <c r="AF755" s="20" t="n">
        <f aca="false">Operations!AF735*Operations!AF715*(1-Operations!AF747)</f>
        <v>0</v>
      </c>
      <c r="AG755" s="20" t="n">
        <f aca="false">Operations!AG735*Operations!AG715*(1-Operations!AG747)</f>
        <v>0</v>
      </c>
      <c r="AH755" s="20" t="n">
        <f aca="false">Operations!AH735*Operations!AH715*(1-Operations!AH747)</f>
        <v>0</v>
      </c>
      <c r="AI755" s="20" t="n">
        <f aca="false">Operations!AI735*Operations!AI715*(1-Operations!AI747)</f>
        <v>0</v>
      </c>
      <c r="AJ755" s="20" t="n">
        <f aca="false">Operations!AJ735*Operations!AJ715*(1-Operations!AJ747)</f>
        <v>0</v>
      </c>
      <c r="AK755" s="20" t="n">
        <f aca="false">Operations!AK735*Operations!AK715*(1-Operations!AK747)</f>
        <v>0</v>
      </c>
      <c r="AL755" s="20" t="n">
        <f aca="false">Operations!AL735*Operations!AL715*(1-Operations!AL747)</f>
        <v>0</v>
      </c>
      <c r="AM755" s="20" t="n">
        <f aca="false">Operations!AM735*Operations!AM715*(1-Operations!AM747)</f>
        <v>0</v>
      </c>
      <c r="AN755" s="20" t="n">
        <f aca="false">Operations!AN735*Operations!AN715*(1-Operations!AN747)</f>
        <v>0</v>
      </c>
      <c r="AO755" s="20" t="n">
        <f aca="false">Operations!AO735*Operations!AO715*(1-Operations!AO747)</f>
        <v>0</v>
      </c>
      <c r="AP755" s="20" t="n">
        <f aca="false">Operations!AP735*Operations!AP715*(1-Operations!AP747)</f>
        <v>0</v>
      </c>
      <c r="AQ755" s="20" t="n">
        <f aca="false">Operations!AQ735*Operations!AQ715*(1-Operations!AQ747)</f>
        <v>0</v>
      </c>
      <c r="AR755" s="20" t="n">
        <f aca="false">Operations!AR735*Operations!AR715*(1-Operations!AR747)</f>
        <v>0</v>
      </c>
      <c r="AS755" s="20" t="n">
        <f aca="false">Operations!AS735*Operations!AS715*(1-Operations!AS747)</f>
        <v>0</v>
      </c>
      <c r="AT755" s="20" t="n">
        <f aca="false">Operations!AT735*Operations!AT715*(1-Operations!AT747)</f>
        <v>0</v>
      </c>
      <c r="AU755" s="20" t="n">
        <f aca="false">Operations!AU735*Operations!AU715*(1-Operations!AU747)</f>
        <v>0</v>
      </c>
    </row>
    <row r="756" customFormat="false" ht="15" hidden="false" customHeight="false" outlineLevel="0" collapsed="false">
      <c r="D756" s="0" t="s">
        <v>755</v>
      </c>
      <c r="E756" s="0" t="s">
        <v>47</v>
      </c>
      <c r="J756" s="20" t="n">
        <f aca="false">Operations!J736*Operations!J715*(1-Operations!J747)</f>
        <v>0</v>
      </c>
      <c r="K756" s="20" t="n">
        <f aca="false">Operations!K736*Operations!K715*(1-Operations!K747)</f>
        <v>0</v>
      </c>
      <c r="L756" s="20" t="n">
        <f aca="false">Operations!L736*Operations!L715*(1-Operations!L747)</f>
        <v>0</v>
      </c>
      <c r="M756" s="20" t="n">
        <f aca="false">Operations!M736*Operations!M715*(1-Operations!M747)</f>
        <v>0</v>
      </c>
      <c r="N756" s="20" t="n">
        <f aca="false">Operations!N736*Operations!N715*(1-Operations!N747)</f>
        <v>0</v>
      </c>
      <c r="O756" s="20" t="n">
        <f aca="false">Operations!O736*Operations!O715*(1-Operations!O747)</f>
        <v>0</v>
      </c>
      <c r="P756" s="20" t="n">
        <f aca="false">Operations!P736*Operations!P715*(1-Operations!P747)</f>
        <v>0</v>
      </c>
      <c r="Q756" s="20" t="n">
        <f aca="false">Operations!Q736*Operations!Q715*(1-Operations!Q747)</f>
        <v>0</v>
      </c>
      <c r="R756" s="20" t="n">
        <f aca="false">Operations!R736*Operations!R715*(1-Operations!R747)</f>
        <v>0</v>
      </c>
      <c r="S756" s="20" t="n">
        <f aca="false">Operations!S736*Operations!S715*(1-Operations!S747)</f>
        <v>0</v>
      </c>
      <c r="T756" s="20" t="n">
        <f aca="false">Operations!T736*Operations!T715*(1-Operations!T747)</f>
        <v>0</v>
      </c>
      <c r="U756" s="20" t="n">
        <f aca="false">Operations!U736*Operations!U715*(1-Operations!U747)</f>
        <v>0</v>
      </c>
      <c r="V756" s="20" t="n">
        <f aca="false">Operations!V736*Operations!V715*(1-Operations!V747)</f>
        <v>0</v>
      </c>
      <c r="W756" s="20" t="n">
        <f aca="false">Operations!W736*Operations!W715*(1-Operations!W747)</f>
        <v>0</v>
      </c>
      <c r="X756" s="20" t="n">
        <f aca="false">Operations!X736*Operations!X715*(1-Operations!X747)</f>
        <v>0</v>
      </c>
      <c r="Y756" s="20" t="n">
        <f aca="false">Operations!Y736*Operations!Y715*(1-Operations!Y747)</f>
        <v>0</v>
      </c>
      <c r="Z756" s="20" t="n">
        <f aca="false">Operations!Z736*Operations!Z715*(1-Operations!Z747)</f>
        <v>0</v>
      </c>
      <c r="AA756" s="20" t="n">
        <f aca="false">Operations!AA736*Operations!AA715*(1-Operations!AA747)</f>
        <v>0</v>
      </c>
      <c r="AB756" s="20" t="n">
        <f aca="false">Operations!AB736*Operations!AB715*(1-Operations!AB747)</f>
        <v>0</v>
      </c>
      <c r="AC756" s="20" t="n">
        <f aca="false">Operations!AC736*Operations!AC715*(1-Operations!AC747)</f>
        <v>0</v>
      </c>
      <c r="AD756" s="20" t="n">
        <f aca="false">Operations!AD736*Operations!AD715*(1-Operations!AD747)</f>
        <v>0</v>
      </c>
      <c r="AE756" s="20" t="n">
        <f aca="false">Operations!AE736*Operations!AE715*(1-Operations!AE747)</f>
        <v>0</v>
      </c>
      <c r="AF756" s="20" t="n">
        <f aca="false">Operations!AF736*Operations!AF715*(1-Operations!AF747)</f>
        <v>0</v>
      </c>
      <c r="AG756" s="20" t="n">
        <f aca="false">Operations!AG736*Operations!AG715*(1-Operations!AG747)</f>
        <v>0</v>
      </c>
      <c r="AH756" s="20" t="n">
        <f aca="false">Operations!AH736*Operations!AH715*(1-Operations!AH747)</f>
        <v>0</v>
      </c>
      <c r="AI756" s="20" t="n">
        <f aca="false">Operations!AI736*Operations!AI715*(1-Operations!AI747)</f>
        <v>0</v>
      </c>
      <c r="AJ756" s="20" t="n">
        <f aca="false">Operations!AJ736*Operations!AJ715*(1-Operations!AJ747)</f>
        <v>0</v>
      </c>
      <c r="AK756" s="20" t="n">
        <f aca="false">Operations!AK736*Operations!AK715*(1-Operations!AK747)</f>
        <v>0</v>
      </c>
      <c r="AL756" s="20" t="n">
        <f aca="false">Operations!AL736*Operations!AL715*(1-Operations!AL747)</f>
        <v>0</v>
      </c>
      <c r="AM756" s="20" t="n">
        <f aca="false">Operations!AM736*Operations!AM715*(1-Operations!AM747)</f>
        <v>0</v>
      </c>
      <c r="AN756" s="20" t="n">
        <f aca="false">Operations!AN736*Operations!AN715*(1-Operations!AN747)</f>
        <v>0</v>
      </c>
      <c r="AO756" s="20" t="n">
        <f aca="false">Operations!AO736*Operations!AO715*(1-Operations!AO747)</f>
        <v>0</v>
      </c>
      <c r="AP756" s="20" t="n">
        <f aca="false">Operations!AP736*Operations!AP715*(1-Operations!AP747)</f>
        <v>0</v>
      </c>
      <c r="AQ756" s="20" t="n">
        <f aca="false">Operations!AQ736*Operations!AQ715*(1-Operations!AQ747)</f>
        <v>0</v>
      </c>
      <c r="AR756" s="20" t="n">
        <f aca="false">Operations!AR736*Operations!AR715*(1-Operations!AR747)</f>
        <v>0</v>
      </c>
      <c r="AS756" s="20" t="n">
        <f aca="false">Operations!AS736*Operations!AS715*(1-Operations!AS747)</f>
        <v>0</v>
      </c>
      <c r="AT756" s="20" t="n">
        <f aca="false">Operations!AT736*Operations!AT715*(1-Operations!AT747)</f>
        <v>0</v>
      </c>
      <c r="AU756" s="20" t="n">
        <f aca="false">Operations!AU736*Operations!AU715*(1-Operations!AU747)</f>
        <v>0</v>
      </c>
    </row>
    <row r="757" customFormat="false" ht="15" hidden="false" customHeight="false" outlineLevel="0" collapsed="false">
      <c r="D757" s="0" t="s">
        <v>756</v>
      </c>
      <c r="E757" s="0" t="s">
        <v>47</v>
      </c>
      <c r="J757" s="20" t="n">
        <f aca="false">Operations!J738*Operations!J715*(1-Operations!J747)</f>
        <v>0</v>
      </c>
      <c r="K757" s="20" t="n">
        <f aca="false">Operations!K738*Operations!K715*(1-Operations!K747)</f>
        <v>0</v>
      </c>
      <c r="L757" s="20" t="n">
        <f aca="false">Operations!L738*Operations!L715*(1-Operations!L747)</f>
        <v>0</v>
      </c>
      <c r="M757" s="20" t="n">
        <f aca="false">Operations!M738*Operations!M715*(1-Operations!M747)</f>
        <v>0</v>
      </c>
      <c r="N757" s="20" t="n">
        <f aca="false">Operations!N738*Operations!N715*(1-Operations!N747)</f>
        <v>0</v>
      </c>
      <c r="O757" s="20" t="n">
        <f aca="false">Operations!O738*Operations!O715*(1-Operations!O747)</f>
        <v>0</v>
      </c>
      <c r="P757" s="20" t="n">
        <f aca="false">Operations!P738*Operations!P715*(1-Operations!P747)</f>
        <v>0</v>
      </c>
      <c r="Q757" s="20" t="n">
        <f aca="false">Operations!Q738*Operations!Q715*(1-Operations!Q747)</f>
        <v>0</v>
      </c>
      <c r="R757" s="20" t="n">
        <f aca="false">Operations!R738*Operations!R715*(1-Operations!R747)</f>
        <v>0</v>
      </c>
      <c r="S757" s="20" t="n">
        <f aca="false">Operations!S738*Operations!S715*(1-Operations!S747)</f>
        <v>0</v>
      </c>
      <c r="T757" s="20" t="n">
        <f aca="false">Operations!T738*Operations!T715*(1-Operations!T747)</f>
        <v>6.93166659836066</v>
      </c>
      <c r="U757" s="20" t="n">
        <f aca="false">Operations!U738*Operations!U715*(1-Operations!U747)</f>
        <v>9.398025</v>
      </c>
      <c r="V757" s="20" t="n">
        <f aca="false">Operations!V738*Operations!V715*(1-Operations!V747)</f>
        <v>9.538425</v>
      </c>
      <c r="W757" s="20" t="n">
        <f aca="false">Operations!W738*Operations!W715*(1-Operations!W747)</f>
        <v>9.68175</v>
      </c>
      <c r="X757" s="20" t="n">
        <f aca="false">Operations!X738*Operations!X715*(1-Operations!X747)</f>
        <v>9.80436183167466</v>
      </c>
      <c r="Y757" s="20" t="n">
        <f aca="false">Operations!Y738*Operations!Y715*(1-Operations!Y747)</f>
        <v>9.82589327876712</v>
      </c>
      <c r="Z757" s="20" t="n">
        <f aca="false">Operations!Z738*Operations!Z715*(1-Operations!Z747)</f>
        <v>9.8453026195274</v>
      </c>
      <c r="AA757" s="20" t="n">
        <f aca="false">Operations!AA738*Operations!AA715*(1-Operations!AA747)</f>
        <v>9.86530211269521</v>
      </c>
      <c r="AB757" s="20" t="n">
        <f aca="false">Operations!AB738*Operations!AB715*(1-Operations!AB747)</f>
        <v>9.88428054085274</v>
      </c>
      <c r="AC757" s="20" t="n">
        <f aca="false">Operations!AC738*Operations!AC715*(1-Operations!AC747)</f>
        <v>9.90221233028425</v>
      </c>
      <c r="AD757" s="20" t="n">
        <f aca="false">Operations!AD738*Operations!AD715*(1-Operations!AD747)</f>
        <v>9.91917927781336</v>
      </c>
      <c r="AE757" s="20" t="n">
        <f aca="false">Operations!AE738*Operations!AE715*(1-Operations!AE747)</f>
        <v>9.93519293097945</v>
      </c>
      <c r="AF757" s="20" t="n">
        <f aca="false">Operations!AF738*Operations!AF715*(1-Operations!AF747)</f>
        <v>2.47425422056462</v>
      </c>
      <c r="AG757" s="20" t="n">
        <f aca="false">Operations!AG738*Operations!AG715*(1-Operations!AG747)</f>
        <v>0</v>
      </c>
      <c r="AH757" s="20" t="n">
        <f aca="false">Operations!AH738*Operations!AH715*(1-Operations!AH747)</f>
        <v>0</v>
      </c>
      <c r="AI757" s="20" t="n">
        <f aca="false">Operations!AI738*Operations!AI715*(1-Operations!AI747)</f>
        <v>0</v>
      </c>
      <c r="AJ757" s="20" t="n">
        <f aca="false">Operations!AJ738*Operations!AJ715*(1-Operations!AJ747)</f>
        <v>0</v>
      </c>
      <c r="AK757" s="20" t="n">
        <f aca="false">Operations!AK738*Operations!AK715*(1-Operations!AK747)</f>
        <v>0</v>
      </c>
      <c r="AL757" s="20" t="n">
        <f aca="false">Operations!AL738*Operations!AL715*(1-Operations!AL747)</f>
        <v>0</v>
      </c>
      <c r="AM757" s="20" t="n">
        <f aca="false">Operations!AM738*Operations!AM715*(1-Operations!AM747)</f>
        <v>0</v>
      </c>
      <c r="AN757" s="20" t="n">
        <f aca="false">Operations!AN738*Operations!AN715*(1-Operations!AN747)</f>
        <v>0</v>
      </c>
      <c r="AO757" s="20" t="n">
        <f aca="false">Operations!AO738*Operations!AO715*(1-Operations!AO747)</f>
        <v>0</v>
      </c>
      <c r="AP757" s="20" t="n">
        <f aca="false">Operations!AP738*Operations!AP715*(1-Operations!AP747)</f>
        <v>0</v>
      </c>
      <c r="AQ757" s="20" t="n">
        <f aca="false">Operations!AQ738*Operations!AQ715*(1-Operations!AQ747)</f>
        <v>0</v>
      </c>
      <c r="AR757" s="20" t="n">
        <f aca="false">Operations!AR738*Operations!AR715*(1-Operations!AR747)</f>
        <v>0</v>
      </c>
      <c r="AS757" s="20" t="n">
        <f aca="false">Operations!AS738*Operations!AS715*(1-Operations!AS747)</f>
        <v>0</v>
      </c>
      <c r="AT757" s="20" t="n">
        <f aca="false">Operations!AT738*Operations!AT715*(1-Operations!AT747)</f>
        <v>0</v>
      </c>
      <c r="AU757" s="20" t="n">
        <f aca="false">Operations!AU738*Operations!AU715*(1-Operations!AU747)</f>
        <v>0</v>
      </c>
    </row>
    <row r="758" customFormat="false" ht="15" hidden="false" customHeight="false" outlineLevel="0" collapsed="false">
      <c r="D758" s="0" t="s">
        <v>757</v>
      </c>
      <c r="E758" s="0" t="s">
        <v>47</v>
      </c>
      <c r="J758" s="20" t="n">
        <f aca="false">Operations!J737*Operations!J715*(1-Operations!J747)</f>
        <v>0</v>
      </c>
      <c r="K758" s="20" t="n">
        <f aca="false">Operations!K737*Operations!K715*(1-Operations!K747)</f>
        <v>0</v>
      </c>
      <c r="L758" s="20" t="n">
        <f aca="false">Operations!L737*Operations!L715*(1-Operations!L747)</f>
        <v>7.6305737704918</v>
      </c>
      <c r="M758" s="20" t="n">
        <f aca="false">Operations!M737*Operations!M715*(1-Operations!M747)</f>
        <v>10.23</v>
      </c>
      <c r="N758" s="20" t="n">
        <f aca="false">Operations!N737*Operations!N715*(1-Operations!N747)</f>
        <v>10.23</v>
      </c>
      <c r="O758" s="20" t="n">
        <f aca="false">Operations!O737*Operations!O715*(1-Operations!O747)</f>
        <v>10.23</v>
      </c>
      <c r="P758" s="20" t="n">
        <f aca="false">Operations!P737*Operations!P715*(1-Operations!P747)</f>
        <v>10.23</v>
      </c>
      <c r="Q758" s="20" t="n">
        <f aca="false">Operations!Q737*Operations!Q715*(1-Operations!Q747)</f>
        <v>10.23</v>
      </c>
      <c r="R758" s="20" t="n">
        <f aca="false">Operations!R737*Operations!R715*(1-Operations!R747)</f>
        <v>10.23</v>
      </c>
      <c r="S758" s="20" t="n">
        <f aca="false">Operations!S737*Operations!S715*(1-Operations!S747)</f>
        <v>10.23</v>
      </c>
      <c r="T758" s="20" t="n">
        <f aca="false">Operations!T737*Operations!T715*(1-Operations!T747)</f>
        <v>9.50314200819672</v>
      </c>
      <c r="U758" s="20" t="n">
        <f aca="false">Operations!U737*Operations!U715*(1-Operations!U747)</f>
        <v>9.398025</v>
      </c>
      <c r="V758" s="20" t="n">
        <f aca="false">Operations!V737*Operations!V715*(1-Operations!V747)</f>
        <v>9.538425</v>
      </c>
      <c r="W758" s="20" t="n">
        <f aca="false">Operations!W737*Operations!W715*(1-Operations!W747)</f>
        <v>9.68175</v>
      </c>
      <c r="X758" s="20" t="n">
        <f aca="false">Operations!X737*Operations!X715*(1-Operations!X747)</f>
        <v>9.80436183167466</v>
      </c>
      <c r="Y758" s="20" t="n">
        <f aca="false">Operations!Y737*Operations!Y715*(1-Operations!Y747)</f>
        <v>9.82589327876712</v>
      </c>
      <c r="Z758" s="20" t="n">
        <f aca="false">Operations!Z737*Operations!Z715*(1-Operations!Z747)</f>
        <v>9.8453026195274</v>
      </c>
      <c r="AA758" s="20" t="n">
        <f aca="false">Operations!AA737*Operations!AA715*(1-Operations!AA747)</f>
        <v>9.86530211269521</v>
      </c>
      <c r="AB758" s="20" t="n">
        <f aca="false">Operations!AB737*Operations!AB715*(1-Operations!AB747)</f>
        <v>9.88428054085274</v>
      </c>
      <c r="AC758" s="20" t="n">
        <f aca="false">Operations!AC737*Operations!AC715*(1-Operations!AC747)</f>
        <v>9.90221233028425</v>
      </c>
      <c r="AD758" s="20" t="n">
        <f aca="false">Operations!AD737*Operations!AD715*(1-Operations!AD747)</f>
        <v>9.91917927781336</v>
      </c>
      <c r="AE758" s="20" t="n">
        <f aca="false">Operations!AE737*Operations!AE715*(1-Operations!AE747)</f>
        <v>9.93519293097945</v>
      </c>
      <c r="AF758" s="20" t="n">
        <f aca="false">Operations!AF737*Operations!AF715*(1-Operations!AF747)</f>
        <v>2.47425422056462</v>
      </c>
      <c r="AG758" s="20" t="n">
        <f aca="false">Operations!AG737*Operations!AG715*(1-Operations!AG747)</f>
        <v>0</v>
      </c>
      <c r="AH758" s="20" t="n">
        <f aca="false">Operations!AH737*Operations!AH715*(1-Operations!AH747)</f>
        <v>0</v>
      </c>
      <c r="AI758" s="20" t="n">
        <f aca="false">Operations!AI737*Operations!AI715*(1-Operations!AI747)</f>
        <v>0</v>
      </c>
      <c r="AJ758" s="20" t="n">
        <f aca="false">Operations!AJ737*Operations!AJ715*(1-Operations!AJ747)</f>
        <v>0</v>
      </c>
      <c r="AK758" s="20" t="n">
        <f aca="false">Operations!AK737*Operations!AK715*(1-Operations!AK747)</f>
        <v>0</v>
      </c>
      <c r="AL758" s="20" t="n">
        <f aca="false">Operations!AL737*Operations!AL715*(1-Operations!AL747)</f>
        <v>0</v>
      </c>
      <c r="AM758" s="20" t="n">
        <f aca="false">Operations!AM737*Operations!AM715*(1-Operations!AM747)</f>
        <v>0</v>
      </c>
      <c r="AN758" s="20" t="n">
        <f aca="false">Operations!AN737*Operations!AN715*(1-Operations!AN747)</f>
        <v>0</v>
      </c>
      <c r="AO758" s="20" t="n">
        <f aca="false">Operations!AO737*Operations!AO715*(1-Operations!AO747)</f>
        <v>0</v>
      </c>
      <c r="AP758" s="20" t="n">
        <f aca="false">Operations!AP737*Operations!AP715*(1-Operations!AP747)</f>
        <v>0</v>
      </c>
      <c r="AQ758" s="20" t="n">
        <f aca="false">Operations!AQ737*Operations!AQ715*(1-Operations!AQ747)</f>
        <v>0</v>
      </c>
      <c r="AR758" s="20" t="n">
        <f aca="false">Operations!AR737*Operations!AR715*(1-Operations!AR747)</f>
        <v>0</v>
      </c>
      <c r="AS758" s="20" t="n">
        <f aca="false">Operations!AS737*Operations!AS715*(1-Operations!AS747)</f>
        <v>0</v>
      </c>
      <c r="AT758" s="20" t="n">
        <f aca="false">Operations!AT737*Operations!AT715*(1-Operations!AT747)</f>
        <v>0</v>
      </c>
      <c r="AU758" s="20" t="n">
        <f aca="false">Operations!AU737*Operations!AU715*(1-Operations!AU747)</f>
        <v>0</v>
      </c>
    </row>
    <row r="759" customFormat="false" ht="15" hidden="false" customHeight="false" outlineLevel="0" collapsed="false">
      <c r="D759" s="19" t="s">
        <v>758</v>
      </c>
    </row>
    <row r="760" customFormat="false" ht="15" hidden="false" customHeight="false" outlineLevel="0" collapsed="false">
      <c r="D760" s="0" t="s">
        <v>759</v>
      </c>
      <c r="E760" s="0" t="s">
        <v>458</v>
      </c>
      <c r="J760" s="14" t="n">
        <f aca="false">MAX(0,MIN(Inputs!$F$171,Time!J$6)-MAX(Inputs!$F$170,Time!J$5))/Time!J$7</f>
        <v>0</v>
      </c>
      <c r="K760" s="14" t="n">
        <f aca="false">MAX(0,MIN(Inputs!$F$171,Time!K$6)-MAX(Inputs!$F$170,Time!K$5))/Time!K$7</f>
        <v>0</v>
      </c>
      <c r="L760" s="14" t="n">
        <f aca="false">MAX(0,MIN(Inputs!$F$171,Time!L$6)-MAX(Inputs!$F$170,Time!L$5))/Time!L$7</f>
        <v>0.0327868852459016</v>
      </c>
      <c r="M760" s="14" t="n">
        <f aca="false">MAX(0,MIN(Inputs!$F$171,Time!M$6)-MAX(Inputs!$F$170,Time!M$5))/Time!M$7</f>
        <v>1</v>
      </c>
      <c r="N760" s="14" t="n">
        <f aca="false">MAX(0,MIN(Inputs!$F$171,Time!N$6)-MAX(Inputs!$F$170,Time!N$5))/Time!N$7</f>
        <v>1</v>
      </c>
      <c r="O760" s="14" t="n">
        <f aca="false">MAX(0,MIN(Inputs!$F$171,Time!O$6)-MAX(Inputs!$F$170,Time!O$5))/Time!O$7</f>
        <v>1</v>
      </c>
      <c r="P760" s="14" t="n">
        <f aca="false">MAX(0,MIN(Inputs!$F$171,Time!P$6)-MAX(Inputs!$F$170,Time!P$5))/Time!P$7</f>
        <v>1</v>
      </c>
      <c r="Q760" s="14" t="n">
        <f aca="false">MAX(0,MIN(Inputs!$F$171,Time!Q$6)-MAX(Inputs!$F$170,Time!Q$5))/Time!Q$7</f>
        <v>1</v>
      </c>
      <c r="R760" s="14" t="n">
        <f aca="false">MAX(0,MIN(Inputs!$F$171,Time!R$6)-MAX(Inputs!$F$170,Time!R$5))/Time!R$7</f>
        <v>1</v>
      </c>
      <c r="S760" s="14" t="n">
        <f aca="false">MAX(0,MIN(Inputs!$F$171,Time!S$6)-MAX(Inputs!$F$170,Time!S$5))/Time!S$7</f>
        <v>1</v>
      </c>
      <c r="T760" s="14" t="n">
        <f aca="false">MAX(0,MIN(Inputs!$F$171,Time!T$6)-MAX(Inputs!$F$170,Time!T$5))/Time!T$7</f>
        <v>1</v>
      </c>
      <c r="U760" s="14" t="n">
        <f aca="false">MAX(0,MIN(Inputs!$F$171,Time!U$6)-MAX(Inputs!$F$170,Time!U$5))/Time!U$7</f>
        <v>1</v>
      </c>
      <c r="V760" s="14" t="n">
        <f aca="false">MAX(0,MIN(Inputs!$F$171,Time!V$6)-MAX(Inputs!$F$170,Time!V$5))/Time!V$7</f>
        <v>1</v>
      </c>
      <c r="W760" s="14" t="n">
        <f aca="false">MAX(0,MIN(Inputs!$F$171,Time!W$6)-MAX(Inputs!$F$170,Time!W$5))/Time!W$7</f>
        <v>1</v>
      </c>
      <c r="X760" s="14" t="n">
        <f aca="false">MAX(0,MIN(Inputs!$F$171,Time!X$6)-MAX(Inputs!$F$170,Time!X$5))/Time!X$7</f>
        <v>1</v>
      </c>
      <c r="Y760" s="14" t="n">
        <f aca="false">MAX(0,MIN(Inputs!$F$171,Time!Y$6)-MAX(Inputs!$F$170,Time!Y$5))/Time!Y$7</f>
        <v>1</v>
      </c>
      <c r="Z760" s="14" t="n">
        <f aca="false">MAX(0,MIN(Inputs!$F$171,Time!Z$6)-MAX(Inputs!$F$170,Time!Z$5))/Time!Z$7</f>
        <v>1</v>
      </c>
      <c r="AA760" s="14" t="n">
        <f aca="false">MAX(0,MIN(Inputs!$F$171,Time!AA$6)-MAX(Inputs!$F$170,Time!AA$5))/Time!AA$7</f>
        <v>1</v>
      </c>
      <c r="AB760" s="14" t="n">
        <f aca="false">MAX(0,MIN(Inputs!$F$171,Time!AB$6)-MAX(Inputs!$F$170,Time!AB$5))/Time!AB$7</f>
        <v>1</v>
      </c>
      <c r="AC760" s="14" t="n">
        <f aca="false">MAX(0,MIN(Inputs!$F$171,Time!AC$6)-MAX(Inputs!$F$170,Time!AC$5))/Time!AC$7</f>
        <v>1</v>
      </c>
      <c r="AD760" s="14" t="n">
        <f aca="false">MAX(0,MIN(Inputs!$F$171,Time!AD$6)-MAX(Inputs!$F$170,Time!AD$5))/Time!AD$7</f>
        <v>1</v>
      </c>
      <c r="AE760" s="14" t="n">
        <f aca="false">MAX(0,MIN(Inputs!$F$171,Time!AE$6)-MAX(Inputs!$F$170,Time!AE$5))/Time!AE$7</f>
        <v>1</v>
      </c>
      <c r="AF760" s="14" t="n">
        <f aca="false">MAX(0,MIN(Inputs!$F$171,Time!AF$6)-MAX(Inputs!$F$170,Time!AF$5))/Time!AF$7</f>
        <v>1</v>
      </c>
      <c r="AG760" s="14" t="n">
        <f aca="false">MAX(0,MIN(Inputs!$F$171,Time!AG$6)-MAX(Inputs!$F$170,Time!AG$5))/Time!AG$7</f>
        <v>1</v>
      </c>
      <c r="AH760" s="14" t="n">
        <f aca="false">MAX(0,MIN(Inputs!$F$171,Time!AH$6)-MAX(Inputs!$F$170,Time!AH$5))/Time!AH$7</f>
        <v>1</v>
      </c>
      <c r="AI760" s="14" t="n">
        <f aca="false">MAX(0,MIN(Inputs!$F$171,Time!AI$6)-MAX(Inputs!$F$170,Time!AI$5))/Time!AI$7</f>
        <v>1</v>
      </c>
      <c r="AJ760" s="14" t="n">
        <f aca="false">MAX(0,MIN(Inputs!$F$171,Time!AJ$6)-MAX(Inputs!$F$170,Time!AJ$5))/Time!AJ$7</f>
        <v>1</v>
      </c>
      <c r="AK760" s="14" t="n">
        <f aca="false">MAX(0,MIN(Inputs!$F$171,Time!AK$6)-MAX(Inputs!$F$170,Time!AK$5))/Time!AK$7</f>
        <v>1</v>
      </c>
      <c r="AL760" s="14" t="n">
        <f aca="false">MAX(0,MIN(Inputs!$F$171,Time!AL$6)-MAX(Inputs!$F$170,Time!AL$5))/Time!AL$7</f>
        <v>1</v>
      </c>
      <c r="AM760" s="14" t="n">
        <f aca="false">MAX(0,MIN(Inputs!$F$171,Time!AM$6)-MAX(Inputs!$F$170,Time!AM$5))/Time!AM$7</f>
        <v>1</v>
      </c>
      <c r="AN760" s="14" t="n">
        <f aca="false">MAX(0,MIN(Inputs!$F$171,Time!AN$6)-MAX(Inputs!$F$170,Time!AN$5))/Time!AN$7</f>
        <v>1</v>
      </c>
      <c r="AO760" s="14" t="n">
        <f aca="false">MAX(0,MIN(Inputs!$F$171,Time!AO$6)-MAX(Inputs!$F$170,Time!AO$5))/Time!AO$7</f>
        <v>1</v>
      </c>
      <c r="AP760" s="14" t="n">
        <f aca="false">MAX(0,MIN(Inputs!$F$171,Time!AP$6)-MAX(Inputs!$F$170,Time!AP$5))/Time!AP$7</f>
        <v>1</v>
      </c>
      <c r="AQ760" s="14" t="n">
        <f aca="false">MAX(0,MIN(Inputs!$F$171,Time!AQ$6)-MAX(Inputs!$F$170,Time!AQ$5))/Time!AQ$7</f>
        <v>1</v>
      </c>
      <c r="AR760" s="14" t="n">
        <f aca="false">MAX(0,MIN(Inputs!$F$171,Time!AR$6)-MAX(Inputs!$F$170,Time!AR$5))/Time!AR$7</f>
        <v>1</v>
      </c>
      <c r="AS760" s="14" t="n">
        <f aca="false">MAX(0,MIN(Inputs!$F$171,Time!AS$6)-MAX(Inputs!$F$170,Time!AS$5))/Time!AS$7</f>
        <v>1</v>
      </c>
      <c r="AT760" s="14" t="n">
        <f aca="false">MAX(0,MIN(Inputs!$F$171,Time!AT$6)-MAX(Inputs!$F$170,Time!AT$5))/Time!AT$7</f>
        <v>1</v>
      </c>
      <c r="AU760" s="14" t="n">
        <f aca="false">MAX(0,MIN(Inputs!$F$171,Time!AU$6)-MAX(Inputs!$F$170,Time!AU$5))/Time!AU$7</f>
        <v>1</v>
      </c>
    </row>
    <row r="761" customFormat="false" ht="15" hidden="false" customHeight="false" outlineLevel="0" collapsed="false">
      <c r="D761" s="0" t="s">
        <v>760</v>
      </c>
      <c r="E761" s="0" t="s">
        <v>458</v>
      </c>
      <c r="J761" s="14" t="n">
        <f aca="false">MAX(0,MIN(Inputs!$F$171,Time!J$6)-MAX(MAX(Inputs!$F$172,Inputs!$F$170),Time!J$5))/Time!J$7</f>
        <v>0</v>
      </c>
      <c r="K761" s="14" t="n">
        <f aca="false">MAX(0,MIN(Inputs!$F$171,Time!K$6)-MAX(MAX(Inputs!$F$172,Inputs!$F$170),Time!K$5))/Time!K$7</f>
        <v>0</v>
      </c>
      <c r="L761" s="14" t="n">
        <f aca="false">MAX(0,MIN(Inputs!$F$171,Time!L$6)-MAX(MAX(Inputs!$F$172,Inputs!$F$170),Time!L$5))/Time!L$7</f>
        <v>0.0327868852459016</v>
      </c>
      <c r="M761" s="14" t="n">
        <f aca="false">MAX(0,MIN(Inputs!$F$171,Time!M$6)-MAX(MAX(Inputs!$F$172,Inputs!$F$170),Time!M$5))/Time!M$7</f>
        <v>1</v>
      </c>
      <c r="N761" s="14" t="n">
        <f aca="false">MAX(0,MIN(Inputs!$F$171,Time!N$6)-MAX(MAX(Inputs!$F$172,Inputs!$F$170),Time!N$5))/Time!N$7</f>
        <v>1</v>
      </c>
      <c r="O761" s="14" t="n">
        <f aca="false">MAX(0,MIN(Inputs!$F$171,Time!O$6)-MAX(MAX(Inputs!$F$172,Inputs!$F$170),Time!O$5))/Time!O$7</f>
        <v>1</v>
      </c>
      <c r="P761" s="14" t="n">
        <f aca="false">MAX(0,MIN(Inputs!$F$171,Time!P$6)-MAX(MAX(Inputs!$F$172,Inputs!$F$170),Time!P$5))/Time!P$7</f>
        <v>1</v>
      </c>
      <c r="Q761" s="14" t="n">
        <f aca="false">MAX(0,MIN(Inputs!$F$171,Time!Q$6)-MAX(MAX(Inputs!$F$172,Inputs!$F$170),Time!Q$5))/Time!Q$7</f>
        <v>1</v>
      </c>
      <c r="R761" s="14" t="n">
        <f aca="false">MAX(0,MIN(Inputs!$F$171,Time!R$6)-MAX(MAX(Inputs!$F$172,Inputs!$F$170),Time!R$5))/Time!R$7</f>
        <v>1</v>
      </c>
      <c r="S761" s="14" t="n">
        <f aca="false">MAX(0,MIN(Inputs!$F$171,Time!S$6)-MAX(MAX(Inputs!$F$172,Inputs!$F$170),Time!S$5))/Time!S$7</f>
        <v>1</v>
      </c>
      <c r="T761" s="14" t="n">
        <f aca="false">MAX(0,MIN(Inputs!$F$171,Time!T$6)-MAX(MAX(Inputs!$F$172,Inputs!$F$170),Time!T$5))/Time!T$7</f>
        <v>1</v>
      </c>
      <c r="U761" s="14" t="n">
        <f aca="false">MAX(0,MIN(Inputs!$F$171,Time!U$6)-MAX(MAX(Inputs!$F$172,Inputs!$F$170),Time!U$5))/Time!U$7</f>
        <v>1</v>
      </c>
      <c r="V761" s="14" t="n">
        <f aca="false">MAX(0,MIN(Inputs!$F$171,Time!V$6)-MAX(MAX(Inputs!$F$172,Inputs!$F$170),Time!V$5))/Time!V$7</f>
        <v>1</v>
      </c>
      <c r="W761" s="14" t="n">
        <f aca="false">MAX(0,MIN(Inputs!$F$171,Time!W$6)-MAX(MAX(Inputs!$F$172,Inputs!$F$170),Time!W$5))/Time!W$7</f>
        <v>1</v>
      </c>
      <c r="X761" s="14" t="n">
        <f aca="false">MAX(0,MIN(Inputs!$F$171,Time!X$6)-MAX(MAX(Inputs!$F$172,Inputs!$F$170),Time!X$5))/Time!X$7</f>
        <v>1</v>
      </c>
      <c r="Y761" s="14" t="n">
        <f aca="false">MAX(0,MIN(Inputs!$F$171,Time!Y$6)-MAX(MAX(Inputs!$F$172,Inputs!$F$170),Time!Y$5))/Time!Y$7</f>
        <v>1</v>
      </c>
      <c r="Z761" s="14" t="n">
        <f aca="false">MAX(0,MIN(Inputs!$F$171,Time!Z$6)-MAX(MAX(Inputs!$F$172,Inputs!$F$170),Time!Z$5))/Time!Z$7</f>
        <v>1</v>
      </c>
      <c r="AA761" s="14" t="n">
        <f aca="false">MAX(0,MIN(Inputs!$F$171,Time!AA$6)-MAX(MAX(Inputs!$F$172,Inputs!$F$170),Time!AA$5))/Time!AA$7</f>
        <v>1</v>
      </c>
      <c r="AB761" s="14" t="n">
        <f aca="false">MAX(0,MIN(Inputs!$F$171,Time!AB$6)-MAX(MAX(Inputs!$F$172,Inputs!$F$170),Time!AB$5))/Time!AB$7</f>
        <v>1</v>
      </c>
      <c r="AC761" s="14" t="n">
        <f aca="false">MAX(0,MIN(Inputs!$F$171,Time!AC$6)-MAX(MAX(Inputs!$F$172,Inputs!$F$170),Time!AC$5))/Time!AC$7</f>
        <v>1</v>
      </c>
      <c r="AD761" s="14" t="n">
        <f aca="false">MAX(0,MIN(Inputs!$F$171,Time!AD$6)-MAX(MAX(Inputs!$F$172,Inputs!$F$170),Time!AD$5))/Time!AD$7</f>
        <v>1</v>
      </c>
      <c r="AE761" s="14" t="n">
        <f aca="false">MAX(0,MIN(Inputs!$F$171,Time!AE$6)-MAX(MAX(Inputs!$F$172,Inputs!$F$170),Time!AE$5))/Time!AE$7</f>
        <v>1</v>
      </c>
      <c r="AF761" s="14" t="n">
        <f aca="false">MAX(0,MIN(Inputs!$F$171,Time!AF$6)-MAX(MAX(Inputs!$F$172,Inputs!$F$170),Time!AF$5))/Time!AF$7</f>
        <v>1</v>
      </c>
      <c r="AG761" s="14" t="n">
        <f aca="false">MAX(0,MIN(Inputs!$F$171,Time!AG$6)-MAX(MAX(Inputs!$F$172,Inputs!$F$170),Time!AG$5))/Time!AG$7</f>
        <v>1</v>
      </c>
      <c r="AH761" s="14" t="n">
        <f aca="false">MAX(0,MIN(Inputs!$F$171,Time!AH$6)-MAX(MAX(Inputs!$F$172,Inputs!$F$170),Time!AH$5))/Time!AH$7</f>
        <v>1</v>
      </c>
      <c r="AI761" s="14" t="n">
        <f aca="false">MAX(0,MIN(Inputs!$F$171,Time!AI$6)-MAX(MAX(Inputs!$F$172,Inputs!$F$170),Time!AI$5))/Time!AI$7</f>
        <v>1</v>
      </c>
      <c r="AJ761" s="14" t="n">
        <f aca="false">MAX(0,MIN(Inputs!$F$171,Time!AJ$6)-MAX(MAX(Inputs!$F$172,Inputs!$F$170),Time!AJ$5))/Time!AJ$7</f>
        <v>1</v>
      </c>
      <c r="AK761" s="14" t="n">
        <f aca="false">MAX(0,MIN(Inputs!$F$171,Time!AK$6)-MAX(MAX(Inputs!$F$172,Inputs!$F$170),Time!AK$5))/Time!AK$7</f>
        <v>1</v>
      </c>
      <c r="AL761" s="14" t="n">
        <f aca="false">MAX(0,MIN(Inputs!$F$171,Time!AL$6)-MAX(MAX(Inputs!$F$172,Inputs!$F$170),Time!AL$5))/Time!AL$7</f>
        <v>1</v>
      </c>
      <c r="AM761" s="14" t="n">
        <f aca="false">MAX(0,MIN(Inputs!$F$171,Time!AM$6)-MAX(MAX(Inputs!$F$172,Inputs!$F$170),Time!AM$5))/Time!AM$7</f>
        <v>1</v>
      </c>
      <c r="AN761" s="14" t="n">
        <f aca="false">MAX(0,MIN(Inputs!$F$171,Time!AN$6)-MAX(MAX(Inputs!$F$172,Inputs!$F$170),Time!AN$5))/Time!AN$7</f>
        <v>1</v>
      </c>
      <c r="AO761" s="14" t="n">
        <f aca="false">MAX(0,MIN(Inputs!$F$171,Time!AO$6)-MAX(MAX(Inputs!$F$172,Inputs!$F$170),Time!AO$5))/Time!AO$7</f>
        <v>1</v>
      </c>
      <c r="AP761" s="14" t="n">
        <f aca="false">MAX(0,MIN(Inputs!$F$171,Time!AP$6)-MAX(MAX(Inputs!$F$172,Inputs!$F$170),Time!AP$5))/Time!AP$7</f>
        <v>1</v>
      </c>
      <c r="AQ761" s="14" t="n">
        <f aca="false">MAX(0,MIN(Inputs!$F$171,Time!AQ$6)-MAX(MAX(Inputs!$F$172,Inputs!$F$170),Time!AQ$5))/Time!AQ$7</f>
        <v>1</v>
      </c>
      <c r="AR761" s="14" t="n">
        <f aca="false">MAX(0,MIN(Inputs!$F$171,Time!AR$6)-MAX(MAX(Inputs!$F$172,Inputs!$F$170),Time!AR$5))/Time!AR$7</f>
        <v>1</v>
      </c>
      <c r="AS761" s="14" t="n">
        <f aca="false">MAX(0,MIN(Inputs!$F$171,Time!AS$6)-MAX(MAX(Inputs!$F$172,Inputs!$F$170),Time!AS$5))/Time!AS$7</f>
        <v>1</v>
      </c>
      <c r="AT761" s="14" t="n">
        <f aca="false">MAX(0,MIN(Inputs!$F$171,Time!AT$6)-MAX(MAX(Inputs!$F$172,Inputs!$F$170),Time!AT$5))/Time!AT$7</f>
        <v>1</v>
      </c>
      <c r="AU761" s="14" t="n">
        <f aca="false">MAX(0,MIN(Inputs!$F$171,Time!AU$6)-MAX(MAX(Inputs!$F$172,Inputs!$F$170),Time!AU$5))/Time!AU$7</f>
        <v>1</v>
      </c>
    </row>
    <row r="762" customFormat="false" ht="15" hidden="false" customHeight="false" outlineLevel="0" collapsed="false">
      <c r="D762" s="0" t="s">
        <v>761</v>
      </c>
      <c r="E762" s="0" t="s">
        <v>458</v>
      </c>
      <c r="J762" s="14" t="n">
        <f aca="false">IF(Operations!J760&gt;0,Operations!J761/Operations!J760,0)</f>
        <v>0</v>
      </c>
      <c r="K762" s="14" t="n">
        <f aca="false">IF(Operations!K760&gt;0,Operations!K761/Operations!K760,0)</f>
        <v>0</v>
      </c>
      <c r="L762" s="14" t="n">
        <f aca="false">IF(Operations!L760&gt;0,Operations!L761/Operations!L760,0)</f>
        <v>1</v>
      </c>
      <c r="M762" s="14" t="n">
        <f aca="false">IF(Operations!M760&gt;0,Operations!M761/Operations!M760,0)</f>
        <v>1</v>
      </c>
      <c r="N762" s="14" t="n">
        <f aca="false">IF(Operations!N760&gt;0,Operations!N761/Operations!N760,0)</f>
        <v>1</v>
      </c>
      <c r="O762" s="14" t="n">
        <f aca="false">IF(Operations!O760&gt;0,Operations!O761/Operations!O760,0)</f>
        <v>1</v>
      </c>
      <c r="P762" s="14" t="n">
        <f aca="false">IF(Operations!P760&gt;0,Operations!P761/Operations!P760,0)</f>
        <v>1</v>
      </c>
      <c r="Q762" s="14" t="n">
        <f aca="false">IF(Operations!Q760&gt;0,Operations!Q761/Operations!Q760,0)</f>
        <v>1</v>
      </c>
      <c r="R762" s="14" t="n">
        <f aca="false">IF(Operations!R760&gt;0,Operations!R761/Operations!R760,0)</f>
        <v>1</v>
      </c>
      <c r="S762" s="14" t="n">
        <f aca="false">IF(Operations!S760&gt;0,Operations!S761/Operations!S760,0)</f>
        <v>1</v>
      </c>
      <c r="T762" s="14" t="n">
        <f aca="false">IF(Operations!T760&gt;0,Operations!T761/Operations!T760,0)</f>
        <v>1</v>
      </c>
      <c r="U762" s="14" t="n">
        <f aca="false">IF(Operations!U760&gt;0,Operations!U761/Operations!U760,0)</f>
        <v>1</v>
      </c>
      <c r="V762" s="14" t="n">
        <f aca="false">IF(Operations!V760&gt;0,Operations!V761/Operations!V760,0)</f>
        <v>1</v>
      </c>
      <c r="W762" s="14" t="n">
        <f aca="false">IF(Operations!W760&gt;0,Operations!W761/Operations!W760,0)</f>
        <v>1</v>
      </c>
      <c r="X762" s="14" t="n">
        <f aca="false">IF(Operations!X760&gt;0,Operations!X761/Operations!X760,0)</f>
        <v>1</v>
      </c>
      <c r="Y762" s="14" t="n">
        <f aca="false">IF(Operations!Y760&gt;0,Operations!Y761/Operations!Y760,0)</f>
        <v>1</v>
      </c>
      <c r="Z762" s="14" t="n">
        <f aca="false">IF(Operations!Z760&gt;0,Operations!Z761/Operations!Z760,0)</f>
        <v>1</v>
      </c>
      <c r="AA762" s="14" t="n">
        <f aca="false">IF(Operations!AA760&gt;0,Operations!AA761/Operations!AA760,0)</f>
        <v>1</v>
      </c>
      <c r="AB762" s="14" t="n">
        <f aca="false">IF(Operations!AB760&gt;0,Operations!AB761/Operations!AB760,0)</f>
        <v>1</v>
      </c>
      <c r="AC762" s="14" t="n">
        <f aca="false">IF(Operations!AC760&gt;0,Operations!AC761/Operations!AC760,0)</f>
        <v>1</v>
      </c>
      <c r="AD762" s="14" t="n">
        <f aca="false">IF(Operations!AD760&gt;0,Operations!AD761/Operations!AD760,0)</f>
        <v>1</v>
      </c>
      <c r="AE762" s="14" t="n">
        <f aca="false">IF(Operations!AE760&gt;0,Operations!AE761/Operations!AE760,0)</f>
        <v>1</v>
      </c>
      <c r="AF762" s="14" t="n">
        <f aca="false">IF(Operations!AF760&gt;0,Operations!AF761/Operations!AF760,0)</f>
        <v>1</v>
      </c>
      <c r="AG762" s="14" t="n">
        <f aca="false">IF(Operations!AG760&gt;0,Operations!AG761/Operations!AG760,0)</f>
        <v>1</v>
      </c>
      <c r="AH762" s="14" t="n">
        <f aca="false">IF(Operations!AH760&gt;0,Operations!AH761/Operations!AH760,0)</f>
        <v>1</v>
      </c>
      <c r="AI762" s="14" t="n">
        <f aca="false">IF(Operations!AI760&gt;0,Operations!AI761/Operations!AI760,0)</f>
        <v>1</v>
      </c>
      <c r="AJ762" s="14" t="n">
        <f aca="false">IF(Operations!AJ760&gt;0,Operations!AJ761/Operations!AJ760,0)</f>
        <v>1</v>
      </c>
      <c r="AK762" s="14" t="n">
        <f aca="false">IF(Operations!AK760&gt;0,Operations!AK761/Operations!AK760,0)</f>
        <v>1</v>
      </c>
      <c r="AL762" s="14" t="n">
        <f aca="false">IF(Operations!AL760&gt;0,Operations!AL761/Operations!AL760,0)</f>
        <v>1</v>
      </c>
      <c r="AM762" s="14" t="n">
        <f aca="false">IF(Operations!AM760&gt;0,Operations!AM761/Operations!AM760,0)</f>
        <v>1</v>
      </c>
      <c r="AN762" s="14" t="n">
        <f aca="false">IF(Operations!AN760&gt;0,Operations!AN761/Operations!AN760,0)</f>
        <v>1</v>
      </c>
      <c r="AO762" s="14" t="n">
        <f aca="false">IF(Operations!AO760&gt;0,Operations!AO761/Operations!AO760,0)</f>
        <v>1</v>
      </c>
      <c r="AP762" s="14" t="n">
        <f aca="false">IF(Operations!AP760&gt;0,Operations!AP761/Operations!AP760,0)</f>
        <v>1</v>
      </c>
      <c r="AQ762" s="14" t="n">
        <f aca="false">IF(Operations!AQ760&gt;0,Operations!AQ761/Operations!AQ760,0)</f>
        <v>1</v>
      </c>
      <c r="AR762" s="14" t="n">
        <f aca="false">IF(Operations!AR760&gt;0,Operations!AR761/Operations!AR760,0)</f>
        <v>1</v>
      </c>
      <c r="AS762" s="14" t="n">
        <f aca="false">IF(Operations!AS760&gt;0,Operations!AS761/Operations!AS760,0)</f>
        <v>1</v>
      </c>
      <c r="AT762" s="14" t="n">
        <f aca="false">IF(Operations!AT760&gt;0,Operations!AT761/Operations!AT760,0)</f>
        <v>1</v>
      </c>
      <c r="AU762" s="14" t="n">
        <f aca="false">IF(Operations!AU760&gt;0,Operations!AU761/Operations!AU760,0)</f>
        <v>1</v>
      </c>
    </row>
    <row r="763" customFormat="false" ht="15" hidden="false" customHeight="false" outlineLevel="0" collapsed="false">
      <c r="D763" s="0" t="s">
        <v>762</v>
      </c>
      <c r="E763" s="0" t="s">
        <v>96</v>
      </c>
      <c r="J763" s="18" t="n">
        <f aca="false">Operations!J449</f>
        <v>73.9286</v>
      </c>
      <c r="K763" s="18" t="n">
        <f aca="false">Operations!K449</f>
        <v>60.6492</v>
      </c>
      <c r="L763" s="18" t="n">
        <f aca="false">Operations!L449</f>
        <v>29.8291</v>
      </c>
      <c r="M763" s="18" t="n">
        <f aca="false">Operations!M449</f>
        <v>39.4418</v>
      </c>
      <c r="N763" s="18" t="n">
        <f aca="false">Operations!N449</f>
        <v>44.1986</v>
      </c>
      <c r="O763" s="18" t="n">
        <f aca="false">Operations!O449</f>
        <v>46.8743</v>
      </c>
      <c r="P763" s="18" t="n">
        <f aca="false">Operations!P449</f>
        <v>48.6581</v>
      </c>
      <c r="Q763" s="18" t="n">
        <f aca="false">Operations!Q449</f>
        <v>49.9464</v>
      </c>
      <c r="R763" s="18" t="n">
        <f aca="false">Operations!R449</f>
        <v>51.3338</v>
      </c>
      <c r="S763" s="18" t="n">
        <f aca="false">Operations!S449</f>
        <v>52.36444</v>
      </c>
      <c r="T763" s="18" t="n">
        <f aca="false">Operations!T449</f>
        <v>53.4149</v>
      </c>
      <c r="U763" s="18" t="n">
        <f aca="false">Operations!U449</f>
        <v>54.48518</v>
      </c>
      <c r="V763" s="18" t="n">
        <f aca="false">Operations!V449</f>
        <v>55.57528</v>
      </c>
      <c r="W763" s="18" t="n">
        <f aca="false">Operations!W449</f>
        <v>56.6852</v>
      </c>
      <c r="X763" s="18" t="n">
        <f aca="false">Operations!X449</f>
        <v>57.81494</v>
      </c>
      <c r="Y763" s="18" t="n">
        <f aca="false">Operations!Y449</f>
        <v>58.97441</v>
      </c>
      <c r="Z763" s="18" t="n">
        <f aca="false">Operations!Z449</f>
        <v>60.1537</v>
      </c>
      <c r="AA763" s="18" t="n">
        <f aca="false">Operations!AA449</f>
        <v>61.35281</v>
      </c>
      <c r="AB763" s="18" t="n">
        <f aca="false">Operations!AB449</f>
        <v>62.58165</v>
      </c>
      <c r="AC763" s="18" t="n">
        <f aca="false">Operations!AC449</f>
        <v>63.83031</v>
      </c>
      <c r="AD763" s="18" t="n">
        <f aca="false">Operations!AD449</f>
        <v>65.1087</v>
      </c>
      <c r="AE763" s="18" t="n">
        <f aca="false">Operations!AE449</f>
        <v>66.40691</v>
      </c>
      <c r="AF763" s="18" t="n">
        <f aca="false">Operations!AF449</f>
        <v>67.73485</v>
      </c>
      <c r="AG763" s="18" t="n">
        <f aca="false">Operations!AG449</f>
        <v>69.09252</v>
      </c>
      <c r="AH763" s="18" t="n">
        <f aca="false">Operations!AH449</f>
        <v>70.47001</v>
      </c>
      <c r="AI763" s="18" t="n">
        <f aca="false">Operations!AI449</f>
        <v>71.87723</v>
      </c>
      <c r="AJ763" s="18" t="n">
        <f aca="false">Operations!AJ449</f>
        <v>73.31418</v>
      </c>
      <c r="AK763" s="18" t="n">
        <f aca="false">Operations!AK449</f>
        <v>74.78086</v>
      </c>
      <c r="AL763" s="18" t="n">
        <f aca="false">Operations!AL449</f>
        <v>76.27727</v>
      </c>
      <c r="AM763" s="18" t="n">
        <f aca="false">Operations!AM449</f>
        <v>77.80341</v>
      </c>
      <c r="AN763" s="18" t="n">
        <f aca="false">Operations!AN449</f>
        <v>79.35928</v>
      </c>
      <c r="AO763" s="18" t="n">
        <f aca="false">Operations!AO449</f>
        <v>80.94488</v>
      </c>
      <c r="AP763" s="18" t="n">
        <f aca="false">Operations!AP449</f>
        <v>82.56021</v>
      </c>
      <c r="AQ763" s="18" t="n">
        <f aca="false">Operations!AQ449</f>
        <v>84.21518</v>
      </c>
      <c r="AR763" s="18" t="n">
        <f aca="false">Operations!AR449</f>
        <v>85.89988</v>
      </c>
      <c r="AS763" s="18" t="n">
        <f aca="false">Operations!AS449</f>
        <v>87.61431</v>
      </c>
      <c r="AT763" s="18" t="n">
        <f aca="false">Operations!AT449</f>
        <v>89.36838</v>
      </c>
      <c r="AU763" s="18" t="n">
        <f aca="false">Operations!AU449</f>
        <v>91.15218</v>
      </c>
    </row>
    <row r="764" customFormat="false" ht="15" hidden="false" customHeight="false" outlineLevel="0" collapsed="false">
      <c r="D764" s="0" t="s">
        <v>763</v>
      </c>
      <c r="E764" s="0" t="s">
        <v>27</v>
      </c>
      <c r="J764" s="14" t="n">
        <f aca="false">CHOOSE(Operations!$F$442,1,Inputs!$F$176/100,Inputs!$F$177/100,Operations!$F$42/100)</f>
        <v>1</v>
      </c>
      <c r="K764" s="14" t="n">
        <f aca="false">CHOOSE(Operations!$F$442,1,Inputs!$F$176/100,Inputs!$F$177/100,Operations!$F$42/100)</f>
        <v>1</v>
      </c>
      <c r="L764" s="14" t="n">
        <f aca="false">CHOOSE(Operations!$F$442,1,Inputs!$F$176/100,Inputs!$F$177/100,Operations!$F$42/100)</f>
        <v>1</v>
      </c>
      <c r="M764" s="14" t="n">
        <f aca="false">CHOOSE(Operations!$F$442,1,Inputs!$F$176/100,Inputs!$F$177/100,Operations!$F$42/100)</f>
        <v>1</v>
      </c>
      <c r="N764" s="14" t="n">
        <f aca="false">CHOOSE(Operations!$F$442,1,Inputs!$F$176/100,Inputs!$F$177/100,Operations!$F$42/100)</f>
        <v>1</v>
      </c>
      <c r="O764" s="14" t="n">
        <f aca="false">CHOOSE(Operations!$F$442,1,Inputs!$F$176/100,Inputs!$F$177/100,Operations!$F$42/100)</f>
        <v>1</v>
      </c>
      <c r="P764" s="14" t="n">
        <f aca="false">CHOOSE(Operations!$F$442,1,Inputs!$F$176/100,Inputs!$F$177/100,Operations!$F$42/100)</f>
        <v>1</v>
      </c>
      <c r="Q764" s="14" t="n">
        <f aca="false">CHOOSE(Operations!$F$442,1,Inputs!$F$176/100,Inputs!$F$177/100,Operations!$F$42/100)</f>
        <v>1</v>
      </c>
      <c r="R764" s="14" t="n">
        <f aca="false">CHOOSE(Operations!$F$442,1,Inputs!$F$176/100,Inputs!$F$177/100,Operations!$F$42/100)</f>
        <v>1</v>
      </c>
      <c r="S764" s="14" t="n">
        <f aca="false">CHOOSE(Operations!$F$442,1,Inputs!$F$176/100,Inputs!$F$177/100,Operations!$F$42/100)</f>
        <v>1</v>
      </c>
      <c r="T764" s="14" t="n">
        <f aca="false">CHOOSE(Operations!$F$442,1,Inputs!$F$176/100,Inputs!$F$177/100,Operations!$F$42/100)</f>
        <v>1</v>
      </c>
      <c r="U764" s="14" t="n">
        <f aca="false">CHOOSE(Operations!$F$442,1,Inputs!$F$176/100,Inputs!$F$177/100,Operations!$F$42/100)</f>
        <v>1</v>
      </c>
      <c r="V764" s="14" t="n">
        <f aca="false">CHOOSE(Operations!$F$442,1,Inputs!$F$176/100,Inputs!$F$177/100,Operations!$F$42/100)</f>
        <v>1</v>
      </c>
      <c r="W764" s="14" t="n">
        <f aca="false">CHOOSE(Operations!$F$442,1,Inputs!$F$176/100,Inputs!$F$177/100,Operations!$F$42/100)</f>
        <v>1</v>
      </c>
      <c r="X764" s="14" t="n">
        <f aca="false">CHOOSE(Operations!$F$442,1,Inputs!$F$176/100,Inputs!$F$177/100,Operations!$F$42/100)</f>
        <v>1</v>
      </c>
      <c r="Y764" s="14" t="n">
        <f aca="false">CHOOSE(Operations!$F$442,1,Inputs!$F$176/100,Inputs!$F$177/100,Operations!$F$42/100)</f>
        <v>1</v>
      </c>
      <c r="Z764" s="14" t="n">
        <f aca="false">CHOOSE(Operations!$F$442,1,Inputs!$F$176/100,Inputs!$F$177/100,Operations!$F$42/100)</f>
        <v>1</v>
      </c>
      <c r="AA764" s="14" t="n">
        <f aca="false">CHOOSE(Operations!$F$442,1,Inputs!$F$176/100,Inputs!$F$177/100,Operations!$F$42/100)</f>
        <v>1</v>
      </c>
      <c r="AB764" s="14" t="n">
        <f aca="false">CHOOSE(Operations!$F$442,1,Inputs!$F$176/100,Inputs!$F$177/100,Operations!$F$42/100)</f>
        <v>1</v>
      </c>
      <c r="AC764" s="14" t="n">
        <f aca="false">CHOOSE(Operations!$F$442,1,Inputs!$F$176/100,Inputs!$F$177/100,Operations!$F$42/100)</f>
        <v>1</v>
      </c>
      <c r="AD764" s="14" t="n">
        <f aca="false">CHOOSE(Operations!$F$442,1,Inputs!$F$176/100,Inputs!$F$177/100,Operations!$F$42/100)</f>
        <v>1</v>
      </c>
      <c r="AE764" s="14" t="n">
        <f aca="false">CHOOSE(Operations!$F$442,1,Inputs!$F$176/100,Inputs!$F$177/100,Operations!$F$42/100)</f>
        <v>1</v>
      </c>
      <c r="AF764" s="14" t="n">
        <f aca="false">CHOOSE(Operations!$F$442,1,Inputs!$F$176/100,Inputs!$F$177/100,Operations!$F$42/100)</f>
        <v>1</v>
      </c>
      <c r="AG764" s="14" t="n">
        <f aca="false">CHOOSE(Operations!$F$442,1,Inputs!$F$176/100,Inputs!$F$177/100,Operations!$F$42/100)</f>
        <v>1</v>
      </c>
      <c r="AH764" s="14" t="n">
        <f aca="false">CHOOSE(Operations!$F$442,1,Inputs!$F$176/100,Inputs!$F$177/100,Operations!$F$42/100)</f>
        <v>1</v>
      </c>
      <c r="AI764" s="14" t="n">
        <f aca="false">CHOOSE(Operations!$F$442,1,Inputs!$F$176/100,Inputs!$F$177/100,Operations!$F$42/100)</f>
        <v>1</v>
      </c>
      <c r="AJ764" s="14" t="n">
        <f aca="false">CHOOSE(Operations!$F$442,1,Inputs!$F$176/100,Inputs!$F$177/100,Operations!$F$42/100)</f>
        <v>1</v>
      </c>
      <c r="AK764" s="14" t="n">
        <f aca="false">CHOOSE(Operations!$F$442,1,Inputs!$F$176/100,Inputs!$F$177/100,Operations!$F$42/100)</f>
        <v>1</v>
      </c>
      <c r="AL764" s="14" t="n">
        <f aca="false">CHOOSE(Operations!$F$442,1,Inputs!$F$176/100,Inputs!$F$177/100,Operations!$F$42/100)</f>
        <v>1</v>
      </c>
      <c r="AM764" s="14" t="n">
        <f aca="false">CHOOSE(Operations!$F$442,1,Inputs!$F$176/100,Inputs!$F$177/100,Operations!$F$42/100)</f>
        <v>1</v>
      </c>
      <c r="AN764" s="14" t="n">
        <f aca="false">CHOOSE(Operations!$F$442,1,Inputs!$F$176/100,Inputs!$F$177/100,Operations!$F$42/100)</f>
        <v>1</v>
      </c>
      <c r="AO764" s="14" t="n">
        <f aca="false">CHOOSE(Operations!$F$442,1,Inputs!$F$176/100,Inputs!$F$177/100,Operations!$F$42/100)</f>
        <v>1</v>
      </c>
      <c r="AP764" s="14" t="n">
        <f aca="false">CHOOSE(Operations!$F$442,1,Inputs!$F$176/100,Inputs!$F$177/100,Operations!$F$42/100)</f>
        <v>1</v>
      </c>
      <c r="AQ764" s="14" t="n">
        <f aca="false">CHOOSE(Operations!$F$442,1,Inputs!$F$176/100,Inputs!$F$177/100,Operations!$F$42/100)</f>
        <v>1</v>
      </c>
      <c r="AR764" s="14" t="n">
        <f aca="false">CHOOSE(Operations!$F$442,1,Inputs!$F$176/100,Inputs!$F$177/100,Operations!$F$42/100)</f>
        <v>1</v>
      </c>
      <c r="AS764" s="14" t="n">
        <f aca="false">CHOOSE(Operations!$F$442,1,Inputs!$F$176/100,Inputs!$F$177/100,Operations!$F$42/100)</f>
        <v>1</v>
      </c>
      <c r="AT764" s="14" t="n">
        <f aca="false">CHOOSE(Operations!$F$442,1,Inputs!$F$176/100,Inputs!$F$177/100,Operations!$F$42/100)</f>
        <v>1</v>
      </c>
      <c r="AU764" s="14" t="n">
        <f aca="false">CHOOSE(Operations!$F$442,1,Inputs!$F$176/100,Inputs!$F$177/100,Operations!$F$42/100)</f>
        <v>1</v>
      </c>
    </row>
    <row r="765" customFormat="false" ht="15" hidden="false" customHeight="false" outlineLevel="0" collapsed="false">
      <c r="D765" s="0" t="s">
        <v>764</v>
      </c>
      <c r="E765" s="0" t="s">
        <v>27</v>
      </c>
      <c r="J765" s="14" t="n">
        <f aca="false">(1-Inputs!$F$178/100)^MAX(0,Time!J$4-Inputs!$F$179)</f>
        <v>1</v>
      </c>
      <c r="K765" s="14" t="n">
        <f aca="false">(1-Inputs!$F$178/100)^MAX(0,Time!K$4-Inputs!$F$179)</f>
        <v>1</v>
      </c>
      <c r="L765" s="14" t="n">
        <f aca="false">(1-Inputs!$F$178/100)^MAX(0,Time!L$4-Inputs!$F$179)</f>
        <v>1</v>
      </c>
      <c r="M765" s="14" t="n">
        <f aca="false">(1-Inputs!$F$178/100)^MAX(0,Time!M$4-Inputs!$F$179)</f>
        <v>1</v>
      </c>
      <c r="N765" s="14" t="n">
        <f aca="false">(1-Inputs!$F$178/100)^MAX(0,Time!N$4-Inputs!$F$179)</f>
        <v>0.996</v>
      </c>
      <c r="O765" s="14" t="n">
        <f aca="false">(1-Inputs!$F$178/100)^MAX(0,Time!O$4-Inputs!$F$179)</f>
        <v>0.992016</v>
      </c>
      <c r="P765" s="14" t="n">
        <f aca="false">(1-Inputs!$F$178/100)^MAX(0,Time!P$4-Inputs!$F$179)</f>
        <v>0.988047936</v>
      </c>
      <c r="Q765" s="14" t="n">
        <f aca="false">(1-Inputs!$F$178/100)^MAX(0,Time!Q$4-Inputs!$F$179)</f>
        <v>0.984095744256</v>
      </c>
      <c r="R765" s="14" t="n">
        <f aca="false">(1-Inputs!$F$178/100)^MAX(0,Time!R$4-Inputs!$F$179)</f>
        <v>0.980159361278976</v>
      </c>
      <c r="S765" s="14" t="n">
        <f aca="false">(1-Inputs!$F$178/100)^MAX(0,Time!S$4-Inputs!$F$179)</f>
        <v>0.97623872383386</v>
      </c>
      <c r="T765" s="14" t="n">
        <f aca="false">(1-Inputs!$F$178/100)^MAX(0,Time!T$4-Inputs!$F$179)</f>
        <v>0.972333768938525</v>
      </c>
      <c r="U765" s="14" t="n">
        <f aca="false">(1-Inputs!$F$178/100)^MAX(0,Time!U$4-Inputs!$F$179)</f>
        <v>0.968444433862771</v>
      </c>
      <c r="V765" s="14" t="n">
        <f aca="false">(1-Inputs!$F$178/100)^MAX(0,Time!V$4-Inputs!$F$179)</f>
        <v>0.964570656127319</v>
      </c>
      <c r="W765" s="14" t="n">
        <f aca="false">(1-Inputs!$F$178/100)^MAX(0,Time!W$4-Inputs!$F$179)</f>
        <v>0.96071237350281</v>
      </c>
      <c r="X765" s="14" t="n">
        <f aca="false">(1-Inputs!$F$178/100)^MAX(0,Time!X$4-Inputs!$F$179)</f>
        <v>0.956869524008799</v>
      </c>
      <c r="Y765" s="14" t="n">
        <f aca="false">(1-Inputs!$F$178/100)^MAX(0,Time!Y$4-Inputs!$F$179)</f>
        <v>0.953042045912764</v>
      </c>
      <c r="Z765" s="14" t="n">
        <f aca="false">(1-Inputs!$F$178/100)^MAX(0,Time!Z$4-Inputs!$F$179)</f>
        <v>0.949229877729113</v>
      </c>
      <c r="AA765" s="14" t="n">
        <f aca="false">(1-Inputs!$F$178/100)^MAX(0,Time!AA$4-Inputs!$F$179)</f>
        <v>0.945432958218196</v>
      </c>
      <c r="AB765" s="14" t="n">
        <f aca="false">(1-Inputs!$F$178/100)^MAX(0,Time!AB$4-Inputs!$F$179)</f>
        <v>0.941651226385323</v>
      </c>
      <c r="AC765" s="14" t="n">
        <f aca="false">(1-Inputs!$F$178/100)^MAX(0,Time!AC$4-Inputs!$F$179)</f>
        <v>0.937884621479782</v>
      </c>
      <c r="AD765" s="14" t="n">
        <f aca="false">(1-Inputs!$F$178/100)^MAX(0,Time!AD$4-Inputs!$F$179)</f>
        <v>0.934133082993863</v>
      </c>
      <c r="AE765" s="14" t="n">
        <f aca="false">(1-Inputs!$F$178/100)^MAX(0,Time!AE$4-Inputs!$F$179)</f>
        <v>0.930396550661888</v>
      </c>
      <c r="AF765" s="14" t="n">
        <f aca="false">(1-Inputs!$F$178/100)^MAX(0,Time!AF$4-Inputs!$F$179)</f>
        <v>0.92667496445924</v>
      </c>
      <c r="AG765" s="14" t="n">
        <f aca="false">(1-Inputs!$F$178/100)^MAX(0,Time!AG$4-Inputs!$F$179)</f>
        <v>0.922968264601403</v>
      </c>
      <c r="AH765" s="14" t="n">
        <f aca="false">(1-Inputs!$F$178/100)^MAX(0,Time!AH$4-Inputs!$F$179)</f>
        <v>0.919276391542998</v>
      </c>
      <c r="AI765" s="14" t="n">
        <f aca="false">(1-Inputs!$F$178/100)^MAX(0,Time!AI$4-Inputs!$F$179)</f>
        <v>0.915599285976825</v>
      </c>
      <c r="AJ765" s="14" t="n">
        <f aca="false">(1-Inputs!$F$178/100)^MAX(0,Time!AJ$4-Inputs!$F$179)</f>
        <v>0.911936888832918</v>
      </c>
      <c r="AK765" s="14" t="n">
        <f aca="false">(1-Inputs!$F$178/100)^MAX(0,Time!AK$4-Inputs!$F$179)</f>
        <v>0.908289141277586</v>
      </c>
      <c r="AL765" s="14" t="n">
        <f aca="false">(1-Inputs!$F$178/100)^MAX(0,Time!AL$4-Inputs!$F$179)</f>
        <v>0.904655984712476</v>
      </c>
      <c r="AM765" s="14" t="n">
        <f aca="false">(1-Inputs!$F$178/100)^MAX(0,Time!AM$4-Inputs!$F$179)</f>
        <v>0.901037360773626</v>
      </c>
      <c r="AN765" s="14" t="n">
        <f aca="false">(1-Inputs!$F$178/100)^MAX(0,Time!AN$4-Inputs!$F$179)</f>
        <v>0.897433211330532</v>
      </c>
      <c r="AO765" s="14" t="n">
        <f aca="false">(1-Inputs!$F$178/100)^MAX(0,Time!AO$4-Inputs!$F$179)</f>
        <v>0.89384347848521</v>
      </c>
      <c r="AP765" s="14" t="n">
        <f aca="false">(1-Inputs!$F$178/100)^MAX(0,Time!AP$4-Inputs!$F$179)</f>
        <v>0.890268104571269</v>
      </c>
      <c r="AQ765" s="14" t="n">
        <f aca="false">(1-Inputs!$F$178/100)^MAX(0,Time!AQ$4-Inputs!$F$179)</f>
        <v>0.886707032152984</v>
      </c>
      <c r="AR765" s="14" t="n">
        <f aca="false">(1-Inputs!$F$178/100)^MAX(0,Time!AR$4-Inputs!$F$179)</f>
        <v>0.883160204024372</v>
      </c>
      <c r="AS765" s="14" t="n">
        <f aca="false">(1-Inputs!$F$178/100)^MAX(0,Time!AS$4-Inputs!$F$179)</f>
        <v>0.879627563208274</v>
      </c>
      <c r="AT765" s="14" t="n">
        <f aca="false">(1-Inputs!$F$178/100)^MAX(0,Time!AT$4-Inputs!$F$179)</f>
        <v>0.876109052955441</v>
      </c>
      <c r="AU765" s="14" t="n">
        <f aca="false">(1-Inputs!$F$178/100)^MAX(0,Time!AU$4-Inputs!$F$179)</f>
        <v>0.872604616743619</v>
      </c>
    </row>
    <row r="766" customFormat="false" ht="15" hidden="false" customHeight="false" outlineLevel="0" collapsed="false">
      <c r="D766" s="0" t="s">
        <v>765</v>
      </c>
      <c r="E766" s="0" t="s">
        <v>458</v>
      </c>
      <c r="J766" s="14" t="n">
        <f aca="false">(IF(Time!J$4&gt;=Inputs!$F$61,Inputs!$F$69,Inputs!$F$68+(Inputs!$F$69-Inputs!$F$68)*(Time!J$4-Inputs!$F$23)/(Inputs!$F$61-Inputs!$F$23))+Operations!$F$444)/100</f>
        <v>0.018</v>
      </c>
      <c r="K766" s="14" t="n">
        <f aca="false">(IF(Time!K$4&gt;=Inputs!$F$61,Inputs!$F$69,Inputs!$F$68+(Inputs!$F$69-Inputs!$F$68)*(Time!K$4-Inputs!$F$23)/(Inputs!$F$61-Inputs!$F$23))+Operations!$F$444)/100</f>
        <v>0.018</v>
      </c>
      <c r="L766" s="14" t="n">
        <f aca="false">(IF(Time!L$4&gt;=Inputs!$F$61,Inputs!$F$69,Inputs!$F$68+(Inputs!$F$69-Inputs!$F$68)*(Time!L$4-Inputs!$F$23)/(Inputs!$F$61-Inputs!$F$23))+Operations!$F$444)/100</f>
        <v>0.018</v>
      </c>
      <c r="M766" s="14" t="n">
        <f aca="false">(IF(Time!M$4&gt;=Inputs!$F$61,Inputs!$F$69,Inputs!$F$68+(Inputs!$F$69-Inputs!$F$68)*(Time!M$4-Inputs!$F$23)/(Inputs!$F$61-Inputs!$F$23))+Operations!$F$444)/100</f>
        <v>0.018</v>
      </c>
      <c r="N766" s="14" t="n">
        <f aca="false">(IF(Time!N$4&gt;=Inputs!$F$61,Inputs!$F$69,Inputs!$F$68+(Inputs!$F$69-Inputs!$F$68)*(Time!N$4-Inputs!$F$23)/(Inputs!$F$61-Inputs!$F$23))+Operations!$F$444)/100</f>
        <v>0.018</v>
      </c>
      <c r="O766" s="14" t="n">
        <f aca="false">(IF(Time!O$4&gt;=Inputs!$F$61,Inputs!$F$69,Inputs!$F$68+(Inputs!$F$69-Inputs!$F$68)*(Time!O$4-Inputs!$F$23)/(Inputs!$F$61-Inputs!$F$23))+Operations!$F$444)/100</f>
        <v>0.018</v>
      </c>
      <c r="P766" s="14" t="n">
        <f aca="false">(IF(Time!P$4&gt;=Inputs!$F$61,Inputs!$F$69,Inputs!$F$68+(Inputs!$F$69-Inputs!$F$68)*(Time!P$4-Inputs!$F$23)/(Inputs!$F$61-Inputs!$F$23))+Operations!$F$444)/100</f>
        <v>0.018</v>
      </c>
      <c r="Q766" s="14" t="n">
        <f aca="false">(IF(Time!Q$4&gt;=Inputs!$F$61,Inputs!$F$69,Inputs!$F$68+(Inputs!$F$69-Inputs!$F$68)*(Time!Q$4-Inputs!$F$23)/(Inputs!$F$61-Inputs!$F$23))+Operations!$F$444)/100</f>
        <v>0.018</v>
      </c>
      <c r="R766" s="14" t="n">
        <f aca="false">(IF(Time!R$4&gt;=Inputs!$F$61,Inputs!$F$69,Inputs!$F$68+(Inputs!$F$69-Inputs!$F$68)*(Time!R$4-Inputs!$F$23)/(Inputs!$F$61-Inputs!$F$23))+Operations!$F$444)/100</f>
        <v>0.018</v>
      </c>
      <c r="S766" s="14" t="n">
        <f aca="false">(IF(Time!S$4&gt;=Inputs!$F$61,Inputs!$F$69,Inputs!$F$68+(Inputs!$F$69-Inputs!$F$68)*(Time!S$4-Inputs!$F$23)/(Inputs!$F$61-Inputs!$F$23))+Operations!$F$444)/100</f>
        <v>0.018</v>
      </c>
      <c r="T766" s="14" t="n">
        <f aca="false">(IF(Time!T$4&gt;=Inputs!$F$61,Inputs!$F$69,Inputs!$F$68+(Inputs!$F$69-Inputs!$F$68)*(Time!T$4-Inputs!$F$23)/(Inputs!$F$61-Inputs!$F$23))+Operations!$F$444)/100</f>
        <v>0.018</v>
      </c>
      <c r="U766" s="14" t="n">
        <f aca="false">(IF(Time!U$4&gt;=Inputs!$F$61,Inputs!$F$69,Inputs!$F$68+(Inputs!$F$69-Inputs!$F$68)*(Time!U$4-Inputs!$F$23)/(Inputs!$F$61-Inputs!$F$23))+Operations!$F$444)/100</f>
        <v>0.018</v>
      </c>
      <c r="V766" s="14" t="n">
        <f aca="false">(IF(Time!V$4&gt;=Inputs!$F$61,Inputs!$F$69,Inputs!$F$68+(Inputs!$F$69-Inputs!$F$68)*(Time!V$4-Inputs!$F$23)/(Inputs!$F$61-Inputs!$F$23))+Operations!$F$444)/100</f>
        <v>0.018</v>
      </c>
      <c r="W766" s="14" t="n">
        <f aca="false">(IF(Time!W$4&gt;=Inputs!$F$61,Inputs!$F$69,Inputs!$F$68+(Inputs!$F$69-Inputs!$F$68)*(Time!W$4-Inputs!$F$23)/(Inputs!$F$61-Inputs!$F$23))+Operations!$F$444)/100</f>
        <v>0.018</v>
      </c>
      <c r="X766" s="14" t="n">
        <f aca="false">(IF(Time!X$4&gt;=Inputs!$F$61,Inputs!$F$69,Inputs!$F$68+(Inputs!$F$69-Inputs!$F$68)*(Time!X$4-Inputs!$F$23)/(Inputs!$F$61-Inputs!$F$23))+Operations!$F$444)/100</f>
        <v>0.018</v>
      </c>
      <c r="Y766" s="14" t="n">
        <f aca="false">(IF(Time!Y$4&gt;=Inputs!$F$61,Inputs!$F$69,Inputs!$F$68+(Inputs!$F$69-Inputs!$F$68)*(Time!Y$4-Inputs!$F$23)/(Inputs!$F$61-Inputs!$F$23))+Operations!$F$444)/100</f>
        <v>0.018</v>
      </c>
      <c r="Z766" s="14" t="n">
        <f aca="false">(IF(Time!Z$4&gt;=Inputs!$F$61,Inputs!$F$69,Inputs!$F$68+(Inputs!$F$69-Inputs!$F$68)*(Time!Z$4-Inputs!$F$23)/(Inputs!$F$61-Inputs!$F$23))+Operations!$F$444)/100</f>
        <v>0.018</v>
      </c>
      <c r="AA766" s="14" t="n">
        <f aca="false">(IF(Time!AA$4&gt;=Inputs!$F$61,Inputs!$F$69,Inputs!$F$68+(Inputs!$F$69-Inputs!$F$68)*(Time!AA$4-Inputs!$F$23)/(Inputs!$F$61-Inputs!$F$23))+Operations!$F$444)/100</f>
        <v>0.018</v>
      </c>
      <c r="AB766" s="14" t="n">
        <f aca="false">(IF(Time!AB$4&gt;=Inputs!$F$61,Inputs!$F$69,Inputs!$F$68+(Inputs!$F$69-Inputs!$F$68)*(Time!AB$4-Inputs!$F$23)/(Inputs!$F$61-Inputs!$F$23))+Operations!$F$444)/100</f>
        <v>0.018</v>
      </c>
      <c r="AC766" s="14" t="n">
        <f aca="false">(IF(Time!AC$4&gt;=Inputs!$F$61,Inputs!$F$69,Inputs!$F$68+(Inputs!$F$69-Inputs!$F$68)*(Time!AC$4-Inputs!$F$23)/(Inputs!$F$61-Inputs!$F$23))+Operations!$F$444)/100</f>
        <v>0.018</v>
      </c>
      <c r="AD766" s="14" t="n">
        <f aca="false">(IF(Time!AD$4&gt;=Inputs!$F$61,Inputs!$F$69,Inputs!$F$68+(Inputs!$F$69-Inputs!$F$68)*(Time!AD$4-Inputs!$F$23)/(Inputs!$F$61-Inputs!$F$23))+Operations!$F$444)/100</f>
        <v>0.018</v>
      </c>
      <c r="AE766" s="14" t="n">
        <f aca="false">(IF(Time!AE$4&gt;=Inputs!$F$61,Inputs!$F$69,Inputs!$F$68+(Inputs!$F$69-Inputs!$F$68)*(Time!AE$4-Inputs!$F$23)/(Inputs!$F$61-Inputs!$F$23))+Operations!$F$444)/100</f>
        <v>0.018</v>
      </c>
      <c r="AF766" s="14" t="n">
        <f aca="false">(IF(Time!AF$4&gt;=Inputs!$F$61,Inputs!$F$69,Inputs!$F$68+(Inputs!$F$69-Inputs!$F$68)*(Time!AF$4-Inputs!$F$23)/(Inputs!$F$61-Inputs!$F$23))+Operations!$F$444)/100</f>
        <v>0.018</v>
      </c>
      <c r="AG766" s="14" t="n">
        <f aca="false">(IF(Time!AG$4&gt;=Inputs!$F$61,Inputs!$F$69,Inputs!$F$68+(Inputs!$F$69-Inputs!$F$68)*(Time!AG$4-Inputs!$F$23)/(Inputs!$F$61-Inputs!$F$23))+Operations!$F$444)/100</f>
        <v>0.018</v>
      </c>
      <c r="AH766" s="14" t="n">
        <f aca="false">(IF(Time!AH$4&gt;=Inputs!$F$61,Inputs!$F$69,Inputs!$F$68+(Inputs!$F$69-Inputs!$F$68)*(Time!AH$4-Inputs!$F$23)/(Inputs!$F$61-Inputs!$F$23))+Operations!$F$444)/100</f>
        <v>0.018</v>
      </c>
      <c r="AI766" s="14" t="n">
        <f aca="false">(IF(Time!AI$4&gt;=Inputs!$F$61,Inputs!$F$69,Inputs!$F$68+(Inputs!$F$69-Inputs!$F$68)*(Time!AI$4-Inputs!$F$23)/(Inputs!$F$61-Inputs!$F$23))+Operations!$F$444)/100</f>
        <v>0.018</v>
      </c>
      <c r="AJ766" s="14" t="n">
        <f aca="false">(IF(Time!AJ$4&gt;=Inputs!$F$61,Inputs!$F$69,Inputs!$F$68+(Inputs!$F$69-Inputs!$F$68)*(Time!AJ$4-Inputs!$F$23)/(Inputs!$F$61-Inputs!$F$23))+Operations!$F$444)/100</f>
        <v>0.018</v>
      </c>
      <c r="AK766" s="14" t="n">
        <f aca="false">(IF(Time!AK$4&gt;=Inputs!$F$61,Inputs!$F$69,Inputs!$F$68+(Inputs!$F$69-Inputs!$F$68)*(Time!AK$4-Inputs!$F$23)/(Inputs!$F$61-Inputs!$F$23))+Operations!$F$444)/100</f>
        <v>0.018</v>
      </c>
      <c r="AL766" s="14" t="n">
        <f aca="false">(IF(Time!AL$4&gt;=Inputs!$F$61,Inputs!$F$69,Inputs!$F$68+(Inputs!$F$69-Inputs!$F$68)*(Time!AL$4-Inputs!$F$23)/(Inputs!$F$61-Inputs!$F$23))+Operations!$F$444)/100</f>
        <v>0.018</v>
      </c>
      <c r="AM766" s="14" t="n">
        <f aca="false">(IF(Time!AM$4&gt;=Inputs!$F$61,Inputs!$F$69,Inputs!$F$68+(Inputs!$F$69-Inputs!$F$68)*(Time!AM$4-Inputs!$F$23)/(Inputs!$F$61-Inputs!$F$23))+Operations!$F$444)/100</f>
        <v>0.018</v>
      </c>
      <c r="AN766" s="14" t="n">
        <f aca="false">(IF(Time!AN$4&gt;=Inputs!$F$61,Inputs!$F$69,Inputs!$F$68+(Inputs!$F$69-Inputs!$F$68)*(Time!AN$4-Inputs!$F$23)/(Inputs!$F$61-Inputs!$F$23))+Operations!$F$444)/100</f>
        <v>0.018</v>
      </c>
      <c r="AO766" s="14" t="n">
        <f aca="false">(IF(Time!AO$4&gt;=Inputs!$F$61,Inputs!$F$69,Inputs!$F$68+(Inputs!$F$69-Inputs!$F$68)*(Time!AO$4-Inputs!$F$23)/(Inputs!$F$61-Inputs!$F$23))+Operations!$F$444)/100</f>
        <v>0.018</v>
      </c>
      <c r="AP766" s="14" t="n">
        <f aca="false">(IF(Time!AP$4&gt;=Inputs!$F$61,Inputs!$F$69,Inputs!$F$68+(Inputs!$F$69-Inputs!$F$68)*(Time!AP$4-Inputs!$F$23)/(Inputs!$F$61-Inputs!$F$23))+Operations!$F$444)/100</f>
        <v>0.018</v>
      </c>
      <c r="AQ766" s="14" t="n">
        <f aca="false">(IF(Time!AQ$4&gt;=Inputs!$F$61,Inputs!$F$69,Inputs!$F$68+(Inputs!$F$69-Inputs!$F$68)*(Time!AQ$4-Inputs!$F$23)/(Inputs!$F$61-Inputs!$F$23))+Operations!$F$444)/100</f>
        <v>0.018</v>
      </c>
      <c r="AR766" s="14" t="n">
        <f aca="false">(IF(Time!AR$4&gt;=Inputs!$F$61,Inputs!$F$69,Inputs!$F$68+(Inputs!$F$69-Inputs!$F$68)*(Time!AR$4-Inputs!$F$23)/(Inputs!$F$61-Inputs!$F$23))+Operations!$F$444)/100</f>
        <v>0.018</v>
      </c>
      <c r="AS766" s="14" t="n">
        <f aca="false">(IF(Time!AS$4&gt;=Inputs!$F$61,Inputs!$F$69,Inputs!$F$68+(Inputs!$F$69-Inputs!$F$68)*(Time!AS$4-Inputs!$F$23)/(Inputs!$F$61-Inputs!$F$23))+Operations!$F$444)/100</f>
        <v>0.018</v>
      </c>
      <c r="AT766" s="14" t="n">
        <f aca="false">(IF(Time!AT$4&gt;=Inputs!$F$61,Inputs!$F$69,Inputs!$F$68+(Inputs!$F$69-Inputs!$F$68)*(Time!AT$4-Inputs!$F$23)/(Inputs!$F$61-Inputs!$F$23))+Operations!$F$444)/100</f>
        <v>0.018</v>
      </c>
      <c r="AU766" s="14" t="n">
        <f aca="false">(IF(Time!AU$4&gt;=Inputs!$F$61,Inputs!$F$69,Inputs!$F$68+(Inputs!$F$69-Inputs!$F$68)*(Time!AU$4-Inputs!$F$23)/(Inputs!$F$61-Inputs!$F$23))+Operations!$F$444)/100</f>
        <v>0.018</v>
      </c>
    </row>
    <row r="767" customFormat="false" ht="15" hidden="false" customHeight="false" outlineLevel="0" collapsed="false">
      <c r="D767" s="0" t="s">
        <v>766</v>
      </c>
      <c r="E767" s="0" t="s">
        <v>466</v>
      </c>
      <c r="J767" s="20" t="n">
        <f aca="false">Inputs!$F$175*Operations!J764*Inputs!$F$192/100*Operations!J765*(1-Operations!J766)</f>
        <v>284.8782</v>
      </c>
      <c r="K767" s="20" t="n">
        <f aca="false">Inputs!$F$175*Operations!K764*Inputs!$F$192/100*Operations!K765*(1-Operations!K766)</f>
        <v>284.8782</v>
      </c>
      <c r="L767" s="20" t="n">
        <f aca="false">Inputs!$F$175*Operations!L764*Inputs!$F$192/100*Operations!L765*(1-Operations!L766)</f>
        <v>284.8782</v>
      </c>
      <c r="M767" s="20" t="n">
        <f aca="false">Inputs!$F$175*Operations!M764*Inputs!$F$192/100*Operations!M765*(1-Operations!M766)</f>
        <v>284.8782</v>
      </c>
      <c r="N767" s="20" t="n">
        <f aca="false">Inputs!$F$175*Operations!N764*Inputs!$F$192/100*Operations!N765*(1-Operations!N766)</f>
        <v>283.7386872</v>
      </c>
      <c r="O767" s="20" t="n">
        <f aca="false">Inputs!$F$175*Operations!O764*Inputs!$F$192/100*Operations!O765*(1-Operations!O766)</f>
        <v>282.6037324512</v>
      </c>
      <c r="P767" s="20" t="n">
        <f aca="false">Inputs!$F$175*Operations!P764*Inputs!$F$192/100*Operations!P765*(1-Operations!P766)</f>
        <v>281.473317521395</v>
      </c>
      <c r="Q767" s="20" t="n">
        <f aca="false">Inputs!$F$175*Operations!Q764*Inputs!$F$192/100*Operations!Q765*(1-Operations!Q766)</f>
        <v>280.34742425131</v>
      </c>
      <c r="R767" s="20" t="n">
        <f aca="false">Inputs!$F$175*Operations!R764*Inputs!$F$192/100*Operations!R765*(1-Operations!R766)</f>
        <v>279.226034554304</v>
      </c>
      <c r="S767" s="20" t="n">
        <f aca="false">Inputs!$F$175*Operations!S764*Inputs!$F$192/100*Operations!S765*(1-Operations!S766)</f>
        <v>278.109130416087</v>
      </c>
      <c r="T767" s="20" t="n">
        <f aca="false">Inputs!$F$175*Operations!T764*Inputs!$F$192/100*Operations!T765*(1-Operations!T766)</f>
        <v>276.996693894423</v>
      </c>
      <c r="U767" s="20" t="n">
        <f aca="false">Inputs!$F$175*Operations!U764*Inputs!$F$192/100*Operations!U765*(1-Operations!U766)</f>
        <v>275.888707118845</v>
      </c>
      <c r="V767" s="20" t="n">
        <f aca="false">Inputs!$F$175*Operations!V764*Inputs!$F$192/100*Operations!V765*(1-Operations!V766)</f>
        <v>274.78515229037</v>
      </c>
      <c r="W767" s="20" t="n">
        <f aca="false">Inputs!$F$175*Operations!W764*Inputs!$F$192/100*Operations!W765*(1-Operations!W766)</f>
        <v>273.686011681208</v>
      </c>
      <c r="X767" s="20" t="n">
        <f aca="false">Inputs!$F$175*Operations!X764*Inputs!$F$192/100*Operations!X765*(1-Operations!X766)</f>
        <v>272.591267634483</v>
      </c>
      <c r="Y767" s="20" t="n">
        <f aca="false">Inputs!$F$175*Operations!Y764*Inputs!$F$192/100*Operations!Y765*(1-Operations!Y766)</f>
        <v>271.500902563946</v>
      </c>
      <c r="Z767" s="20" t="n">
        <f aca="false">Inputs!$F$175*Operations!Z764*Inputs!$F$192/100*Operations!Z765*(1-Operations!Z766)</f>
        <v>270.41489895369</v>
      </c>
      <c r="AA767" s="20" t="n">
        <f aca="false">Inputs!$F$175*Operations!AA764*Inputs!$F$192/100*Operations!AA765*(1-Operations!AA766)</f>
        <v>269.333239357875</v>
      </c>
      <c r="AB767" s="20" t="n">
        <f aca="false">Inputs!$F$175*Operations!AB764*Inputs!$F$192/100*Operations!AB765*(1-Operations!AB766)</f>
        <v>268.255906400443</v>
      </c>
      <c r="AC767" s="20" t="n">
        <f aca="false">Inputs!$F$175*Operations!AC764*Inputs!$F$192/100*Operations!AC765*(1-Operations!AC766)</f>
        <v>267.182882774842</v>
      </c>
      <c r="AD767" s="20" t="n">
        <f aca="false">Inputs!$F$175*Operations!AD764*Inputs!$F$192/100*Operations!AD765*(1-Operations!AD766)</f>
        <v>266.114151243742</v>
      </c>
      <c r="AE767" s="20" t="n">
        <f aca="false">Inputs!$F$175*Operations!AE764*Inputs!$F$192/100*Operations!AE765*(1-Operations!AE766)</f>
        <v>265.049694638767</v>
      </c>
      <c r="AF767" s="20" t="n">
        <f aca="false">Inputs!$F$175*Operations!AF764*Inputs!$F$192/100*Operations!AF765*(1-Operations!AF766)</f>
        <v>263.989495860212</v>
      </c>
      <c r="AG767" s="20" t="n">
        <f aca="false">Inputs!$F$175*Operations!AG764*Inputs!$F$192/100*Operations!AG765*(1-Operations!AG766)</f>
        <v>262.933537876771</v>
      </c>
      <c r="AH767" s="20" t="n">
        <f aca="false">Inputs!$F$175*Operations!AH764*Inputs!$F$192/100*Operations!AH765*(1-Operations!AH766)</f>
        <v>261.881803725264</v>
      </c>
      <c r="AI767" s="20" t="n">
        <f aca="false">Inputs!$F$175*Operations!AI764*Inputs!$F$192/100*Operations!AI765*(1-Operations!AI766)</f>
        <v>260.834276510363</v>
      </c>
      <c r="AJ767" s="20" t="n">
        <f aca="false">Inputs!$F$175*Operations!AJ764*Inputs!$F$192/100*Operations!AJ765*(1-Operations!AJ766)</f>
        <v>259.790939404322</v>
      </c>
      <c r="AK767" s="20" t="n">
        <f aca="false">Inputs!$F$175*Operations!AK764*Inputs!$F$192/100*Operations!AK765*(1-Operations!AK766)</f>
        <v>258.751775646705</v>
      </c>
      <c r="AL767" s="20" t="n">
        <f aca="false">Inputs!$F$175*Operations!AL764*Inputs!$F$192/100*Operations!AL765*(1-Operations!AL766)</f>
        <v>257.716768544118</v>
      </c>
      <c r="AM767" s="20" t="n">
        <f aca="false">Inputs!$F$175*Operations!AM764*Inputs!$F$192/100*Operations!AM765*(1-Operations!AM766)</f>
        <v>256.685901469941</v>
      </c>
      <c r="AN767" s="20" t="n">
        <f aca="false">Inputs!$F$175*Operations!AN764*Inputs!$F$192/100*Operations!AN765*(1-Operations!AN766)</f>
        <v>255.659157864061</v>
      </c>
      <c r="AO767" s="20" t="n">
        <f aca="false">Inputs!$F$175*Operations!AO764*Inputs!$F$192/100*Operations!AO765*(1-Operations!AO766)</f>
        <v>254.636521232605</v>
      </c>
      <c r="AP767" s="20" t="n">
        <f aca="false">Inputs!$F$175*Operations!AP764*Inputs!$F$192/100*Operations!AP765*(1-Operations!AP766)</f>
        <v>253.617975147675</v>
      </c>
      <c r="AQ767" s="20" t="n">
        <f aca="false">Inputs!$F$175*Operations!AQ764*Inputs!$F$192/100*Operations!AQ765*(1-Operations!AQ766)</f>
        <v>252.603503247084</v>
      </c>
      <c r="AR767" s="20" t="n">
        <f aca="false">Inputs!$F$175*Operations!AR764*Inputs!$F$192/100*Operations!AR765*(1-Operations!AR766)</f>
        <v>251.593089234096</v>
      </c>
      <c r="AS767" s="20" t="n">
        <f aca="false">Inputs!$F$175*Operations!AS764*Inputs!$F$192/100*Operations!AS765*(1-Operations!AS766)</f>
        <v>250.586716877159</v>
      </c>
      <c r="AT767" s="20" t="n">
        <f aca="false">Inputs!$F$175*Operations!AT764*Inputs!$F$192/100*Operations!AT765*(1-Operations!AT766)</f>
        <v>249.584370009651</v>
      </c>
      <c r="AU767" s="20" t="n">
        <f aca="false">Inputs!$F$175*Operations!AU764*Inputs!$F$192/100*Operations!AU765*(1-Operations!AU766)</f>
        <v>248.586032529612</v>
      </c>
    </row>
    <row r="768" customFormat="false" ht="15" hidden="false" customHeight="false" outlineLevel="0" collapsed="false">
      <c r="D768" s="0" t="s">
        <v>767</v>
      </c>
      <c r="E768" s="0" t="s">
        <v>466</v>
      </c>
      <c r="G768" s="20" t="n">
        <f aca="false">SUM(J768:AU768)</f>
        <v>9330.96816897903</v>
      </c>
      <c r="J768" s="20" t="n">
        <f aca="false">Operations!J767*Operations!J760</f>
        <v>0</v>
      </c>
      <c r="K768" s="20" t="n">
        <f aca="false">Operations!K767*Operations!K760</f>
        <v>0</v>
      </c>
      <c r="L768" s="20" t="n">
        <f aca="false">Operations!L767*Operations!L760</f>
        <v>9.34026885245902</v>
      </c>
      <c r="M768" s="20" t="n">
        <f aca="false">Operations!M767*Operations!M760</f>
        <v>284.8782</v>
      </c>
      <c r="N768" s="20" t="n">
        <f aca="false">Operations!N767*Operations!N760</f>
        <v>283.7386872</v>
      </c>
      <c r="O768" s="20" t="n">
        <f aca="false">Operations!O767*Operations!O760</f>
        <v>282.6037324512</v>
      </c>
      <c r="P768" s="20" t="n">
        <f aca="false">Operations!P767*Operations!P760</f>
        <v>281.473317521395</v>
      </c>
      <c r="Q768" s="20" t="n">
        <f aca="false">Operations!Q767*Operations!Q760</f>
        <v>280.34742425131</v>
      </c>
      <c r="R768" s="20" t="n">
        <f aca="false">Operations!R767*Operations!R760</f>
        <v>279.226034554304</v>
      </c>
      <c r="S768" s="20" t="n">
        <f aca="false">Operations!S767*Operations!S760</f>
        <v>278.109130416087</v>
      </c>
      <c r="T768" s="20" t="n">
        <f aca="false">Operations!T767*Operations!T760</f>
        <v>276.996693894423</v>
      </c>
      <c r="U768" s="20" t="n">
        <f aca="false">Operations!U767*Operations!U760</f>
        <v>275.888707118845</v>
      </c>
      <c r="V768" s="20" t="n">
        <f aca="false">Operations!V767*Operations!V760</f>
        <v>274.78515229037</v>
      </c>
      <c r="W768" s="20" t="n">
        <f aca="false">Operations!W767*Operations!W760</f>
        <v>273.686011681208</v>
      </c>
      <c r="X768" s="20" t="n">
        <f aca="false">Operations!X767*Operations!X760</f>
        <v>272.591267634483</v>
      </c>
      <c r="Y768" s="20" t="n">
        <f aca="false">Operations!Y767*Operations!Y760</f>
        <v>271.500902563946</v>
      </c>
      <c r="Z768" s="20" t="n">
        <f aca="false">Operations!Z767*Operations!Z760</f>
        <v>270.41489895369</v>
      </c>
      <c r="AA768" s="20" t="n">
        <f aca="false">Operations!AA767*Operations!AA760</f>
        <v>269.333239357875</v>
      </c>
      <c r="AB768" s="20" t="n">
        <f aca="false">Operations!AB767*Operations!AB760</f>
        <v>268.255906400443</v>
      </c>
      <c r="AC768" s="20" t="n">
        <f aca="false">Operations!AC767*Operations!AC760</f>
        <v>267.182882774842</v>
      </c>
      <c r="AD768" s="20" t="n">
        <f aca="false">Operations!AD767*Operations!AD760</f>
        <v>266.114151243742</v>
      </c>
      <c r="AE768" s="20" t="n">
        <f aca="false">Operations!AE767*Operations!AE760</f>
        <v>265.049694638767</v>
      </c>
      <c r="AF768" s="20" t="n">
        <f aca="false">Operations!AF767*Operations!AF760</f>
        <v>263.989495860212</v>
      </c>
      <c r="AG768" s="20" t="n">
        <f aca="false">Operations!AG767*Operations!AG760</f>
        <v>262.933537876771</v>
      </c>
      <c r="AH768" s="20" t="n">
        <f aca="false">Operations!AH767*Operations!AH760</f>
        <v>261.881803725264</v>
      </c>
      <c r="AI768" s="20" t="n">
        <f aca="false">Operations!AI767*Operations!AI760</f>
        <v>260.834276510363</v>
      </c>
      <c r="AJ768" s="20" t="n">
        <f aca="false">Operations!AJ767*Operations!AJ760</f>
        <v>259.790939404322</v>
      </c>
      <c r="AK768" s="20" t="n">
        <f aca="false">Operations!AK767*Operations!AK760</f>
        <v>258.751775646705</v>
      </c>
      <c r="AL768" s="20" t="n">
        <f aca="false">Operations!AL767*Operations!AL760</f>
        <v>257.716768544118</v>
      </c>
      <c r="AM768" s="20" t="n">
        <f aca="false">Operations!AM767*Operations!AM760</f>
        <v>256.685901469941</v>
      </c>
      <c r="AN768" s="20" t="n">
        <f aca="false">Operations!AN767*Operations!AN760</f>
        <v>255.659157864061</v>
      </c>
      <c r="AO768" s="20" t="n">
        <f aca="false">Operations!AO767*Operations!AO760</f>
        <v>254.636521232605</v>
      </c>
      <c r="AP768" s="20" t="n">
        <f aca="false">Operations!AP767*Operations!AP760</f>
        <v>253.617975147675</v>
      </c>
      <c r="AQ768" s="20" t="n">
        <f aca="false">Operations!AQ767*Operations!AQ760</f>
        <v>252.603503247084</v>
      </c>
      <c r="AR768" s="20" t="n">
        <f aca="false">Operations!AR767*Operations!AR760</f>
        <v>251.593089234096</v>
      </c>
      <c r="AS768" s="20" t="n">
        <f aca="false">Operations!AS767*Operations!AS760</f>
        <v>250.586716877159</v>
      </c>
      <c r="AT768" s="20" t="n">
        <f aca="false">Operations!AT767*Operations!AT760</f>
        <v>249.584370009651</v>
      </c>
      <c r="AU768" s="20" t="n">
        <f aca="false">Operations!AU767*Operations!AU760</f>
        <v>248.586032529612</v>
      </c>
    </row>
    <row r="769" customFormat="false" ht="15" hidden="false" customHeight="false" outlineLevel="0" collapsed="false">
      <c r="D769" s="0" t="s">
        <v>768</v>
      </c>
      <c r="E769" s="0" t="s">
        <v>54</v>
      </c>
      <c r="J769" s="14" t="n">
        <f aca="false">Operations!J455</f>
        <v>0.9</v>
      </c>
      <c r="K769" s="14" t="n">
        <f aca="false">Operations!K455</f>
        <v>0.882</v>
      </c>
      <c r="L769" s="14" t="n">
        <f aca="false">Operations!L455</f>
        <v>0.864</v>
      </c>
      <c r="M769" s="14" t="n">
        <f aca="false">Operations!M455</f>
        <v>0.846</v>
      </c>
      <c r="N769" s="14" t="n">
        <f aca="false">Operations!N455</f>
        <v>0.828</v>
      </c>
      <c r="O769" s="14" t="n">
        <f aca="false">Operations!O455</f>
        <v>0.81</v>
      </c>
      <c r="P769" s="14" t="n">
        <f aca="false">Operations!P455</f>
        <v>0.792</v>
      </c>
      <c r="Q769" s="14" t="n">
        <f aca="false">Operations!Q455</f>
        <v>0.774</v>
      </c>
      <c r="R769" s="14" t="n">
        <f aca="false">Operations!R455</f>
        <v>0.756</v>
      </c>
      <c r="S769" s="14" t="n">
        <f aca="false">Operations!S455</f>
        <v>0.738</v>
      </c>
      <c r="T769" s="14" t="n">
        <f aca="false">Operations!T455</f>
        <v>0.72</v>
      </c>
      <c r="U769" s="14" t="n">
        <f aca="false">Operations!U455</f>
        <v>0.702</v>
      </c>
      <c r="V769" s="14" t="n">
        <f aca="false">Operations!V455</f>
        <v>0.684</v>
      </c>
      <c r="W769" s="14" t="n">
        <f aca="false">Operations!W455</f>
        <v>0.666</v>
      </c>
      <c r="X769" s="14" t="n">
        <f aca="false">Operations!X455</f>
        <v>0.648</v>
      </c>
      <c r="Y769" s="14" t="n">
        <f aca="false">Operations!Y455</f>
        <v>0.64</v>
      </c>
      <c r="Z769" s="14" t="n">
        <f aca="false">Operations!Z455</f>
        <v>0.64</v>
      </c>
      <c r="AA769" s="14" t="n">
        <f aca="false">Operations!AA455</f>
        <v>0.64</v>
      </c>
      <c r="AB769" s="14" t="n">
        <f aca="false">Operations!AB455</f>
        <v>0.64</v>
      </c>
      <c r="AC769" s="14" t="n">
        <f aca="false">Operations!AC455</f>
        <v>0.64</v>
      </c>
      <c r="AD769" s="14" t="n">
        <f aca="false">Operations!AD455</f>
        <v>0.64</v>
      </c>
      <c r="AE769" s="14" t="n">
        <f aca="false">Operations!AE455</f>
        <v>0.64</v>
      </c>
      <c r="AF769" s="14" t="n">
        <f aca="false">Operations!AF455</f>
        <v>0.64</v>
      </c>
      <c r="AG769" s="14" t="n">
        <f aca="false">Operations!AG455</f>
        <v>0.64</v>
      </c>
      <c r="AH769" s="14" t="n">
        <f aca="false">Operations!AH455</f>
        <v>0.64</v>
      </c>
      <c r="AI769" s="14" t="n">
        <f aca="false">Operations!AI455</f>
        <v>0.64</v>
      </c>
      <c r="AJ769" s="14" t="n">
        <f aca="false">Operations!AJ455</f>
        <v>0.64</v>
      </c>
      <c r="AK769" s="14" t="n">
        <f aca="false">Operations!AK455</f>
        <v>0.64</v>
      </c>
      <c r="AL769" s="14" t="n">
        <f aca="false">Operations!AL455</f>
        <v>0.64</v>
      </c>
      <c r="AM769" s="14" t="n">
        <f aca="false">Operations!AM455</f>
        <v>0.64</v>
      </c>
      <c r="AN769" s="14" t="n">
        <f aca="false">Operations!AN455</f>
        <v>0.64</v>
      </c>
      <c r="AO769" s="14" t="n">
        <f aca="false">Operations!AO455</f>
        <v>0.64</v>
      </c>
      <c r="AP769" s="14" t="n">
        <f aca="false">Operations!AP455</f>
        <v>0.64</v>
      </c>
      <c r="AQ769" s="14" t="n">
        <f aca="false">Operations!AQ455</f>
        <v>0.64</v>
      </c>
      <c r="AR769" s="14" t="n">
        <f aca="false">Operations!AR455</f>
        <v>0.64</v>
      </c>
      <c r="AS769" s="14" t="n">
        <f aca="false">Operations!AS455</f>
        <v>0.64</v>
      </c>
      <c r="AT769" s="14" t="n">
        <f aca="false">Operations!AT455</f>
        <v>0.64</v>
      </c>
      <c r="AU769" s="14" t="n">
        <f aca="false">Operations!AU455</f>
        <v>0.64</v>
      </c>
    </row>
    <row r="770" customFormat="false" ht="15" hidden="false" customHeight="false" outlineLevel="0" collapsed="false">
      <c r="D770" s="0" t="s">
        <v>769</v>
      </c>
      <c r="E770" s="0" t="s">
        <v>54</v>
      </c>
      <c r="J770" s="14" t="n">
        <f aca="false">Operations!J769-Inputs!$F$56</f>
        <v>0.88</v>
      </c>
      <c r="K770" s="14" t="n">
        <f aca="false">Operations!K769-Inputs!$F$56</f>
        <v>0.862</v>
      </c>
      <c r="L770" s="14" t="n">
        <f aca="false">Operations!L769-Inputs!$F$56</f>
        <v>0.844</v>
      </c>
      <c r="M770" s="14" t="n">
        <f aca="false">Operations!M769-Inputs!$F$56</f>
        <v>0.826</v>
      </c>
      <c r="N770" s="14" t="n">
        <f aca="false">Operations!N769-Inputs!$F$56</f>
        <v>0.808</v>
      </c>
      <c r="O770" s="14" t="n">
        <f aca="false">Operations!O769-Inputs!$F$56</f>
        <v>0.79</v>
      </c>
      <c r="P770" s="14" t="n">
        <f aca="false">Operations!P769-Inputs!$F$56</f>
        <v>0.772</v>
      </c>
      <c r="Q770" s="14" t="n">
        <f aca="false">Operations!Q769-Inputs!$F$56</f>
        <v>0.754</v>
      </c>
      <c r="R770" s="14" t="n">
        <f aca="false">Operations!R769-Inputs!$F$56</f>
        <v>0.736</v>
      </c>
      <c r="S770" s="14" t="n">
        <f aca="false">Operations!S769-Inputs!$F$56</f>
        <v>0.718</v>
      </c>
      <c r="T770" s="14" t="n">
        <f aca="false">Operations!T769-Inputs!$F$56</f>
        <v>0.7</v>
      </c>
      <c r="U770" s="14" t="n">
        <f aca="false">Operations!U769-Inputs!$F$56</f>
        <v>0.682</v>
      </c>
      <c r="V770" s="14" t="n">
        <f aca="false">Operations!V769-Inputs!$F$56</f>
        <v>0.664</v>
      </c>
      <c r="W770" s="14" t="n">
        <f aca="false">Operations!W769-Inputs!$F$56</f>
        <v>0.646</v>
      </c>
      <c r="X770" s="14" t="n">
        <f aca="false">Operations!X769-Inputs!$F$56</f>
        <v>0.628</v>
      </c>
      <c r="Y770" s="14" t="n">
        <f aca="false">Operations!Y769-Inputs!$F$56</f>
        <v>0.62</v>
      </c>
      <c r="Z770" s="14" t="n">
        <f aca="false">Operations!Z769-Inputs!$F$56</f>
        <v>0.62</v>
      </c>
      <c r="AA770" s="14" t="n">
        <f aca="false">Operations!AA769-Inputs!$F$56</f>
        <v>0.62</v>
      </c>
      <c r="AB770" s="14" t="n">
        <f aca="false">Operations!AB769-Inputs!$F$56</f>
        <v>0.62</v>
      </c>
      <c r="AC770" s="14" t="n">
        <f aca="false">Operations!AC769-Inputs!$F$56</f>
        <v>0.62</v>
      </c>
      <c r="AD770" s="14" t="n">
        <f aca="false">Operations!AD769-Inputs!$F$56</f>
        <v>0.62</v>
      </c>
      <c r="AE770" s="14" t="n">
        <f aca="false">Operations!AE769-Inputs!$F$56</f>
        <v>0.62</v>
      </c>
      <c r="AF770" s="14" t="n">
        <f aca="false">Operations!AF769-Inputs!$F$56</f>
        <v>0.62</v>
      </c>
      <c r="AG770" s="14" t="n">
        <f aca="false">Operations!AG769-Inputs!$F$56</f>
        <v>0.62</v>
      </c>
      <c r="AH770" s="14" t="n">
        <f aca="false">Operations!AH769-Inputs!$F$56</f>
        <v>0.62</v>
      </c>
      <c r="AI770" s="14" t="n">
        <f aca="false">Operations!AI769-Inputs!$F$56</f>
        <v>0.62</v>
      </c>
      <c r="AJ770" s="14" t="n">
        <f aca="false">Operations!AJ769-Inputs!$F$56</f>
        <v>0.62</v>
      </c>
      <c r="AK770" s="14" t="n">
        <f aca="false">Operations!AK769-Inputs!$F$56</f>
        <v>0.62</v>
      </c>
      <c r="AL770" s="14" t="n">
        <f aca="false">Operations!AL769-Inputs!$F$56</f>
        <v>0.62</v>
      </c>
      <c r="AM770" s="14" t="n">
        <f aca="false">Operations!AM769-Inputs!$F$56</f>
        <v>0.62</v>
      </c>
      <c r="AN770" s="14" t="n">
        <f aca="false">Operations!AN769-Inputs!$F$56</f>
        <v>0.62</v>
      </c>
      <c r="AO770" s="14" t="n">
        <f aca="false">Operations!AO769-Inputs!$F$56</f>
        <v>0.62</v>
      </c>
      <c r="AP770" s="14" t="n">
        <f aca="false">Operations!AP769-Inputs!$F$56</f>
        <v>0.62</v>
      </c>
      <c r="AQ770" s="14" t="n">
        <f aca="false">Operations!AQ769-Inputs!$F$56</f>
        <v>0.62</v>
      </c>
      <c r="AR770" s="14" t="n">
        <f aca="false">Operations!AR769-Inputs!$F$56</f>
        <v>0.62</v>
      </c>
      <c r="AS770" s="14" t="n">
        <f aca="false">Operations!AS769-Inputs!$F$56</f>
        <v>0.62</v>
      </c>
      <c r="AT770" s="14" t="n">
        <f aca="false">Operations!AT769-Inputs!$F$56</f>
        <v>0.62</v>
      </c>
      <c r="AU770" s="14" t="n">
        <f aca="false">Operations!AU769-Inputs!$F$56</f>
        <v>0.62</v>
      </c>
    </row>
    <row r="771" customFormat="false" ht="15" hidden="false" customHeight="false" outlineLevel="0" collapsed="false">
      <c r="D771" s="0" t="s">
        <v>770</v>
      </c>
      <c r="E771" s="0" t="s">
        <v>96</v>
      </c>
      <c r="J771" s="18" t="n">
        <f aca="false">Operations!J763*Operations!J770</f>
        <v>65.057168</v>
      </c>
      <c r="K771" s="18" t="n">
        <f aca="false">Operations!K763*Operations!K770</f>
        <v>52.2796104</v>
      </c>
      <c r="L771" s="18" t="n">
        <f aca="false">Operations!L763*Operations!L770</f>
        <v>25.1757604</v>
      </c>
      <c r="M771" s="18" t="n">
        <f aca="false">Operations!M763*Operations!M770</f>
        <v>32.5789268</v>
      </c>
      <c r="N771" s="18" t="n">
        <f aca="false">Operations!N763*Operations!N770</f>
        <v>35.7124688</v>
      </c>
      <c r="O771" s="18" t="n">
        <f aca="false">Operations!O763*Operations!O770</f>
        <v>37.030697</v>
      </c>
      <c r="P771" s="18" t="n">
        <f aca="false">Operations!P763*Operations!P770</f>
        <v>37.5640532</v>
      </c>
      <c r="Q771" s="18" t="n">
        <f aca="false">Operations!Q763*Operations!Q770</f>
        <v>37.6595856</v>
      </c>
      <c r="R771" s="18" t="n">
        <f aca="false">Operations!R763*Operations!R770</f>
        <v>37.7816768</v>
      </c>
      <c r="S771" s="18" t="n">
        <f aca="false">Operations!S763*Operations!S770</f>
        <v>37.59766792</v>
      </c>
      <c r="T771" s="18" t="n">
        <f aca="false">Operations!T763*Operations!T770</f>
        <v>37.39043</v>
      </c>
      <c r="U771" s="18" t="n">
        <f aca="false">Operations!U763*Operations!U770</f>
        <v>37.15889276</v>
      </c>
      <c r="V771" s="18" t="n">
        <f aca="false">Operations!V763*Operations!V770</f>
        <v>36.90198592</v>
      </c>
      <c r="W771" s="18" t="n">
        <f aca="false">Operations!W763*Operations!W770</f>
        <v>36.6186392</v>
      </c>
      <c r="X771" s="18" t="n">
        <f aca="false">Operations!X763*Operations!X770</f>
        <v>36.30778232</v>
      </c>
      <c r="Y771" s="18" t="n">
        <f aca="false">Operations!Y763*Operations!Y770</f>
        <v>36.5641342</v>
      </c>
      <c r="Z771" s="18" t="n">
        <f aca="false">Operations!Z763*Operations!Z770</f>
        <v>37.295294</v>
      </c>
      <c r="AA771" s="18" t="n">
        <f aca="false">Operations!AA763*Operations!AA770</f>
        <v>38.0387422</v>
      </c>
      <c r="AB771" s="18" t="n">
        <f aca="false">Operations!AB763*Operations!AB770</f>
        <v>38.800623</v>
      </c>
      <c r="AC771" s="18" t="n">
        <f aca="false">Operations!AC763*Operations!AC770</f>
        <v>39.5747922</v>
      </c>
      <c r="AD771" s="18" t="n">
        <f aca="false">Operations!AD763*Operations!AD770</f>
        <v>40.367394</v>
      </c>
      <c r="AE771" s="18" t="n">
        <f aca="false">Operations!AE763*Operations!AE770</f>
        <v>41.1722842</v>
      </c>
      <c r="AF771" s="18" t="n">
        <f aca="false">Operations!AF763*Operations!AF770</f>
        <v>41.995607</v>
      </c>
      <c r="AG771" s="18" t="n">
        <f aca="false">Operations!AG763*Operations!AG770</f>
        <v>42.8373624</v>
      </c>
      <c r="AH771" s="18" t="n">
        <f aca="false">Operations!AH763*Operations!AH770</f>
        <v>43.6914062</v>
      </c>
      <c r="AI771" s="18" t="n">
        <f aca="false">Operations!AI763*Operations!AI770</f>
        <v>44.5638826</v>
      </c>
      <c r="AJ771" s="18" t="n">
        <f aca="false">Operations!AJ763*Operations!AJ770</f>
        <v>45.4547916</v>
      </c>
      <c r="AK771" s="18" t="n">
        <f aca="false">Operations!AK763*Operations!AK770</f>
        <v>46.3641332</v>
      </c>
      <c r="AL771" s="18" t="n">
        <f aca="false">Operations!AL763*Operations!AL770</f>
        <v>47.2919074</v>
      </c>
      <c r="AM771" s="18" t="n">
        <f aca="false">Operations!AM763*Operations!AM770</f>
        <v>48.2381142</v>
      </c>
      <c r="AN771" s="18" t="n">
        <f aca="false">Operations!AN763*Operations!AN770</f>
        <v>49.2027536</v>
      </c>
      <c r="AO771" s="18" t="n">
        <f aca="false">Operations!AO763*Operations!AO770</f>
        <v>50.1858256</v>
      </c>
      <c r="AP771" s="18" t="n">
        <f aca="false">Operations!AP763*Operations!AP770</f>
        <v>51.1873302</v>
      </c>
      <c r="AQ771" s="18" t="n">
        <f aca="false">Operations!AQ763*Operations!AQ770</f>
        <v>52.2134116</v>
      </c>
      <c r="AR771" s="18" t="n">
        <f aca="false">Operations!AR763*Operations!AR770</f>
        <v>53.2579256</v>
      </c>
      <c r="AS771" s="18" t="n">
        <f aca="false">Operations!AS763*Operations!AS770</f>
        <v>54.3208722</v>
      </c>
      <c r="AT771" s="18" t="n">
        <f aca="false">Operations!AT763*Operations!AT770</f>
        <v>55.4083956</v>
      </c>
      <c r="AU771" s="18" t="n">
        <f aca="false">Operations!AU763*Operations!AU770</f>
        <v>56.5143516</v>
      </c>
    </row>
    <row r="772" customFormat="false" ht="15" hidden="false" customHeight="false" outlineLevel="0" collapsed="false">
      <c r="D772" s="0" t="s">
        <v>771</v>
      </c>
      <c r="E772" s="0" t="s">
        <v>458</v>
      </c>
      <c r="J772" s="14" t="n">
        <f aca="false">MAX(0,MIN(Inputs!$F$227,Time!J$6)-MAX(Inputs!$F$226-1,Time!J$5))/Time!J$7</f>
        <v>0</v>
      </c>
      <c r="K772" s="14" t="n">
        <f aca="false">MAX(0,MIN(Inputs!$F$227,Time!K$6)-MAX(Inputs!$F$226-1,Time!K$5))/Time!K$7</f>
        <v>0</v>
      </c>
      <c r="L772" s="14" t="n">
        <f aca="false">MAX(0,MIN(Inputs!$F$227,Time!L$6)-MAX(Inputs!$F$226-1,Time!L$5))/Time!L$7</f>
        <v>0</v>
      </c>
      <c r="M772" s="14" t="n">
        <f aca="false">MAX(0,MIN(Inputs!$F$227,Time!M$6)-MAX(Inputs!$F$226-1,Time!M$5))/Time!M$7</f>
        <v>1</v>
      </c>
      <c r="N772" s="14" t="n">
        <f aca="false">MAX(0,MIN(Inputs!$F$227,Time!N$6)-MAX(Inputs!$F$226-1,Time!N$5))/Time!N$7</f>
        <v>1</v>
      </c>
      <c r="O772" s="14" t="n">
        <f aca="false">MAX(0,MIN(Inputs!$F$227,Time!O$6)-MAX(Inputs!$F$226-1,Time!O$5))/Time!O$7</f>
        <v>1</v>
      </c>
      <c r="P772" s="14" t="n">
        <f aca="false">MAX(0,MIN(Inputs!$F$227,Time!P$6)-MAX(Inputs!$F$226-1,Time!P$5))/Time!P$7</f>
        <v>1</v>
      </c>
      <c r="Q772" s="14" t="n">
        <f aca="false">MAX(0,MIN(Inputs!$F$227,Time!Q$6)-MAX(Inputs!$F$226-1,Time!Q$5))/Time!Q$7</f>
        <v>1</v>
      </c>
      <c r="R772" s="14" t="n">
        <f aca="false">MAX(0,MIN(Inputs!$F$227,Time!R$6)-MAX(Inputs!$F$226-1,Time!R$5))/Time!R$7</f>
        <v>1</v>
      </c>
      <c r="S772" s="14" t="n">
        <f aca="false">MAX(0,MIN(Inputs!$F$227,Time!S$6)-MAX(Inputs!$F$226-1,Time!S$5))/Time!S$7</f>
        <v>1</v>
      </c>
      <c r="T772" s="14" t="n">
        <f aca="false">MAX(0,MIN(Inputs!$F$227,Time!T$6)-MAX(Inputs!$F$226-1,Time!T$5))/Time!T$7</f>
        <v>1</v>
      </c>
      <c r="U772" s="14" t="n">
        <f aca="false">MAX(0,MIN(Inputs!$F$227,Time!U$6)-MAX(Inputs!$F$226-1,Time!U$5))/Time!U$7</f>
        <v>1</v>
      </c>
      <c r="V772" s="14" t="n">
        <f aca="false">MAX(0,MIN(Inputs!$F$227,Time!V$6)-MAX(Inputs!$F$226-1,Time!V$5))/Time!V$7</f>
        <v>1</v>
      </c>
      <c r="W772" s="14" t="n">
        <f aca="false">MAX(0,MIN(Inputs!$F$227,Time!W$6)-MAX(Inputs!$F$226-1,Time!W$5))/Time!W$7</f>
        <v>0</v>
      </c>
      <c r="X772" s="14" t="n">
        <f aca="false">MAX(0,MIN(Inputs!$F$227,Time!X$6)-MAX(Inputs!$F$226-1,Time!X$5))/Time!X$7</f>
        <v>0</v>
      </c>
      <c r="Y772" s="14" t="n">
        <f aca="false">MAX(0,MIN(Inputs!$F$227,Time!Y$6)-MAX(Inputs!$F$226-1,Time!Y$5))/Time!Y$7</f>
        <v>0</v>
      </c>
      <c r="Z772" s="14" t="n">
        <f aca="false">MAX(0,MIN(Inputs!$F$227,Time!Z$6)-MAX(Inputs!$F$226-1,Time!Z$5))/Time!Z$7</f>
        <v>0</v>
      </c>
      <c r="AA772" s="14" t="n">
        <f aca="false">MAX(0,MIN(Inputs!$F$227,Time!AA$6)-MAX(Inputs!$F$226-1,Time!AA$5))/Time!AA$7</f>
        <v>0</v>
      </c>
      <c r="AB772" s="14" t="n">
        <f aca="false">MAX(0,MIN(Inputs!$F$227,Time!AB$6)-MAX(Inputs!$F$226-1,Time!AB$5))/Time!AB$7</f>
        <v>0</v>
      </c>
      <c r="AC772" s="14" t="n">
        <f aca="false">MAX(0,MIN(Inputs!$F$227,Time!AC$6)-MAX(Inputs!$F$226-1,Time!AC$5))/Time!AC$7</f>
        <v>0</v>
      </c>
      <c r="AD772" s="14" t="n">
        <f aca="false">MAX(0,MIN(Inputs!$F$227,Time!AD$6)-MAX(Inputs!$F$226-1,Time!AD$5))/Time!AD$7</f>
        <v>0</v>
      </c>
      <c r="AE772" s="14" t="n">
        <f aca="false">MAX(0,MIN(Inputs!$F$227,Time!AE$6)-MAX(Inputs!$F$226-1,Time!AE$5))/Time!AE$7</f>
        <v>0</v>
      </c>
      <c r="AF772" s="14" t="n">
        <f aca="false">MAX(0,MIN(Inputs!$F$227,Time!AF$6)-MAX(Inputs!$F$226-1,Time!AF$5))/Time!AF$7</f>
        <v>0</v>
      </c>
      <c r="AG772" s="14" t="n">
        <f aca="false">MAX(0,MIN(Inputs!$F$227,Time!AG$6)-MAX(Inputs!$F$226-1,Time!AG$5))/Time!AG$7</f>
        <v>0</v>
      </c>
      <c r="AH772" s="14" t="n">
        <f aca="false">MAX(0,MIN(Inputs!$F$227,Time!AH$6)-MAX(Inputs!$F$226-1,Time!AH$5))/Time!AH$7</f>
        <v>0</v>
      </c>
      <c r="AI772" s="14" t="n">
        <f aca="false">MAX(0,MIN(Inputs!$F$227,Time!AI$6)-MAX(Inputs!$F$226-1,Time!AI$5))/Time!AI$7</f>
        <v>0</v>
      </c>
      <c r="AJ772" s="14" t="n">
        <f aca="false">MAX(0,MIN(Inputs!$F$227,Time!AJ$6)-MAX(Inputs!$F$226-1,Time!AJ$5))/Time!AJ$7</f>
        <v>0</v>
      </c>
      <c r="AK772" s="14" t="n">
        <f aca="false">MAX(0,MIN(Inputs!$F$227,Time!AK$6)-MAX(Inputs!$F$226-1,Time!AK$5))/Time!AK$7</f>
        <v>0</v>
      </c>
      <c r="AL772" s="14" t="n">
        <f aca="false">MAX(0,MIN(Inputs!$F$227,Time!AL$6)-MAX(Inputs!$F$226-1,Time!AL$5))/Time!AL$7</f>
        <v>0</v>
      </c>
      <c r="AM772" s="14" t="n">
        <f aca="false">MAX(0,MIN(Inputs!$F$227,Time!AM$6)-MAX(Inputs!$F$226-1,Time!AM$5))/Time!AM$7</f>
        <v>0</v>
      </c>
      <c r="AN772" s="14" t="n">
        <f aca="false">MAX(0,MIN(Inputs!$F$227,Time!AN$6)-MAX(Inputs!$F$226-1,Time!AN$5))/Time!AN$7</f>
        <v>0</v>
      </c>
      <c r="AO772" s="14" t="n">
        <f aca="false">MAX(0,MIN(Inputs!$F$227,Time!AO$6)-MAX(Inputs!$F$226-1,Time!AO$5))/Time!AO$7</f>
        <v>0</v>
      </c>
      <c r="AP772" s="14" t="n">
        <f aca="false">MAX(0,MIN(Inputs!$F$227,Time!AP$6)-MAX(Inputs!$F$226-1,Time!AP$5))/Time!AP$7</f>
        <v>0</v>
      </c>
      <c r="AQ772" s="14" t="n">
        <f aca="false">MAX(0,MIN(Inputs!$F$227,Time!AQ$6)-MAX(Inputs!$F$226-1,Time!AQ$5))/Time!AQ$7</f>
        <v>0</v>
      </c>
      <c r="AR772" s="14" t="n">
        <f aca="false">MAX(0,MIN(Inputs!$F$227,Time!AR$6)-MAX(Inputs!$F$226-1,Time!AR$5))/Time!AR$7</f>
        <v>0</v>
      </c>
      <c r="AS772" s="14" t="n">
        <f aca="false">MAX(0,MIN(Inputs!$F$227,Time!AS$6)-MAX(Inputs!$F$226-1,Time!AS$5))/Time!AS$7</f>
        <v>0</v>
      </c>
      <c r="AT772" s="14" t="n">
        <f aca="false">MAX(0,MIN(Inputs!$F$227,Time!AT$6)-MAX(Inputs!$F$226-1,Time!AT$5))/Time!AT$7</f>
        <v>0</v>
      </c>
      <c r="AU772" s="14" t="n">
        <f aca="false">MAX(0,MIN(Inputs!$F$227,Time!AU$6)-MAX(Inputs!$F$226-1,Time!AU$5))/Time!AU$7</f>
        <v>0</v>
      </c>
    </row>
    <row r="773" customFormat="false" ht="15" hidden="false" customHeight="false" outlineLevel="0" collapsed="false">
      <c r="D773" s="0" t="s">
        <v>260</v>
      </c>
      <c r="E773" s="0" t="s">
        <v>466</v>
      </c>
      <c r="J773" s="20" t="n">
        <f aca="false">Inputs!$F$224*Operations!J772</f>
        <v>0</v>
      </c>
      <c r="K773" s="20" t="n">
        <f aca="false">Inputs!$F$224*Operations!K772</f>
        <v>0</v>
      </c>
      <c r="L773" s="20" t="n">
        <f aca="false">Inputs!$F$224*Operations!L772</f>
        <v>0</v>
      </c>
      <c r="M773" s="20" t="n">
        <f aca="false">Inputs!$F$224*Operations!M772</f>
        <v>174.1</v>
      </c>
      <c r="N773" s="20" t="n">
        <f aca="false">Inputs!$F$224*Operations!N772</f>
        <v>174.1</v>
      </c>
      <c r="O773" s="20" t="n">
        <f aca="false">Inputs!$F$224*Operations!O772</f>
        <v>174.1</v>
      </c>
      <c r="P773" s="20" t="n">
        <f aca="false">Inputs!$F$224*Operations!P772</f>
        <v>174.1</v>
      </c>
      <c r="Q773" s="20" t="n">
        <f aca="false">Inputs!$F$224*Operations!Q772</f>
        <v>174.1</v>
      </c>
      <c r="R773" s="20" t="n">
        <f aca="false">Inputs!$F$224*Operations!R772</f>
        <v>174.1</v>
      </c>
      <c r="S773" s="20" t="n">
        <f aca="false">Inputs!$F$224*Operations!S772</f>
        <v>174.1</v>
      </c>
      <c r="T773" s="20" t="n">
        <f aca="false">Inputs!$F$224*Operations!T772</f>
        <v>174.1</v>
      </c>
      <c r="U773" s="20" t="n">
        <f aca="false">Inputs!$F$224*Operations!U772</f>
        <v>174.1</v>
      </c>
      <c r="V773" s="20" t="n">
        <f aca="false">Inputs!$F$224*Operations!V772</f>
        <v>174.1</v>
      </c>
      <c r="W773" s="20" t="n">
        <f aca="false">Inputs!$F$224*Operations!W772</f>
        <v>0</v>
      </c>
      <c r="X773" s="20" t="n">
        <f aca="false">Inputs!$F$224*Operations!X772</f>
        <v>0</v>
      </c>
      <c r="Y773" s="20" t="n">
        <f aca="false">Inputs!$F$224*Operations!Y772</f>
        <v>0</v>
      </c>
      <c r="Z773" s="20" t="n">
        <f aca="false">Inputs!$F$224*Operations!Z772</f>
        <v>0</v>
      </c>
      <c r="AA773" s="20" t="n">
        <f aca="false">Inputs!$F$224*Operations!AA772</f>
        <v>0</v>
      </c>
      <c r="AB773" s="20" t="n">
        <f aca="false">Inputs!$F$224*Operations!AB772</f>
        <v>0</v>
      </c>
      <c r="AC773" s="20" t="n">
        <f aca="false">Inputs!$F$224*Operations!AC772</f>
        <v>0</v>
      </c>
      <c r="AD773" s="20" t="n">
        <f aca="false">Inputs!$F$224*Operations!AD772</f>
        <v>0</v>
      </c>
      <c r="AE773" s="20" t="n">
        <f aca="false">Inputs!$F$224*Operations!AE772</f>
        <v>0</v>
      </c>
      <c r="AF773" s="20" t="n">
        <f aca="false">Inputs!$F$224*Operations!AF772</f>
        <v>0</v>
      </c>
      <c r="AG773" s="20" t="n">
        <f aca="false">Inputs!$F$224*Operations!AG772</f>
        <v>0</v>
      </c>
      <c r="AH773" s="20" t="n">
        <f aca="false">Inputs!$F$224*Operations!AH772</f>
        <v>0</v>
      </c>
      <c r="AI773" s="20" t="n">
        <f aca="false">Inputs!$F$224*Operations!AI772</f>
        <v>0</v>
      </c>
      <c r="AJ773" s="20" t="n">
        <f aca="false">Inputs!$F$224*Operations!AJ772</f>
        <v>0</v>
      </c>
      <c r="AK773" s="20" t="n">
        <f aca="false">Inputs!$F$224*Operations!AK772</f>
        <v>0</v>
      </c>
      <c r="AL773" s="20" t="n">
        <f aca="false">Inputs!$F$224*Operations!AL772</f>
        <v>0</v>
      </c>
      <c r="AM773" s="20" t="n">
        <f aca="false">Inputs!$F$224*Operations!AM772</f>
        <v>0</v>
      </c>
      <c r="AN773" s="20" t="n">
        <f aca="false">Inputs!$F$224*Operations!AN772</f>
        <v>0</v>
      </c>
      <c r="AO773" s="20" t="n">
        <f aca="false">Inputs!$F$224*Operations!AO772</f>
        <v>0</v>
      </c>
      <c r="AP773" s="20" t="n">
        <f aca="false">Inputs!$F$224*Operations!AP772</f>
        <v>0</v>
      </c>
      <c r="AQ773" s="20" t="n">
        <f aca="false">Inputs!$F$224*Operations!AQ772</f>
        <v>0</v>
      </c>
      <c r="AR773" s="20" t="n">
        <f aca="false">Inputs!$F$224*Operations!AR772</f>
        <v>0</v>
      </c>
      <c r="AS773" s="20" t="n">
        <f aca="false">Inputs!$F$224*Operations!AS772</f>
        <v>0</v>
      </c>
      <c r="AT773" s="20" t="n">
        <f aca="false">Inputs!$F$224*Operations!AT772</f>
        <v>0</v>
      </c>
      <c r="AU773" s="20" t="n">
        <f aca="false">Inputs!$F$224*Operations!AU772</f>
        <v>0</v>
      </c>
    </row>
    <row r="774" customFormat="false" ht="15" hidden="false" customHeight="false" outlineLevel="0" collapsed="false">
      <c r="D774" s="0" t="s">
        <v>772</v>
      </c>
      <c r="E774" s="0" t="s">
        <v>47</v>
      </c>
      <c r="G774" s="20" t="n">
        <f aca="false">SUM(J774:AU774)</f>
        <v>2.03657987672</v>
      </c>
      <c r="J774" s="20" t="n">
        <f aca="false">Operations!J773*(Inputs!$F$225-Operations!J763*Operations!J769)/1000</f>
        <v>-0</v>
      </c>
      <c r="K774" s="20" t="n">
        <f aca="false">Operations!K773*(Inputs!$F$225-Operations!K763*Operations!K769)/1000</f>
        <v>-0</v>
      </c>
      <c r="L774" s="20" t="n">
        <f aca="false">Operations!L773*(Inputs!$F$225-Operations!L763*Operations!L769)/1000</f>
        <v>0</v>
      </c>
      <c r="M774" s="20" t="n">
        <f aca="false">Operations!M773*(Inputs!$F$225-Operations!M763*Operations!M769)/1000</f>
        <v>0.963162496520001</v>
      </c>
      <c r="N774" s="20" t="n">
        <f aca="false">Operations!N773*(Inputs!$F$225-Operations!N763*Operations!N769)/1000</f>
        <v>0.401049656719999</v>
      </c>
      <c r="O774" s="20" t="n">
        <f aca="false">Operations!O773*(Inputs!$F$225-Operations!O763*Operations!O769)/1000</f>
        <v>0.162229339699999</v>
      </c>
      <c r="P774" s="20" t="n">
        <f aca="false">Operations!P773*(Inputs!$F$225-Operations!P763*Operations!P769)/1000</f>
        <v>0.06316083368</v>
      </c>
      <c r="Q774" s="20" t="n">
        <f aca="false">Operations!Q773*(Inputs!$F$225-Operations!Q763*Operations!Q769)/1000</f>
        <v>0.0420427822399999</v>
      </c>
      <c r="R774" s="20" t="n">
        <f aca="false">Operations!R773*(Inputs!$F$225-Operations!R763*Operations!R769)/1000</f>
        <v>0.0159557775200007</v>
      </c>
      <c r="S774" s="20" t="n">
        <f aca="false">Operations!S773*(Inputs!$F$225-Operations!S763*Operations!S769)/1000</f>
        <v>0.0444030350479992</v>
      </c>
      <c r="T774" s="20" t="n">
        <f aca="false">Operations!T773*(Inputs!$F$225-Operations!T763*Operations!T769)/1000</f>
        <v>0.0768254552000009</v>
      </c>
      <c r="U774" s="20" t="n">
        <f aca="false">Operations!U773*(Inputs!$F$225-Operations!U763*Operations!U769)/1000</f>
        <v>0.113409373724</v>
      </c>
      <c r="V774" s="20" t="n">
        <f aca="false">Operations!V773*(Inputs!$F$225-Operations!V763*Operations!V769)/1000</f>
        <v>0.154341126368001</v>
      </c>
      <c r="W774" s="20" t="n">
        <f aca="false">Operations!W773*(Inputs!$F$225-Operations!W763*Operations!W769)/1000</f>
        <v>0</v>
      </c>
      <c r="X774" s="20" t="n">
        <f aca="false">Operations!X773*(Inputs!$F$225-Operations!X763*Operations!X769)/1000</f>
        <v>0</v>
      </c>
      <c r="Y774" s="20" t="n">
        <f aca="false">Operations!Y773*(Inputs!$F$225-Operations!Y763*Operations!Y769)/1000</f>
        <v>0</v>
      </c>
      <c r="Z774" s="20" t="n">
        <f aca="false">Operations!Z773*(Inputs!$F$225-Operations!Z763*Operations!Z769)/1000</f>
        <v>0</v>
      </c>
      <c r="AA774" s="20" t="n">
        <f aca="false">Operations!AA773*(Inputs!$F$225-Operations!AA763*Operations!AA769)/1000</f>
        <v>-0</v>
      </c>
      <c r="AB774" s="20" t="n">
        <f aca="false">Operations!AB773*(Inputs!$F$225-Operations!AB763*Operations!AB769)/1000</f>
        <v>-0</v>
      </c>
      <c r="AC774" s="20" t="n">
        <f aca="false">Operations!AC773*(Inputs!$F$225-Operations!AC763*Operations!AC769)/1000</f>
        <v>-0</v>
      </c>
      <c r="AD774" s="20" t="n">
        <f aca="false">Operations!AD773*(Inputs!$F$225-Operations!AD763*Operations!AD769)/1000</f>
        <v>-0</v>
      </c>
      <c r="AE774" s="20" t="n">
        <f aca="false">Operations!AE773*(Inputs!$F$225-Operations!AE763*Operations!AE769)/1000</f>
        <v>-0</v>
      </c>
      <c r="AF774" s="20" t="n">
        <f aca="false">Operations!AF773*(Inputs!$F$225-Operations!AF763*Operations!AF769)/1000</f>
        <v>-0</v>
      </c>
      <c r="AG774" s="20" t="n">
        <f aca="false">Operations!AG773*(Inputs!$F$225-Operations!AG763*Operations!AG769)/1000</f>
        <v>-0</v>
      </c>
      <c r="AH774" s="20" t="n">
        <f aca="false">Operations!AH773*(Inputs!$F$225-Operations!AH763*Operations!AH769)/1000</f>
        <v>-0</v>
      </c>
      <c r="AI774" s="20" t="n">
        <f aca="false">Operations!AI773*(Inputs!$F$225-Operations!AI763*Operations!AI769)/1000</f>
        <v>-0</v>
      </c>
      <c r="AJ774" s="20" t="n">
        <f aca="false">Operations!AJ773*(Inputs!$F$225-Operations!AJ763*Operations!AJ769)/1000</f>
        <v>-0</v>
      </c>
      <c r="AK774" s="20" t="n">
        <f aca="false">Operations!AK773*(Inputs!$F$225-Operations!AK763*Operations!AK769)/1000</f>
        <v>-0</v>
      </c>
      <c r="AL774" s="20" t="n">
        <f aca="false">Operations!AL773*(Inputs!$F$225-Operations!AL763*Operations!AL769)/1000</f>
        <v>-0</v>
      </c>
      <c r="AM774" s="20" t="n">
        <f aca="false">Operations!AM773*(Inputs!$F$225-Operations!AM763*Operations!AM769)/1000</f>
        <v>-0</v>
      </c>
      <c r="AN774" s="20" t="n">
        <f aca="false">Operations!AN773*(Inputs!$F$225-Operations!AN763*Operations!AN769)/1000</f>
        <v>-0</v>
      </c>
      <c r="AO774" s="20" t="n">
        <f aca="false">Operations!AO773*(Inputs!$F$225-Operations!AO763*Operations!AO769)/1000</f>
        <v>-0</v>
      </c>
      <c r="AP774" s="20" t="n">
        <f aca="false">Operations!AP773*(Inputs!$F$225-Operations!AP763*Operations!AP769)/1000</f>
        <v>-0</v>
      </c>
      <c r="AQ774" s="20" t="n">
        <f aca="false">Operations!AQ773*(Inputs!$F$225-Operations!AQ763*Operations!AQ769)/1000</f>
        <v>-0</v>
      </c>
      <c r="AR774" s="20" t="n">
        <f aca="false">Operations!AR773*(Inputs!$F$225-Operations!AR763*Operations!AR769)/1000</f>
        <v>-0</v>
      </c>
      <c r="AS774" s="20" t="n">
        <f aca="false">Operations!AS773*(Inputs!$F$225-Operations!AS763*Operations!AS769)/1000</f>
        <v>-0</v>
      </c>
      <c r="AT774" s="20" t="n">
        <f aca="false">Operations!AT773*(Inputs!$F$225-Operations!AT763*Operations!AT769)/1000</f>
        <v>-0</v>
      </c>
      <c r="AU774" s="20" t="n">
        <f aca="false">Operations!AU773*(Inputs!$F$225-Operations!AU763*Operations!AU769)/1000</f>
        <v>-0</v>
      </c>
    </row>
    <row r="775" customFormat="false" ht="15" hidden="false" customHeight="false" outlineLevel="0" collapsed="false">
      <c r="D775" s="0" t="s">
        <v>773</v>
      </c>
      <c r="E775" s="0" t="s">
        <v>466</v>
      </c>
      <c r="J775" s="20" t="n">
        <f aca="false">Operations!J768</f>
        <v>0</v>
      </c>
      <c r="K775" s="20" t="n">
        <f aca="false">Operations!K768</f>
        <v>0</v>
      </c>
      <c r="L775" s="20" t="n">
        <f aca="false">Operations!L768</f>
        <v>9.34026885245902</v>
      </c>
      <c r="M775" s="20" t="n">
        <f aca="false">Operations!M768</f>
        <v>284.8782</v>
      </c>
      <c r="N775" s="20" t="n">
        <f aca="false">Operations!N768</f>
        <v>283.7386872</v>
      </c>
      <c r="O775" s="20" t="n">
        <f aca="false">Operations!O768</f>
        <v>282.6037324512</v>
      </c>
      <c r="P775" s="20" t="n">
        <f aca="false">Operations!P768</f>
        <v>281.473317521395</v>
      </c>
      <c r="Q775" s="20" t="n">
        <f aca="false">Operations!Q768</f>
        <v>280.34742425131</v>
      </c>
      <c r="R775" s="20" t="n">
        <f aca="false">Operations!R768</f>
        <v>279.226034554304</v>
      </c>
      <c r="S775" s="20" t="n">
        <f aca="false">Operations!S768</f>
        <v>278.109130416087</v>
      </c>
      <c r="T775" s="20" t="n">
        <f aca="false">Operations!T768</f>
        <v>276.996693894423</v>
      </c>
      <c r="U775" s="20" t="n">
        <f aca="false">Operations!U768</f>
        <v>275.888707118845</v>
      </c>
      <c r="V775" s="20" t="n">
        <f aca="false">Operations!V768</f>
        <v>274.78515229037</v>
      </c>
      <c r="W775" s="20" t="n">
        <f aca="false">Operations!W768</f>
        <v>273.686011681208</v>
      </c>
      <c r="X775" s="20" t="n">
        <f aca="false">Operations!X768</f>
        <v>272.591267634483</v>
      </c>
      <c r="Y775" s="20" t="n">
        <f aca="false">Operations!Y768</f>
        <v>271.500902563946</v>
      </c>
      <c r="Z775" s="20" t="n">
        <f aca="false">Operations!Z768</f>
        <v>270.41489895369</v>
      </c>
      <c r="AA775" s="20" t="n">
        <f aca="false">Operations!AA768</f>
        <v>269.333239357875</v>
      </c>
      <c r="AB775" s="20" t="n">
        <f aca="false">Operations!AB768</f>
        <v>268.255906400443</v>
      </c>
      <c r="AC775" s="20" t="n">
        <f aca="false">Operations!AC768</f>
        <v>267.182882774842</v>
      </c>
      <c r="AD775" s="20" t="n">
        <f aca="false">Operations!AD768</f>
        <v>266.114151243742</v>
      </c>
      <c r="AE775" s="20" t="n">
        <f aca="false">Operations!AE768</f>
        <v>265.049694638767</v>
      </c>
      <c r="AF775" s="20" t="n">
        <f aca="false">Operations!AF768</f>
        <v>263.989495860212</v>
      </c>
      <c r="AG775" s="20" t="n">
        <f aca="false">Operations!AG768</f>
        <v>262.933537876771</v>
      </c>
      <c r="AH775" s="20" t="n">
        <f aca="false">Operations!AH768</f>
        <v>261.881803725264</v>
      </c>
      <c r="AI775" s="20" t="n">
        <f aca="false">Operations!AI768</f>
        <v>260.834276510363</v>
      </c>
      <c r="AJ775" s="20" t="n">
        <f aca="false">Operations!AJ768</f>
        <v>259.790939404322</v>
      </c>
      <c r="AK775" s="20" t="n">
        <f aca="false">Operations!AK768</f>
        <v>258.751775646705</v>
      </c>
      <c r="AL775" s="20" t="n">
        <f aca="false">Operations!AL768</f>
        <v>257.716768544118</v>
      </c>
      <c r="AM775" s="20" t="n">
        <f aca="false">Operations!AM768</f>
        <v>256.685901469941</v>
      </c>
      <c r="AN775" s="20" t="n">
        <f aca="false">Operations!AN768</f>
        <v>255.659157864061</v>
      </c>
      <c r="AO775" s="20" t="n">
        <f aca="false">Operations!AO768</f>
        <v>254.636521232605</v>
      </c>
      <c r="AP775" s="20" t="n">
        <f aca="false">Operations!AP768</f>
        <v>253.617975147675</v>
      </c>
      <c r="AQ775" s="20" t="n">
        <f aca="false">Operations!AQ768</f>
        <v>252.603503247084</v>
      </c>
      <c r="AR775" s="20" t="n">
        <f aca="false">Operations!AR768</f>
        <v>251.593089234096</v>
      </c>
      <c r="AS775" s="20" t="n">
        <f aca="false">Operations!AS768</f>
        <v>250.586716877159</v>
      </c>
      <c r="AT775" s="20" t="n">
        <f aca="false">Operations!AT768</f>
        <v>249.584370009651</v>
      </c>
      <c r="AU775" s="20" t="n">
        <f aca="false">Operations!AU768</f>
        <v>248.586032529612</v>
      </c>
    </row>
    <row r="776" customFormat="false" ht="15" hidden="false" customHeight="false" outlineLevel="0" collapsed="false">
      <c r="D776" s="0" t="s">
        <v>774</v>
      </c>
      <c r="E776" s="0" t="s">
        <v>47</v>
      </c>
      <c r="J776" s="20" t="n">
        <f aca="false">0</f>
        <v>0</v>
      </c>
      <c r="K776" s="20" t="n">
        <f aca="false">0</f>
        <v>0</v>
      </c>
      <c r="L776" s="20" t="n">
        <f aca="false">0</f>
        <v>0</v>
      </c>
      <c r="M776" s="20" t="n">
        <f aca="false">0</f>
        <v>0</v>
      </c>
      <c r="N776" s="20" t="n">
        <f aca="false">0</f>
        <v>0</v>
      </c>
      <c r="O776" s="20" t="n">
        <f aca="false">0</f>
        <v>0</v>
      </c>
      <c r="P776" s="20" t="n">
        <f aca="false">0</f>
        <v>0</v>
      </c>
      <c r="Q776" s="20" t="n">
        <f aca="false">0</f>
        <v>0</v>
      </c>
      <c r="R776" s="20" t="n">
        <f aca="false">0</f>
        <v>0</v>
      </c>
      <c r="S776" s="20" t="n">
        <f aca="false">0</f>
        <v>0</v>
      </c>
      <c r="T776" s="20" t="n">
        <f aca="false">0</f>
        <v>0</v>
      </c>
      <c r="U776" s="20" t="n">
        <f aca="false">0</f>
        <v>0</v>
      </c>
      <c r="V776" s="20" t="n">
        <f aca="false">0</f>
        <v>0</v>
      </c>
      <c r="W776" s="20" t="n">
        <f aca="false">0</f>
        <v>0</v>
      </c>
      <c r="X776" s="20" t="n">
        <f aca="false">0</f>
        <v>0</v>
      </c>
      <c r="Y776" s="20" t="n">
        <f aca="false">0</f>
        <v>0</v>
      </c>
      <c r="Z776" s="20" t="n">
        <f aca="false">0</f>
        <v>0</v>
      </c>
      <c r="AA776" s="20" t="n">
        <f aca="false">0</f>
        <v>0</v>
      </c>
      <c r="AB776" s="20" t="n">
        <f aca="false">0</f>
        <v>0</v>
      </c>
      <c r="AC776" s="20" t="n">
        <f aca="false">0</f>
        <v>0</v>
      </c>
      <c r="AD776" s="20" t="n">
        <f aca="false">0</f>
        <v>0</v>
      </c>
      <c r="AE776" s="20" t="n">
        <f aca="false">0</f>
        <v>0</v>
      </c>
      <c r="AF776" s="20" t="n">
        <f aca="false">0</f>
        <v>0</v>
      </c>
      <c r="AG776" s="20" t="n">
        <f aca="false">0</f>
        <v>0</v>
      </c>
      <c r="AH776" s="20" t="n">
        <f aca="false">0</f>
        <v>0</v>
      </c>
      <c r="AI776" s="20" t="n">
        <f aca="false">0</f>
        <v>0</v>
      </c>
      <c r="AJ776" s="20" t="n">
        <f aca="false">0</f>
        <v>0</v>
      </c>
      <c r="AK776" s="20" t="n">
        <f aca="false">0</f>
        <v>0</v>
      </c>
      <c r="AL776" s="20" t="n">
        <f aca="false">0</f>
        <v>0</v>
      </c>
      <c r="AM776" s="20" t="n">
        <f aca="false">0</f>
        <v>0</v>
      </c>
      <c r="AN776" s="20" t="n">
        <f aca="false">0</f>
        <v>0</v>
      </c>
      <c r="AO776" s="20" t="n">
        <f aca="false">0</f>
        <v>0</v>
      </c>
      <c r="AP776" s="20" t="n">
        <f aca="false">0</f>
        <v>0</v>
      </c>
      <c r="AQ776" s="20" t="n">
        <f aca="false">0</f>
        <v>0</v>
      </c>
      <c r="AR776" s="20" t="n">
        <f aca="false">0</f>
        <v>0</v>
      </c>
      <c r="AS776" s="20" t="n">
        <f aca="false">0</f>
        <v>0</v>
      </c>
      <c r="AT776" s="20" t="n">
        <f aca="false">0</f>
        <v>0</v>
      </c>
      <c r="AU776" s="20" t="n">
        <f aca="false">0</f>
        <v>0</v>
      </c>
    </row>
    <row r="777" customFormat="false" ht="15" hidden="false" customHeight="false" outlineLevel="0" collapsed="false">
      <c r="D777" s="0" t="s">
        <v>775</v>
      </c>
      <c r="E777" s="0" t="s">
        <v>47</v>
      </c>
      <c r="J777" s="20" t="n">
        <f aca="false">Operations!J773*Inputs!$F$225/1000</f>
        <v>0</v>
      </c>
      <c r="K777" s="20" t="n">
        <f aca="false">Operations!K773*Inputs!$F$225/1000</f>
        <v>0</v>
      </c>
      <c r="L777" s="20" t="n">
        <f aca="false">Operations!L773*Inputs!$F$225/1000</f>
        <v>0</v>
      </c>
      <c r="M777" s="20" t="n">
        <f aca="false">Operations!M773*Inputs!$F$225/1000</f>
        <v>6.77249</v>
      </c>
      <c r="N777" s="20" t="n">
        <f aca="false">Operations!N773*Inputs!$F$225/1000</f>
        <v>6.77249</v>
      </c>
      <c r="O777" s="20" t="n">
        <f aca="false">Operations!O773*Inputs!$F$225/1000</f>
        <v>6.77249</v>
      </c>
      <c r="P777" s="20" t="n">
        <f aca="false">Operations!P773*Inputs!$F$225/1000</f>
        <v>6.77249</v>
      </c>
      <c r="Q777" s="20" t="n">
        <f aca="false">Operations!Q773*Inputs!$F$225/1000</f>
        <v>6.77249</v>
      </c>
      <c r="R777" s="20" t="n">
        <f aca="false">Operations!R773*Inputs!$F$225/1000</f>
        <v>6.77249</v>
      </c>
      <c r="S777" s="20" t="n">
        <f aca="false">Operations!S773*Inputs!$F$225/1000</f>
        <v>6.77249</v>
      </c>
      <c r="T777" s="20" t="n">
        <f aca="false">Operations!T773*Inputs!$F$225/1000</f>
        <v>6.77249</v>
      </c>
      <c r="U777" s="20" t="n">
        <f aca="false">Operations!U773*Inputs!$F$225/1000</f>
        <v>6.77249</v>
      </c>
      <c r="V777" s="20" t="n">
        <f aca="false">Operations!V773*Inputs!$F$225/1000</f>
        <v>6.77249</v>
      </c>
      <c r="W777" s="20" t="n">
        <f aca="false">Operations!W773*Inputs!$F$225/1000</f>
        <v>0</v>
      </c>
      <c r="X777" s="20" t="n">
        <f aca="false">Operations!X773*Inputs!$F$225/1000</f>
        <v>0</v>
      </c>
      <c r="Y777" s="20" t="n">
        <f aca="false">Operations!Y773*Inputs!$F$225/1000</f>
        <v>0</v>
      </c>
      <c r="Z777" s="20" t="n">
        <f aca="false">Operations!Z773*Inputs!$F$225/1000</f>
        <v>0</v>
      </c>
      <c r="AA777" s="20" t="n">
        <f aca="false">Operations!AA773*Inputs!$F$225/1000</f>
        <v>0</v>
      </c>
      <c r="AB777" s="20" t="n">
        <f aca="false">Operations!AB773*Inputs!$F$225/1000</f>
        <v>0</v>
      </c>
      <c r="AC777" s="20" t="n">
        <f aca="false">Operations!AC773*Inputs!$F$225/1000</f>
        <v>0</v>
      </c>
      <c r="AD777" s="20" t="n">
        <f aca="false">Operations!AD773*Inputs!$F$225/1000</f>
        <v>0</v>
      </c>
      <c r="AE777" s="20" t="n">
        <f aca="false">Operations!AE773*Inputs!$F$225/1000</f>
        <v>0</v>
      </c>
      <c r="AF777" s="20" t="n">
        <f aca="false">Operations!AF773*Inputs!$F$225/1000</f>
        <v>0</v>
      </c>
      <c r="AG777" s="20" t="n">
        <f aca="false">Operations!AG773*Inputs!$F$225/1000</f>
        <v>0</v>
      </c>
      <c r="AH777" s="20" t="n">
        <f aca="false">Operations!AH773*Inputs!$F$225/1000</f>
        <v>0</v>
      </c>
      <c r="AI777" s="20" t="n">
        <f aca="false">Operations!AI773*Inputs!$F$225/1000</f>
        <v>0</v>
      </c>
      <c r="AJ777" s="20" t="n">
        <f aca="false">Operations!AJ773*Inputs!$F$225/1000</f>
        <v>0</v>
      </c>
      <c r="AK777" s="20" t="n">
        <f aca="false">Operations!AK773*Inputs!$F$225/1000</f>
        <v>0</v>
      </c>
      <c r="AL777" s="20" t="n">
        <f aca="false">Operations!AL773*Inputs!$F$225/1000</f>
        <v>0</v>
      </c>
      <c r="AM777" s="20" t="n">
        <f aca="false">Operations!AM773*Inputs!$F$225/1000</f>
        <v>0</v>
      </c>
      <c r="AN777" s="20" t="n">
        <f aca="false">Operations!AN773*Inputs!$F$225/1000</f>
        <v>0</v>
      </c>
      <c r="AO777" s="20" t="n">
        <f aca="false">Operations!AO773*Inputs!$F$225/1000</f>
        <v>0</v>
      </c>
      <c r="AP777" s="20" t="n">
        <f aca="false">Operations!AP773*Inputs!$F$225/1000</f>
        <v>0</v>
      </c>
      <c r="AQ777" s="20" t="n">
        <f aca="false">Operations!AQ773*Inputs!$F$225/1000</f>
        <v>0</v>
      </c>
      <c r="AR777" s="20" t="n">
        <f aca="false">Operations!AR773*Inputs!$F$225/1000</f>
        <v>0</v>
      </c>
      <c r="AS777" s="20" t="n">
        <f aca="false">Operations!AS773*Inputs!$F$225/1000</f>
        <v>0</v>
      </c>
      <c r="AT777" s="20" t="n">
        <f aca="false">Operations!AT773*Inputs!$F$225/1000</f>
        <v>0</v>
      </c>
      <c r="AU777" s="20" t="n">
        <f aca="false">Operations!AU773*Inputs!$F$225/1000</f>
        <v>0</v>
      </c>
    </row>
    <row r="778" customFormat="false" ht="15" hidden="false" customHeight="false" outlineLevel="0" collapsed="false">
      <c r="D778" s="0" t="s">
        <v>776</v>
      </c>
      <c r="E778" s="0" t="s">
        <v>47</v>
      </c>
      <c r="G778" s="20" t="n">
        <f aca="false">SUM(J778:AU778)</f>
        <v>396.023733509412</v>
      </c>
      <c r="J778" s="20" t="n">
        <f aca="false">Operations!J775*Operations!J771/1000</f>
        <v>0</v>
      </c>
      <c r="K778" s="20" t="n">
        <f aca="false">Operations!K775*Operations!K771/1000</f>
        <v>0</v>
      </c>
      <c r="L778" s="20" t="n">
        <f aca="false">Operations!L775*Operations!L771/1000</f>
        <v>0.235148370701091</v>
      </c>
      <c r="M778" s="20" t="n">
        <f aca="false">Operations!M775*Operations!M771/1000</f>
        <v>9.28102602471576</v>
      </c>
      <c r="N778" s="20" t="n">
        <f aca="false">Operations!N775*Operations!N771/1000</f>
        <v>10.133009013983</v>
      </c>
      <c r="O778" s="20" t="n">
        <f aca="false">Operations!O775*Operations!O771/1000</f>
        <v>10.4650131874695</v>
      </c>
      <c r="P778" s="20" t="n">
        <f aca="false">Operations!P775*Operations!P771/1000</f>
        <v>10.5732786737542</v>
      </c>
      <c r="Q778" s="20" t="n">
        <f aca="false">Operations!Q775*Operations!Q771/1000</f>
        <v>10.5577678213317</v>
      </c>
      <c r="R778" s="20" t="n">
        <f aca="false">Operations!R775*Operations!R771/1000</f>
        <v>10.5496277916764</v>
      </c>
      <c r="S778" s="20" t="n">
        <f aca="false">Operations!S775*Operations!S771/1000</f>
        <v>10.456254730904</v>
      </c>
      <c r="T778" s="20" t="n">
        <f aca="false">Operations!T775*Operations!T771/1000</f>
        <v>10.3570254932908</v>
      </c>
      <c r="U778" s="20" t="n">
        <f aca="false">Operations!U775*Operations!U771/1000</f>
        <v>10.2517188815242</v>
      </c>
      <c r="V778" s="20" t="n">
        <f aca="false">Operations!V775*Operations!V771/1000</f>
        <v>10.1401178208443</v>
      </c>
      <c r="W778" s="20" t="n">
        <f aca="false">Operations!W775*Operations!W771/1000</f>
        <v>10.0220093158412</v>
      </c>
      <c r="X778" s="20" t="n">
        <f aca="false">Operations!X775*Operations!X771/1000</f>
        <v>9.89718440760569</v>
      </c>
      <c r="Y778" s="20" t="n">
        <f aca="false">Operations!Y775*Operations!Y771/1000</f>
        <v>9.92719543676923</v>
      </c>
      <c r="Z778" s="20" t="n">
        <f aca="false">Operations!Z775*Operations!Z771/1000</f>
        <v>10.0852031584582</v>
      </c>
      <c r="AA778" s="20" t="n">
        <f aca="false">Operations!AA775*Operations!AA771/1000</f>
        <v>10.2450976578251</v>
      </c>
      <c r="AB778" s="20" t="n">
        <f aca="false">Operations!AB775*Operations!AB771/1000</f>
        <v>10.4084962917669</v>
      </c>
      <c r="AC778" s="20" t="n">
        <f aca="false">Operations!AC775*Operations!AC771/1000</f>
        <v>10.5737070652113</v>
      </c>
      <c r="AD778" s="20" t="n">
        <f aca="false">Operations!AD775*Operations!AD771/1000</f>
        <v>10.7423347922317</v>
      </c>
      <c r="AE778" s="20" t="n">
        <f aca="false">Operations!AE775*Operations!AE771/1000</f>
        <v>10.9127013547905</v>
      </c>
      <c r="AF778" s="20" t="n">
        <f aca="false">Operations!AF775*Operations!AF771/1000</f>
        <v>11.0863991202736</v>
      </c>
      <c r="AG778" s="20" t="n">
        <f aca="false">Operations!AG775*Operations!AG771/1000</f>
        <v>11.2633792491414</v>
      </c>
      <c r="AH778" s="20" t="n">
        <f aca="false">Operations!AH775*Operations!AH771/1000</f>
        <v>11.4419842629492</v>
      </c>
      <c r="AI778" s="20" t="n">
        <f aca="false">Operations!AI775*Operations!AI771/1000</f>
        <v>11.6237880764638</v>
      </c>
      <c r="AJ778" s="20" t="n">
        <f aca="false">Operations!AJ775*Operations!AJ771/1000</f>
        <v>11.8087430101917</v>
      </c>
      <c r="AK778" s="20" t="n">
        <f aca="false">Operations!AK775*Operations!AK771/1000</f>
        <v>11.9968017918203</v>
      </c>
      <c r="AL778" s="20" t="n">
        <f aca="false">Operations!AL775*Operations!AL771/1000</f>
        <v>12.1879175534157</v>
      </c>
      <c r="AM778" s="20" t="n">
        <f aca="false">Operations!AM775*Operations!AM771/1000</f>
        <v>12.382043828637</v>
      </c>
      <c r="AN778" s="20" t="n">
        <f aca="false">Operations!AN775*Operations!AN771/1000</f>
        <v>12.5791345499689</v>
      </c>
      <c r="AO778" s="20" t="n">
        <f aca="false">Operations!AO775*Operations!AO771/1000</f>
        <v>12.7791440459702</v>
      </c>
      <c r="AP778" s="20" t="n">
        <f aca="false">Operations!AP775*Operations!AP771/1000</f>
        <v>12.9820270385394</v>
      </c>
      <c r="AQ778" s="20" t="n">
        <f aca="false">Operations!AQ775*Operations!AQ771/1000</f>
        <v>13.1892906866419</v>
      </c>
      <c r="AR778" s="20" t="n">
        <f aca="false">Operations!AR775*Operations!AR771/1000</f>
        <v>13.3993260279036</v>
      </c>
      <c r="AS778" s="20" t="n">
        <f aca="false">Operations!AS775*Operations!AS771/1000</f>
        <v>13.6120890225018</v>
      </c>
      <c r="AT778" s="20" t="n">
        <f aca="false">Operations!AT775*Operations!AT771/1000</f>
        <v>13.8290695090715</v>
      </c>
      <c r="AU778" s="20" t="n">
        <f aca="false">Operations!AU775*Operations!AU771/1000</f>
        <v>14.0486784452275</v>
      </c>
    </row>
    <row r="779" customFormat="false" ht="15" hidden="false" customHeight="false" outlineLevel="0" collapsed="false">
      <c r="D779" s="0" t="s">
        <v>777</v>
      </c>
      <c r="E779" s="0" t="s">
        <v>47</v>
      </c>
      <c r="G779" s="20" t="n">
        <f aca="false">SUM(J779:AU779)</f>
        <v>398.060313386132</v>
      </c>
      <c r="J779" s="20" t="n">
        <f aca="false">Operations!J778+Operations!J774</f>
        <v>0</v>
      </c>
      <c r="K779" s="20" t="n">
        <f aca="false">Operations!K778+Operations!K774</f>
        <v>0</v>
      </c>
      <c r="L779" s="20" t="n">
        <f aca="false">Operations!L778+Operations!L774</f>
        <v>0.235148370701091</v>
      </c>
      <c r="M779" s="20" t="n">
        <f aca="false">Operations!M778+Operations!M774</f>
        <v>10.2441885212358</v>
      </c>
      <c r="N779" s="20" t="n">
        <f aca="false">Operations!N778+Operations!N774</f>
        <v>10.534058670703</v>
      </c>
      <c r="O779" s="20" t="n">
        <f aca="false">Operations!O778+Operations!O774</f>
        <v>10.6272425271695</v>
      </c>
      <c r="P779" s="20" t="n">
        <f aca="false">Operations!P778+Operations!P774</f>
        <v>10.6364395074342</v>
      </c>
      <c r="Q779" s="20" t="n">
        <f aca="false">Operations!Q778+Operations!Q774</f>
        <v>10.5998106035717</v>
      </c>
      <c r="R779" s="20" t="n">
        <f aca="false">Operations!R778+Operations!R774</f>
        <v>10.5655835691964</v>
      </c>
      <c r="S779" s="20" t="n">
        <f aca="false">Operations!S778+Operations!S774</f>
        <v>10.500657765952</v>
      </c>
      <c r="T779" s="20" t="n">
        <f aca="false">Operations!T778+Operations!T774</f>
        <v>10.4338509484908</v>
      </c>
      <c r="U779" s="20" t="n">
        <f aca="false">Operations!U778+Operations!U774</f>
        <v>10.3651282552482</v>
      </c>
      <c r="V779" s="20" t="n">
        <f aca="false">Operations!V778+Operations!V774</f>
        <v>10.2944589472123</v>
      </c>
      <c r="W779" s="20" t="n">
        <f aca="false">Operations!W778+Operations!W774</f>
        <v>10.0220093158412</v>
      </c>
      <c r="X779" s="20" t="n">
        <f aca="false">Operations!X778+Operations!X774</f>
        <v>9.89718440760569</v>
      </c>
      <c r="Y779" s="20" t="n">
        <f aca="false">Operations!Y778+Operations!Y774</f>
        <v>9.92719543676923</v>
      </c>
      <c r="Z779" s="20" t="n">
        <f aca="false">Operations!Z778+Operations!Z774</f>
        <v>10.0852031584582</v>
      </c>
      <c r="AA779" s="20" t="n">
        <f aca="false">Operations!AA778+Operations!AA774</f>
        <v>10.2450976578251</v>
      </c>
      <c r="AB779" s="20" t="n">
        <f aca="false">Operations!AB778+Operations!AB774</f>
        <v>10.4084962917669</v>
      </c>
      <c r="AC779" s="20" t="n">
        <f aca="false">Operations!AC778+Operations!AC774</f>
        <v>10.5737070652113</v>
      </c>
      <c r="AD779" s="20" t="n">
        <f aca="false">Operations!AD778+Operations!AD774</f>
        <v>10.7423347922317</v>
      </c>
      <c r="AE779" s="20" t="n">
        <f aca="false">Operations!AE778+Operations!AE774</f>
        <v>10.9127013547905</v>
      </c>
      <c r="AF779" s="20" t="n">
        <f aca="false">Operations!AF778+Operations!AF774</f>
        <v>11.0863991202736</v>
      </c>
      <c r="AG779" s="20" t="n">
        <f aca="false">Operations!AG778+Operations!AG774</f>
        <v>11.2633792491414</v>
      </c>
      <c r="AH779" s="20" t="n">
        <f aca="false">Operations!AH778+Operations!AH774</f>
        <v>11.4419842629492</v>
      </c>
      <c r="AI779" s="20" t="n">
        <f aca="false">Operations!AI778+Operations!AI774</f>
        <v>11.6237880764638</v>
      </c>
      <c r="AJ779" s="20" t="n">
        <f aca="false">Operations!AJ778+Operations!AJ774</f>
        <v>11.8087430101917</v>
      </c>
      <c r="AK779" s="20" t="n">
        <f aca="false">Operations!AK778+Operations!AK774</f>
        <v>11.9968017918203</v>
      </c>
      <c r="AL779" s="20" t="n">
        <f aca="false">Operations!AL778+Operations!AL774</f>
        <v>12.1879175534157</v>
      </c>
      <c r="AM779" s="20" t="n">
        <f aca="false">Operations!AM778+Operations!AM774</f>
        <v>12.382043828637</v>
      </c>
      <c r="AN779" s="20" t="n">
        <f aca="false">Operations!AN778+Operations!AN774</f>
        <v>12.5791345499689</v>
      </c>
      <c r="AO779" s="20" t="n">
        <f aca="false">Operations!AO778+Operations!AO774</f>
        <v>12.7791440459702</v>
      </c>
      <c r="AP779" s="20" t="n">
        <f aca="false">Operations!AP778+Operations!AP774</f>
        <v>12.9820270385394</v>
      </c>
      <c r="AQ779" s="20" t="n">
        <f aca="false">Operations!AQ778+Operations!AQ774</f>
        <v>13.1892906866419</v>
      </c>
      <c r="AR779" s="20" t="n">
        <f aca="false">Operations!AR778+Operations!AR774</f>
        <v>13.3993260279036</v>
      </c>
      <c r="AS779" s="20" t="n">
        <f aca="false">Operations!AS778+Operations!AS774</f>
        <v>13.6120890225018</v>
      </c>
      <c r="AT779" s="20" t="n">
        <f aca="false">Operations!AT778+Operations!AT774</f>
        <v>13.8290695090715</v>
      </c>
      <c r="AU779" s="20" t="n">
        <f aca="false">Operations!AU778+Operations!AU774</f>
        <v>14.0486784452275</v>
      </c>
    </row>
    <row r="780" customFormat="false" ht="15" hidden="false" customHeight="false" outlineLevel="0" collapsed="false">
      <c r="D780" s="0" t="s">
        <v>778</v>
      </c>
      <c r="E780" s="0" t="s">
        <v>47</v>
      </c>
      <c r="J780" s="20" t="n">
        <f aca="false">Operations!J779-Operations!J776-Operations!J777</f>
        <v>0</v>
      </c>
      <c r="K780" s="20" t="n">
        <f aca="false">Operations!K779-Operations!K776-Operations!K777</f>
        <v>0</v>
      </c>
      <c r="L780" s="20" t="n">
        <f aca="false">Operations!L779-Operations!L776-Operations!L777</f>
        <v>0.235148370701091</v>
      </c>
      <c r="M780" s="20" t="n">
        <f aca="false">Operations!M779-Operations!M776-Operations!M777</f>
        <v>3.47169852123576</v>
      </c>
      <c r="N780" s="20" t="n">
        <f aca="false">Operations!N779-Operations!N776-Operations!N777</f>
        <v>3.76156867070296</v>
      </c>
      <c r="O780" s="20" t="n">
        <f aca="false">Operations!O779-Operations!O776-Operations!O777</f>
        <v>3.85475252716946</v>
      </c>
      <c r="P780" s="20" t="n">
        <f aca="false">Operations!P779-Operations!P776-Operations!P777</f>
        <v>3.86394950743418</v>
      </c>
      <c r="Q780" s="20" t="n">
        <f aca="false">Operations!Q779-Operations!Q776-Operations!Q777</f>
        <v>3.82732060357171</v>
      </c>
      <c r="R780" s="20" t="n">
        <f aca="false">Operations!R779-Operations!R776-Operations!R777</f>
        <v>3.79309356919636</v>
      </c>
      <c r="S780" s="20" t="n">
        <f aca="false">Operations!S779-Operations!S776-Operations!S777</f>
        <v>3.72816776595202</v>
      </c>
      <c r="T780" s="20" t="n">
        <f aca="false">Operations!T779-Operations!T776-Operations!T777</f>
        <v>3.66136094849085</v>
      </c>
      <c r="U780" s="20" t="n">
        <f aca="false">Operations!U779-Operations!U776-Operations!U777</f>
        <v>3.59263825524821</v>
      </c>
      <c r="V780" s="20" t="n">
        <f aca="false">Operations!V779-Operations!V776-Operations!V777</f>
        <v>3.52196894721228</v>
      </c>
      <c r="W780" s="20" t="n">
        <f aca="false">Operations!W779-Operations!W776-Operations!W777</f>
        <v>10.0220093158412</v>
      </c>
      <c r="X780" s="20" t="n">
        <f aca="false">Operations!X779-Operations!X776-Operations!X777</f>
        <v>9.89718440760569</v>
      </c>
      <c r="Y780" s="20" t="n">
        <f aca="false">Operations!Y779-Operations!Y776-Operations!Y777</f>
        <v>9.92719543676923</v>
      </c>
      <c r="Z780" s="20" t="n">
        <f aca="false">Operations!Z779-Operations!Z776-Operations!Z777</f>
        <v>10.0852031584582</v>
      </c>
      <c r="AA780" s="20" t="n">
        <f aca="false">Operations!AA779-Operations!AA776-Operations!AA777</f>
        <v>10.2450976578251</v>
      </c>
      <c r="AB780" s="20" t="n">
        <f aca="false">Operations!AB779-Operations!AB776-Operations!AB777</f>
        <v>10.4084962917669</v>
      </c>
      <c r="AC780" s="20" t="n">
        <f aca="false">Operations!AC779-Operations!AC776-Operations!AC777</f>
        <v>10.5737070652113</v>
      </c>
      <c r="AD780" s="20" t="n">
        <f aca="false">Operations!AD779-Operations!AD776-Operations!AD777</f>
        <v>10.7423347922317</v>
      </c>
      <c r="AE780" s="20" t="n">
        <f aca="false">Operations!AE779-Operations!AE776-Operations!AE777</f>
        <v>10.9127013547905</v>
      </c>
      <c r="AF780" s="20" t="n">
        <f aca="false">Operations!AF779-Operations!AF776-Operations!AF777</f>
        <v>11.0863991202736</v>
      </c>
      <c r="AG780" s="20" t="n">
        <f aca="false">Operations!AG779-Operations!AG776-Operations!AG777</f>
        <v>11.2633792491414</v>
      </c>
      <c r="AH780" s="20" t="n">
        <f aca="false">Operations!AH779-Operations!AH776-Operations!AH777</f>
        <v>11.4419842629492</v>
      </c>
      <c r="AI780" s="20" t="n">
        <f aca="false">Operations!AI779-Operations!AI776-Operations!AI777</f>
        <v>11.6237880764638</v>
      </c>
      <c r="AJ780" s="20" t="n">
        <f aca="false">Operations!AJ779-Operations!AJ776-Operations!AJ777</f>
        <v>11.8087430101917</v>
      </c>
      <c r="AK780" s="20" t="n">
        <f aca="false">Operations!AK779-Operations!AK776-Operations!AK777</f>
        <v>11.9968017918203</v>
      </c>
      <c r="AL780" s="20" t="n">
        <f aca="false">Operations!AL779-Operations!AL776-Operations!AL777</f>
        <v>12.1879175534157</v>
      </c>
      <c r="AM780" s="20" t="n">
        <f aca="false">Operations!AM779-Operations!AM776-Operations!AM777</f>
        <v>12.382043828637</v>
      </c>
      <c r="AN780" s="20" t="n">
        <f aca="false">Operations!AN779-Operations!AN776-Operations!AN777</f>
        <v>12.5791345499689</v>
      </c>
      <c r="AO780" s="20" t="n">
        <f aca="false">Operations!AO779-Operations!AO776-Operations!AO777</f>
        <v>12.7791440459702</v>
      </c>
      <c r="AP780" s="20" t="n">
        <f aca="false">Operations!AP779-Operations!AP776-Operations!AP777</f>
        <v>12.9820270385394</v>
      </c>
      <c r="AQ780" s="20" t="n">
        <f aca="false">Operations!AQ779-Operations!AQ776-Operations!AQ777</f>
        <v>13.1892906866419</v>
      </c>
      <c r="AR780" s="20" t="n">
        <f aca="false">Operations!AR779-Operations!AR776-Operations!AR777</f>
        <v>13.3993260279036</v>
      </c>
      <c r="AS780" s="20" t="n">
        <f aca="false">Operations!AS779-Operations!AS776-Operations!AS777</f>
        <v>13.6120890225018</v>
      </c>
      <c r="AT780" s="20" t="n">
        <f aca="false">Operations!AT779-Operations!AT776-Operations!AT777</f>
        <v>13.8290695090715</v>
      </c>
      <c r="AU780" s="20" t="n">
        <f aca="false">Operations!AU779-Operations!AU776-Operations!AU777</f>
        <v>14.0486784452275</v>
      </c>
    </row>
    <row r="781" customFormat="false" ht="15" hidden="false" customHeight="false" outlineLevel="0" collapsed="false">
      <c r="D781" s="0" t="s">
        <v>779</v>
      </c>
      <c r="E781" s="0" t="s">
        <v>47</v>
      </c>
      <c r="J781" s="20" t="n">
        <f aca="false">Inputs!$F$173*Inputs!$F$169/1000*Time!J$9*Time!J$10*Operations!J760*Operations!$F$445</f>
        <v>0</v>
      </c>
      <c r="K781" s="20" t="n">
        <f aca="false">Inputs!$F$173*Inputs!$F$169/1000*Time!K$9*Time!K$10*Operations!K760*Operations!$F$445</f>
        <v>0</v>
      </c>
      <c r="L781" s="20" t="n">
        <f aca="false">Inputs!$F$173*Inputs!$F$169/1000*Time!L$9*Time!L$10*Operations!L760*Operations!$F$445</f>
        <v>0.0785682865573771</v>
      </c>
      <c r="M781" s="20" t="n">
        <f aca="false">Inputs!$F$173*Inputs!$F$169/1000*Time!M$9*Time!M$10*Operations!M760*Operations!$F$445</f>
        <v>2.4562410585</v>
      </c>
      <c r="N781" s="20" t="n">
        <f aca="false">Inputs!$F$173*Inputs!$F$169/1000*Time!N$9*Time!N$10*Operations!N760*Operations!$F$445</f>
        <v>2.5176470849625</v>
      </c>
      <c r="O781" s="20" t="n">
        <f aca="false">Inputs!$F$173*Inputs!$F$169/1000*Time!O$9*Time!O$10*Operations!O760*Operations!$F$445</f>
        <v>2.58058826208656</v>
      </c>
      <c r="P781" s="20" t="n">
        <f aca="false">Inputs!$F$173*Inputs!$F$169/1000*Time!P$9*Time!P$10*Operations!P760*Operations!$F$445</f>
        <v>2.64510296863873</v>
      </c>
      <c r="Q781" s="20" t="n">
        <f aca="false">Inputs!$F$173*Inputs!$F$169/1000*Time!Q$9*Time!Q$10*Operations!Q760*Operations!$F$445</f>
        <v>2.71123054285469</v>
      </c>
      <c r="R781" s="20" t="n">
        <f aca="false">Inputs!$F$173*Inputs!$F$169/1000*Time!R$9*Time!R$10*Operations!R760*Operations!$F$445</f>
        <v>2.77901130642606</v>
      </c>
      <c r="S781" s="20" t="n">
        <f aca="false">Inputs!$F$173*Inputs!$F$169/1000*Time!S$9*Time!S$10*Operations!S760*Operations!$F$445</f>
        <v>2.84848658908671</v>
      </c>
      <c r="T781" s="20" t="n">
        <f aca="false">Inputs!$F$173*Inputs!$F$169/1000*Time!T$9*Time!T$10*Operations!T760*Operations!$F$445</f>
        <v>2.91969875381388</v>
      </c>
      <c r="U781" s="20" t="n">
        <f aca="false">Inputs!$F$173*Inputs!$F$169/1000*Time!U$9*Time!U$10*Operations!U760*Operations!$F$445</f>
        <v>2.99269122265923</v>
      </c>
      <c r="V781" s="20" t="n">
        <f aca="false">Inputs!$F$173*Inputs!$F$169/1000*Time!V$9*Time!V$10*Operations!V760*Operations!$F$445</f>
        <v>3.06750850322571</v>
      </c>
      <c r="W781" s="20" t="n">
        <f aca="false">Inputs!$F$173*Inputs!$F$169/1000*Time!W$9*Time!W$10*Operations!W760*Operations!$F$445</f>
        <v>3.14419621580635</v>
      </c>
      <c r="X781" s="20" t="n">
        <f aca="false">Inputs!$F$173*Inputs!$F$169/1000*Time!X$9*Time!X$10*Operations!X760*Operations!$F$445</f>
        <v>3.22280112120151</v>
      </c>
      <c r="Y781" s="20" t="n">
        <f aca="false">Inputs!$F$173*Inputs!$F$169/1000*Time!Y$9*Time!Y$10*Operations!Y760*Operations!$F$445</f>
        <v>3.30337114923154</v>
      </c>
      <c r="Z781" s="20" t="n">
        <f aca="false">Inputs!$F$173*Inputs!$F$169/1000*Time!Z$9*Time!Z$10*Operations!Z760*Operations!$F$445</f>
        <v>3.38595542796233</v>
      </c>
      <c r="AA781" s="20" t="n">
        <f aca="false">Inputs!$F$173*Inputs!$F$169/1000*Time!AA$9*Time!AA$10*Operations!AA760*Operations!$F$445</f>
        <v>3.47060431366139</v>
      </c>
      <c r="AB781" s="20" t="n">
        <f aca="false">Inputs!$F$173*Inputs!$F$169/1000*Time!AB$9*Time!AB$10*Operations!AB760*Operations!$F$445</f>
        <v>3.55736942150293</v>
      </c>
      <c r="AC781" s="20" t="n">
        <f aca="false">Inputs!$F$173*Inputs!$F$169/1000*Time!AC$9*Time!AC$10*Operations!AC760*Operations!$F$445</f>
        <v>3.6463036570405</v>
      </c>
      <c r="AD781" s="20" t="n">
        <f aca="false">Inputs!$F$173*Inputs!$F$169/1000*Time!AD$9*Time!AD$10*Operations!AD760*Operations!$F$445</f>
        <v>3.73746124846651</v>
      </c>
      <c r="AE781" s="20" t="n">
        <f aca="false">Inputs!$F$173*Inputs!$F$169/1000*Time!AE$9*Time!AE$10*Operations!AE760*Operations!$F$445</f>
        <v>3.83089777967817</v>
      </c>
      <c r="AF781" s="20" t="n">
        <f aca="false">Inputs!$F$173*Inputs!$F$169/1000*Time!AF$9*Time!AF$10*Operations!AF760*Operations!$F$445</f>
        <v>3.92667022417013</v>
      </c>
      <c r="AG781" s="20" t="n">
        <f aca="false">Inputs!$F$173*Inputs!$F$169/1000*Time!AG$9*Time!AG$10*Operations!AG760*Operations!$F$445</f>
        <v>4.02483697977438</v>
      </c>
      <c r="AH781" s="20" t="n">
        <f aca="false">Inputs!$F$173*Inputs!$F$169/1000*Time!AH$9*Time!AH$10*Operations!AH760*Operations!$F$445</f>
        <v>4.12545790426874</v>
      </c>
      <c r="AI781" s="20" t="n">
        <f aca="false">Inputs!$F$173*Inputs!$F$169/1000*Time!AI$9*Time!AI$10*Operations!AI760*Operations!$F$445</f>
        <v>4.22859435187546</v>
      </c>
      <c r="AJ781" s="20" t="n">
        <f aca="false">Inputs!$F$173*Inputs!$F$169/1000*Time!AJ$9*Time!AJ$10*Operations!AJ760*Operations!$F$445</f>
        <v>4.33430921067234</v>
      </c>
      <c r="AK781" s="20" t="n">
        <f aca="false">Inputs!$F$173*Inputs!$F$169/1000*Time!AK$9*Time!AK$10*Operations!AK760*Operations!$F$445</f>
        <v>4.44266694093915</v>
      </c>
      <c r="AL781" s="20" t="n">
        <f aca="false">Inputs!$F$173*Inputs!$F$169/1000*Time!AL$9*Time!AL$10*Operations!AL760*Operations!$F$445</f>
        <v>4.55373361446263</v>
      </c>
      <c r="AM781" s="20" t="n">
        <f aca="false">Inputs!$F$173*Inputs!$F$169/1000*Time!AM$9*Time!AM$10*Operations!AM760*Operations!$F$445</f>
        <v>4.6675769548242</v>
      </c>
      <c r="AN781" s="20" t="n">
        <f aca="false">Inputs!$F$173*Inputs!$F$169/1000*Time!AN$9*Time!AN$10*Operations!AN760*Operations!$F$445</f>
        <v>4.7842663786948</v>
      </c>
      <c r="AO781" s="20" t="n">
        <f aca="false">Inputs!$F$173*Inputs!$F$169/1000*Time!AO$9*Time!AO$10*Operations!AO760*Operations!$F$445</f>
        <v>4.90387303816217</v>
      </c>
      <c r="AP781" s="20" t="n">
        <f aca="false">Inputs!$F$173*Inputs!$F$169/1000*Time!AP$9*Time!AP$10*Operations!AP760*Operations!$F$445</f>
        <v>5.02646986411622</v>
      </c>
      <c r="AQ781" s="20" t="n">
        <f aca="false">Inputs!$F$173*Inputs!$F$169/1000*Time!AQ$9*Time!AQ$10*Operations!AQ760*Operations!$F$445</f>
        <v>5.15213161071913</v>
      </c>
      <c r="AR781" s="20" t="n">
        <f aca="false">Inputs!$F$173*Inputs!$F$169/1000*Time!AR$9*Time!AR$10*Operations!AR760*Operations!$F$445</f>
        <v>5.28093490098711</v>
      </c>
      <c r="AS781" s="20" t="n">
        <f aca="false">Inputs!$F$173*Inputs!$F$169/1000*Time!AS$9*Time!AS$10*Operations!AS760*Operations!$F$445</f>
        <v>5.41295827351178</v>
      </c>
      <c r="AT781" s="20" t="n">
        <f aca="false">Inputs!$F$173*Inputs!$F$169/1000*Time!AT$9*Time!AT$10*Operations!AT760*Operations!$F$445</f>
        <v>5.54828223034958</v>
      </c>
      <c r="AU781" s="20" t="n">
        <f aca="false">Inputs!$F$173*Inputs!$F$169/1000*Time!AU$9*Time!AU$10*Operations!AU760*Operations!$F$445</f>
        <v>5.68698928610832</v>
      </c>
    </row>
    <row r="782" customFormat="false" ht="15" hidden="false" customHeight="false" outlineLevel="0" collapsed="false">
      <c r="D782" s="0" t="s">
        <v>780</v>
      </c>
      <c r="E782" s="0" t="s">
        <v>47</v>
      </c>
      <c r="J782" s="20" t="n">
        <f aca="false">0</f>
        <v>0</v>
      </c>
      <c r="K782" s="20" t="n">
        <f aca="false">0</f>
        <v>0</v>
      </c>
      <c r="L782" s="20" t="n">
        <f aca="false">0</f>
        <v>0</v>
      </c>
      <c r="M782" s="20" t="n">
        <f aca="false">0</f>
        <v>0</v>
      </c>
      <c r="N782" s="20" t="n">
        <f aca="false">0</f>
        <v>0</v>
      </c>
      <c r="O782" s="20" t="n">
        <f aca="false">0</f>
        <v>0</v>
      </c>
      <c r="P782" s="20" t="n">
        <f aca="false">0</f>
        <v>0</v>
      </c>
      <c r="Q782" s="20" t="n">
        <f aca="false">0</f>
        <v>0</v>
      </c>
      <c r="R782" s="20" t="n">
        <f aca="false">0</f>
        <v>0</v>
      </c>
      <c r="S782" s="20" t="n">
        <f aca="false">0</f>
        <v>0</v>
      </c>
      <c r="T782" s="20" t="n">
        <f aca="false">0</f>
        <v>0</v>
      </c>
      <c r="U782" s="20" t="n">
        <f aca="false">0</f>
        <v>0</v>
      </c>
      <c r="V782" s="20" t="n">
        <f aca="false">0</f>
        <v>0</v>
      </c>
      <c r="W782" s="20" t="n">
        <f aca="false">0</f>
        <v>0</v>
      </c>
      <c r="X782" s="20" t="n">
        <f aca="false">0</f>
        <v>0</v>
      </c>
      <c r="Y782" s="20" t="n">
        <f aca="false">0</f>
        <v>0</v>
      </c>
      <c r="Z782" s="20" t="n">
        <f aca="false">0</f>
        <v>0</v>
      </c>
      <c r="AA782" s="20" t="n">
        <f aca="false">0</f>
        <v>0</v>
      </c>
      <c r="AB782" s="20" t="n">
        <f aca="false">0</f>
        <v>0</v>
      </c>
      <c r="AC782" s="20" t="n">
        <f aca="false">0</f>
        <v>0</v>
      </c>
      <c r="AD782" s="20" t="n">
        <f aca="false">0</f>
        <v>0</v>
      </c>
      <c r="AE782" s="20" t="n">
        <f aca="false">0</f>
        <v>0</v>
      </c>
      <c r="AF782" s="20" t="n">
        <f aca="false">0</f>
        <v>0</v>
      </c>
      <c r="AG782" s="20" t="n">
        <f aca="false">0</f>
        <v>0</v>
      </c>
      <c r="AH782" s="20" t="n">
        <f aca="false">0</f>
        <v>0</v>
      </c>
      <c r="AI782" s="20" t="n">
        <f aca="false">0</f>
        <v>0</v>
      </c>
      <c r="AJ782" s="20" t="n">
        <f aca="false">0</f>
        <v>0</v>
      </c>
      <c r="AK782" s="20" t="n">
        <f aca="false">0</f>
        <v>0</v>
      </c>
      <c r="AL782" s="20" t="n">
        <f aca="false">0</f>
        <v>0</v>
      </c>
      <c r="AM782" s="20" t="n">
        <f aca="false">0</f>
        <v>0</v>
      </c>
      <c r="AN782" s="20" t="n">
        <f aca="false">0</f>
        <v>0</v>
      </c>
      <c r="AO782" s="20" t="n">
        <f aca="false">0</f>
        <v>0</v>
      </c>
      <c r="AP782" s="20" t="n">
        <f aca="false">0</f>
        <v>0</v>
      </c>
      <c r="AQ782" s="20" t="n">
        <f aca="false">0</f>
        <v>0</v>
      </c>
      <c r="AR782" s="20" t="n">
        <f aca="false">0</f>
        <v>0</v>
      </c>
      <c r="AS782" s="20" t="n">
        <f aca="false">0</f>
        <v>0</v>
      </c>
      <c r="AT782" s="20" t="n">
        <f aca="false">0</f>
        <v>0</v>
      </c>
      <c r="AU782" s="20" t="n">
        <f aca="false">0</f>
        <v>0</v>
      </c>
    </row>
    <row r="783" customFormat="false" ht="15" hidden="false" customHeight="false" outlineLevel="0" collapsed="false">
      <c r="D783" s="0" t="s">
        <v>781</v>
      </c>
      <c r="E783" s="0" t="s">
        <v>47</v>
      </c>
      <c r="J783" s="20" t="n">
        <f aca="false">Inputs!$F$243/100*Inputs!$F$174*Inputs!$F$169/1000*Time!J$9*Operations!J760</f>
        <v>0</v>
      </c>
      <c r="K783" s="20" t="n">
        <f aca="false">Inputs!$F$243/100*Inputs!$F$174*Inputs!$F$169/1000*Time!K$9*Operations!K760</f>
        <v>0</v>
      </c>
      <c r="L783" s="20" t="n">
        <f aca="false">Inputs!$F$243/100*Inputs!$F$174*Inputs!$F$169/1000*Time!L$9*Operations!L760</f>
        <v>0.000942462295081967</v>
      </c>
      <c r="M783" s="20" t="n">
        <f aca="false">Inputs!$F$243/100*Inputs!$F$174*Inputs!$F$169/1000*Time!M$9*Operations!M760</f>
        <v>0.0294637275</v>
      </c>
      <c r="N783" s="20" t="n">
        <f aca="false">Inputs!$F$243/100*Inputs!$F$174*Inputs!$F$169/1000*Time!N$9*Operations!N760</f>
        <v>0.0302003206875</v>
      </c>
      <c r="O783" s="20" t="n">
        <f aca="false">Inputs!$F$243/100*Inputs!$F$174*Inputs!$F$169/1000*Time!O$9*Operations!O760</f>
        <v>0.0309553287046875</v>
      </c>
      <c r="P783" s="20" t="n">
        <f aca="false">Inputs!$F$243/100*Inputs!$F$174*Inputs!$F$169/1000*Time!P$9*Operations!P760</f>
        <v>0.0317292119223047</v>
      </c>
      <c r="Q783" s="20" t="n">
        <f aca="false">Inputs!$F$243/100*Inputs!$F$174*Inputs!$F$169/1000*Time!Q$9*Operations!Q760</f>
        <v>0.0325224422203623</v>
      </c>
      <c r="R783" s="20" t="n">
        <f aca="false">Inputs!$F$243/100*Inputs!$F$174*Inputs!$F$169/1000*Time!R$9*Operations!R760</f>
        <v>0.0333355032758713</v>
      </c>
      <c r="S783" s="20" t="n">
        <f aca="false">Inputs!$F$243/100*Inputs!$F$174*Inputs!$F$169/1000*Time!S$9*Operations!S760</f>
        <v>0.0341688908577681</v>
      </c>
      <c r="T783" s="20" t="n">
        <f aca="false">Inputs!$F$243/100*Inputs!$F$174*Inputs!$F$169/1000*Time!T$9*Operations!T760</f>
        <v>0.0350231131292123</v>
      </c>
      <c r="U783" s="20" t="n">
        <f aca="false">Inputs!$F$243/100*Inputs!$F$174*Inputs!$F$169/1000*Time!U$9*Operations!U760</f>
        <v>0.0358986909574426</v>
      </c>
      <c r="V783" s="20" t="n">
        <f aca="false">Inputs!$F$243/100*Inputs!$F$174*Inputs!$F$169/1000*Time!V$9*Operations!V760</f>
        <v>0.0367961582313787</v>
      </c>
      <c r="W783" s="20" t="n">
        <f aca="false">Inputs!$F$243/100*Inputs!$F$174*Inputs!$F$169/1000*Time!W$9*Operations!W760</f>
        <v>0.0377160621871632</v>
      </c>
      <c r="X783" s="20" t="n">
        <f aca="false">Inputs!$F$243/100*Inputs!$F$174*Inputs!$F$169/1000*Time!X$9*Operations!X760</f>
        <v>0.0386589637418422</v>
      </c>
      <c r="Y783" s="20" t="n">
        <f aca="false">Inputs!$F$243/100*Inputs!$F$174*Inputs!$F$169/1000*Time!Y$9*Operations!Y760</f>
        <v>0.0396254378353883</v>
      </c>
      <c r="Z783" s="20" t="n">
        <f aca="false">Inputs!$F$243/100*Inputs!$F$174*Inputs!$F$169/1000*Time!Z$9*Operations!Z760</f>
        <v>0.040616073781273</v>
      </c>
      <c r="AA783" s="20" t="n">
        <f aca="false">Inputs!$F$243/100*Inputs!$F$174*Inputs!$F$169/1000*Time!AA$9*Operations!AA760</f>
        <v>0.0416314756258048</v>
      </c>
      <c r="AB783" s="20" t="n">
        <f aca="false">Inputs!$F$243/100*Inputs!$F$174*Inputs!$F$169/1000*Time!AB$9*Operations!AB760</f>
        <v>0.0426722625164499</v>
      </c>
      <c r="AC783" s="20" t="n">
        <f aca="false">Inputs!$F$243/100*Inputs!$F$174*Inputs!$F$169/1000*Time!AC$9*Operations!AC760</f>
        <v>0.0437390690793612</v>
      </c>
      <c r="AD783" s="20" t="n">
        <f aca="false">Inputs!$F$243/100*Inputs!$F$174*Inputs!$F$169/1000*Time!AD$9*Operations!AD760</f>
        <v>0.0448325458063452</v>
      </c>
      <c r="AE783" s="20" t="n">
        <f aca="false">Inputs!$F$243/100*Inputs!$F$174*Inputs!$F$169/1000*Time!AE$9*Operations!AE760</f>
        <v>0.0459533594515038</v>
      </c>
      <c r="AF783" s="20" t="n">
        <f aca="false">Inputs!$F$243/100*Inputs!$F$174*Inputs!$F$169/1000*Time!AF$9*Operations!AF760</f>
        <v>0.0471021934377914</v>
      </c>
      <c r="AG783" s="20" t="n">
        <f aca="false">Inputs!$F$243/100*Inputs!$F$174*Inputs!$F$169/1000*Time!AG$9*Operations!AG760</f>
        <v>0.0482797482737362</v>
      </c>
      <c r="AH783" s="20" t="n">
        <f aca="false">Inputs!$F$243/100*Inputs!$F$174*Inputs!$F$169/1000*Time!AH$9*Operations!AH760</f>
        <v>0.0494867419805796</v>
      </c>
      <c r="AI783" s="20" t="n">
        <f aca="false">Inputs!$F$243/100*Inputs!$F$174*Inputs!$F$169/1000*Time!AI$9*Operations!AI760</f>
        <v>0.0507239105300941</v>
      </c>
      <c r="AJ783" s="20" t="n">
        <f aca="false">Inputs!$F$243/100*Inputs!$F$174*Inputs!$F$169/1000*Time!AJ$9*Operations!AJ760</f>
        <v>0.0519920082933464</v>
      </c>
      <c r="AK783" s="20" t="n">
        <f aca="false">Inputs!$F$243/100*Inputs!$F$174*Inputs!$F$169/1000*Time!AK$9*Operations!AK760</f>
        <v>0.0532918085006801</v>
      </c>
      <c r="AL783" s="20" t="n">
        <f aca="false">Inputs!$F$243/100*Inputs!$F$174*Inputs!$F$169/1000*Time!AL$9*Operations!AL760</f>
        <v>0.0546241037131971</v>
      </c>
      <c r="AM783" s="20" t="n">
        <f aca="false">Inputs!$F$243/100*Inputs!$F$174*Inputs!$F$169/1000*Time!AM$9*Operations!AM760</f>
        <v>0.055989706306027</v>
      </c>
      <c r="AN783" s="20" t="n">
        <f aca="false">Inputs!$F$243/100*Inputs!$F$174*Inputs!$F$169/1000*Time!AN$9*Operations!AN760</f>
        <v>0.0573894489636777</v>
      </c>
      <c r="AO783" s="20" t="n">
        <f aca="false">Inputs!$F$243/100*Inputs!$F$174*Inputs!$F$169/1000*Time!AO$9*Operations!AO760</f>
        <v>0.0588241851877696</v>
      </c>
      <c r="AP783" s="20" t="n">
        <f aca="false">Inputs!$F$243/100*Inputs!$F$174*Inputs!$F$169/1000*Time!AP$9*Operations!AP760</f>
        <v>0.0602947898174638</v>
      </c>
      <c r="AQ783" s="20" t="n">
        <f aca="false">Inputs!$F$243/100*Inputs!$F$174*Inputs!$F$169/1000*Time!AQ$9*Operations!AQ760</f>
        <v>0.0618021595629004</v>
      </c>
      <c r="AR783" s="20" t="n">
        <f aca="false">Inputs!$F$243/100*Inputs!$F$174*Inputs!$F$169/1000*Time!AR$9*Operations!AR760</f>
        <v>0.0633472135519729</v>
      </c>
      <c r="AS783" s="20" t="n">
        <f aca="false">Inputs!$F$243/100*Inputs!$F$174*Inputs!$F$169/1000*Time!AS$9*Operations!AS760</f>
        <v>0.0649308938907723</v>
      </c>
      <c r="AT783" s="20" t="n">
        <f aca="false">Inputs!$F$243/100*Inputs!$F$174*Inputs!$F$169/1000*Time!AT$9*Operations!AT760</f>
        <v>0.0665541662380415</v>
      </c>
      <c r="AU783" s="20" t="n">
        <f aca="false">Inputs!$F$243/100*Inputs!$F$174*Inputs!$F$169/1000*Time!AU$9*Operations!AU760</f>
        <v>0.0682180203939926</v>
      </c>
    </row>
    <row r="784" customFormat="false" ht="15" hidden="false" customHeight="false" outlineLevel="0" collapsed="false">
      <c r="D784" s="0" t="s">
        <v>782</v>
      </c>
      <c r="E784" s="0" t="s">
        <v>47</v>
      </c>
      <c r="J784" s="20" t="n">
        <f aca="false">Inputs!$F$244/100*Inputs!$F$245/100*Operations!J779</f>
        <v>0</v>
      </c>
      <c r="K784" s="20" t="n">
        <f aca="false">Inputs!$F$244/100*Inputs!$F$245/100*Operations!K779</f>
        <v>0</v>
      </c>
      <c r="L784" s="20" t="n">
        <f aca="false">Inputs!$F$244/100*Inputs!$F$245/100*Operations!L779</f>
        <v>0.00123452894618073</v>
      </c>
      <c r="M784" s="20" t="n">
        <f aca="false">Inputs!$F$244/100*Inputs!$F$245/100*Operations!M779</f>
        <v>0.0537819897364877</v>
      </c>
      <c r="N784" s="20" t="n">
        <f aca="false">Inputs!$F$244/100*Inputs!$F$245/100*Operations!N779</f>
        <v>0.0553038080211905</v>
      </c>
      <c r="O784" s="20" t="n">
        <f aca="false">Inputs!$F$244/100*Inputs!$F$245/100*Operations!O779</f>
        <v>0.0557930232676396</v>
      </c>
      <c r="P784" s="20" t="n">
        <f aca="false">Inputs!$F$244/100*Inputs!$F$245/100*Operations!P779</f>
        <v>0.0558413074140294</v>
      </c>
      <c r="Q784" s="20" t="n">
        <f aca="false">Inputs!$F$244/100*Inputs!$F$245/100*Operations!Q779</f>
        <v>0.0556490056687515</v>
      </c>
      <c r="R784" s="20" t="n">
        <f aca="false">Inputs!$F$244/100*Inputs!$F$245/100*Operations!R779</f>
        <v>0.0554693137382809</v>
      </c>
      <c r="S784" s="20" t="n">
        <f aca="false">Inputs!$F$244/100*Inputs!$F$245/100*Operations!S779</f>
        <v>0.0551284532712481</v>
      </c>
      <c r="T784" s="20" t="n">
        <f aca="false">Inputs!$F$244/100*Inputs!$F$245/100*Operations!T779</f>
        <v>0.0547777174795769</v>
      </c>
      <c r="U784" s="20" t="n">
        <f aca="false">Inputs!$F$244/100*Inputs!$F$245/100*Operations!U779</f>
        <v>0.0544169233400531</v>
      </c>
      <c r="V784" s="20" t="n">
        <f aca="false">Inputs!$F$244/100*Inputs!$F$245/100*Operations!V779</f>
        <v>0.0540459094728645</v>
      </c>
      <c r="W784" s="20" t="n">
        <f aca="false">Inputs!$F$244/100*Inputs!$F$245/100*Operations!W779</f>
        <v>0.052615548908166</v>
      </c>
      <c r="X784" s="20" t="n">
        <f aca="false">Inputs!$F$244/100*Inputs!$F$245/100*Operations!X779</f>
        <v>0.0519602181399299</v>
      </c>
      <c r="Y784" s="20" t="n">
        <f aca="false">Inputs!$F$244/100*Inputs!$F$245/100*Operations!Y779</f>
        <v>0.0521177760430385</v>
      </c>
      <c r="Z784" s="20" t="n">
        <f aca="false">Inputs!$F$244/100*Inputs!$F$245/100*Operations!Z779</f>
        <v>0.0529473165819053</v>
      </c>
      <c r="AA784" s="20" t="n">
        <f aca="false">Inputs!$F$244/100*Inputs!$F$245/100*Operations!AA779</f>
        <v>0.0537867627035818</v>
      </c>
      <c r="AB784" s="20" t="n">
        <f aca="false">Inputs!$F$244/100*Inputs!$F$245/100*Operations!AB779</f>
        <v>0.0546446055317762</v>
      </c>
      <c r="AC784" s="20" t="n">
        <f aca="false">Inputs!$F$244/100*Inputs!$F$245/100*Operations!AC779</f>
        <v>0.0555119620923594</v>
      </c>
      <c r="AD784" s="20" t="n">
        <f aca="false">Inputs!$F$244/100*Inputs!$F$245/100*Operations!AD779</f>
        <v>0.0563972576592166</v>
      </c>
      <c r="AE784" s="20" t="n">
        <f aca="false">Inputs!$F$244/100*Inputs!$F$245/100*Operations!AE779</f>
        <v>0.0572916821126504</v>
      </c>
      <c r="AF784" s="20" t="n">
        <f aca="false">Inputs!$F$244/100*Inputs!$F$245/100*Operations!AF779</f>
        <v>0.0582035953814364</v>
      </c>
      <c r="AG784" s="20" t="n">
        <f aca="false">Inputs!$F$244/100*Inputs!$F$245/100*Operations!AG779</f>
        <v>0.0591327410579923</v>
      </c>
      <c r="AH784" s="20" t="n">
        <f aca="false">Inputs!$F$244/100*Inputs!$F$245/100*Operations!AH779</f>
        <v>0.0600704173804833</v>
      </c>
      <c r="AI784" s="20" t="n">
        <f aca="false">Inputs!$F$244/100*Inputs!$F$245/100*Operations!AI779</f>
        <v>0.0610248874014348</v>
      </c>
      <c r="AJ784" s="20" t="n">
        <f aca="false">Inputs!$F$244/100*Inputs!$F$245/100*Operations!AJ779</f>
        <v>0.0619959008035063</v>
      </c>
      <c r="AK784" s="20" t="n">
        <f aca="false">Inputs!$F$244/100*Inputs!$F$245/100*Operations!AK779</f>
        <v>0.0629832094070567</v>
      </c>
      <c r="AL784" s="20" t="n">
        <f aca="false">Inputs!$F$244/100*Inputs!$F$245/100*Operations!AL779</f>
        <v>0.0639865671554322</v>
      </c>
      <c r="AM784" s="20" t="n">
        <f aca="false">Inputs!$F$244/100*Inputs!$F$245/100*Operations!AM779</f>
        <v>0.0650057301003441</v>
      </c>
      <c r="AN784" s="20" t="n">
        <f aca="false">Inputs!$F$244/100*Inputs!$F$245/100*Operations!AN779</f>
        <v>0.0660404563873368</v>
      </c>
      <c r="AO784" s="20" t="n">
        <f aca="false">Inputs!$F$244/100*Inputs!$F$245/100*Operations!AO779</f>
        <v>0.0670905062413437</v>
      </c>
      <c r="AP784" s="20" t="n">
        <f aca="false">Inputs!$F$244/100*Inputs!$F$245/100*Operations!AP779</f>
        <v>0.068155641952332</v>
      </c>
      <c r="AQ784" s="20" t="n">
        <f aca="false">Inputs!$F$244/100*Inputs!$F$245/100*Operations!AQ779</f>
        <v>0.0692437761048702</v>
      </c>
      <c r="AR784" s="20" t="n">
        <f aca="false">Inputs!$F$244/100*Inputs!$F$245/100*Operations!AR779</f>
        <v>0.0703464616464941</v>
      </c>
      <c r="AS784" s="20" t="n">
        <f aca="false">Inputs!$F$244/100*Inputs!$F$245/100*Operations!AS779</f>
        <v>0.0714634673681342</v>
      </c>
      <c r="AT784" s="20" t="n">
        <f aca="false">Inputs!$F$244/100*Inputs!$F$245/100*Operations!AT779</f>
        <v>0.0726026149226254</v>
      </c>
      <c r="AU784" s="20" t="n">
        <f aca="false">Inputs!$F$244/100*Inputs!$F$245/100*Operations!AU779</f>
        <v>0.0737555618374446</v>
      </c>
    </row>
    <row r="785" customFormat="false" ht="15" hidden="false" customHeight="false" outlineLevel="0" collapsed="false">
      <c r="D785" s="0" t="s">
        <v>783</v>
      </c>
      <c r="E785" s="0" t="s">
        <v>47</v>
      </c>
      <c r="G785" s="20" t="n">
        <f aca="false">SUM(J785:AU785)</f>
        <v>259.355677865407</v>
      </c>
      <c r="J785" s="20" t="n">
        <f aca="false">Operations!J779-Operations!J781-Operations!J782-Operations!J783-Operations!J784</f>
        <v>0</v>
      </c>
      <c r="K785" s="20" t="n">
        <f aca="false">Operations!K779-Operations!K781-Operations!K782-Operations!K783-Operations!K784</f>
        <v>0</v>
      </c>
      <c r="L785" s="20" t="n">
        <f aca="false">Operations!L779-Operations!L781-Operations!L782-Operations!L783-Operations!L784</f>
        <v>0.154403092902451</v>
      </c>
      <c r="M785" s="20" t="n">
        <f aca="false">Operations!M779-Operations!M781-Operations!M782-Operations!M783-Operations!M784</f>
        <v>7.70470174549927</v>
      </c>
      <c r="N785" s="20" t="n">
        <f aca="false">Operations!N779-Operations!N781-Operations!N782-Operations!N783-Operations!N784</f>
        <v>7.93090745703177</v>
      </c>
      <c r="O785" s="20" t="n">
        <f aca="false">Operations!O779-Operations!O781-Operations!O782-Operations!O783-Operations!O784</f>
        <v>7.95990591311057</v>
      </c>
      <c r="P785" s="20" t="n">
        <f aca="false">Operations!P779-Operations!P781-Operations!P782-Operations!P783-Operations!P784</f>
        <v>7.90376601945912</v>
      </c>
      <c r="Q785" s="20" t="n">
        <f aca="false">Operations!Q779-Operations!Q781-Operations!Q782-Operations!Q783-Operations!Q784</f>
        <v>7.8004086128279</v>
      </c>
      <c r="R785" s="20" t="n">
        <f aca="false">Operations!R779-Operations!R781-Operations!R782-Operations!R783-Operations!R784</f>
        <v>7.69776744575615</v>
      </c>
      <c r="S785" s="20" t="n">
        <f aca="false">Operations!S779-Operations!S781-Operations!S782-Operations!S783-Operations!S784</f>
        <v>7.56287383273629</v>
      </c>
      <c r="T785" s="20" t="n">
        <f aca="false">Operations!T779-Operations!T781-Operations!T782-Operations!T783-Operations!T784</f>
        <v>7.42435136406818</v>
      </c>
      <c r="U785" s="20" t="n">
        <f aca="false">Operations!U779-Operations!U781-Operations!U782-Operations!U783-Operations!U784</f>
        <v>7.28212141829149</v>
      </c>
      <c r="V785" s="20" t="n">
        <f aca="false">Operations!V779-Operations!V781-Operations!V782-Operations!V783-Operations!V784</f>
        <v>7.13610837628233</v>
      </c>
      <c r="W785" s="20" t="n">
        <f aca="false">Operations!W779-Operations!W781-Operations!W782-Operations!W783-Operations!W784</f>
        <v>6.78748148893947</v>
      </c>
      <c r="X785" s="20" t="n">
        <f aca="false">Operations!X779-Operations!X781-Operations!X782-Operations!X783-Operations!X784</f>
        <v>6.58376410452241</v>
      </c>
      <c r="Y785" s="20" t="n">
        <f aca="false">Operations!Y779-Operations!Y781-Operations!Y782-Operations!Y783-Operations!Y784</f>
        <v>6.53208107365926</v>
      </c>
      <c r="Z785" s="20" t="n">
        <f aca="false">Operations!Z779-Operations!Z781-Operations!Z782-Operations!Z783-Operations!Z784</f>
        <v>6.60568434013264</v>
      </c>
      <c r="AA785" s="20" t="n">
        <f aca="false">Operations!AA779-Operations!AA781-Operations!AA782-Operations!AA783-Operations!AA784</f>
        <v>6.67907510583432</v>
      </c>
      <c r="AB785" s="20" t="n">
        <f aca="false">Operations!AB779-Operations!AB781-Operations!AB782-Operations!AB783-Operations!AB784</f>
        <v>6.75381000221574</v>
      </c>
      <c r="AC785" s="20" t="n">
        <f aca="false">Operations!AC779-Operations!AC781-Operations!AC782-Operations!AC783-Operations!AC784</f>
        <v>6.8281523769991</v>
      </c>
      <c r="AD785" s="20" t="n">
        <f aca="false">Operations!AD779-Operations!AD781-Operations!AD782-Operations!AD783-Operations!AD784</f>
        <v>6.90364374029967</v>
      </c>
      <c r="AE785" s="20" t="n">
        <f aca="false">Operations!AE779-Operations!AE781-Operations!AE782-Operations!AE783-Operations!AE784</f>
        <v>6.97855853354822</v>
      </c>
      <c r="AF785" s="20" t="n">
        <f aca="false">Operations!AF779-Operations!AF781-Operations!AF782-Operations!AF783-Operations!AF784</f>
        <v>7.05442310728425</v>
      </c>
      <c r="AG785" s="20" t="n">
        <f aca="false">Operations!AG779-Operations!AG781-Operations!AG782-Operations!AG783-Operations!AG784</f>
        <v>7.13112978003527</v>
      </c>
      <c r="AH785" s="20" t="n">
        <f aca="false">Operations!AH779-Operations!AH781-Operations!AH782-Operations!AH783-Operations!AH784</f>
        <v>7.2069691993194</v>
      </c>
      <c r="AI785" s="20" t="n">
        <f aca="false">Operations!AI779-Operations!AI781-Operations!AI782-Operations!AI783-Operations!AI784</f>
        <v>7.28344492665678</v>
      </c>
      <c r="AJ785" s="20" t="n">
        <f aca="false">Operations!AJ779-Operations!AJ781-Operations!AJ782-Operations!AJ783-Operations!AJ784</f>
        <v>7.36044589042248</v>
      </c>
      <c r="AK785" s="20" t="n">
        <f aca="false">Operations!AK779-Operations!AK781-Operations!AK782-Operations!AK783-Operations!AK784</f>
        <v>7.43785983297344</v>
      </c>
      <c r="AL785" s="20" t="n">
        <f aca="false">Operations!AL779-Operations!AL781-Operations!AL782-Operations!AL783-Operations!AL784</f>
        <v>7.51557326808439</v>
      </c>
      <c r="AM785" s="20" t="n">
        <f aca="false">Operations!AM779-Operations!AM781-Operations!AM782-Operations!AM783-Operations!AM784</f>
        <v>7.59347143740641</v>
      </c>
      <c r="AN785" s="20" t="n">
        <f aca="false">Operations!AN779-Operations!AN781-Operations!AN782-Operations!AN783-Operations!AN784</f>
        <v>7.67143826592311</v>
      </c>
      <c r="AO785" s="20" t="n">
        <f aca="false">Operations!AO779-Operations!AO781-Operations!AO782-Operations!AO783-Operations!AO784</f>
        <v>7.74935631637894</v>
      </c>
      <c r="AP785" s="20" t="n">
        <f aca="false">Operations!AP779-Operations!AP781-Operations!AP782-Operations!AP783-Operations!AP784</f>
        <v>7.82710674265341</v>
      </c>
      <c r="AQ785" s="20" t="n">
        <f aca="false">Operations!AQ779-Operations!AQ781-Operations!AQ782-Operations!AQ783-Operations!AQ784</f>
        <v>7.90611314025504</v>
      </c>
      <c r="AR785" s="20" t="n">
        <f aca="false">Operations!AR779-Operations!AR781-Operations!AR782-Operations!AR783-Operations!AR784</f>
        <v>7.98469745171806</v>
      </c>
      <c r="AS785" s="20" t="n">
        <f aca="false">Operations!AS779-Operations!AS781-Operations!AS782-Operations!AS783-Operations!AS784</f>
        <v>8.06273638773107</v>
      </c>
      <c r="AT785" s="20" t="n">
        <f aca="false">Operations!AT779-Operations!AT781-Operations!AT782-Operations!AT783-Operations!AT784</f>
        <v>8.14163049756126</v>
      </c>
      <c r="AU785" s="20" t="n">
        <f aca="false">Operations!AU779-Operations!AU781-Operations!AU782-Operations!AU783-Operations!AU784</f>
        <v>8.21971557688779</v>
      </c>
    </row>
    <row r="786" customFormat="false" ht="15" hidden="false" customHeight="false" outlineLevel="0" collapsed="false">
      <c r="D786" s="0" t="s">
        <v>784</v>
      </c>
      <c r="E786" s="0" t="s">
        <v>47</v>
      </c>
      <c r="J786" s="20" t="n">
        <f aca="false">0</f>
        <v>0</v>
      </c>
      <c r="K786" s="20" t="n">
        <f aca="false">0</f>
        <v>0</v>
      </c>
      <c r="L786" s="20" t="n">
        <f aca="false">0</f>
        <v>0</v>
      </c>
      <c r="M786" s="20" t="n">
        <f aca="false">0</f>
        <v>0</v>
      </c>
      <c r="N786" s="20" t="n">
        <f aca="false">0</f>
        <v>0</v>
      </c>
      <c r="O786" s="20" t="n">
        <f aca="false">0</f>
        <v>0</v>
      </c>
      <c r="P786" s="20" t="n">
        <f aca="false">0</f>
        <v>0</v>
      </c>
      <c r="Q786" s="20" t="n">
        <f aca="false">0</f>
        <v>0</v>
      </c>
      <c r="R786" s="20" t="n">
        <f aca="false">0</f>
        <v>0</v>
      </c>
      <c r="S786" s="20" t="n">
        <f aca="false">0</f>
        <v>0</v>
      </c>
      <c r="T786" s="20" t="n">
        <f aca="false">0</f>
        <v>0</v>
      </c>
      <c r="U786" s="20" t="n">
        <f aca="false">0</f>
        <v>0</v>
      </c>
      <c r="V786" s="20" t="n">
        <f aca="false">0</f>
        <v>0</v>
      </c>
      <c r="W786" s="20" t="n">
        <f aca="false">0</f>
        <v>0</v>
      </c>
      <c r="X786" s="20" t="n">
        <f aca="false">0</f>
        <v>0</v>
      </c>
      <c r="Y786" s="20" t="n">
        <f aca="false">0</f>
        <v>0</v>
      </c>
      <c r="Z786" s="20" t="n">
        <f aca="false">0</f>
        <v>0</v>
      </c>
      <c r="AA786" s="20" t="n">
        <f aca="false">0</f>
        <v>0</v>
      </c>
      <c r="AB786" s="20" t="n">
        <f aca="false">0</f>
        <v>0</v>
      </c>
      <c r="AC786" s="20" t="n">
        <f aca="false">0</f>
        <v>0</v>
      </c>
      <c r="AD786" s="20" t="n">
        <f aca="false">0</f>
        <v>0</v>
      </c>
      <c r="AE786" s="20" t="n">
        <f aca="false">0</f>
        <v>0</v>
      </c>
      <c r="AF786" s="20" t="n">
        <f aca="false">0</f>
        <v>0</v>
      </c>
      <c r="AG786" s="20" t="n">
        <f aca="false">0</f>
        <v>0</v>
      </c>
      <c r="AH786" s="20" t="n">
        <f aca="false">0</f>
        <v>0</v>
      </c>
      <c r="AI786" s="20" t="n">
        <f aca="false">0</f>
        <v>0</v>
      </c>
      <c r="AJ786" s="20" t="n">
        <f aca="false">0</f>
        <v>0</v>
      </c>
      <c r="AK786" s="20" t="n">
        <f aca="false">0</f>
        <v>0</v>
      </c>
      <c r="AL786" s="20" t="n">
        <f aca="false">0</f>
        <v>0</v>
      </c>
      <c r="AM786" s="20" t="n">
        <f aca="false">0</f>
        <v>0</v>
      </c>
      <c r="AN786" s="20" t="n">
        <f aca="false">0</f>
        <v>0</v>
      </c>
      <c r="AO786" s="20" t="n">
        <f aca="false">0</f>
        <v>0</v>
      </c>
      <c r="AP786" s="20" t="n">
        <f aca="false">0</f>
        <v>0</v>
      </c>
      <c r="AQ786" s="20" t="n">
        <f aca="false">0</f>
        <v>0</v>
      </c>
      <c r="AR786" s="20" t="n">
        <f aca="false">0</f>
        <v>0</v>
      </c>
      <c r="AS786" s="20" t="n">
        <f aca="false">0</f>
        <v>0</v>
      </c>
      <c r="AT786" s="20" t="n">
        <f aca="false">0</f>
        <v>0</v>
      </c>
      <c r="AU786" s="20" t="n">
        <f aca="false">0</f>
        <v>0</v>
      </c>
    </row>
    <row r="787" customFormat="false" ht="15" hidden="false" customHeight="false" outlineLevel="0" collapsed="false">
      <c r="D787" s="0" t="s">
        <v>785</v>
      </c>
      <c r="E787" s="0" t="s">
        <v>47</v>
      </c>
      <c r="J787" s="20" t="n">
        <f aca="false">IF(Time!J$4=YEAR(Inputs!$F$171),Inputs!$F$174*Inputs!$F$169/1000*Time!J$9,0)</f>
        <v>0</v>
      </c>
      <c r="K787" s="20" t="n">
        <f aca="false">IF(Time!K$4=YEAR(Inputs!$F$171),Inputs!$F$174*Inputs!$F$169/1000*Time!K$9,0)</f>
        <v>0</v>
      </c>
      <c r="L787" s="20" t="n">
        <f aca="false">IF(Time!L$4=YEAR(Inputs!$F$171),Inputs!$F$174*Inputs!$F$169/1000*Time!L$9,0)</f>
        <v>0</v>
      </c>
      <c r="M787" s="20" t="n">
        <f aca="false">IF(Time!M$4=YEAR(Inputs!$F$171),Inputs!$F$174*Inputs!$F$169/1000*Time!M$9,0)</f>
        <v>0</v>
      </c>
      <c r="N787" s="20" t="n">
        <f aca="false">IF(Time!N$4=YEAR(Inputs!$F$171),Inputs!$F$174*Inputs!$F$169/1000*Time!N$9,0)</f>
        <v>0</v>
      </c>
      <c r="O787" s="20" t="n">
        <f aca="false">IF(Time!O$4=YEAR(Inputs!$F$171),Inputs!$F$174*Inputs!$F$169/1000*Time!O$9,0)</f>
        <v>0</v>
      </c>
      <c r="P787" s="20" t="n">
        <f aca="false">IF(Time!P$4=YEAR(Inputs!$F$171),Inputs!$F$174*Inputs!$F$169/1000*Time!P$9,0)</f>
        <v>0</v>
      </c>
      <c r="Q787" s="20" t="n">
        <f aca="false">IF(Time!Q$4=YEAR(Inputs!$F$171),Inputs!$F$174*Inputs!$F$169/1000*Time!Q$9,0)</f>
        <v>0</v>
      </c>
      <c r="R787" s="20" t="n">
        <f aca="false">IF(Time!R$4=YEAR(Inputs!$F$171),Inputs!$F$174*Inputs!$F$169/1000*Time!R$9,0)</f>
        <v>0</v>
      </c>
      <c r="S787" s="20" t="n">
        <f aca="false">IF(Time!S$4=YEAR(Inputs!$F$171),Inputs!$F$174*Inputs!$F$169/1000*Time!S$9,0)</f>
        <v>0</v>
      </c>
      <c r="T787" s="20" t="n">
        <f aca="false">IF(Time!T$4=YEAR(Inputs!$F$171),Inputs!$F$174*Inputs!$F$169/1000*Time!T$9,0)</f>
        <v>0</v>
      </c>
      <c r="U787" s="20" t="n">
        <f aca="false">IF(Time!U$4=YEAR(Inputs!$F$171),Inputs!$F$174*Inputs!$F$169/1000*Time!U$9,0)</f>
        <v>0</v>
      </c>
      <c r="V787" s="20" t="n">
        <f aca="false">IF(Time!V$4=YEAR(Inputs!$F$171),Inputs!$F$174*Inputs!$F$169/1000*Time!V$9,0)</f>
        <v>0</v>
      </c>
      <c r="W787" s="20" t="n">
        <f aca="false">IF(Time!W$4=YEAR(Inputs!$F$171),Inputs!$F$174*Inputs!$F$169/1000*Time!W$9,0)</f>
        <v>0</v>
      </c>
      <c r="X787" s="20" t="n">
        <f aca="false">IF(Time!X$4=YEAR(Inputs!$F$171),Inputs!$F$174*Inputs!$F$169/1000*Time!X$9,0)</f>
        <v>0</v>
      </c>
      <c r="Y787" s="20" t="n">
        <f aca="false">IF(Time!Y$4=YEAR(Inputs!$F$171),Inputs!$F$174*Inputs!$F$169/1000*Time!Y$9,0)</f>
        <v>0</v>
      </c>
      <c r="Z787" s="20" t="n">
        <f aca="false">IF(Time!Z$4=YEAR(Inputs!$F$171),Inputs!$F$174*Inputs!$F$169/1000*Time!Z$9,0)</f>
        <v>0</v>
      </c>
      <c r="AA787" s="20" t="n">
        <f aca="false">IF(Time!AA$4=YEAR(Inputs!$F$171),Inputs!$F$174*Inputs!$F$169/1000*Time!AA$9,0)</f>
        <v>0</v>
      </c>
      <c r="AB787" s="20" t="n">
        <f aca="false">IF(Time!AB$4=YEAR(Inputs!$F$171),Inputs!$F$174*Inputs!$F$169/1000*Time!AB$9,0)</f>
        <v>0</v>
      </c>
      <c r="AC787" s="20" t="n">
        <f aca="false">IF(Time!AC$4=YEAR(Inputs!$F$171),Inputs!$F$174*Inputs!$F$169/1000*Time!AC$9,0)</f>
        <v>0</v>
      </c>
      <c r="AD787" s="20" t="n">
        <f aca="false">IF(Time!AD$4=YEAR(Inputs!$F$171),Inputs!$F$174*Inputs!$F$169/1000*Time!AD$9,0)</f>
        <v>0</v>
      </c>
      <c r="AE787" s="20" t="n">
        <f aca="false">IF(Time!AE$4=YEAR(Inputs!$F$171),Inputs!$F$174*Inputs!$F$169/1000*Time!AE$9,0)</f>
        <v>0</v>
      </c>
      <c r="AF787" s="20" t="n">
        <f aca="false">IF(Time!AF$4=YEAR(Inputs!$F$171),Inputs!$F$174*Inputs!$F$169/1000*Time!AF$9,0)</f>
        <v>0</v>
      </c>
      <c r="AG787" s="20" t="n">
        <f aca="false">IF(Time!AG$4=YEAR(Inputs!$F$171),Inputs!$F$174*Inputs!$F$169/1000*Time!AG$9,0)</f>
        <v>0</v>
      </c>
      <c r="AH787" s="20" t="n">
        <f aca="false">IF(Time!AH$4=YEAR(Inputs!$F$171),Inputs!$F$174*Inputs!$F$169/1000*Time!AH$9,0)</f>
        <v>0</v>
      </c>
      <c r="AI787" s="20" t="n">
        <f aca="false">IF(Time!AI$4=YEAR(Inputs!$F$171),Inputs!$F$174*Inputs!$F$169/1000*Time!AI$9,0)</f>
        <v>0</v>
      </c>
      <c r="AJ787" s="20" t="n">
        <f aca="false">IF(Time!AJ$4=YEAR(Inputs!$F$171),Inputs!$F$174*Inputs!$F$169/1000*Time!AJ$9,0)</f>
        <v>0</v>
      </c>
      <c r="AK787" s="20" t="n">
        <f aca="false">IF(Time!AK$4=YEAR(Inputs!$F$171),Inputs!$F$174*Inputs!$F$169/1000*Time!AK$9,0)</f>
        <v>0</v>
      </c>
      <c r="AL787" s="20" t="n">
        <f aca="false">IF(Time!AL$4=YEAR(Inputs!$F$171),Inputs!$F$174*Inputs!$F$169/1000*Time!AL$9,0)</f>
        <v>0</v>
      </c>
      <c r="AM787" s="20" t="n">
        <f aca="false">IF(Time!AM$4=YEAR(Inputs!$F$171),Inputs!$F$174*Inputs!$F$169/1000*Time!AM$9,0)</f>
        <v>0</v>
      </c>
      <c r="AN787" s="20" t="n">
        <f aca="false">IF(Time!AN$4=YEAR(Inputs!$F$171),Inputs!$F$174*Inputs!$F$169/1000*Time!AN$9,0)</f>
        <v>0</v>
      </c>
      <c r="AO787" s="20" t="n">
        <f aca="false">IF(Time!AO$4=YEAR(Inputs!$F$171),Inputs!$F$174*Inputs!$F$169/1000*Time!AO$9,0)</f>
        <v>0</v>
      </c>
      <c r="AP787" s="20" t="n">
        <f aca="false">IF(Time!AP$4=YEAR(Inputs!$F$171),Inputs!$F$174*Inputs!$F$169/1000*Time!AP$9,0)</f>
        <v>0</v>
      </c>
      <c r="AQ787" s="20" t="n">
        <f aca="false">IF(Time!AQ$4=YEAR(Inputs!$F$171),Inputs!$F$174*Inputs!$F$169/1000*Time!AQ$9,0)</f>
        <v>0</v>
      </c>
      <c r="AR787" s="20" t="n">
        <f aca="false">IF(Time!AR$4=YEAR(Inputs!$F$171),Inputs!$F$174*Inputs!$F$169/1000*Time!AR$9,0)</f>
        <v>0</v>
      </c>
      <c r="AS787" s="20" t="n">
        <f aca="false">IF(Time!AS$4=YEAR(Inputs!$F$171),Inputs!$F$174*Inputs!$F$169/1000*Time!AS$9,0)</f>
        <v>0</v>
      </c>
      <c r="AT787" s="20" t="n">
        <f aca="false">IF(Time!AT$4=YEAR(Inputs!$F$171),Inputs!$F$174*Inputs!$F$169/1000*Time!AT$9,0)</f>
        <v>0</v>
      </c>
      <c r="AU787" s="20" t="n">
        <f aca="false">IF(Time!AU$4=YEAR(Inputs!$F$171),Inputs!$F$174*Inputs!$F$169/1000*Time!AU$9,0)</f>
        <v>11.3696700656654</v>
      </c>
    </row>
    <row r="788" customFormat="false" ht="15" hidden="false" customHeight="false" outlineLevel="0" collapsed="false">
      <c r="D788" s="0" t="s">
        <v>786</v>
      </c>
      <c r="E788" s="0" t="s">
        <v>47</v>
      </c>
      <c r="G788" s="20" t="n">
        <f aca="false">SUM(J788:AU788)</f>
        <v>247.986007799742</v>
      </c>
      <c r="J788" s="20" t="n">
        <f aca="false">Operations!J785-Operations!J786-Operations!J787</f>
        <v>0</v>
      </c>
      <c r="K788" s="20" t="n">
        <f aca="false">Operations!K785-Operations!K786-Operations!K787</f>
        <v>0</v>
      </c>
      <c r="L788" s="20" t="n">
        <f aca="false">Operations!L785-Operations!L786-Operations!L787</f>
        <v>0.154403092902451</v>
      </c>
      <c r="M788" s="20" t="n">
        <f aca="false">Operations!M785-Operations!M786-Operations!M787</f>
        <v>7.70470174549927</v>
      </c>
      <c r="N788" s="20" t="n">
        <f aca="false">Operations!N785-Operations!N786-Operations!N787</f>
        <v>7.93090745703177</v>
      </c>
      <c r="O788" s="20" t="n">
        <f aca="false">Operations!O785-Operations!O786-Operations!O787</f>
        <v>7.95990591311057</v>
      </c>
      <c r="P788" s="20" t="n">
        <f aca="false">Operations!P785-Operations!P786-Operations!P787</f>
        <v>7.90376601945912</v>
      </c>
      <c r="Q788" s="20" t="n">
        <f aca="false">Operations!Q785-Operations!Q786-Operations!Q787</f>
        <v>7.8004086128279</v>
      </c>
      <c r="R788" s="20" t="n">
        <f aca="false">Operations!R785-Operations!R786-Operations!R787</f>
        <v>7.69776744575615</v>
      </c>
      <c r="S788" s="20" t="n">
        <f aca="false">Operations!S785-Operations!S786-Operations!S787</f>
        <v>7.56287383273629</v>
      </c>
      <c r="T788" s="20" t="n">
        <f aca="false">Operations!T785-Operations!T786-Operations!T787</f>
        <v>7.42435136406818</v>
      </c>
      <c r="U788" s="20" t="n">
        <f aca="false">Operations!U785-Operations!U786-Operations!U787</f>
        <v>7.28212141829149</v>
      </c>
      <c r="V788" s="20" t="n">
        <f aca="false">Operations!V785-Operations!V786-Operations!V787</f>
        <v>7.13610837628233</v>
      </c>
      <c r="W788" s="20" t="n">
        <f aca="false">Operations!W785-Operations!W786-Operations!W787</f>
        <v>6.78748148893947</v>
      </c>
      <c r="X788" s="20" t="n">
        <f aca="false">Operations!X785-Operations!X786-Operations!X787</f>
        <v>6.58376410452241</v>
      </c>
      <c r="Y788" s="20" t="n">
        <f aca="false">Operations!Y785-Operations!Y786-Operations!Y787</f>
        <v>6.53208107365926</v>
      </c>
      <c r="Z788" s="20" t="n">
        <f aca="false">Operations!Z785-Operations!Z786-Operations!Z787</f>
        <v>6.60568434013264</v>
      </c>
      <c r="AA788" s="20" t="n">
        <f aca="false">Operations!AA785-Operations!AA786-Operations!AA787</f>
        <v>6.67907510583432</v>
      </c>
      <c r="AB788" s="20" t="n">
        <f aca="false">Operations!AB785-Operations!AB786-Operations!AB787</f>
        <v>6.75381000221574</v>
      </c>
      <c r="AC788" s="20" t="n">
        <f aca="false">Operations!AC785-Operations!AC786-Operations!AC787</f>
        <v>6.8281523769991</v>
      </c>
      <c r="AD788" s="20" t="n">
        <f aca="false">Operations!AD785-Operations!AD786-Operations!AD787</f>
        <v>6.90364374029967</v>
      </c>
      <c r="AE788" s="20" t="n">
        <f aca="false">Operations!AE785-Operations!AE786-Operations!AE787</f>
        <v>6.97855853354822</v>
      </c>
      <c r="AF788" s="20" t="n">
        <f aca="false">Operations!AF785-Operations!AF786-Operations!AF787</f>
        <v>7.05442310728425</v>
      </c>
      <c r="AG788" s="20" t="n">
        <f aca="false">Operations!AG785-Operations!AG786-Operations!AG787</f>
        <v>7.13112978003527</v>
      </c>
      <c r="AH788" s="20" t="n">
        <f aca="false">Operations!AH785-Operations!AH786-Operations!AH787</f>
        <v>7.2069691993194</v>
      </c>
      <c r="AI788" s="20" t="n">
        <f aca="false">Operations!AI785-Operations!AI786-Operations!AI787</f>
        <v>7.28344492665678</v>
      </c>
      <c r="AJ788" s="20" t="n">
        <f aca="false">Operations!AJ785-Operations!AJ786-Operations!AJ787</f>
        <v>7.36044589042248</v>
      </c>
      <c r="AK788" s="20" t="n">
        <f aca="false">Operations!AK785-Operations!AK786-Operations!AK787</f>
        <v>7.43785983297344</v>
      </c>
      <c r="AL788" s="20" t="n">
        <f aca="false">Operations!AL785-Operations!AL786-Operations!AL787</f>
        <v>7.51557326808439</v>
      </c>
      <c r="AM788" s="20" t="n">
        <f aca="false">Operations!AM785-Operations!AM786-Operations!AM787</f>
        <v>7.59347143740641</v>
      </c>
      <c r="AN788" s="20" t="n">
        <f aca="false">Operations!AN785-Operations!AN786-Operations!AN787</f>
        <v>7.67143826592311</v>
      </c>
      <c r="AO788" s="20" t="n">
        <f aca="false">Operations!AO785-Operations!AO786-Operations!AO787</f>
        <v>7.74935631637894</v>
      </c>
      <c r="AP788" s="20" t="n">
        <f aca="false">Operations!AP785-Operations!AP786-Operations!AP787</f>
        <v>7.82710674265341</v>
      </c>
      <c r="AQ788" s="20" t="n">
        <f aca="false">Operations!AQ785-Operations!AQ786-Operations!AQ787</f>
        <v>7.90611314025504</v>
      </c>
      <c r="AR788" s="20" t="n">
        <f aca="false">Operations!AR785-Operations!AR786-Operations!AR787</f>
        <v>7.98469745171806</v>
      </c>
      <c r="AS788" s="20" t="n">
        <f aca="false">Operations!AS785-Operations!AS786-Operations!AS787</f>
        <v>8.06273638773107</v>
      </c>
      <c r="AT788" s="20" t="n">
        <f aca="false">Operations!AT785-Operations!AT786-Operations!AT787</f>
        <v>8.14163049756126</v>
      </c>
      <c r="AU788" s="20" t="n">
        <f aca="false">Operations!AU785-Operations!AU786-Operations!AU787</f>
        <v>-3.14995448877764</v>
      </c>
    </row>
    <row r="789" customFormat="false" ht="15" hidden="false" customHeight="false" outlineLevel="0" collapsed="false">
      <c r="D789" s="0" t="s">
        <v>787</v>
      </c>
      <c r="E789" s="0" t="s">
        <v>458</v>
      </c>
      <c r="J789" s="14" t="n">
        <f aca="false">0</f>
        <v>0</v>
      </c>
      <c r="K789" s="14" t="n">
        <f aca="false">0</f>
        <v>0</v>
      </c>
      <c r="L789" s="14" t="n">
        <f aca="false">0</f>
        <v>0</v>
      </c>
      <c r="M789" s="14" t="n">
        <f aca="false">0</f>
        <v>0</v>
      </c>
      <c r="N789" s="14" t="n">
        <f aca="false">0</f>
        <v>0</v>
      </c>
      <c r="O789" s="14" t="n">
        <f aca="false">0</f>
        <v>0</v>
      </c>
      <c r="P789" s="14" t="n">
        <f aca="false">0</f>
        <v>0</v>
      </c>
      <c r="Q789" s="14" t="n">
        <f aca="false">0</f>
        <v>0</v>
      </c>
      <c r="R789" s="14" t="n">
        <f aca="false">0</f>
        <v>0</v>
      </c>
      <c r="S789" s="14" t="n">
        <f aca="false">0</f>
        <v>0</v>
      </c>
      <c r="T789" s="14" t="n">
        <f aca="false">0</f>
        <v>0</v>
      </c>
      <c r="U789" s="14" t="n">
        <f aca="false">0</f>
        <v>0</v>
      </c>
      <c r="V789" s="14" t="n">
        <f aca="false">0</f>
        <v>0</v>
      </c>
      <c r="W789" s="14" t="n">
        <f aca="false">0</f>
        <v>0</v>
      </c>
      <c r="X789" s="14" t="n">
        <f aca="false">0</f>
        <v>0</v>
      </c>
      <c r="Y789" s="14" t="n">
        <f aca="false">0</f>
        <v>0</v>
      </c>
      <c r="Z789" s="14" t="n">
        <f aca="false">0</f>
        <v>0</v>
      </c>
      <c r="AA789" s="14" t="n">
        <f aca="false">0</f>
        <v>0</v>
      </c>
      <c r="AB789" s="14" t="n">
        <f aca="false">0</f>
        <v>0</v>
      </c>
      <c r="AC789" s="14" t="n">
        <f aca="false">0</f>
        <v>0</v>
      </c>
      <c r="AD789" s="14" t="n">
        <f aca="false">0</f>
        <v>0</v>
      </c>
      <c r="AE789" s="14" t="n">
        <f aca="false">0</f>
        <v>0</v>
      </c>
      <c r="AF789" s="14" t="n">
        <f aca="false">0</f>
        <v>0</v>
      </c>
      <c r="AG789" s="14" t="n">
        <f aca="false">0</f>
        <v>0</v>
      </c>
      <c r="AH789" s="14" t="n">
        <f aca="false">0</f>
        <v>0</v>
      </c>
      <c r="AI789" s="14" t="n">
        <f aca="false">0</f>
        <v>0</v>
      </c>
      <c r="AJ789" s="14" t="n">
        <f aca="false">0</f>
        <v>0</v>
      </c>
      <c r="AK789" s="14" t="n">
        <f aca="false">0</f>
        <v>0</v>
      </c>
      <c r="AL789" s="14" t="n">
        <f aca="false">0</f>
        <v>0</v>
      </c>
      <c r="AM789" s="14" t="n">
        <f aca="false">0</f>
        <v>0</v>
      </c>
      <c r="AN789" s="14" t="n">
        <f aca="false">0</f>
        <v>0</v>
      </c>
      <c r="AO789" s="14" t="n">
        <f aca="false">0</f>
        <v>0</v>
      </c>
      <c r="AP789" s="14" t="n">
        <f aca="false">0</f>
        <v>0</v>
      </c>
      <c r="AQ789" s="14" t="n">
        <f aca="false">0</f>
        <v>0</v>
      </c>
      <c r="AR789" s="14" t="n">
        <f aca="false">0</f>
        <v>0</v>
      </c>
      <c r="AS789" s="14" t="n">
        <f aca="false">0</f>
        <v>0</v>
      </c>
      <c r="AT789" s="14" t="n">
        <f aca="false">0</f>
        <v>0</v>
      </c>
      <c r="AU789" s="14" t="n">
        <f aca="false">0</f>
        <v>0</v>
      </c>
    </row>
    <row r="790" customFormat="false" ht="15" hidden="false" customHeight="false" outlineLevel="0" collapsed="false">
      <c r="D790" s="0" t="s">
        <v>788</v>
      </c>
      <c r="E790" s="0" t="s">
        <v>458</v>
      </c>
      <c r="J790" s="14" t="n">
        <f aca="false">1</f>
        <v>1</v>
      </c>
      <c r="K790" s="14" t="n">
        <f aca="false">1</f>
        <v>1</v>
      </c>
      <c r="L790" s="14" t="n">
        <f aca="false">1</f>
        <v>1</v>
      </c>
      <c r="M790" s="14" t="n">
        <f aca="false">1</f>
        <v>1</v>
      </c>
      <c r="N790" s="14" t="n">
        <f aca="false">1</f>
        <v>1</v>
      </c>
      <c r="O790" s="14" t="n">
        <f aca="false">1</f>
        <v>1</v>
      </c>
      <c r="P790" s="14" t="n">
        <f aca="false">1</f>
        <v>1</v>
      </c>
      <c r="Q790" s="14" t="n">
        <f aca="false">1</f>
        <v>1</v>
      </c>
      <c r="R790" s="14" t="n">
        <f aca="false">1</f>
        <v>1</v>
      </c>
      <c r="S790" s="14" t="n">
        <f aca="false">1</f>
        <v>1</v>
      </c>
      <c r="T790" s="14" t="n">
        <f aca="false">1</f>
        <v>1</v>
      </c>
      <c r="U790" s="14" t="n">
        <f aca="false">1</f>
        <v>1</v>
      </c>
      <c r="V790" s="14" t="n">
        <f aca="false">1</f>
        <v>1</v>
      </c>
      <c r="W790" s="14" t="n">
        <f aca="false">1</f>
        <v>1</v>
      </c>
      <c r="X790" s="14" t="n">
        <f aca="false">1</f>
        <v>1</v>
      </c>
      <c r="Y790" s="14" t="n">
        <f aca="false">1</f>
        <v>1</v>
      </c>
      <c r="Z790" s="14" t="n">
        <f aca="false">1</f>
        <v>1</v>
      </c>
      <c r="AA790" s="14" t="n">
        <f aca="false">1</f>
        <v>1</v>
      </c>
      <c r="AB790" s="14" t="n">
        <f aca="false">1</f>
        <v>1</v>
      </c>
      <c r="AC790" s="14" t="n">
        <f aca="false">1</f>
        <v>1</v>
      </c>
      <c r="AD790" s="14" t="n">
        <f aca="false">1</f>
        <v>1</v>
      </c>
      <c r="AE790" s="14" t="n">
        <f aca="false">1</f>
        <v>1</v>
      </c>
      <c r="AF790" s="14" t="n">
        <f aca="false">1</f>
        <v>1</v>
      </c>
      <c r="AG790" s="14" t="n">
        <f aca="false">1</f>
        <v>1</v>
      </c>
      <c r="AH790" s="14" t="n">
        <f aca="false">1</f>
        <v>1</v>
      </c>
      <c r="AI790" s="14" t="n">
        <f aca="false">1</f>
        <v>1</v>
      </c>
      <c r="AJ790" s="14" t="n">
        <f aca="false">1</f>
        <v>1</v>
      </c>
      <c r="AK790" s="14" t="n">
        <f aca="false">1</f>
        <v>1</v>
      </c>
      <c r="AL790" s="14" t="n">
        <f aca="false">1</f>
        <v>1</v>
      </c>
      <c r="AM790" s="14" t="n">
        <f aca="false">1</f>
        <v>1</v>
      </c>
      <c r="AN790" s="14" t="n">
        <f aca="false">1</f>
        <v>1</v>
      </c>
      <c r="AO790" s="14" t="n">
        <f aca="false">1</f>
        <v>1</v>
      </c>
      <c r="AP790" s="14" t="n">
        <f aca="false">1</f>
        <v>1</v>
      </c>
      <c r="AQ790" s="14" t="n">
        <f aca="false">1</f>
        <v>1</v>
      </c>
      <c r="AR790" s="14" t="n">
        <f aca="false">1</f>
        <v>1</v>
      </c>
      <c r="AS790" s="14" t="n">
        <f aca="false">1</f>
        <v>1</v>
      </c>
      <c r="AT790" s="14" t="n">
        <f aca="false">1</f>
        <v>1</v>
      </c>
      <c r="AU790" s="14" t="n">
        <f aca="false">1</f>
        <v>1</v>
      </c>
    </row>
    <row r="791" customFormat="false" ht="15" hidden="false" customHeight="false" outlineLevel="0" collapsed="false">
      <c r="D791" s="0" t="s">
        <v>789</v>
      </c>
      <c r="E791" s="0" t="s">
        <v>47</v>
      </c>
      <c r="G791" s="20" t="n">
        <f aca="false">SUM(J791:AU791)</f>
        <v>247.986007799742</v>
      </c>
      <c r="J791" s="20" t="n">
        <f aca="false">Operations!J788*(1-Operations!J789)*Operations!J762</f>
        <v>0</v>
      </c>
      <c r="K791" s="20" t="n">
        <f aca="false">Operations!K788*(1-Operations!K789)*Operations!K762</f>
        <v>0</v>
      </c>
      <c r="L791" s="20" t="n">
        <f aca="false">Operations!L788*(1-Operations!L789)*Operations!L762</f>
        <v>0.154403092902451</v>
      </c>
      <c r="M791" s="20" t="n">
        <f aca="false">Operations!M788*(1-Operations!M789)*Operations!M762</f>
        <v>7.70470174549927</v>
      </c>
      <c r="N791" s="20" t="n">
        <f aca="false">Operations!N788*(1-Operations!N789)*Operations!N762</f>
        <v>7.93090745703177</v>
      </c>
      <c r="O791" s="20" t="n">
        <f aca="false">Operations!O788*(1-Operations!O789)*Operations!O762</f>
        <v>7.95990591311057</v>
      </c>
      <c r="P791" s="20" t="n">
        <f aca="false">Operations!P788*(1-Operations!P789)*Operations!P762</f>
        <v>7.90376601945912</v>
      </c>
      <c r="Q791" s="20" t="n">
        <f aca="false">Operations!Q788*(1-Operations!Q789)*Operations!Q762</f>
        <v>7.8004086128279</v>
      </c>
      <c r="R791" s="20" t="n">
        <f aca="false">Operations!R788*(1-Operations!R789)*Operations!R762</f>
        <v>7.69776744575615</v>
      </c>
      <c r="S791" s="20" t="n">
        <f aca="false">Operations!S788*(1-Operations!S789)*Operations!S762</f>
        <v>7.56287383273629</v>
      </c>
      <c r="T791" s="20" t="n">
        <f aca="false">Operations!T788*(1-Operations!T789)*Operations!T762</f>
        <v>7.42435136406818</v>
      </c>
      <c r="U791" s="20" t="n">
        <f aca="false">Operations!U788*(1-Operations!U789)*Operations!U762</f>
        <v>7.28212141829149</v>
      </c>
      <c r="V791" s="20" t="n">
        <f aca="false">Operations!V788*(1-Operations!V789)*Operations!V762</f>
        <v>7.13610837628233</v>
      </c>
      <c r="W791" s="20" t="n">
        <f aca="false">Operations!W788*(1-Operations!W789)*Operations!W762</f>
        <v>6.78748148893947</v>
      </c>
      <c r="X791" s="20" t="n">
        <f aca="false">Operations!X788*(1-Operations!X789)*Operations!X762</f>
        <v>6.58376410452241</v>
      </c>
      <c r="Y791" s="20" t="n">
        <f aca="false">Operations!Y788*(1-Operations!Y789)*Operations!Y762</f>
        <v>6.53208107365926</v>
      </c>
      <c r="Z791" s="20" t="n">
        <f aca="false">Operations!Z788*(1-Operations!Z789)*Operations!Z762</f>
        <v>6.60568434013264</v>
      </c>
      <c r="AA791" s="20" t="n">
        <f aca="false">Operations!AA788*(1-Operations!AA789)*Operations!AA762</f>
        <v>6.67907510583432</v>
      </c>
      <c r="AB791" s="20" t="n">
        <f aca="false">Operations!AB788*(1-Operations!AB789)*Operations!AB762</f>
        <v>6.75381000221574</v>
      </c>
      <c r="AC791" s="20" t="n">
        <f aca="false">Operations!AC788*(1-Operations!AC789)*Operations!AC762</f>
        <v>6.8281523769991</v>
      </c>
      <c r="AD791" s="20" t="n">
        <f aca="false">Operations!AD788*(1-Operations!AD789)*Operations!AD762</f>
        <v>6.90364374029967</v>
      </c>
      <c r="AE791" s="20" t="n">
        <f aca="false">Operations!AE788*(1-Operations!AE789)*Operations!AE762</f>
        <v>6.97855853354822</v>
      </c>
      <c r="AF791" s="20" t="n">
        <f aca="false">Operations!AF788*(1-Operations!AF789)*Operations!AF762</f>
        <v>7.05442310728425</v>
      </c>
      <c r="AG791" s="20" t="n">
        <f aca="false">Operations!AG788*(1-Operations!AG789)*Operations!AG762</f>
        <v>7.13112978003527</v>
      </c>
      <c r="AH791" s="20" t="n">
        <f aca="false">Operations!AH788*(1-Operations!AH789)*Operations!AH762</f>
        <v>7.2069691993194</v>
      </c>
      <c r="AI791" s="20" t="n">
        <f aca="false">Operations!AI788*(1-Operations!AI789)*Operations!AI762</f>
        <v>7.28344492665678</v>
      </c>
      <c r="AJ791" s="20" t="n">
        <f aca="false">Operations!AJ788*(1-Operations!AJ789)*Operations!AJ762</f>
        <v>7.36044589042248</v>
      </c>
      <c r="AK791" s="20" t="n">
        <f aca="false">Operations!AK788*(1-Operations!AK789)*Operations!AK762</f>
        <v>7.43785983297344</v>
      </c>
      <c r="AL791" s="20" t="n">
        <f aca="false">Operations!AL788*(1-Operations!AL789)*Operations!AL762</f>
        <v>7.51557326808439</v>
      </c>
      <c r="AM791" s="20" t="n">
        <f aca="false">Operations!AM788*(1-Operations!AM789)*Operations!AM762</f>
        <v>7.59347143740641</v>
      </c>
      <c r="AN791" s="20" t="n">
        <f aca="false">Operations!AN788*(1-Operations!AN789)*Operations!AN762</f>
        <v>7.67143826592311</v>
      </c>
      <c r="AO791" s="20" t="n">
        <f aca="false">Operations!AO788*(1-Operations!AO789)*Operations!AO762</f>
        <v>7.74935631637894</v>
      </c>
      <c r="AP791" s="20" t="n">
        <f aca="false">Operations!AP788*(1-Operations!AP789)*Operations!AP762</f>
        <v>7.82710674265341</v>
      </c>
      <c r="AQ791" s="20" t="n">
        <f aca="false">Operations!AQ788*(1-Operations!AQ789)*Operations!AQ762</f>
        <v>7.90611314025504</v>
      </c>
      <c r="AR791" s="20" t="n">
        <f aca="false">Operations!AR788*(1-Operations!AR789)*Operations!AR762</f>
        <v>7.98469745171806</v>
      </c>
      <c r="AS791" s="20" t="n">
        <f aca="false">Operations!AS788*(1-Operations!AS789)*Operations!AS762</f>
        <v>8.06273638773107</v>
      </c>
      <c r="AT791" s="20" t="n">
        <f aca="false">Operations!AT788*(1-Operations!AT789)*Operations!AT762</f>
        <v>8.14163049756126</v>
      </c>
      <c r="AU791" s="20" t="n">
        <f aca="false">Operations!AU788*(1-Operations!AU789)*Operations!AU762</f>
        <v>-3.14995448877764</v>
      </c>
    </row>
    <row r="792" customFormat="false" ht="15" hidden="false" customHeight="false" outlineLevel="0" collapsed="false">
      <c r="D792" s="0" t="s">
        <v>790</v>
      </c>
      <c r="E792" s="0" t="s">
        <v>47</v>
      </c>
      <c r="J792" s="20" t="n">
        <f aca="false">Operations!J788*Operations!J790*Operations!J762</f>
        <v>0</v>
      </c>
      <c r="K792" s="20" t="n">
        <f aca="false">Operations!K788*Operations!K790*Operations!K762</f>
        <v>0</v>
      </c>
      <c r="L792" s="20" t="n">
        <f aca="false">Operations!L788*Operations!L790*Operations!L762</f>
        <v>0.154403092902451</v>
      </c>
      <c r="M792" s="20" t="n">
        <f aca="false">Operations!M788*Operations!M790*Operations!M762</f>
        <v>7.70470174549927</v>
      </c>
      <c r="N792" s="20" t="n">
        <f aca="false">Operations!N788*Operations!N790*Operations!N762</f>
        <v>7.93090745703177</v>
      </c>
      <c r="O792" s="20" t="n">
        <f aca="false">Operations!O788*Operations!O790*Operations!O762</f>
        <v>7.95990591311057</v>
      </c>
      <c r="P792" s="20" t="n">
        <f aca="false">Operations!P788*Operations!P790*Operations!P762</f>
        <v>7.90376601945912</v>
      </c>
      <c r="Q792" s="20" t="n">
        <f aca="false">Operations!Q788*Operations!Q790*Operations!Q762</f>
        <v>7.8004086128279</v>
      </c>
      <c r="R792" s="20" t="n">
        <f aca="false">Operations!R788*Operations!R790*Operations!R762</f>
        <v>7.69776744575615</v>
      </c>
      <c r="S792" s="20" t="n">
        <f aca="false">Operations!S788*Operations!S790*Operations!S762</f>
        <v>7.56287383273629</v>
      </c>
      <c r="T792" s="20" t="n">
        <f aca="false">Operations!T788*Operations!T790*Operations!T762</f>
        <v>7.42435136406818</v>
      </c>
      <c r="U792" s="20" t="n">
        <f aca="false">Operations!U788*Operations!U790*Operations!U762</f>
        <v>7.28212141829149</v>
      </c>
      <c r="V792" s="20" t="n">
        <f aca="false">Operations!V788*Operations!V790*Operations!V762</f>
        <v>7.13610837628233</v>
      </c>
      <c r="W792" s="20" t="n">
        <f aca="false">Operations!W788*Operations!W790*Operations!W762</f>
        <v>6.78748148893947</v>
      </c>
      <c r="X792" s="20" t="n">
        <f aca="false">Operations!X788*Operations!X790*Operations!X762</f>
        <v>6.58376410452241</v>
      </c>
      <c r="Y792" s="20" t="n">
        <f aca="false">Operations!Y788*Operations!Y790*Operations!Y762</f>
        <v>6.53208107365926</v>
      </c>
      <c r="Z792" s="20" t="n">
        <f aca="false">Operations!Z788*Operations!Z790*Operations!Z762</f>
        <v>6.60568434013264</v>
      </c>
      <c r="AA792" s="20" t="n">
        <f aca="false">Operations!AA788*Operations!AA790*Operations!AA762</f>
        <v>6.67907510583432</v>
      </c>
      <c r="AB792" s="20" t="n">
        <f aca="false">Operations!AB788*Operations!AB790*Operations!AB762</f>
        <v>6.75381000221574</v>
      </c>
      <c r="AC792" s="20" t="n">
        <f aca="false">Operations!AC788*Operations!AC790*Operations!AC762</f>
        <v>6.8281523769991</v>
      </c>
      <c r="AD792" s="20" t="n">
        <f aca="false">Operations!AD788*Operations!AD790*Operations!AD762</f>
        <v>6.90364374029967</v>
      </c>
      <c r="AE792" s="20" t="n">
        <f aca="false">Operations!AE788*Operations!AE790*Operations!AE762</f>
        <v>6.97855853354822</v>
      </c>
      <c r="AF792" s="20" t="n">
        <f aca="false">Operations!AF788*Operations!AF790*Operations!AF762</f>
        <v>7.05442310728425</v>
      </c>
      <c r="AG792" s="20" t="n">
        <f aca="false">Operations!AG788*Operations!AG790*Operations!AG762</f>
        <v>7.13112978003527</v>
      </c>
      <c r="AH792" s="20" t="n">
        <f aca="false">Operations!AH788*Operations!AH790*Operations!AH762</f>
        <v>7.2069691993194</v>
      </c>
      <c r="AI792" s="20" t="n">
        <f aca="false">Operations!AI788*Operations!AI790*Operations!AI762</f>
        <v>7.28344492665678</v>
      </c>
      <c r="AJ792" s="20" t="n">
        <f aca="false">Operations!AJ788*Operations!AJ790*Operations!AJ762</f>
        <v>7.36044589042248</v>
      </c>
      <c r="AK792" s="20" t="n">
        <f aca="false">Operations!AK788*Operations!AK790*Operations!AK762</f>
        <v>7.43785983297344</v>
      </c>
      <c r="AL792" s="20" t="n">
        <f aca="false">Operations!AL788*Operations!AL790*Operations!AL762</f>
        <v>7.51557326808439</v>
      </c>
      <c r="AM792" s="20" t="n">
        <f aca="false">Operations!AM788*Operations!AM790*Operations!AM762</f>
        <v>7.59347143740641</v>
      </c>
      <c r="AN792" s="20" t="n">
        <f aca="false">Operations!AN788*Operations!AN790*Operations!AN762</f>
        <v>7.67143826592311</v>
      </c>
      <c r="AO792" s="20" t="n">
        <f aca="false">Operations!AO788*Operations!AO790*Operations!AO762</f>
        <v>7.74935631637894</v>
      </c>
      <c r="AP792" s="20" t="n">
        <f aca="false">Operations!AP788*Operations!AP790*Operations!AP762</f>
        <v>7.82710674265341</v>
      </c>
      <c r="AQ792" s="20" t="n">
        <f aca="false">Operations!AQ788*Operations!AQ790*Operations!AQ762</f>
        <v>7.90611314025504</v>
      </c>
      <c r="AR792" s="20" t="n">
        <f aca="false">Operations!AR788*Operations!AR790*Operations!AR762</f>
        <v>7.98469745171806</v>
      </c>
      <c r="AS792" s="20" t="n">
        <f aca="false">Operations!AS788*Operations!AS790*Operations!AS762</f>
        <v>8.06273638773107</v>
      </c>
      <c r="AT792" s="20" t="n">
        <f aca="false">Operations!AT788*Operations!AT790*Operations!AT762</f>
        <v>8.14163049756126</v>
      </c>
      <c r="AU792" s="20" t="n">
        <f aca="false">Operations!AU788*Operations!AU790*Operations!AU762</f>
        <v>-3.14995448877764</v>
      </c>
    </row>
    <row r="793" customFormat="false" ht="15" hidden="false" customHeight="false" outlineLevel="0" collapsed="false">
      <c r="D793" s="0" t="s">
        <v>791</v>
      </c>
      <c r="E793" s="0" t="s">
        <v>47</v>
      </c>
      <c r="J793" s="20" t="n">
        <f aca="false">Operations!J791-Inputs!$F$248/100*Operations!J792</f>
        <v>0</v>
      </c>
      <c r="K793" s="20" t="n">
        <f aca="false">Operations!K791-Inputs!$F$248/100*Operations!K792</f>
        <v>0</v>
      </c>
      <c r="L793" s="20" t="n">
        <f aca="false">Operations!L791-Inputs!$F$248/100*Operations!L792</f>
        <v>0.121978443392937</v>
      </c>
      <c r="M793" s="20" t="n">
        <f aca="false">Operations!M791-Inputs!$F$248/100*Operations!M792</f>
        <v>6.08671437894442</v>
      </c>
      <c r="N793" s="20" t="n">
        <f aca="false">Operations!N791-Inputs!$F$248/100*Operations!N792</f>
        <v>6.2654168910551</v>
      </c>
      <c r="O793" s="20" t="n">
        <f aca="false">Operations!O791-Inputs!$F$248/100*Operations!O792</f>
        <v>6.28832567135735</v>
      </c>
      <c r="P793" s="20" t="n">
        <f aca="false">Operations!P791-Inputs!$F$248/100*Operations!P792</f>
        <v>6.24397515537271</v>
      </c>
      <c r="Q793" s="20" t="n">
        <f aca="false">Operations!Q791-Inputs!$F$248/100*Operations!Q792</f>
        <v>6.16232280413404</v>
      </c>
      <c r="R793" s="20" t="n">
        <f aca="false">Operations!R791-Inputs!$F$248/100*Operations!R792</f>
        <v>6.08123628214736</v>
      </c>
      <c r="S793" s="20" t="n">
        <f aca="false">Operations!S791-Inputs!$F$248/100*Operations!S792</f>
        <v>5.97467032786167</v>
      </c>
      <c r="T793" s="20" t="n">
        <f aca="false">Operations!T791-Inputs!$F$248/100*Operations!T792</f>
        <v>5.86523757761386</v>
      </c>
      <c r="U793" s="20" t="n">
        <f aca="false">Operations!U791-Inputs!$F$248/100*Operations!U792</f>
        <v>5.75287592045028</v>
      </c>
      <c r="V793" s="20" t="n">
        <f aca="false">Operations!V791-Inputs!$F$248/100*Operations!V792</f>
        <v>5.63752561726304</v>
      </c>
      <c r="W793" s="20" t="n">
        <f aca="false">Operations!W791-Inputs!$F$248/100*Operations!W792</f>
        <v>5.36211037626218</v>
      </c>
      <c r="X793" s="20" t="n">
        <f aca="false">Operations!X791-Inputs!$F$248/100*Operations!X792</f>
        <v>5.2011736425727</v>
      </c>
      <c r="Y793" s="20" t="n">
        <f aca="false">Operations!Y791-Inputs!$F$248/100*Operations!Y792</f>
        <v>5.16034404819081</v>
      </c>
      <c r="Z793" s="20" t="n">
        <f aca="false">Operations!Z791-Inputs!$F$248/100*Operations!Z792</f>
        <v>5.21849062870479</v>
      </c>
      <c r="AA793" s="20" t="n">
        <f aca="false">Operations!AA791-Inputs!$F$248/100*Operations!AA792</f>
        <v>5.27646933360911</v>
      </c>
      <c r="AB793" s="20" t="n">
        <f aca="false">Operations!AB791-Inputs!$F$248/100*Operations!AB792</f>
        <v>5.33550990175044</v>
      </c>
      <c r="AC793" s="20" t="n">
        <f aca="false">Operations!AC791-Inputs!$F$248/100*Operations!AC792</f>
        <v>5.39424037782929</v>
      </c>
      <c r="AD793" s="20" t="n">
        <f aca="false">Operations!AD791-Inputs!$F$248/100*Operations!AD792</f>
        <v>5.45387855483674</v>
      </c>
      <c r="AE793" s="20" t="n">
        <f aca="false">Operations!AE791-Inputs!$F$248/100*Operations!AE792</f>
        <v>5.51306124150309</v>
      </c>
      <c r="AF793" s="20" t="n">
        <f aca="false">Operations!AF791-Inputs!$F$248/100*Operations!AF792</f>
        <v>5.57299425475456</v>
      </c>
      <c r="AG793" s="20" t="n">
        <f aca="false">Operations!AG791-Inputs!$F$248/100*Operations!AG792</f>
        <v>5.63359252622787</v>
      </c>
      <c r="AH793" s="20" t="n">
        <f aca="false">Operations!AH791-Inputs!$F$248/100*Operations!AH792</f>
        <v>5.69350566746233</v>
      </c>
      <c r="AI793" s="20" t="n">
        <f aca="false">Operations!AI791-Inputs!$F$248/100*Operations!AI792</f>
        <v>5.75392149205886</v>
      </c>
      <c r="AJ793" s="20" t="n">
        <f aca="false">Operations!AJ791-Inputs!$F$248/100*Operations!AJ792</f>
        <v>5.81475225343376</v>
      </c>
      <c r="AK793" s="20" t="n">
        <f aca="false">Operations!AK791-Inputs!$F$248/100*Operations!AK792</f>
        <v>5.87590926804901</v>
      </c>
      <c r="AL793" s="20" t="n">
        <f aca="false">Operations!AL791-Inputs!$F$248/100*Operations!AL792</f>
        <v>5.93730288178667</v>
      </c>
      <c r="AM793" s="20" t="n">
        <f aca="false">Operations!AM791-Inputs!$F$248/100*Operations!AM792</f>
        <v>5.99884243555106</v>
      </c>
      <c r="AN793" s="20" t="n">
        <f aca="false">Operations!AN791-Inputs!$F$248/100*Operations!AN792</f>
        <v>6.06043623007925</v>
      </c>
      <c r="AO793" s="20" t="n">
        <f aca="false">Operations!AO791-Inputs!$F$248/100*Operations!AO792</f>
        <v>6.12199148993937</v>
      </c>
      <c r="AP793" s="20" t="n">
        <f aca="false">Operations!AP791-Inputs!$F$248/100*Operations!AP792</f>
        <v>6.18341432669619</v>
      </c>
      <c r="AQ793" s="20" t="n">
        <f aca="false">Operations!AQ791-Inputs!$F$248/100*Operations!AQ792</f>
        <v>6.24582938080148</v>
      </c>
      <c r="AR793" s="20" t="n">
        <f aca="false">Operations!AR791-Inputs!$F$248/100*Operations!AR792</f>
        <v>6.30791098685727</v>
      </c>
      <c r="AS793" s="20" t="n">
        <f aca="false">Operations!AS791-Inputs!$F$248/100*Operations!AS792</f>
        <v>6.36956174630754</v>
      </c>
      <c r="AT793" s="20" t="n">
        <f aca="false">Operations!AT791-Inputs!$F$248/100*Operations!AT792</f>
        <v>6.4318880930734</v>
      </c>
      <c r="AU793" s="20" t="n">
        <f aca="false">Operations!AU791-Inputs!$F$248/100*Operations!AU792</f>
        <v>-2.48846404613434</v>
      </c>
    </row>
    <row r="794" customFormat="false" ht="15" hidden="false" customHeight="false" outlineLevel="0" collapsed="false">
      <c r="D794" s="0" t="s">
        <v>792</v>
      </c>
      <c r="E794" s="0" t="s">
        <v>458</v>
      </c>
      <c r="J794" s="14" t="n">
        <f aca="false">IF(Operations!J779=0,0,Operations!J776/Operations!J779)</f>
        <v>0</v>
      </c>
      <c r="K794" s="14" t="n">
        <f aca="false">IF(Operations!K779=0,0,Operations!K776/Operations!K779)</f>
        <v>0</v>
      </c>
      <c r="L794" s="14" t="n">
        <f aca="false">IF(Operations!L779=0,0,Operations!L776/Operations!L779)</f>
        <v>0</v>
      </c>
      <c r="M794" s="14" t="n">
        <f aca="false">IF(Operations!M779=0,0,Operations!M776/Operations!M779)</f>
        <v>0</v>
      </c>
      <c r="N794" s="14" t="n">
        <f aca="false">IF(Operations!N779=0,0,Operations!N776/Operations!N779)</f>
        <v>0</v>
      </c>
      <c r="O794" s="14" t="n">
        <f aca="false">IF(Operations!O779=0,0,Operations!O776/Operations!O779)</f>
        <v>0</v>
      </c>
      <c r="P794" s="14" t="n">
        <f aca="false">IF(Operations!P779=0,0,Operations!P776/Operations!P779)</f>
        <v>0</v>
      </c>
      <c r="Q794" s="14" t="n">
        <f aca="false">IF(Operations!Q779=0,0,Operations!Q776/Operations!Q779)</f>
        <v>0</v>
      </c>
      <c r="R794" s="14" t="n">
        <f aca="false">IF(Operations!R779=0,0,Operations!R776/Operations!R779)</f>
        <v>0</v>
      </c>
      <c r="S794" s="14" t="n">
        <f aca="false">IF(Operations!S779=0,0,Operations!S776/Operations!S779)</f>
        <v>0</v>
      </c>
      <c r="T794" s="14" t="n">
        <f aca="false">IF(Operations!T779=0,0,Operations!T776/Operations!T779)</f>
        <v>0</v>
      </c>
      <c r="U794" s="14" t="n">
        <f aca="false">IF(Operations!U779=0,0,Operations!U776/Operations!U779)</f>
        <v>0</v>
      </c>
      <c r="V794" s="14" t="n">
        <f aca="false">IF(Operations!V779=0,0,Operations!V776/Operations!V779)</f>
        <v>0</v>
      </c>
      <c r="W794" s="14" t="n">
        <f aca="false">IF(Operations!W779=0,0,Operations!W776/Operations!W779)</f>
        <v>0</v>
      </c>
      <c r="X794" s="14" t="n">
        <f aca="false">IF(Operations!X779=0,0,Operations!X776/Operations!X779)</f>
        <v>0</v>
      </c>
      <c r="Y794" s="14" t="n">
        <f aca="false">IF(Operations!Y779=0,0,Operations!Y776/Operations!Y779)</f>
        <v>0</v>
      </c>
      <c r="Z794" s="14" t="n">
        <f aca="false">IF(Operations!Z779=0,0,Operations!Z776/Operations!Z779)</f>
        <v>0</v>
      </c>
      <c r="AA794" s="14" t="n">
        <f aca="false">IF(Operations!AA779=0,0,Operations!AA776/Operations!AA779)</f>
        <v>0</v>
      </c>
      <c r="AB794" s="14" t="n">
        <f aca="false">IF(Operations!AB779=0,0,Operations!AB776/Operations!AB779)</f>
        <v>0</v>
      </c>
      <c r="AC794" s="14" t="n">
        <f aca="false">IF(Operations!AC779=0,0,Operations!AC776/Operations!AC779)</f>
        <v>0</v>
      </c>
      <c r="AD794" s="14" t="n">
        <f aca="false">IF(Operations!AD779=0,0,Operations!AD776/Operations!AD779)</f>
        <v>0</v>
      </c>
      <c r="AE794" s="14" t="n">
        <f aca="false">IF(Operations!AE779=0,0,Operations!AE776/Operations!AE779)</f>
        <v>0</v>
      </c>
      <c r="AF794" s="14" t="n">
        <f aca="false">IF(Operations!AF779=0,0,Operations!AF776/Operations!AF779)</f>
        <v>0</v>
      </c>
      <c r="AG794" s="14" t="n">
        <f aca="false">IF(Operations!AG779=0,0,Operations!AG776/Operations!AG779)</f>
        <v>0</v>
      </c>
      <c r="AH794" s="14" t="n">
        <f aca="false">IF(Operations!AH779=0,0,Operations!AH776/Operations!AH779)</f>
        <v>0</v>
      </c>
      <c r="AI794" s="14" t="n">
        <f aca="false">IF(Operations!AI779=0,0,Operations!AI776/Operations!AI779)</f>
        <v>0</v>
      </c>
      <c r="AJ794" s="14" t="n">
        <f aca="false">IF(Operations!AJ779=0,0,Operations!AJ776/Operations!AJ779)</f>
        <v>0</v>
      </c>
      <c r="AK794" s="14" t="n">
        <f aca="false">IF(Operations!AK779=0,0,Operations!AK776/Operations!AK779)</f>
        <v>0</v>
      </c>
      <c r="AL794" s="14" t="n">
        <f aca="false">IF(Operations!AL779=0,0,Operations!AL776/Operations!AL779)</f>
        <v>0</v>
      </c>
      <c r="AM794" s="14" t="n">
        <f aca="false">IF(Operations!AM779=0,0,Operations!AM776/Operations!AM779)</f>
        <v>0</v>
      </c>
      <c r="AN794" s="14" t="n">
        <f aca="false">IF(Operations!AN779=0,0,Operations!AN776/Operations!AN779)</f>
        <v>0</v>
      </c>
      <c r="AO794" s="14" t="n">
        <f aca="false">IF(Operations!AO779=0,0,Operations!AO776/Operations!AO779)</f>
        <v>0</v>
      </c>
      <c r="AP794" s="14" t="n">
        <f aca="false">IF(Operations!AP779=0,0,Operations!AP776/Operations!AP779)</f>
        <v>0</v>
      </c>
      <c r="AQ794" s="14" t="n">
        <f aca="false">IF(Operations!AQ779=0,0,Operations!AQ776/Operations!AQ779)</f>
        <v>0</v>
      </c>
      <c r="AR794" s="14" t="n">
        <f aca="false">IF(Operations!AR779=0,0,Operations!AR776/Operations!AR779)</f>
        <v>0</v>
      </c>
      <c r="AS794" s="14" t="n">
        <f aca="false">IF(Operations!AS779=0,0,Operations!AS776/Operations!AS779)</f>
        <v>0</v>
      </c>
      <c r="AT794" s="14" t="n">
        <f aca="false">IF(Operations!AT779=0,0,Operations!AT776/Operations!AT779)</f>
        <v>0</v>
      </c>
      <c r="AU794" s="14" t="n">
        <f aca="false">IF(Operations!AU779=0,0,Operations!AU776/Operations!AU779)</f>
        <v>0</v>
      </c>
    </row>
    <row r="795" customFormat="false" ht="15" hidden="false" customHeight="false" outlineLevel="0" collapsed="false">
      <c r="D795" s="0" t="s">
        <v>793</v>
      </c>
      <c r="E795" s="0" t="s">
        <v>458</v>
      </c>
      <c r="J795" s="14" t="n">
        <f aca="false">IF(Operations!J779=0,0,Operations!J777/Operations!J779)</f>
        <v>0</v>
      </c>
      <c r="K795" s="14" t="n">
        <f aca="false">IF(Operations!K779=0,0,Operations!K777/Operations!K779)</f>
        <v>0</v>
      </c>
      <c r="L795" s="14" t="n">
        <f aca="false">IF(Operations!L779=0,0,Operations!L777/Operations!L779)</f>
        <v>0</v>
      </c>
      <c r="M795" s="14" t="n">
        <f aca="false">IF(Operations!M779=0,0,Operations!M777/Operations!M779)</f>
        <v>0.66110556106625</v>
      </c>
      <c r="N795" s="14" t="n">
        <f aca="false">IF(Operations!N779=0,0,Operations!N777/Operations!N779)</f>
        <v>0.642913639624532</v>
      </c>
      <c r="O795" s="14" t="n">
        <f aca="false">IF(Operations!O779=0,0,Operations!O777/Operations!O779)</f>
        <v>0.637276319109642</v>
      </c>
      <c r="P795" s="14" t="n">
        <f aca="false">IF(Operations!P779=0,0,Operations!P777/Operations!P779)</f>
        <v>0.636725287185291</v>
      </c>
      <c r="Q795" s="14" t="n">
        <f aca="false">IF(Operations!Q779=0,0,Operations!Q777/Operations!Q779)</f>
        <v>0.638925567001918</v>
      </c>
      <c r="R795" s="14" t="n">
        <f aca="false">IF(Operations!R779=0,0,Operations!R777/Operations!R779)</f>
        <v>0.6409953558784</v>
      </c>
      <c r="S795" s="14" t="n">
        <f aca="false">IF(Operations!S779=0,0,Operations!S777/Operations!S779)</f>
        <v>0.644958644586965</v>
      </c>
      <c r="T795" s="14" t="n">
        <f aca="false">IF(Operations!T779=0,0,Operations!T777/Operations!T779)</f>
        <v>0.649088244928357</v>
      </c>
      <c r="U795" s="14" t="n">
        <f aca="false">IF(Operations!U779=0,0,Operations!U777/Operations!U779)</f>
        <v>0.653391818530645</v>
      </c>
      <c r="V795" s="14" t="n">
        <f aca="false">IF(Operations!V779=0,0,Operations!V777/Operations!V779)</f>
        <v>0.657877216736483</v>
      </c>
      <c r="W795" s="14" t="n">
        <f aca="false">IF(Operations!W779=0,0,Operations!W777/Operations!W779)</f>
        <v>0</v>
      </c>
      <c r="X795" s="14" t="n">
        <f aca="false">IF(Operations!X779=0,0,Operations!X777/Operations!X779)</f>
        <v>0</v>
      </c>
      <c r="Y795" s="14" t="n">
        <f aca="false">IF(Operations!Y779=0,0,Operations!Y777/Operations!Y779)</f>
        <v>0</v>
      </c>
      <c r="Z795" s="14" t="n">
        <f aca="false">IF(Operations!Z779=0,0,Operations!Z777/Operations!Z779)</f>
        <v>0</v>
      </c>
      <c r="AA795" s="14" t="n">
        <f aca="false">IF(Operations!AA779=0,0,Operations!AA777/Operations!AA779)</f>
        <v>0</v>
      </c>
      <c r="AB795" s="14" t="n">
        <f aca="false">IF(Operations!AB779=0,0,Operations!AB777/Operations!AB779)</f>
        <v>0</v>
      </c>
      <c r="AC795" s="14" t="n">
        <f aca="false">IF(Operations!AC779=0,0,Operations!AC777/Operations!AC779)</f>
        <v>0</v>
      </c>
      <c r="AD795" s="14" t="n">
        <f aca="false">IF(Operations!AD779=0,0,Operations!AD777/Operations!AD779)</f>
        <v>0</v>
      </c>
      <c r="AE795" s="14" t="n">
        <f aca="false">IF(Operations!AE779=0,0,Operations!AE777/Operations!AE779)</f>
        <v>0</v>
      </c>
      <c r="AF795" s="14" t="n">
        <f aca="false">IF(Operations!AF779=0,0,Operations!AF777/Operations!AF779)</f>
        <v>0</v>
      </c>
      <c r="AG795" s="14" t="n">
        <f aca="false">IF(Operations!AG779=0,0,Operations!AG777/Operations!AG779)</f>
        <v>0</v>
      </c>
      <c r="AH795" s="14" t="n">
        <f aca="false">IF(Operations!AH779=0,0,Operations!AH777/Operations!AH779)</f>
        <v>0</v>
      </c>
      <c r="AI795" s="14" t="n">
        <f aca="false">IF(Operations!AI779=0,0,Operations!AI777/Operations!AI779)</f>
        <v>0</v>
      </c>
      <c r="AJ795" s="14" t="n">
        <f aca="false">IF(Operations!AJ779=0,0,Operations!AJ777/Operations!AJ779)</f>
        <v>0</v>
      </c>
      <c r="AK795" s="14" t="n">
        <f aca="false">IF(Operations!AK779=0,0,Operations!AK777/Operations!AK779)</f>
        <v>0</v>
      </c>
      <c r="AL795" s="14" t="n">
        <f aca="false">IF(Operations!AL779=0,0,Operations!AL777/Operations!AL779)</f>
        <v>0</v>
      </c>
      <c r="AM795" s="14" t="n">
        <f aca="false">IF(Operations!AM779=0,0,Operations!AM777/Operations!AM779)</f>
        <v>0</v>
      </c>
      <c r="AN795" s="14" t="n">
        <f aca="false">IF(Operations!AN779=0,0,Operations!AN777/Operations!AN779)</f>
        <v>0</v>
      </c>
      <c r="AO795" s="14" t="n">
        <f aca="false">IF(Operations!AO779=0,0,Operations!AO777/Operations!AO779)</f>
        <v>0</v>
      </c>
      <c r="AP795" s="14" t="n">
        <f aca="false">IF(Operations!AP779=0,0,Operations!AP777/Operations!AP779)</f>
        <v>0</v>
      </c>
      <c r="AQ795" s="14" t="n">
        <f aca="false">IF(Operations!AQ779=0,0,Operations!AQ777/Operations!AQ779)</f>
        <v>0</v>
      </c>
      <c r="AR795" s="14" t="n">
        <f aca="false">IF(Operations!AR779=0,0,Operations!AR777/Operations!AR779)</f>
        <v>0</v>
      </c>
      <c r="AS795" s="14" t="n">
        <f aca="false">IF(Operations!AS779=0,0,Operations!AS777/Operations!AS779)</f>
        <v>0</v>
      </c>
      <c r="AT795" s="14" t="n">
        <f aca="false">IF(Operations!AT779=0,0,Operations!AT777/Operations!AT779)</f>
        <v>0</v>
      </c>
      <c r="AU795" s="14" t="n">
        <f aca="false">IF(Operations!AU779=0,0,Operations!AU777/Operations!AU779)</f>
        <v>0</v>
      </c>
    </row>
    <row r="796" customFormat="false" ht="15" hidden="false" customHeight="false" outlineLevel="0" collapsed="false">
      <c r="D796" s="0" t="s">
        <v>794</v>
      </c>
      <c r="E796" s="0" t="s">
        <v>458</v>
      </c>
      <c r="J796" s="14" t="n">
        <f aca="false">1-Operations!J794-Operations!J795</f>
        <v>1</v>
      </c>
      <c r="K796" s="14" t="n">
        <f aca="false">1-Operations!K794-Operations!K795</f>
        <v>1</v>
      </c>
      <c r="L796" s="14" t="n">
        <f aca="false">1-Operations!L794-Operations!L795</f>
        <v>1</v>
      </c>
      <c r="M796" s="14" t="n">
        <f aca="false">1-Operations!M794-Operations!M795</f>
        <v>0.33889443893375</v>
      </c>
      <c r="N796" s="14" t="n">
        <f aca="false">1-Operations!N794-Operations!N795</f>
        <v>0.357086360375468</v>
      </c>
      <c r="O796" s="14" t="n">
        <f aca="false">1-Operations!O794-Operations!O795</f>
        <v>0.362723680890358</v>
      </c>
      <c r="P796" s="14" t="n">
        <f aca="false">1-Operations!P794-Operations!P795</f>
        <v>0.363274712814709</v>
      </c>
      <c r="Q796" s="14" t="n">
        <f aca="false">1-Operations!Q794-Operations!Q795</f>
        <v>0.361074432998082</v>
      </c>
      <c r="R796" s="14" t="n">
        <f aca="false">1-Operations!R794-Operations!R795</f>
        <v>0.3590046441216</v>
      </c>
      <c r="S796" s="14" t="n">
        <f aca="false">1-Operations!S794-Operations!S795</f>
        <v>0.355041355413035</v>
      </c>
      <c r="T796" s="14" t="n">
        <f aca="false">1-Operations!T794-Operations!T795</f>
        <v>0.350911755071643</v>
      </c>
      <c r="U796" s="14" t="n">
        <f aca="false">1-Operations!U794-Operations!U795</f>
        <v>0.346608181469355</v>
      </c>
      <c r="V796" s="14" t="n">
        <f aca="false">1-Operations!V794-Operations!V795</f>
        <v>0.342122783263517</v>
      </c>
      <c r="W796" s="14" t="n">
        <f aca="false">1-Operations!W794-Operations!W795</f>
        <v>1</v>
      </c>
      <c r="X796" s="14" t="n">
        <f aca="false">1-Operations!X794-Operations!X795</f>
        <v>1</v>
      </c>
      <c r="Y796" s="14" t="n">
        <f aca="false">1-Operations!Y794-Operations!Y795</f>
        <v>1</v>
      </c>
      <c r="Z796" s="14" t="n">
        <f aca="false">1-Operations!Z794-Operations!Z795</f>
        <v>1</v>
      </c>
      <c r="AA796" s="14" t="n">
        <f aca="false">1-Operations!AA794-Operations!AA795</f>
        <v>1</v>
      </c>
      <c r="AB796" s="14" t="n">
        <f aca="false">1-Operations!AB794-Operations!AB795</f>
        <v>1</v>
      </c>
      <c r="AC796" s="14" t="n">
        <f aca="false">1-Operations!AC794-Operations!AC795</f>
        <v>1</v>
      </c>
      <c r="AD796" s="14" t="n">
        <f aca="false">1-Operations!AD794-Operations!AD795</f>
        <v>1</v>
      </c>
      <c r="AE796" s="14" t="n">
        <f aca="false">1-Operations!AE794-Operations!AE795</f>
        <v>1</v>
      </c>
      <c r="AF796" s="14" t="n">
        <f aca="false">1-Operations!AF794-Operations!AF795</f>
        <v>1</v>
      </c>
      <c r="AG796" s="14" t="n">
        <f aca="false">1-Operations!AG794-Operations!AG795</f>
        <v>1</v>
      </c>
      <c r="AH796" s="14" t="n">
        <f aca="false">1-Operations!AH794-Operations!AH795</f>
        <v>1</v>
      </c>
      <c r="AI796" s="14" t="n">
        <f aca="false">1-Operations!AI794-Operations!AI795</f>
        <v>1</v>
      </c>
      <c r="AJ796" s="14" t="n">
        <f aca="false">1-Operations!AJ794-Operations!AJ795</f>
        <v>1</v>
      </c>
      <c r="AK796" s="14" t="n">
        <f aca="false">1-Operations!AK794-Operations!AK795</f>
        <v>1</v>
      </c>
      <c r="AL796" s="14" t="n">
        <f aca="false">1-Operations!AL794-Operations!AL795</f>
        <v>1</v>
      </c>
      <c r="AM796" s="14" t="n">
        <f aca="false">1-Operations!AM794-Operations!AM795</f>
        <v>1</v>
      </c>
      <c r="AN796" s="14" t="n">
        <f aca="false">1-Operations!AN794-Operations!AN795</f>
        <v>1</v>
      </c>
      <c r="AO796" s="14" t="n">
        <f aca="false">1-Operations!AO794-Operations!AO795</f>
        <v>1</v>
      </c>
      <c r="AP796" s="14" t="n">
        <f aca="false">1-Operations!AP794-Operations!AP795</f>
        <v>1</v>
      </c>
      <c r="AQ796" s="14" t="n">
        <f aca="false">1-Operations!AQ794-Operations!AQ795</f>
        <v>1</v>
      </c>
      <c r="AR796" s="14" t="n">
        <f aca="false">1-Operations!AR794-Operations!AR795</f>
        <v>1</v>
      </c>
      <c r="AS796" s="14" t="n">
        <f aca="false">1-Operations!AS794-Operations!AS795</f>
        <v>1</v>
      </c>
      <c r="AT796" s="14" t="n">
        <f aca="false">1-Operations!AT794-Operations!AT795</f>
        <v>1</v>
      </c>
      <c r="AU796" s="14" t="n">
        <f aca="false">1-Operations!AU794-Operations!AU795</f>
        <v>1</v>
      </c>
    </row>
    <row r="797" customFormat="false" ht="15" hidden="false" customHeight="false" outlineLevel="0" collapsed="false">
      <c r="D797" s="0" t="s">
        <v>795</v>
      </c>
      <c r="E797" s="0" t="s">
        <v>47</v>
      </c>
      <c r="J797" s="20" t="n">
        <f aca="false">Operations!J776*Operations!J762*(1-Operations!J789)</f>
        <v>0</v>
      </c>
      <c r="K797" s="20" t="n">
        <f aca="false">Operations!K776*Operations!K762*(1-Operations!K789)</f>
        <v>0</v>
      </c>
      <c r="L797" s="20" t="n">
        <f aca="false">Operations!L776*Operations!L762*(1-Operations!L789)</f>
        <v>0</v>
      </c>
      <c r="M797" s="20" t="n">
        <f aca="false">Operations!M776*Operations!M762*(1-Operations!M789)</f>
        <v>0</v>
      </c>
      <c r="N797" s="20" t="n">
        <f aca="false">Operations!N776*Operations!N762*(1-Operations!N789)</f>
        <v>0</v>
      </c>
      <c r="O797" s="20" t="n">
        <f aca="false">Operations!O776*Operations!O762*(1-Operations!O789)</f>
        <v>0</v>
      </c>
      <c r="P797" s="20" t="n">
        <f aca="false">Operations!P776*Operations!P762*(1-Operations!P789)</f>
        <v>0</v>
      </c>
      <c r="Q797" s="20" t="n">
        <f aca="false">Operations!Q776*Operations!Q762*(1-Operations!Q789)</f>
        <v>0</v>
      </c>
      <c r="R797" s="20" t="n">
        <f aca="false">Operations!R776*Operations!R762*(1-Operations!R789)</f>
        <v>0</v>
      </c>
      <c r="S797" s="20" t="n">
        <f aca="false">Operations!S776*Operations!S762*(1-Operations!S789)</f>
        <v>0</v>
      </c>
      <c r="T797" s="20" t="n">
        <f aca="false">Operations!T776*Operations!T762*(1-Operations!T789)</f>
        <v>0</v>
      </c>
      <c r="U797" s="20" t="n">
        <f aca="false">Operations!U776*Operations!U762*(1-Operations!U789)</f>
        <v>0</v>
      </c>
      <c r="V797" s="20" t="n">
        <f aca="false">Operations!V776*Operations!V762*(1-Operations!V789)</f>
        <v>0</v>
      </c>
      <c r="W797" s="20" t="n">
        <f aca="false">Operations!W776*Operations!W762*(1-Operations!W789)</f>
        <v>0</v>
      </c>
      <c r="X797" s="20" t="n">
        <f aca="false">Operations!X776*Operations!X762*(1-Operations!X789)</f>
        <v>0</v>
      </c>
      <c r="Y797" s="20" t="n">
        <f aca="false">Operations!Y776*Operations!Y762*(1-Operations!Y789)</f>
        <v>0</v>
      </c>
      <c r="Z797" s="20" t="n">
        <f aca="false">Operations!Z776*Operations!Z762*(1-Operations!Z789)</f>
        <v>0</v>
      </c>
      <c r="AA797" s="20" t="n">
        <f aca="false">Operations!AA776*Operations!AA762*(1-Operations!AA789)</f>
        <v>0</v>
      </c>
      <c r="AB797" s="20" t="n">
        <f aca="false">Operations!AB776*Operations!AB762*(1-Operations!AB789)</f>
        <v>0</v>
      </c>
      <c r="AC797" s="20" t="n">
        <f aca="false">Operations!AC776*Operations!AC762*(1-Operations!AC789)</f>
        <v>0</v>
      </c>
      <c r="AD797" s="20" t="n">
        <f aca="false">Operations!AD776*Operations!AD762*(1-Operations!AD789)</f>
        <v>0</v>
      </c>
      <c r="AE797" s="20" t="n">
        <f aca="false">Operations!AE776*Operations!AE762*(1-Operations!AE789)</f>
        <v>0</v>
      </c>
      <c r="AF797" s="20" t="n">
        <f aca="false">Operations!AF776*Operations!AF762*(1-Operations!AF789)</f>
        <v>0</v>
      </c>
      <c r="AG797" s="20" t="n">
        <f aca="false">Operations!AG776*Operations!AG762*(1-Operations!AG789)</f>
        <v>0</v>
      </c>
      <c r="AH797" s="20" t="n">
        <f aca="false">Operations!AH776*Operations!AH762*(1-Operations!AH789)</f>
        <v>0</v>
      </c>
      <c r="AI797" s="20" t="n">
        <f aca="false">Operations!AI776*Operations!AI762*(1-Operations!AI789)</f>
        <v>0</v>
      </c>
      <c r="AJ797" s="20" t="n">
        <f aca="false">Operations!AJ776*Operations!AJ762*(1-Operations!AJ789)</f>
        <v>0</v>
      </c>
      <c r="AK797" s="20" t="n">
        <f aca="false">Operations!AK776*Operations!AK762*(1-Operations!AK789)</f>
        <v>0</v>
      </c>
      <c r="AL797" s="20" t="n">
        <f aca="false">Operations!AL776*Operations!AL762*(1-Operations!AL789)</f>
        <v>0</v>
      </c>
      <c r="AM797" s="20" t="n">
        <f aca="false">Operations!AM776*Operations!AM762*(1-Operations!AM789)</f>
        <v>0</v>
      </c>
      <c r="AN797" s="20" t="n">
        <f aca="false">Operations!AN776*Operations!AN762*(1-Operations!AN789)</f>
        <v>0</v>
      </c>
      <c r="AO797" s="20" t="n">
        <f aca="false">Operations!AO776*Operations!AO762*(1-Operations!AO789)</f>
        <v>0</v>
      </c>
      <c r="AP797" s="20" t="n">
        <f aca="false">Operations!AP776*Operations!AP762*(1-Operations!AP789)</f>
        <v>0</v>
      </c>
      <c r="AQ797" s="20" t="n">
        <f aca="false">Operations!AQ776*Operations!AQ762*(1-Operations!AQ789)</f>
        <v>0</v>
      </c>
      <c r="AR797" s="20" t="n">
        <f aca="false">Operations!AR776*Operations!AR762*(1-Operations!AR789)</f>
        <v>0</v>
      </c>
      <c r="AS797" s="20" t="n">
        <f aca="false">Operations!AS776*Operations!AS762*(1-Operations!AS789)</f>
        <v>0</v>
      </c>
      <c r="AT797" s="20" t="n">
        <f aca="false">Operations!AT776*Operations!AT762*(1-Operations!AT789)</f>
        <v>0</v>
      </c>
      <c r="AU797" s="20" t="n">
        <f aca="false">Operations!AU776*Operations!AU762*(1-Operations!AU789)</f>
        <v>0</v>
      </c>
    </row>
    <row r="798" customFormat="false" ht="15" hidden="false" customHeight="false" outlineLevel="0" collapsed="false">
      <c r="D798" s="0" t="s">
        <v>796</v>
      </c>
      <c r="E798" s="0" t="s">
        <v>47</v>
      </c>
      <c r="J798" s="20" t="n">
        <f aca="false">Operations!J777*Operations!J762*(1-Operations!J789)</f>
        <v>0</v>
      </c>
      <c r="K798" s="20" t="n">
        <f aca="false">Operations!K777*Operations!K762*(1-Operations!K789)</f>
        <v>0</v>
      </c>
      <c r="L798" s="20" t="n">
        <f aca="false">Operations!L777*Operations!L762*(1-Operations!L789)</f>
        <v>0</v>
      </c>
      <c r="M798" s="20" t="n">
        <f aca="false">Operations!M777*Operations!M762*(1-Operations!M789)</f>
        <v>6.77249</v>
      </c>
      <c r="N798" s="20" t="n">
        <f aca="false">Operations!N777*Operations!N762*(1-Operations!N789)</f>
        <v>6.77249</v>
      </c>
      <c r="O798" s="20" t="n">
        <f aca="false">Operations!O777*Operations!O762*(1-Operations!O789)</f>
        <v>6.77249</v>
      </c>
      <c r="P798" s="20" t="n">
        <f aca="false">Operations!P777*Operations!P762*(1-Operations!P789)</f>
        <v>6.77249</v>
      </c>
      <c r="Q798" s="20" t="n">
        <f aca="false">Operations!Q777*Operations!Q762*(1-Operations!Q789)</f>
        <v>6.77249</v>
      </c>
      <c r="R798" s="20" t="n">
        <f aca="false">Operations!R777*Operations!R762*(1-Operations!R789)</f>
        <v>6.77249</v>
      </c>
      <c r="S798" s="20" t="n">
        <f aca="false">Operations!S777*Operations!S762*(1-Operations!S789)</f>
        <v>6.77249</v>
      </c>
      <c r="T798" s="20" t="n">
        <f aca="false">Operations!T777*Operations!T762*(1-Operations!T789)</f>
        <v>6.77249</v>
      </c>
      <c r="U798" s="20" t="n">
        <f aca="false">Operations!U777*Operations!U762*(1-Operations!U789)</f>
        <v>6.77249</v>
      </c>
      <c r="V798" s="20" t="n">
        <f aca="false">Operations!V777*Operations!V762*(1-Operations!V789)</f>
        <v>6.77249</v>
      </c>
      <c r="W798" s="20" t="n">
        <f aca="false">Operations!W777*Operations!W762*(1-Operations!W789)</f>
        <v>0</v>
      </c>
      <c r="X798" s="20" t="n">
        <f aca="false">Operations!X777*Operations!X762*(1-Operations!X789)</f>
        <v>0</v>
      </c>
      <c r="Y798" s="20" t="n">
        <f aca="false">Operations!Y777*Operations!Y762*(1-Operations!Y789)</f>
        <v>0</v>
      </c>
      <c r="Z798" s="20" t="n">
        <f aca="false">Operations!Z777*Operations!Z762*(1-Operations!Z789)</f>
        <v>0</v>
      </c>
      <c r="AA798" s="20" t="n">
        <f aca="false">Operations!AA777*Operations!AA762*(1-Operations!AA789)</f>
        <v>0</v>
      </c>
      <c r="AB798" s="20" t="n">
        <f aca="false">Operations!AB777*Operations!AB762*(1-Operations!AB789)</f>
        <v>0</v>
      </c>
      <c r="AC798" s="20" t="n">
        <f aca="false">Operations!AC777*Operations!AC762*(1-Operations!AC789)</f>
        <v>0</v>
      </c>
      <c r="AD798" s="20" t="n">
        <f aca="false">Operations!AD777*Operations!AD762*(1-Operations!AD789)</f>
        <v>0</v>
      </c>
      <c r="AE798" s="20" t="n">
        <f aca="false">Operations!AE777*Operations!AE762*(1-Operations!AE789)</f>
        <v>0</v>
      </c>
      <c r="AF798" s="20" t="n">
        <f aca="false">Operations!AF777*Operations!AF762*(1-Operations!AF789)</f>
        <v>0</v>
      </c>
      <c r="AG798" s="20" t="n">
        <f aca="false">Operations!AG777*Operations!AG762*(1-Operations!AG789)</f>
        <v>0</v>
      </c>
      <c r="AH798" s="20" t="n">
        <f aca="false">Operations!AH777*Operations!AH762*(1-Operations!AH789)</f>
        <v>0</v>
      </c>
      <c r="AI798" s="20" t="n">
        <f aca="false">Operations!AI777*Operations!AI762*(1-Operations!AI789)</f>
        <v>0</v>
      </c>
      <c r="AJ798" s="20" t="n">
        <f aca="false">Operations!AJ777*Operations!AJ762*(1-Operations!AJ789)</f>
        <v>0</v>
      </c>
      <c r="AK798" s="20" t="n">
        <f aca="false">Operations!AK777*Operations!AK762*(1-Operations!AK789)</f>
        <v>0</v>
      </c>
      <c r="AL798" s="20" t="n">
        <f aca="false">Operations!AL777*Operations!AL762*(1-Operations!AL789)</f>
        <v>0</v>
      </c>
      <c r="AM798" s="20" t="n">
        <f aca="false">Operations!AM777*Operations!AM762*(1-Operations!AM789)</f>
        <v>0</v>
      </c>
      <c r="AN798" s="20" t="n">
        <f aca="false">Operations!AN777*Operations!AN762*(1-Operations!AN789)</f>
        <v>0</v>
      </c>
      <c r="AO798" s="20" t="n">
        <f aca="false">Operations!AO777*Operations!AO762*(1-Operations!AO789)</f>
        <v>0</v>
      </c>
      <c r="AP798" s="20" t="n">
        <f aca="false">Operations!AP777*Operations!AP762*(1-Operations!AP789)</f>
        <v>0</v>
      </c>
      <c r="AQ798" s="20" t="n">
        <f aca="false">Operations!AQ777*Operations!AQ762*(1-Operations!AQ789)</f>
        <v>0</v>
      </c>
      <c r="AR798" s="20" t="n">
        <f aca="false">Operations!AR777*Operations!AR762*(1-Operations!AR789)</f>
        <v>0</v>
      </c>
      <c r="AS798" s="20" t="n">
        <f aca="false">Operations!AS777*Operations!AS762*(1-Operations!AS789)</f>
        <v>0</v>
      </c>
      <c r="AT798" s="20" t="n">
        <f aca="false">Operations!AT777*Operations!AT762*(1-Operations!AT789)</f>
        <v>0</v>
      </c>
      <c r="AU798" s="20" t="n">
        <f aca="false">Operations!AU777*Operations!AU762*(1-Operations!AU789)</f>
        <v>0</v>
      </c>
    </row>
    <row r="799" customFormat="false" ht="15" hidden="false" customHeight="false" outlineLevel="0" collapsed="false">
      <c r="D799" s="0" t="s">
        <v>797</v>
      </c>
      <c r="E799" s="0" t="s">
        <v>47</v>
      </c>
      <c r="J799" s="20" t="n">
        <f aca="false">Operations!J780*Operations!J762*(1-Operations!J789)</f>
        <v>0</v>
      </c>
      <c r="K799" s="20" t="n">
        <f aca="false">Operations!K780*Operations!K762*(1-Operations!K789)</f>
        <v>0</v>
      </c>
      <c r="L799" s="20" t="n">
        <f aca="false">Operations!L780*Operations!L762*(1-Operations!L789)</f>
        <v>0.235148370701091</v>
      </c>
      <c r="M799" s="20" t="n">
        <f aca="false">Operations!M780*Operations!M762*(1-Operations!M789)</f>
        <v>3.47169852123576</v>
      </c>
      <c r="N799" s="20" t="n">
        <f aca="false">Operations!N780*Operations!N762*(1-Operations!N789)</f>
        <v>3.76156867070296</v>
      </c>
      <c r="O799" s="20" t="n">
        <f aca="false">Operations!O780*Operations!O762*(1-Operations!O789)</f>
        <v>3.85475252716946</v>
      </c>
      <c r="P799" s="20" t="n">
        <f aca="false">Operations!P780*Operations!P762*(1-Operations!P789)</f>
        <v>3.86394950743418</v>
      </c>
      <c r="Q799" s="20" t="n">
        <f aca="false">Operations!Q780*Operations!Q762*(1-Operations!Q789)</f>
        <v>3.82732060357171</v>
      </c>
      <c r="R799" s="20" t="n">
        <f aca="false">Operations!R780*Operations!R762*(1-Operations!R789)</f>
        <v>3.79309356919636</v>
      </c>
      <c r="S799" s="20" t="n">
        <f aca="false">Operations!S780*Operations!S762*(1-Operations!S789)</f>
        <v>3.72816776595202</v>
      </c>
      <c r="T799" s="20" t="n">
        <f aca="false">Operations!T780*Operations!T762*(1-Operations!T789)</f>
        <v>3.66136094849085</v>
      </c>
      <c r="U799" s="20" t="n">
        <f aca="false">Operations!U780*Operations!U762*(1-Operations!U789)</f>
        <v>3.59263825524821</v>
      </c>
      <c r="V799" s="20" t="n">
        <f aca="false">Operations!V780*Operations!V762*(1-Operations!V789)</f>
        <v>3.52196894721228</v>
      </c>
      <c r="W799" s="20" t="n">
        <f aca="false">Operations!W780*Operations!W762*(1-Operations!W789)</f>
        <v>10.0220093158412</v>
      </c>
      <c r="X799" s="20" t="n">
        <f aca="false">Operations!X780*Operations!X762*(1-Operations!X789)</f>
        <v>9.89718440760569</v>
      </c>
      <c r="Y799" s="20" t="n">
        <f aca="false">Operations!Y780*Operations!Y762*(1-Operations!Y789)</f>
        <v>9.92719543676923</v>
      </c>
      <c r="Z799" s="20" t="n">
        <f aca="false">Operations!Z780*Operations!Z762*(1-Operations!Z789)</f>
        <v>10.0852031584582</v>
      </c>
      <c r="AA799" s="20" t="n">
        <f aca="false">Operations!AA780*Operations!AA762*(1-Operations!AA789)</f>
        <v>10.2450976578251</v>
      </c>
      <c r="AB799" s="20" t="n">
        <f aca="false">Operations!AB780*Operations!AB762*(1-Operations!AB789)</f>
        <v>10.4084962917669</v>
      </c>
      <c r="AC799" s="20" t="n">
        <f aca="false">Operations!AC780*Operations!AC762*(1-Operations!AC789)</f>
        <v>10.5737070652113</v>
      </c>
      <c r="AD799" s="20" t="n">
        <f aca="false">Operations!AD780*Operations!AD762*(1-Operations!AD789)</f>
        <v>10.7423347922317</v>
      </c>
      <c r="AE799" s="20" t="n">
        <f aca="false">Operations!AE780*Operations!AE762*(1-Operations!AE789)</f>
        <v>10.9127013547905</v>
      </c>
      <c r="AF799" s="20" t="n">
        <f aca="false">Operations!AF780*Operations!AF762*(1-Operations!AF789)</f>
        <v>11.0863991202736</v>
      </c>
      <c r="AG799" s="20" t="n">
        <f aca="false">Operations!AG780*Operations!AG762*(1-Operations!AG789)</f>
        <v>11.2633792491414</v>
      </c>
      <c r="AH799" s="20" t="n">
        <f aca="false">Operations!AH780*Operations!AH762*(1-Operations!AH789)</f>
        <v>11.4419842629492</v>
      </c>
      <c r="AI799" s="20" t="n">
        <f aca="false">Operations!AI780*Operations!AI762*(1-Operations!AI789)</f>
        <v>11.6237880764638</v>
      </c>
      <c r="AJ799" s="20" t="n">
        <f aca="false">Operations!AJ780*Operations!AJ762*(1-Operations!AJ789)</f>
        <v>11.8087430101917</v>
      </c>
      <c r="AK799" s="20" t="n">
        <f aca="false">Operations!AK780*Operations!AK762*(1-Operations!AK789)</f>
        <v>11.9968017918203</v>
      </c>
      <c r="AL799" s="20" t="n">
        <f aca="false">Operations!AL780*Operations!AL762*(1-Operations!AL789)</f>
        <v>12.1879175534157</v>
      </c>
      <c r="AM799" s="20" t="n">
        <f aca="false">Operations!AM780*Operations!AM762*(1-Operations!AM789)</f>
        <v>12.382043828637</v>
      </c>
      <c r="AN799" s="20" t="n">
        <f aca="false">Operations!AN780*Operations!AN762*(1-Operations!AN789)</f>
        <v>12.5791345499689</v>
      </c>
      <c r="AO799" s="20" t="n">
        <f aca="false">Operations!AO780*Operations!AO762*(1-Operations!AO789)</f>
        <v>12.7791440459702</v>
      </c>
      <c r="AP799" s="20" t="n">
        <f aca="false">Operations!AP780*Operations!AP762*(1-Operations!AP789)</f>
        <v>12.9820270385394</v>
      </c>
      <c r="AQ799" s="20" t="n">
        <f aca="false">Operations!AQ780*Operations!AQ762*(1-Operations!AQ789)</f>
        <v>13.1892906866419</v>
      </c>
      <c r="AR799" s="20" t="n">
        <f aca="false">Operations!AR780*Operations!AR762*(1-Operations!AR789)</f>
        <v>13.3993260279036</v>
      </c>
      <c r="AS799" s="20" t="n">
        <f aca="false">Operations!AS780*Operations!AS762*(1-Operations!AS789)</f>
        <v>13.6120890225018</v>
      </c>
      <c r="AT799" s="20" t="n">
        <f aca="false">Operations!AT780*Operations!AT762*(1-Operations!AT789)</f>
        <v>13.8290695090715</v>
      </c>
      <c r="AU799" s="20" t="n">
        <f aca="false">Operations!AU780*Operations!AU762*(1-Operations!AU789)</f>
        <v>14.0486784452275</v>
      </c>
    </row>
    <row r="800" customFormat="false" ht="15" hidden="false" customHeight="false" outlineLevel="0" collapsed="false">
      <c r="D800" s="0" t="s">
        <v>798</v>
      </c>
      <c r="E800" s="0" t="s">
        <v>47</v>
      </c>
      <c r="J800" s="20" t="n">
        <f aca="false">Operations!J779*Operations!J762*(1-Operations!J789)</f>
        <v>0</v>
      </c>
      <c r="K800" s="20" t="n">
        <f aca="false">Operations!K779*Operations!K762*(1-Operations!K789)</f>
        <v>0</v>
      </c>
      <c r="L800" s="20" t="n">
        <f aca="false">Operations!L779*Operations!L762*(1-Operations!L789)</f>
        <v>0.235148370701091</v>
      </c>
      <c r="M800" s="20" t="n">
        <f aca="false">Operations!M779*Operations!M762*(1-Operations!M789)</f>
        <v>10.2441885212358</v>
      </c>
      <c r="N800" s="20" t="n">
        <f aca="false">Operations!N779*Operations!N762*(1-Operations!N789)</f>
        <v>10.534058670703</v>
      </c>
      <c r="O800" s="20" t="n">
        <f aca="false">Operations!O779*Operations!O762*(1-Operations!O789)</f>
        <v>10.6272425271695</v>
      </c>
      <c r="P800" s="20" t="n">
        <f aca="false">Operations!P779*Operations!P762*(1-Operations!P789)</f>
        <v>10.6364395074342</v>
      </c>
      <c r="Q800" s="20" t="n">
        <f aca="false">Operations!Q779*Operations!Q762*(1-Operations!Q789)</f>
        <v>10.5998106035717</v>
      </c>
      <c r="R800" s="20" t="n">
        <f aca="false">Operations!R779*Operations!R762*(1-Operations!R789)</f>
        <v>10.5655835691964</v>
      </c>
      <c r="S800" s="20" t="n">
        <f aca="false">Operations!S779*Operations!S762*(1-Operations!S789)</f>
        <v>10.500657765952</v>
      </c>
      <c r="T800" s="20" t="n">
        <f aca="false">Operations!T779*Operations!T762*(1-Operations!T789)</f>
        <v>10.4338509484908</v>
      </c>
      <c r="U800" s="20" t="n">
        <f aca="false">Operations!U779*Operations!U762*(1-Operations!U789)</f>
        <v>10.3651282552482</v>
      </c>
      <c r="V800" s="20" t="n">
        <f aca="false">Operations!V779*Operations!V762*(1-Operations!V789)</f>
        <v>10.2944589472123</v>
      </c>
      <c r="W800" s="20" t="n">
        <f aca="false">Operations!W779*Operations!W762*(1-Operations!W789)</f>
        <v>10.0220093158412</v>
      </c>
      <c r="X800" s="20" t="n">
        <f aca="false">Operations!X779*Operations!X762*(1-Operations!X789)</f>
        <v>9.89718440760569</v>
      </c>
      <c r="Y800" s="20" t="n">
        <f aca="false">Operations!Y779*Operations!Y762*(1-Operations!Y789)</f>
        <v>9.92719543676923</v>
      </c>
      <c r="Z800" s="20" t="n">
        <f aca="false">Operations!Z779*Operations!Z762*(1-Operations!Z789)</f>
        <v>10.0852031584582</v>
      </c>
      <c r="AA800" s="20" t="n">
        <f aca="false">Operations!AA779*Operations!AA762*(1-Operations!AA789)</f>
        <v>10.2450976578251</v>
      </c>
      <c r="AB800" s="20" t="n">
        <f aca="false">Operations!AB779*Operations!AB762*(1-Operations!AB789)</f>
        <v>10.4084962917669</v>
      </c>
      <c r="AC800" s="20" t="n">
        <f aca="false">Operations!AC779*Operations!AC762*(1-Operations!AC789)</f>
        <v>10.5737070652113</v>
      </c>
      <c r="AD800" s="20" t="n">
        <f aca="false">Operations!AD779*Operations!AD762*(1-Operations!AD789)</f>
        <v>10.7423347922317</v>
      </c>
      <c r="AE800" s="20" t="n">
        <f aca="false">Operations!AE779*Operations!AE762*(1-Operations!AE789)</f>
        <v>10.9127013547905</v>
      </c>
      <c r="AF800" s="20" t="n">
        <f aca="false">Operations!AF779*Operations!AF762*(1-Operations!AF789)</f>
        <v>11.0863991202736</v>
      </c>
      <c r="AG800" s="20" t="n">
        <f aca="false">Operations!AG779*Operations!AG762*(1-Operations!AG789)</f>
        <v>11.2633792491414</v>
      </c>
      <c r="AH800" s="20" t="n">
        <f aca="false">Operations!AH779*Operations!AH762*(1-Operations!AH789)</f>
        <v>11.4419842629492</v>
      </c>
      <c r="AI800" s="20" t="n">
        <f aca="false">Operations!AI779*Operations!AI762*(1-Operations!AI789)</f>
        <v>11.6237880764638</v>
      </c>
      <c r="AJ800" s="20" t="n">
        <f aca="false">Operations!AJ779*Operations!AJ762*(1-Operations!AJ789)</f>
        <v>11.8087430101917</v>
      </c>
      <c r="AK800" s="20" t="n">
        <f aca="false">Operations!AK779*Operations!AK762*(1-Operations!AK789)</f>
        <v>11.9968017918203</v>
      </c>
      <c r="AL800" s="20" t="n">
        <f aca="false">Operations!AL779*Operations!AL762*(1-Operations!AL789)</f>
        <v>12.1879175534157</v>
      </c>
      <c r="AM800" s="20" t="n">
        <f aca="false">Operations!AM779*Operations!AM762*(1-Operations!AM789)</f>
        <v>12.382043828637</v>
      </c>
      <c r="AN800" s="20" t="n">
        <f aca="false">Operations!AN779*Operations!AN762*(1-Operations!AN789)</f>
        <v>12.5791345499689</v>
      </c>
      <c r="AO800" s="20" t="n">
        <f aca="false">Operations!AO779*Operations!AO762*(1-Operations!AO789)</f>
        <v>12.7791440459702</v>
      </c>
      <c r="AP800" s="20" t="n">
        <f aca="false">Operations!AP779*Operations!AP762*(1-Operations!AP789)</f>
        <v>12.9820270385394</v>
      </c>
      <c r="AQ800" s="20" t="n">
        <f aca="false">Operations!AQ779*Operations!AQ762*(1-Operations!AQ789)</f>
        <v>13.1892906866419</v>
      </c>
      <c r="AR800" s="20" t="n">
        <f aca="false">Operations!AR779*Operations!AR762*(1-Operations!AR789)</f>
        <v>13.3993260279036</v>
      </c>
      <c r="AS800" s="20" t="n">
        <f aca="false">Operations!AS779*Operations!AS762*(1-Operations!AS789)</f>
        <v>13.6120890225018</v>
      </c>
      <c r="AT800" s="20" t="n">
        <f aca="false">Operations!AT779*Operations!AT762*(1-Operations!AT789)</f>
        <v>13.8290695090715</v>
      </c>
      <c r="AU800" s="20" t="n">
        <f aca="false">Operations!AU779*Operations!AU762*(1-Operations!AU789)</f>
        <v>14.0486784452275</v>
      </c>
    </row>
    <row r="802" customFormat="false" ht="15" hidden="false" customHeight="false" outlineLevel="0" collapsed="false">
      <c r="A802" s="4" t="s">
        <v>832</v>
      </c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</row>
    <row r="803" customFormat="false" ht="15" hidden="false" customHeight="false" outlineLevel="0" collapsed="false">
      <c r="D803" s="0" t="s">
        <v>800</v>
      </c>
      <c r="E803" s="0" t="s">
        <v>47</v>
      </c>
      <c r="J803" s="20" t="n">
        <f aca="false">Inputs!$F$246*Time!J$9*MAX(0,MIN(Inputs!$F$26,Time!J$6)-MAX(Inputs!$F$247,Time!J$5))/Time!J$7</f>
        <v>2.48986301369863</v>
      </c>
      <c r="K803" s="20" t="n">
        <f aca="false">Inputs!$F$246*Time!K$9*MAX(0,MIN(Inputs!$F$26,Time!K$6)-MAX(Inputs!$F$247,Time!K$5))/Time!K$7</f>
        <v>3.28</v>
      </c>
      <c r="L803" s="20" t="n">
        <f aca="false">Inputs!$F$246*Time!L$9*MAX(0,MIN(Inputs!$F$26,Time!L$6)-MAX(Inputs!$F$247,Time!L$5))/Time!L$7</f>
        <v>3.362</v>
      </c>
      <c r="M803" s="20" t="n">
        <f aca="false">Inputs!$F$246*Time!M$9*MAX(0,MIN(Inputs!$F$26,Time!M$6)-MAX(Inputs!$F$247,Time!M$5))/Time!M$7</f>
        <v>3.44605</v>
      </c>
      <c r="N803" s="20" t="n">
        <f aca="false">Inputs!$F$246*Time!N$9*MAX(0,MIN(Inputs!$F$26,Time!N$6)-MAX(Inputs!$F$247,Time!N$5))/Time!N$7</f>
        <v>3.53220125</v>
      </c>
      <c r="O803" s="20" t="n">
        <f aca="false">Inputs!$F$246*Time!O$9*MAX(0,MIN(Inputs!$F$26,Time!O$6)-MAX(Inputs!$F$247,Time!O$5))/Time!O$7</f>
        <v>3.62050628125</v>
      </c>
      <c r="P803" s="20" t="n">
        <f aca="false">Inputs!$F$246*Time!P$9*MAX(0,MIN(Inputs!$F$26,Time!P$6)-MAX(Inputs!$F$247,Time!P$5))/Time!P$7</f>
        <v>3.71101893828125</v>
      </c>
      <c r="Q803" s="20" t="n">
        <f aca="false">Inputs!$F$246*Time!Q$9*MAX(0,MIN(Inputs!$F$26,Time!Q$6)-MAX(Inputs!$F$247,Time!Q$5))/Time!Q$7</f>
        <v>3.80379441173828</v>
      </c>
      <c r="R803" s="20" t="n">
        <f aca="false">Inputs!$F$246*Time!R$9*MAX(0,MIN(Inputs!$F$26,Time!R$6)-MAX(Inputs!$F$247,Time!R$5))/Time!R$7</f>
        <v>3.89888927203174</v>
      </c>
      <c r="S803" s="20" t="n">
        <f aca="false">Inputs!$F$246*Time!S$9*MAX(0,MIN(Inputs!$F$26,Time!S$6)-MAX(Inputs!$F$247,Time!S$5))/Time!S$7</f>
        <v>3.99636150383253</v>
      </c>
      <c r="T803" s="20" t="n">
        <f aca="false">Inputs!$F$246*Time!T$9*MAX(0,MIN(Inputs!$F$26,Time!T$6)-MAX(Inputs!$F$247,Time!T$5))/Time!T$7</f>
        <v>4.09627054142834</v>
      </c>
      <c r="U803" s="20" t="n">
        <f aca="false">Inputs!$F$246*Time!U$9*MAX(0,MIN(Inputs!$F$26,Time!U$6)-MAX(Inputs!$F$247,Time!U$5))/Time!U$7</f>
        <v>4.19867730496405</v>
      </c>
      <c r="V803" s="20" t="n">
        <f aca="false">Inputs!$F$246*Time!V$9*MAX(0,MIN(Inputs!$F$26,Time!V$6)-MAX(Inputs!$F$247,Time!V$5))/Time!V$7</f>
        <v>4.30364423758815</v>
      </c>
      <c r="W803" s="20" t="n">
        <f aca="false">Inputs!$F$246*Time!W$9*MAX(0,MIN(Inputs!$F$26,Time!W$6)-MAX(Inputs!$F$247,Time!W$5))/Time!W$7</f>
        <v>4.41123534352785</v>
      </c>
      <c r="X803" s="20" t="n">
        <f aca="false">Inputs!$F$246*Time!X$9*MAX(0,MIN(Inputs!$F$26,Time!X$6)-MAX(Inputs!$F$247,Time!X$5))/Time!X$7</f>
        <v>4.52151622711605</v>
      </c>
      <c r="Y803" s="20" t="n">
        <f aca="false">Inputs!$F$246*Time!Y$9*MAX(0,MIN(Inputs!$F$26,Time!Y$6)-MAX(Inputs!$F$247,Time!Y$5))/Time!Y$7</f>
        <v>4.63455413279395</v>
      </c>
      <c r="Z803" s="20" t="n">
        <f aca="false">Inputs!$F$246*Time!Z$9*MAX(0,MIN(Inputs!$F$26,Time!Z$6)-MAX(Inputs!$F$247,Time!Z$5))/Time!Z$7</f>
        <v>4.7504179861138</v>
      </c>
      <c r="AA803" s="20" t="n">
        <f aca="false">Inputs!$F$246*Time!AA$9*MAX(0,MIN(Inputs!$F$26,Time!AA$6)-MAX(Inputs!$F$247,Time!AA$5))/Time!AA$7</f>
        <v>4.86917843576664</v>
      </c>
      <c r="AB803" s="20" t="n">
        <f aca="false">Inputs!$F$246*Time!AB$9*MAX(0,MIN(Inputs!$F$26,Time!AB$6)-MAX(Inputs!$F$247,Time!AB$5))/Time!AB$7</f>
        <v>4.99090789666081</v>
      </c>
      <c r="AC803" s="20" t="n">
        <f aca="false">Inputs!$F$246*Time!AC$9*MAX(0,MIN(Inputs!$F$26,Time!AC$6)-MAX(Inputs!$F$247,Time!AC$5))/Time!AC$7</f>
        <v>5.11568059407733</v>
      </c>
      <c r="AD803" s="20" t="n">
        <f aca="false">Inputs!$F$246*Time!AD$9*MAX(0,MIN(Inputs!$F$26,Time!AD$6)-MAX(Inputs!$F$247,Time!AD$5))/Time!AD$7</f>
        <v>5.24357260892926</v>
      </c>
      <c r="AE803" s="20" t="n">
        <f aca="false">Inputs!$F$246*Time!AE$9*MAX(0,MIN(Inputs!$F$26,Time!AE$6)-MAX(Inputs!$F$247,Time!AE$5))/Time!AE$7</f>
        <v>5.37466192415249</v>
      </c>
      <c r="AF803" s="20" t="n">
        <f aca="false">Inputs!$F$246*Time!AF$9*MAX(0,MIN(Inputs!$F$26,Time!AF$6)-MAX(Inputs!$F$247,Time!AF$5))/Time!AF$7</f>
        <v>5.50902847225631</v>
      </c>
      <c r="AG803" s="20" t="n">
        <f aca="false">Inputs!$F$246*Time!AG$9*MAX(0,MIN(Inputs!$F$26,Time!AG$6)-MAX(Inputs!$F$247,Time!AG$5))/Time!AG$7</f>
        <v>5.64675418406271</v>
      </c>
      <c r="AH803" s="20" t="n">
        <f aca="false">Inputs!$F$246*Time!AH$9*MAX(0,MIN(Inputs!$F$26,Time!AH$6)-MAX(Inputs!$F$247,Time!AH$5))/Time!AH$7</f>
        <v>5.78792303866428</v>
      </c>
      <c r="AI803" s="20" t="n">
        <f aca="false">Inputs!$F$246*Time!AI$9*MAX(0,MIN(Inputs!$F$26,Time!AI$6)-MAX(Inputs!$F$247,Time!AI$5))/Time!AI$7</f>
        <v>5.93262111463089</v>
      </c>
      <c r="AJ803" s="20" t="n">
        <f aca="false">Inputs!$F$246*Time!AJ$9*MAX(0,MIN(Inputs!$F$26,Time!AJ$6)-MAX(Inputs!$F$247,Time!AJ$5))/Time!AJ$7</f>
        <v>6.08093664249666</v>
      </c>
      <c r="AK803" s="20" t="n">
        <f aca="false">Inputs!$F$246*Time!AK$9*MAX(0,MIN(Inputs!$F$26,Time!AK$6)-MAX(Inputs!$F$247,Time!AK$5))/Time!AK$7</f>
        <v>6.23296005855907</v>
      </c>
      <c r="AL803" s="20" t="n">
        <f aca="false">Inputs!$F$246*Time!AL$9*MAX(0,MIN(Inputs!$F$26,Time!AL$6)-MAX(Inputs!$F$247,Time!AL$5))/Time!AL$7</f>
        <v>6.38878406002305</v>
      </c>
      <c r="AM803" s="20" t="n">
        <f aca="false">Inputs!$F$246*Time!AM$9*MAX(0,MIN(Inputs!$F$26,Time!AM$6)-MAX(Inputs!$F$247,Time!AM$5))/Time!AM$7</f>
        <v>6.54850366152362</v>
      </c>
      <c r="AN803" s="20" t="n">
        <f aca="false">Inputs!$F$246*Time!AN$9*MAX(0,MIN(Inputs!$F$26,Time!AN$6)-MAX(Inputs!$F$247,Time!AN$5))/Time!AN$7</f>
        <v>6.71221625306172</v>
      </c>
      <c r="AO803" s="20" t="n">
        <f aca="false">Inputs!$F$246*Time!AO$9*MAX(0,MIN(Inputs!$F$26,Time!AO$6)-MAX(Inputs!$F$247,Time!AO$5))/Time!AO$7</f>
        <v>6.88002165938826</v>
      </c>
      <c r="AP803" s="20" t="n">
        <f aca="false">Inputs!$F$246*Time!AP$9*MAX(0,MIN(Inputs!$F$26,Time!AP$6)-MAX(Inputs!$F$247,Time!AP$5))/Time!AP$7</f>
        <v>7.05202220087296</v>
      </c>
      <c r="AQ803" s="20" t="n">
        <f aca="false">Inputs!$F$246*Time!AQ$9*MAX(0,MIN(Inputs!$F$26,Time!AQ$6)-MAX(Inputs!$F$247,Time!AQ$5))/Time!AQ$7</f>
        <v>7.22832275589479</v>
      </c>
      <c r="AR803" s="20" t="n">
        <f aca="false">Inputs!$F$246*Time!AR$9*MAX(0,MIN(Inputs!$F$26,Time!AR$6)-MAX(Inputs!$F$247,Time!AR$5))/Time!AR$7</f>
        <v>7.40903082479216</v>
      </c>
      <c r="AS803" s="20" t="n">
        <f aca="false">Inputs!$F$246*Time!AS$9*MAX(0,MIN(Inputs!$F$26,Time!AS$6)-MAX(Inputs!$F$247,Time!AS$5))/Time!AS$7</f>
        <v>7.59425659541196</v>
      </c>
      <c r="AT803" s="20" t="n">
        <f aca="false">Inputs!$F$246*Time!AT$9*MAX(0,MIN(Inputs!$F$26,Time!AT$6)-MAX(Inputs!$F$247,Time!AT$5))/Time!AT$7</f>
        <v>7.78411301029726</v>
      </c>
      <c r="AU803" s="20" t="n">
        <f aca="false">Inputs!$F$246*Time!AU$9*MAX(0,MIN(Inputs!$F$26,Time!AU$6)-MAX(Inputs!$F$247,Time!AU$5))/Time!AU$7</f>
        <v>7.97871583555469</v>
      </c>
    </row>
    <row r="804" customFormat="false" ht="15" hidden="false" customHeight="false" outlineLevel="0" collapsed="false">
      <c r="D804" s="0" t="s">
        <v>801</v>
      </c>
      <c r="E804" s="0" t="s">
        <v>47</v>
      </c>
      <c r="J804" s="20" t="n">
        <f aca="false">Operations!J489+Operations!J531+Operations!J574+Operations!J617+Operations!J660</f>
        <v>47.6583149907034</v>
      </c>
      <c r="K804" s="20" t="n">
        <f aca="false">Operations!K489+Operations!K531+Operations!K574+Operations!K617+Operations!K660</f>
        <v>49.3809347157323</v>
      </c>
      <c r="L804" s="20" t="n">
        <f aca="false">Operations!L489+Operations!L531+Operations!L574+Operations!L617+Operations!L660</f>
        <v>44.9213010685761</v>
      </c>
      <c r="M804" s="20" t="n">
        <f aca="false">Operations!M489+Operations!M531+Operations!M574+Operations!M617+Operations!M660</f>
        <v>44.6315609831433</v>
      </c>
      <c r="N804" s="20" t="n">
        <f aca="false">Operations!N489+Operations!N531+Operations!N574+Operations!N617+Operations!N660</f>
        <v>43.9530566901036</v>
      </c>
      <c r="O804" s="20" t="n">
        <f aca="false">Operations!O489+Operations!O531+Operations!O574+Operations!O617+Operations!O660</f>
        <v>42.0293305374007</v>
      </c>
      <c r="P804" s="20" t="n">
        <f aca="false">Operations!P489+Operations!P531+Operations!P574+Operations!P617+Operations!P660</f>
        <v>41.3376639118444</v>
      </c>
      <c r="Q804" s="20" t="n">
        <f aca="false">Operations!Q489+Operations!Q531+Operations!Q574+Operations!Q617+Operations!Q660</f>
        <v>45.4021450491488</v>
      </c>
      <c r="R804" s="20" t="n">
        <f aca="false">Operations!R489+Operations!R531+Operations!R574+Operations!R617+Operations!R660</f>
        <v>48.1440106359089</v>
      </c>
      <c r="S804" s="20" t="n">
        <f aca="false">Operations!S489+Operations!S531+Operations!S574+Operations!S617+Operations!S660</f>
        <v>47.8340437103194</v>
      </c>
      <c r="T804" s="20" t="n">
        <f aca="false">Operations!T489+Operations!T531+Operations!T574+Operations!T617+Operations!T660</f>
        <v>47.5010067446396</v>
      </c>
      <c r="U804" s="20" t="n">
        <f aca="false">Operations!U489+Operations!U531+Operations!U574+Operations!U617+Operations!U660</f>
        <v>48.3723335044665</v>
      </c>
      <c r="V804" s="20" t="n">
        <f aca="false">Operations!V489+Operations!V531+Operations!V574+Operations!V617+Operations!V660</f>
        <v>49.0291072973413</v>
      </c>
      <c r="W804" s="20" t="n">
        <f aca="false">Operations!W489+Operations!W531+Operations!W574+Operations!W617+Operations!W660</f>
        <v>48.4396974804964</v>
      </c>
      <c r="X804" s="20" t="n">
        <f aca="false">Operations!X489+Operations!X531+Operations!X574+Operations!X617+Operations!X660</f>
        <v>48.4869377835679</v>
      </c>
      <c r="Y804" s="20" t="n">
        <f aca="false">Operations!Y489+Operations!Y531+Operations!Y574+Operations!Y617+Operations!Y660</f>
        <v>48.5296845999695</v>
      </c>
      <c r="Z804" s="20" t="n">
        <f aca="false">Operations!Z489+Operations!Z531+Operations!Z574+Operations!Z617+Operations!Z660</f>
        <v>48.5509298232203</v>
      </c>
      <c r="AA804" s="20" t="n">
        <f aca="false">Operations!AA489+Operations!AA531+Operations!AA574+Operations!AA617+Operations!AA660</f>
        <v>48.7007014914392</v>
      </c>
      <c r="AB804" s="20" t="n">
        <f aca="false">Operations!AB489+Operations!AB531+Operations!AB574+Operations!AB617+Operations!AB660</f>
        <v>48.8470951959588</v>
      </c>
      <c r="AC804" s="20" t="n">
        <f aca="false">Operations!AC489+Operations!AC531+Operations!AC574+Operations!AC617+Operations!AC660</f>
        <v>48.9735411851998</v>
      </c>
      <c r="AD804" s="20" t="n">
        <f aca="false">Operations!AD489+Operations!AD531+Operations!AD574+Operations!AD617+Operations!AD660</f>
        <v>49.0939087185202</v>
      </c>
      <c r="AE804" s="20" t="n">
        <f aca="false">Operations!AE489+Operations!AE531+Operations!AE574+Operations!AE617+Operations!AE660</f>
        <v>49.4248195400399</v>
      </c>
      <c r="AF804" s="20" t="n">
        <f aca="false">Operations!AF489+Operations!AF531+Operations!AF574+Operations!AF617+Operations!AF660</f>
        <v>28.2370019414383</v>
      </c>
      <c r="AG804" s="20" t="n">
        <f aca="false">Operations!AG489+Operations!AG531+Operations!AG574+Operations!AG617+Operations!AG660</f>
        <v>42.123534103886</v>
      </c>
      <c r="AH804" s="20" t="n">
        <f aca="false">Operations!AH489+Operations!AH531+Operations!AH574+Operations!AH617+Operations!AH660</f>
        <v>42.5005647821132</v>
      </c>
      <c r="AI804" s="20" t="n">
        <f aca="false">Operations!AI489+Operations!AI531+Operations!AI574+Operations!AI617+Operations!AI660</f>
        <v>3.02925406411545</v>
      </c>
      <c r="AJ804" s="20" t="n">
        <f aca="false">Operations!AJ489+Operations!AJ531+Operations!AJ574+Operations!AJ617+Operations!AJ660</f>
        <v>20.5854309429099</v>
      </c>
      <c r="AK804" s="20" t="n">
        <f aca="false">Operations!AK489+Operations!AK531+Operations!AK574+Operations!AK617+Operations!AK660</f>
        <v>2.56528483771462</v>
      </c>
      <c r="AL804" s="20" t="n">
        <f aca="false">Operations!AL489+Operations!AL531+Operations!AL574+Operations!AL617+Operations!AL660</f>
        <v>13.4093371142948</v>
      </c>
      <c r="AM804" s="20" t="n">
        <f aca="false">Operations!AM489+Operations!AM531+Operations!AM574+Operations!AM617+Operations!AM660</f>
        <v>13.5159940694815</v>
      </c>
      <c r="AN804" s="20" t="n">
        <f aca="false">Operations!AN489+Operations!AN531+Operations!AN574+Operations!AN617+Operations!AN660</f>
        <v>13.6215439184253</v>
      </c>
      <c r="AO804" s="20" t="n">
        <f aca="false">Operations!AO489+Operations!AO531+Operations!AO574+Operations!AO617+Operations!AO660</f>
        <v>13.7257257618045</v>
      </c>
      <c r="AP804" s="20" t="n">
        <f aca="false">Operations!AP489+Operations!AP531+Operations!AP574+Operations!AP617+Operations!AP660</f>
        <v>13.8282755763775</v>
      </c>
      <c r="AQ804" s="20" t="n">
        <f aca="false">Operations!AQ489+Operations!AQ531+Operations!AQ574+Operations!AQ617+Operations!AQ660</f>
        <v>4.65788658731462</v>
      </c>
      <c r="AR804" s="20" t="n">
        <f aca="false">Operations!AR489+Operations!AR531+Operations!AR574+Operations!AR617+Operations!AR660</f>
        <v>-10.669914842292</v>
      </c>
      <c r="AS804" s="20" t="n">
        <f aca="false">Operations!AS489+Operations!AS531+Operations!AS574+Operations!AS617+Operations!AS660</f>
        <v>0</v>
      </c>
      <c r="AT804" s="20" t="n">
        <f aca="false">Operations!AT489+Operations!AT531+Operations!AT574+Operations!AT617+Operations!AT660</f>
        <v>0</v>
      </c>
      <c r="AU804" s="20" t="n">
        <f aca="false">Operations!AU489+Operations!AU531+Operations!AU574+Operations!AU617+Operations!AU660</f>
        <v>0</v>
      </c>
    </row>
    <row r="805" customFormat="false" ht="15" hidden="false" customHeight="false" outlineLevel="0" collapsed="false">
      <c r="D805" s="0" t="s">
        <v>802</v>
      </c>
      <c r="E805" s="0" t="s">
        <v>47</v>
      </c>
      <c r="J805" s="20" t="n">
        <f aca="false">Operations!J495+Operations!J537+Operations!J580+Operations!J623+Operations!J666</f>
        <v>38.6490894003288</v>
      </c>
      <c r="K805" s="20" t="n">
        <f aca="false">Operations!K495+Operations!K537+Operations!K580+Operations!K623+Operations!K666</f>
        <v>49.5290765083</v>
      </c>
      <c r="L805" s="20" t="n">
        <f aca="false">Operations!L495+Operations!L537+Operations!L580+Operations!L623+Operations!L666</f>
        <v>49.3866562897398</v>
      </c>
      <c r="M805" s="20" t="n">
        <f aca="false">Operations!M495+Operations!M537+Operations!M580+Operations!M623+Operations!M666</f>
        <v>49.2449803837226</v>
      </c>
      <c r="N805" s="20" t="n">
        <f aca="false">Operations!N495+Operations!N537+Operations!N580+Operations!N623+Operations!N666</f>
        <v>49.1535191031593</v>
      </c>
      <c r="O805" s="20" t="n">
        <f aca="false">Operations!O495+Operations!O537+Operations!O580+Operations!O623+Operations!O666</f>
        <v>49.960822851232</v>
      </c>
      <c r="P805" s="20" t="n">
        <f aca="false">Operations!P495+Operations!P537+Operations!P580+Operations!P623+Operations!P666</f>
        <v>50.7457469785783</v>
      </c>
      <c r="Q805" s="20" t="n">
        <f aca="false">Operations!Q495+Operations!Q537+Operations!Q580+Operations!Q623+Operations!Q666</f>
        <v>38.5704001719485</v>
      </c>
      <c r="R805" s="20" t="n">
        <f aca="false">Operations!R495+Operations!R537+Operations!R580+Operations!R623+Operations!R666</f>
        <v>11.1361940775514</v>
      </c>
      <c r="S805" s="20" t="n">
        <f aca="false">Operations!S495+Operations!S537+Operations!S580+Operations!S623+Operations!S666</f>
        <v>11.0860812042024</v>
      </c>
      <c r="T805" s="20" t="n">
        <f aca="false">Operations!T495+Operations!T537+Operations!T580+Operations!T623+Operations!T666</f>
        <v>11.0361938387835</v>
      </c>
      <c r="U805" s="20" t="n">
        <f aca="false">Operations!U495+Operations!U537+Operations!U580+Operations!U623+Operations!U666</f>
        <v>5.44811535599486</v>
      </c>
      <c r="V805" s="20" t="n">
        <f aca="false">Operations!V495+Operations!V537+Operations!V580+Operations!V623+Operations!V666</f>
        <v>0</v>
      </c>
      <c r="W805" s="20" t="n">
        <f aca="false">Operations!W495+Operations!W537+Operations!W580+Operations!W623+Operations!W666</f>
        <v>0</v>
      </c>
      <c r="X805" s="20" t="n">
        <f aca="false">Operations!X495+Operations!X537+Operations!X580+Operations!X623+Operations!X666</f>
        <v>0</v>
      </c>
      <c r="Y805" s="20" t="n">
        <f aca="false">Operations!Y495+Operations!Y537+Operations!Y580+Operations!Y623+Operations!Y666</f>
        <v>0</v>
      </c>
      <c r="Z805" s="20" t="n">
        <f aca="false">Operations!Z495+Operations!Z537+Operations!Z580+Operations!Z623+Operations!Z666</f>
        <v>0</v>
      </c>
      <c r="AA805" s="20" t="n">
        <f aca="false">Operations!AA495+Operations!AA537+Operations!AA580+Operations!AA623+Operations!AA666</f>
        <v>0</v>
      </c>
      <c r="AB805" s="20" t="n">
        <f aca="false">Operations!AB495+Operations!AB537+Operations!AB580+Operations!AB623+Operations!AB666</f>
        <v>0</v>
      </c>
      <c r="AC805" s="20" t="n">
        <f aca="false">Operations!AC495+Operations!AC537+Operations!AC580+Operations!AC623+Operations!AC666</f>
        <v>0</v>
      </c>
      <c r="AD805" s="20" t="n">
        <f aca="false">Operations!AD495+Operations!AD537+Operations!AD580+Operations!AD623+Operations!AD666</f>
        <v>0</v>
      </c>
      <c r="AE805" s="20" t="n">
        <f aca="false">Operations!AE495+Operations!AE537+Operations!AE580+Operations!AE623+Operations!AE666</f>
        <v>0</v>
      </c>
      <c r="AF805" s="20" t="n">
        <f aca="false">Operations!AF495+Operations!AF537+Operations!AF580+Operations!AF623+Operations!AF666</f>
        <v>0</v>
      </c>
      <c r="AG805" s="20" t="n">
        <f aca="false">Operations!AG495+Operations!AG537+Operations!AG580+Operations!AG623+Operations!AG666</f>
        <v>0</v>
      </c>
      <c r="AH805" s="20" t="n">
        <f aca="false">Operations!AH495+Operations!AH537+Operations!AH580+Operations!AH623+Operations!AH666</f>
        <v>0</v>
      </c>
      <c r="AI805" s="20" t="n">
        <f aca="false">Operations!AI495+Operations!AI537+Operations!AI580+Operations!AI623+Operations!AI666</f>
        <v>0</v>
      </c>
      <c r="AJ805" s="20" t="n">
        <f aca="false">Operations!AJ495+Operations!AJ537+Operations!AJ580+Operations!AJ623+Operations!AJ666</f>
        <v>0</v>
      </c>
      <c r="AK805" s="20" t="n">
        <f aca="false">Operations!AK495+Operations!AK537+Operations!AK580+Operations!AK623+Operations!AK666</f>
        <v>0</v>
      </c>
      <c r="AL805" s="20" t="n">
        <f aca="false">Operations!AL495+Operations!AL537+Operations!AL580+Operations!AL623+Operations!AL666</f>
        <v>0</v>
      </c>
      <c r="AM805" s="20" t="n">
        <f aca="false">Operations!AM495+Operations!AM537+Operations!AM580+Operations!AM623+Operations!AM666</f>
        <v>0</v>
      </c>
      <c r="AN805" s="20" t="n">
        <f aca="false">Operations!AN495+Operations!AN537+Operations!AN580+Operations!AN623+Operations!AN666</f>
        <v>0</v>
      </c>
      <c r="AO805" s="20" t="n">
        <f aca="false">Operations!AO495+Operations!AO537+Operations!AO580+Operations!AO623+Operations!AO666</f>
        <v>0</v>
      </c>
      <c r="AP805" s="20" t="n">
        <f aca="false">Operations!AP495+Operations!AP537+Operations!AP580+Operations!AP623+Operations!AP666</f>
        <v>0</v>
      </c>
      <c r="AQ805" s="20" t="n">
        <f aca="false">Operations!AQ495+Operations!AQ537+Operations!AQ580+Operations!AQ623+Operations!AQ666</f>
        <v>0</v>
      </c>
      <c r="AR805" s="20" t="n">
        <f aca="false">Operations!AR495+Operations!AR537+Operations!AR580+Operations!AR623+Operations!AR666</f>
        <v>0</v>
      </c>
      <c r="AS805" s="20" t="n">
        <f aca="false">Operations!AS495+Operations!AS537+Operations!AS580+Operations!AS623+Operations!AS666</f>
        <v>0</v>
      </c>
      <c r="AT805" s="20" t="n">
        <f aca="false">Operations!AT495+Operations!AT537+Operations!AT580+Operations!AT623+Operations!AT666</f>
        <v>0</v>
      </c>
      <c r="AU805" s="20" t="n">
        <f aca="false">Operations!AU495+Operations!AU537+Operations!AU580+Operations!AU623+Operations!AU666</f>
        <v>0</v>
      </c>
    </row>
    <row r="806" customFormat="false" ht="15" hidden="false" customHeight="false" outlineLevel="0" collapsed="false">
      <c r="D806" s="0" t="s">
        <v>803</v>
      </c>
      <c r="E806" s="0" t="s">
        <v>47</v>
      </c>
      <c r="J806" s="20" t="n">
        <f aca="false">Operations!J496+Operations!J538+Operations!J581+Operations!J624+Operations!J667</f>
        <v>5.77838071232877</v>
      </c>
      <c r="K806" s="20" t="n">
        <f aca="false">Operations!K496+Operations!K538+Operations!K581+Operations!K624+Operations!K667</f>
        <v>24.33324</v>
      </c>
      <c r="L806" s="20" t="n">
        <f aca="false">Operations!L496+Operations!L538+Operations!L581+Operations!L624+Operations!L667</f>
        <v>24.37956</v>
      </c>
      <c r="M806" s="20" t="n">
        <f aca="false">Operations!M496+Operations!M538+Operations!M581+Operations!M624+Operations!M667</f>
        <v>24.33324</v>
      </c>
      <c r="N806" s="20" t="n">
        <f aca="false">Operations!N496+Operations!N538+Operations!N581+Operations!N624+Operations!N667</f>
        <v>24.33324</v>
      </c>
      <c r="O806" s="20" t="n">
        <f aca="false">Operations!O496+Operations!O538+Operations!O581+Operations!O624+Operations!O667</f>
        <v>16.9068</v>
      </c>
      <c r="P806" s="20" t="n">
        <f aca="false">Operations!P496+Operations!P538+Operations!P581+Operations!P624+Operations!P667</f>
        <v>0</v>
      </c>
      <c r="Q806" s="20" t="n">
        <f aca="false">Operations!Q496+Operations!Q538+Operations!Q581+Operations!Q624+Operations!Q667</f>
        <v>0</v>
      </c>
      <c r="R806" s="20" t="n">
        <f aca="false">Operations!R496+Operations!R538+Operations!R581+Operations!R624+Operations!R667</f>
        <v>0</v>
      </c>
      <c r="S806" s="20" t="n">
        <f aca="false">Operations!S496+Operations!S538+Operations!S581+Operations!S624+Operations!S667</f>
        <v>0</v>
      </c>
      <c r="T806" s="20" t="n">
        <f aca="false">Operations!T496+Operations!T538+Operations!T581+Operations!T624+Operations!T667</f>
        <v>0</v>
      </c>
      <c r="U806" s="20" t="n">
        <f aca="false">Operations!U496+Operations!U538+Operations!U581+Operations!U624+Operations!U667</f>
        <v>0</v>
      </c>
      <c r="V806" s="20" t="n">
        <f aca="false">Operations!V496+Operations!V538+Operations!V581+Operations!V624+Operations!V667</f>
        <v>0</v>
      </c>
      <c r="W806" s="20" t="n">
        <f aca="false">Operations!W496+Operations!W538+Operations!W581+Operations!W624+Operations!W667</f>
        <v>0</v>
      </c>
      <c r="X806" s="20" t="n">
        <f aca="false">Operations!X496+Operations!X538+Operations!X581+Operations!X624+Operations!X667</f>
        <v>0</v>
      </c>
      <c r="Y806" s="20" t="n">
        <f aca="false">Operations!Y496+Operations!Y538+Operations!Y581+Operations!Y624+Operations!Y667</f>
        <v>0</v>
      </c>
      <c r="Z806" s="20" t="n">
        <f aca="false">Operations!Z496+Operations!Z538+Operations!Z581+Operations!Z624+Operations!Z667</f>
        <v>0</v>
      </c>
      <c r="AA806" s="20" t="n">
        <f aca="false">Operations!AA496+Operations!AA538+Operations!AA581+Operations!AA624+Operations!AA667</f>
        <v>0</v>
      </c>
      <c r="AB806" s="20" t="n">
        <f aca="false">Operations!AB496+Operations!AB538+Operations!AB581+Operations!AB624+Operations!AB667</f>
        <v>0</v>
      </c>
      <c r="AC806" s="20" t="n">
        <f aca="false">Operations!AC496+Operations!AC538+Operations!AC581+Operations!AC624+Operations!AC667</f>
        <v>0</v>
      </c>
      <c r="AD806" s="20" t="n">
        <f aca="false">Operations!AD496+Operations!AD538+Operations!AD581+Operations!AD624+Operations!AD667</f>
        <v>0</v>
      </c>
      <c r="AE806" s="20" t="n">
        <f aca="false">Operations!AE496+Operations!AE538+Operations!AE581+Operations!AE624+Operations!AE667</f>
        <v>0</v>
      </c>
      <c r="AF806" s="20" t="n">
        <f aca="false">Operations!AF496+Operations!AF538+Operations!AF581+Operations!AF624+Operations!AF667</f>
        <v>0</v>
      </c>
      <c r="AG806" s="20" t="n">
        <f aca="false">Operations!AG496+Operations!AG538+Operations!AG581+Operations!AG624+Operations!AG667</f>
        <v>0</v>
      </c>
      <c r="AH806" s="20" t="n">
        <f aca="false">Operations!AH496+Operations!AH538+Operations!AH581+Operations!AH624+Operations!AH667</f>
        <v>0</v>
      </c>
      <c r="AI806" s="20" t="n">
        <f aca="false">Operations!AI496+Operations!AI538+Operations!AI581+Operations!AI624+Operations!AI667</f>
        <v>0</v>
      </c>
      <c r="AJ806" s="20" t="n">
        <f aca="false">Operations!AJ496+Operations!AJ538+Operations!AJ581+Operations!AJ624+Operations!AJ667</f>
        <v>0</v>
      </c>
      <c r="AK806" s="20" t="n">
        <f aca="false">Operations!AK496+Operations!AK538+Operations!AK581+Operations!AK624+Operations!AK667</f>
        <v>0</v>
      </c>
      <c r="AL806" s="20" t="n">
        <f aca="false">Operations!AL496+Operations!AL538+Operations!AL581+Operations!AL624+Operations!AL667</f>
        <v>0</v>
      </c>
      <c r="AM806" s="20" t="n">
        <f aca="false">Operations!AM496+Operations!AM538+Operations!AM581+Operations!AM624+Operations!AM667</f>
        <v>0</v>
      </c>
      <c r="AN806" s="20" t="n">
        <f aca="false">Operations!AN496+Operations!AN538+Operations!AN581+Operations!AN624+Operations!AN667</f>
        <v>0</v>
      </c>
      <c r="AO806" s="20" t="n">
        <f aca="false">Operations!AO496+Operations!AO538+Operations!AO581+Operations!AO624+Operations!AO667</f>
        <v>0</v>
      </c>
      <c r="AP806" s="20" t="n">
        <f aca="false">Operations!AP496+Operations!AP538+Operations!AP581+Operations!AP624+Operations!AP667</f>
        <v>0</v>
      </c>
      <c r="AQ806" s="20" t="n">
        <f aca="false">Operations!AQ496+Operations!AQ538+Operations!AQ581+Operations!AQ624+Operations!AQ667</f>
        <v>0</v>
      </c>
      <c r="AR806" s="20" t="n">
        <f aca="false">Operations!AR496+Operations!AR538+Operations!AR581+Operations!AR624+Operations!AR667</f>
        <v>0</v>
      </c>
      <c r="AS806" s="20" t="n">
        <f aca="false">Operations!AS496+Operations!AS538+Operations!AS581+Operations!AS624+Operations!AS667</f>
        <v>0</v>
      </c>
      <c r="AT806" s="20" t="n">
        <f aca="false">Operations!AT496+Operations!AT538+Operations!AT581+Operations!AT624+Operations!AT667</f>
        <v>0</v>
      </c>
      <c r="AU806" s="20" t="n">
        <f aca="false">Operations!AU496+Operations!AU538+Operations!AU581+Operations!AU624+Operations!AU667</f>
        <v>0</v>
      </c>
    </row>
    <row r="807" customFormat="false" ht="15" hidden="false" customHeight="false" outlineLevel="0" collapsed="false">
      <c r="D807" s="0" t="s">
        <v>804</v>
      </c>
      <c r="E807" s="0" t="s">
        <v>47</v>
      </c>
      <c r="J807" s="20" t="n">
        <f aca="false">Operations!J497+Operations!J539+Operations!J582+Operations!J625+Operations!J668</f>
        <v>26.7232276162174</v>
      </c>
      <c r="K807" s="20" t="n">
        <f aca="false">Operations!K497+Operations!K539+Operations!K582+Operations!K625+Operations!K668</f>
        <v>6.82405851327352</v>
      </c>
      <c r="L807" s="20" t="n">
        <f aca="false">Operations!L497+Operations!L539+Operations!L582+Operations!L625+Operations!L668</f>
        <v>3.04130026592657</v>
      </c>
      <c r="M807" s="20" t="n">
        <f aca="false">Operations!M497+Operations!M539+Operations!M582+Operations!M625+Operations!M668</f>
        <v>3.68528034984417</v>
      </c>
      <c r="N807" s="20" t="n">
        <f aca="false">Operations!N497+Operations!N539+Operations!N582+Operations!N625+Operations!N668</f>
        <v>3.84776318149443</v>
      </c>
      <c r="O807" s="20" t="n">
        <f aca="false">Operations!O497+Operations!O539+Operations!O582+Operations!O625+Operations!O668</f>
        <v>9.60003876437904</v>
      </c>
      <c r="P807" s="20" t="n">
        <f aca="false">Operations!P497+Operations!P539+Operations!P582+Operations!P625+Operations!P668</f>
        <v>26.1098537184945</v>
      </c>
      <c r="Q807" s="20" t="n">
        <f aca="false">Operations!Q497+Operations!Q539+Operations!Q582+Operations!Q625+Operations!Q668</f>
        <v>43.4050308061651</v>
      </c>
      <c r="R807" s="20" t="n">
        <f aca="false">Operations!R497+Operations!R539+Operations!R582+Operations!R625+Operations!R668</f>
        <v>77.2465804649112</v>
      </c>
      <c r="S807" s="20" t="n">
        <f aca="false">Operations!S497+Operations!S539+Operations!S582+Operations!S625+Operations!S668</f>
        <v>77.9467093516803</v>
      </c>
      <c r="T807" s="20" t="n">
        <f aca="false">Operations!T497+Operations!T539+Operations!T582+Operations!T625+Operations!T668</f>
        <v>78.6468557341989</v>
      </c>
      <c r="U807" s="20" t="n">
        <f aca="false">Operations!U497+Operations!U539+Operations!U582+Operations!U625+Operations!U668</f>
        <v>86.1199061312267</v>
      </c>
      <c r="V807" s="20" t="n">
        <f aca="false">Operations!V497+Operations!V539+Operations!V582+Operations!V625+Operations!V668</f>
        <v>93.2618737530005</v>
      </c>
      <c r="W807" s="20" t="n">
        <f aca="false">Operations!W497+Operations!W539+Operations!W582+Operations!W625+Operations!W668</f>
        <v>93.7281189029031</v>
      </c>
      <c r="X807" s="20" t="n">
        <f aca="false">Operations!X497+Operations!X539+Operations!X582+Operations!X625+Operations!X668</f>
        <v>94.8601309505803</v>
      </c>
      <c r="Y807" s="20" t="n">
        <f aca="false">Operations!Y497+Operations!Y539+Operations!Y582+Operations!Y625+Operations!Y668</f>
        <v>96.0145174856422</v>
      </c>
      <c r="Z807" s="20" t="n">
        <f aca="false">Operations!Z497+Operations!Z539+Operations!Z582+Operations!Z625+Operations!Z668</f>
        <v>97.1742910526548</v>
      </c>
      <c r="AA807" s="20" t="n">
        <f aca="false">Operations!AA497+Operations!AA539+Operations!AA582+Operations!AA625+Operations!AA668</f>
        <v>98.4972943682641</v>
      </c>
      <c r="AB807" s="20" t="n">
        <f aca="false">Operations!AB497+Operations!AB539+Operations!AB582+Operations!AB625+Operations!AB668</f>
        <v>99.8459565824796</v>
      </c>
      <c r="AC807" s="20" t="n">
        <f aca="false">Operations!AC497+Operations!AC539+Operations!AC582+Operations!AC625+Operations!AC668</f>
        <v>101.203800013193</v>
      </c>
      <c r="AD807" s="20" t="n">
        <f aca="false">Operations!AD497+Operations!AD539+Operations!AD582+Operations!AD625+Operations!AD668</f>
        <v>102.585973920106</v>
      </c>
      <c r="AE807" s="20" t="n">
        <f aca="false">Operations!AE497+Operations!AE539+Operations!AE582+Operations!AE625+Operations!AE668</f>
        <v>104.220280138909</v>
      </c>
      <c r="AF807" s="20" t="n">
        <f aca="false">Operations!AF497+Operations!AF539+Operations!AF582+Operations!AF625+Operations!AF668</f>
        <v>105.88637366503</v>
      </c>
      <c r="AG807" s="20" t="n">
        <f aca="false">Operations!AG497+Operations!AG539+Operations!AG582+Operations!AG625+Operations!AG668</f>
        <v>83.1339729604415</v>
      </c>
      <c r="AH807" s="20" t="n">
        <f aca="false">Operations!AH497+Operations!AH539+Operations!AH582+Operations!AH625+Operations!AH668</f>
        <v>84.5132078502351</v>
      </c>
      <c r="AI807" s="20" t="n">
        <f aca="false">Operations!AI497+Operations!AI539+Operations!AI582+Operations!AI625+Operations!AI668</f>
        <v>63.5712699759622</v>
      </c>
      <c r="AJ807" s="20" t="n">
        <f aca="false">Operations!AJ497+Operations!AJ539+Operations!AJ582+Operations!AJ625+Operations!AJ668</f>
        <v>42.2240686493788</v>
      </c>
      <c r="AK807" s="20" t="n">
        <f aca="false">Operations!AK497+Operations!AK539+Operations!AK582+Operations!AK625+Operations!AK668</f>
        <v>41.2835250696141</v>
      </c>
      <c r="AL807" s="20" t="n">
        <f aca="false">Operations!AL497+Operations!AL539+Operations!AL582+Operations!AL625+Operations!AL668</f>
        <v>23.9800752777485</v>
      </c>
      <c r="AM807" s="20" t="n">
        <f aca="false">Operations!AM497+Operations!AM539+Operations!AM582+Operations!AM625+Operations!AM668</f>
        <v>24.3497943271506</v>
      </c>
      <c r="AN807" s="20" t="n">
        <f aca="false">Operations!AN497+Operations!AN539+Operations!AN582+Operations!AN625+Operations!AN668</f>
        <v>24.7249629070754</v>
      </c>
      <c r="AO807" s="20" t="n">
        <f aca="false">Operations!AO497+Operations!AO539+Operations!AO582+Operations!AO625+Operations!AO668</f>
        <v>25.1054828032442</v>
      </c>
      <c r="AP807" s="20" t="n">
        <f aca="false">Operations!AP497+Operations!AP539+Operations!AP582+Operations!AP625+Operations!AP668</f>
        <v>25.4912567625215</v>
      </c>
      <c r="AQ807" s="20" t="n">
        <f aca="false">Operations!AQ497+Operations!AQ539+Operations!AQ582+Operations!AQ625+Operations!AQ668</f>
        <v>24.3584939890192</v>
      </c>
      <c r="AR807" s="20" t="n">
        <f aca="false">Operations!AR497+Operations!AR539+Operations!AR582+Operations!AR625+Operations!AR668</f>
        <v>8.45753654827435</v>
      </c>
      <c r="AS807" s="20" t="n">
        <f aca="false">Operations!AS497+Operations!AS539+Operations!AS582+Operations!AS625+Operations!AS668</f>
        <v>0</v>
      </c>
      <c r="AT807" s="20" t="n">
        <f aca="false">Operations!AT497+Operations!AT539+Operations!AT582+Operations!AT625+Operations!AT668</f>
        <v>0</v>
      </c>
      <c r="AU807" s="20" t="n">
        <f aca="false">Operations!AU497+Operations!AU539+Operations!AU582+Operations!AU625+Operations!AU668</f>
        <v>0</v>
      </c>
    </row>
    <row r="808" customFormat="false" ht="15" hidden="false" customHeight="false" outlineLevel="0" collapsed="false">
      <c r="D808" s="0" t="s">
        <v>805</v>
      </c>
      <c r="E808" s="0" t="s">
        <v>47</v>
      </c>
      <c r="J808" s="20" t="n">
        <f aca="false">Operations!J805+Operations!J806+Operations!J807</f>
        <v>71.1506977288749</v>
      </c>
      <c r="K808" s="20" t="n">
        <f aca="false">Operations!K805+Operations!K806+Operations!K807</f>
        <v>80.6863750215735</v>
      </c>
      <c r="L808" s="20" t="n">
        <f aca="false">Operations!L805+Operations!L806+Operations!L807</f>
        <v>76.8075165556664</v>
      </c>
      <c r="M808" s="20" t="n">
        <f aca="false">Operations!M805+Operations!M806+Operations!M807</f>
        <v>77.2635007335667</v>
      </c>
      <c r="N808" s="20" t="n">
        <f aca="false">Operations!N805+Operations!N806+Operations!N807</f>
        <v>77.3345222846537</v>
      </c>
      <c r="O808" s="20" t="n">
        <f aca="false">Operations!O805+Operations!O806+Operations!O807</f>
        <v>76.467661615611</v>
      </c>
      <c r="P808" s="20" t="n">
        <f aca="false">Operations!P805+Operations!P806+Operations!P807</f>
        <v>76.8556006970728</v>
      </c>
      <c r="Q808" s="20" t="n">
        <f aca="false">Operations!Q805+Operations!Q806+Operations!Q807</f>
        <v>81.9754309781136</v>
      </c>
      <c r="R808" s="20" t="n">
        <f aca="false">Operations!R805+Operations!R806+Operations!R807</f>
        <v>88.3827745424625</v>
      </c>
      <c r="S808" s="20" t="n">
        <f aca="false">Operations!S805+Operations!S806+Operations!S807</f>
        <v>89.0327905558827</v>
      </c>
      <c r="T808" s="20" t="n">
        <f aca="false">Operations!T805+Operations!T806+Operations!T807</f>
        <v>89.6830495729824</v>
      </c>
      <c r="U808" s="20" t="n">
        <f aca="false">Operations!U805+Operations!U806+Operations!U807</f>
        <v>91.5680214872216</v>
      </c>
      <c r="V808" s="20" t="n">
        <f aca="false">Operations!V805+Operations!V806+Operations!V807</f>
        <v>93.2618737530005</v>
      </c>
      <c r="W808" s="20" t="n">
        <f aca="false">Operations!W805+Operations!W806+Operations!W807</f>
        <v>93.7281189029031</v>
      </c>
      <c r="X808" s="20" t="n">
        <f aca="false">Operations!X805+Operations!X806+Operations!X807</f>
        <v>94.8601309505803</v>
      </c>
      <c r="Y808" s="20" t="n">
        <f aca="false">Operations!Y805+Operations!Y806+Operations!Y807</f>
        <v>96.0145174856422</v>
      </c>
      <c r="Z808" s="20" t="n">
        <f aca="false">Operations!Z805+Operations!Z806+Operations!Z807</f>
        <v>97.1742910526548</v>
      </c>
      <c r="AA808" s="20" t="n">
        <f aca="false">Operations!AA805+Operations!AA806+Operations!AA807</f>
        <v>98.4972943682641</v>
      </c>
      <c r="AB808" s="20" t="n">
        <f aca="false">Operations!AB805+Operations!AB806+Operations!AB807</f>
        <v>99.8459565824796</v>
      </c>
      <c r="AC808" s="20" t="n">
        <f aca="false">Operations!AC805+Operations!AC806+Operations!AC807</f>
        <v>101.203800013193</v>
      </c>
      <c r="AD808" s="20" t="n">
        <f aca="false">Operations!AD805+Operations!AD806+Operations!AD807</f>
        <v>102.585973920106</v>
      </c>
      <c r="AE808" s="20" t="n">
        <f aca="false">Operations!AE805+Operations!AE806+Operations!AE807</f>
        <v>104.220280138909</v>
      </c>
      <c r="AF808" s="20" t="n">
        <f aca="false">Operations!AF805+Operations!AF806+Operations!AF807</f>
        <v>105.88637366503</v>
      </c>
      <c r="AG808" s="20" t="n">
        <f aca="false">Operations!AG805+Operations!AG806+Operations!AG807</f>
        <v>83.1339729604415</v>
      </c>
      <c r="AH808" s="20" t="n">
        <f aca="false">Operations!AH805+Operations!AH806+Operations!AH807</f>
        <v>84.5132078502351</v>
      </c>
      <c r="AI808" s="20" t="n">
        <f aca="false">Operations!AI805+Operations!AI806+Operations!AI807</f>
        <v>63.5712699759622</v>
      </c>
      <c r="AJ808" s="20" t="n">
        <f aca="false">Operations!AJ805+Operations!AJ806+Operations!AJ807</f>
        <v>42.2240686493788</v>
      </c>
      <c r="AK808" s="20" t="n">
        <f aca="false">Operations!AK805+Operations!AK806+Operations!AK807</f>
        <v>41.2835250696141</v>
      </c>
      <c r="AL808" s="20" t="n">
        <f aca="false">Operations!AL805+Operations!AL806+Operations!AL807</f>
        <v>23.9800752777485</v>
      </c>
      <c r="AM808" s="20" t="n">
        <f aca="false">Operations!AM805+Operations!AM806+Operations!AM807</f>
        <v>24.3497943271506</v>
      </c>
      <c r="AN808" s="20" t="n">
        <f aca="false">Operations!AN805+Operations!AN806+Operations!AN807</f>
        <v>24.7249629070754</v>
      </c>
      <c r="AO808" s="20" t="n">
        <f aca="false">Operations!AO805+Operations!AO806+Operations!AO807</f>
        <v>25.1054828032442</v>
      </c>
      <c r="AP808" s="20" t="n">
        <f aca="false">Operations!AP805+Operations!AP806+Operations!AP807</f>
        <v>25.4912567625215</v>
      </c>
      <c r="AQ808" s="20" t="n">
        <f aca="false">Operations!AQ805+Operations!AQ806+Operations!AQ807</f>
        <v>24.3584939890192</v>
      </c>
      <c r="AR808" s="20" t="n">
        <f aca="false">Operations!AR805+Operations!AR806+Operations!AR807</f>
        <v>8.45753654827435</v>
      </c>
      <c r="AS808" s="20" t="n">
        <f aca="false">Operations!AS805+Operations!AS806+Operations!AS807</f>
        <v>0</v>
      </c>
      <c r="AT808" s="20" t="n">
        <f aca="false">Operations!AT805+Operations!AT806+Operations!AT807</f>
        <v>0</v>
      </c>
      <c r="AU808" s="20" t="n">
        <f aca="false">Operations!AU805+Operations!AU806+Operations!AU807</f>
        <v>0</v>
      </c>
    </row>
    <row r="809" customFormat="false" ht="15" hidden="false" customHeight="false" outlineLevel="0" collapsed="false">
      <c r="D809" s="0" t="s">
        <v>806</v>
      </c>
      <c r="E809" s="0" t="s">
        <v>47</v>
      </c>
      <c r="J809" s="20" t="n">
        <f aca="false">Operations!J489+Operations!J531+Operations!J574+Operations!J617+Operations!J660+Operations!J702+Operations!J749+Operations!J791</f>
        <v>47.6583149907034</v>
      </c>
      <c r="K809" s="20" t="n">
        <f aca="false">Operations!K489+Operations!K531+Operations!K574+Operations!K617+Operations!K660+Operations!K702+Operations!K749+Operations!K791</f>
        <v>52.5106710746364</v>
      </c>
      <c r="L809" s="20" t="n">
        <f aca="false">Operations!L489+Operations!L531+Operations!L574+Operations!L617+Operations!L660+Operations!L702+Operations!L749+Operations!L791</f>
        <v>60.2031346121445</v>
      </c>
      <c r="M809" s="20" t="n">
        <f aca="false">Operations!M489+Operations!M531+Operations!M574+Operations!M617+Operations!M660+Operations!M702+Operations!M749+Operations!M791</f>
        <v>69.3406259169238</v>
      </c>
      <c r="N809" s="20" t="n">
        <f aca="false">Operations!N489+Operations!N531+Operations!N574+Operations!N617+Operations!N660+Operations!N702+Operations!N749+Operations!N791</f>
        <v>68.7859702276237</v>
      </c>
      <c r="O809" s="20" t="n">
        <f aca="false">Operations!O489+Operations!O531+Operations!O574+Operations!O617+Operations!O660+Operations!O702+Operations!O749+Operations!O791</f>
        <v>66.7863264955118</v>
      </c>
      <c r="P809" s="20" t="n">
        <f aca="false">Operations!P489+Operations!P531+Operations!P574+Operations!P617+Operations!P660+Operations!P702+Operations!P749+Operations!P791</f>
        <v>65.4011508524291</v>
      </c>
      <c r="Q809" s="20" t="n">
        <f aca="false">Operations!Q489+Operations!Q531+Operations!Q574+Operations!Q617+Operations!Q660+Operations!Q702+Operations!Q749+Operations!Q791</f>
        <v>68.9672634475366</v>
      </c>
      <c r="R809" s="20" t="n">
        <f aca="false">Operations!R489+Operations!R531+Operations!R574+Operations!R617+Operations!R660+Operations!R702+Operations!R749+Operations!R791</f>
        <v>69.9832520090218</v>
      </c>
      <c r="S809" s="20" t="n">
        <f aca="false">Operations!S489+Operations!S531+Operations!S574+Operations!S617+Operations!S660+Operations!S702+Operations!S749+Operations!S791</f>
        <v>66.8742448307132</v>
      </c>
      <c r="T809" s="20" t="n">
        <f aca="false">Operations!T489+Operations!T531+Operations!T574+Operations!T617+Operations!T660+Operations!T702+Operations!T749+Operations!T791</f>
        <v>65.0672759914994</v>
      </c>
      <c r="U809" s="20" t="n">
        <f aca="false">Operations!U489+Operations!U531+Operations!U574+Operations!U617+Operations!U660+Operations!U702+Operations!U749+Operations!U791</f>
        <v>65.3479279970181</v>
      </c>
      <c r="V809" s="20" t="n">
        <f aca="false">Operations!V489+Operations!V531+Operations!V574+Operations!V617+Operations!V660+Operations!V702+Operations!V749+Operations!V791</f>
        <v>66.8659293895304</v>
      </c>
      <c r="W809" s="20" t="n">
        <f aca="false">Operations!W489+Operations!W531+Operations!W574+Operations!W617+Operations!W660+Operations!W702+Operations!W749+Operations!W791</f>
        <v>66.037683589959</v>
      </c>
      <c r="X809" s="20" t="n">
        <f aca="false">Operations!X489+Operations!X531+Operations!X574+Operations!X617+Operations!X660+Operations!X702+Operations!X749+Operations!X791</f>
        <v>65.8909869860388</v>
      </c>
      <c r="Y809" s="20" t="n">
        <f aca="false">Operations!Y489+Operations!Y531+Operations!Y574+Operations!Y617+Operations!Y660+Operations!Y702+Operations!Y749+Operations!Y791</f>
        <v>65.7825157674321</v>
      </c>
      <c r="Z809" s="20" t="n">
        <f aca="false">Operations!Z489+Operations!Z531+Operations!Z574+Operations!Z617+Operations!Z660+Operations!Z702+Operations!Z749+Operations!Z791</f>
        <v>65.771945898236</v>
      </c>
      <c r="AA809" s="20" t="n">
        <f aca="false">Operations!AA489+Operations!AA531+Operations!AA574+Operations!AA617+Operations!AA660+Operations!AA702+Operations!AA749+Operations!AA791</f>
        <v>65.8872302715732</v>
      </c>
      <c r="AB809" s="20" t="n">
        <f aca="false">Operations!AB489+Operations!AB531+Operations!AB574+Operations!AB617+Operations!AB660+Operations!AB702+Operations!AB749+Operations!AB791</f>
        <v>65.9942499450164</v>
      </c>
      <c r="AC809" s="20" t="n">
        <f aca="false">Operations!AC489+Operations!AC531+Operations!AC574+Operations!AC617+Operations!AC660+Operations!AC702+Operations!AC749+Operations!AC791</f>
        <v>66.0755690860599</v>
      </c>
      <c r="AD809" s="20" t="n">
        <f aca="false">Operations!AD489+Operations!AD531+Operations!AD574+Operations!AD617+Operations!AD660+Operations!AD702+Operations!AD749+Operations!AD791</f>
        <v>66.1476982908026</v>
      </c>
      <c r="AE809" s="20" t="n">
        <f aca="false">Operations!AE489+Operations!AE531+Operations!AE574+Operations!AE617+Operations!AE660+Operations!AE702+Operations!AE749+Operations!AE791</f>
        <v>61.2334093644598</v>
      </c>
      <c r="AF809" s="20" t="n">
        <f aca="false">Operations!AF489+Operations!AF531+Operations!AF574+Operations!AF617+Operations!AF660+Operations!AF702+Operations!AF749+Operations!AF791</f>
        <v>31.3533052992557</v>
      </c>
      <c r="AG809" s="20" t="n">
        <f aca="false">Operations!AG489+Operations!AG531+Operations!AG574+Operations!AG617+Operations!AG660+Operations!AG702+Operations!AG749+Operations!AG791</f>
        <v>49.2546638839212</v>
      </c>
      <c r="AH809" s="20" t="n">
        <f aca="false">Operations!AH489+Operations!AH531+Operations!AH574+Operations!AH617+Operations!AH660+Operations!AH702+Operations!AH749+Operations!AH791</f>
        <v>49.7075339814326</v>
      </c>
      <c r="AI809" s="20" t="n">
        <f aca="false">Operations!AI489+Operations!AI531+Operations!AI574+Operations!AI617+Operations!AI660+Operations!AI702+Operations!AI749+Operations!AI791</f>
        <v>10.3126989907722</v>
      </c>
      <c r="AJ809" s="20" t="n">
        <f aca="false">Operations!AJ489+Operations!AJ531+Operations!AJ574+Operations!AJ617+Operations!AJ660+Operations!AJ702+Operations!AJ749+Operations!AJ791</f>
        <v>27.9458768333324</v>
      </c>
      <c r="AK809" s="20" t="n">
        <f aca="false">Operations!AK489+Operations!AK531+Operations!AK574+Operations!AK617+Operations!AK660+Operations!AK702+Operations!AK749+Operations!AK791</f>
        <v>10.0031446706881</v>
      </c>
      <c r="AL809" s="20" t="n">
        <f aca="false">Operations!AL489+Operations!AL531+Operations!AL574+Operations!AL617+Operations!AL660+Operations!AL702+Operations!AL749+Operations!AL791</f>
        <v>20.9249103823792</v>
      </c>
      <c r="AM809" s="20" t="n">
        <f aca="false">Operations!AM489+Operations!AM531+Operations!AM574+Operations!AM617+Operations!AM660+Operations!AM702+Operations!AM749+Operations!AM791</f>
        <v>21.1094655068879</v>
      </c>
      <c r="AN809" s="20" t="n">
        <f aca="false">Operations!AN489+Operations!AN531+Operations!AN574+Operations!AN617+Operations!AN660+Operations!AN702+Operations!AN749+Operations!AN791</f>
        <v>21.2929821843484</v>
      </c>
      <c r="AO809" s="20" t="n">
        <f aca="false">Operations!AO489+Operations!AO531+Operations!AO574+Operations!AO617+Operations!AO660+Operations!AO702+Operations!AO749+Operations!AO791</f>
        <v>21.4750820781835</v>
      </c>
      <c r="AP809" s="20" t="n">
        <f aca="false">Operations!AP489+Operations!AP531+Operations!AP574+Operations!AP617+Operations!AP660+Operations!AP702+Operations!AP749+Operations!AP791</f>
        <v>21.6553823190309</v>
      </c>
      <c r="AQ809" s="20" t="n">
        <f aca="false">Operations!AQ489+Operations!AQ531+Operations!AQ574+Operations!AQ617+Operations!AQ660+Operations!AQ702+Operations!AQ749+Operations!AQ791</f>
        <v>12.5639997275697</v>
      </c>
      <c r="AR809" s="20" t="n">
        <f aca="false">Operations!AR489+Operations!AR531+Operations!AR574+Operations!AR617+Operations!AR660+Operations!AR702+Operations!AR749+Operations!AR791</f>
        <v>-2.68521739057392</v>
      </c>
      <c r="AS809" s="20" t="n">
        <f aca="false">Operations!AS489+Operations!AS531+Operations!AS574+Operations!AS617+Operations!AS660+Operations!AS702+Operations!AS749+Operations!AS791</f>
        <v>8.06273638773107</v>
      </c>
      <c r="AT809" s="20" t="n">
        <f aca="false">Operations!AT489+Operations!AT531+Operations!AT574+Operations!AT617+Operations!AT660+Operations!AT702+Operations!AT749+Operations!AT791</f>
        <v>8.14163049756126</v>
      </c>
      <c r="AU809" s="20" t="n">
        <f aca="false">Operations!AU489+Operations!AU531+Operations!AU574+Operations!AU617+Operations!AU660+Operations!AU702+Operations!AU749+Operations!AU791</f>
        <v>-3.14995448877764</v>
      </c>
    </row>
    <row r="810" customFormat="false" ht="15" hidden="false" customHeight="false" outlineLevel="0" collapsed="false">
      <c r="D810" s="0" t="s">
        <v>807</v>
      </c>
      <c r="E810" s="0" t="s">
        <v>47</v>
      </c>
      <c r="J810" s="20" t="n">
        <f aca="false">Operations!J495+Operations!J537+Operations!J580+Operations!J623+Operations!J666+Operations!J708+Operations!J755+Operations!J797</f>
        <v>38.6490894003288</v>
      </c>
      <c r="K810" s="20" t="n">
        <f aca="false">Operations!K495+Operations!K537+Operations!K580+Operations!K623+Operations!K666+Operations!K708+Operations!K755+Operations!K797</f>
        <v>53.1991039055603</v>
      </c>
      <c r="L810" s="20" t="n">
        <f aca="false">Operations!L495+Operations!L537+Operations!L580+Operations!L623+Operations!L666+Operations!L708+Operations!L755+Operations!L797</f>
        <v>67.9972300602316</v>
      </c>
      <c r="M810" s="20" t="n">
        <f aca="false">Operations!M495+Operations!M537+Operations!M580+Operations!M623+Operations!M666+Operations!M708+Operations!M755+Operations!M797</f>
        <v>70.4549803837226</v>
      </c>
      <c r="N810" s="20" t="n">
        <f aca="false">Operations!N495+Operations!N537+Operations!N580+Operations!N623+Operations!N666+Operations!N708+Operations!N755+Operations!N797</f>
        <v>70.3635191031593</v>
      </c>
      <c r="O810" s="20" t="n">
        <f aca="false">Operations!O495+Operations!O537+Operations!O580+Operations!O623+Operations!O666+Operations!O708+Operations!O755+Operations!O797</f>
        <v>71.170822851232</v>
      </c>
      <c r="P810" s="20" t="n">
        <f aca="false">Operations!P495+Operations!P537+Operations!P580+Operations!P623+Operations!P666+Operations!P708+Operations!P755+Operations!P797</f>
        <v>71.9557469785783</v>
      </c>
      <c r="Q810" s="20" t="n">
        <f aca="false">Operations!Q495+Operations!Q537+Operations!Q580+Operations!Q623+Operations!Q666+Operations!Q708+Operations!Q755+Operations!Q797</f>
        <v>59.7804001719485</v>
      </c>
      <c r="R810" s="20" t="n">
        <f aca="false">Operations!R495+Operations!R537+Operations!R580+Operations!R623+Operations!R666+Operations!R708+Operations!R755+Operations!R797</f>
        <v>27.2021392830308</v>
      </c>
      <c r="S810" s="20" t="n">
        <f aca="false">Operations!S495+Operations!S537+Operations!S580+Operations!S623+Operations!S666+Operations!S708+Operations!S755+Operations!S797</f>
        <v>21.3160812042024</v>
      </c>
      <c r="T810" s="20" t="n">
        <f aca="false">Operations!T495+Operations!T537+Operations!T580+Operations!T623+Operations!T666+Operations!T708+Operations!T755+Operations!T797</f>
        <v>13.6076692486196</v>
      </c>
      <c r="U810" s="20" t="n">
        <f aca="false">Operations!U495+Operations!U537+Operations!U580+Operations!U623+Operations!U666+Operations!U708+Operations!U755+Operations!U797</f>
        <v>5.44811535599486</v>
      </c>
      <c r="V810" s="20" t="n">
        <f aca="false">Operations!V495+Operations!V537+Operations!V580+Operations!V623+Operations!V666+Operations!V708+Operations!V755+Operations!V797</f>
        <v>0</v>
      </c>
      <c r="W810" s="20" t="n">
        <f aca="false">Operations!W495+Operations!W537+Operations!W580+Operations!W623+Operations!W666+Operations!W708+Operations!W755+Operations!W797</f>
        <v>0</v>
      </c>
      <c r="X810" s="20" t="n">
        <f aca="false">Operations!X495+Operations!X537+Operations!X580+Operations!X623+Operations!X666+Operations!X708+Operations!X755+Operations!X797</f>
        <v>0</v>
      </c>
      <c r="Y810" s="20" t="n">
        <f aca="false">Operations!Y495+Operations!Y537+Operations!Y580+Operations!Y623+Operations!Y666+Operations!Y708+Operations!Y755+Operations!Y797</f>
        <v>0</v>
      </c>
      <c r="Z810" s="20" t="n">
        <f aca="false">Operations!Z495+Operations!Z537+Operations!Z580+Operations!Z623+Operations!Z666+Operations!Z708+Operations!Z755+Operations!Z797</f>
        <v>0</v>
      </c>
      <c r="AA810" s="20" t="n">
        <f aca="false">Operations!AA495+Operations!AA537+Operations!AA580+Operations!AA623+Operations!AA666+Operations!AA708+Operations!AA755+Operations!AA797</f>
        <v>0</v>
      </c>
      <c r="AB810" s="20" t="n">
        <f aca="false">Operations!AB495+Operations!AB537+Operations!AB580+Operations!AB623+Operations!AB666+Operations!AB708+Operations!AB755+Operations!AB797</f>
        <v>0</v>
      </c>
      <c r="AC810" s="20" t="n">
        <f aca="false">Operations!AC495+Operations!AC537+Operations!AC580+Operations!AC623+Operations!AC666+Operations!AC708+Operations!AC755+Operations!AC797</f>
        <v>0</v>
      </c>
      <c r="AD810" s="20" t="n">
        <f aca="false">Operations!AD495+Operations!AD537+Operations!AD580+Operations!AD623+Operations!AD666+Operations!AD708+Operations!AD755+Operations!AD797</f>
        <v>0</v>
      </c>
      <c r="AE810" s="20" t="n">
        <f aca="false">Operations!AE495+Operations!AE537+Operations!AE580+Operations!AE623+Operations!AE666+Operations!AE708+Operations!AE755+Operations!AE797</f>
        <v>0</v>
      </c>
      <c r="AF810" s="20" t="n">
        <f aca="false">Operations!AF495+Operations!AF537+Operations!AF580+Operations!AF623+Operations!AF666+Operations!AF708+Operations!AF755+Operations!AF797</f>
        <v>0</v>
      </c>
      <c r="AG810" s="20" t="n">
        <f aca="false">Operations!AG495+Operations!AG537+Operations!AG580+Operations!AG623+Operations!AG666+Operations!AG708+Operations!AG755+Operations!AG797</f>
        <v>0</v>
      </c>
      <c r="AH810" s="20" t="n">
        <f aca="false">Operations!AH495+Operations!AH537+Operations!AH580+Operations!AH623+Operations!AH666+Operations!AH708+Operations!AH755+Operations!AH797</f>
        <v>0</v>
      </c>
      <c r="AI810" s="20" t="n">
        <f aca="false">Operations!AI495+Operations!AI537+Operations!AI580+Operations!AI623+Operations!AI666+Operations!AI708+Operations!AI755+Operations!AI797</f>
        <v>0</v>
      </c>
      <c r="AJ810" s="20" t="n">
        <f aca="false">Operations!AJ495+Operations!AJ537+Operations!AJ580+Operations!AJ623+Operations!AJ666+Operations!AJ708+Operations!AJ755+Operations!AJ797</f>
        <v>0</v>
      </c>
      <c r="AK810" s="20" t="n">
        <f aca="false">Operations!AK495+Operations!AK537+Operations!AK580+Operations!AK623+Operations!AK666+Operations!AK708+Operations!AK755+Operations!AK797</f>
        <v>0</v>
      </c>
      <c r="AL810" s="20" t="n">
        <f aca="false">Operations!AL495+Operations!AL537+Operations!AL580+Operations!AL623+Operations!AL666+Operations!AL708+Operations!AL755+Operations!AL797</f>
        <v>0</v>
      </c>
      <c r="AM810" s="20" t="n">
        <f aca="false">Operations!AM495+Operations!AM537+Operations!AM580+Operations!AM623+Operations!AM666+Operations!AM708+Operations!AM755+Operations!AM797</f>
        <v>0</v>
      </c>
      <c r="AN810" s="20" t="n">
        <f aca="false">Operations!AN495+Operations!AN537+Operations!AN580+Operations!AN623+Operations!AN666+Operations!AN708+Operations!AN755+Operations!AN797</f>
        <v>0</v>
      </c>
      <c r="AO810" s="20" t="n">
        <f aca="false">Operations!AO495+Operations!AO537+Operations!AO580+Operations!AO623+Operations!AO666+Operations!AO708+Operations!AO755+Operations!AO797</f>
        <v>0</v>
      </c>
      <c r="AP810" s="20" t="n">
        <f aca="false">Operations!AP495+Operations!AP537+Operations!AP580+Operations!AP623+Operations!AP666+Operations!AP708+Operations!AP755+Operations!AP797</f>
        <v>0</v>
      </c>
      <c r="AQ810" s="20" t="n">
        <f aca="false">Operations!AQ495+Operations!AQ537+Operations!AQ580+Operations!AQ623+Operations!AQ666+Operations!AQ708+Operations!AQ755+Operations!AQ797</f>
        <v>0</v>
      </c>
      <c r="AR810" s="20" t="n">
        <f aca="false">Operations!AR495+Operations!AR537+Operations!AR580+Operations!AR623+Operations!AR666+Operations!AR708+Operations!AR755+Operations!AR797</f>
        <v>0</v>
      </c>
      <c r="AS810" s="20" t="n">
        <f aca="false">Operations!AS495+Operations!AS537+Operations!AS580+Operations!AS623+Operations!AS666+Operations!AS708+Operations!AS755+Operations!AS797</f>
        <v>0</v>
      </c>
      <c r="AT810" s="20" t="n">
        <f aca="false">Operations!AT495+Operations!AT537+Operations!AT580+Operations!AT623+Operations!AT666+Operations!AT708+Operations!AT755+Operations!AT797</f>
        <v>0</v>
      </c>
      <c r="AU810" s="20" t="n">
        <f aca="false">Operations!AU495+Operations!AU537+Operations!AU580+Operations!AU623+Operations!AU666+Operations!AU708+Operations!AU755+Operations!AU797</f>
        <v>0</v>
      </c>
    </row>
    <row r="811" customFormat="false" ht="15" hidden="false" customHeight="false" outlineLevel="0" collapsed="false">
      <c r="D811" s="0" t="s">
        <v>808</v>
      </c>
      <c r="E811" s="0" t="s">
        <v>47</v>
      </c>
      <c r="J811" s="20" t="n">
        <f aca="false">Operations!J496+Operations!J538+Operations!J581+Operations!J624+Operations!J667+Operations!J709+Operations!J756+Operations!J798</f>
        <v>5.77838071232877</v>
      </c>
      <c r="K811" s="20" t="n">
        <f aca="false">Operations!K496+Operations!K538+Operations!K581+Operations!K624+Operations!K667+Operations!K709+Operations!K756+Operations!K798</f>
        <v>24.33324</v>
      </c>
      <c r="L811" s="20" t="n">
        <f aca="false">Operations!L496+Operations!L538+Operations!L581+Operations!L624+Operations!L667+Operations!L709+Operations!L756+Operations!L798</f>
        <v>24.37956</v>
      </c>
      <c r="M811" s="20" t="n">
        <f aca="false">Operations!M496+Operations!M538+Operations!M581+Operations!M624+Operations!M667+Operations!M709+Operations!M756+Operations!M798</f>
        <v>31.10573</v>
      </c>
      <c r="N811" s="20" t="n">
        <f aca="false">Operations!N496+Operations!N538+Operations!N581+Operations!N624+Operations!N667+Operations!N709+Operations!N756+Operations!N798</f>
        <v>31.10573</v>
      </c>
      <c r="O811" s="20" t="n">
        <f aca="false">Operations!O496+Operations!O538+Operations!O581+Operations!O624+Operations!O667+Operations!O709+Operations!O756+Operations!O798</f>
        <v>23.67929</v>
      </c>
      <c r="P811" s="20" t="n">
        <f aca="false">Operations!P496+Operations!P538+Operations!P581+Operations!P624+Operations!P667+Operations!P709+Operations!P756+Operations!P798</f>
        <v>6.77249</v>
      </c>
      <c r="Q811" s="20" t="n">
        <f aca="false">Operations!Q496+Operations!Q538+Operations!Q581+Operations!Q624+Operations!Q667+Operations!Q709+Operations!Q756+Operations!Q798</f>
        <v>6.77249</v>
      </c>
      <c r="R811" s="20" t="n">
        <f aca="false">Operations!R496+Operations!R538+Operations!R581+Operations!R624+Operations!R667+Operations!R709+Operations!R756+Operations!R798</f>
        <v>6.77249</v>
      </c>
      <c r="S811" s="20" t="n">
        <f aca="false">Operations!S496+Operations!S538+Operations!S581+Operations!S624+Operations!S667+Operations!S709+Operations!S756+Operations!S798</f>
        <v>6.77249</v>
      </c>
      <c r="T811" s="20" t="n">
        <f aca="false">Operations!T496+Operations!T538+Operations!T581+Operations!T624+Operations!T667+Operations!T709+Operations!T756+Operations!T798</f>
        <v>6.77249</v>
      </c>
      <c r="U811" s="20" t="n">
        <f aca="false">Operations!U496+Operations!U538+Operations!U581+Operations!U624+Operations!U667+Operations!U709+Operations!U756+Operations!U798</f>
        <v>6.77249</v>
      </c>
      <c r="V811" s="20" t="n">
        <f aca="false">Operations!V496+Operations!V538+Operations!V581+Operations!V624+Operations!V667+Operations!V709+Operations!V756+Operations!V798</f>
        <v>6.77249</v>
      </c>
      <c r="W811" s="20" t="n">
        <f aca="false">Operations!W496+Operations!W538+Operations!W581+Operations!W624+Operations!W667+Operations!W709+Operations!W756+Operations!W798</f>
        <v>0</v>
      </c>
      <c r="X811" s="20" t="n">
        <f aca="false">Operations!X496+Operations!X538+Operations!X581+Operations!X624+Operations!X667+Operations!X709+Operations!X756+Operations!X798</f>
        <v>0</v>
      </c>
      <c r="Y811" s="20" t="n">
        <f aca="false">Operations!Y496+Operations!Y538+Operations!Y581+Operations!Y624+Operations!Y667+Operations!Y709+Operations!Y756+Operations!Y798</f>
        <v>0</v>
      </c>
      <c r="Z811" s="20" t="n">
        <f aca="false">Operations!Z496+Operations!Z538+Operations!Z581+Operations!Z624+Operations!Z667+Operations!Z709+Operations!Z756+Operations!Z798</f>
        <v>0</v>
      </c>
      <c r="AA811" s="20" t="n">
        <f aca="false">Operations!AA496+Operations!AA538+Operations!AA581+Operations!AA624+Operations!AA667+Operations!AA709+Operations!AA756+Operations!AA798</f>
        <v>0</v>
      </c>
      <c r="AB811" s="20" t="n">
        <f aca="false">Operations!AB496+Operations!AB538+Operations!AB581+Operations!AB624+Operations!AB667+Operations!AB709+Operations!AB756+Operations!AB798</f>
        <v>0</v>
      </c>
      <c r="AC811" s="20" t="n">
        <f aca="false">Operations!AC496+Operations!AC538+Operations!AC581+Operations!AC624+Operations!AC667+Operations!AC709+Operations!AC756+Operations!AC798</f>
        <v>0</v>
      </c>
      <c r="AD811" s="20" t="n">
        <f aca="false">Operations!AD496+Operations!AD538+Operations!AD581+Operations!AD624+Operations!AD667+Operations!AD709+Operations!AD756+Operations!AD798</f>
        <v>0</v>
      </c>
      <c r="AE811" s="20" t="n">
        <f aca="false">Operations!AE496+Operations!AE538+Operations!AE581+Operations!AE624+Operations!AE667+Operations!AE709+Operations!AE756+Operations!AE798</f>
        <v>0</v>
      </c>
      <c r="AF811" s="20" t="n">
        <f aca="false">Operations!AF496+Operations!AF538+Operations!AF581+Operations!AF624+Operations!AF667+Operations!AF709+Operations!AF756+Operations!AF798</f>
        <v>0</v>
      </c>
      <c r="AG811" s="20" t="n">
        <f aca="false">Operations!AG496+Operations!AG538+Operations!AG581+Operations!AG624+Operations!AG667+Operations!AG709+Operations!AG756+Operations!AG798</f>
        <v>0</v>
      </c>
      <c r="AH811" s="20" t="n">
        <f aca="false">Operations!AH496+Operations!AH538+Operations!AH581+Operations!AH624+Operations!AH667+Operations!AH709+Operations!AH756+Operations!AH798</f>
        <v>0</v>
      </c>
      <c r="AI811" s="20" t="n">
        <f aca="false">Operations!AI496+Operations!AI538+Operations!AI581+Operations!AI624+Operations!AI667+Operations!AI709+Operations!AI756+Operations!AI798</f>
        <v>0</v>
      </c>
      <c r="AJ811" s="20" t="n">
        <f aca="false">Operations!AJ496+Operations!AJ538+Operations!AJ581+Operations!AJ624+Operations!AJ667+Operations!AJ709+Operations!AJ756+Operations!AJ798</f>
        <v>0</v>
      </c>
      <c r="AK811" s="20" t="n">
        <f aca="false">Operations!AK496+Operations!AK538+Operations!AK581+Operations!AK624+Operations!AK667+Operations!AK709+Operations!AK756+Operations!AK798</f>
        <v>0</v>
      </c>
      <c r="AL811" s="20" t="n">
        <f aca="false">Operations!AL496+Operations!AL538+Operations!AL581+Operations!AL624+Operations!AL667+Operations!AL709+Operations!AL756+Operations!AL798</f>
        <v>0</v>
      </c>
      <c r="AM811" s="20" t="n">
        <f aca="false">Operations!AM496+Operations!AM538+Operations!AM581+Operations!AM624+Operations!AM667+Operations!AM709+Operations!AM756+Operations!AM798</f>
        <v>0</v>
      </c>
      <c r="AN811" s="20" t="n">
        <f aca="false">Operations!AN496+Operations!AN538+Operations!AN581+Operations!AN624+Operations!AN667+Operations!AN709+Operations!AN756+Operations!AN798</f>
        <v>0</v>
      </c>
      <c r="AO811" s="20" t="n">
        <f aca="false">Operations!AO496+Operations!AO538+Operations!AO581+Operations!AO624+Operations!AO667+Operations!AO709+Operations!AO756+Operations!AO798</f>
        <v>0</v>
      </c>
      <c r="AP811" s="20" t="n">
        <f aca="false">Operations!AP496+Operations!AP538+Operations!AP581+Operations!AP624+Operations!AP667+Operations!AP709+Operations!AP756+Operations!AP798</f>
        <v>0</v>
      </c>
      <c r="AQ811" s="20" t="n">
        <f aca="false">Operations!AQ496+Operations!AQ538+Operations!AQ581+Operations!AQ624+Operations!AQ667+Operations!AQ709+Operations!AQ756+Operations!AQ798</f>
        <v>0</v>
      </c>
      <c r="AR811" s="20" t="n">
        <f aca="false">Operations!AR496+Operations!AR538+Operations!AR581+Operations!AR624+Operations!AR667+Operations!AR709+Operations!AR756+Operations!AR798</f>
        <v>0</v>
      </c>
      <c r="AS811" s="20" t="n">
        <f aca="false">Operations!AS496+Operations!AS538+Operations!AS581+Operations!AS624+Operations!AS667+Operations!AS709+Operations!AS756+Operations!AS798</f>
        <v>0</v>
      </c>
      <c r="AT811" s="20" t="n">
        <f aca="false">Operations!AT496+Operations!AT538+Operations!AT581+Operations!AT624+Operations!AT667+Operations!AT709+Operations!AT756+Operations!AT798</f>
        <v>0</v>
      </c>
      <c r="AU811" s="20" t="n">
        <f aca="false">Operations!AU496+Operations!AU538+Operations!AU581+Operations!AU624+Operations!AU667+Operations!AU709+Operations!AU756+Operations!AU798</f>
        <v>0</v>
      </c>
    </row>
    <row r="812" customFormat="false" ht="15" hidden="false" customHeight="false" outlineLevel="0" collapsed="false">
      <c r="D812" s="0" t="s">
        <v>809</v>
      </c>
      <c r="E812" s="0" t="s">
        <v>47</v>
      </c>
      <c r="J812" s="20" t="n">
        <f aca="false">Operations!J497+Operations!J539+Operations!J582+Operations!J625+Operations!J668+Operations!J710+Operations!J757+Operations!J799</f>
        <v>26.7232276162174</v>
      </c>
      <c r="K812" s="20" t="n">
        <f aca="false">Operations!K497+Operations!K539+Operations!K582+Operations!K625+Operations!K668+Operations!K710+Operations!K757+Operations!K799</f>
        <v>6.82405851327352</v>
      </c>
      <c r="L812" s="20" t="n">
        <f aca="false">Operations!L497+Operations!L539+Operations!L582+Operations!L625+Operations!L668+Operations!L710+Operations!L757+Operations!L799</f>
        <v>3.27644863662766</v>
      </c>
      <c r="M812" s="20" t="n">
        <f aca="false">Operations!M497+Operations!M539+Operations!M582+Operations!M625+Operations!M668+Operations!M710+Operations!M757+Operations!M799</f>
        <v>7.15697887107993</v>
      </c>
      <c r="N812" s="20" t="n">
        <f aca="false">Operations!N497+Operations!N539+Operations!N582+Operations!N625+Operations!N668+Operations!N710+Operations!N757+Operations!N799</f>
        <v>7.60933185219739</v>
      </c>
      <c r="O812" s="20" t="n">
        <f aca="false">Operations!O497+Operations!O539+Operations!O582+Operations!O625+Operations!O668+Operations!O710+Operations!O757+Operations!O799</f>
        <v>13.4547912915485</v>
      </c>
      <c r="P812" s="20" t="n">
        <f aca="false">Operations!P497+Operations!P539+Operations!P582+Operations!P625+Operations!P668+Operations!P710+Operations!P757+Operations!P799</f>
        <v>29.9738032259287</v>
      </c>
      <c r="Q812" s="20" t="n">
        <f aca="false">Operations!Q497+Operations!Q539+Operations!Q582+Operations!Q625+Operations!Q668+Operations!Q710+Operations!Q757+Operations!Q799</f>
        <v>47.2323514097369</v>
      </c>
      <c r="R812" s="20" t="n">
        <f aca="false">Operations!R497+Operations!R539+Operations!R582+Operations!R625+Operations!R668+Operations!R710+Operations!R757+Operations!R799</f>
        <v>83.8465921847925</v>
      </c>
      <c r="S812" s="20" t="n">
        <f aca="false">Operations!S497+Operations!S539+Operations!S582+Operations!S625+Operations!S668+Operations!S710+Operations!S757+Operations!S799</f>
        <v>87.7559521176324</v>
      </c>
      <c r="T812" s="20" t="n">
        <f aca="false">Operations!T497+Operations!T539+Operations!T582+Operations!T625+Operations!T668+Operations!T710+Operations!T757+Operations!T799</f>
        <v>95.4126082810504</v>
      </c>
      <c r="U812" s="20" t="n">
        <f aca="false">Operations!U497+Operations!U539+Operations!U582+Operations!U625+Operations!U668+Operations!U710+Operations!U757+Operations!U799</f>
        <v>105.375919386475</v>
      </c>
      <c r="V812" s="20" t="n">
        <f aca="false">Operations!V497+Operations!V539+Operations!V582+Operations!V625+Operations!V668+Operations!V710+Operations!V757+Operations!V799</f>
        <v>112.681217700213</v>
      </c>
      <c r="W812" s="20" t="n">
        <f aca="false">Operations!W497+Operations!W539+Operations!W582+Operations!W625+Operations!W668+Operations!W710+Operations!W757+Operations!W799</f>
        <v>119.886378218744</v>
      </c>
      <c r="X812" s="20" t="n">
        <f aca="false">Operations!X497+Operations!X539+Operations!X582+Operations!X625+Operations!X668+Operations!X710+Operations!X757+Operations!X799</f>
        <v>121.035114721443</v>
      </c>
      <c r="Y812" s="20" t="n">
        <f aca="false">Operations!Y497+Operations!Y539+Operations!Y582+Operations!Y625+Operations!Y668+Operations!Y710+Operations!Y757+Operations!Y799</f>
        <v>122.25446216385</v>
      </c>
      <c r="Z812" s="20" t="n">
        <f aca="false">Operations!Z497+Operations!Z539+Operations!Z582+Operations!Z625+Operations!Z668+Operations!Z710+Operations!Z757+Operations!Z799</f>
        <v>123.604654180305</v>
      </c>
      <c r="AA812" s="20" t="n">
        <f aca="false">Operations!AA497+Operations!AA539+Operations!AA582+Operations!AA625+Operations!AA668+Operations!AA710+Operations!AA757+Operations!AA799</f>
        <v>125.120949676134</v>
      </c>
      <c r="AB812" s="20" t="n">
        <f aca="false">Operations!AB497+Operations!AB539+Operations!AB582+Operations!AB625+Operations!AB668+Operations!AB710+Operations!AB757+Operations!AB799</f>
        <v>126.663690580832</v>
      </c>
      <c r="AC812" s="20" t="n">
        <f aca="false">Operations!AC497+Operations!AC539+Operations!AC582+Operations!AC625+Operations!AC668+Operations!AC710+Operations!AC757+Operations!AC799</f>
        <v>128.215671036374</v>
      </c>
      <c r="AD812" s="20" t="n">
        <f aca="false">Operations!AD497+Operations!AD539+Operations!AD582+Operations!AD625+Operations!AD668+Operations!AD710+Operations!AD757+Operations!AD799</f>
        <v>129.794841617233</v>
      </c>
      <c r="AE812" s="20" t="n">
        <f aca="false">Operations!AE497+Operations!AE539+Operations!AE582+Operations!AE625+Operations!AE668+Operations!AE710+Operations!AE757+Operations!AE799</f>
        <v>128.877282591407</v>
      </c>
      <c r="AF812" s="20" t="n">
        <f aca="false">Operations!AF497+Operations!AF539+Operations!AF582+Operations!AF625+Operations!AF668+Operations!AF710+Operations!AF757+Operations!AF799</f>
        <v>119.447027005868</v>
      </c>
      <c r="AG812" s="20" t="n">
        <f aca="false">Operations!AG497+Operations!AG539+Operations!AG582+Operations!AG625+Operations!AG668+Operations!AG710+Operations!AG757+Operations!AG799</f>
        <v>94.3973522095829</v>
      </c>
      <c r="AH812" s="20" t="n">
        <f aca="false">Operations!AH497+Operations!AH539+Operations!AH582+Operations!AH625+Operations!AH668+Operations!AH710+Operations!AH757+Operations!AH799</f>
        <v>95.9551921131843</v>
      </c>
      <c r="AI812" s="20" t="n">
        <f aca="false">Operations!AI497+Operations!AI539+Operations!AI582+Operations!AI625+Operations!AI668+Operations!AI710+Operations!AI757+Operations!AI799</f>
        <v>75.195058052426</v>
      </c>
      <c r="AJ812" s="20" t="n">
        <f aca="false">Operations!AJ497+Operations!AJ539+Operations!AJ582+Operations!AJ625+Operations!AJ668+Operations!AJ710+Operations!AJ757+Operations!AJ799</f>
        <v>54.0328116595705</v>
      </c>
      <c r="AK812" s="20" t="n">
        <f aca="false">Operations!AK497+Operations!AK539+Operations!AK582+Operations!AK625+Operations!AK668+Operations!AK710+Operations!AK757+Operations!AK799</f>
        <v>53.2803268614344</v>
      </c>
      <c r="AL812" s="20" t="n">
        <f aca="false">Operations!AL497+Operations!AL539+Operations!AL582+Operations!AL625+Operations!AL668+Operations!AL710+Operations!AL757+Operations!AL799</f>
        <v>36.1679928311642</v>
      </c>
      <c r="AM812" s="20" t="n">
        <f aca="false">Operations!AM497+Operations!AM539+Operations!AM582+Operations!AM625+Operations!AM668+Operations!AM710+Operations!AM757+Operations!AM799</f>
        <v>36.7318381557876</v>
      </c>
      <c r="AN812" s="20" t="n">
        <f aca="false">Operations!AN497+Operations!AN539+Operations!AN582+Operations!AN625+Operations!AN668+Operations!AN710+Operations!AN757+Operations!AN799</f>
        <v>37.3040974570443</v>
      </c>
      <c r="AO812" s="20" t="n">
        <f aca="false">Operations!AO497+Operations!AO539+Operations!AO582+Operations!AO625+Operations!AO668+Operations!AO710+Operations!AO757+Operations!AO799</f>
        <v>37.8846268492144</v>
      </c>
      <c r="AP812" s="20" t="n">
        <f aca="false">Operations!AP497+Operations!AP539+Operations!AP582+Operations!AP625+Operations!AP668+Operations!AP710+Operations!AP757+Operations!AP799</f>
        <v>38.4732838010609</v>
      </c>
      <c r="AQ812" s="20" t="n">
        <f aca="false">Operations!AQ497+Operations!AQ539+Operations!AQ582+Operations!AQ625+Operations!AQ668+Operations!AQ710+Operations!AQ757+Operations!AQ799</f>
        <v>37.5477846756611</v>
      </c>
      <c r="AR812" s="20" t="n">
        <f aca="false">Operations!AR497+Operations!AR539+Operations!AR582+Operations!AR625+Operations!AR668+Operations!AR710+Operations!AR757+Operations!AR799</f>
        <v>21.856862576178</v>
      </c>
      <c r="AS812" s="20" t="n">
        <f aca="false">Operations!AS497+Operations!AS539+Operations!AS582+Operations!AS625+Operations!AS668+Operations!AS710+Operations!AS757+Operations!AS799</f>
        <v>13.6120890225018</v>
      </c>
      <c r="AT812" s="20" t="n">
        <f aca="false">Operations!AT497+Operations!AT539+Operations!AT582+Operations!AT625+Operations!AT668+Operations!AT710+Operations!AT757+Operations!AT799</f>
        <v>13.8290695090715</v>
      </c>
      <c r="AU812" s="20" t="n">
        <f aca="false">Operations!AU497+Operations!AU539+Operations!AU582+Operations!AU625+Operations!AU668+Operations!AU710+Operations!AU757+Operations!AU799</f>
        <v>14.0486784452275</v>
      </c>
    </row>
    <row r="813" customFormat="false" ht="15" hidden="false" customHeight="false" outlineLevel="0" collapsed="false">
      <c r="D813" s="0" t="s">
        <v>810</v>
      </c>
      <c r="E813" s="0" t="s">
        <v>47</v>
      </c>
      <c r="J813" s="20" t="n">
        <f aca="false">Operations!J810+Operations!J811+Operations!J812</f>
        <v>71.1506977288749</v>
      </c>
      <c r="K813" s="20" t="n">
        <f aca="false">Operations!K810+Operations!K811+Operations!K812</f>
        <v>84.3564024188338</v>
      </c>
      <c r="L813" s="20" t="n">
        <f aca="false">Operations!L810+Operations!L811+Operations!L812</f>
        <v>95.6532386968593</v>
      </c>
      <c r="M813" s="20" t="n">
        <f aca="false">Operations!M810+Operations!M811+Operations!M812</f>
        <v>108.717689254803</v>
      </c>
      <c r="N813" s="20" t="n">
        <f aca="false">Operations!N810+Operations!N811+Operations!N812</f>
        <v>109.078580955357</v>
      </c>
      <c r="O813" s="20" t="n">
        <f aca="false">Operations!O810+Operations!O811+Operations!O812</f>
        <v>108.30490414278</v>
      </c>
      <c r="P813" s="20" t="n">
        <f aca="false">Operations!P810+Operations!P811+Operations!P812</f>
        <v>108.702040204507</v>
      </c>
      <c r="Q813" s="20" t="n">
        <f aca="false">Operations!Q810+Operations!Q811+Operations!Q812</f>
        <v>113.785241581685</v>
      </c>
      <c r="R813" s="20" t="n">
        <f aca="false">Operations!R810+Operations!R811+Operations!R812</f>
        <v>117.821221467823</v>
      </c>
      <c r="S813" s="20" t="n">
        <f aca="false">Operations!S810+Operations!S811+Operations!S812</f>
        <v>115.844523321835</v>
      </c>
      <c r="T813" s="20" t="n">
        <f aca="false">Operations!T810+Operations!T811+Operations!T812</f>
        <v>115.79276752967</v>
      </c>
      <c r="U813" s="20" t="n">
        <f aca="false">Operations!U810+Operations!U811+Operations!U812</f>
        <v>117.59652474247</v>
      </c>
      <c r="V813" s="20" t="n">
        <f aca="false">Operations!V810+Operations!V811+Operations!V812</f>
        <v>119.453707700213</v>
      </c>
      <c r="W813" s="20" t="n">
        <f aca="false">Operations!W810+Operations!W811+Operations!W812</f>
        <v>119.886378218744</v>
      </c>
      <c r="X813" s="20" t="n">
        <f aca="false">Operations!X810+Operations!X811+Operations!X812</f>
        <v>121.035114721443</v>
      </c>
      <c r="Y813" s="20" t="n">
        <f aca="false">Operations!Y810+Operations!Y811+Operations!Y812</f>
        <v>122.25446216385</v>
      </c>
      <c r="Z813" s="20" t="n">
        <f aca="false">Operations!Z810+Operations!Z811+Operations!Z812</f>
        <v>123.604654180305</v>
      </c>
      <c r="AA813" s="20" t="n">
        <f aca="false">Operations!AA810+Operations!AA811+Operations!AA812</f>
        <v>125.120949676134</v>
      </c>
      <c r="AB813" s="20" t="n">
        <f aca="false">Operations!AB810+Operations!AB811+Operations!AB812</f>
        <v>126.663690580832</v>
      </c>
      <c r="AC813" s="20" t="n">
        <f aca="false">Operations!AC810+Operations!AC811+Operations!AC812</f>
        <v>128.215671036374</v>
      </c>
      <c r="AD813" s="20" t="n">
        <f aca="false">Operations!AD810+Operations!AD811+Operations!AD812</f>
        <v>129.794841617233</v>
      </c>
      <c r="AE813" s="20" t="n">
        <f aca="false">Operations!AE810+Operations!AE811+Operations!AE812</f>
        <v>128.877282591407</v>
      </c>
      <c r="AF813" s="20" t="n">
        <f aca="false">Operations!AF810+Operations!AF811+Operations!AF812</f>
        <v>119.447027005868</v>
      </c>
      <c r="AG813" s="20" t="n">
        <f aca="false">Operations!AG810+Operations!AG811+Operations!AG812</f>
        <v>94.3973522095829</v>
      </c>
      <c r="AH813" s="20" t="n">
        <f aca="false">Operations!AH810+Operations!AH811+Operations!AH812</f>
        <v>95.9551921131843</v>
      </c>
      <c r="AI813" s="20" t="n">
        <f aca="false">Operations!AI810+Operations!AI811+Operations!AI812</f>
        <v>75.195058052426</v>
      </c>
      <c r="AJ813" s="20" t="n">
        <f aca="false">Operations!AJ810+Operations!AJ811+Operations!AJ812</f>
        <v>54.0328116595705</v>
      </c>
      <c r="AK813" s="20" t="n">
        <f aca="false">Operations!AK810+Operations!AK811+Operations!AK812</f>
        <v>53.2803268614344</v>
      </c>
      <c r="AL813" s="20" t="n">
        <f aca="false">Operations!AL810+Operations!AL811+Operations!AL812</f>
        <v>36.1679928311642</v>
      </c>
      <c r="AM813" s="20" t="n">
        <f aca="false">Operations!AM810+Operations!AM811+Operations!AM812</f>
        <v>36.7318381557876</v>
      </c>
      <c r="AN813" s="20" t="n">
        <f aca="false">Operations!AN810+Operations!AN811+Operations!AN812</f>
        <v>37.3040974570443</v>
      </c>
      <c r="AO813" s="20" t="n">
        <f aca="false">Operations!AO810+Operations!AO811+Operations!AO812</f>
        <v>37.8846268492144</v>
      </c>
      <c r="AP813" s="20" t="n">
        <f aca="false">Operations!AP810+Operations!AP811+Operations!AP812</f>
        <v>38.4732838010609</v>
      </c>
      <c r="AQ813" s="20" t="n">
        <f aca="false">Operations!AQ810+Operations!AQ811+Operations!AQ812</f>
        <v>37.5477846756611</v>
      </c>
      <c r="AR813" s="20" t="n">
        <f aca="false">Operations!AR810+Operations!AR811+Operations!AR812</f>
        <v>21.856862576178</v>
      </c>
      <c r="AS813" s="20" t="n">
        <f aca="false">Operations!AS810+Operations!AS811+Operations!AS812</f>
        <v>13.6120890225018</v>
      </c>
      <c r="AT813" s="20" t="n">
        <f aca="false">Operations!AT810+Operations!AT811+Operations!AT812</f>
        <v>13.8290695090715</v>
      </c>
      <c r="AU813" s="20" t="n">
        <f aca="false">Operations!AU810+Operations!AU811+Operations!AU812</f>
        <v>14.0486784452275</v>
      </c>
    </row>
    <row r="814" customFormat="false" ht="15" hidden="false" customHeight="false" outlineLevel="0" collapsed="false">
      <c r="D814" s="0" t="s">
        <v>811</v>
      </c>
      <c r="E814" s="0" t="s">
        <v>47</v>
      </c>
      <c r="J814" s="20" t="n">
        <f aca="false">Operations!J749+Operations!J791</f>
        <v>0</v>
      </c>
      <c r="K814" s="20" t="n">
        <f aca="false">Operations!K749+Operations!K791</f>
        <v>0</v>
      </c>
      <c r="L814" s="20" t="n">
        <f aca="false">Operations!L749+Operations!L791</f>
        <v>5.95724803106844</v>
      </c>
      <c r="M814" s="20" t="n">
        <f aca="false">Operations!M749+Operations!M791</f>
        <v>15.424423658468</v>
      </c>
      <c r="N814" s="20" t="n">
        <f aca="false">Operations!N749+Operations!N791</f>
        <v>15.5892151053247</v>
      </c>
      <c r="O814" s="20" t="n">
        <f aca="false">Operations!O749+Operations!O791</f>
        <v>15.5552639401109</v>
      </c>
      <c r="P814" s="20" t="n">
        <f aca="false">Operations!P749+Operations!P791</f>
        <v>15.4346006846344</v>
      </c>
      <c r="Q814" s="20" t="n">
        <f aca="false">Operations!Q749+Operations!Q791</f>
        <v>14.4504929188513</v>
      </c>
      <c r="R814" s="20" t="n">
        <f aca="false">Operations!R749+Operations!R791</f>
        <v>15.0946758080435</v>
      </c>
      <c r="S814" s="20" t="n">
        <f aca="false">Operations!S749+Operations!S791</f>
        <v>14.8902975915808</v>
      </c>
      <c r="T814" s="20" t="n">
        <f aca="false">Operations!T749+Operations!T791</f>
        <v>13.9575114170375</v>
      </c>
      <c r="U814" s="20" t="n">
        <f aca="false">Operations!U749+Operations!U791</f>
        <v>12.7385327275027</v>
      </c>
      <c r="V814" s="20" t="n">
        <f aca="false">Operations!V749+Operations!V791</f>
        <v>13.5565366058264</v>
      </c>
      <c r="W814" s="20" t="n">
        <f aca="false">Operations!W749+Operations!W791</f>
        <v>13.2737842612534</v>
      </c>
      <c r="X814" s="20" t="n">
        <f aca="false">Operations!X749+Operations!X791</f>
        <v>13.11341954539</v>
      </c>
      <c r="Y814" s="20" t="n">
        <f aca="false">Operations!Y749+Operations!Y791</f>
        <v>13.0025740842424</v>
      </c>
      <c r="Z814" s="20" t="n">
        <f aca="false">Operations!Z749+Operations!Z791</f>
        <v>13.0128894342253</v>
      </c>
      <c r="AA814" s="20" t="n">
        <f aca="false">Operations!AA749+Operations!AA791</f>
        <v>13.0215144535886</v>
      </c>
      <c r="AB814" s="20" t="n">
        <f aca="false">Operations!AB749+Operations!AB791</f>
        <v>13.0283513931585</v>
      </c>
      <c r="AC814" s="20" t="n">
        <f aca="false">Operations!AC749+Operations!AC791</f>
        <v>13.031585248552</v>
      </c>
      <c r="AD814" s="20" t="n">
        <f aca="false">Operations!AD749+Operations!AD791</f>
        <v>13.0327846618073</v>
      </c>
      <c r="AE814" s="20" t="n">
        <f aca="false">Operations!AE749+Operations!AE791</f>
        <v>13.0301799699154</v>
      </c>
      <c r="AF814" s="20" t="n">
        <f aca="false">Operations!AF749+Operations!AF791</f>
        <v>3.11630335781738</v>
      </c>
      <c r="AG814" s="20" t="n">
        <f aca="false">Operations!AG749+Operations!AG791</f>
        <v>7.13112978003527</v>
      </c>
      <c r="AH814" s="20" t="n">
        <f aca="false">Operations!AH749+Operations!AH791</f>
        <v>7.2069691993194</v>
      </c>
      <c r="AI814" s="20" t="n">
        <f aca="false">Operations!AI749+Operations!AI791</f>
        <v>7.28344492665678</v>
      </c>
      <c r="AJ814" s="20" t="n">
        <f aca="false">Operations!AJ749+Operations!AJ791</f>
        <v>7.36044589042248</v>
      </c>
      <c r="AK814" s="20" t="n">
        <f aca="false">Operations!AK749+Operations!AK791</f>
        <v>7.43785983297344</v>
      </c>
      <c r="AL814" s="20" t="n">
        <f aca="false">Operations!AL749+Operations!AL791</f>
        <v>7.51557326808439</v>
      </c>
      <c r="AM814" s="20" t="n">
        <f aca="false">Operations!AM749+Operations!AM791</f>
        <v>7.59347143740641</v>
      </c>
      <c r="AN814" s="20" t="n">
        <f aca="false">Operations!AN749+Operations!AN791</f>
        <v>7.67143826592311</v>
      </c>
      <c r="AO814" s="20" t="n">
        <f aca="false">Operations!AO749+Operations!AO791</f>
        <v>7.74935631637894</v>
      </c>
      <c r="AP814" s="20" t="n">
        <f aca="false">Operations!AP749+Operations!AP791</f>
        <v>7.82710674265341</v>
      </c>
      <c r="AQ814" s="20" t="n">
        <f aca="false">Operations!AQ749+Operations!AQ791</f>
        <v>7.90611314025504</v>
      </c>
      <c r="AR814" s="20" t="n">
        <f aca="false">Operations!AR749+Operations!AR791</f>
        <v>7.98469745171806</v>
      </c>
      <c r="AS814" s="20" t="n">
        <f aca="false">Operations!AS749+Operations!AS791</f>
        <v>8.06273638773107</v>
      </c>
      <c r="AT814" s="20" t="n">
        <f aca="false">Operations!AT749+Operations!AT791</f>
        <v>8.14163049756126</v>
      </c>
      <c r="AU814" s="20" t="n">
        <f aca="false">Operations!AU749+Operations!AU791</f>
        <v>-3.14995448877764</v>
      </c>
    </row>
    <row r="815" customFormat="false" ht="15" hidden="false" customHeight="false" outlineLevel="0" collapsed="false">
      <c r="D815" s="0" t="s">
        <v>812</v>
      </c>
      <c r="E815" s="0" t="s">
        <v>47</v>
      </c>
      <c r="J815" s="20" t="n">
        <f aca="false">Operations!J755+Operations!J797</f>
        <v>0</v>
      </c>
      <c r="K815" s="20" t="n">
        <f aca="false">Operations!K755+Operations!K797</f>
        <v>0</v>
      </c>
      <c r="L815" s="20" t="n">
        <f aca="false">Operations!L755+Operations!L797</f>
        <v>7.6305737704918</v>
      </c>
      <c r="M815" s="20" t="n">
        <f aca="false">Operations!M755+Operations!M797</f>
        <v>10.23</v>
      </c>
      <c r="N815" s="20" t="n">
        <f aca="false">Operations!N755+Operations!N797</f>
        <v>10.23</v>
      </c>
      <c r="O815" s="20" t="n">
        <f aca="false">Operations!O755+Operations!O797</f>
        <v>10.23</v>
      </c>
      <c r="P815" s="20" t="n">
        <f aca="false">Operations!P755+Operations!P797</f>
        <v>10.23</v>
      </c>
      <c r="Q815" s="20" t="n">
        <f aca="false">Operations!Q755+Operations!Q797</f>
        <v>10.23</v>
      </c>
      <c r="R815" s="20" t="n">
        <f aca="false">Operations!R755+Operations!R797</f>
        <v>10.23</v>
      </c>
      <c r="S815" s="20" t="n">
        <f aca="false">Operations!S755+Operations!S797</f>
        <v>10.23</v>
      </c>
      <c r="T815" s="20" t="n">
        <f aca="false">Operations!T755+Operations!T797</f>
        <v>2.57147540983607</v>
      </c>
      <c r="U815" s="20" t="n">
        <f aca="false">Operations!U755+Operations!U797</f>
        <v>0</v>
      </c>
      <c r="V815" s="20" t="n">
        <f aca="false">Operations!V755+Operations!V797</f>
        <v>0</v>
      </c>
      <c r="W815" s="20" t="n">
        <f aca="false">Operations!W755+Operations!W797</f>
        <v>0</v>
      </c>
      <c r="X815" s="20" t="n">
        <f aca="false">Operations!X755+Operations!X797</f>
        <v>0</v>
      </c>
      <c r="Y815" s="20" t="n">
        <f aca="false">Operations!Y755+Operations!Y797</f>
        <v>0</v>
      </c>
      <c r="Z815" s="20" t="n">
        <f aca="false">Operations!Z755+Operations!Z797</f>
        <v>0</v>
      </c>
      <c r="AA815" s="20" t="n">
        <f aca="false">Operations!AA755+Operations!AA797</f>
        <v>0</v>
      </c>
      <c r="AB815" s="20" t="n">
        <f aca="false">Operations!AB755+Operations!AB797</f>
        <v>0</v>
      </c>
      <c r="AC815" s="20" t="n">
        <f aca="false">Operations!AC755+Operations!AC797</f>
        <v>0</v>
      </c>
      <c r="AD815" s="20" t="n">
        <f aca="false">Operations!AD755+Operations!AD797</f>
        <v>0</v>
      </c>
      <c r="AE815" s="20" t="n">
        <f aca="false">Operations!AE755+Operations!AE797</f>
        <v>0</v>
      </c>
      <c r="AF815" s="20" t="n">
        <f aca="false">Operations!AF755+Operations!AF797</f>
        <v>0</v>
      </c>
      <c r="AG815" s="20" t="n">
        <f aca="false">Operations!AG755+Operations!AG797</f>
        <v>0</v>
      </c>
      <c r="AH815" s="20" t="n">
        <f aca="false">Operations!AH755+Operations!AH797</f>
        <v>0</v>
      </c>
      <c r="AI815" s="20" t="n">
        <f aca="false">Operations!AI755+Operations!AI797</f>
        <v>0</v>
      </c>
      <c r="AJ815" s="20" t="n">
        <f aca="false">Operations!AJ755+Operations!AJ797</f>
        <v>0</v>
      </c>
      <c r="AK815" s="20" t="n">
        <f aca="false">Operations!AK755+Operations!AK797</f>
        <v>0</v>
      </c>
      <c r="AL815" s="20" t="n">
        <f aca="false">Operations!AL755+Operations!AL797</f>
        <v>0</v>
      </c>
      <c r="AM815" s="20" t="n">
        <f aca="false">Operations!AM755+Operations!AM797</f>
        <v>0</v>
      </c>
      <c r="AN815" s="20" t="n">
        <f aca="false">Operations!AN755+Operations!AN797</f>
        <v>0</v>
      </c>
      <c r="AO815" s="20" t="n">
        <f aca="false">Operations!AO755+Operations!AO797</f>
        <v>0</v>
      </c>
      <c r="AP815" s="20" t="n">
        <f aca="false">Operations!AP755+Operations!AP797</f>
        <v>0</v>
      </c>
      <c r="AQ815" s="20" t="n">
        <f aca="false">Operations!AQ755+Operations!AQ797</f>
        <v>0</v>
      </c>
      <c r="AR815" s="20" t="n">
        <f aca="false">Operations!AR755+Operations!AR797</f>
        <v>0</v>
      </c>
      <c r="AS815" s="20" t="n">
        <f aca="false">Operations!AS755+Operations!AS797</f>
        <v>0</v>
      </c>
      <c r="AT815" s="20" t="n">
        <f aca="false">Operations!AT755+Operations!AT797</f>
        <v>0</v>
      </c>
      <c r="AU815" s="20" t="n">
        <f aca="false">Operations!AU755+Operations!AU797</f>
        <v>0</v>
      </c>
    </row>
    <row r="816" customFormat="false" ht="15" hidden="false" customHeight="false" outlineLevel="0" collapsed="false">
      <c r="D816" s="0" t="s">
        <v>813</v>
      </c>
      <c r="E816" s="0" t="s">
        <v>47</v>
      </c>
      <c r="J816" s="20" t="n">
        <f aca="false">Operations!J756+Operations!J798</f>
        <v>0</v>
      </c>
      <c r="K816" s="20" t="n">
        <f aca="false">Operations!K756+Operations!K798</f>
        <v>0</v>
      </c>
      <c r="L816" s="20" t="n">
        <f aca="false">Operations!L756+Operations!L798</f>
        <v>0</v>
      </c>
      <c r="M816" s="20" t="n">
        <f aca="false">Operations!M756+Operations!M798</f>
        <v>6.77249</v>
      </c>
      <c r="N816" s="20" t="n">
        <f aca="false">Operations!N756+Operations!N798</f>
        <v>6.77249</v>
      </c>
      <c r="O816" s="20" t="n">
        <f aca="false">Operations!O756+Operations!O798</f>
        <v>6.77249</v>
      </c>
      <c r="P816" s="20" t="n">
        <f aca="false">Operations!P756+Operations!P798</f>
        <v>6.77249</v>
      </c>
      <c r="Q816" s="20" t="n">
        <f aca="false">Operations!Q756+Operations!Q798</f>
        <v>6.77249</v>
      </c>
      <c r="R816" s="20" t="n">
        <f aca="false">Operations!R756+Operations!R798</f>
        <v>6.77249</v>
      </c>
      <c r="S816" s="20" t="n">
        <f aca="false">Operations!S756+Operations!S798</f>
        <v>6.77249</v>
      </c>
      <c r="T816" s="20" t="n">
        <f aca="false">Operations!T756+Operations!T798</f>
        <v>6.77249</v>
      </c>
      <c r="U816" s="20" t="n">
        <f aca="false">Operations!U756+Operations!U798</f>
        <v>6.77249</v>
      </c>
      <c r="V816" s="20" t="n">
        <f aca="false">Operations!V756+Operations!V798</f>
        <v>6.77249</v>
      </c>
      <c r="W816" s="20" t="n">
        <f aca="false">Operations!W756+Operations!W798</f>
        <v>0</v>
      </c>
      <c r="X816" s="20" t="n">
        <f aca="false">Operations!X756+Operations!X798</f>
        <v>0</v>
      </c>
      <c r="Y816" s="20" t="n">
        <f aca="false">Operations!Y756+Operations!Y798</f>
        <v>0</v>
      </c>
      <c r="Z816" s="20" t="n">
        <f aca="false">Operations!Z756+Operations!Z798</f>
        <v>0</v>
      </c>
      <c r="AA816" s="20" t="n">
        <f aca="false">Operations!AA756+Operations!AA798</f>
        <v>0</v>
      </c>
      <c r="AB816" s="20" t="n">
        <f aca="false">Operations!AB756+Operations!AB798</f>
        <v>0</v>
      </c>
      <c r="AC816" s="20" t="n">
        <f aca="false">Operations!AC756+Operations!AC798</f>
        <v>0</v>
      </c>
      <c r="AD816" s="20" t="n">
        <f aca="false">Operations!AD756+Operations!AD798</f>
        <v>0</v>
      </c>
      <c r="AE816" s="20" t="n">
        <f aca="false">Operations!AE756+Operations!AE798</f>
        <v>0</v>
      </c>
      <c r="AF816" s="20" t="n">
        <f aca="false">Operations!AF756+Operations!AF798</f>
        <v>0</v>
      </c>
      <c r="AG816" s="20" t="n">
        <f aca="false">Operations!AG756+Operations!AG798</f>
        <v>0</v>
      </c>
      <c r="AH816" s="20" t="n">
        <f aca="false">Operations!AH756+Operations!AH798</f>
        <v>0</v>
      </c>
      <c r="AI816" s="20" t="n">
        <f aca="false">Operations!AI756+Operations!AI798</f>
        <v>0</v>
      </c>
      <c r="AJ816" s="20" t="n">
        <f aca="false">Operations!AJ756+Operations!AJ798</f>
        <v>0</v>
      </c>
      <c r="AK816" s="20" t="n">
        <f aca="false">Operations!AK756+Operations!AK798</f>
        <v>0</v>
      </c>
      <c r="AL816" s="20" t="n">
        <f aca="false">Operations!AL756+Operations!AL798</f>
        <v>0</v>
      </c>
      <c r="AM816" s="20" t="n">
        <f aca="false">Operations!AM756+Operations!AM798</f>
        <v>0</v>
      </c>
      <c r="AN816" s="20" t="n">
        <f aca="false">Operations!AN756+Operations!AN798</f>
        <v>0</v>
      </c>
      <c r="AO816" s="20" t="n">
        <f aca="false">Operations!AO756+Operations!AO798</f>
        <v>0</v>
      </c>
      <c r="AP816" s="20" t="n">
        <f aca="false">Operations!AP756+Operations!AP798</f>
        <v>0</v>
      </c>
      <c r="AQ816" s="20" t="n">
        <f aca="false">Operations!AQ756+Operations!AQ798</f>
        <v>0</v>
      </c>
      <c r="AR816" s="20" t="n">
        <f aca="false">Operations!AR756+Operations!AR798</f>
        <v>0</v>
      </c>
      <c r="AS816" s="20" t="n">
        <f aca="false">Operations!AS756+Operations!AS798</f>
        <v>0</v>
      </c>
      <c r="AT816" s="20" t="n">
        <f aca="false">Operations!AT756+Operations!AT798</f>
        <v>0</v>
      </c>
      <c r="AU816" s="20" t="n">
        <f aca="false">Operations!AU756+Operations!AU798</f>
        <v>0</v>
      </c>
    </row>
    <row r="817" customFormat="false" ht="15" hidden="false" customHeight="false" outlineLevel="0" collapsed="false">
      <c r="D817" s="0" t="s">
        <v>814</v>
      </c>
      <c r="E817" s="0" t="s">
        <v>47</v>
      </c>
      <c r="J817" s="20" t="n">
        <f aca="false">Operations!J757+Operations!J799</f>
        <v>0</v>
      </c>
      <c r="K817" s="20" t="n">
        <f aca="false">Operations!K757+Operations!K799</f>
        <v>0</v>
      </c>
      <c r="L817" s="20" t="n">
        <f aca="false">Operations!L757+Operations!L799</f>
        <v>0.235148370701091</v>
      </c>
      <c r="M817" s="20" t="n">
        <f aca="false">Operations!M757+Operations!M799</f>
        <v>3.47169852123576</v>
      </c>
      <c r="N817" s="20" t="n">
        <f aca="false">Operations!N757+Operations!N799</f>
        <v>3.76156867070296</v>
      </c>
      <c r="O817" s="20" t="n">
        <f aca="false">Operations!O757+Operations!O799</f>
        <v>3.85475252716946</v>
      </c>
      <c r="P817" s="20" t="n">
        <f aca="false">Operations!P757+Operations!P799</f>
        <v>3.86394950743418</v>
      </c>
      <c r="Q817" s="20" t="n">
        <f aca="false">Operations!Q757+Operations!Q799</f>
        <v>3.82732060357171</v>
      </c>
      <c r="R817" s="20" t="n">
        <f aca="false">Operations!R757+Operations!R799</f>
        <v>3.79309356919636</v>
      </c>
      <c r="S817" s="20" t="n">
        <f aca="false">Operations!S757+Operations!S799</f>
        <v>3.72816776595202</v>
      </c>
      <c r="T817" s="20" t="n">
        <f aca="false">Operations!T757+Operations!T799</f>
        <v>10.5930275468515</v>
      </c>
      <c r="U817" s="20" t="n">
        <f aca="false">Operations!U757+Operations!U799</f>
        <v>12.9906632552482</v>
      </c>
      <c r="V817" s="20" t="n">
        <f aca="false">Operations!V757+Operations!V799</f>
        <v>13.0603939472123</v>
      </c>
      <c r="W817" s="20" t="n">
        <f aca="false">Operations!W757+Operations!W799</f>
        <v>19.7037593158411</v>
      </c>
      <c r="X817" s="20" t="n">
        <f aca="false">Operations!X757+Operations!X799</f>
        <v>19.7015462392803</v>
      </c>
      <c r="Y817" s="20" t="n">
        <f aca="false">Operations!Y757+Operations!Y799</f>
        <v>19.7530887155364</v>
      </c>
      <c r="Z817" s="20" t="n">
        <f aca="false">Operations!Z757+Operations!Z799</f>
        <v>19.9305057779855</v>
      </c>
      <c r="AA817" s="20" t="n">
        <f aca="false">Operations!AA757+Operations!AA799</f>
        <v>20.1103997705203</v>
      </c>
      <c r="AB817" s="20" t="n">
        <f aca="false">Operations!AB757+Operations!AB799</f>
        <v>20.2927768326196</v>
      </c>
      <c r="AC817" s="20" t="n">
        <f aca="false">Operations!AC757+Operations!AC799</f>
        <v>20.4759193954956</v>
      </c>
      <c r="AD817" s="20" t="n">
        <f aca="false">Operations!AD757+Operations!AD799</f>
        <v>20.6615140700451</v>
      </c>
      <c r="AE817" s="20" t="n">
        <f aca="false">Operations!AE757+Operations!AE799</f>
        <v>20.84789428577</v>
      </c>
      <c r="AF817" s="20" t="n">
        <f aca="false">Operations!AF757+Operations!AF799</f>
        <v>13.5606533408382</v>
      </c>
      <c r="AG817" s="20" t="n">
        <f aca="false">Operations!AG757+Operations!AG799</f>
        <v>11.2633792491414</v>
      </c>
      <c r="AH817" s="20" t="n">
        <f aca="false">Operations!AH757+Operations!AH799</f>
        <v>11.4419842629492</v>
      </c>
      <c r="AI817" s="20" t="n">
        <f aca="false">Operations!AI757+Operations!AI799</f>
        <v>11.6237880764638</v>
      </c>
      <c r="AJ817" s="20" t="n">
        <f aca="false">Operations!AJ757+Operations!AJ799</f>
        <v>11.8087430101917</v>
      </c>
      <c r="AK817" s="20" t="n">
        <f aca="false">Operations!AK757+Operations!AK799</f>
        <v>11.9968017918203</v>
      </c>
      <c r="AL817" s="20" t="n">
        <f aca="false">Operations!AL757+Operations!AL799</f>
        <v>12.1879175534157</v>
      </c>
      <c r="AM817" s="20" t="n">
        <f aca="false">Operations!AM757+Operations!AM799</f>
        <v>12.382043828637</v>
      </c>
      <c r="AN817" s="20" t="n">
        <f aca="false">Operations!AN757+Operations!AN799</f>
        <v>12.5791345499689</v>
      </c>
      <c r="AO817" s="20" t="n">
        <f aca="false">Operations!AO757+Operations!AO799</f>
        <v>12.7791440459702</v>
      </c>
      <c r="AP817" s="20" t="n">
        <f aca="false">Operations!AP757+Operations!AP799</f>
        <v>12.9820270385394</v>
      </c>
      <c r="AQ817" s="20" t="n">
        <f aca="false">Operations!AQ757+Operations!AQ799</f>
        <v>13.1892906866419</v>
      </c>
      <c r="AR817" s="20" t="n">
        <f aca="false">Operations!AR757+Operations!AR799</f>
        <v>13.3993260279036</v>
      </c>
      <c r="AS817" s="20" t="n">
        <f aca="false">Operations!AS757+Operations!AS799</f>
        <v>13.6120890225018</v>
      </c>
      <c r="AT817" s="20" t="n">
        <f aca="false">Operations!AT757+Operations!AT799</f>
        <v>13.8290695090715</v>
      </c>
      <c r="AU817" s="20" t="n">
        <f aca="false">Operations!AU757+Operations!AU799</f>
        <v>14.0486784452275</v>
      </c>
    </row>
    <row r="818" customFormat="false" ht="15" hidden="false" customHeight="false" outlineLevel="0" collapsed="false">
      <c r="D818" s="0" t="s">
        <v>815</v>
      </c>
      <c r="E818" s="0" t="s">
        <v>47</v>
      </c>
      <c r="J818" s="20" t="n">
        <f aca="false">Operations!J815+Operations!J816+Operations!J817</f>
        <v>0</v>
      </c>
      <c r="K818" s="20" t="n">
        <f aca="false">Operations!K815+Operations!K816+Operations!K817</f>
        <v>0</v>
      </c>
      <c r="L818" s="20" t="n">
        <f aca="false">Operations!L815+Operations!L816+Operations!L817</f>
        <v>7.8657221411929</v>
      </c>
      <c r="M818" s="20" t="n">
        <f aca="false">Operations!M815+Operations!M816+Operations!M817</f>
        <v>20.4741885212358</v>
      </c>
      <c r="N818" s="20" t="n">
        <f aca="false">Operations!N815+Operations!N816+Operations!N817</f>
        <v>20.764058670703</v>
      </c>
      <c r="O818" s="20" t="n">
        <f aca="false">Operations!O815+Operations!O816+Operations!O817</f>
        <v>20.8572425271695</v>
      </c>
      <c r="P818" s="20" t="n">
        <f aca="false">Operations!P815+Operations!P816+Operations!P817</f>
        <v>20.8664395074342</v>
      </c>
      <c r="Q818" s="20" t="n">
        <f aca="false">Operations!Q815+Operations!Q816+Operations!Q817</f>
        <v>20.8298106035717</v>
      </c>
      <c r="R818" s="20" t="n">
        <f aca="false">Operations!R815+Operations!R816+Operations!R817</f>
        <v>20.7955835691964</v>
      </c>
      <c r="S818" s="20" t="n">
        <f aca="false">Operations!S815+Operations!S816+Operations!S817</f>
        <v>20.730657765952</v>
      </c>
      <c r="T818" s="20" t="n">
        <f aca="false">Operations!T815+Operations!T816+Operations!T817</f>
        <v>19.9369929566876</v>
      </c>
      <c r="U818" s="20" t="n">
        <f aca="false">Operations!U815+Operations!U816+Operations!U817</f>
        <v>19.7631532552482</v>
      </c>
      <c r="V818" s="20" t="n">
        <f aca="false">Operations!V815+Operations!V816+Operations!V817</f>
        <v>19.8328839472123</v>
      </c>
      <c r="W818" s="20" t="n">
        <f aca="false">Operations!W815+Operations!W816+Operations!W817</f>
        <v>19.7037593158411</v>
      </c>
      <c r="X818" s="20" t="n">
        <f aca="false">Operations!X815+Operations!X816+Operations!X817</f>
        <v>19.7015462392803</v>
      </c>
      <c r="Y818" s="20" t="n">
        <f aca="false">Operations!Y815+Operations!Y816+Operations!Y817</f>
        <v>19.7530887155364</v>
      </c>
      <c r="Z818" s="20" t="n">
        <f aca="false">Operations!Z815+Operations!Z816+Operations!Z817</f>
        <v>19.9305057779855</v>
      </c>
      <c r="AA818" s="20" t="n">
        <f aca="false">Operations!AA815+Operations!AA816+Operations!AA817</f>
        <v>20.1103997705203</v>
      </c>
      <c r="AB818" s="20" t="n">
        <f aca="false">Operations!AB815+Operations!AB816+Operations!AB817</f>
        <v>20.2927768326196</v>
      </c>
      <c r="AC818" s="20" t="n">
        <f aca="false">Operations!AC815+Operations!AC816+Operations!AC817</f>
        <v>20.4759193954956</v>
      </c>
      <c r="AD818" s="20" t="n">
        <f aca="false">Operations!AD815+Operations!AD816+Operations!AD817</f>
        <v>20.6615140700451</v>
      </c>
      <c r="AE818" s="20" t="n">
        <f aca="false">Operations!AE815+Operations!AE816+Operations!AE817</f>
        <v>20.84789428577</v>
      </c>
      <c r="AF818" s="20" t="n">
        <f aca="false">Operations!AF815+Operations!AF816+Operations!AF817</f>
        <v>13.5606533408382</v>
      </c>
      <c r="AG818" s="20" t="n">
        <f aca="false">Operations!AG815+Operations!AG816+Operations!AG817</f>
        <v>11.2633792491414</v>
      </c>
      <c r="AH818" s="20" t="n">
        <f aca="false">Operations!AH815+Operations!AH816+Operations!AH817</f>
        <v>11.4419842629492</v>
      </c>
      <c r="AI818" s="20" t="n">
        <f aca="false">Operations!AI815+Operations!AI816+Operations!AI817</f>
        <v>11.6237880764638</v>
      </c>
      <c r="AJ818" s="20" t="n">
        <f aca="false">Operations!AJ815+Operations!AJ816+Operations!AJ817</f>
        <v>11.8087430101917</v>
      </c>
      <c r="AK818" s="20" t="n">
        <f aca="false">Operations!AK815+Operations!AK816+Operations!AK817</f>
        <v>11.9968017918203</v>
      </c>
      <c r="AL818" s="20" t="n">
        <f aca="false">Operations!AL815+Operations!AL816+Operations!AL817</f>
        <v>12.1879175534157</v>
      </c>
      <c r="AM818" s="20" t="n">
        <f aca="false">Operations!AM815+Operations!AM816+Operations!AM817</f>
        <v>12.382043828637</v>
      </c>
      <c r="AN818" s="20" t="n">
        <f aca="false">Operations!AN815+Operations!AN816+Operations!AN817</f>
        <v>12.5791345499689</v>
      </c>
      <c r="AO818" s="20" t="n">
        <f aca="false">Operations!AO815+Operations!AO816+Operations!AO817</f>
        <v>12.7791440459702</v>
      </c>
      <c r="AP818" s="20" t="n">
        <f aca="false">Operations!AP815+Operations!AP816+Operations!AP817</f>
        <v>12.9820270385394</v>
      </c>
      <c r="AQ818" s="20" t="n">
        <f aca="false">Operations!AQ815+Operations!AQ816+Operations!AQ817</f>
        <v>13.1892906866419</v>
      </c>
      <c r="AR818" s="20" t="n">
        <f aca="false">Operations!AR815+Operations!AR816+Operations!AR817</f>
        <v>13.3993260279036</v>
      </c>
      <c r="AS818" s="20" t="n">
        <f aca="false">Operations!AS815+Operations!AS816+Operations!AS817</f>
        <v>13.6120890225018</v>
      </c>
      <c r="AT818" s="20" t="n">
        <f aca="false">Operations!AT815+Operations!AT816+Operations!AT817</f>
        <v>13.8290695090715</v>
      </c>
      <c r="AU818" s="20" t="n">
        <f aca="false">Operations!AU815+Operations!AU816+Operations!AU817</f>
        <v>14.0486784452275</v>
      </c>
    </row>
    <row r="819" customFormat="false" ht="15" hidden="false" customHeight="false" outlineLevel="0" collapsed="false">
      <c r="D819" s="0" t="s">
        <v>816</v>
      </c>
      <c r="E819" s="0" t="s">
        <v>47</v>
      </c>
      <c r="G819" s="20" t="n">
        <f aca="false">SUM(J819:AU819)</f>
        <v>1041.95483224388</v>
      </c>
      <c r="J819" s="20" t="n">
        <f aca="false">Operations!J804-Operations!J803</f>
        <v>45.1684519770048</v>
      </c>
      <c r="K819" s="20" t="n">
        <f aca="false">Operations!K804-Operations!K803</f>
        <v>46.1009347157323</v>
      </c>
      <c r="L819" s="20" t="n">
        <f aca="false">Operations!L804-Operations!L803</f>
        <v>41.5593010685761</v>
      </c>
      <c r="M819" s="20" t="n">
        <f aca="false">Operations!M804-Operations!M803</f>
        <v>41.1855109831433</v>
      </c>
      <c r="N819" s="20" t="n">
        <f aca="false">Operations!N804-Operations!N803</f>
        <v>40.4208554401036</v>
      </c>
      <c r="O819" s="20" t="n">
        <f aca="false">Operations!O804-Operations!O803</f>
        <v>38.4088242561507</v>
      </c>
      <c r="P819" s="20" t="n">
        <f aca="false">Operations!P804-Operations!P803</f>
        <v>37.6266449735632</v>
      </c>
      <c r="Q819" s="20" t="n">
        <f aca="false">Operations!Q804-Operations!Q803</f>
        <v>41.5983506374105</v>
      </c>
      <c r="R819" s="20" t="n">
        <f aca="false">Operations!R804-Operations!R803</f>
        <v>44.2451213638772</v>
      </c>
      <c r="S819" s="20" t="n">
        <f aca="false">Operations!S804-Operations!S803</f>
        <v>43.8376822064869</v>
      </c>
      <c r="T819" s="20" t="n">
        <f aca="false">Operations!T804-Operations!T803</f>
        <v>43.4047362032113</v>
      </c>
      <c r="U819" s="20" t="n">
        <f aca="false">Operations!U804-Operations!U803</f>
        <v>44.1736561995024</v>
      </c>
      <c r="V819" s="20" t="n">
        <f aca="false">Operations!V804-Operations!V803</f>
        <v>44.7254630597531</v>
      </c>
      <c r="W819" s="20" t="n">
        <f aca="false">Operations!W804-Operations!W803</f>
        <v>44.0284621369685</v>
      </c>
      <c r="X819" s="20" t="n">
        <f aca="false">Operations!X804-Operations!X803</f>
        <v>43.9654215564518</v>
      </c>
      <c r="Y819" s="20" t="n">
        <f aca="false">Operations!Y804-Operations!Y803</f>
        <v>43.8951304671755</v>
      </c>
      <c r="Z819" s="20" t="n">
        <f aca="false">Operations!Z804-Operations!Z803</f>
        <v>43.8005118371065</v>
      </c>
      <c r="AA819" s="20" t="n">
        <f aca="false">Operations!AA804-Operations!AA803</f>
        <v>43.8315230556726</v>
      </c>
      <c r="AB819" s="20" t="n">
        <f aca="false">Operations!AB804-Operations!AB803</f>
        <v>43.856187299298</v>
      </c>
      <c r="AC819" s="20" t="n">
        <f aca="false">Operations!AC804-Operations!AC803</f>
        <v>43.8578605911225</v>
      </c>
      <c r="AD819" s="20" t="n">
        <f aca="false">Operations!AD804-Operations!AD803</f>
        <v>43.8503361095909</v>
      </c>
      <c r="AE819" s="20" t="n">
        <f aca="false">Operations!AE804-Operations!AE803</f>
        <v>44.0501576158874</v>
      </c>
      <c r="AF819" s="20" t="n">
        <f aca="false">Operations!AF804-Operations!AF803</f>
        <v>22.727973469182</v>
      </c>
      <c r="AG819" s="20" t="n">
        <f aca="false">Operations!AG804-Operations!AG803</f>
        <v>36.4767799198232</v>
      </c>
      <c r="AH819" s="20" t="n">
        <f aca="false">Operations!AH804-Operations!AH803</f>
        <v>36.712641743449</v>
      </c>
      <c r="AI819" s="20" t="n">
        <f aca="false">Operations!AI804-Operations!AI803</f>
        <v>-2.90336705051544</v>
      </c>
      <c r="AJ819" s="20" t="n">
        <f aca="false">Operations!AJ804-Operations!AJ803</f>
        <v>14.5044943004133</v>
      </c>
      <c r="AK819" s="20" t="n">
        <f aca="false">Operations!AK804-Operations!AK803</f>
        <v>-3.66767522084446</v>
      </c>
      <c r="AL819" s="20" t="n">
        <f aca="false">Operations!AL804-Operations!AL803</f>
        <v>7.02055305427179</v>
      </c>
      <c r="AM819" s="20" t="n">
        <f aca="false">Operations!AM804-Operations!AM803</f>
        <v>6.96749040795783</v>
      </c>
      <c r="AN819" s="20" t="n">
        <f aca="false">Operations!AN804-Operations!AN803</f>
        <v>6.90932766536362</v>
      </c>
      <c r="AO819" s="20" t="n">
        <f aca="false">Operations!AO804-Operations!AO803</f>
        <v>6.84570410241628</v>
      </c>
      <c r="AP819" s="20" t="n">
        <f aca="false">Operations!AP804-Operations!AP803</f>
        <v>6.77625337550455</v>
      </c>
      <c r="AQ819" s="20" t="n">
        <f aca="false">Operations!AQ804-Operations!AQ803</f>
        <v>-2.57043616858017</v>
      </c>
      <c r="AR819" s="20" t="n">
        <f aca="false">Operations!AR804-Operations!AR803</f>
        <v>-18.0789456670841</v>
      </c>
      <c r="AS819" s="20" t="n">
        <f aca="false">Operations!AS804-Operations!AS803</f>
        <v>-7.59425659541196</v>
      </c>
      <c r="AT819" s="20" t="n">
        <f aca="false">Operations!AT804-Operations!AT803</f>
        <v>-7.78411301029726</v>
      </c>
      <c r="AU819" s="20" t="n">
        <f aca="false">Operations!AU804-Operations!AU803</f>
        <v>-7.97871583555469</v>
      </c>
    </row>
    <row r="820" customFormat="false" ht="15" hidden="false" customHeight="false" outlineLevel="0" collapsed="false">
      <c r="D820" s="0" t="s">
        <v>817</v>
      </c>
      <c r="E820" s="0" t="s">
        <v>47</v>
      </c>
      <c r="G820" s="20" t="n">
        <f aca="false">SUM(J820:AU820)</f>
        <v>1532.16440562717</v>
      </c>
      <c r="J820" s="20" t="n">
        <f aca="false">Operations!J809-Operations!J803</f>
        <v>45.1684519770048</v>
      </c>
      <c r="K820" s="20" t="n">
        <f aca="false">Operations!K809-Operations!K803</f>
        <v>49.2306710746364</v>
      </c>
      <c r="L820" s="20" t="n">
        <f aca="false">Operations!L809-Operations!L803</f>
        <v>56.8411346121445</v>
      </c>
      <c r="M820" s="20" t="n">
        <f aca="false">Operations!M809-Operations!M803</f>
        <v>65.8945759169238</v>
      </c>
      <c r="N820" s="20" t="n">
        <f aca="false">Operations!N809-Operations!N803</f>
        <v>65.2537689776237</v>
      </c>
      <c r="O820" s="20" t="n">
        <f aca="false">Operations!O809-Operations!O803</f>
        <v>63.1658202142618</v>
      </c>
      <c r="P820" s="20" t="n">
        <f aca="false">Operations!P809-Operations!P803</f>
        <v>61.6901319141478</v>
      </c>
      <c r="Q820" s="20" t="n">
        <f aca="false">Operations!Q809-Operations!Q803</f>
        <v>65.1634690357983</v>
      </c>
      <c r="R820" s="20" t="n">
        <f aca="false">Operations!R809-Operations!R803</f>
        <v>66.08436273699</v>
      </c>
      <c r="S820" s="20" t="n">
        <f aca="false">Operations!S809-Operations!S803</f>
        <v>62.8778833268807</v>
      </c>
      <c r="T820" s="20" t="n">
        <f aca="false">Operations!T809-Operations!T803</f>
        <v>60.9710054500711</v>
      </c>
      <c r="U820" s="20" t="n">
        <f aca="false">Operations!U809-Operations!U803</f>
        <v>61.1492506920541</v>
      </c>
      <c r="V820" s="20" t="n">
        <f aca="false">Operations!V809-Operations!V803</f>
        <v>62.5622851519422</v>
      </c>
      <c r="W820" s="20" t="n">
        <f aca="false">Operations!W809-Operations!W803</f>
        <v>61.6264482464312</v>
      </c>
      <c r="X820" s="20" t="n">
        <f aca="false">Operations!X809-Operations!X803</f>
        <v>61.3694707589228</v>
      </c>
      <c r="Y820" s="20" t="n">
        <f aca="false">Operations!Y809-Operations!Y803</f>
        <v>61.1479616346381</v>
      </c>
      <c r="Z820" s="20" t="n">
        <f aca="false">Operations!Z809-Operations!Z803</f>
        <v>61.0215279121222</v>
      </c>
      <c r="AA820" s="20" t="n">
        <f aca="false">Operations!AA809-Operations!AA803</f>
        <v>61.0180518358065</v>
      </c>
      <c r="AB820" s="20" t="n">
        <f aca="false">Operations!AB809-Operations!AB803</f>
        <v>61.0033420483556</v>
      </c>
      <c r="AC820" s="20" t="n">
        <f aca="false">Operations!AC809-Operations!AC803</f>
        <v>60.9598884919826</v>
      </c>
      <c r="AD820" s="20" t="n">
        <f aca="false">Operations!AD809-Operations!AD803</f>
        <v>60.9041256818734</v>
      </c>
      <c r="AE820" s="20" t="n">
        <f aca="false">Operations!AE809-Operations!AE803</f>
        <v>55.8587474403073</v>
      </c>
      <c r="AF820" s="20" t="n">
        <f aca="false">Operations!AF809-Operations!AF803</f>
        <v>25.8442768269994</v>
      </c>
      <c r="AG820" s="20" t="n">
        <f aca="false">Operations!AG809-Operations!AG803</f>
        <v>43.6079096998585</v>
      </c>
      <c r="AH820" s="20" t="n">
        <f aca="false">Operations!AH809-Operations!AH803</f>
        <v>43.9196109427684</v>
      </c>
      <c r="AI820" s="20" t="n">
        <f aca="false">Operations!AI809-Operations!AI803</f>
        <v>4.38007787614134</v>
      </c>
      <c r="AJ820" s="20" t="n">
        <f aca="false">Operations!AJ809-Operations!AJ803</f>
        <v>21.8649401908358</v>
      </c>
      <c r="AK820" s="20" t="n">
        <f aca="false">Operations!AK809-Operations!AK803</f>
        <v>3.77018461212898</v>
      </c>
      <c r="AL820" s="20" t="n">
        <f aca="false">Operations!AL809-Operations!AL803</f>
        <v>14.5361263223562</v>
      </c>
      <c r="AM820" s="20" t="n">
        <f aca="false">Operations!AM809-Operations!AM803</f>
        <v>14.5609618453642</v>
      </c>
      <c r="AN820" s="20" t="n">
        <f aca="false">Operations!AN809-Operations!AN803</f>
        <v>14.5807659312867</v>
      </c>
      <c r="AO820" s="20" t="n">
        <f aca="false">Operations!AO809-Operations!AO803</f>
        <v>14.5950604187952</v>
      </c>
      <c r="AP820" s="20" t="n">
        <f aca="false">Operations!AP809-Operations!AP803</f>
        <v>14.603360118158</v>
      </c>
      <c r="AQ820" s="20" t="n">
        <f aca="false">Operations!AQ809-Operations!AQ803</f>
        <v>5.33567697167487</v>
      </c>
      <c r="AR820" s="20" t="n">
        <f aca="false">Operations!AR809-Operations!AR803</f>
        <v>-10.0942482153661</v>
      </c>
      <c r="AS820" s="20" t="n">
        <f aca="false">Operations!AS809-Operations!AS803</f>
        <v>0.468479792319108</v>
      </c>
      <c r="AT820" s="20" t="n">
        <f aca="false">Operations!AT809-Operations!AT803</f>
        <v>0.357517487264004</v>
      </c>
      <c r="AU820" s="20" t="n">
        <f aca="false">Operations!AU809-Operations!AU803</f>
        <v>-11.1286703243323</v>
      </c>
    </row>
    <row r="821" customFormat="false" ht="15" hidden="false" customHeight="false" outlineLevel="0" collapsed="false">
      <c r="D821" s="0" t="s">
        <v>818</v>
      </c>
      <c r="E821" s="0" t="s">
        <v>47</v>
      </c>
      <c r="J821" s="20" t="n">
        <f aca="false">Operations!J814</f>
        <v>0</v>
      </c>
      <c r="K821" s="20" t="n">
        <f aca="false">Operations!K814</f>
        <v>0</v>
      </c>
      <c r="L821" s="20" t="n">
        <f aca="false">Operations!L814</f>
        <v>5.95724803106844</v>
      </c>
      <c r="M821" s="20" t="n">
        <f aca="false">Operations!M814</f>
        <v>15.424423658468</v>
      </c>
      <c r="N821" s="20" t="n">
        <f aca="false">Operations!N814</f>
        <v>15.5892151053247</v>
      </c>
      <c r="O821" s="20" t="n">
        <f aca="false">Operations!O814</f>
        <v>15.5552639401109</v>
      </c>
      <c r="P821" s="20" t="n">
        <f aca="false">Operations!P814</f>
        <v>15.4346006846344</v>
      </c>
      <c r="Q821" s="20" t="n">
        <f aca="false">Operations!Q814</f>
        <v>14.4504929188513</v>
      </c>
      <c r="R821" s="20" t="n">
        <f aca="false">Operations!R814</f>
        <v>15.0946758080435</v>
      </c>
      <c r="S821" s="20" t="n">
        <f aca="false">Operations!S814</f>
        <v>14.8902975915808</v>
      </c>
      <c r="T821" s="20" t="n">
        <f aca="false">Operations!T814</f>
        <v>13.9575114170375</v>
      </c>
      <c r="U821" s="20" t="n">
        <f aca="false">Operations!U814</f>
        <v>12.7385327275027</v>
      </c>
      <c r="V821" s="20" t="n">
        <f aca="false">Operations!V814</f>
        <v>13.5565366058264</v>
      </c>
      <c r="W821" s="20" t="n">
        <f aca="false">Operations!W814</f>
        <v>13.2737842612534</v>
      </c>
      <c r="X821" s="20" t="n">
        <f aca="false">Operations!X814</f>
        <v>13.11341954539</v>
      </c>
      <c r="Y821" s="20" t="n">
        <f aca="false">Operations!Y814</f>
        <v>13.0025740842424</v>
      </c>
      <c r="Z821" s="20" t="n">
        <f aca="false">Operations!Z814</f>
        <v>13.0128894342253</v>
      </c>
      <c r="AA821" s="20" t="n">
        <f aca="false">Operations!AA814</f>
        <v>13.0215144535886</v>
      </c>
      <c r="AB821" s="20" t="n">
        <f aca="false">Operations!AB814</f>
        <v>13.0283513931585</v>
      </c>
      <c r="AC821" s="20" t="n">
        <f aca="false">Operations!AC814</f>
        <v>13.031585248552</v>
      </c>
      <c r="AD821" s="20" t="n">
        <f aca="false">Operations!AD814</f>
        <v>13.0327846618073</v>
      </c>
      <c r="AE821" s="20" t="n">
        <f aca="false">Operations!AE814</f>
        <v>13.0301799699154</v>
      </c>
      <c r="AF821" s="20" t="n">
        <f aca="false">Operations!AF814</f>
        <v>3.11630335781738</v>
      </c>
      <c r="AG821" s="20" t="n">
        <f aca="false">Operations!AG814</f>
        <v>7.13112978003527</v>
      </c>
      <c r="AH821" s="20" t="n">
        <f aca="false">Operations!AH814</f>
        <v>7.2069691993194</v>
      </c>
      <c r="AI821" s="20" t="n">
        <f aca="false">Operations!AI814</f>
        <v>7.28344492665678</v>
      </c>
      <c r="AJ821" s="20" t="n">
        <f aca="false">Operations!AJ814</f>
        <v>7.36044589042248</v>
      </c>
      <c r="AK821" s="20" t="n">
        <f aca="false">Operations!AK814</f>
        <v>7.43785983297344</v>
      </c>
      <c r="AL821" s="20" t="n">
        <f aca="false">Operations!AL814</f>
        <v>7.51557326808439</v>
      </c>
      <c r="AM821" s="20" t="n">
        <f aca="false">Operations!AM814</f>
        <v>7.59347143740641</v>
      </c>
      <c r="AN821" s="20" t="n">
        <f aca="false">Operations!AN814</f>
        <v>7.67143826592311</v>
      </c>
      <c r="AO821" s="20" t="n">
        <f aca="false">Operations!AO814</f>
        <v>7.74935631637894</v>
      </c>
      <c r="AP821" s="20" t="n">
        <f aca="false">Operations!AP814</f>
        <v>7.82710674265341</v>
      </c>
      <c r="AQ821" s="20" t="n">
        <f aca="false">Operations!AQ814</f>
        <v>7.90611314025504</v>
      </c>
      <c r="AR821" s="20" t="n">
        <f aca="false">Operations!AR814</f>
        <v>7.98469745171806</v>
      </c>
      <c r="AS821" s="20" t="n">
        <f aca="false">Operations!AS814</f>
        <v>8.06273638773107</v>
      </c>
      <c r="AT821" s="20" t="n">
        <f aca="false">Operations!AT814</f>
        <v>8.14163049756126</v>
      </c>
      <c r="AU821" s="20" t="n">
        <f aca="false">Operations!AU814</f>
        <v>-3.14995448877764</v>
      </c>
    </row>
    <row r="822" customFormat="false" ht="15" hidden="false" customHeight="false" outlineLevel="0" collapsed="false">
      <c r="D822" s="0" t="s">
        <v>819</v>
      </c>
      <c r="E822" s="0" t="s">
        <v>458</v>
      </c>
      <c r="J822" s="14" t="n">
        <f aca="false">IF(Operations!J808=0,0,Operations!J805/Operations!J808)</f>
        <v>0.543200427177876</v>
      </c>
      <c r="K822" s="14" t="n">
        <f aca="false">IF(Operations!K808=0,0,Operations!K805/Operations!K808)</f>
        <v>0.613846842110048</v>
      </c>
      <c r="L822" s="14" t="n">
        <f aca="false">IF(Operations!L808=0,0,Operations!L805/Operations!L808)</f>
        <v>0.642992489595035</v>
      </c>
      <c r="M822" s="14" t="n">
        <f aca="false">IF(Operations!M808=0,0,Operations!M805/Operations!M808)</f>
        <v>0.637364084155824</v>
      </c>
      <c r="N822" s="14" t="n">
        <f aca="false">IF(Operations!N808=0,0,Operations!N805/Operations!N808)</f>
        <v>0.635596078582273</v>
      </c>
      <c r="O822" s="14" t="n">
        <f aca="false">IF(Operations!O808=0,0,Operations!O805/Operations!O808)</f>
        <v>0.6533588420995</v>
      </c>
      <c r="P822" s="14" t="n">
        <f aca="false">IF(Operations!P808=0,0,Operations!P805/Operations!P808)</f>
        <v>0.6602738970006</v>
      </c>
      <c r="Q822" s="14" t="n">
        <f aca="false">IF(Operations!Q808=0,0,Operations!Q805/Operations!Q808)</f>
        <v>0.470511709566324</v>
      </c>
      <c r="R822" s="14" t="n">
        <f aca="false">IF(Operations!R808=0,0,Operations!R805/Operations!R808)</f>
        <v>0.125999598170582</v>
      </c>
      <c r="S822" s="14" t="n">
        <f aca="false">IF(Operations!S808=0,0,Operations!S805/Operations!S808)</f>
        <v>0.12451683402245</v>
      </c>
      <c r="T822" s="14" t="n">
        <f aca="false">IF(Operations!T808=0,0,Operations!T805/Operations!T808)</f>
        <v>0.123057744928739</v>
      </c>
      <c r="U822" s="14" t="n">
        <f aca="false">IF(Operations!U808=0,0,Operations!U805/Operations!U808)</f>
        <v>0.059498013252969</v>
      </c>
      <c r="V822" s="14" t="n">
        <f aca="false">IF(Operations!V808=0,0,Operations!V805/Operations!V808)</f>
        <v>0</v>
      </c>
      <c r="W822" s="14" t="n">
        <f aca="false">IF(Operations!W808=0,0,Operations!W805/Operations!W808)</f>
        <v>0</v>
      </c>
      <c r="X822" s="14" t="n">
        <f aca="false">IF(Operations!X808=0,0,Operations!X805/Operations!X808)</f>
        <v>0</v>
      </c>
      <c r="Y822" s="14" t="n">
        <f aca="false">IF(Operations!Y808=0,0,Operations!Y805/Operations!Y808)</f>
        <v>0</v>
      </c>
      <c r="Z822" s="14" t="n">
        <f aca="false">IF(Operations!Z808=0,0,Operations!Z805/Operations!Z808)</f>
        <v>0</v>
      </c>
      <c r="AA822" s="14" t="n">
        <f aca="false">IF(Operations!AA808=0,0,Operations!AA805/Operations!AA808)</f>
        <v>0</v>
      </c>
      <c r="AB822" s="14" t="n">
        <f aca="false">IF(Operations!AB808=0,0,Operations!AB805/Operations!AB808)</f>
        <v>0</v>
      </c>
      <c r="AC822" s="14" t="n">
        <f aca="false">IF(Operations!AC808=0,0,Operations!AC805/Operations!AC808)</f>
        <v>0</v>
      </c>
      <c r="AD822" s="14" t="n">
        <f aca="false">IF(Operations!AD808=0,0,Operations!AD805/Operations!AD808)</f>
        <v>0</v>
      </c>
      <c r="AE822" s="14" t="n">
        <f aca="false">IF(Operations!AE808=0,0,Operations!AE805/Operations!AE808)</f>
        <v>0</v>
      </c>
      <c r="AF822" s="14" t="n">
        <f aca="false">IF(Operations!AF808=0,0,Operations!AF805/Operations!AF808)</f>
        <v>0</v>
      </c>
      <c r="AG822" s="14" t="n">
        <f aca="false">IF(Operations!AG808=0,0,Operations!AG805/Operations!AG808)</f>
        <v>0</v>
      </c>
      <c r="AH822" s="14" t="n">
        <f aca="false">IF(Operations!AH808=0,0,Operations!AH805/Operations!AH808)</f>
        <v>0</v>
      </c>
      <c r="AI822" s="14" t="n">
        <f aca="false">IF(Operations!AI808=0,0,Operations!AI805/Operations!AI808)</f>
        <v>0</v>
      </c>
      <c r="AJ822" s="14" t="n">
        <f aca="false">IF(Operations!AJ808=0,0,Operations!AJ805/Operations!AJ808)</f>
        <v>0</v>
      </c>
      <c r="AK822" s="14" t="n">
        <f aca="false">IF(Operations!AK808=0,0,Operations!AK805/Operations!AK808)</f>
        <v>0</v>
      </c>
      <c r="AL822" s="14" t="n">
        <f aca="false">IF(Operations!AL808=0,0,Operations!AL805/Operations!AL808)</f>
        <v>0</v>
      </c>
      <c r="AM822" s="14" t="n">
        <f aca="false">IF(Operations!AM808=0,0,Operations!AM805/Operations!AM808)</f>
        <v>0</v>
      </c>
      <c r="AN822" s="14" t="n">
        <f aca="false">IF(Operations!AN808=0,0,Operations!AN805/Operations!AN808)</f>
        <v>0</v>
      </c>
      <c r="AO822" s="14" t="n">
        <f aca="false">IF(Operations!AO808=0,0,Operations!AO805/Operations!AO808)</f>
        <v>0</v>
      </c>
      <c r="AP822" s="14" t="n">
        <f aca="false">IF(Operations!AP808=0,0,Operations!AP805/Operations!AP808)</f>
        <v>0</v>
      </c>
      <c r="AQ822" s="14" t="n">
        <f aca="false">IF(Operations!AQ808=0,0,Operations!AQ805/Operations!AQ808)</f>
        <v>0</v>
      </c>
      <c r="AR822" s="14" t="n">
        <f aca="false">IF(Operations!AR808=0,0,Operations!AR805/Operations!AR808)</f>
        <v>0</v>
      </c>
      <c r="AS822" s="14" t="n">
        <f aca="false">IF(Operations!AS808=0,0,Operations!AS805/Operations!AS808)</f>
        <v>0</v>
      </c>
      <c r="AT822" s="14" t="n">
        <f aca="false">IF(Operations!AT808=0,0,Operations!AT805/Operations!AT808)</f>
        <v>0</v>
      </c>
      <c r="AU822" s="14" t="n">
        <f aca="false">IF(Operations!AU808=0,0,Operations!AU805/Operations!AU808)</f>
        <v>0</v>
      </c>
    </row>
    <row r="823" customFormat="false" ht="15" hidden="false" customHeight="false" outlineLevel="0" collapsed="false">
      <c r="D823" s="0" t="s">
        <v>820</v>
      </c>
      <c r="E823" s="0" t="s">
        <v>458</v>
      </c>
      <c r="J823" s="14" t="n">
        <f aca="false">IF(Operations!J808=0,0,Operations!J806/Operations!J808)</f>
        <v>0.0812132684116145</v>
      </c>
      <c r="K823" s="14" t="n">
        <f aca="false">IF(Operations!K808=0,0,Operations!K806/Operations!K808)</f>
        <v>0.301578054454595</v>
      </c>
      <c r="L823" s="14" t="n">
        <f aca="false">IF(Operations!L808=0,0,Operations!L806/Operations!L808)</f>
        <v>0.317411121896265</v>
      </c>
      <c r="M823" s="14" t="n">
        <f aca="false">IF(Operations!M808=0,0,Operations!M806/Operations!M808)</f>
        <v>0.314938357296417</v>
      </c>
      <c r="N823" s="14" t="n">
        <f aca="false">IF(Operations!N808=0,0,Operations!N806/Operations!N808)</f>
        <v>0.314649127984963</v>
      </c>
      <c r="O823" s="14" t="n">
        <f aca="false">IF(Operations!O808=0,0,Operations!O806/Operations!O808)</f>
        <v>0.221097384734836</v>
      </c>
      <c r="P823" s="14" t="n">
        <f aca="false">IF(Operations!P808=0,0,Operations!P806/Operations!P808)</f>
        <v>0</v>
      </c>
      <c r="Q823" s="14" t="n">
        <f aca="false">IF(Operations!Q808=0,0,Operations!Q806/Operations!Q808)</f>
        <v>0</v>
      </c>
      <c r="R823" s="14" t="n">
        <f aca="false">IF(Operations!R808=0,0,Operations!R806/Operations!R808)</f>
        <v>0</v>
      </c>
      <c r="S823" s="14" t="n">
        <f aca="false">IF(Operations!S808=0,0,Operations!S806/Operations!S808)</f>
        <v>0</v>
      </c>
      <c r="T823" s="14" t="n">
        <f aca="false">IF(Operations!T808=0,0,Operations!T806/Operations!T808)</f>
        <v>0</v>
      </c>
      <c r="U823" s="14" t="n">
        <f aca="false">IF(Operations!U808=0,0,Operations!U806/Operations!U808)</f>
        <v>0</v>
      </c>
      <c r="V823" s="14" t="n">
        <f aca="false">IF(Operations!V808=0,0,Operations!V806/Operations!V808)</f>
        <v>0</v>
      </c>
      <c r="W823" s="14" t="n">
        <f aca="false">IF(Operations!W808=0,0,Operations!W806/Operations!W808)</f>
        <v>0</v>
      </c>
      <c r="X823" s="14" t="n">
        <f aca="false">IF(Operations!X808=0,0,Operations!X806/Operations!X808)</f>
        <v>0</v>
      </c>
      <c r="Y823" s="14" t="n">
        <f aca="false">IF(Operations!Y808=0,0,Operations!Y806/Operations!Y808)</f>
        <v>0</v>
      </c>
      <c r="Z823" s="14" t="n">
        <f aca="false">IF(Operations!Z808=0,0,Operations!Z806/Operations!Z808)</f>
        <v>0</v>
      </c>
      <c r="AA823" s="14" t="n">
        <f aca="false">IF(Operations!AA808=0,0,Operations!AA806/Operations!AA808)</f>
        <v>0</v>
      </c>
      <c r="AB823" s="14" t="n">
        <f aca="false">IF(Operations!AB808=0,0,Operations!AB806/Operations!AB808)</f>
        <v>0</v>
      </c>
      <c r="AC823" s="14" t="n">
        <f aca="false">IF(Operations!AC808=0,0,Operations!AC806/Operations!AC808)</f>
        <v>0</v>
      </c>
      <c r="AD823" s="14" t="n">
        <f aca="false">IF(Operations!AD808=0,0,Operations!AD806/Operations!AD808)</f>
        <v>0</v>
      </c>
      <c r="AE823" s="14" t="n">
        <f aca="false">IF(Operations!AE808=0,0,Operations!AE806/Operations!AE808)</f>
        <v>0</v>
      </c>
      <c r="AF823" s="14" t="n">
        <f aca="false">IF(Operations!AF808=0,0,Operations!AF806/Operations!AF808)</f>
        <v>0</v>
      </c>
      <c r="AG823" s="14" t="n">
        <f aca="false">IF(Operations!AG808=0,0,Operations!AG806/Operations!AG808)</f>
        <v>0</v>
      </c>
      <c r="AH823" s="14" t="n">
        <f aca="false">IF(Operations!AH808=0,0,Operations!AH806/Operations!AH808)</f>
        <v>0</v>
      </c>
      <c r="AI823" s="14" t="n">
        <f aca="false">IF(Operations!AI808=0,0,Operations!AI806/Operations!AI808)</f>
        <v>0</v>
      </c>
      <c r="AJ823" s="14" t="n">
        <f aca="false">IF(Operations!AJ808=0,0,Operations!AJ806/Operations!AJ808)</f>
        <v>0</v>
      </c>
      <c r="AK823" s="14" t="n">
        <f aca="false">IF(Operations!AK808=0,0,Operations!AK806/Operations!AK808)</f>
        <v>0</v>
      </c>
      <c r="AL823" s="14" t="n">
        <f aca="false">IF(Operations!AL808=0,0,Operations!AL806/Operations!AL808)</f>
        <v>0</v>
      </c>
      <c r="AM823" s="14" t="n">
        <f aca="false">IF(Operations!AM808=0,0,Operations!AM806/Operations!AM808)</f>
        <v>0</v>
      </c>
      <c r="AN823" s="14" t="n">
        <f aca="false">IF(Operations!AN808=0,0,Operations!AN806/Operations!AN808)</f>
        <v>0</v>
      </c>
      <c r="AO823" s="14" t="n">
        <f aca="false">IF(Operations!AO808=0,0,Operations!AO806/Operations!AO808)</f>
        <v>0</v>
      </c>
      <c r="AP823" s="14" t="n">
        <f aca="false">IF(Operations!AP808=0,0,Operations!AP806/Operations!AP808)</f>
        <v>0</v>
      </c>
      <c r="AQ823" s="14" t="n">
        <f aca="false">IF(Operations!AQ808=0,0,Operations!AQ806/Operations!AQ808)</f>
        <v>0</v>
      </c>
      <c r="AR823" s="14" t="n">
        <f aca="false">IF(Operations!AR808=0,0,Operations!AR806/Operations!AR808)</f>
        <v>0</v>
      </c>
      <c r="AS823" s="14" t="n">
        <f aca="false">IF(Operations!AS808=0,0,Operations!AS806/Operations!AS808)</f>
        <v>0</v>
      </c>
      <c r="AT823" s="14" t="n">
        <f aca="false">IF(Operations!AT808=0,0,Operations!AT806/Operations!AT808)</f>
        <v>0</v>
      </c>
      <c r="AU823" s="14" t="n">
        <f aca="false">IF(Operations!AU808=0,0,Operations!AU806/Operations!AU808)</f>
        <v>0</v>
      </c>
    </row>
    <row r="824" customFormat="false" ht="15" hidden="false" customHeight="false" outlineLevel="0" collapsed="false">
      <c r="D824" s="0" t="s">
        <v>821</v>
      </c>
      <c r="E824" s="0" t="s">
        <v>458</v>
      </c>
      <c r="J824" s="14" t="n">
        <f aca="false">1-Operations!J822-Operations!J823</f>
        <v>0.37558630441051</v>
      </c>
      <c r="K824" s="14" t="n">
        <f aca="false">1-Operations!K822-Operations!K823</f>
        <v>0.0845751034353564</v>
      </c>
      <c r="L824" s="14" t="n">
        <f aca="false">1-Operations!L822-Operations!L823</f>
        <v>0.0395963885087</v>
      </c>
      <c r="M824" s="14" t="n">
        <f aca="false">1-Operations!M822-Operations!M823</f>
        <v>0.0476975585477598</v>
      </c>
      <c r="N824" s="14" t="n">
        <f aca="false">1-Operations!N822-Operations!N823</f>
        <v>0.0497547934327641</v>
      </c>
      <c r="O824" s="14" t="n">
        <f aca="false">1-Operations!O822-Operations!O823</f>
        <v>0.125543773165664</v>
      </c>
      <c r="P824" s="14" t="n">
        <f aca="false">1-Operations!P822-Operations!P823</f>
        <v>0.3397261029994</v>
      </c>
      <c r="Q824" s="14" t="n">
        <f aca="false">1-Operations!Q822-Operations!Q823</f>
        <v>0.529488290433676</v>
      </c>
      <c r="R824" s="14" t="n">
        <f aca="false">1-Operations!R822-Operations!R823</f>
        <v>0.874000401829419</v>
      </c>
      <c r="S824" s="14" t="n">
        <f aca="false">1-Operations!S822-Operations!S823</f>
        <v>0.87548316597755</v>
      </c>
      <c r="T824" s="14" t="n">
        <f aca="false">1-Operations!T822-Operations!T823</f>
        <v>0.876942255071261</v>
      </c>
      <c r="U824" s="14" t="n">
        <f aca="false">1-Operations!U822-Operations!U823</f>
        <v>0.940501986747031</v>
      </c>
      <c r="V824" s="14" t="n">
        <f aca="false">1-Operations!V822-Operations!V823</f>
        <v>1</v>
      </c>
      <c r="W824" s="14" t="n">
        <f aca="false">1-Operations!W822-Operations!W823</f>
        <v>1</v>
      </c>
      <c r="X824" s="14" t="n">
        <f aca="false">1-Operations!X822-Operations!X823</f>
        <v>1</v>
      </c>
      <c r="Y824" s="14" t="n">
        <f aca="false">1-Operations!Y822-Operations!Y823</f>
        <v>1</v>
      </c>
      <c r="Z824" s="14" t="n">
        <f aca="false">1-Operations!Z822-Operations!Z823</f>
        <v>1</v>
      </c>
      <c r="AA824" s="14" t="n">
        <f aca="false">1-Operations!AA822-Operations!AA823</f>
        <v>1</v>
      </c>
      <c r="AB824" s="14" t="n">
        <f aca="false">1-Operations!AB822-Operations!AB823</f>
        <v>1</v>
      </c>
      <c r="AC824" s="14" t="n">
        <f aca="false">1-Operations!AC822-Operations!AC823</f>
        <v>1</v>
      </c>
      <c r="AD824" s="14" t="n">
        <f aca="false">1-Operations!AD822-Operations!AD823</f>
        <v>1</v>
      </c>
      <c r="AE824" s="14" t="n">
        <f aca="false">1-Operations!AE822-Operations!AE823</f>
        <v>1</v>
      </c>
      <c r="AF824" s="14" t="n">
        <f aca="false">1-Operations!AF822-Operations!AF823</f>
        <v>1</v>
      </c>
      <c r="AG824" s="14" t="n">
        <f aca="false">1-Operations!AG822-Operations!AG823</f>
        <v>1</v>
      </c>
      <c r="AH824" s="14" t="n">
        <f aca="false">1-Operations!AH822-Operations!AH823</f>
        <v>1</v>
      </c>
      <c r="AI824" s="14" t="n">
        <f aca="false">1-Operations!AI822-Operations!AI823</f>
        <v>1</v>
      </c>
      <c r="AJ824" s="14" t="n">
        <f aca="false">1-Operations!AJ822-Operations!AJ823</f>
        <v>1</v>
      </c>
      <c r="AK824" s="14" t="n">
        <f aca="false">1-Operations!AK822-Operations!AK823</f>
        <v>1</v>
      </c>
      <c r="AL824" s="14" t="n">
        <f aca="false">1-Operations!AL822-Operations!AL823</f>
        <v>1</v>
      </c>
      <c r="AM824" s="14" t="n">
        <f aca="false">1-Operations!AM822-Operations!AM823</f>
        <v>1</v>
      </c>
      <c r="AN824" s="14" t="n">
        <f aca="false">1-Operations!AN822-Operations!AN823</f>
        <v>1</v>
      </c>
      <c r="AO824" s="14" t="n">
        <f aca="false">1-Operations!AO822-Operations!AO823</f>
        <v>1</v>
      </c>
      <c r="AP824" s="14" t="n">
        <f aca="false">1-Operations!AP822-Operations!AP823</f>
        <v>1</v>
      </c>
      <c r="AQ824" s="14" t="n">
        <f aca="false">1-Operations!AQ822-Operations!AQ823</f>
        <v>1</v>
      </c>
      <c r="AR824" s="14" t="n">
        <f aca="false">1-Operations!AR822-Operations!AR823</f>
        <v>1</v>
      </c>
      <c r="AS824" s="14" t="n">
        <f aca="false">1-Operations!AS822-Operations!AS823</f>
        <v>1</v>
      </c>
      <c r="AT824" s="14" t="n">
        <f aca="false">1-Operations!AT822-Operations!AT823</f>
        <v>1</v>
      </c>
      <c r="AU824" s="14" t="n">
        <f aca="false">1-Operations!AU822-Operations!AU823</f>
        <v>1</v>
      </c>
    </row>
    <row r="825" customFormat="false" ht="15" hidden="false" customHeight="false" outlineLevel="0" collapsed="false">
      <c r="D825" s="0" t="s">
        <v>822</v>
      </c>
      <c r="E825" s="0" t="s">
        <v>47</v>
      </c>
      <c r="J825" s="20" t="n">
        <f aca="false">Operations!J819*Operations!J822</f>
        <v>24.5355224088724</v>
      </c>
      <c r="K825" s="20" t="n">
        <f aca="false">Operations!K819*Operations!K822</f>
        <v>28.2989131935738</v>
      </c>
      <c r="L825" s="20" t="n">
        <f aca="false">Operations!L819*Operations!L822</f>
        <v>26.7223184599133</v>
      </c>
      <c r="M825" s="20" t="n">
        <f aca="false">Operations!M819*Operations!M822</f>
        <v>26.2501654882608</v>
      </c>
      <c r="N825" s="20" t="n">
        <f aca="false">Operations!N819*Operations!N822</f>
        <v>25.6913372106708</v>
      </c>
      <c r="O825" s="20" t="n">
        <f aca="false">Operations!O819*Operations!O822</f>
        <v>25.0947449424018</v>
      </c>
      <c r="P825" s="20" t="n">
        <f aca="false">Operations!P819*Operations!P822</f>
        <v>24.8438915077526</v>
      </c>
      <c r="Q825" s="20" t="n">
        <f aca="false">Operations!Q819*Operations!Q822</f>
        <v>19.5725110735474</v>
      </c>
      <c r="R825" s="20" t="n">
        <f aca="false">Operations!R819*Operations!R822</f>
        <v>5.57486751285714</v>
      </c>
      <c r="S825" s="20" t="n">
        <f aca="false">Operations!S819*Operations!S822</f>
        <v>5.45852939923404</v>
      </c>
      <c r="T825" s="20" t="n">
        <f aca="false">Operations!T819*Operations!T822</f>
        <v>5.34128895639396</v>
      </c>
      <c r="U825" s="20" t="n">
        <f aca="false">Operations!U819*Operations!U822</f>
        <v>2.62824478199009</v>
      </c>
      <c r="V825" s="20" t="n">
        <f aca="false">Operations!V819*Operations!V822</f>
        <v>0</v>
      </c>
      <c r="W825" s="20" t="n">
        <f aca="false">Operations!W819*Operations!W822</f>
        <v>0</v>
      </c>
      <c r="X825" s="20" t="n">
        <f aca="false">Operations!X819*Operations!X822</f>
        <v>0</v>
      </c>
      <c r="Y825" s="20" t="n">
        <f aca="false">Operations!Y819*Operations!Y822</f>
        <v>0</v>
      </c>
      <c r="Z825" s="20" t="n">
        <f aca="false">Operations!Z819*Operations!Z822</f>
        <v>0</v>
      </c>
      <c r="AA825" s="20" t="n">
        <f aca="false">Operations!AA819*Operations!AA822</f>
        <v>0</v>
      </c>
      <c r="AB825" s="20" t="n">
        <f aca="false">Operations!AB819*Operations!AB822</f>
        <v>0</v>
      </c>
      <c r="AC825" s="20" t="n">
        <f aca="false">Operations!AC819*Operations!AC822</f>
        <v>0</v>
      </c>
      <c r="AD825" s="20" t="n">
        <f aca="false">Operations!AD819*Operations!AD822</f>
        <v>0</v>
      </c>
      <c r="AE825" s="20" t="n">
        <f aca="false">Operations!AE819*Operations!AE822</f>
        <v>0</v>
      </c>
      <c r="AF825" s="20" t="n">
        <f aca="false">Operations!AF819*Operations!AF822</f>
        <v>0</v>
      </c>
      <c r="AG825" s="20" t="n">
        <f aca="false">Operations!AG819*Operations!AG822</f>
        <v>0</v>
      </c>
      <c r="AH825" s="20" t="n">
        <f aca="false">Operations!AH819*Operations!AH822</f>
        <v>0</v>
      </c>
      <c r="AI825" s="20" t="n">
        <f aca="false">Operations!AI819*Operations!AI822</f>
        <v>-0</v>
      </c>
      <c r="AJ825" s="20" t="n">
        <f aca="false">Operations!AJ819*Operations!AJ822</f>
        <v>0</v>
      </c>
      <c r="AK825" s="20" t="n">
        <f aca="false">Operations!AK819*Operations!AK822</f>
        <v>-0</v>
      </c>
      <c r="AL825" s="20" t="n">
        <f aca="false">Operations!AL819*Operations!AL822</f>
        <v>0</v>
      </c>
      <c r="AM825" s="20" t="n">
        <f aca="false">Operations!AM819*Operations!AM822</f>
        <v>0</v>
      </c>
      <c r="AN825" s="20" t="n">
        <f aca="false">Operations!AN819*Operations!AN822</f>
        <v>0</v>
      </c>
      <c r="AO825" s="20" t="n">
        <f aca="false">Operations!AO819*Operations!AO822</f>
        <v>0</v>
      </c>
      <c r="AP825" s="20" t="n">
        <f aca="false">Operations!AP819*Operations!AP822</f>
        <v>0</v>
      </c>
      <c r="AQ825" s="20" t="n">
        <f aca="false">Operations!AQ819*Operations!AQ822</f>
        <v>-0</v>
      </c>
      <c r="AR825" s="20" t="n">
        <f aca="false">Operations!AR819*Operations!AR822</f>
        <v>-0</v>
      </c>
      <c r="AS825" s="20" t="n">
        <f aca="false">Operations!AS819*Operations!AS822</f>
        <v>-0</v>
      </c>
      <c r="AT825" s="20" t="n">
        <f aca="false">Operations!AT819*Operations!AT822</f>
        <v>-0</v>
      </c>
      <c r="AU825" s="20" t="n">
        <f aca="false">Operations!AU819*Operations!AU822</f>
        <v>-0</v>
      </c>
    </row>
    <row r="826" customFormat="false" ht="15" hidden="false" customHeight="false" outlineLevel="0" collapsed="false">
      <c r="D826" s="0" t="s">
        <v>823</v>
      </c>
      <c r="E826" s="0" t="s">
        <v>47</v>
      </c>
      <c r="J826" s="20" t="n">
        <f aca="false">Operations!J819*Operations!J823</f>
        <v>3.66827761414561</v>
      </c>
      <c r="K826" s="20" t="n">
        <f aca="false">Operations!K819*Operations!K823</f>
        <v>13.9030302001089</v>
      </c>
      <c r="L826" s="20" t="n">
        <f aca="false">Operations!L819*Operations!L823</f>
        <v>13.1913843774014</v>
      </c>
      <c r="M826" s="20" t="n">
        <f aca="false">Operations!M819*Operations!M823</f>
        <v>12.9708971734447</v>
      </c>
      <c r="N826" s="20" t="n">
        <f aca="false">Operations!N819*Operations!N823</f>
        <v>12.7183869166349</v>
      </c>
      <c r="O826" s="20" t="n">
        <f aca="false">Operations!O819*Operations!O823</f>
        <v>8.49209059377486</v>
      </c>
      <c r="P826" s="20" t="n">
        <f aca="false">Operations!P819*Operations!P823</f>
        <v>0</v>
      </c>
      <c r="Q826" s="20" t="n">
        <f aca="false">Operations!Q819*Operations!Q823</f>
        <v>0</v>
      </c>
      <c r="R826" s="20" t="n">
        <f aca="false">Operations!R819*Operations!R823</f>
        <v>0</v>
      </c>
      <c r="S826" s="20" t="n">
        <f aca="false">Operations!S819*Operations!S823</f>
        <v>0</v>
      </c>
      <c r="T826" s="20" t="n">
        <f aca="false">Operations!T819*Operations!T823</f>
        <v>0</v>
      </c>
      <c r="U826" s="20" t="n">
        <f aca="false">Operations!U819*Operations!U823</f>
        <v>0</v>
      </c>
      <c r="V826" s="20" t="n">
        <f aca="false">Operations!V819*Operations!V823</f>
        <v>0</v>
      </c>
      <c r="W826" s="20" t="n">
        <f aca="false">Operations!W819*Operations!W823</f>
        <v>0</v>
      </c>
      <c r="X826" s="20" t="n">
        <f aca="false">Operations!X819*Operations!X823</f>
        <v>0</v>
      </c>
      <c r="Y826" s="20" t="n">
        <f aca="false">Operations!Y819*Operations!Y823</f>
        <v>0</v>
      </c>
      <c r="Z826" s="20" t="n">
        <f aca="false">Operations!Z819*Operations!Z823</f>
        <v>0</v>
      </c>
      <c r="AA826" s="20" t="n">
        <f aca="false">Operations!AA819*Operations!AA823</f>
        <v>0</v>
      </c>
      <c r="AB826" s="20" t="n">
        <f aca="false">Operations!AB819*Operations!AB823</f>
        <v>0</v>
      </c>
      <c r="AC826" s="20" t="n">
        <f aca="false">Operations!AC819*Operations!AC823</f>
        <v>0</v>
      </c>
      <c r="AD826" s="20" t="n">
        <f aca="false">Operations!AD819*Operations!AD823</f>
        <v>0</v>
      </c>
      <c r="AE826" s="20" t="n">
        <f aca="false">Operations!AE819*Operations!AE823</f>
        <v>0</v>
      </c>
      <c r="AF826" s="20" t="n">
        <f aca="false">Operations!AF819*Operations!AF823</f>
        <v>0</v>
      </c>
      <c r="AG826" s="20" t="n">
        <f aca="false">Operations!AG819*Operations!AG823</f>
        <v>0</v>
      </c>
      <c r="AH826" s="20" t="n">
        <f aca="false">Operations!AH819*Operations!AH823</f>
        <v>0</v>
      </c>
      <c r="AI826" s="20" t="n">
        <f aca="false">Operations!AI819*Operations!AI823</f>
        <v>-0</v>
      </c>
      <c r="AJ826" s="20" t="n">
        <f aca="false">Operations!AJ819*Operations!AJ823</f>
        <v>0</v>
      </c>
      <c r="AK826" s="20" t="n">
        <f aca="false">Operations!AK819*Operations!AK823</f>
        <v>-0</v>
      </c>
      <c r="AL826" s="20" t="n">
        <f aca="false">Operations!AL819*Operations!AL823</f>
        <v>0</v>
      </c>
      <c r="AM826" s="20" t="n">
        <f aca="false">Operations!AM819*Operations!AM823</f>
        <v>0</v>
      </c>
      <c r="AN826" s="20" t="n">
        <f aca="false">Operations!AN819*Operations!AN823</f>
        <v>0</v>
      </c>
      <c r="AO826" s="20" t="n">
        <f aca="false">Operations!AO819*Operations!AO823</f>
        <v>0</v>
      </c>
      <c r="AP826" s="20" t="n">
        <f aca="false">Operations!AP819*Operations!AP823</f>
        <v>0</v>
      </c>
      <c r="AQ826" s="20" t="n">
        <f aca="false">Operations!AQ819*Operations!AQ823</f>
        <v>-0</v>
      </c>
      <c r="AR826" s="20" t="n">
        <f aca="false">Operations!AR819*Operations!AR823</f>
        <v>-0</v>
      </c>
      <c r="AS826" s="20" t="n">
        <f aca="false">Operations!AS819*Operations!AS823</f>
        <v>-0</v>
      </c>
      <c r="AT826" s="20" t="n">
        <f aca="false">Operations!AT819*Operations!AT823</f>
        <v>-0</v>
      </c>
      <c r="AU826" s="20" t="n">
        <f aca="false">Operations!AU819*Operations!AU823</f>
        <v>-0</v>
      </c>
    </row>
    <row r="827" customFormat="false" ht="15" hidden="false" customHeight="false" outlineLevel="0" collapsed="false">
      <c r="D827" s="0" t="s">
        <v>824</v>
      </c>
      <c r="E827" s="0" t="s">
        <v>47</v>
      </c>
      <c r="J827" s="20" t="n">
        <f aca="false">Operations!J819*Operations!J824</f>
        <v>16.9646519539868</v>
      </c>
      <c r="K827" s="20" t="n">
        <f aca="false">Operations!K819*Operations!K824</f>
        <v>3.89899132204967</v>
      </c>
      <c r="L827" s="20" t="n">
        <f aca="false">Operations!L819*Operations!L824</f>
        <v>1.64559823126137</v>
      </c>
      <c r="M827" s="20" t="n">
        <f aca="false">Operations!M819*Operations!M824</f>
        <v>1.96444832143788</v>
      </c>
      <c r="N827" s="20" t="n">
        <f aca="false">Operations!N819*Operations!N824</f>
        <v>2.01113131279797</v>
      </c>
      <c r="O827" s="20" t="n">
        <f aca="false">Operations!O819*Operations!O824</f>
        <v>4.82198871997405</v>
      </c>
      <c r="P827" s="20" t="n">
        <f aca="false">Operations!P819*Operations!P824</f>
        <v>12.7827534658106</v>
      </c>
      <c r="Q827" s="20" t="n">
        <f aca="false">Operations!Q819*Operations!Q824</f>
        <v>22.0258395638631</v>
      </c>
      <c r="R827" s="20" t="n">
        <f aca="false">Operations!R819*Operations!R824</f>
        <v>38.6702538510201</v>
      </c>
      <c r="S827" s="20" t="n">
        <f aca="false">Operations!S819*Operations!S824</f>
        <v>38.3791528072529</v>
      </c>
      <c r="T827" s="20" t="n">
        <f aca="false">Operations!T819*Operations!T824</f>
        <v>38.0634472468173</v>
      </c>
      <c r="U827" s="20" t="n">
        <f aca="false">Operations!U819*Operations!U824</f>
        <v>41.5454114175123</v>
      </c>
      <c r="V827" s="20" t="n">
        <f aca="false">Operations!V819*Operations!V824</f>
        <v>44.7254630597531</v>
      </c>
      <c r="W827" s="20" t="n">
        <f aca="false">Operations!W819*Operations!W824</f>
        <v>44.0284621369685</v>
      </c>
      <c r="X827" s="20" t="n">
        <f aca="false">Operations!X819*Operations!X824</f>
        <v>43.9654215564518</v>
      </c>
      <c r="Y827" s="20" t="n">
        <f aca="false">Operations!Y819*Operations!Y824</f>
        <v>43.8951304671755</v>
      </c>
      <c r="Z827" s="20" t="n">
        <f aca="false">Operations!Z819*Operations!Z824</f>
        <v>43.8005118371065</v>
      </c>
      <c r="AA827" s="20" t="n">
        <f aca="false">Operations!AA819*Operations!AA824</f>
        <v>43.8315230556726</v>
      </c>
      <c r="AB827" s="20" t="n">
        <f aca="false">Operations!AB819*Operations!AB824</f>
        <v>43.856187299298</v>
      </c>
      <c r="AC827" s="20" t="n">
        <f aca="false">Operations!AC819*Operations!AC824</f>
        <v>43.8578605911225</v>
      </c>
      <c r="AD827" s="20" t="n">
        <f aca="false">Operations!AD819*Operations!AD824</f>
        <v>43.8503361095909</v>
      </c>
      <c r="AE827" s="20" t="n">
        <f aca="false">Operations!AE819*Operations!AE824</f>
        <v>44.0501576158874</v>
      </c>
      <c r="AF827" s="20" t="n">
        <f aca="false">Operations!AF819*Operations!AF824</f>
        <v>22.727973469182</v>
      </c>
      <c r="AG827" s="20" t="n">
        <f aca="false">Operations!AG819*Operations!AG824</f>
        <v>36.4767799198232</v>
      </c>
      <c r="AH827" s="20" t="n">
        <f aca="false">Operations!AH819*Operations!AH824</f>
        <v>36.712641743449</v>
      </c>
      <c r="AI827" s="20" t="n">
        <f aca="false">Operations!AI819*Operations!AI824</f>
        <v>-2.90336705051544</v>
      </c>
      <c r="AJ827" s="20" t="n">
        <f aca="false">Operations!AJ819*Operations!AJ824</f>
        <v>14.5044943004133</v>
      </c>
      <c r="AK827" s="20" t="n">
        <f aca="false">Operations!AK819*Operations!AK824</f>
        <v>-3.66767522084446</v>
      </c>
      <c r="AL827" s="20" t="n">
        <f aca="false">Operations!AL819*Operations!AL824</f>
        <v>7.02055305427179</v>
      </c>
      <c r="AM827" s="20" t="n">
        <f aca="false">Operations!AM819*Operations!AM824</f>
        <v>6.96749040795783</v>
      </c>
      <c r="AN827" s="20" t="n">
        <f aca="false">Operations!AN819*Operations!AN824</f>
        <v>6.90932766536362</v>
      </c>
      <c r="AO827" s="20" t="n">
        <f aca="false">Operations!AO819*Operations!AO824</f>
        <v>6.84570410241628</v>
      </c>
      <c r="AP827" s="20" t="n">
        <f aca="false">Operations!AP819*Operations!AP824</f>
        <v>6.77625337550455</v>
      </c>
      <c r="AQ827" s="20" t="n">
        <f aca="false">Operations!AQ819*Operations!AQ824</f>
        <v>-2.57043616858017</v>
      </c>
      <c r="AR827" s="20" t="n">
        <f aca="false">Operations!AR819*Operations!AR824</f>
        <v>-18.0789456670841</v>
      </c>
      <c r="AS827" s="20" t="n">
        <f aca="false">Operations!AS819*Operations!AS824</f>
        <v>-7.59425659541196</v>
      </c>
      <c r="AT827" s="20" t="n">
        <f aca="false">Operations!AT819*Operations!AT824</f>
        <v>-7.78411301029726</v>
      </c>
      <c r="AU827" s="20" t="n">
        <f aca="false">Operations!AU819*Operations!AU824</f>
        <v>-7.97871583555469</v>
      </c>
    </row>
    <row r="828" customFormat="false" ht="15" hidden="false" customHeight="false" outlineLevel="0" collapsed="false">
      <c r="D828" s="0" t="s">
        <v>825</v>
      </c>
      <c r="E828" s="0" t="s">
        <v>458</v>
      </c>
      <c r="J828" s="14" t="n">
        <f aca="false">IF(Operations!J813=0,0,Operations!J810/Operations!J813)</f>
        <v>0.543200427177876</v>
      </c>
      <c r="K828" s="14" t="n">
        <f aca="false">IF(Operations!K813=0,0,Operations!K810/Operations!K813)</f>
        <v>0.630646902666902</v>
      </c>
      <c r="L828" s="14" t="n">
        <f aca="false">IF(Operations!L813=0,0,Operations!L810/Operations!L813)</f>
        <v>0.710872219138611</v>
      </c>
      <c r="M828" s="14" t="n">
        <f aca="false">IF(Operations!M813=0,0,Operations!M810/Operations!M813)</f>
        <v>0.648054432233164</v>
      </c>
      <c r="N828" s="14" t="n">
        <f aca="false">IF(Operations!N813=0,0,Operations!N810/Operations!N813)</f>
        <v>0.645071823330352</v>
      </c>
      <c r="O828" s="14" t="n">
        <f aca="false">IF(Operations!O813=0,0,Operations!O810/Operations!O813)</f>
        <v>0.657133888945657</v>
      </c>
      <c r="P828" s="14" t="n">
        <f aca="false">IF(Operations!P813=0,0,Operations!P810/Operations!P813)</f>
        <v>0.661953969246613</v>
      </c>
      <c r="Q828" s="14" t="n">
        <f aca="false">IF(Operations!Q813=0,0,Operations!Q810/Operations!Q813)</f>
        <v>0.525379208594752</v>
      </c>
      <c r="R828" s="14" t="n">
        <f aca="false">IF(Operations!R813=0,0,Operations!R810/Operations!R813)</f>
        <v>0.23087639853114</v>
      </c>
      <c r="S828" s="14" t="n">
        <f aca="false">IF(Operations!S813=0,0,Operations!S810/Operations!S813)</f>
        <v>0.184005946875735</v>
      </c>
      <c r="T828" s="14" t="n">
        <f aca="false">IF(Operations!T813=0,0,Operations!T810/Operations!T813)</f>
        <v>0.117517436873877</v>
      </c>
      <c r="U828" s="14" t="n">
        <f aca="false">IF(Operations!U813=0,0,Operations!U810/Operations!U813)</f>
        <v>0.0463288806189294</v>
      </c>
      <c r="V828" s="14" t="n">
        <f aca="false">IF(Operations!V813=0,0,Operations!V810/Operations!V813)</f>
        <v>0</v>
      </c>
      <c r="W828" s="14" t="n">
        <f aca="false">IF(Operations!W813=0,0,Operations!W810/Operations!W813)</f>
        <v>0</v>
      </c>
      <c r="X828" s="14" t="n">
        <f aca="false">IF(Operations!X813=0,0,Operations!X810/Operations!X813)</f>
        <v>0</v>
      </c>
      <c r="Y828" s="14" t="n">
        <f aca="false">IF(Operations!Y813=0,0,Operations!Y810/Operations!Y813)</f>
        <v>0</v>
      </c>
      <c r="Z828" s="14" t="n">
        <f aca="false">IF(Operations!Z813=0,0,Operations!Z810/Operations!Z813)</f>
        <v>0</v>
      </c>
      <c r="AA828" s="14" t="n">
        <f aca="false">IF(Operations!AA813=0,0,Operations!AA810/Operations!AA813)</f>
        <v>0</v>
      </c>
      <c r="AB828" s="14" t="n">
        <f aca="false">IF(Operations!AB813=0,0,Operations!AB810/Operations!AB813)</f>
        <v>0</v>
      </c>
      <c r="AC828" s="14" t="n">
        <f aca="false">IF(Operations!AC813=0,0,Operations!AC810/Operations!AC813)</f>
        <v>0</v>
      </c>
      <c r="AD828" s="14" t="n">
        <f aca="false">IF(Operations!AD813=0,0,Operations!AD810/Operations!AD813)</f>
        <v>0</v>
      </c>
      <c r="AE828" s="14" t="n">
        <f aca="false">IF(Operations!AE813=0,0,Operations!AE810/Operations!AE813)</f>
        <v>0</v>
      </c>
      <c r="AF828" s="14" t="n">
        <f aca="false">IF(Operations!AF813=0,0,Operations!AF810/Operations!AF813)</f>
        <v>0</v>
      </c>
      <c r="AG828" s="14" t="n">
        <f aca="false">IF(Operations!AG813=0,0,Operations!AG810/Operations!AG813)</f>
        <v>0</v>
      </c>
      <c r="AH828" s="14" t="n">
        <f aca="false">IF(Operations!AH813=0,0,Operations!AH810/Operations!AH813)</f>
        <v>0</v>
      </c>
      <c r="AI828" s="14" t="n">
        <f aca="false">IF(Operations!AI813=0,0,Operations!AI810/Operations!AI813)</f>
        <v>0</v>
      </c>
      <c r="AJ828" s="14" t="n">
        <f aca="false">IF(Operations!AJ813=0,0,Operations!AJ810/Operations!AJ813)</f>
        <v>0</v>
      </c>
      <c r="AK828" s="14" t="n">
        <f aca="false">IF(Operations!AK813=0,0,Operations!AK810/Operations!AK813)</f>
        <v>0</v>
      </c>
      <c r="AL828" s="14" t="n">
        <f aca="false">IF(Operations!AL813=0,0,Operations!AL810/Operations!AL813)</f>
        <v>0</v>
      </c>
      <c r="AM828" s="14" t="n">
        <f aca="false">IF(Operations!AM813=0,0,Operations!AM810/Operations!AM813)</f>
        <v>0</v>
      </c>
      <c r="AN828" s="14" t="n">
        <f aca="false">IF(Operations!AN813=0,0,Operations!AN810/Operations!AN813)</f>
        <v>0</v>
      </c>
      <c r="AO828" s="14" t="n">
        <f aca="false">IF(Operations!AO813=0,0,Operations!AO810/Operations!AO813)</f>
        <v>0</v>
      </c>
      <c r="AP828" s="14" t="n">
        <f aca="false">IF(Operations!AP813=0,0,Operations!AP810/Operations!AP813)</f>
        <v>0</v>
      </c>
      <c r="AQ828" s="14" t="n">
        <f aca="false">IF(Operations!AQ813=0,0,Operations!AQ810/Operations!AQ813)</f>
        <v>0</v>
      </c>
      <c r="AR828" s="14" t="n">
        <f aca="false">IF(Operations!AR813=0,0,Operations!AR810/Operations!AR813)</f>
        <v>0</v>
      </c>
      <c r="AS828" s="14" t="n">
        <f aca="false">IF(Operations!AS813=0,0,Operations!AS810/Operations!AS813)</f>
        <v>0</v>
      </c>
      <c r="AT828" s="14" t="n">
        <f aca="false">IF(Operations!AT813=0,0,Operations!AT810/Operations!AT813)</f>
        <v>0</v>
      </c>
      <c r="AU828" s="14" t="n">
        <f aca="false">IF(Operations!AU813=0,0,Operations!AU810/Operations!AU813)</f>
        <v>0</v>
      </c>
    </row>
    <row r="829" customFormat="false" ht="15" hidden="false" customHeight="false" outlineLevel="0" collapsed="false">
      <c r="D829" s="0" t="s">
        <v>826</v>
      </c>
      <c r="E829" s="0" t="s">
        <v>458</v>
      </c>
      <c r="J829" s="14" t="n">
        <f aca="false">IF(Operations!J813=0,0,Operations!J811/Operations!J813)</f>
        <v>0.0812132684116145</v>
      </c>
      <c r="K829" s="14" t="n">
        <f aca="false">IF(Operations!K813=0,0,Operations!K811/Operations!K813)</f>
        <v>0.288457536147455</v>
      </c>
      <c r="L829" s="14" t="n">
        <f aca="false">IF(Operations!L813=0,0,Operations!L811/Operations!L813)</f>
        <v>0.254874380963334</v>
      </c>
      <c r="M829" s="14" t="n">
        <f aca="false">IF(Operations!M813=0,0,Operations!M811/Operations!M813)</f>
        <v>0.286114708776575</v>
      </c>
      <c r="N829" s="14" t="n">
        <f aca="false">IF(Operations!N813=0,0,Operations!N811/Operations!N813)</f>
        <v>0.285168084582351</v>
      </c>
      <c r="O829" s="14" t="n">
        <f aca="false">IF(Operations!O813=0,0,Operations!O811/Operations!O813)</f>
        <v>0.218635436570657</v>
      </c>
      <c r="P829" s="14" t="n">
        <f aca="false">IF(Operations!P813=0,0,Operations!P811/Operations!P813)</f>
        <v>0.0623032464455916</v>
      </c>
      <c r="Q829" s="14" t="n">
        <f aca="false">IF(Operations!Q813=0,0,Operations!Q811/Operations!Q813)</f>
        <v>0.0595199333925753</v>
      </c>
      <c r="R829" s="14" t="n">
        <f aca="false">IF(Operations!R813=0,0,Operations!R811/Operations!R813)</f>
        <v>0.0574810710297173</v>
      </c>
      <c r="S829" s="14" t="n">
        <f aca="false">IF(Operations!S813=0,0,Operations!S811/Operations!S813)</f>
        <v>0.0584618919030374</v>
      </c>
      <c r="T829" s="14" t="n">
        <f aca="false">IF(Operations!T813=0,0,Operations!T811/Operations!T813)</f>
        <v>0.0584880225637984</v>
      </c>
      <c r="U829" s="14" t="n">
        <f aca="false">IF(Operations!U813=0,0,Operations!U811/Operations!U813)</f>
        <v>0.0575909025783831</v>
      </c>
      <c r="V829" s="14" t="n">
        <f aca="false">IF(Operations!V813=0,0,Operations!V811/Operations!V813)</f>
        <v>0.0566955193805837</v>
      </c>
      <c r="W829" s="14" t="n">
        <f aca="false">IF(Operations!W813=0,0,Operations!W811/Operations!W813)</f>
        <v>0</v>
      </c>
      <c r="X829" s="14" t="n">
        <f aca="false">IF(Operations!X813=0,0,Operations!X811/Operations!X813)</f>
        <v>0</v>
      </c>
      <c r="Y829" s="14" t="n">
        <f aca="false">IF(Operations!Y813=0,0,Operations!Y811/Operations!Y813)</f>
        <v>0</v>
      </c>
      <c r="Z829" s="14" t="n">
        <f aca="false">IF(Operations!Z813=0,0,Operations!Z811/Operations!Z813)</f>
        <v>0</v>
      </c>
      <c r="AA829" s="14" t="n">
        <f aca="false">IF(Operations!AA813=0,0,Operations!AA811/Operations!AA813)</f>
        <v>0</v>
      </c>
      <c r="AB829" s="14" t="n">
        <f aca="false">IF(Operations!AB813=0,0,Operations!AB811/Operations!AB813)</f>
        <v>0</v>
      </c>
      <c r="AC829" s="14" t="n">
        <f aca="false">IF(Operations!AC813=0,0,Operations!AC811/Operations!AC813)</f>
        <v>0</v>
      </c>
      <c r="AD829" s="14" t="n">
        <f aca="false">IF(Operations!AD813=0,0,Operations!AD811/Operations!AD813)</f>
        <v>0</v>
      </c>
      <c r="AE829" s="14" t="n">
        <f aca="false">IF(Operations!AE813=0,0,Operations!AE811/Operations!AE813)</f>
        <v>0</v>
      </c>
      <c r="AF829" s="14" t="n">
        <f aca="false">IF(Operations!AF813=0,0,Operations!AF811/Operations!AF813)</f>
        <v>0</v>
      </c>
      <c r="AG829" s="14" t="n">
        <f aca="false">IF(Operations!AG813=0,0,Operations!AG811/Operations!AG813)</f>
        <v>0</v>
      </c>
      <c r="AH829" s="14" t="n">
        <f aca="false">IF(Operations!AH813=0,0,Operations!AH811/Operations!AH813)</f>
        <v>0</v>
      </c>
      <c r="AI829" s="14" t="n">
        <f aca="false">IF(Operations!AI813=0,0,Operations!AI811/Operations!AI813)</f>
        <v>0</v>
      </c>
      <c r="AJ829" s="14" t="n">
        <f aca="false">IF(Operations!AJ813=0,0,Operations!AJ811/Operations!AJ813)</f>
        <v>0</v>
      </c>
      <c r="AK829" s="14" t="n">
        <f aca="false">IF(Operations!AK813=0,0,Operations!AK811/Operations!AK813)</f>
        <v>0</v>
      </c>
      <c r="AL829" s="14" t="n">
        <f aca="false">IF(Operations!AL813=0,0,Operations!AL811/Operations!AL813)</f>
        <v>0</v>
      </c>
      <c r="AM829" s="14" t="n">
        <f aca="false">IF(Operations!AM813=0,0,Operations!AM811/Operations!AM813)</f>
        <v>0</v>
      </c>
      <c r="AN829" s="14" t="n">
        <f aca="false">IF(Operations!AN813=0,0,Operations!AN811/Operations!AN813)</f>
        <v>0</v>
      </c>
      <c r="AO829" s="14" t="n">
        <f aca="false">IF(Operations!AO813=0,0,Operations!AO811/Operations!AO813)</f>
        <v>0</v>
      </c>
      <c r="AP829" s="14" t="n">
        <f aca="false">IF(Operations!AP813=0,0,Operations!AP811/Operations!AP813)</f>
        <v>0</v>
      </c>
      <c r="AQ829" s="14" t="n">
        <f aca="false">IF(Operations!AQ813=0,0,Operations!AQ811/Operations!AQ813)</f>
        <v>0</v>
      </c>
      <c r="AR829" s="14" t="n">
        <f aca="false">IF(Operations!AR813=0,0,Operations!AR811/Operations!AR813)</f>
        <v>0</v>
      </c>
      <c r="AS829" s="14" t="n">
        <f aca="false">IF(Operations!AS813=0,0,Operations!AS811/Operations!AS813)</f>
        <v>0</v>
      </c>
      <c r="AT829" s="14" t="n">
        <f aca="false">IF(Operations!AT813=0,0,Operations!AT811/Operations!AT813)</f>
        <v>0</v>
      </c>
      <c r="AU829" s="14" t="n">
        <f aca="false">IF(Operations!AU813=0,0,Operations!AU811/Operations!AU813)</f>
        <v>0</v>
      </c>
    </row>
    <row r="830" customFormat="false" ht="15" hidden="false" customHeight="false" outlineLevel="0" collapsed="false">
      <c r="D830" s="0" t="s">
        <v>827</v>
      </c>
      <c r="E830" s="0" t="s">
        <v>458</v>
      </c>
      <c r="J830" s="14" t="n">
        <f aca="false">1-Operations!J828-Operations!J829</f>
        <v>0.37558630441051</v>
      </c>
      <c r="K830" s="14" t="n">
        <f aca="false">1-Operations!K828-Operations!K829</f>
        <v>0.0808955611856434</v>
      </c>
      <c r="L830" s="14" t="n">
        <f aca="false">1-Operations!L828-Operations!L829</f>
        <v>0.0342533998980553</v>
      </c>
      <c r="M830" s="14" t="n">
        <f aca="false">1-Operations!M828-Operations!M829</f>
        <v>0.0658308589902611</v>
      </c>
      <c r="N830" s="14" t="n">
        <f aca="false">1-Operations!N828-Operations!N829</f>
        <v>0.0697600920872973</v>
      </c>
      <c r="O830" s="14" t="n">
        <f aca="false">1-Operations!O828-Operations!O829</f>
        <v>0.124230674483685</v>
      </c>
      <c r="P830" s="14" t="n">
        <f aca="false">1-Operations!P828-Operations!P829</f>
        <v>0.275742784307796</v>
      </c>
      <c r="Q830" s="14" t="n">
        <f aca="false">1-Operations!Q828-Operations!Q829</f>
        <v>0.415100858012673</v>
      </c>
      <c r="R830" s="14" t="n">
        <f aca="false">1-Operations!R828-Operations!R829</f>
        <v>0.711642530439143</v>
      </c>
      <c r="S830" s="14" t="n">
        <f aca="false">1-Operations!S828-Operations!S829</f>
        <v>0.757532161221227</v>
      </c>
      <c r="T830" s="14" t="n">
        <f aca="false">1-Operations!T828-Operations!T829</f>
        <v>0.823994540562324</v>
      </c>
      <c r="U830" s="14" t="n">
        <f aca="false">1-Operations!U828-Operations!U829</f>
        <v>0.896080216802688</v>
      </c>
      <c r="V830" s="14" t="n">
        <f aca="false">1-Operations!V828-Operations!V829</f>
        <v>0.943304480619416</v>
      </c>
      <c r="W830" s="14" t="n">
        <f aca="false">1-Operations!W828-Operations!W829</f>
        <v>1</v>
      </c>
      <c r="X830" s="14" t="n">
        <f aca="false">1-Operations!X828-Operations!X829</f>
        <v>1</v>
      </c>
      <c r="Y830" s="14" t="n">
        <f aca="false">1-Operations!Y828-Operations!Y829</f>
        <v>1</v>
      </c>
      <c r="Z830" s="14" t="n">
        <f aca="false">1-Operations!Z828-Operations!Z829</f>
        <v>1</v>
      </c>
      <c r="AA830" s="14" t="n">
        <f aca="false">1-Operations!AA828-Operations!AA829</f>
        <v>1</v>
      </c>
      <c r="AB830" s="14" t="n">
        <f aca="false">1-Operations!AB828-Operations!AB829</f>
        <v>1</v>
      </c>
      <c r="AC830" s="14" t="n">
        <f aca="false">1-Operations!AC828-Operations!AC829</f>
        <v>1</v>
      </c>
      <c r="AD830" s="14" t="n">
        <f aca="false">1-Operations!AD828-Operations!AD829</f>
        <v>1</v>
      </c>
      <c r="AE830" s="14" t="n">
        <f aca="false">1-Operations!AE828-Operations!AE829</f>
        <v>1</v>
      </c>
      <c r="AF830" s="14" t="n">
        <f aca="false">1-Operations!AF828-Operations!AF829</f>
        <v>1</v>
      </c>
      <c r="AG830" s="14" t="n">
        <f aca="false">1-Operations!AG828-Operations!AG829</f>
        <v>1</v>
      </c>
      <c r="AH830" s="14" t="n">
        <f aca="false">1-Operations!AH828-Operations!AH829</f>
        <v>1</v>
      </c>
      <c r="AI830" s="14" t="n">
        <f aca="false">1-Operations!AI828-Operations!AI829</f>
        <v>1</v>
      </c>
      <c r="AJ830" s="14" t="n">
        <f aca="false">1-Operations!AJ828-Operations!AJ829</f>
        <v>1</v>
      </c>
      <c r="AK830" s="14" t="n">
        <f aca="false">1-Operations!AK828-Operations!AK829</f>
        <v>1</v>
      </c>
      <c r="AL830" s="14" t="n">
        <f aca="false">1-Operations!AL828-Operations!AL829</f>
        <v>1</v>
      </c>
      <c r="AM830" s="14" t="n">
        <f aca="false">1-Operations!AM828-Operations!AM829</f>
        <v>1</v>
      </c>
      <c r="AN830" s="14" t="n">
        <f aca="false">1-Operations!AN828-Operations!AN829</f>
        <v>1</v>
      </c>
      <c r="AO830" s="14" t="n">
        <f aca="false">1-Operations!AO828-Operations!AO829</f>
        <v>1</v>
      </c>
      <c r="AP830" s="14" t="n">
        <f aca="false">1-Operations!AP828-Operations!AP829</f>
        <v>1</v>
      </c>
      <c r="AQ830" s="14" t="n">
        <f aca="false">1-Operations!AQ828-Operations!AQ829</f>
        <v>1</v>
      </c>
      <c r="AR830" s="14" t="n">
        <f aca="false">1-Operations!AR828-Operations!AR829</f>
        <v>1</v>
      </c>
      <c r="AS830" s="14" t="n">
        <f aca="false">1-Operations!AS828-Operations!AS829</f>
        <v>1</v>
      </c>
      <c r="AT830" s="14" t="n">
        <f aca="false">1-Operations!AT828-Operations!AT829</f>
        <v>1</v>
      </c>
      <c r="AU830" s="14" t="n">
        <f aca="false">1-Operations!AU828-Operations!AU829</f>
        <v>1</v>
      </c>
    </row>
    <row r="831" customFormat="false" ht="15" hidden="false" customHeight="false" outlineLevel="0" collapsed="false">
      <c r="D831" s="0" t="s">
        <v>828</v>
      </c>
      <c r="E831" s="0" t="s">
        <v>47</v>
      </c>
      <c r="J831" s="20" t="n">
        <f aca="false">Operations!J820*Operations!J828</f>
        <v>24.5355224088724</v>
      </c>
      <c r="K831" s="20" t="n">
        <f aca="false">Operations!K820*Operations!K828</f>
        <v>31.0471702294325</v>
      </c>
      <c r="L831" s="20" t="n">
        <f aca="false">Operations!L820*Operations!L828</f>
        <v>40.4067835000917</v>
      </c>
      <c r="M831" s="20" t="n">
        <f aca="false">Operations!M820*Operations!M828</f>
        <v>42.7032719830872</v>
      </c>
      <c r="N831" s="20" t="n">
        <f aca="false">Operations!N820*Operations!N828</f>
        <v>42.0933677335732</v>
      </c>
      <c r="O831" s="20" t="n">
        <f aca="false">Operations!O820*Operations!O828</f>
        <v>41.5084010858401</v>
      </c>
      <c r="P831" s="20" t="n">
        <f aca="false">Operations!P820*Operations!P828</f>
        <v>40.8360276839173</v>
      </c>
      <c r="Q831" s="20" t="n">
        <f aca="false">Operations!Q820*Operations!Q828</f>
        <v>34.2355317913163</v>
      </c>
      <c r="R831" s="20" t="n">
        <f aca="false">Operations!R820*Operations!R828</f>
        <v>15.2573196679417</v>
      </c>
      <c r="S831" s="20" t="n">
        <f aca="false">Operations!S820*Operations!S828</f>
        <v>11.5699044591047</v>
      </c>
      <c r="T831" s="20" t="n">
        <f aca="false">Operations!T820*Operations!T828</f>
        <v>7.16515628411556</v>
      </c>
      <c r="U831" s="20" t="n">
        <f aca="false">Operations!U820*Operations!U828</f>
        <v>2.83297633524916</v>
      </c>
      <c r="V831" s="20" t="n">
        <f aca="false">Operations!V820*Operations!V828</f>
        <v>0</v>
      </c>
      <c r="W831" s="20" t="n">
        <f aca="false">Operations!W820*Operations!W828</f>
        <v>0</v>
      </c>
      <c r="X831" s="20" t="n">
        <f aca="false">Operations!X820*Operations!X828</f>
        <v>0</v>
      </c>
      <c r="Y831" s="20" t="n">
        <f aca="false">Operations!Y820*Operations!Y828</f>
        <v>0</v>
      </c>
      <c r="Z831" s="20" t="n">
        <f aca="false">Operations!Z820*Operations!Z828</f>
        <v>0</v>
      </c>
      <c r="AA831" s="20" t="n">
        <f aca="false">Operations!AA820*Operations!AA828</f>
        <v>0</v>
      </c>
      <c r="AB831" s="20" t="n">
        <f aca="false">Operations!AB820*Operations!AB828</f>
        <v>0</v>
      </c>
      <c r="AC831" s="20" t="n">
        <f aca="false">Operations!AC820*Operations!AC828</f>
        <v>0</v>
      </c>
      <c r="AD831" s="20" t="n">
        <f aca="false">Operations!AD820*Operations!AD828</f>
        <v>0</v>
      </c>
      <c r="AE831" s="20" t="n">
        <f aca="false">Operations!AE820*Operations!AE828</f>
        <v>0</v>
      </c>
      <c r="AF831" s="20" t="n">
        <f aca="false">Operations!AF820*Operations!AF828</f>
        <v>0</v>
      </c>
      <c r="AG831" s="20" t="n">
        <f aca="false">Operations!AG820*Operations!AG828</f>
        <v>0</v>
      </c>
      <c r="AH831" s="20" t="n">
        <f aca="false">Operations!AH820*Operations!AH828</f>
        <v>0</v>
      </c>
      <c r="AI831" s="20" t="n">
        <f aca="false">Operations!AI820*Operations!AI828</f>
        <v>0</v>
      </c>
      <c r="AJ831" s="20" t="n">
        <f aca="false">Operations!AJ820*Operations!AJ828</f>
        <v>0</v>
      </c>
      <c r="AK831" s="20" t="n">
        <f aca="false">Operations!AK820*Operations!AK828</f>
        <v>0</v>
      </c>
      <c r="AL831" s="20" t="n">
        <f aca="false">Operations!AL820*Operations!AL828</f>
        <v>0</v>
      </c>
      <c r="AM831" s="20" t="n">
        <f aca="false">Operations!AM820*Operations!AM828</f>
        <v>0</v>
      </c>
      <c r="AN831" s="20" t="n">
        <f aca="false">Operations!AN820*Operations!AN828</f>
        <v>0</v>
      </c>
      <c r="AO831" s="20" t="n">
        <f aca="false">Operations!AO820*Operations!AO828</f>
        <v>0</v>
      </c>
      <c r="AP831" s="20" t="n">
        <f aca="false">Operations!AP820*Operations!AP828</f>
        <v>0</v>
      </c>
      <c r="AQ831" s="20" t="n">
        <f aca="false">Operations!AQ820*Operations!AQ828</f>
        <v>0</v>
      </c>
      <c r="AR831" s="20" t="n">
        <f aca="false">Operations!AR820*Operations!AR828</f>
        <v>-0</v>
      </c>
      <c r="AS831" s="20" t="n">
        <f aca="false">Operations!AS820*Operations!AS828</f>
        <v>0</v>
      </c>
      <c r="AT831" s="20" t="n">
        <f aca="false">Operations!AT820*Operations!AT828</f>
        <v>0</v>
      </c>
      <c r="AU831" s="20" t="n">
        <f aca="false">Operations!AU820*Operations!AU828</f>
        <v>-0</v>
      </c>
    </row>
    <row r="832" customFormat="false" ht="15" hidden="false" customHeight="false" outlineLevel="0" collapsed="false">
      <c r="D832" s="0" t="s">
        <v>829</v>
      </c>
      <c r="E832" s="0" t="s">
        <v>47</v>
      </c>
      <c r="J832" s="20" t="n">
        <f aca="false">Operations!J820*Operations!J829</f>
        <v>3.66827761414561</v>
      </c>
      <c r="K832" s="20" t="n">
        <f aca="false">Operations!K820*Operations!K829</f>
        <v>14.2009580810754</v>
      </c>
      <c r="L832" s="20" t="n">
        <f aca="false">Operations!L820*Operations!L829</f>
        <v>14.4873489975239</v>
      </c>
      <c r="M832" s="20" t="n">
        <f aca="false">Operations!M820*Operations!M829</f>
        <v>18.8534073984266</v>
      </c>
      <c r="N832" s="20" t="n">
        <f aca="false">Operations!N820*Operations!N829</f>
        <v>18.6082923111282</v>
      </c>
      <c r="O832" s="20" t="n">
        <f aca="false">Operations!O820*Operations!O829</f>
        <v>13.8102866788888</v>
      </c>
      <c r="P832" s="20" t="n">
        <f aca="false">Operations!P820*Operations!P829</f>
        <v>3.8434954919082</v>
      </c>
      <c r="Q832" s="20" t="n">
        <f aca="false">Operations!Q820*Operations!Q829</f>
        <v>3.87852533663986</v>
      </c>
      <c r="R832" s="20" t="n">
        <f aca="false">Operations!R820*Operations!R829</f>
        <v>3.79859994843853</v>
      </c>
      <c r="S832" s="20" t="n">
        <f aca="false">Operations!S820*Operations!S829</f>
        <v>3.6759600181479</v>
      </c>
      <c r="T832" s="20" t="n">
        <f aca="false">Operations!T820*Operations!T829</f>
        <v>3.56607354250123</v>
      </c>
      <c r="U832" s="20" t="n">
        <f aca="false">Operations!U820*Operations!U829</f>
        <v>3.52164053934721</v>
      </c>
      <c r="V832" s="20" t="n">
        <f aca="false">Operations!V820*Operations!V829</f>
        <v>3.54700125032555</v>
      </c>
      <c r="W832" s="20" t="n">
        <f aca="false">Operations!W820*Operations!W829</f>
        <v>0</v>
      </c>
      <c r="X832" s="20" t="n">
        <f aca="false">Operations!X820*Operations!X829</f>
        <v>0</v>
      </c>
      <c r="Y832" s="20" t="n">
        <f aca="false">Operations!Y820*Operations!Y829</f>
        <v>0</v>
      </c>
      <c r="Z832" s="20" t="n">
        <f aca="false">Operations!Z820*Operations!Z829</f>
        <v>0</v>
      </c>
      <c r="AA832" s="20" t="n">
        <f aca="false">Operations!AA820*Operations!AA829</f>
        <v>0</v>
      </c>
      <c r="AB832" s="20" t="n">
        <f aca="false">Operations!AB820*Operations!AB829</f>
        <v>0</v>
      </c>
      <c r="AC832" s="20" t="n">
        <f aca="false">Operations!AC820*Operations!AC829</f>
        <v>0</v>
      </c>
      <c r="AD832" s="20" t="n">
        <f aca="false">Operations!AD820*Operations!AD829</f>
        <v>0</v>
      </c>
      <c r="AE832" s="20" t="n">
        <f aca="false">Operations!AE820*Operations!AE829</f>
        <v>0</v>
      </c>
      <c r="AF832" s="20" t="n">
        <f aca="false">Operations!AF820*Operations!AF829</f>
        <v>0</v>
      </c>
      <c r="AG832" s="20" t="n">
        <f aca="false">Operations!AG820*Operations!AG829</f>
        <v>0</v>
      </c>
      <c r="AH832" s="20" t="n">
        <f aca="false">Operations!AH820*Operations!AH829</f>
        <v>0</v>
      </c>
      <c r="AI832" s="20" t="n">
        <f aca="false">Operations!AI820*Operations!AI829</f>
        <v>0</v>
      </c>
      <c r="AJ832" s="20" t="n">
        <f aca="false">Operations!AJ820*Operations!AJ829</f>
        <v>0</v>
      </c>
      <c r="AK832" s="20" t="n">
        <f aca="false">Operations!AK820*Operations!AK829</f>
        <v>0</v>
      </c>
      <c r="AL832" s="20" t="n">
        <f aca="false">Operations!AL820*Operations!AL829</f>
        <v>0</v>
      </c>
      <c r="AM832" s="20" t="n">
        <f aca="false">Operations!AM820*Operations!AM829</f>
        <v>0</v>
      </c>
      <c r="AN832" s="20" t="n">
        <f aca="false">Operations!AN820*Operations!AN829</f>
        <v>0</v>
      </c>
      <c r="AO832" s="20" t="n">
        <f aca="false">Operations!AO820*Operations!AO829</f>
        <v>0</v>
      </c>
      <c r="AP832" s="20" t="n">
        <f aca="false">Operations!AP820*Operations!AP829</f>
        <v>0</v>
      </c>
      <c r="AQ832" s="20" t="n">
        <f aca="false">Operations!AQ820*Operations!AQ829</f>
        <v>0</v>
      </c>
      <c r="AR832" s="20" t="n">
        <f aca="false">Operations!AR820*Operations!AR829</f>
        <v>-0</v>
      </c>
      <c r="AS832" s="20" t="n">
        <f aca="false">Operations!AS820*Operations!AS829</f>
        <v>0</v>
      </c>
      <c r="AT832" s="20" t="n">
        <f aca="false">Operations!AT820*Operations!AT829</f>
        <v>0</v>
      </c>
      <c r="AU832" s="20" t="n">
        <f aca="false">Operations!AU820*Operations!AU829</f>
        <v>-0</v>
      </c>
    </row>
    <row r="833" customFormat="false" ht="15" hidden="false" customHeight="false" outlineLevel="0" collapsed="false">
      <c r="D833" s="0" t="s">
        <v>830</v>
      </c>
      <c r="E833" s="0" t="s">
        <v>47</v>
      </c>
      <c r="J833" s="20" t="n">
        <f aca="false">Operations!J820*Operations!J830</f>
        <v>16.9646519539868</v>
      </c>
      <c r="K833" s="20" t="n">
        <f aca="false">Operations!K820*Operations!K830</f>
        <v>3.98254276412853</v>
      </c>
      <c r="L833" s="20" t="n">
        <f aca="false">Operations!L820*Operations!L830</f>
        <v>1.94700211452898</v>
      </c>
      <c r="M833" s="20" t="n">
        <f aca="false">Operations!M820*Operations!M830</f>
        <v>4.33789653541007</v>
      </c>
      <c r="N833" s="20" t="n">
        <f aca="false">Operations!N820*Operations!N830</f>
        <v>4.55210893292225</v>
      </c>
      <c r="O833" s="20" t="n">
        <f aca="false">Operations!O820*Operations!O830</f>
        <v>7.84713244953295</v>
      </c>
      <c r="P833" s="20" t="n">
        <f aca="false">Operations!P820*Operations!P830</f>
        <v>17.0106087383223</v>
      </c>
      <c r="Q833" s="20" t="n">
        <f aca="false">Operations!Q820*Operations!Q830</f>
        <v>27.0494119078421</v>
      </c>
      <c r="R833" s="20" t="n">
        <f aca="false">Operations!R820*Operations!R830</f>
        <v>47.0284431206098</v>
      </c>
      <c r="S833" s="20" t="n">
        <f aca="false">Operations!S820*Operations!S830</f>
        <v>47.6320188496281</v>
      </c>
      <c r="T833" s="20" t="n">
        <f aca="false">Operations!T820*Operations!T830</f>
        <v>50.2397756234543</v>
      </c>
      <c r="U833" s="20" t="n">
        <f aca="false">Operations!U820*Operations!U830</f>
        <v>54.7946338174577</v>
      </c>
      <c r="V833" s="20" t="n">
        <f aca="false">Operations!V820*Operations!V830</f>
        <v>59.0152839016167</v>
      </c>
      <c r="W833" s="20" t="n">
        <f aca="false">Operations!W820*Operations!W830</f>
        <v>61.6264482464312</v>
      </c>
      <c r="X833" s="20" t="n">
        <f aca="false">Operations!X820*Operations!X830</f>
        <v>61.3694707589228</v>
      </c>
      <c r="Y833" s="20" t="n">
        <f aca="false">Operations!Y820*Operations!Y830</f>
        <v>61.1479616346381</v>
      </c>
      <c r="Z833" s="20" t="n">
        <f aca="false">Operations!Z820*Operations!Z830</f>
        <v>61.0215279121222</v>
      </c>
      <c r="AA833" s="20" t="n">
        <f aca="false">Operations!AA820*Operations!AA830</f>
        <v>61.0180518358065</v>
      </c>
      <c r="AB833" s="20" t="n">
        <f aca="false">Operations!AB820*Operations!AB830</f>
        <v>61.0033420483556</v>
      </c>
      <c r="AC833" s="20" t="n">
        <f aca="false">Operations!AC820*Operations!AC830</f>
        <v>60.9598884919826</v>
      </c>
      <c r="AD833" s="20" t="n">
        <f aca="false">Operations!AD820*Operations!AD830</f>
        <v>60.9041256818734</v>
      </c>
      <c r="AE833" s="20" t="n">
        <f aca="false">Operations!AE820*Operations!AE830</f>
        <v>55.8587474403073</v>
      </c>
      <c r="AF833" s="20" t="n">
        <f aca="false">Operations!AF820*Operations!AF830</f>
        <v>25.8442768269994</v>
      </c>
      <c r="AG833" s="20" t="n">
        <f aca="false">Operations!AG820*Operations!AG830</f>
        <v>43.6079096998585</v>
      </c>
      <c r="AH833" s="20" t="n">
        <f aca="false">Operations!AH820*Operations!AH830</f>
        <v>43.9196109427684</v>
      </c>
      <c r="AI833" s="20" t="n">
        <f aca="false">Operations!AI820*Operations!AI830</f>
        <v>4.38007787614134</v>
      </c>
      <c r="AJ833" s="20" t="n">
        <f aca="false">Operations!AJ820*Operations!AJ830</f>
        <v>21.8649401908358</v>
      </c>
      <c r="AK833" s="20" t="n">
        <f aca="false">Operations!AK820*Operations!AK830</f>
        <v>3.77018461212898</v>
      </c>
      <c r="AL833" s="20" t="n">
        <f aca="false">Operations!AL820*Operations!AL830</f>
        <v>14.5361263223562</v>
      </c>
      <c r="AM833" s="20" t="n">
        <f aca="false">Operations!AM820*Operations!AM830</f>
        <v>14.5609618453642</v>
      </c>
      <c r="AN833" s="20" t="n">
        <f aca="false">Operations!AN820*Operations!AN830</f>
        <v>14.5807659312867</v>
      </c>
      <c r="AO833" s="20" t="n">
        <f aca="false">Operations!AO820*Operations!AO830</f>
        <v>14.5950604187952</v>
      </c>
      <c r="AP833" s="20" t="n">
        <f aca="false">Operations!AP820*Operations!AP830</f>
        <v>14.603360118158</v>
      </c>
      <c r="AQ833" s="20" t="n">
        <f aca="false">Operations!AQ820*Operations!AQ830</f>
        <v>5.33567697167487</v>
      </c>
      <c r="AR833" s="20" t="n">
        <f aca="false">Operations!AR820*Operations!AR830</f>
        <v>-10.0942482153661</v>
      </c>
      <c r="AS833" s="20" t="n">
        <f aca="false">Operations!AS820*Operations!AS830</f>
        <v>0.468479792319108</v>
      </c>
      <c r="AT833" s="20" t="n">
        <f aca="false">Operations!AT820*Operations!AT830</f>
        <v>0.357517487264004</v>
      </c>
      <c r="AU833" s="20" t="n">
        <f aca="false">Operations!AU820*Operations!AU830</f>
        <v>-11.1286703243323</v>
      </c>
    </row>
    <row r="835" customFormat="false" ht="15" hidden="false" customHeight="false" outlineLevel="0" collapsed="false">
      <c r="A835" s="4" t="s">
        <v>833</v>
      </c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</row>
    <row r="836" customFormat="false" ht="15" hidden="false" customHeight="false" outlineLevel="0" collapsed="false">
      <c r="D836" s="0" t="s">
        <v>440</v>
      </c>
      <c r="E836" s="0" t="s">
        <v>17</v>
      </c>
      <c r="F836" s="16" t="n">
        <f aca="false">Inputs!$F$16</f>
        <v>1</v>
      </c>
    </row>
    <row r="837" customFormat="false" ht="15" hidden="false" customHeight="false" outlineLevel="0" collapsed="false">
      <c r="D837" s="0" t="s">
        <v>441</v>
      </c>
      <c r="E837" s="0" t="s">
        <v>17</v>
      </c>
      <c r="F837" s="16" t="n">
        <f aca="false">Inputs!$F$18</f>
        <v>4</v>
      </c>
    </row>
    <row r="838" customFormat="false" ht="15" hidden="false" customHeight="false" outlineLevel="0" collapsed="false">
      <c r="D838" s="0" t="s">
        <v>442</v>
      </c>
      <c r="E838" s="0" t="s">
        <v>22</v>
      </c>
      <c r="F838" s="17" t="n">
        <f aca="false">Inputs!$F$19</f>
        <v>0</v>
      </c>
    </row>
    <row r="839" customFormat="false" ht="15" hidden="false" customHeight="false" outlineLevel="0" collapsed="false">
      <c r="D839" s="0" t="s">
        <v>443</v>
      </c>
      <c r="E839" s="0" t="s">
        <v>25</v>
      </c>
      <c r="F839" s="17" t="n">
        <f aca="false">Inputs!$F$19</f>
        <v>0</v>
      </c>
    </row>
    <row r="840" customFormat="false" ht="15" hidden="false" customHeight="false" outlineLevel="0" collapsed="false">
      <c r="D840" s="0" t="s">
        <v>444</v>
      </c>
      <c r="E840" s="0" t="s">
        <v>27</v>
      </c>
      <c r="F840" s="17" t="n">
        <f aca="false">Inputs!$F$20</f>
        <v>1</v>
      </c>
    </row>
    <row r="841" customFormat="false" ht="15" hidden="false" customHeight="false" outlineLevel="0" collapsed="false">
      <c r="D841" s="0" t="s">
        <v>445</v>
      </c>
      <c r="E841" s="0" t="s">
        <v>17</v>
      </c>
      <c r="F841" s="12" t="n">
        <f aca="false">IF(Inputs!$F$19=1,2,Operations!$F$836)</f>
        <v>1</v>
      </c>
    </row>
    <row r="842" customFormat="false" ht="15" hidden="false" customHeight="false" outlineLevel="0" collapsed="false">
      <c r="D842" s="0" t="s">
        <v>446</v>
      </c>
      <c r="E842" s="0" t="s">
        <v>96</v>
      </c>
      <c r="J842" s="18" t="n">
        <f aca="false">CHOOSE(Operations!$F$836,Inputs!J74,Inputs!J75,Inputs!J76)</f>
        <v>74.6</v>
      </c>
      <c r="K842" s="18" t="n">
        <f aca="false">CHOOSE(Operations!$F$836,Inputs!K74,Inputs!K75,Inputs!K76)</f>
        <v>61.2</v>
      </c>
      <c r="L842" s="18" t="n">
        <f aca="false">CHOOSE(Operations!$F$836,Inputs!L74,Inputs!L75,Inputs!L76)</f>
        <v>30.1</v>
      </c>
      <c r="M842" s="18" t="n">
        <f aca="false">CHOOSE(Operations!$F$836,Inputs!M74,Inputs!M75,Inputs!M76)</f>
        <v>39.8</v>
      </c>
      <c r="N842" s="18" t="n">
        <f aca="false">CHOOSE(Operations!$F$836,Inputs!N74,Inputs!N75,Inputs!N76)</f>
        <v>44.6</v>
      </c>
      <c r="O842" s="18" t="n">
        <f aca="false">CHOOSE(Operations!$F$836,Inputs!O74,Inputs!O75,Inputs!O76)</f>
        <v>47.3</v>
      </c>
      <c r="P842" s="18" t="n">
        <f aca="false">CHOOSE(Operations!$F$836,Inputs!P74,Inputs!P75,Inputs!P76)</f>
        <v>49.1</v>
      </c>
      <c r="Q842" s="18" t="n">
        <f aca="false">CHOOSE(Operations!$F$836,Inputs!Q74,Inputs!Q75,Inputs!Q76)</f>
        <v>50.4</v>
      </c>
      <c r="R842" s="18" t="n">
        <f aca="false">CHOOSE(Operations!$F$836,Inputs!R74,Inputs!R75,Inputs!R76)</f>
        <v>51.8</v>
      </c>
      <c r="S842" s="18" t="n">
        <f aca="false">CHOOSE(Operations!$F$836,Inputs!S74,Inputs!S75,Inputs!S76)</f>
        <v>52.84</v>
      </c>
      <c r="T842" s="18" t="n">
        <f aca="false">CHOOSE(Operations!$F$836,Inputs!T74,Inputs!T75,Inputs!T76)</f>
        <v>53.9</v>
      </c>
      <c r="U842" s="18" t="n">
        <f aca="false">CHOOSE(Operations!$F$836,Inputs!U74,Inputs!U75,Inputs!U76)</f>
        <v>54.98</v>
      </c>
      <c r="V842" s="18" t="n">
        <f aca="false">CHOOSE(Operations!$F$836,Inputs!V74,Inputs!V75,Inputs!V76)</f>
        <v>56.08</v>
      </c>
      <c r="W842" s="18" t="n">
        <f aca="false">CHOOSE(Operations!$F$836,Inputs!W74,Inputs!W75,Inputs!W76)</f>
        <v>57.2</v>
      </c>
      <c r="X842" s="18" t="n">
        <f aca="false">CHOOSE(Operations!$F$836,Inputs!X74,Inputs!X75,Inputs!X76)</f>
        <v>58.34</v>
      </c>
      <c r="Y842" s="18" t="n">
        <f aca="false">CHOOSE(Operations!$F$836,Inputs!Y74,Inputs!Y75,Inputs!Y76)</f>
        <v>59.51</v>
      </c>
      <c r="Z842" s="18" t="n">
        <f aca="false">CHOOSE(Operations!$F$836,Inputs!Z74,Inputs!Z75,Inputs!Z76)</f>
        <v>60.7</v>
      </c>
      <c r="AA842" s="18" t="n">
        <f aca="false">CHOOSE(Operations!$F$836,Inputs!AA74,Inputs!AA75,Inputs!AA76)</f>
        <v>61.91</v>
      </c>
      <c r="AB842" s="18" t="n">
        <f aca="false">CHOOSE(Operations!$F$836,Inputs!AB74,Inputs!AB75,Inputs!AB76)</f>
        <v>63.15</v>
      </c>
      <c r="AC842" s="18" t="n">
        <f aca="false">CHOOSE(Operations!$F$836,Inputs!AC74,Inputs!AC75,Inputs!AC76)</f>
        <v>64.41</v>
      </c>
      <c r="AD842" s="18" t="n">
        <f aca="false">CHOOSE(Operations!$F$836,Inputs!AD74,Inputs!AD75,Inputs!AD76)</f>
        <v>65.7</v>
      </c>
      <c r="AE842" s="18" t="n">
        <f aca="false">CHOOSE(Operations!$F$836,Inputs!AE74,Inputs!AE75,Inputs!AE76)</f>
        <v>67.01</v>
      </c>
      <c r="AF842" s="18" t="n">
        <f aca="false">CHOOSE(Operations!$F$836,Inputs!AF74,Inputs!AF75,Inputs!AF76)</f>
        <v>68.35</v>
      </c>
      <c r="AG842" s="18" t="n">
        <f aca="false">CHOOSE(Operations!$F$836,Inputs!AG74,Inputs!AG75,Inputs!AG76)</f>
        <v>69.72</v>
      </c>
      <c r="AH842" s="18" t="n">
        <f aca="false">CHOOSE(Operations!$F$836,Inputs!AH74,Inputs!AH75,Inputs!AH76)</f>
        <v>71.11</v>
      </c>
      <c r="AI842" s="18" t="n">
        <f aca="false">CHOOSE(Operations!$F$836,Inputs!AI74,Inputs!AI75,Inputs!AI76)</f>
        <v>72.53</v>
      </c>
      <c r="AJ842" s="18" t="n">
        <f aca="false">CHOOSE(Operations!$F$836,Inputs!AJ74,Inputs!AJ75,Inputs!AJ76)</f>
        <v>73.98</v>
      </c>
      <c r="AK842" s="18" t="n">
        <f aca="false">CHOOSE(Operations!$F$836,Inputs!AK74,Inputs!AK75,Inputs!AK76)</f>
        <v>75.46</v>
      </c>
      <c r="AL842" s="18" t="n">
        <f aca="false">CHOOSE(Operations!$F$836,Inputs!AL74,Inputs!AL75,Inputs!AL76)</f>
        <v>76.97</v>
      </c>
      <c r="AM842" s="18" t="n">
        <f aca="false">CHOOSE(Operations!$F$836,Inputs!AM74,Inputs!AM75,Inputs!AM76)</f>
        <v>78.51</v>
      </c>
      <c r="AN842" s="18" t="n">
        <f aca="false">CHOOSE(Operations!$F$836,Inputs!AN74,Inputs!AN75,Inputs!AN76)</f>
        <v>80.08</v>
      </c>
      <c r="AO842" s="18" t="n">
        <f aca="false">CHOOSE(Operations!$F$836,Inputs!AO74,Inputs!AO75,Inputs!AO76)</f>
        <v>81.68</v>
      </c>
      <c r="AP842" s="18" t="n">
        <f aca="false">CHOOSE(Operations!$F$836,Inputs!AP74,Inputs!AP75,Inputs!AP76)</f>
        <v>83.31</v>
      </c>
      <c r="AQ842" s="18" t="n">
        <f aca="false">CHOOSE(Operations!$F$836,Inputs!AQ74,Inputs!AQ75,Inputs!AQ76)</f>
        <v>84.98</v>
      </c>
      <c r="AR842" s="18" t="n">
        <f aca="false">CHOOSE(Operations!$F$836,Inputs!AR74,Inputs!AR75,Inputs!AR76)</f>
        <v>86.68</v>
      </c>
      <c r="AS842" s="18" t="n">
        <f aca="false">CHOOSE(Operations!$F$836,Inputs!AS74,Inputs!AS75,Inputs!AS76)</f>
        <v>88.41</v>
      </c>
      <c r="AT842" s="18" t="n">
        <f aca="false">CHOOSE(Operations!$F$836,Inputs!AT74,Inputs!AT75,Inputs!AT76)</f>
        <v>90.18</v>
      </c>
      <c r="AU842" s="18" t="n">
        <f aca="false">CHOOSE(Operations!$F$836,Inputs!AU74,Inputs!AU75,Inputs!AU76)</f>
        <v>91.98</v>
      </c>
    </row>
    <row r="843" customFormat="false" ht="15" hidden="false" customHeight="false" outlineLevel="0" collapsed="false">
      <c r="D843" s="0" t="s">
        <v>447</v>
      </c>
      <c r="E843" s="0" t="s">
        <v>96</v>
      </c>
      <c r="J843" s="18" t="n">
        <f aca="false">Operations!J842*Inputs!$F$35</f>
        <v>72.2128</v>
      </c>
      <c r="K843" s="18" t="n">
        <f aca="false">Operations!K842*Inputs!$F$35</f>
        <v>59.2416</v>
      </c>
      <c r="L843" s="18" t="n">
        <f aca="false">Operations!L842*Inputs!$F$35</f>
        <v>29.1368</v>
      </c>
      <c r="M843" s="18" t="n">
        <f aca="false">Operations!M842*Inputs!$F$35</f>
        <v>38.5264</v>
      </c>
      <c r="N843" s="18" t="n">
        <f aca="false">Operations!N842*Inputs!$F$35</f>
        <v>43.1728</v>
      </c>
      <c r="O843" s="18" t="n">
        <f aca="false">Operations!O842*Inputs!$F$35</f>
        <v>45.7864</v>
      </c>
      <c r="P843" s="18" t="n">
        <f aca="false">Operations!P842*Inputs!$F$35</f>
        <v>47.5288</v>
      </c>
      <c r="Q843" s="18" t="n">
        <f aca="false">Operations!Q842*Inputs!$F$35</f>
        <v>48.7872</v>
      </c>
      <c r="R843" s="18" t="n">
        <f aca="false">Operations!R842*Inputs!$F$35</f>
        <v>50.1424</v>
      </c>
      <c r="S843" s="18" t="n">
        <f aca="false">Operations!S842*Inputs!$F$35</f>
        <v>51.14912</v>
      </c>
      <c r="T843" s="18" t="n">
        <f aca="false">Operations!T842*Inputs!$F$35</f>
        <v>52.1752</v>
      </c>
      <c r="U843" s="18" t="n">
        <f aca="false">Operations!U842*Inputs!$F$35</f>
        <v>53.22064</v>
      </c>
      <c r="V843" s="18" t="n">
        <f aca="false">Operations!V842*Inputs!$F$35</f>
        <v>54.28544</v>
      </c>
      <c r="W843" s="18" t="n">
        <f aca="false">Operations!W842*Inputs!$F$35</f>
        <v>55.3696</v>
      </c>
      <c r="X843" s="18" t="n">
        <f aca="false">Operations!X842*Inputs!$F$35</f>
        <v>56.47312</v>
      </c>
      <c r="Y843" s="18" t="n">
        <f aca="false">Operations!Y842*Inputs!$F$35</f>
        <v>57.60568</v>
      </c>
      <c r="Z843" s="18" t="n">
        <f aca="false">Operations!Z842*Inputs!$F$35</f>
        <v>58.7576</v>
      </c>
      <c r="AA843" s="18" t="n">
        <f aca="false">Operations!AA842*Inputs!$F$35</f>
        <v>59.92888</v>
      </c>
      <c r="AB843" s="18" t="n">
        <f aca="false">Operations!AB842*Inputs!$F$35</f>
        <v>61.1292</v>
      </c>
      <c r="AC843" s="18" t="n">
        <f aca="false">Operations!AC842*Inputs!$F$35</f>
        <v>62.34888</v>
      </c>
      <c r="AD843" s="18" t="n">
        <f aca="false">Operations!AD842*Inputs!$F$35</f>
        <v>63.5976</v>
      </c>
      <c r="AE843" s="18" t="n">
        <f aca="false">Operations!AE842*Inputs!$F$35</f>
        <v>64.86568</v>
      </c>
      <c r="AF843" s="18" t="n">
        <f aca="false">Operations!AF842*Inputs!$F$35</f>
        <v>66.1628</v>
      </c>
      <c r="AG843" s="18" t="n">
        <f aca="false">Operations!AG842*Inputs!$F$35</f>
        <v>67.48896</v>
      </c>
      <c r="AH843" s="18" t="n">
        <f aca="false">Operations!AH842*Inputs!$F$35</f>
        <v>68.83448</v>
      </c>
      <c r="AI843" s="18" t="n">
        <f aca="false">Operations!AI842*Inputs!$F$35</f>
        <v>70.20904</v>
      </c>
      <c r="AJ843" s="18" t="n">
        <f aca="false">Operations!AJ842*Inputs!$F$35</f>
        <v>71.61264</v>
      </c>
      <c r="AK843" s="18" t="n">
        <f aca="false">Operations!AK842*Inputs!$F$35</f>
        <v>73.04528</v>
      </c>
      <c r="AL843" s="18" t="n">
        <f aca="false">Operations!AL842*Inputs!$F$35</f>
        <v>74.50696</v>
      </c>
      <c r="AM843" s="18" t="n">
        <f aca="false">Operations!AM842*Inputs!$F$35</f>
        <v>75.99768</v>
      </c>
      <c r="AN843" s="18" t="n">
        <f aca="false">Operations!AN842*Inputs!$F$35</f>
        <v>77.51744</v>
      </c>
      <c r="AO843" s="18" t="n">
        <f aca="false">Operations!AO842*Inputs!$F$35</f>
        <v>79.06624</v>
      </c>
      <c r="AP843" s="18" t="n">
        <f aca="false">Operations!AP842*Inputs!$F$35</f>
        <v>80.64408</v>
      </c>
      <c r="AQ843" s="18" t="n">
        <f aca="false">Operations!AQ842*Inputs!$F$35</f>
        <v>82.26064</v>
      </c>
      <c r="AR843" s="18" t="n">
        <f aca="false">Operations!AR842*Inputs!$F$35</f>
        <v>83.90624</v>
      </c>
      <c r="AS843" s="18" t="n">
        <f aca="false">Operations!AS842*Inputs!$F$35</f>
        <v>85.58088</v>
      </c>
      <c r="AT843" s="18" t="n">
        <f aca="false">Operations!AT842*Inputs!$F$35</f>
        <v>87.29424</v>
      </c>
      <c r="AU843" s="18" t="n">
        <f aca="false">Operations!AU842*Inputs!$F$35</f>
        <v>89.03664</v>
      </c>
    </row>
    <row r="844" customFormat="false" ht="15" hidden="false" customHeight="false" outlineLevel="0" collapsed="false">
      <c r="D844" s="0" t="s">
        <v>448</v>
      </c>
      <c r="E844" s="0" t="s">
        <v>96</v>
      </c>
      <c r="J844" s="18" t="n">
        <f aca="false">Operations!J842*Inputs!$F$36</f>
        <v>73.9286</v>
      </c>
      <c r="K844" s="18" t="n">
        <f aca="false">Operations!K842*Inputs!$F$36</f>
        <v>60.6492</v>
      </c>
      <c r="L844" s="18" t="n">
        <f aca="false">Operations!L842*Inputs!$F$36</f>
        <v>29.8291</v>
      </c>
      <c r="M844" s="18" t="n">
        <f aca="false">Operations!M842*Inputs!$F$36</f>
        <v>39.4418</v>
      </c>
      <c r="N844" s="18" t="n">
        <f aca="false">Operations!N842*Inputs!$F$36</f>
        <v>44.1986</v>
      </c>
      <c r="O844" s="18" t="n">
        <f aca="false">Operations!O842*Inputs!$F$36</f>
        <v>46.8743</v>
      </c>
      <c r="P844" s="18" t="n">
        <f aca="false">Operations!P842*Inputs!$F$36</f>
        <v>48.6581</v>
      </c>
      <c r="Q844" s="18" t="n">
        <f aca="false">Operations!Q842*Inputs!$F$36</f>
        <v>49.9464</v>
      </c>
      <c r="R844" s="18" t="n">
        <f aca="false">Operations!R842*Inputs!$F$36</f>
        <v>51.3338</v>
      </c>
      <c r="S844" s="18" t="n">
        <f aca="false">Operations!S842*Inputs!$F$36</f>
        <v>52.36444</v>
      </c>
      <c r="T844" s="18" t="n">
        <f aca="false">Operations!T842*Inputs!$F$36</f>
        <v>53.4149</v>
      </c>
      <c r="U844" s="18" t="n">
        <f aca="false">Operations!U842*Inputs!$F$36</f>
        <v>54.48518</v>
      </c>
      <c r="V844" s="18" t="n">
        <f aca="false">Operations!V842*Inputs!$F$36</f>
        <v>55.57528</v>
      </c>
      <c r="W844" s="18" t="n">
        <f aca="false">Operations!W842*Inputs!$F$36</f>
        <v>56.6852</v>
      </c>
      <c r="X844" s="18" t="n">
        <f aca="false">Operations!X842*Inputs!$F$36</f>
        <v>57.81494</v>
      </c>
      <c r="Y844" s="18" t="n">
        <f aca="false">Operations!Y842*Inputs!$F$36</f>
        <v>58.97441</v>
      </c>
      <c r="Z844" s="18" t="n">
        <f aca="false">Operations!Z842*Inputs!$F$36</f>
        <v>60.1537</v>
      </c>
      <c r="AA844" s="18" t="n">
        <f aca="false">Operations!AA842*Inputs!$F$36</f>
        <v>61.35281</v>
      </c>
      <c r="AB844" s="18" t="n">
        <f aca="false">Operations!AB842*Inputs!$F$36</f>
        <v>62.58165</v>
      </c>
      <c r="AC844" s="18" t="n">
        <f aca="false">Operations!AC842*Inputs!$F$36</f>
        <v>63.83031</v>
      </c>
      <c r="AD844" s="18" t="n">
        <f aca="false">Operations!AD842*Inputs!$F$36</f>
        <v>65.1087</v>
      </c>
      <c r="AE844" s="18" t="n">
        <f aca="false">Operations!AE842*Inputs!$F$36</f>
        <v>66.40691</v>
      </c>
      <c r="AF844" s="18" t="n">
        <f aca="false">Operations!AF842*Inputs!$F$36</f>
        <v>67.73485</v>
      </c>
      <c r="AG844" s="18" t="n">
        <f aca="false">Operations!AG842*Inputs!$F$36</f>
        <v>69.09252</v>
      </c>
      <c r="AH844" s="18" t="n">
        <f aca="false">Operations!AH842*Inputs!$F$36</f>
        <v>70.47001</v>
      </c>
      <c r="AI844" s="18" t="n">
        <f aca="false">Operations!AI842*Inputs!$F$36</f>
        <v>71.87723</v>
      </c>
      <c r="AJ844" s="18" t="n">
        <f aca="false">Operations!AJ842*Inputs!$F$36</f>
        <v>73.31418</v>
      </c>
      <c r="AK844" s="18" t="n">
        <f aca="false">Operations!AK842*Inputs!$F$36</f>
        <v>74.78086</v>
      </c>
      <c r="AL844" s="18" t="n">
        <f aca="false">Operations!AL842*Inputs!$F$36</f>
        <v>76.27727</v>
      </c>
      <c r="AM844" s="18" t="n">
        <f aca="false">Operations!AM842*Inputs!$F$36</f>
        <v>77.80341</v>
      </c>
      <c r="AN844" s="18" t="n">
        <f aca="false">Operations!AN842*Inputs!$F$36</f>
        <v>79.35928</v>
      </c>
      <c r="AO844" s="18" t="n">
        <f aca="false">Operations!AO842*Inputs!$F$36</f>
        <v>80.94488</v>
      </c>
      <c r="AP844" s="18" t="n">
        <f aca="false">Operations!AP842*Inputs!$F$36</f>
        <v>82.56021</v>
      </c>
      <c r="AQ844" s="18" t="n">
        <f aca="false">Operations!AQ842*Inputs!$F$36</f>
        <v>84.21518</v>
      </c>
      <c r="AR844" s="18" t="n">
        <f aca="false">Operations!AR842*Inputs!$F$36</f>
        <v>85.89988</v>
      </c>
      <c r="AS844" s="18" t="n">
        <f aca="false">Operations!AS842*Inputs!$F$36</f>
        <v>87.61431</v>
      </c>
      <c r="AT844" s="18" t="n">
        <f aca="false">Operations!AT842*Inputs!$F$36</f>
        <v>89.36838</v>
      </c>
      <c r="AU844" s="18" t="n">
        <f aca="false">Operations!AU842*Inputs!$F$36</f>
        <v>91.15218</v>
      </c>
    </row>
    <row r="845" customFormat="false" ht="15" hidden="false" customHeight="false" outlineLevel="0" collapsed="false">
      <c r="D845" s="0" t="s">
        <v>449</v>
      </c>
      <c r="E845" s="0" t="s">
        <v>96</v>
      </c>
      <c r="J845" s="18" t="n">
        <f aca="false">Operations!J842*Inputs!$F$37</f>
        <v>75.4952</v>
      </c>
      <c r="K845" s="18" t="n">
        <f aca="false">Operations!K842*Inputs!$F$37</f>
        <v>61.9344</v>
      </c>
      <c r="L845" s="18" t="n">
        <f aca="false">Operations!L842*Inputs!$F$37</f>
        <v>30.4612</v>
      </c>
      <c r="M845" s="18" t="n">
        <f aca="false">Operations!M842*Inputs!$F$37</f>
        <v>40.2776</v>
      </c>
      <c r="N845" s="18" t="n">
        <f aca="false">Operations!N842*Inputs!$F$37</f>
        <v>45.1352</v>
      </c>
      <c r="O845" s="18" t="n">
        <f aca="false">Operations!O842*Inputs!$F$37</f>
        <v>47.8676</v>
      </c>
      <c r="P845" s="18" t="n">
        <f aca="false">Operations!P842*Inputs!$F$37</f>
        <v>49.6892</v>
      </c>
      <c r="Q845" s="18" t="n">
        <f aca="false">Operations!Q842*Inputs!$F$37</f>
        <v>51.0048</v>
      </c>
      <c r="R845" s="18" t="n">
        <f aca="false">Operations!R842*Inputs!$F$37</f>
        <v>52.4216</v>
      </c>
      <c r="S845" s="18" t="n">
        <f aca="false">Operations!S842*Inputs!$F$37</f>
        <v>53.47408</v>
      </c>
      <c r="T845" s="18" t="n">
        <f aca="false">Operations!T842*Inputs!$F$37</f>
        <v>54.5468</v>
      </c>
      <c r="U845" s="18" t="n">
        <f aca="false">Operations!U842*Inputs!$F$37</f>
        <v>55.63976</v>
      </c>
      <c r="V845" s="18" t="n">
        <f aca="false">Operations!V842*Inputs!$F$37</f>
        <v>56.75296</v>
      </c>
      <c r="W845" s="18" t="n">
        <f aca="false">Operations!W842*Inputs!$F$37</f>
        <v>57.8864</v>
      </c>
      <c r="X845" s="18" t="n">
        <f aca="false">Operations!X842*Inputs!$F$37</f>
        <v>59.04008</v>
      </c>
      <c r="Y845" s="18" t="n">
        <f aca="false">Operations!Y842*Inputs!$F$37</f>
        <v>60.22412</v>
      </c>
      <c r="Z845" s="18" t="n">
        <f aca="false">Operations!Z842*Inputs!$F$37</f>
        <v>61.4284</v>
      </c>
      <c r="AA845" s="18" t="n">
        <f aca="false">Operations!AA842*Inputs!$F$37</f>
        <v>62.65292</v>
      </c>
      <c r="AB845" s="18" t="n">
        <f aca="false">Operations!AB842*Inputs!$F$37</f>
        <v>63.9078</v>
      </c>
      <c r="AC845" s="18" t="n">
        <f aca="false">Operations!AC842*Inputs!$F$37</f>
        <v>65.18292</v>
      </c>
      <c r="AD845" s="18" t="n">
        <f aca="false">Operations!AD842*Inputs!$F$37</f>
        <v>66.4884</v>
      </c>
      <c r="AE845" s="18" t="n">
        <f aca="false">Operations!AE842*Inputs!$F$37</f>
        <v>67.81412</v>
      </c>
      <c r="AF845" s="18" t="n">
        <f aca="false">Operations!AF842*Inputs!$F$37</f>
        <v>69.1702</v>
      </c>
      <c r="AG845" s="18" t="n">
        <f aca="false">Operations!AG842*Inputs!$F$37</f>
        <v>70.55664</v>
      </c>
      <c r="AH845" s="18" t="n">
        <f aca="false">Operations!AH842*Inputs!$F$37</f>
        <v>71.96332</v>
      </c>
      <c r="AI845" s="18" t="n">
        <f aca="false">Operations!AI842*Inputs!$F$37</f>
        <v>73.40036</v>
      </c>
      <c r="AJ845" s="18" t="n">
        <f aca="false">Operations!AJ842*Inputs!$F$37</f>
        <v>74.86776</v>
      </c>
      <c r="AK845" s="18" t="n">
        <f aca="false">Operations!AK842*Inputs!$F$37</f>
        <v>76.36552</v>
      </c>
      <c r="AL845" s="18" t="n">
        <f aca="false">Operations!AL842*Inputs!$F$37</f>
        <v>77.89364</v>
      </c>
      <c r="AM845" s="18" t="n">
        <f aca="false">Operations!AM842*Inputs!$F$37</f>
        <v>79.45212</v>
      </c>
      <c r="AN845" s="18" t="n">
        <f aca="false">Operations!AN842*Inputs!$F$37</f>
        <v>81.04096</v>
      </c>
      <c r="AO845" s="18" t="n">
        <f aca="false">Operations!AO842*Inputs!$F$37</f>
        <v>82.66016</v>
      </c>
      <c r="AP845" s="18" t="n">
        <f aca="false">Operations!AP842*Inputs!$F$37</f>
        <v>84.30972</v>
      </c>
      <c r="AQ845" s="18" t="n">
        <f aca="false">Operations!AQ842*Inputs!$F$37</f>
        <v>85.99976</v>
      </c>
      <c r="AR845" s="18" t="n">
        <f aca="false">Operations!AR842*Inputs!$F$37</f>
        <v>87.72016</v>
      </c>
      <c r="AS845" s="18" t="n">
        <f aca="false">Operations!AS842*Inputs!$F$37</f>
        <v>89.47092</v>
      </c>
      <c r="AT845" s="18" t="n">
        <f aca="false">Operations!AT842*Inputs!$F$37</f>
        <v>91.26216</v>
      </c>
      <c r="AU845" s="18" t="n">
        <f aca="false">Operations!AU842*Inputs!$F$37</f>
        <v>93.08376</v>
      </c>
    </row>
    <row r="846" customFormat="false" ht="15" hidden="false" customHeight="false" outlineLevel="0" collapsed="false">
      <c r="D846" s="0" t="s">
        <v>450</v>
      </c>
      <c r="E846" s="0" t="s">
        <v>100</v>
      </c>
      <c r="J846" s="18" t="n">
        <f aca="false">CHOOSE(Operations!$F$841,Inputs!J77,Inputs!J78,Inputs!J79)</f>
        <v>0</v>
      </c>
      <c r="K846" s="18" t="n">
        <f aca="false">CHOOSE(Operations!$F$841,Inputs!K77,Inputs!K78,Inputs!K79)</f>
        <v>142.5</v>
      </c>
      <c r="L846" s="18" t="n">
        <f aca="false">CHOOSE(Operations!$F$841,Inputs!L77,Inputs!L78,Inputs!L79)</f>
        <v>61.8</v>
      </c>
      <c r="M846" s="18" t="n">
        <f aca="false">CHOOSE(Operations!$F$841,Inputs!M77,Inputs!M78,Inputs!M79)</f>
        <v>52.4</v>
      </c>
      <c r="N846" s="18" t="n">
        <f aca="false">CHOOSE(Operations!$F$841,Inputs!N77,Inputs!N78,Inputs!N79)</f>
        <v>57.9</v>
      </c>
      <c r="O846" s="18" t="n">
        <f aca="false">CHOOSE(Operations!$F$841,Inputs!O77,Inputs!O78,Inputs!O79)</f>
        <v>58.77</v>
      </c>
      <c r="P846" s="18" t="n">
        <f aca="false">CHOOSE(Operations!$F$841,Inputs!P77,Inputs!P78,Inputs!P79)</f>
        <v>59.65</v>
      </c>
      <c r="Q846" s="18" t="n">
        <f aca="false">CHOOSE(Operations!$F$841,Inputs!Q77,Inputs!Q78,Inputs!Q79)</f>
        <v>60.54</v>
      </c>
      <c r="R846" s="18" t="n">
        <f aca="false">CHOOSE(Operations!$F$841,Inputs!R77,Inputs!R78,Inputs!R79)</f>
        <v>61.45</v>
      </c>
      <c r="S846" s="18" t="n">
        <f aca="false">CHOOSE(Operations!$F$841,Inputs!S77,Inputs!S78,Inputs!S79)</f>
        <v>62.37</v>
      </c>
      <c r="T846" s="18" t="n">
        <f aca="false">CHOOSE(Operations!$F$841,Inputs!T77,Inputs!T78,Inputs!T79)</f>
        <v>63.31</v>
      </c>
      <c r="U846" s="18" t="n">
        <f aca="false">CHOOSE(Operations!$F$841,Inputs!U77,Inputs!U78,Inputs!U79)</f>
        <v>64.26</v>
      </c>
      <c r="V846" s="18" t="n">
        <f aca="false">CHOOSE(Operations!$F$841,Inputs!V77,Inputs!V78,Inputs!V79)</f>
        <v>65.22</v>
      </c>
      <c r="W846" s="18" t="n">
        <f aca="false">CHOOSE(Operations!$F$841,Inputs!W77,Inputs!W78,Inputs!W79)</f>
        <v>66.2</v>
      </c>
      <c r="X846" s="18" t="n">
        <f aca="false">CHOOSE(Operations!$F$841,Inputs!X77,Inputs!X78,Inputs!X79)</f>
        <v>67.19</v>
      </c>
      <c r="Y846" s="18" t="n">
        <f aca="false">CHOOSE(Operations!$F$841,Inputs!Y77,Inputs!Y78,Inputs!Y79)</f>
        <v>68.2</v>
      </c>
      <c r="Z846" s="18" t="n">
        <f aca="false">CHOOSE(Operations!$F$841,Inputs!Z77,Inputs!Z78,Inputs!Z79)</f>
        <v>69.22</v>
      </c>
      <c r="AA846" s="18" t="n">
        <f aca="false">CHOOSE(Operations!$F$841,Inputs!AA77,Inputs!AA78,Inputs!AA79)</f>
        <v>70.26</v>
      </c>
      <c r="AB846" s="18" t="n">
        <f aca="false">CHOOSE(Operations!$F$841,Inputs!AB77,Inputs!AB78,Inputs!AB79)</f>
        <v>71.31</v>
      </c>
      <c r="AC846" s="18" t="n">
        <f aca="false">CHOOSE(Operations!$F$841,Inputs!AC77,Inputs!AC78,Inputs!AC79)</f>
        <v>72.38</v>
      </c>
      <c r="AD846" s="18" t="n">
        <f aca="false">CHOOSE(Operations!$F$841,Inputs!AD77,Inputs!AD78,Inputs!AD79)</f>
        <v>73.47</v>
      </c>
      <c r="AE846" s="18" t="n">
        <f aca="false">CHOOSE(Operations!$F$841,Inputs!AE77,Inputs!AE78,Inputs!AE79)</f>
        <v>74.57</v>
      </c>
      <c r="AF846" s="18" t="n">
        <f aca="false">CHOOSE(Operations!$F$841,Inputs!AF77,Inputs!AF78,Inputs!AF79)</f>
        <v>75.69</v>
      </c>
      <c r="AG846" s="18" t="n">
        <f aca="false">CHOOSE(Operations!$F$841,Inputs!AG77,Inputs!AG78,Inputs!AG79)</f>
        <v>76.83</v>
      </c>
      <c r="AH846" s="18" t="n">
        <f aca="false">CHOOSE(Operations!$F$841,Inputs!AH77,Inputs!AH78,Inputs!AH79)</f>
        <v>77.98</v>
      </c>
      <c r="AI846" s="18" t="n">
        <f aca="false">CHOOSE(Operations!$F$841,Inputs!AI77,Inputs!AI78,Inputs!AI79)</f>
        <v>79.15</v>
      </c>
      <c r="AJ846" s="18" t="n">
        <f aca="false">CHOOSE(Operations!$F$841,Inputs!AJ77,Inputs!AJ78,Inputs!AJ79)</f>
        <v>80.34</v>
      </c>
      <c r="AK846" s="18" t="n">
        <f aca="false">CHOOSE(Operations!$F$841,Inputs!AK77,Inputs!AK78,Inputs!AK79)</f>
        <v>81.55</v>
      </c>
      <c r="AL846" s="18" t="n">
        <f aca="false">CHOOSE(Operations!$F$841,Inputs!AL77,Inputs!AL78,Inputs!AL79)</f>
        <v>82.77</v>
      </c>
      <c r="AM846" s="18" t="n">
        <f aca="false">CHOOSE(Operations!$F$841,Inputs!AM77,Inputs!AM78,Inputs!AM79)</f>
        <v>84.01</v>
      </c>
      <c r="AN846" s="18" t="n">
        <f aca="false">CHOOSE(Operations!$F$841,Inputs!AN77,Inputs!AN78,Inputs!AN79)</f>
        <v>85.27</v>
      </c>
      <c r="AO846" s="18" t="n">
        <f aca="false">CHOOSE(Operations!$F$841,Inputs!AO77,Inputs!AO78,Inputs!AO79)</f>
        <v>86.55</v>
      </c>
      <c r="AP846" s="18" t="n">
        <f aca="false">CHOOSE(Operations!$F$841,Inputs!AP77,Inputs!AP78,Inputs!AP79)</f>
        <v>87.85</v>
      </c>
      <c r="AQ846" s="18" t="n">
        <f aca="false">CHOOSE(Operations!$F$841,Inputs!AQ77,Inputs!AQ78,Inputs!AQ79)</f>
        <v>89.17</v>
      </c>
      <c r="AR846" s="18" t="n">
        <f aca="false">CHOOSE(Operations!$F$841,Inputs!AR77,Inputs!AR78,Inputs!AR79)</f>
        <v>90.51</v>
      </c>
      <c r="AS846" s="18" t="n">
        <f aca="false">CHOOSE(Operations!$F$841,Inputs!AS77,Inputs!AS78,Inputs!AS79)</f>
        <v>91.87</v>
      </c>
      <c r="AT846" s="18" t="n">
        <f aca="false">CHOOSE(Operations!$F$841,Inputs!AT77,Inputs!AT78,Inputs!AT79)</f>
        <v>93.25</v>
      </c>
      <c r="AU846" s="18" t="n">
        <f aca="false">CHOOSE(Operations!$F$841,Inputs!AU77,Inputs!AU78,Inputs!AU79)</f>
        <v>94.65</v>
      </c>
    </row>
    <row r="847" customFormat="false" ht="15" hidden="false" customHeight="false" outlineLevel="0" collapsed="false">
      <c r="D847" s="0" t="s">
        <v>451</v>
      </c>
      <c r="E847" s="0" t="s">
        <v>54</v>
      </c>
      <c r="J847" s="14" t="n">
        <f aca="false">MAX(Inputs!$F$43+CHOOSE(Operations!$F$836,0,Inputs!$F$39,0),Inputs!$F$41-Inputs!$F$42/100*CHOOSE(Operations!$F$836,1,Inputs!$F$38,Inputs!$F$40)*Time!J$8)</f>
        <v>0.74</v>
      </c>
      <c r="K847" s="14" t="n">
        <f aca="false">MAX(Inputs!$F$43+CHOOSE(Operations!$F$836,0,Inputs!$F$39,0),Inputs!$F$41-Inputs!$F$42/100*CHOOSE(Operations!$F$836,1,Inputs!$F$38,Inputs!$F$40)*Time!K$8)</f>
        <v>0.734</v>
      </c>
      <c r="L847" s="14" t="n">
        <f aca="false">MAX(Inputs!$F$43+CHOOSE(Operations!$F$836,0,Inputs!$F$39,0),Inputs!$F$41-Inputs!$F$42/100*CHOOSE(Operations!$F$836,1,Inputs!$F$38,Inputs!$F$40)*Time!L$8)</f>
        <v>0.728</v>
      </c>
      <c r="M847" s="14" t="n">
        <f aca="false">MAX(Inputs!$F$43+CHOOSE(Operations!$F$836,0,Inputs!$F$39,0),Inputs!$F$41-Inputs!$F$42/100*CHOOSE(Operations!$F$836,1,Inputs!$F$38,Inputs!$F$40)*Time!M$8)</f>
        <v>0.722</v>
      </c>
      <c r="N847" s="14" t="n">
        <f aca="false">MAX(Inputs!$F$43+CHOOSE(Operations!$F$836,0,Inputs!$F$39,0),Inputs!$F$41-Inputs!$F$42/100*CHOOSE(Operations!$F$836,1,Inputs!$F$38,Inputs!$F$40)*Time!N$8)</f>
        <v>0.716</v>
      </c>
      <c r="O847" s="14" t="n">
        <f aca="false">MAX(Inputs!$F$43+CHOOSE(Operations!$F$836,0,Inputs!$F$39,0),Inputs!$F$41-Inputs!$F$42/100*CHOOSE(Operations!$F$836,1,Inputs!$F$38,Inputs!$F$40)*Time!O$8)</f>
        <v>0.71</v>
      </c>
      <c r="P847" s="14" t="n">
        <f aca="false">MAX(Inputs!$F$43+CHOOSE(Operations!$F$836,0,Inputs!$F$39,0),Inputs!$F$41-Inputs!$F$42/100*CHOOSE(Operations!$F$836,1,Inputs!$F$38,Inputs!$F$40)*Time!P$8)</f>
        <v>0.704</v>
      </c>
      <c r="Q847" s="14" t="n">
        <f aca="false">MAX(Inputs!$F$43+CHOOSE(Operations!$F$836,0,Inputs!$F$39,0),Inputs!$F$41-Inputs!$F$42/100*CHOOSE(Operations!$F$836,1,Inputs!$F$38,Inputs!$F$40)*Time!Q$8)</f>
        <v>0.698</v>
      </c>
      <c r="R847" s="14" t="n">
        <f aca="false">MAX(Inputs!$F$43+CHOOSE(Operations!$F$836,0,Inputs!$F$39,0),Inputs!$F$41-Inputs!$F$42/100*CHOOSE(Operations!$F$836,1,Inputs!$F$38,Inputs!$F$40)*Time!R$8)</f>
        <v>0.692</v>
      </c>
      <c r="S847" s="14" t="n">
        <f aca="false">MAX(Inputs!$F$43+CHOOSE(Operations!$F$836,0,Inputs!$F$39,0),Inputs!$F$41-Inputs!$F$42/100*CHOOSE(Operations!$F$836,1,Inputs!$F$38,Inputs!$F$40)*Time!S$8)</f>
        <v>0.686</v>
      </c>
      <c r="T847" s="14" t="n">
        <f aca="false">MAX(Inputs!$F$43+CHOOSE(Operations!$F$836,0,Inputs!$F$39,0),Inputs!$F$41-Inputs!$F$42/100*CHOOSE(Operations!$F$836,1,Inputs!$F$38,Inputs!$F$40)*Time!T$8)</f>
        <v>0.68</v>
      </c>
      <c r="U847" s="14" t="n">
        <f aca="false">MAX(Inputs!$F$43+CHOOSE(Operations!$F$836,0,Inputs!$F$39,0),Inputs!$F$41-Inputs!$F$42/100*CHOOSE(Operations!$F$836,1,Inputs!$F$38,Inputs!$F$40)*Time!U$8)</f>
        <v>0.674</v>
      </c>
      <c r="V847" s="14" t="n">
        <f aca="false">MAX(Inputs!$F$43+CHOOSE(Operations!$F$836,0,Inputs!$F$39,0),Inputs!$F$41-Inputs!$F$42/100*CHOOSE(Operations!$F$836,1,Inputs!$F$38,Inputs!$F$40)*Time!V$8)</f>
        <v>0.668</v>
      </c>
      <c r="W847" s="14" t="n">
        <f aca="false">MAX(Inputs!$F$43+CHOOSE(Operations!$F$836,0,Inputs!$F$39,0),Inputs!$F$41-Inputs!$F$42/100*CHOOSE(Operations!$F$836,1,Inputs!$F$38,Inputs!$F$40)*Time!W$8)</f>
        <v>0.662</v>
      </c>
      <c r="X847" s="14" t="n">
        <f aca="false">MAX(Inputs!$F$43+CHOOSE(Operations!$F$836,0,Inputs!$F$39,0),Inputs!$F$41-Inputs!$F$42/100*CHOOSE(Operations!$F$836,1,Inputs!$F$38,Inputs!$F$40)*Time!X$8)</f>
        <v>0.656</v>
      </c>
      <c r="Y847" s="14" t="n">
        <f aca="false">MAX(Inputs!$F$43+CHOOSE(Operations!$F$836,0,Inputs!$F$39,0),Inputs!$F$41-Inputs!$F$42/100*CHOOSE(Operations!$F$836,1,Inputs!$F$38,Inputs!$F$40)*Time!Y$8)</f>
        <v>0.65</v>
      </c>
      <c r="Z847" s="14" t="n">
        <f aca="false">MAX(Inputs!$F$43+CHOOSE(Operations!$F$836,0,Inputs!$F$39,0),Inputs!$F$41-Inputs!$F$42/100*CHOOSE(Operations!$F$836,1,Inputs!$F$38,Inputs!$F$40)*Time!Z$8)</f>
        <v>0.644</v>
      </c>
      <c r="AA847" s="14" t="n">
        <f aca="false">MAX(Inputs!$F$43+CHOOSE(Operations!$F$836,0,Inputs!$F$39,0),Inputs!$F$41-Inputs!$F$42/100*CHOOSE(Operations!$F$836,1,Inputs!$F$38,Inputs!$F$40)*Time!AA$8)</f>
        <v>0.638</v>
      </c>
      <c r="AB847" s="14" t="n">
        <f aca="false">MAX(Inputs!$F$43+CHOOSE(Operations!$F$836,0,Inputs!$F$39,0),Inputs!$F$41-Inputs!$F$42/100*CHOOSE(Operations!$F$836,1,Inputs!$F$38,Inputs!$F$40)*Time!AB$8)</f>
        <v>0.632</v>
      </c>
      <c r="AC847" s="14" t="n">
        <f aca="false">MAX(Inputs!$F$43+CHOOSE(Operations!$F$836,0,Inputs!$F$39,0),Inputs!$F$41-Inputs!$F$42/100*CHOOSE(Operations!$F$836,1,Inputs!$F$38,Inputs!$F$40)*Time!AC$8)</f>
        <v>0.626</v>
      </c>
      <c r="AD847" s="14" t="n">
        <f aca="false">MAX(Inputs!$F$43+CHOOSE(Operations!$F$836,0,Inputs!$F$39,0),Inputs!$F$41-Inputs!$F$42/100*CHOOSE(Operations!$F$836,1,Inputs!$F$38,Inputs!$F$40)*Time!AD$8)</f>
        <v>0.62</v>
      </c>
      <c r="AE847" s="14" t="n">
        <f aca="false">MAX(Inputs!$F$43+CHOOSE(Operations!$F$836,0,Inputs!$F$39,0),Inputs!$F$41-Inputs!$F$42/100*CHOOSE(Operations!$F$836,1,Inputs!$F$38,Inputs!$F$40)*Time!AE$8)</f>
        <v>0.62</v>
      </c>
      <c r="AF847" s="14" t="n">
        <f aca="false">MAX(Inputs!$F$43+CHOOSE(Operations!$F$836,0,Inputs!$F$39,0),Inputs!$F$41-Inputs!$F$42/100*CHOOSE(Operations!$F$836,1,Inputs!$F$38,Inputs!$F$40)*Time!AF$8)</f>
        <v>0.62</v>
      </c>
      <c r="AG847" s="14" t="n">
        <f aca="false">MAX(Inputs!$F$43+CHOOSE(Operations!$F$836,0,Inputs!$F$39,0),Inputs!$F$41-Inputs!$F$42/100*CHOOSE(Operations!$F$836,1,Inputs!$F$38,Inputs!$F$40)*Time!AG$8)</f>
        <v>0.62</v>
      </c>
      <c r="AH847" s="14" t="n">
        <f aca="false">MAX(Inputs!$F$43+CHOOSE(Operations!$F$836,0,Inputs!$F$39,0),Inputs!$F$41-Inputs!$F$42/100*CHOOSE(Operations!$F$836,1,Inputs!$F$38,Inputs!$F$40)*Time!AH$8)</f>
        <v>0.62</v>
      </c>
      <c r="AI847" s="14" t="n">
        <f aca="false">MAX(Inputs!$F$43+CHOOSE(Operations!$F$836,0,Inputs!$F$39,0),Inputs!$F$41-Inputs!$F$42/100*CHOOSE(Operations!$F$836,1,Inputs!$F$38,Inputs!$F$40)*Time!AI$8)</f>
        <v>0.62</v>
      </c>
      <c r="AJ847" s="14" t="n">
        <f aca="false">MAX(Inputs!$F$43+CHOOSE(Operations!$F$836,0,Inputs!$F$39,0),Inputs!$F$41-Inputs!$F$42/100*CHOOSE(Operations!$F$836,1,Inputs!$F$38,Inputs!$F$40)*Time!AJ$8)</f>
        <v>0.62</v>
      </c>
      <c r="AK847" s="14" t="n">
        <f aca="false">MAX(Inputs!$F$43+CHOOSE(Operations!$F$836,0,Inputs!$F$39,0),Inputs!$F$41-Inputs!$F$42/100*CHOOSE(Operations!$F$836,1,Inputs!$F$38,Inputs!$F$40)*Time!AK$8)</f>
        <v>0.62</v>
      </c>
      <c r="AL847" s="14" t="n">
        <f aca="false">MAX(Inputs!$F$43+CHOOSE(Operations!$F$836,0,Inputs!$F$39,0),Inputs!$F$41-Inputs!$F$42/100*CHOOSE(Operations!$F$836,1,Inputs!$F$38,Inputs!$F$40)*Time!AL$8)</f>
        <v>0.62</v>
      </c>
      <c r="AM847" s="14" t="n">
        <f aca="false">MAX(Inputs!$F$43+CHOOSE(Operations!$F$836,0,Inputs!$F$39,0),Inputs!$F$41-Inputs!$F$42/100*CHOOSE(Operations!$F$836,1,Inputs!$F$38,Inputs!$F$40)*Time!AM$8)</f>
        <v>0.62</v>
      </c>
      <c r="AN847" s="14" t="n">
        <f aca="false">MAX(Inputs!$F$43+CHOOSE(Operations!$F$836,0,Inputs!$F$39,0),Inputs!$F$41-Inputs!$F$42/100*CHOOSE(Operations!$F$836,1,Inputs!$F$38,Inputs!$F$40)*Time!AN$8)</f>
        <v>0.62</v>
      </c>
      <c r="AO847" s="14" t="n">
        <f aca="false">MAX(Inputs!$F$43+CHOOSE(Operations!$F$836,0,Inputs!$F$39,0),Inputs!$F$41-Inputs!$F$42/100*CHOOSE(Operations!$F$836,1,Inputs!$F$38,Inputs!$F$40)*Time!AO$8)</f>
        <v>0.62</v>
      </c>
      <c r="AP847" s="14" t="n">
        <f aca="false">MAX(Inputs!$F$43+CHOOSE(Operations!$F$836,0,Inputs!$F$39,0),Inputs!$F$41-Inputs!$F$42/100*CHOOSE(Operations!$F$836,1,Inputs!$F$38,Inputs!$F$40)*Time!AP$8)</f>
        <v>0.62</v>
      </c>
      <c r="AQ847" s="14" t="n">
        <f aca="false">MAX(Inputs!$F$43+CHOOSE(Operations!$F$836,0,Inputs!$F$39,0),Inputs!$F$41-Inputs!$F$42/100*CHOOSE(Operations!$F$836,1,Inputs!$F$38,Inputs!$F$40)*Time!AQ$8)</f>
        <v>0.62</v>
      </c>
      <c r="AR847" s="14" t="n">
        <f aca="false">MAX(Inputs!$F$43+CHOOSE(Operations!$F$836,0,Inputs!$F$39,0),Inputs!$F$41-Inputs!$F$42/100*CHOOSE(Operations!$F$836,1,Inputs!$F$38,Inputs!$F$40)*Time!AR$8)</f>
        <v>0.62</v>
      </c>
      <c r="AS847" s="14" t="n">
        <f aca="false">MAX(Inputs!$F$43+CHOOSE(Operations!$F$836,0,Inputs!$F$39,0),Inputs!$F$41-Inputs!$F$42/100*CHOOSE(Operations!$F$836,1,Inputs!$F$38,Inputs!$F$40)*Time!AS$8)</f>
        <v>0.62</v>
      </c>
      <c r="AT847" s="14" t="n">
        <f aca="false">MAX(Inputs!$F$43+CHOOSE(Operations!$F$836,0,Inputs!$F$39,0),Inputs!$F$41-Inputs!$F$42/100*CHOOSE(Operations!$F$836,1,Inputs!$F$38,Inputs!$F$40)*Time!AT$8)</f>
        <v>0.62</v>
      </c>
      <c r="AU847" s="14" t="n">
        <f aca="false">MAX(Inputs!$F$43+CHOOSE(Operations!$F$836,0,Inputs!$F$39,0),Inputs!$F$41-Inputs!$F$42/100*CHOOSE(Operations!$F$836,1,Inputs!$F$38,Inputs!$F$40)*Time!AU$8)</f>
        <v>0.62</v>
      </c>
    </row>
    <row r="848" customFormat="false" ht="15" hidden="false" customHeight="false" outlineLevel="0" collapsed="false">
      <c r="D848" s="0" t="s">
        <v>452</v>
      </c>
      <c r="E848" s="0" t="s">
        <v>54</v>
      </c>
      <c r="J848" s="14" t="n">
        <f aca="false">MAX(Inputs!$F$47+CHOOSE(Operations!$F$836,0,Inputs!$F$39,0),Inputs!$F$45-Inputs!$F$46/100*CHOOSE(Operations!$F$836,1,Inputs!$F$38,Inputs!$F$40)*Time!J$8)</f>
        <v>0.66</v>
      </c>
      <c r="K848" s="14" t="n">
        <f aca="false">MAX(Inputs!$F$47+CHOOSE(Operations!$F$836,0,Inputs!$F$39,0),Inputs!$F$45-Inputs!$F$46/100*CHOOSE(Operations!$F$836,1,Inputs!$F$38,Inputs!$F$40)*Time!K$8)</f>
        <v>0.655</v>
      </c>
      <c r="L848" s="14" t="n">
        <f aca="false">MAX(Inputs!$F$47+CHOOSE(Operations!$F$836,0,Inputs!$F$39,0),Inputs!$F$45-Inputs!$F$46/100*CHOOSE(Operations!$F$836,1,Inputs!$F$38,Inputs!$F$40)*Time!L$8)</f>
        <v>0.65</v>
      </c>
      <c r="M848" s="14" t="n">
        <f aca="false">MAX(Inputs!$F$47+CHOOSE(Operations!$F$836,0,Inputs!$F$39,0),Inputs!$F$45-Inputs!$F$46/100*CHOOSE(Operations!$F$836,1,Inputs!$F$38,Inputs!$F$40)*Time!M$8)</f>
        <v>0.645</v>
      </c>
      <c r="N848" s="14" t="n">
        <f aca="false">MAX(Inputs!$F$47+CHOOSE(Operations!$F$836,0,Inputs!$F$39,0),Inputs!$F$45-Inputs!$F$46/100*CHOOSE(Operations!$F$836,1,Inputs!$F$38,Inputs!$F$40)*Time!N$8)</f>
        <v>0.64</v>
      </c>
      <c r="O848" s="14" t="n">
        <f aca="false">MAX(Inputs!$F$47+CHOOSE(Operations!$F$836,0,Inputs!$F$39,0),Inputs!$F$45-Inputs!$F$46/100*CHOOSE(Operations!$F$836,1,Inputs!$F$38,Inputs!$F$40)*Time!O$8)</f>
        <v>0.635</v>
      </c>
      <c r="P848" s="14" t="n">
        <f aca="false">MAX(Inputs!$F$47+CHOOSE(Operations!$F$836,0,Inputs!$F$39,0),Inputs!$F$45-Inputs!$F$46/100*CHOOSE(Operations!$F$836,1,Inputs!$F$38,Inputs!$F$40)*Time!P$8)</f>
        <v>0.63</v>
      </c>
      <c r="Q848" s="14" t="n">
        <f aca="false">MAX(Inputs!$F$47+CHOOSE(Operations!$F$836,0,Inputs!$F$39,0),Inputs!$F$45-Inputs!$F$46/100*CHOOSE(Operations!$F$836,1,Inputs!$F$38,Inputs!$F$40)*Time!Q$8)</f>
        <v>0.625</v>
      </c>
      <c r="R848" s="14" t="n">
        <f aca="false">MAX(Inputs!$F$47+CHOOSE(Operations!$F$836,0,Inputs!$F$39,0),Inputs!$F$45-Inputs!$F$46/100*CHOOSE(Operations!$F$836,1,Inputs!$F$38,Inputs!$F$40)*Time!R$8)</f>
        <v>0.62</v>
      </c>
      <c r="S848" s="14" t="n">
        <f aca="false">MAX(Inputs!$F$47+CHOOSE(Operations!$F$836,0,Inputs!$F$39,0),Inputs!$F$45-Inputs!$F$46/100*CHOOSE(Operations!$F$836,1,Inputs!$F$38,Inputs!$F$40)*Time!S$8)</f>
        <v>0.615</v>
      </c>
      <c r="T848" s="14" t="n">
        <f aca="false">MAX(Inputs!$F$47+CHOOSE(Operations!$F$836,0,Inputs!$F$39,0),Inputs!$F$45-Inputs!$F$46/100*CHOOSE(Operations!$F$836,1,Inputs!$F$38,Inputs!$F$40)*Time!T$8)</f>
        <v>0.61</v>
      </c>
      <c r="U848" s="14" t="n">
        <f aca="false">MAX(Inputs!$F$47+CHOOSE(Operations!$F$836,0,Inputs!$F$39,0),Inputs!$F$45-Inputs!$F$46/100*CHOOSE(Operations!$F$836,1,Inputs!$F$38,Inputs!$F$40)*Time!U$8)</f>
        <v>0.605</v>
      </c>
      <c r="V848" s="14" t="n">
        <f aca="false">MAX(Inputs!$F$47+CHOOSE(Operations!$F$836,0,Inputs!$F$39,0),Inputs!$F$45-Inputs!$F$46/100*CHOOSE(Operations!$F$836,1,Inputs!$F$38,Inputs!$F$40)*Time!V$8)</f>
        <v>0.6</v>
      </c>
      <c r="W848" s="14" t="n">
        <f aca="false">MAX(Inputs!$F$47+CHOOSE(Operations!$F$836,0,Inputs!$F$39,0),Inputs!$F$45-Inputs!$F$46/100*CHOOSE(Operations!$F$836,1,Inputs!$F$38,Inputs!$F$40)*Time!W$8)</f>
        <v>0.595</v>
      </c>
      <c r="X848" s="14" t="n">
        <f aca="false">MAX(Inputs!$F$47+CHOOSE(Operations!$F$836,0,Inputs!$F$39,0),Inputs!$F$45-Inputs!$F$46/100*CHOOSE(Operations!$F$836,1,Inputs!$F$38,Inputs!$F$40)*Time!X$8)</f>
        <v>0.59</v>
      </c>
      <c r="Y848" s="14" t="n">
        <f aca="false">MAX(Inputs!$F$47+CHOOSE(Operations!$F$836,0,Inputs!$F$39,0),Inputs!$F$45-Inputs!$F$46/100*CHOOSE(Operations!$F$836,1,Inputs!$F$38,Inputs!$F$40)*Time!Y$8)</f>
        <v>0.585</v>
      </c>
      <c r="Z848" s="14" t="n">
        <f aca="false">MAX(Inputs!$F$47+CHOOSE(Operations!$F$836,0,Inputs!$F$39,0),Inputs!$F$45-Inputs!$F$46/100*CHOOSE(Operations!$F$836,1,Inputs!$F$38,Inputs!$F$40)*Time!Z$8)</f>
        <v>0.58</v>
      </c>
      <c r="AA848" s="14" t="n">
        <f aca="false">MAX(Inputs!$F$47+CHOOSE(Operations!$F$836,0,Inputs!$F$39,0),Inputs!$F$45-Inputs!$F$46/100*CHOOSE(Operations!$F$836,1,Inputs!$F$38,Inputs!$F$40)*Time!AA$8)</f>
        <v>0.58</v>
      </c>
      <c r="AB848" s="14" t="n">
        <f aca="false">MAX(Inputs!$F$47+CHOOSE(Operations!$F$836,0,Inputs!$F$39,0),Inputs!$F$45-Inputs!$F$46/100*CHOOSE(Operations!$F$836,1,Inputs!$F$38,Inputs!$F$40)*Time!AB$8)</f>
        <v>0.58</v>
      </c>
      <c r="AC848" s="14" t="n">
        <f aca="false">MAX(Inputs!$F$47+CHOOSE(Operations!$F$836,0,Inputs!$F$39,0),Inputs!$F$45-Inputs!$F$46/100*CHOOSE(Operations!$F$836,1,Inputs!$F$38,Inputs!$F$40)*Time!AC$8)</f>
        <v>0.58</v>
      </c>
      <c r="AD848" s="14" t="n">
        <f aca="false">MAX(Inputs!$F$47+CHOOSE(Operations!$F$836,0,Inputs!$F$39,0),Inputs!$F$45-Inputs!$F$46/100*CHOOSE(Operations!$F$836,1,Inputs!$F$38,Inputs!$F$40)*Time!AD$8)</f>
        <v>0.58</v>
      </c>
      <c r="AE848" s="14" t="n">
        <f aca="false">MAX(Inputs!$F$47+CHOOSE(Operations!$F$836,0,Inputs!$F$39,0),Inputs!$F$45-Inputs!$F$46/100*CHOOSE(Operations!$F$836,1,Inputs!$F$38,Inputs!$F$40)*Time!AE$8)</f>
        <v>0.58</v>
      </c>
      <c r="AF848" s="14" t="n">
        <f aca="false">MAX(Inputs!$F$47+CHOOSE(Operations!$F$836,0,Inputs!$F$39,0),Inputs!$F$45-Inputs!$F$46/100*CHOOSE(Operations!$F$836,1,Inputs!$F$38,Inputs!$F$40)*Time!AF$8)</f>
        <v>0.58</v>
      </c>
      <c r="AG848" s="14" t="n">
        <f aca="false">MAX(Inputs!$F$47+CHOOSE(Operations!$F$836,0,Inputs!$F$39,0),Inputs!$F$45-Inputs!$F$46/100*CHOOSE(Operations!$F$836,1,Inputs!$F$38,Inputs!$F$40)*Time!AG$8)</f>
        <v>0.58</v>
      </c>
      <c r="AH848" s="14" t="n">
        <f aca="false">MAX(Inputs!$F$47+CHOOSE(Operations!$F$836,0,Inputs!$F$39,0),Inputs!$F$45-Inputs!$F$46/100*CHOOSE(Operations!$F$836,1,Inputs!$F$38,Inputs!$F$40)*Time!AH$8)</f>
        <v>0.58</v>
      </c>
      <c r="AI848" s="14" t="n">
        <f aca="false">MAX(Inputs!$F$47+CHOOSE(Operations!$F$836,0,Inputs!$F$39,0),Inputs!$F$45-Inputs!$F$46/100*CHOOSE(Operations!$F$836,1,Inputs!$F$38,Inputs!$F$40)*Time!AI$8)</f>
        <v>0.58</v>
      </c>
      <c r="AJ848" s="14" t="n">
        <f aca="false">MAX(Inputs!$F$47+CHOOSE(Operations!$F$836,0,Inputs!$F$39,0),Inputs!$F$45-Inputs!$F$46/100*CHOOSE(Operations!$F$836,1,Inputs!$F$38,Inputs!$F$40)*Time!AJ$8)</f>
        <v>0.58</v>
      </c>
      <c r="AK848" s="14" t="n">
        <f aca="false">MAX(Inputs!$F$47+CHOOSE(Operations!$F$836,0,Inputs!$F$39,0),Inputs!$F$45-Inputs!$F$46/100*CHOOSE(Operations!$F$836,1,Inputs!$F$38,Inputs!$F$40)*Time!AK$8)</f>
        <v>0.58</v>
      </c>
      <c r="AL848" s="14" t="n">
        <f aca="false">MAX(Inputs!$F$47+CHOOSE(Operations!$F$836,0,Inputs!$F$39,0),Inputs!$F$45-Inputs!$F$46/100*CHOOSE(Operations!$F$836,1,Inputs!$F$38,Inputs!$F$40)*Time!AL$8)</f>
        <v>0.58</v>
      </c>
      <c r="AM848" s="14" t="n">
        <f aca="false">MAX(Inputs!$F$47+CHOOSE(Operations!$F$836,0,Inputs!$F$39,0),Inputs!$F$45-Inputs!$F$46/100*CHOOSE(Operations!$F$836,1,Inputs!$F$38,Inputs!$F$40)*Time!AM$8)</f>
        <v>0.58</v>
      </c>
      <c r="AN848" s="14" t="n">
        <f aca="false">MAX(Inputs!$F$47+CHOOSE(Operations!$F$836,0,Inputs!$F$39,0),Inputs!$F$45-Inputs!$F$46/100*CHOOSE(Operations!$F$836,1,Inputs!$F$38,Inputs!$F$40)*Time!AN$8)</f>
        <v>0.58</v>
      </c>
      <c r="AO848" s="14" t="n">
        <f aca="false">MAX(Inputs!$F$47+CHOOSE(Operations!$F$836,0,Inputs!$F$39,0),Inputs!$F$45-Inputs!$F$46/100*CHOOSE(Operations!$F$836,1,Inputs!$F$38,Inputs!$F$40)*Time!AO$8)</f>
        <v>0.58</v>
      </c>
      <c r="AP848" s="14" t="n">
        <f aca="false">MAX(Inputs!$F$47+CHOOSE(Operations!$F$836,0,Inputs!$F$39,0),Inputs!$F$45-Inputs!$F$46/100*CHOOSE(Operations!$F$836,1,Inputs!$F$38,Inputs!$F$40)*Time!AP$8)</f>
        <v>0.58</v>
      </c>
      <c r="AQ848" s="14" t="n">
        <f aca="false">MAX(Inputs!$F$47+CHOOSE(Operations!$F$836,0,Inputs!$F$39,0),Inputs!$F$45-Inputs!$F$46/100*CHOOSE(Operations!$F$836,1,Inputs!$F$38,Inputs!$F$40)*Time!AQ$8)</f>
        <v>0.58</v>
      </c>
      <c r="AR848" s="14" t="n">
        <f aca="false">MAX(Inputs!$F$47+CHOOSE(Operations!$F$836,0,Inputs!$F$39,0),Inputs!$F$45-Inputs!$F$46/100*CHOOSE(Operations!$F$836,1,Inputs!$F$38,Inputs!$F$40)*Time!AR$8)</f>
        <v>0.58</v>
      </c>
      <c r="AS848" s="14" t="n">
        <f aca="false">MAX(Inputs!$F$47+CHOOSE(Operations!$F$836,0,Inputs!$F$39,0),Inputs!$F$45-Inputs!$F$46/100*CHOOSE(Operations!$F$836,1,Inputs!$F$38,Inputs!$F$40)*Time!AS$8)</f>
        <v>0.58</v>
      </c>
      <c r="AT848" s="14" t="n">
        <f aca="false">MAX(Inputs!$F$47+CHOOSE(Operations!$F$836,0,Inputs!$F$39,0),Inputs!$F$45-Inputs!$F$46/100*CHOOSE(Operations!$F$836,1,Inputs!$F$38,Inputs!$F$40)*Time!AT$8)</f>
        <v>0.58</v>
      </c>
      <c r="AU848" s="14" t="n">
        <f aca="false">MAX(Inputs!$F$47+CHOOSE(Operations!$F$836,0,Inputs!$F$39,0),Inputs!$F$45-Inputs!$F$46/100*CHOOSE(Operations!$F$836,1,Inputs!$F$38,Inputs!$F$40)*Time!AU$8)</f>
        <v>0.58</v>
      </c>
    </row>
    <row r="849" customFormat="false" ht="15" hidden="false" customHeight="false" outlineLevel="0" collapsed="false">
      <c r="D849" s="0" t="s">
        <v>453</v>
      </c>
      <c r="E849" s="0" t="s">
        <v>54</v>
      </c>
      <c r="J849" s="14" t="n">
        <f aca="false">MAX(Inputs!$F$51+CHOOSE(Operations!$F$836,0,Inputs!$F$39,0),Inputs!$F$49-Inputs!$F$50/100*CHOOSE(Operations!$F$836,1,Inputs!$F$38,Inputs!$F$40)*Time!J$8)+Operations!$F$838/100</f>
        <v>0.86</v>
      </c>
      <c r="K849" s="14" t="n">
        <f aca="false">MAX(Inputs!$F$51+CHOOSE(Operations!$F$836,0,Inputs!$F$39,0),Inputs!$F$49-Inputs!$F$50/100*CHOOSE(Operations!$F$836,1,Inputs!$F$38,Inputs!$F$40)*Time!K$8)+Operations!$F$838/100</f>
        <v>0.84</v>
      </c>
      <c r="L849" s="14" t="n">
        <f aca="false">MAX(Inputs!$F$51+CHOOSE(Operations!$F$836,0,Inputs!$F$39,0),Inputs!$F$49-Inputs!$F$50/100*CHOOSE(Operations!$F$836,1,Inputs!$F$38,Inputs!$F$40)*Time!L$8)+Operations!$F$838/100</f>
        <v>0.82</v>
      </c>
      <c r="M849" s="14" t="n">
        <f aca="false">MAX(Inputs!$F$51+CHOOSE(Operations!$F$836,0,Inputs!$F$39,0),Inputs!$F$49-Inputs!$F$50/100*CHOOSE(Operations!$F$836,1,Inputs!$F$38,Inputs!$F$40)*Time!M$8)+Operations!$F$838/100</f>
        <v>0.8</v>
      </c>
      <c r="N849" s="14" t="n">
        <f aca="false">MAX(Inputs!$F$51+CHOOSE(Operations!$F$836,0,Inputs!$F$39,0),Inputs!$F$49-Inputs!$F$50/100*CHOOSE(Operations!$F$836,1,Inputs!$F$38,Inputs!$F$40)*Time!N$8)+Operations!$F$838/100</f>
        <v>0.78</v>
      </c>
      <c r="O849" s="14" t="n">
        <f aca="false">MAX(Inputs!$F$51+CHOOSE(Operations!$F$836,0,Inputs!$F$39,0),Inputs!$F$49-Inputs!$F$50/100*CHOOSE(Operations!$F$836,1,Inputs!$F$38,Inputs!$F$40)*Time!O$8)+Operations!$F$838/100</f>
        <v>0.76</v>
      </c>
      <c r="P849" s="14" t="n">
        <f aca="false">MAX(Inputs!$F$51+CHOOSE(Operations!$F$836,0,Inputs!$F$39,0),Inputs!$F$49-Inputs!$F$50/100*CHOOSE(Operations!$F$836,1,Inputs!$F$38,Inputs!$F$40)*Time!P$8)+Operations!$F$838/100</f>
        <v>0.74</v>
      </c>
      <c r="Q849" s="14" t="n">
        <f aca="false">MAX(Inputs!$F$51+CHOOSE(Operations!$F$836,0,Inputs!$F$39,0),Inputs!$F$49-Inputs!$F$50/100*CHOOSE(Operations!$F$836,1,Inputs!$F$38,Inputs!$F$40)*Time!Q$8)+Operations!$F$838/100</f>
        <v>0.72</v>
      </c>
      <c r="R849" s="14" t="n">
        <f aca="false">MAX(Inputs!$F$51+CHOOSE(Operations!$F$836,0,Inputs!$F$39,0),Inputs!$F$49-Inputs!$F$50/100*CHOOSE(Operations!$F$836,1,Inputs!$F$38,Inputs!$F$40)*Time!R$8)+Operations!$F$838/100</f>
        <v>0.7</v>
      </c>
      <c r="S849" s="14" t="n">
        <f aca="false">MAX(Inputs!$F$51+CHOOSE(Operations!$F$836,0,Inputs!$F$39,0),Inputs!$F$49-Inputs!$F$50/100*CHOOSE(Operations!$F$836,1,Inputs!$F$38,Inputs!$F$40)*Time!S$8)+Operations!$F$838/100</f>
        <v>0.68</v>
      </c>
      <c r="T849" s="14" t="n">
        <f aca="false">MAX(Inputs!$F$51+CHOOSE(Operations!$F$836,0,Inputs!$F$39,0),Inputs!$F$49-Inputs!$F$50/100*CHOOSE(Operations!$F$836,1,Inputs!$F$38,Inputs!$F$40)*Time!T$8)+Operations!$F$838/100</f>
        <v>0.66</v>
      </c>
      <c r="U849" s="14" t="n">
        <f aca="false">MAX(Inputs!$F$51+CHOOSE(Operations!$F$836,0,Inputs!$F$39,0),Inputs!$F$49-Inputs!$F$50/100*CHOOSE(Operations!$F$836,1,Inputs!$F$38,Inputs!$F$40)*Time!U$8)+Operations!$F$838/100</f>
        <v>0.64</v>
      </c>
      <c r="V849" s="14" t="n">
        <f aca="false">MAX(Inputs!$F$51+CHOOSE(Operations!$F$836,0,Inputs!$F$39,0),Inputs!$F$49-Inputs!$F$50/100*CHOOSE(Operations!$F$836,1,Inputs!$F$38,Inputs!$F$40)*Time!V$8)+Operations!$F$838/100</f>
        <v>0.62</v>
      </c>
      <c r="W849" s="14" t="n">
        <f aca="false">MAX(Inputs!$F$51+CHOOSE(Operations!$F$836,0,Inputs!$F$39,0),Inputs!$F$49-Inputs!$F$50/100*CHOOSE(Operations!$F$836,1,Inputs!$F$38,Inputs!$F$40)*Time!W$8)+Operations!$F$838/100</f>
        <v>0.6</v>
      </c>
      <c r="X849" s="14" t="n">
        <f aca="false">MAX(Inputs!$F$51+CHOOSE(Operations!$F$836,0,Inputs!$F$39,0),Inputs!$F$49-Inputs!$F$50/100*CHOOSE(Operations!$F$836,1,Inputs!$F$38,Inputs!$F$40)*Time!X$8)+Operations!$F$838/100</f>
        <v>0.6</v>
      </c>
      <c r="Y849" s="14" t="n">
        <f aca="false">MAX(Inputs!$F$51+CHOOSE(Operations!$F$836,0,Inputs!$F$39,0),Inputs!$F$49-Inputs!$F$50/100*CHOOSE(Operations!$F$836,1,Inputs!$F$38,Inputs!$F$40)*Time!Y$8)+Operations!$F$838/100</f>
        <v>0.6</v>
      </c>
      <c r="Z849" s="14" t="n">
        <f aca="false">MAX(Inputs!$F$51+CHOOSE(Operations!$F$836,0,Inputs!$F$39,0),Inputs!$F$49-Inputs!$F$50/100*CHOOSE(Operations!$F$836,1,Inputs!$F$38,Inputs!$F$40)*Time!Z$8)+Operations!$F$838/100</f>
        <v>0.6</v>
      </c>
      <c r="AA849" s="14" t="n">
        <f aca="false">MAX(Inputs!$F$51+CHOOSE(Operations!$F$836,0,Inputs!$F$39,0),Inputs!$F$49-Inputs!$F$50/100*CHOOSE(Operations!$F$836,1,Inputs!$F$38,Inputs!$F$40)*Time!AA$8)+Operations!$F$838/100</f>
        <v>0.6</v>
      </c>
      <c r="AB849" s="14" t="n">
        <f aca="false">MAX(Inputs!$F$51+CHOOSE(Operations!$F$836,0,Inputs!$F$39,0),Inputs!$F$49-Inputs!$F$50/100*CHOOSE(Operations!$F$836,1,Inputs!$F$38,Inputs!$F$40)*Time!AB$8)+Operations!$F$838/100</f>
        <v>0.6</v>
      </c>
      <c r="AC849" s="14" t="n">
        <f aca="false">MAX(Inputs!$F$51+CHOOSE(Operations!$F$836,0,Inputs!$F$39,0),Inputs!$F$49-Inputs!$F$50/100*CHOOSE(Operations!$F$836,1,Inputs!$F$38,Inputs!$F$40)*Time!AC$8)+Operations!$F$838/100</f>
        <v>0.6</v>
      </c>
      <c r="AD849" s="14" t="n">
        <f aca="false">MAX(Inputs!$F$51+CHOOSE(Operations!$F$836,0,Inputs!$F$39,0),Inputs!$F$49-Inputs!$F$50/100*CHOOSE(Operations!$F$836,1,Inputs!$F$38,Inputs!$F$40)*Time!AD$8)+Operations!$F$838/100</f>
        <v>0.6</v>
      </c>
      <c r="AE849" s="14" t="n">
        <f aca="false">MAX(Inputs!$F$51+CHOOSE(Operations!$F$836,0,Inputs!$F$39,0),Inputs!$F$49-Inputs!$F$50/100*CHOOSE(Operations!$F$836,1,Inputs!$F$38,Inputs!$F$40)*Time!AE$8)+Operations!$F$838/100</f>
        <v>0.6</v>
      </c>
      <c r="AF849" s="14" t="n">
        <f aca="false">MAX(Inputs!$F$51+CHOOSE(Operations!$F$836,0,Inputs!$F$39,0),Inputs!$F$49-Inputs!$F$50/100*CHOOSE(Operations!$F$836,1,Inputs!$F$38,Inputs!$F$40)*Time!AF$8)+Operations!$F$838/100</f>
        <v>0.6</v>
      </c>
      <c r="AG849" s="14" t="n">
        <f aca="false">MAX(Inputs!$F$51+CHOOSE(Operations!$F$836,0,Inputs!$F$39,0),Inputs!$F$49-Inputs!$F$50/100*CHOOSE(Operations!$F$836,1,Inputs!$F$38,Inputs!$F$40)*Time!AG$8)+Operations!$F$838/100</f>
        <v>0.6</v>
      </c>
      <c r="AH849" s="14" t="n">
        <f aca="false">MAX(Inputs!$F$51+CHOOSE(Operations!$F$836,0,Inputs!$F$39,0),Inputs!$F$49-Inputs!$F$50/100*CHOOSE(Operations!$F$836,1,Inputs!$F$38,Inputs!$F$40)*Time!AH$8)+Operations!$F$838/100</f>
        <v>0.6</v>
      </c>
      <c r="AI849" s="14" t="n">
        <f aca="false">MAX(Inputs!$F$51+CHOOSE(Operations!$F$836,0,Inputs!$F$39,0),Inputs!$F$49-Inputs!$F$50/100*CHOOSE(Operations!$F$836,1,Inputs!$F$38,Inputs!$F$40)*Time!AI$8)+Operations!$F$838/100</f>
        <v>0.6</v>
      </c>
      <c r="AJ849" s="14" t="n">
        <f aca="false">MAX(Inputs!$F$51+CHOOSE(Operations!$F$836,0,Inputs!$F$39,0),Inputs!$F$49-Inputs!$F$50/100*CHOOSE(Operations!$F$836,1,Inputs!$F$38,Inputs!$F$40)*Time!AJ$8)+Operations!$F$838/100</f>
        <v>0.6</v>
      </c>
      <c r="AK849" s="14" t="n">
        <f aca="false">MAX(Inputs!$F$51+CHOOSE(Operations!$F$836,0,Inputs!$F$39,0),Inputs!$F$49-Inputs!$F$50/100*CHOOSE(Operations!$F$836,1,Inputs!$F$38,Inputs!$F$40)*Time!AK$8)+Operations!$F$838/100</f>
        <v>0.6</v>
      </c>
      <c r="AL849" s="14" t="n">
        <f aca="false">MAX(Inputs!$F$51+CHOOSE(Operations!$F$836,0,Inputs!$F$39,0),Inputs!$F$49-Inputs!$F$50/100*CHOOSE(Operations!$F$836,1,Inputs!$F$38,Inputs!$F$40)*Time!AL$8)+Operations!$F$838/100</f>
        <v>0.6</v>
      </c>
      <c r="AM849" s="14" t="n">
        <f aca="false">MAX(Inputs!$F$51+CHOOSE(Operations!$F$836,0,Inputs!$F$39,0),Inputs!$F$49-Inputs!$F$50/100*CHOOSE(Operations!$F$836,1,Inputs!$F$38,Inputs!$F$40)*Time!AM$8)+Operations!$F$838/100</f>
        <v>0.6</v>
      </c>
      <c r="AN849" s="14" t="n">
        <f aca="false">MAX(Inputs!$F$51+CHOOSE(Operations!$F$836,0,Inputs!$F$39,0),Inputs!$F$49-Inputs!$F$50/100*CHOOSE(Operations!$F$836,1,Inputs!$F$38,Inputs!$F$40)*Time!AN$8)+Operations!$F$838/100</f>
        <v>0.6</v>
      </c>
      <c r="AO849" s="14" t="n">
        <f aca="false">MAX(Inputs!$F$51+CHOOSE(Operations!$F$836,0,Inputs!$F$39,0),Inputs!$F$49-Inputs!$F$50/100*CHOOSE(Operations!$F$836,1,Inputs!$F$38,Inputs!$F$40)*Time!AO$8)+Operations!$F$838/100</f>
        <v>0.6</v>
      </c>
      <c r="AP849" s="14" t="n">
        <f aca="false">MAX(Inputs!$F$51+CHOOSE(Operations!$F$836,0,Inputs!$F$39,0),Inputs!$F$49-Inputs!$F$50/100*CHOOSE(Operations!$F$836,1,Inputs!$F$38,Inputs!$F$40)*Time!AP$8)+Operations!$F$838/100</f>
        <v>0.6</v>
      </c>
      <c r="AQ849" s="14" t="n">
        <f aca="false">MAX(Inputs!$F$51+CHOOSE(Operations!$F$836,0,Inputs!$F$39,0),Inputs!$F$49-Inputs!$F$50/100*CHOOSE(Operations!$F$836,1,Inputs!$F$38,Inputs!$F$40)*Time!AQ$8)+Operations!$F$838/100</f>
        <v>0.6</v>
      </c>
      <c r="AR849" s="14" t="n">
        <f aca="false">MAX(Inputs!$F$51+CHOOSE(Operations!$F$836,0,Inputs!$F$39,0),Inputs!$F$49-Inputs!$F$50/100*CHOOSE(Operations!$F$836,1,Inputs!$F$38,Inputs!$F$40)*Time!AR$8)+Operations!$F$838/100</f>
        <v>0.6</v>
      </c>
      <c r="AS849" s="14" t="n">
        <f aca="false">MAX(Inputs!$F$51+CHOOSE(Operations!$F$836,0,Inputs!$F$39,0),Inputs!$F$49-Inputs!$F$50/100*CHOOSE(Operations!$F$836,1,Inputs!$F$38,Inputs!$F$40)*Time!AS$8)+Operations!$F$838/100</f>
        <v>0.6</v>
      </c>
      <c r="AT849" s="14" t="n">
        <f aca="false">MAX(Inputs!$F$51+CHOOSE(Operations!$F$836,0,Inputs!$F$39,0),Inputs!$F$49-Inputs!$F$50/100*CHOOSE(Operations!$F$836,1,Inputs!$F$38,Inputs!$F$40)*Time!AT$8)+Operations!$F$838/100</f>
        <v>0.6</v>
      </c>
      <c r="AU849" s="14" t="n">
        <f aca="false">MAX(Inputs!$F$51+CHOOSE(Operations!$F$836,0,Inputs!$F$39,0),Inputs!$F$49-Inputs!$F$50/100*CHOOSE(Operations!$F$836,1,Inputs!$F$38,Inputs!$F$40)*Time!AU$8)+Operations!$F$838/100</f>
        <v>0.6</v>
      </c>
    </row>
    <row r="850" customFormat="false" ht="15" hidden="false" customHeight="false" outlineLevel="0" collapsed="false">
      <c r="D850" s="0" t="s">
        <v>454</v>
      </c>
      <c r="E850" s="0" t="s">
        <v>54</v>
      </c>
      <c r="J850" s="14" t="n">
        <f aca="false">MAX(Inputs!$F$55+CHOOSE(Operations!$F$836,0,Inputs!$F$39,0),Inputs!$F$53-Inputs!$F$54/100*CHOOSE(Operations!$F$836,1,Inputs!$F$38,Inputs!$F$40)*Time!J$8)</f>
        <v>0.9</v>
      </c>
      <c r="K850" s="14" t="n">
        <f aca="false">MAX(Inputs!$F$55+CHOOSE(Operations!$F$836,0,Inputs!$F$39,0),Inputs!$F$53-Inputs!$F$54/100*CHOOSE(Operations!$F$836,1,Inputs!$F$38,Inputs!$F$40)*Time!K$8)</f>
        <v>0.882</v>
      </c>
      <c r="L850" s="14" t="n">
        <f aca="false">MAX(Inputs!$F$55+CHOOSE(Operations!$F$836,0,Inputs!$F$39,0),Inputs!$F$53-Inputs!$F$54/100*CHOOSE(Operations!$F$836,1,Inputs!$F$38,Inputs!$F$40)*Time!L$8)</f>
        <v>0.864</v>
      </c>
      <c r="M850" s="14" t="n">
        <f aca="false">MAX(Inputs!$F$55+CHOOSE(Operations!$F$836,0,Inputs!$F$39,0),Inputs!$F$53-Inputs!$F$54/100*CHOOSE(Operations!$F$836,1,Inputs!$F$38,Inputs!$F$40)*Time!M$8)</f>
        <v>0.846</v>
      </c>
      <c r="N850" s="14" t="n">
        <f aca="false">MAX(Inputs!$F$55+CHOOSE(Operations!$F$836,0,Inputs!$F$39,0),Inputs!$F$53-Inputs!$F$54/100*CHOOSE(Operations!$F$836,1,Inputs!$F$38,Inputs!$F$40)*Time!N$8)</f>
        <v>0.828</v>
      </c>
      <c r="O850" s="14" t="n">
        <f aca="false">MAX(Inputs!$F$55+CHOOSE(Operations!$F$836,0,Inputs!$F$39,0),Inputs!$F$53-Inputs!$F$54/100*CHOOSE(Operations!$F$836,1,Inputs!$F$38,Inputs!$F$40)*Time!O$8)</f>
        <v>0.81</v>
      </c>
      <c r="P850" s="14" t="n">
        <f aca="false">MAX(Inputs!$F$55+CHOOSE(Operations!$F$836,0,Inputs!$F$39,0),Inputs!$F$53-Inputs!$F$54/100*CHOOSE(Operations!$F$836,1,Inputs!$F$38,Inputs!$F$40)*Time!P$8)</f>
        <v>0.792</v>
      </c>
      <c r="Q850" s="14" t="n">
        <f aca="false">MAX(Inputs!$F$55+CHOOSE(Operations!$F$836,0,Inputs!$F$39,0),Inputs!$F$53-Inputs!$F$54/100*CHOOSE(Operations!$F$836,1,Inputs!$F$38,Inputs!$F$40)*Time!Q$8)</f>
        <v>0.774</v>
      </c>
      <c r="R850" s="14" t="n">
        <f aca="false">MAX(Inputs!$F$55+CHOOSE(Operations!$F$836,0,Inputs!$F$39,0),Inputs!$F$53-Inputs!$F$54/100*CHOOSE(Operations!$F$836,1,Inputs!$F$38,Inputs!$F$40)*Time!R$8)</f>
        <v>0.756</v>
      </c>
      <c r="S850" s="14" t="n">
        <f aca="false">MAX(Inputs!$F$55+CHOOSE(Operations!$F$836,0,Inputs!$F$39,0),Inputs!$F$53-Inputs!$F$54/100*CHOOSE(Operations!$F$836,1,Inputs!$F$38,Inputs!$F$40)*Time!S$8)</f>
        <v>0.738</v>
      </c>
      <c r="T850" s="14" t="n">
        <f aca="false">MAX(Inputs!$F$55+CHOOSE(Operations!$F$836,0,Inputs!$F$39,0),Inputs!$F$53-Inputs!$F$54/100*CHOOSE(Operations!$F$836,1,Inputs!$F$38,Inputs!$F$40)*Time!T$8)</f>
        <v>0.72</v>
      </c>
      <c r="U850" s="14" t="n">
        <f aca="false">MAX(Inputs!$F$55+CHOOSE(Operations!$F$836,0,Inputs!$F$39,0),Inputs!$F$53-Inputs!$F$54/100*CHOOSE(Operations!$F$836,1,Inputs!$F$38,Inputs!$F$40)*Time!U$8)</f>
        <v>0.702</v>
      </c>
      <c r="V850" s="14" t="n">
        <f aca="false">MAX(Inputs!$F$55+CHOOSE(Operations!$F$836,0,Inputs!$F$39,0),Inputs!$F$53-Inputs!$F$54/100*CHOOSE(Operations!$F$836,1,Inputs!$F$38,Inputs!$F$40)*Time!V$8)</f>
        <v>0.684</v>
      </c>
      <c r="W850" s="14" t="n">
        <f aca="false">MAX(Inputs!$F$55+CHOOSE(Operations!$F$836,0,Inputs!$F$39,0),Inputs!$F$53-Inputs!$F$54/100*CHOOSE(Operations!$F$836,1,Inputs!$F$38,Inputs!$F$40)*Time!W$8)</f>
        <v>0.666</v>
      </c>
      <c r="X850" s="14" t="n">
        <f aca="false">MAX(Inputs!$F$55+CHOOSE(Operations!$F$836,0,Inputs!$F$39,0),Inputs!$F$53-Inputs!$F$54/100*CHOOSE(Operations!$F$836,1,Inputs!$F$38,Inputs!$F$40)*Time!X$8)</f>
        <v>0.648</v>
      </c>
      <c r="Y850" s="14" t="n">
        <f aca="false">MAX(Inputs!$F$55+CHOOSE(Operations!$F$836,0,Inputs!$F$39,0),Inputs!$F$53-Inputs!$F$54/100*CHOOSE(Operations!$F$836,1,Inputs!$F$38,Inputs!$F$40)*Time!Y$8)</f>
        <v>0.64</v>
      </c>
      <c r="Z850" s="14" t="n">
        <f aca="false">MAX(Inputs!$F$55+CHOOSE(Operations!$F$836,0,Inputs!$F$39,0),Inputs!$F$53-Inputs!$F$54/100*CHOOSE(Operations!$F$836,1,Inputs!$F$38,Inputs!$F$40)*Time!Z$8)</f>
        <v>0.64</v>
      </c>
      <c r="AA850" s="14" t="n">
        <f aca="false">MAX(Inputs!$F$55+CHOOSE(Operations!$F$836,0,Inputs!$F$39,0),Inputs!$F$53-Inputs!$F$54/100*CHOOSE(Operations!$F$836,1,Inputs!$F$38,Inputs!$F$40)*Time!AA$8)</f>
        <v>0.64</v>
      </c>
      <c r="AB850" s="14" t="n">
        <f aca="false">MAX(Inputs!$F$55+CHOOSE(Operations!$F$836,0,Inputs!$F$39,0),Inputs!$F$53-Inputs!$F$54/100*CHOOSE(Operations!$F$836,1,Inputs!$F$38,Inputs!$F$40)*Time!AB$8)</f>
        <v>0.64</v>
      </c>
      <c r="AC850" s="14" t="n">
        <f aca="false">MAX(Inputs!$F$55+CHOOSE(Operations!$F$836,0,Inputs!$F$39,0),Inputs!$F$53-Inputs!$F$54/100*CHOOSE(Operations!$F$836,1,Inputs!$F$38,Inputs!$F$40)*Time!AC$8)</f>
        <v>0.64</v>
      </c>
      <c r="AD850" s="14" t="n">
        <f aca="false">MAX(Inputs!$F$55+CHOOSE(Operations!$F$836,0,Inputs!$F$39,0),Inputs!$F$53-Inputs!$F$54/100*CHOOSE(Operations!$F$836,1,Inputs!$F$38,Inputs!$F$40)*Time!AD$8)</f>
        <v>0.64</v>
      </c>
      <c r="AE850" s="14" t="n">
        <f aca="false">MAX(Inputs!$F$55+CHOOSE(Operations!$F$836,0,Inputs!$F$39,0),Inputs!$F$53-Inputs!$F$54/100*CHOOSE(Operations!$F$836,1,Inputs!$F$38,Inputs!$F$40)*Time!AE$8)</f>
        <v>0.64</v>
      </c>
      <c r="AF850" s="14" t="n">
        <f aca="false">MAX(Inputs!$F$55+CHOOSE(Operations!$F$836,0,Inputs!$F$39,0),Inputs!$F$53-Inputs!$F$54/100*CHOOSE(Operations!$F$836,1,Inputs!$F$38,Inputs!$F$40)*Time!AF$8)</f>
        <v>0.64</v>
      </c>
      <c r="AG850" s="14" t="n">
        <f aca="false">MAX(Inputs!$F$55+CHOOSE(Operations!$F$836,0,Inputs!$F$39,0),Inputs!$F$53-Inputs!$F$54/100*CHOOSE(Operations!$F$836,1,Inputs!$F$38,Inputs!$F$40)*Time!AG$8)</f>
        <v>0.64</v>
      </c>
      <c r="AH850" s="14" t="n">
        <f aca="false">MAX(Inputs!$F$55+CHOOSE(Operations!$F$836,0,Inputs!$F$39,0),Inputs!$F$53-Inputs!$F$54/100*CHOOSE(Operations!$F$836,1,Inputs!$F$38,Inputs!$F$40)*Time!AH$8)</f>
        <v>0.64</v>
      </c>
      <c r="AI850" s="14" t="n">
        <f aca="false">MAX(Inputs!$F$55+CHOOSE(Operations!$F$836,0,Inputs!$F$39,0),Inputs!$F$53-Inputs!$F$54/100*CHOOSE(Operations!$F$836,1,Inputs!$F$38,Inputs!$F$40)*Time!AI$8)</f>
        <v>0.64</v>
      </c>
      <c r="AJ850" s="14" t="n">
        <f aca="false">MAX(Inputs!$F$55+CHOOSE(Operations!$F$836,0,Inputs!$F$39,0),Inputs!$F$53-Inputs!$F$54/100*CHOOSE(Operations!$F$836,1,Inputs!$F$38,Inputs!$F$40)*Time!AJ$8)</f>
        <v>0.64</v>
      </c>
      <c r="AK850" s="14" t="n">
        <f aca="false">MAX(Inputs!$F$55+CHOOSE(Operations!$F$836,0,Inputs!$F$39,0),Inputs!$F$53-Inputs!$F$54/100*CHOOSE(Operations!$F$836,1,Inputs!$F$38,Inputs!$F$40)*Time!AK$8)</f>
        <v>0.64</v>
      </c>
      <c r="AL850" s="14" t="n">
        <f aca="false">MAX(Inputs!$F$55+CHOOSE(Operations!$F$836,0,Inputs!$F$39,0),Inputs!$F$53-Inputs!$F$54/100*CHOOSE(Operations!$F$836,1,Inputs!$F$38,Inputs!$F$40)*Time!AL$8)</f>
        <v>0.64</v>
      </c>
      <c r="AM850" s="14" t="n">
        <f aca="false">MAX(Inputs!$F$55+CHOOSE(Operations!$F$836,0,Inputs!$F$39,0),Inputs!$F$53-Inputs!$F$54/100*CHOOSE(Operations!$F$836,1,Inputs!$F$38,Inputs!$F$40)*Time!AM$8)</f>
        <v>0.64</v>
      </c>
      <c r="AN850" s="14" t="n">
        <f aca="false">MAX(Inputs!$F$55+CHOOSE(Operations!$F$836,0,Inputs!$F$39,0),Inputs!$F$53-Inputs!$F$54/100*CHOOSE(Operations!$F$836,1,Inputs!$F$38,Inputs!$F$40)*Time!AN$8)</f>
        <v>0.64</v>
      </c>
      <c r="AO850" s="14" t="n">
        <f aca="false">MAX(Inputs!$F$55+CHOOSE(Operations!$F$836,0,Inputs!$F$39,0),Inputs!$F$53-Inputs!$F$54/100*CHOOSE(Operations!$F$836,1,Inputs!$F$38,Inputs!$F$40)*Time!AO$8)</f>
        <v>0.64</v>
      </c>
      <c r="AP850" s="14" t="n">
        <f aca="false">MAX(Inputs!$F$55+CHOOSE(Operations!$F$836,0,Inputs!$F$39,0),Inputs!$F$53-Inputs!$F$54/100*CHOOSE(Operations!$F$836,1,Inputs!$F$38,Inputs!$F$40)*Time!AP$8)</f>
        <v>0.64</v>
      </c>
      <c r="AQ850" s="14" t="n">
        <f aca="false">MAX(Inputs!$F$55+CHOOSE(Operations!$F$836,0,Inputs!$F$39,0),Inputs!$F$53-Inputs!$F$54/100*CHOOSE(Operations!$F$836,1,Inputs!$F$38,Inputs!$F$40)*Time!AQ$8)</f>
        <v>0.64</v>
      </c>
      <c r="AR850" s="14" t="n">
        <f aca="false">MAX(Inputs!$F$55+CHOOSE(Operations!$F$836,0,Inputs!$F$39,0),Inputs!$F$53-Inputs!$F$54/100*CHOOSE(Operations!$F$836,1,Inputs!$F$38,Inputs!$F$40)*Time!AR$8)</f>
        <v>0.64</v>
      </c>
      <c r="AS850" s="14" t="n">
        <f aca="false">MAX(Inputs!$F$55+CHOOSE(Operations!$F$836,0,Inputs!$F$39,0),Inputs!$F$53-Inputs!$F$54/100*CHOOSE(Operations!$F$836,1,Inputs!$F$38,Inputs!$F$40)*Time!AS$8)</f>
        <v>0.64</v>
      </c>
      <c r="AT850" s="14" t="n">
        <f aca="false">MAX(Inputs!$F$55+CHOOSE(Operations!$F$836,0,Inputs!$F$39,0),Inputs!$F$53-Inputs!$F$54/100*CHOOSE(Operations!$F$836,1,Inputs!$F$38,Inputs!$F$40)*Time!AT$8)</f>
        <v>0.64</v>
      </c>
      <c r="AU850" s="14" t="n">
        <f aca="false">MAX(Inputs!$F$55+CHOOSE(Operations!$F$836,0,Inputs!$F$39,0),Inputs!$F$53-Inputs!$F$54/100*CHOOSE(Operations!$F$836,1,Inputs!$F$38,Inputs!$F$40)*Time!AU$8)</f>
        <v>0.64</v>
      </c>
    </row>
    <row r="851" customFormat="false" ht="15" hidden="false" customHeight="false" outlineLevel="0" collapsed="false">
      <c r="D851" s="0" t="s">
        <v>455</v>
      </c>
      <c r="E851" s="0" t="s">
        <v>54</v>
      </c>
      <c r="J851" s="14" t="n">
        <f aca="false">MAX(Inputs!$F$59+CHOOSE(Operations!$F$836,0,Inputs!$F$39,0),Inputs!$F$57-Inputs!$F$58/100*CHOOSE(Operations!$F$836,1,Inputs!$F$38,Inputs!$F$40)*Time!J$8)</f>
        <v>0.92</v>
      </c>
      <c r="K851" s="14" t="n">
        <f aca="false">MAX(Inputs!$F$59+CHOOSE(Operations!$F$836,0,Inputs!$F$39,0),Inputs!$F$57-Inputs!$F$58/100*CHOOSE(Operations!$F$836,1,Inputs!$F$38,Inputs!$F$40)*Time!K$8)</f>
        <v>0.917</v>
      </c>
      <c r="L851" s="14" t="n">
        <f aca="false">MAX(Inputs!$F$59+CHOOSE(Operations!$F$836,0,Inputs!$F$39,0),Inputs!$F$57-Inputs!$F$58/100*CHOOSE(Operations!$F$836,1,Inputs!$F$38,Inputs!$F$40)*Time!L$8)</f>
        <v>0.914</v>
      </c>
      <c r="M851" s="14" t="n">
        <f aca="false">MAX(Inputs!$F$59+CHOOSE(Operations!$F$836,0,Inputs!$F$39,0),Inputs!$F$57-Inputs!$F$58/100*CHOOSE(Operations!$F$836,1,Inputs!$F$38,Inputs!$F$40)*Time!M$8)</f>
        <v>0.911</v>
      </c>
      <c r="N851" s="14" t="n">
        <f aca="false">MAX(Inputs!$F$59+CHOOSE(Operations!$F$836,0,Inputs!$F$39,0),Inputs!$F$57-Inputs!$F$58/100*CHOOSE(Operations!$F$836,1,Inputs!$F$38,Inputs!$F$40)*Time!N$8)</f>
        <v>0.908</v>
      </c>
      <c r="O851" s="14" t="n">
        <f aca="false">MAX(Inputs!$F$59+CHOOSE(Operations!$F$836,0,Inputs!$F$39,0),Inputs!$F$57-Inputs!$F$58/100*CHOOSE(Operations!$F$836,1,Inputs!$F$38,Inputs!$F$40)*Time!O$8)</f>
        <v>0.905</v>
      </c>
      <c r="P851" s="14" t="n">
        <f aca="false">MAX(Inputs!$F$59+CHOOSE(Operations!$F$836,0,Inputs!$F$39,0),Inputs!$F$57-Inputs!$F$58/100*CHOOSE(Operations!$F$836,1,Inputs!$F$38,Inputs!$F$40)*Time!P$8)</f>
        <v>0.902</v>
      </c>
      <c r="Q851" s="14" t="n">
        <f aca="false">MAX(Inputs!$F$59+CHOOSE(Operations!$F$836,0,Inputs!$F$39,0),Inputs!$F$57-Inputs!$F$58/100*CHOOSE(Operations!$F$836,1,Inputs!$F$38,Inputs!$F$40)*Time!Q$8)</f>
        <v>0.899</v>
      </c>
      <c r="R851" s="14" t="n">
        <f aca="false">MAX(Inputs!$F$59+CHOOSE(Operations!$F$836,0,Inputs!$F$39,0),Inputs!$F$57-Inputs!$F$58/100*CHOOSE(Operations!$F$836,1,Inputs!$F$38,Inputs!$F$40)*Time!R$8)</f>
        <v>0.896</v>
      </c>
      <c r="S851" s="14" t="n">
        <f aca="false">MAX(Inputs!$F$59+CHOOSE(Operations!$F$836,0,Inputs!$F$39,0),Inputs!$F$57-Inputs!$F$58/100*CHOOSE(Operations!$F$836,1,Inputs!$F$38,Inputs!$F$40)*Time!S$8)</f>
        <v>0.893</v>
      </c>
      <c r="T851" s="14" t="n">
        <f aca="false">MAX(Inputs!$F$59+CHOOSE(Operations!$F$836,0,Inputs!$F$39,0),Inputs!$F$57-Inputs!$F$58/100*CHOOSE(Operations!$F$836,1,Inputs!$F$38,Inputs!$F$40)*Time!T$8)</f>
        <v>0.89</v>
      </c>
      <c r="U851" s="14" t="n">
        <f aca="false">MAX(Inputs!$F$59+CHOOSE(Operations!$F$836,0,Inputs!$F$39,0),Inputs!$F$57-Inputs!$F$58/100*CHOOSE(Operations!$F$836,1,Inputs!$F$38,Inputs!$F$40)*Time!U$8)</f>
        <v>0.887</v>
      </c>
      <c r="V851" s="14" t="n">
        <f aca="false">MAX(Inputs!$F$59+CHOOSE(Operations!$F$836,0,Inputs!$F$39,0),Inputs!$F$57-Inputs!$F$58/100*CHOOSE(Operations!$F$836,1,Inputs!$F$38,Inputs!$F$40)*Time!V$8)</f>
        <v>0.884</v>
      </c>
      <c r="W851" s="14" t="n">
        <f aca="false">MAX(Inputs!$F$59+CHOOSE(Operations!$F$836,0,Inputs!$F$39,0),Inputs!$F$57-Inputs!$F$58/100*CHOOSE(Operations!$F$836,1,Inputs!$F$38,Inputs!$F$40)*Time!W$8)</f>
        <v>0.881</v>
      </c>
      <c r="X851" s="14" t="n">
        <f aca="false">MAX(Inputs!$F$59+CHOOSE(Operations!$F$836,0,Inputs!$F$39,0),Inputs!$F$57-Inputs!$F$58/100*CHOOSE(Operations!$F$836,1,Inputs!$F$38,Inputs!$F$40)*Time!X$8)</f>
        <v>0.878</v>
      </c>
      <c r="Y851" s="14" t="n">
        <f aca="false">MAX(Inputs!$F$59+CHOOSE(Operations!$F$836,0,Inputs!$F$39,0),Inputs!$F$57-Inputs!$F$58/100*CHOOSE(Operations!$F$836,1,Inputs!$F$38,Inputs!$F$40)*Time!Y$8)</f>
        <v>0.875</v>
      </c>
      <c r="Z851" s="14" t="n">
        <f aca="false">MAX(Inputs!$F$59+CHOOSE(Operations!$F$836,0,Inputs!$F$39,0),Inputs!$F$57-Inputs!$F$58/100*CHOOSE(Operations!$F$836,1,Inputs!$F$38,Inputs!$F$40)*Time!Z$8)</f>
        <v>0.872</v>
      </c>
      <c r="AA851" s="14" t="n">
        <f aca="false">MAX(Inputs!$F$59+CHOOSE(Operations!$F$836,0,Inputs!$F$39,0),Inputs!$F$57-Inputs!$F$58/100*CHOOSE(Operations!$F$836,1,Inputs!$F$38,Inputs!$F$40)*Time!AA$8)</f>
        <v>0.869</v>
      </c>
      <c r="AB851" s="14" t="n">
        <f aca="false">MAX(Inputs!$F$59+CHOOSE(Operations!$F$836,0,Inputs!$F$39,0),Inputs!$F$57-Inputs!$F$58/100*CHOOSE(Operations!$F$836,1,Inputs!$F$38,Inputs!$F$40)*Time!AB$8)</f>
        <v>0.866</v>
      </c>
      <c r="AC851" s="14" t="n">
        <f aca="false">MAX(Inputs!$F$59+CHOOSE(Operations!$F$836,0,Inputs!$F$39,0),Inputs!$F$57-Inputs!$F$58/100*CHOOSE(Operations!$F$836,1,Inputs!$F$38,Inputs!$F$40)*Time!AC$8)</f>
        <v>0.863</v>
      </c>
      <c r="AD851" s="14" t="n">
        <f aca="false">MAX(Inputs!$F$59+CHOOSE(Operations!$F$836,0,Inputs!$F$39,0),Inputs!$F$57-Inputs!$F$58/100*CHOOSE(Operations!$F$836,1,Inputs!$F$38,Inputs!$F$40)*Time!AD$8)</f>
        <v>0.86</v>
      </c>
      <c r="AE851" s="14" t="n">
        <f aca="false">MAX(Inputs!$F$59+CHOOSE(Operations!$F$836,0,Inputs!$F$39,0),Inputs!$F$57-Inputs!$F$58/100*CHOOSE(Operations!$F$836,1,Inputs!$F$38,Inputs!$F$40)*Time!AE$8)</f>
        <v>0.857</v>
      </c>
      <c r="AF851" s="14" t="n">
        <f aca="false">MAX(Inputs!$F$59+CHOOSE(Operations!$F$836,0,Inputs!$F$39,0),Inputs!$F$57-Inputs!$F$58/100*CHOOSE(Operations!$F$836,1,Inputs!$F$38,Inputs!$F$40)*Time!AF$8)</f>
        <v>0.854</v>
      </c>
      <c r="AG851" s="14" t="n">
        <f aca="false">MAX(Inputs!$F$59+CHOOSE(Operations!$F$836,0,Inputs!$F$39,0),Inputs!$F$57-Inputs!$F$58/100*CHOOSE(Operations!$F$836,1,Inputs!$F$38,Inputs!$F$40)*Time!AG$8)</f>
        <v>0.851</v>
      </c>
      <c r="AH851" s="14" t="n">
        <f aca="false">MAX(Inputs!$F$59+CHOOSE(Operations!$F$836,0,Inputs!$F$39,0),Inputs!$F$57-Inputs!$F$58/100*CHOOSE(Operations!$F$836,1,Inputs!$F$38,Inputs!$F$40)*Time!AH$8)</f>
        <v>0.85</v>
      </c>
      <c r="AI851" s="14" t="n">
        <f aca="false">MAX(Inputs!$F$59+CHOOSE(Operations!$F$836,0,Inputs!$F$39,0),Inputs!$F$57-Inputs!$F$58/100*CHOOSE(Operations!$F$836,1,Inputs!$F$38,Inputs!$F$40)*Time!AI$8)</f>
        <v>0.85</v>
      </c>
      <c r="AJ851" s="14" t="n">
        <f aca="false">MAX(Inputs!$F$59+CHOOSE(Operations!$F$836,0,Inputs!$F$39,0),Inputs!$F$57-Inputs!$F$58/100*CHOOSE(Operations!$F$836,1,Inputs!$F$38,Inputs!$F$40)*Time!AJ$8)</f>
        <v>0.85</v>
      </c>
      <c r="AK851" s="14" t="n">
        <f aca="false">MAX(Inputs!$F$59+CHOOSE(Operations!$F$836,0,Inputs!$F$39,0),Inputs!$F$57-Inputs!$F$58/100*CHOOSE(Operations!$F$836,1,Inputs!$F$38,Inputs!$F$40)*Time!AK$8)</f>
        <v>0.85</v>
      </c>
      <c r="AL851" s="14" t="n">
        <f aca="false">MAX(Inputs!$F$59+CHOOSE(Operations!$F$836,0,Inputs!$F$39,0),Inputs!$F$57-Inputs!$F$58/100*CHOOSE(Operations!$F$836,1,Inputs!$F$38,Inputs!$F$40)*Time!AL$8)</f>
        <v>0.85</v>
      </c>
      <c r="AM851" s="14" t="n">
        <f aca="false">MAX(Inputs!$F$59+CHOOSE(Operations!$F$836,0,Inputs!$F$39,0),Inputs!$F$57-Inputs!$F$58/100*CHOOSE(Operations!$F$836,1,Inputs!$F$38,Inputs!$F$40)*Time!AM$8)</f>
        <v>0.85</v>
      </c>
      <c r="AN851" s="14" t="n">
        <f aca="false">MAX(Inputs!$F$59+CHOOSE(Operations!$F$836,0,Inputs!$F$39,0),Inputs!$F$57-Inputs!$F$58/100*CHOOSE(Operations!$F$836,1,Inputs!$F$38,Inputs!$F$40)*Time!AN$8)</f>
        <v>0.85</v>
      </c>
      <c r="AO851" s="14" t="n">
        <f aca="false">MAX(Inputs!$F$59+CHOOSE(Operations!$F$836,0,Inputs!$F$39,0),Inputs!$F$57-Inputs!$F$58/100*CHOOSE(Operations!$F$836,1,Inputs!$F$38,Inputs!$F$40)*Time!AO$8)</f>
        <v>0.85</v>
      </c>
      <c r="AP851" s="14" t="n">
        <f aca="false">MAX(Inputs!$F$59+CHOOSE(Operations!$F$836,0,Inputs!$F$39,0),Inputs!$F$57-Inputs!$F$58/100*CHOOSE(Operations!$F$836,1,Inputs!$F$38,Inputs!$F$40)*Time!AP$8)</f>
        <v>0.85</v>
      </c>
      <c r="AQ851" s="14" t="n">
        <f aca="false">MAX(Inputs!$F$59+CHOOSE(Operations!$F$836,0,Inputs!$F$39,0),Inputs!$F$57-Inputs!$F$58/100*CHOOSE(Operations!$F$836,1,Inputs!$F$38,Inputs!$F$40)*Time!AQ$8)</f>
        <v>0.85</v>
      </c>
      <c r="AR851" s="14" t="n">
        <f aca="false">MAX(Inputs!$F$59+CHOOSE(Operations!$F$836,0,Inputs!$F$39,0),Inputs!$F$57-Inputs!$F$58/100*CHOOSE(Operations!$F$836,1,Inputs!$F$38,Inputs!$F$40)*Time!AR$8)</f>
        <v>0.85</v>
      </c>
      <c r="AS851" s="14" t="n">
        <f aca="false">MAX(Inputs!$F$59+CHOOSE(Operations!$F$836,0,Inputs!$F$39,0),Inputs!$F$57-Inputs!$F$58/100*CHOOSE(Operations!$F$836,1,Inputs!$F$38,Inputs!$F$40)*Time!AS$8)</f>
        <v>0.85</v>
      </c>
      <c r="AT851" s="14" t="n">
        <f aca="false">MAX(Inputs!$F$59+CHOOSE(Operations!$F$836,0,Inputs!$F$39,0),Inputs!$F$57-Inputs!$F$58/100*CHOOSE(Operations!$F$836,1,Inputs!$F$38,Inputs!$F$40)*Time!AT$8)</f>
        <v>0.85</v>
      </c>
      <c r="AU851" s="14" t="n">
        <f aca="false">MAX(Inputs!$F$59+CHOOSE(Operations!$F$836,0,Inputs!$F$39,0),Inputs!$F$57-Inputs!$F$58/100*CHOOSE(Operations!$F$836,1,Inputs!$F$38,Inputs!$F$40)*Time!AU$8)</f>
        <v>0.85</v>
      </c>
    </row>
    <row r="852" customFormat="false" ht="15" hidden="false" customHeight="false" outlineLevel="0" collapsed="false">
      <c r="D852" s="19" t="s">
        <v>456</v>
      </c>
    </row>
    <row r="853" customFormat="false" ht="15" hidden="false" customHeight="false" outlineLevel="0" collapsed="false">
      <c r="D853" s="0" t="s">
        <v>457</v>
      </c>
      <c r="E853" s="0" t="s">
        <v>458</v>
      </c>
      <c r="J853" s="14" t="n">
        <f aca="false">MAX(0,MIN(Inputs!$F$90,Time!J$6)-MAX(Inputs!$F$89,Time!J$5))/Time!J$7</f>
        <v>1</v>
      </c>
      <c r="K853" s="14" t="n">
        <f aca="false">MAX(0,MIN(Inputs!$F$90,Time!K$6)-MAX(Inputs!$F$89,Time!K$5))/Time!K$7</f>
        <v>1</v>
      </c>
      <c r="L853" s="14" t="n">
        <f aca="false">MAX(0,MIN(Inputs!$F$90,Time!L$6)-MAX(Inputs!$F$89,Time!L$5))/Time!L$7</f>
        <v>1</v>
      </c>
      <c r="M853" s="14" t="n">
        <f aca="false">MAX(0,MIN(Inputs!$F$90,Time!M$6)-MAX(Inputs!$F$89,Time!M$5))/Time!M$7</f>
        <v>1</v>
      </c>
      <c r="N853" s="14" t="n">
        <f aca="false">MAX(0,MIN(Inputs!$F$90,Time!N$6)-MAX(Inputs!$F$89,Time!N$5))/Time!N$7</f>
        <v>1</v>
      </c>
      <c r="O853" s="14" t="n">
        <f aca="false">MAX(0,MIN(Inputs!$F$90,Time!O$6)-MAX(Inputs!$F$89,Time!O$5))/Time!O$7</f>
        <v>1</v>
      </c>
      <c r="P853" s="14" t="n">
        <f aca="false">MAX(0,MIN(Inputs!$F$90,Time!P$6)-MAX(Inputs!$F$89,Time!P$5))/Time!P$7</f>
        <v>1</v>
      </c>
      <c r="Q853" s="14" t="n">
        <f aca="false">MAX(0,MIN(Inputs!$F$90,Time!Q$6)-MAX(Inputs!$F$89,Time!Q$5))/Time!Q$7</f>
        <v>1</v>
      </c>
      <c r="R853" s="14" t="n">
        <f aca="false">MAX(0,MIN(Inputs!$F$90,Time!R$6)-MAX(Inputs!$F$89,Time!R$5))/Time!R$7</f>
        <v>1</v>
      </c>
      <c r="S853" s="14" t="n">
        <f aca="false">MAX(0,MIN(Inputs!$F$90,Time!S$6)-MAX(Inputs!$F$89,Time!S$5))/Time!S$7</f>
        <v>1</v>
      </c>
      <c r="T853" s="14" t="n">
        <f aca="false">MAX(0,MIN(Inputs!$F$90,Time!T$6)-MAX(Inputs!$F$89,Time!T$5))/Time!T$7</f>
        <v>1</v>
      </c>
      <c r="U853" s="14" t="n">
        <f aca="false">MAX(0,MIN(Inputs!$F$90,Time!U$6)-MAX(Inputs!$F$89,Time!U$5))/Time!U$7</f>
        <v>1</v>
      </c>
      <c r="V853" s="14" t="n">
        <f aca="false">MAX(0,MIN(Inputs!$F$90,Time!V$6)-MAX(Inputs!$F$89,Time!V$5))/Time!V$7</f>
        <v>1</v>
      </c>
      <c r="W853" s="14" t="n">
        <f aca="false">MAX(0,MIN(Inputs!$F$90,Time!W$6)-MAX(Inputs!$F$89,Time!W$5))/Time!W$7</f>
        <v>1</v>
      </c>
      <c r="X853" s="14" t="n">
        <f aca="false">MAX(0,MIN(Inputs!$F$90,Time!X$6)-MAX(Inputs!$F$89,Time!X$5))/Time!X$7</f>
        <v>1</v>
      </c>
      <c r="Y853" s="14" t="n">
        <f aca="false">MAX(0,MIN(Inputs!$F$90,Time!Y$6)-MAX(Inputs!$F$89,Time!Y$5))/Time!Y$7</f>
        <v>1</v>
      </c>
      <c r="Z853" s="14" t="n">
        <f aca="false">MAX(0,MIN(Inputs!$F$90,Time!Z$6)-MAX(Inputs!$F$89,Time!Z$5))/Time!Z$7</f>
        <v>1</v>
      </c>
      <c r="AA853" s="14" t="n">
        <f aca="false">MAX(0,MIN(Inputs!$F$90,Time!AA$6)-MAX(Inputs!$F$89,Time!AA$5))/Time!AA$7</f>
        <v>1</v>
      </c>
      <c r="AB853" s="14" t="n">
        <f aca="false">MAX(0,MIN(Inputs!$F$90,Time!AB$6)-MAX(Inputs!$F$89,Time!AB$5))/Time!AB$7</f>
        <v>1</v>
      </c>
      <c r="AC853" s="14" t="n">
        <f aca="false">MAX(0,MIN(Inputs!$F$90,Time!AC$6)-MAX(Inputs!$F$89,Time!AC$5))/Time!AC$7</f>
        <v>1</v>
      </c>
      <c r="AD853" s="14" t="n">
        <f aca="false">MAX(0,MIN(Inputs!$F$90,Time!AD$6)-MAX(Inputs!$F$89,Time!AD$5))/Time!AD$7</f>
        <v>1</v>
      </c>
      <c r="AE853" s="14" t="n">
        <f aca="false">MAX(0,MIN(Inputs!$F$90,Time!AE$6)-MAX(Inputs!$F$89,Time!AE$5))/Time!AE$7</f>
        <v>1</v>
      </c>
      <c r="AF853" s="14" t="n">
        <f aca="false">MAX(0,MIN(Inputs!$F$90,Time!AF$6)-MAX(Inputs!$F$89,Time!AF$5))/Time!AF$7</f>
        <v>1</v>
      </c>
      <c r="AG853" s="14" t="n">
        <f aca="false">MAX(0,MIN(Inputs!$F$90,Time!AG$6)-MAX(Inputs!$F$89,Time!AG$5))/Time!AG$7</f>
        <v>0</v>
      </c>
      <c r="AH853" s="14" t="n">
        <f aca="false">MAX(0,MIN(Inputs!$F$90,Time!AH$6)-MAX(Inputs!$F$89,Time!AH$5))/Time!AH$7</f>
        <v>0</v>
      </c>
      <c r="AI853" s="14" t="n">
        <f aca="false">MAX(0,MIN(Inputs!$F$90,Time!AI$6)-MAX(Inputs!$F$89,Time!AI$5))/Time!AI$7</f>
        <v>0</v>
      </c>
      <c r="AJ853" s="14" t="n">
        <f aca="false">MAX(0,MIN(Inputs!$F$90,Time!AJ$6)-MAX(Inputs!$F$89,Time!AJ$5))/Time!AJ$7</f>
        <v>0</v>
      </c>
      <c r="AK853" s="14" t="n">
        <f aca="false">MAX(0,MIN(Inputs!$F$90,Time!AK$6)-MAX(Inputs!$F$89,Time!AK$5))/Time!AK$7</f>
        <v>0</v>
      </c>
      <c r="AL853" s="14" t="n">
        <f aca="false">MAX(0,MIN(Inputs!$F$90,Time!AL$6)-MAX(Inputs!$F$89,Time!AL$5))/Time!AL$7</f>
        <v>0</v>
      </c>
      <c r="AM853" s="14" t="n">
        <f aca="false">MAX(0,MIN(Inputs!$F$90,Time!AM$6)-MAX(Inputs!$F$89,Time!AM$5))/Time!AM$7</f>
        <v>0</v>
      </c>
      <c r="AN853" s="14" t="n">
        <f aca="false">MAX(0,MIN(Inputs!$F$90,Time!AN$6)-MAX(Inputs!$F$89,Time!AN$5))/Time!AN$7</f>
        <v>0</v>
      </c>
      <c r="AO853" s="14" t="n">
        <f aca="false">MAX(0,MIN(Inputs!$F$90,Time!AO$6)-MAX(Inputs!$F$89,Time!AO$5))/Time!AO$7</f>
        <v>0</v>
      </c>
      <c r="AP853" s="14" t="n">
        <f aca="false">MAX(0,MIN(Inputs!$F$90,Time!AP$6)-MAX(Inputs!$F$89,Time!AP$5))/Time!AP$7</f>
        <v>0</v>
      </c>
      <c r="AQ853" s="14" t="n">
        <f aca="false">MAX(0,MIN(Inputs!$F$90,Time!AQ$6)-MAX(Inputs!$F$89,Time!AQ$5))/Time!AQ$7</f>
        <v>0</v>
      </c>
      <c r="AR853" s="14" t="n">
        <f aca="false">MAX(0,MIN(Inputs!$F$90,Time!AR$6)-MAX(Inputs!$F$89,Time!AR$5))/Time!AR$7</f>
        <v>0</v>
      </c>
      <c r="AS853" s="14" t="n">
        <f aca="false">MAX(0,MIN(Inputs!$F$90,Time!AS$6)-MAX(Inputs!$F$89,Time!AS$5))/Time!AS$7</f>
        <v>0</v>
      </c>
      <c r="AT853" s="14" t="n">
        <f aca="false">MAX(0,MIN(Inputs!$F$90,Time!AT$6)-MAX(Inputs!$F$89,Time!AT$5))/Time!AT$7</f>
        <v>0</v>
      </c>
      <c r="AU853" s="14" t="n">
        <f aca="false">MAX(0,MIN(Inputs!$F$90,Time!AU$6)-MAX(Inputs!$F$89,Time!AU$5))/Time!AU$7</f>
        <v>0</v>
      </c>
    </row>
    <row r="854" customFormat="false" ht="15" hidden="false" customHeight="false" outlineLevel="0" collapsed="false">
      <c r="D854" s="0" t="s">
        <v>459</v>
      </c>
      <c r="E854" s="0" t="s">
        <v>458</v>
      </c>
      <c r="J854" s="14" t="n">
        <f aca="false">MAX(0,MIN(Inputs!$F$90,Time!J$6)-MAX(MAX(Inputs!$F$91,Inputs!$F$89),Time!J$5))/Time!J$7</f>
        <v>0.778082191780822</v>
      </c>
      <c r="K854" s="14" t="n">
        <f aca="false">MAX(0,MIN(Inputs!$F$90,Time!K$6)-MAX(MAX(Inputs!$F$91,Inputs!$F$89),Time!K$5))/Time!K$7</f>
        <v>1</v>
      </c>
      <c r="L854" s="14" t="n">
        <f aca="false">MAX(0,MIN(Inputs!$F$90,Time!L$6)-MAX(MAX(Inputs!$F$91,Inputs!$F$89),Time!L$5))/Time!L$7</f>
        <v>1</v>
      </c>
      <c r="M854" s="14" t="n">
        <f aca="false">MAX(0,MIN(Inputs!$F$90,Time!M$6)-MAX(MAX(Inputs!$F$91,Inputs!$F$89),Time!M$5))/Time!M$7</f>
        <v>1</v>
      </c>
      <c r="N854" s="14" t="n">
        <f aca="false">MAX(0,MIN(Inputs!$F$90,Time!N$6)-MAX(MAX(Inputs!$F$91,Inputs!$F$89),Time!N$5))/Time!N$7</f>
        <v>1</v>
      </c>
      <c r="O854" s="14" t="n">
        <f aca="false">MAX(0,MIN(Inputs!$F$90,Time!O$6)-MAX(MAX(Inputs!$F$91,Inputs!$F$89),Time!O$5))/Time!O$7</f>
        <v>1</v>
      </c>
      <c r="P854" s="14" t="n">
        <f aca="false">MAX(0,MIN(Inputs!$F$90,Time!P$6)-MAX(MAX(Inputs!$F$91,Inputs!$F$89),Time!P$5))/Time!P$7</f>
        <v>1</v>
      </c>
      <c r="Q854" s="14" t="n">
        <f aca="false">MAX(0,MIN(Inputs!$F$90,Time!Q$6)-MAX(MAX(Inputs!$F$91,Inputs!$F$89),Time!Q$5))/Time!Q$7</f>
        <v>1</v>
      </c>
      <c r="R854" s="14" t="n">
        <f aca="false">MAX(0,MIN(Inputs!$F$90,Time!R$6)-MAX(MAX(Inputs!$F$91,Inputs!$F$89),Time!R$5))/Time!R$7</f>
        <v>1</v>
      </c>
      <c r="S854" s="14" t="n">
        <f aca="false">MAX(0,MIN(Inputs!$F$90,Time!S$6)-MAX(MAX(Inputs!$F$91,Inputs!$F$89),Time!S$5))/Time!S$7</f>
        <v>1</v>
      </c>
      <c r="T854" s="14" t="n">
        <f aca="false">MAX(0,MIN(Inputs!$F$90,Time!T$6)-MAX(MAX(Inputs!$F$91,Inputs!$F$89),Time!T$5))/Time!T$7</f>
        <v>1</v>
      </c>
      <c r="U854" s="14" t="n">
        <f aca="false">MAX(0,MIN(Inputs!$F$90,Time!U$6)-MAX(MAX(Inputs!$F$91,Inputs!$F$89),Time!U$5))/Time!U$7</f>
        <v>1</v>
      </c>
      <c r="V854" s="14" t="n">
        <f aca="false">MAX(0,MIN(Inputs!$F$90,Time!V$6)-MAX(MAX(Inputs!$F$91,Inputs!$F$89),Time!V$5))/Time!V$7</f>
        <v>1</v>
      </c>
      <c r="W854" s="14" t="n">
        <f aca="false">MAX(0,MIN(Inputs!$F$90,Time!W$6)-MAX(MAX(Inputs!$F$91,Inputs!$F$89),Time!W$5))/Time!W$7</f>
        <v>1</v>
      </c>
      <c r="X854" s="14" t="n">
        <f aca="false">MAX(0,MIN(Inputs!$F$90,Time!X$6)-MAX(MAX(Inputs!$F$91,Inputs!$F$89),Time!X$5))/Time!X$7</f>
        <v>1</v>
      </c>
      <c r="Y854" s="14" t="n">
        <f aca="false">MAX(0,MIN(Inputs!$F$90,Time!Y$6)-MAX(MAX(Inputs!$F$91,Inputs!$F$89),Time!Y$5))/Time!Y$7</f>
        <v>1</v>
      </c>
      <c r="Z854" s="14" t="n">
        <f aca="false">MAX(0,MIN(Inputs!$F$90,Time!Z$6)-MAX(MAX(Inputs!$F$91,Inputs!$F$89),Time!Z$5))/Time!Z$7</f>
        <v>1</v>
      </c>
      <c r="AA854" s="14" t="n">
        <f aca="false">MAX(0,MIN(Inputs!$F$90,Time!AA$6)-MAX(MAX(Inputs!$F$91,Inputs!$F$89),Time!AA$5))/Time!AA$7</f>
        <v>1</v>
      </c>
      <c r="AB854" s="14" t="n">
        <f aca="false">MAX(0,MIN(Inputs!$F$90,Time!AB$6)-MAX(MAX(Inputs!$F$91,Inputs!$F$89),Time!AB$5))/Time!AB$7</f>
        <v>1</v>
      </c>
      <c r="AC854" s="14" t="n">
        <f aca="false">MAX(0,MIN(Inputs!$F$90,Time!AC$6)-MAX(MAX(Inputs!$F$91,Inputs!$F$89),Time!AC$5))/Time!AC$7</f>
        <v>1</v>
      </c>
      <c r="AD854" s="14" t="n">
        <f aca="false">MAX(0,MIN(Inputs!$F$90,Time!AD$6)-MAX(MAX(Inputs!$F$91,Inputs!$F$89),Time!AD$5))/Time!AD$7</f>
        <v>1</v>
      </c>
      <c r="AE854" s="14" t="n">
        <f aca="false">MAX(0,MIN(Inputs!$F$90,Time!AE$6)-MAX(MAX(Inputs!$F$91,Inputs!$F$89),Time!AE$5))/Time!AE$7</f>
        <v>1</v>
      </c>
      <c r="AF854" s="14" t="n">
        <f aca="false">MAX(0,MIN(Inputs!$F$90,Time!AF$6)-MAX(MAX(Inputs!$F$91,Inputs!$F$89),Time!AF$5))/Time!AF$7</f>
        <v>1</v>
      </c>
      <c r="AG854" s="14" t="n">
        <f aca="false">MAX(0,MIN(Inputs!$F$90,Time!AG$6)-MAX(MAX(Inputs!$F$91,Inputs!$F$89),Time!AG$5))/Time!AG$7</f>
        <v>0</v>
      </c>
      <c r="AH854" s="14" t="n">
        <f aca="false">MAX(0,MIN(Inputs!$F$90,Time!AH$6)-MAX(MAX(Inputs!$F$91,Inputs!$F$89),Time!AH$5))/Time!AH$7</f>
        <v>0</v>
      </c>
      <c r="AI854" s="14" t="n">
        <f aca="false">MAX(0,MIN(Inputs!$F$90,Time!AI$6)-MAX(MAX(Inputs!$F$91,Inputs!$F$89),Time!AI$5))/Time!AI$7</f>
        <v>0</v>
      </c>
      <c r="AJ854" s="14" t="n">
        <f aca="false">MAX(0,MIN(Inputs!$F$90,Time!AJ$6)-MAX(MAX(Inputs!$F$91,Inputs!$F$89),Time!AJ$5))/Time!AJ$7</f>
        <v>0</v>
      </c>
      <c r="AK854" s="14" t="n">
        <f aca="false">MAX(0,MIN(Inputs!$F$90,Time!AK$6)-MAX(MAX(Inputs!$F$91,Inputs!$F$89),Time!AK$5))/Time!AK$7</f>
        <v>0</v>
      </c>
      <c r="AL854" s="14" t="n">
        <f aca="false">MAX(0,MIN(Inputs!$F$90,Time!AL$6)-MAX(MAX(Inputs!$F$91,Inputs!$F$89),Time!AL$5))/Time!AL$7</f>
        <v>0</v>
      </c>
      <c r="AM854" s="14" t="n">
        <f aca="false">MAX(0,MIN(Inputs!$F$90,Time!AM$6)-MAX(MAX(Inputs!$F$91,Inputs!$F$89),Time!AM$5))/Time!AM$7</f>
        <v>0</v>
      </c>
      <c r="AN854" s="14" t="n">
        <f aca="false">MAX(0,MIN(Inputs!$F$90,Time!AN$6)-MAX(MAX(Inputs!$F$91,Inputs!$F$89),Time!AN$5))/Time!AN$7</f>
        <v>0</v>
      </c>
      <c r="AO854" s="14" t="n">
        <f aca="false">MAX(0,MIN(Inputs!$F$90,Time!AO$6)-MAX(MAX(Inputs!$F$91,Inputs!$F$89),Time!AO$5))/Time!AO$7</f>
        <v>0</v>
      </c>
      <c r="AP854" s="14" t="n">
        <f aca="false">MAX(0,MIN(Inputs!$F$90,Time!AP$6)-MAX(MAX(Inputs!$F$91,Inputs!$F$89),Time!AP$5))/Time!AP$7</f>
        <v>0</v>
      </c>
      <c r="AQ854" s="14" t="n">
        <f aca="false">MAX(0,MIN(Inputs!$F$90,Time!AQ$6)-MAX(MAX(Inputs!$F$91,Inputs!$F$89),Time!AQ$5))/Time!AQ$7</f>
        <v>0</v>
      </c>
      <c r="AR854" s="14" t="n">
        <f aca="false">MAX(0,MIN(Inputs!$F$90,Time!AR$6)-MAX(MAX(Inputs!$F$91,Inputs!$F$89),Time!AR$5))/Time!AR$7</f>
        <v>0</v>
      </c>
      <c r="AS854" s="14" t="n">
        <f aca="false">MAX(0,MIN(Inputs!$F$90,Time!AS$6)-MAX(MAX(Inputs!$F$91,Inputs!$F$89),Time!AS$5))/Time!AS$7</f>
        <v>0</v>
      </c>
      <c r="AT854" s="14" t="n">
        <f aca="false">MAX(0,MIN(Inputs!$F$90,Time!AT$6)-MAX(MAX(Inputs!$F$91,Inputs!$F$89),Time!AT$5))/Time!AT$7</f>
        <v>0</v>
      </c>
      <c r="AU854" s="14" t="n">
        <f aca="false">MAX(0,MIN(Inputs!$F$90,Time!AU$6)-MAX(MAX(Inputs!$F$91,Inputs!$F$89),Time!AU$5))/Time!AU$7</f>
        <v>0</v>
      </c>
    </row>
    <row r="855" customFormat="false" ht="15" hidden="false" customHeight="false" outlineLevel="0" collapsed="false">
      <c r="D855" s="0" t="s">
        <v>460</v>
      </c>
      <c r="E855" s="0" t="s">
        <v>458</v>
      </c>
      <c r="J855" s="14" t="n">
        <f aca="false">IF(Operations!J853&gt;0,Operations!J854/Operations!J853,0)</f>
        <v>0.778082191780822</v>
      </c>
      <c r="K855" s="14" t="n">
        <f aca="false">IF(Operations!K853&gt;0,Operations!K854/Operations!K853,0)</f>
        <v>1</v>
      </c>
      <c r="L855" s="14" t="n">
        <f aca="false">IF(Operations!L853&gt;0,Operations!L854/Operations!L853,0)</f>
        <v>1</v>
      </c>
      <c r="M855" s="14" t="n">
        <f aca="false">IF(Operations!M853&gt;0,Operations!M854/Operations!M853,0)</f>
        <v>1</v>
      </c>
      <c r="N855" s="14" t="n">
        <f aca="false">IF(Operations!N853&gt;0,Operations!N854/Operations!N853,0)</f>
        <v>1</v>
      </c>
      <c r="O855" s="14" t="n">
        <f aca="false">IF(Operations!O853&gt;0,Operations!O854/Operations!O853,0)</f>
        <v>1</v>
      </c>
      <c r="P855" s="14" t="n">
        <f aca="false">IF(Operations!P853&gt;0,Operations!P854/Operations!P853,0)</f>
        <v>1</v>
      </c>
      <c r="Q855" s="14" t="n">
        <f aca="false">IF(Operations!Q853&gt;0,Operations!Q854/Operations!Q853,0)</f>
        <v>1</v>
      </c>
      <c r="R855" s="14" t="n">
        <f aca="false">IF(Operations!R853&gt;0,Operations!R854/Operations!R853,0)</f>
        <v>1</v>
      </c>
      <c r="S855" s="14" t="n">
        <f aca="false">IF(Operations!S853&gt;0,Operations!S854/Operations!S853,0)</f>
        <v>1</v>
      </c>
      <c r="T855" s="14" t="n">
        <f aca="false">IF(Operations!T853&gt;0,Operations!T854/Operations!T853,0)</f>
        <v>1</v>
      </c>
      <c r="U855" s="14" t="n">
        <f aca="false">IF(Operations!U853&gt;0,Operations!U854/Operations!U853,0)</f>
        <v>1</v>
      </c>
      <c r="V855" s="14" t="n">
        <f aca="false">IF(Operations!V853&gt;0,Operations!V854/Operations!V853,0)</f>
        <v>1</v>
      </c>
      <c r="W855" s="14" t="n">
        <f aca="false">IF(Operations!W853&gt;0,Operations!W854/Operations!W853,0)</f>
        <v>1</v>
      </c>
      <c r="X855" s="14" t="n">
        <f aca="false">IF(Operations!X853&gt;0,Operations!X854/Operations!X853,0)</f>
        <v>1</v>
      </c>
      <c r="Y855" s="14" t="n">
        <f aca="false">IF(Operations!Y853&gt;0,Operations!Y854/Operations!Y853,0)</f>
        <v>1</v>
      </c>
      <c r="Z855" s="14" t="n">
        <f aca="false">IF(Operations!Z853&gt;0,Operations!Z854/Operations!Z853,0)</f>
        <v>1</v>
      </c>
      <c r="AA855" s="14" t="n">
        <f aca="false">IF(Operations!AA853&gt;0,Operations!AA854/Operations!AA853,0)</f>
        <v>1</v>
      </c>
      <c r="AB855" s="14" t="n">
        <f aca="false">IF(Operations!AB853&gt;0,Operations!AB854/Operations!AB853,0)</f>
        <v>1</v>
      </c>
      <c r="AC855" s="14" t="n">
        <f aca="false">IF(Operations!AC853&gt;0,Operations!AC854/Operations!AC853,0)</f>
        <v>1</v>
      </c>
      <c r="AD855" s="14" t="n">
        <f aca="false">IF(Operations!AD853&gt;0,Operations!AD854/Operations!AD853,0)</f>
        <v>1</v>
      </c>
      <c r="AE855" s="14" t="n">
        <f aca="false">IF(Operations!AE853&gt;0,Operations!AE854/Operations!AE853,0)</f>
        <v>1</v>
      </c>
      <c r="AF855" s="14" t="n">
        <f aca="false">IF(Operations!AF853&gt;0,Operations!AF854/Operations!AF853,0)</f>
        <v>1</v>
      </c>
      <c r="AG855" s="14" t="n">
        <f aca="false">IF(Operations!AG853&gt;0,Operations!AG854/Operations!AG853,0)</f>
        <v>0</v>
      </c>
      <c r="AH855" s="14" t="n">
        <f aca="false">IF(Operations!AH853&gt;0,Operations!AH854/Operations!AH853,0)</f>
        <v>0</v>
      </c>
      <c r="AI855" s="14" t="n">
        <f aca="false">IF(Operations!AI853&gt;0,Operations!AI854/Operations!AI853,0)</f>
        <v>0</v>
      </c>
      <c r="AJ855" s="14" t="n">
        <f aca="false">IF(Operations!AJ853&gt;0,Operations!AJ854/Operations!AJ853,0)</f>
        <v>0</v>
      </c>
      <c r="AK855" s="14" t="n">
        <f aca="false">IF(Operations!AK853&gt;0,Operations!AK854/Operations!AK853,0)</f>
        <v>0</v>
      </c>
      <c r="AL855" s="14" t="n">
        <f aca="false">IF(Operations!AL853&gt;0,Operations!AL854/Operations!AL853,0)</f>
        <v>0</v>
      </c>
      <c r="AM855" s="14" t="n">
        <f aca="false">IF(Operations!AM853&gt;0,Operations!AM854/Operations!AM853,0)</f>
        <v>0</v>
      </c>
      <c r="AN855" s="14" t="n">
        <f aca="false">IF(Operations!AN853&gt;0,Operations!AN854/Operations!AN853,0)</f>
        <v>0</v>
      </c>
      <c r="AO855" s="14" t="n">
        <f aca="false">IF(Operations!AO853&gt;0,Operations!AO854/Operations!AO853,0)</f>
        <v>0</v>
      </c>
      <c r="AP855" s="14" t="n">
        <f aca="false">IF(Operations!AP853&gt;0,Operations!AP854/Operations!AP853,0)</f>
        <v>0</v>
      </c>
      <c r="AQ855" s="14" t="n">
        <f aca="false">IF(Operations!AQ853&gt;0,Operations!AQ854/Operations!AQ853,0)</f>
        <v>0</v>
      </c>
      <c r="AR855" s="14" t="n">
        <f aca="false">IF(Operations!AR853&gt;0,Operations!AR854/Operations!AR853,0)</f>
        <v>0</v>
      </c>
      <c r="AS855" s="14" t="n">
        <f aca="false">IF(Operations!AS853&gt;0,Operations!AS854/Operations!AS853,0)</f>
        <v>0</v>
      </c>
      <c r="AT855" s="14" t="n">
        <f aca="false">IF(Operations!AT853&gt;0,Operations!AT854/Operations!AT853,0)</f>
        <v>0</v>
      </c>
      <c r="AU855" s="14" t="n">
        <f aca="false">IF(Operations!AU853&gt;0,Operations!AU854/Operations!AU853,0)</f>
        <v>0</v>
      </c>
    </row>
    <row r="856" customFormat="false" ht="15" hidden="false" customHeight="false" outlineLevel="0" collapsed="false">
      <c r="D856" s="0" t="s">
        <v>461</v>
      </c>
      <c r="E856" s="0" t="s">
        <v>96</v>
      </c>
      <c r="J856" s="18" t="n">
        <f aca="false">Operations!J843</f>
        <v>72.2128</v>
      </c>
      <c r="K856" s="18" t="n">
        <f aca="false">Operations!K843</f>
        <v>59.2416</v>
      </c>
      <c r="L856" s="18" t="n">
        <f aca="false">Operations!L843</f>
        <v>29.1368</v>
      </c>
      <c r="M856" s="18" t="n">
        <f aca="false">Operations!M843</f>
        <v>38.5264</v>
      </c>
      <c r="N856" s="18" t="n">
        <f aca="false">Operations!N843</f>
        <v>43.1728</v>
      </c>
      <c r="O856" s="18" t="n">
        <f aca="false">Operations!O843</f>
        <v>45.7864</v>
      </c>
      <c r="P856" s="18" t="n">
        <f aca="false">Operations!P843</f>
        <v>47.5288</v>
      </c>
      <c r="Q856" s="18" t="n">
        <f aca="false">Operations!Q843</f>
        <v>48.7872</v>
      </c>
      <c r="R856" s="18" t="n">
        <f aca="false">Operations!R843</f>
        <v>50.1424</v>
      </c>
      <c r="S856" s="18" t="n">
        <f aca="false">Operations!S843</f>
        <v>51.14912</v>
      </c>
      <c r="T856" s="18" t="n">
        <f aca="false">Operations!T843</f>
        <v>52.1752</v>
      </c>
      <c r="U856" s="18" t="n">
        <f aca="false">Operations!U843</f>
        <v>53.22064</v>
      </c>
      <c r="V856" s="18" t="n">
        <f aca="false">Operations!V843</f>
        <v>54.28544</v>
      </c>
      <c r="W856" s="18" t="n">
        <f aca="false">Operations!W843</f>
        <v>55.3696</v>
      </c>
      <c r="X856" s="18" t="n">
        <f aca="false">Operations!X843</f>
        <v>56.47312</v>
      </c>
      <c r="Y856" s="18" t="n">
        <f aca="false">Operations!Y843</f>
        <v>57.60568</v>
      </c>
      <c r="Z856" s="18" t="n">
        <f aca="false">Operations!Z843</f>
        <v>58.7576</v>
      </c>
      <c r="AA856" s="18" t="n">
        <f aca="false">Operations!AA843</f>
        <v>59.92888</v>
      </c>
      <c r="AB856" s="18" t="n">
        <f aca="false">Operations!AB843</f>
        <v>61.1292</v>
      </c>
      <c r="AC856" s="18" t="n">
        <f aca="false">Operations!AC843</f>
        <v>62.34888</v>
      </c>
      <c r="AD856" s="18" t="n">
        <f aca="false">Operations!AD843</f>
        <v>63.5976</v>
      </c>
      <c r="AE856" s="18" t="n">
        <f aca="false">Operations!AE843</f>
        <v>64.86568</v>
      </c>
      <c r="AF856" s="18" t="n">
        <f aca="false">Operations!AF843</f>
        <v>66.1628</v>
      </c>
      <c r="AG856" s="18" t="n">
        <f aca="false">Operations!AG843</f>
        <v>67.48896</v>
      </c>
      <c r="AH856" s="18" t="n">
        <f aca="false">Operations!AH843</f>
        <v>68.83448</v>
      </c>
      <c r="AI856" s="18" t="n">
        <f aca="false">Operations!AI843</f>
        <v>70.20904</v>
      </c>
      <c r="AJ856" s="18" t="n">
        <f aca="false">Operations!AJ843</f>
        <v>71.61264</v>
      </c>
      <c r="AK856" s="18" t="n">
        <f aca="false">Operations!AK843</f>
        <v>73.04528</v>
      </c>
      <c r="AL856" s="18" t="n">
        <f aca="false">Operations!AL843</f>
        <v>74.50696</v>
      </c>
      <c r="AM856" s="18" t="n">
        <f aca="false">Operations!AM843</f>
        <v>75.99768</v>
      </c>
      <c r="AN856" s="18" t="n">
        <f aca="false">Operations!AN843</f>
        <v>77.51744</v>
      </c>
      <c r="AO856" s="18" t="n">
        <f aca="false">Operations!AO843</f>
        <v>79.06624</v>
      </c>
      <c r="AP856" s="18" t="n">
        <f aca="false">Operations!AP843</f>
        <v>80.64408</v>
      </c>
      <c r="AQ856" s="18" t="n">
        <f aca="false">Operations!AQ843</f>
        <v>82.26064</v>
      </c>
      <c r="AR856" s="18" t="n">
        <f aca="false">Operations!AR843</f>
        <v>83.90624</v>
      </c>
      <c r="AS856" s="18" t="n">
        <f aca="false">Operations!AS843</f>
        <v>85.58088</v>
      </c>
      <c r="AT856" s="18" t="n">
        <f aca="false">Operations!AT843</f>
        <v>87.29424</v>
      </c>
      <c r="AU856" s="18" t="n">
        <f aca="false">Operations!AU843</f>
        <v>89.03664</v>
      </c>
    </row>
    <row r="857" customFormat="false" ht="15" hidden="false" customHeight="false" outlineLevel="0" collapsed="false">
      <c r="D857" s="0" t="s">
        <v>462</v>
      </c>
      <c r="E857" s="0" t="s">
        <v>27</v>
      </c>
      <c r="J857" s="14" t="n">
        <f aca="false">CHOOSE(Operations!$F$837,1,Inputs!$F$95/100,Inputs!$F$96/100,Operations!$F$12/100)</f>
        <v>0.774921036204744</v>
      </c>
      <c r="K857" s="14" t="n">
        <f aca="false">CHOOSE(Operations!$F$837,1,Inputs!$F$95/100,Inputs!$F$96/100,Operations!$F$12/100)</f>
        <v>0.774921036204744</v>
      </c>
      <c r="L857" s="14" t="n">
        <f aca="false">CHOOSE(Operations!$F$837,1,Inputs!$F$95/100,Inputs!$F$96/100,Operations!$F$12/100)</f>
        <v>0.774921036204744</v>
      </c>
      <c r="M857" s="14" t="n">
        <f aca="false">CHOOSE(Operations!$F$837,1,Inputs!$F$95/100,Inputs!$F$96/100,Operations!$F$12/100)</f>
        <v>0.774921036204744</v>
      </c>
      <c r="N857" s="14" t="n">
        <f aca="false">CHOOSE(Operations!$F$837,1,Inputs!$F$95/100,Inputs!$F$96/100,Operations!$F$12/100)</f>
        <v>0.774921036204744</v>
      </c>
      <c r="O857" s="14" t="n">
        <f aca="false">CHOOSE(Operations!$F$837,1,Inputs!$F$95/100,Inputs!$F$96/100,Operations!$F$12/100)</f>
        <v>0.774921036204744</v>
      </c>
      <c r="P857" s="14" t="n">
        <f aca="false">CHOOSE(Operations!$F$837,1,Inputs!$F$95/100,Inputs!$F$96/100,Operations!$F$12/100)</f>
        <v>0.774921036204744</v>
      </c>
      <c r="Q857" s="14" t="n">
        <f aca="false">CHOOSE(Operations!$F$837,1,Inputs!$F$95/100,Inputs!$F$96/100,Operations!$F$12/100)</f>
        <v>0.774921036204744</v>
      </c>
      <c r="R857" s="14" t="n">
        <f aca="false">CHOOSE(Operations!$F$837,1,Inputs!$F$95/100,Inputs!$F$96/100,Operations!$F$12/100)</f>
        <v>0.774921036204744</v>
      </c>
      <c r="S857" s="14" t="n">
        <f aca="false">CHOOSE(Operations!$F$837,1,Inputs!$F$95/100,Inputs!$F$96/100,Operations!$F$12/100)</f>
        <v>0.774921036204744</v>
      </c>
      <c r="T857" s="14" t="n">
        <f aca="false">CHOOSE(Operations!$F$837,1,Inputs!$F$95/100,Inputs!$F$96/100,Operations!$F$12/100)</f>
        <v>0.774921036204744</v>
      </c>
      <c r="U857" s="14" t="n">
        <f aca="false">CHOOSE(Operations!$F$837,1,Inputs!$F$95/100,Inputs!$F$96/100,Operations!$F$12/100)</f>
        <v>0.774921036204744</v>
      </c>
      <c r="V857" s="14" t="n">
        <f aca="false">CHOOSE(Operations!$F$837,1,Inputs!$F$95/100,Inputs!$F$96/100,Operations!$F$12/100)</f>
        <v>0.774921036204744</v>
      </c>
      <c r="W857" s="14" t="n">
        <f aca="false">CHOOSE(Operations!$F$837,1,Inputs!$F$95/100,Inputs!$F$96/100,Operations!$F$12/100)</f>
        <v>0.774921036204744</v>
      </c>
      <c r="X857" s="14" t="n">
        <f aca="false">CHOOSE(Operations!$F$837,1,Inputs!$F$95/100,Inputs!$F$96/100,Operations!$F$12/100)</f>
        <v>0.774921036204744</v>
      </c>
      <c r="Y857" s="14" t="n">
        <f aca="false">CHOOSE(Operations!$F$837,1,Inputs!$F$95/100,Inputs!$F$96/100,Operations!$F$12/100)</f>
        <v>0.774921036204744</v>
      </c>
      <c r="Z857" s="14" t="n">
        <f aca="false">CHOOSE(Operations!$F$837,1,Inputs!$F$95/100,Inputs!$F$96/100,Operations!$F$12/100)</f>
        <v>0.774921036204744</v>
      </c>
      <c r="AA857" s="14" t="n">
        <f aca="false">CHOOSE(Operations!$F$837,1,Inputs!$F$95/100,Inputs!$F$96/100,Operations!$F$12/100)</f>
        <v>0.774921036204744</v>
      </c>
      <c r="AB857" s="14" t="n">
        <f aca="false">CHOOSE(Operations!$F$837,1,Inputs!$F$95/100,Inputs!$F$96/100,Operations!$F$12/100)</f>
        <v>0.774921036204744</v>
      </c>
      <c r="AC857" s="14" t="n">
        <f aca="false">CHOOSE(Operations!$F$837,1,Inputs!$F$95/100,Inputs!$F$96/100,Operations!$F$12/100)</f>
        <v>0.774921036204744</v>
      </c>
      <c r="AD857" s="14" t="n">
        <f aca="false">CHOOSE(Operations!$F$837,1,Inputs!$F$95/100,Inputs!$F$96/100,Operations!$F$12/100)</f>
        <v>0.774921036204744</v>
      </c>
      <c r="AE857" s="14" t="n">
        <f aca="false">CHOOSE(Operations!$F$837,1,Inputs!$F$95/100,Inputs!$F$96/100,Operations!$F$12/100)</f>
        <v>0.774921036204744</v>
      </c>
      <c r="AF857" s="14" t="n">
        <f aca="false">CHOOSE(Operations!$F$837,1,Inputs!$F$95/100,Inputs!$F$96/100,Operations!$F$12/100)</f>
        <v>0.774921036204744</v>
      </c>
      <c r="AG857" s="14" t="n">
        <f aca="false">CHOOSE(Operations!$F$837,1,Inputs!$F$95/100,Inputs!$F$96/100,Operations!$F$12/100)</f>
        <v>0.774921036204744</v>
      </c>
      <c r="AH857" s="14" t="n">
        <f aca="false">CHOOSE(Operations!$F$837,1,Inputs!$F$95/100,Inputs!$F$96/100,Operations!$F$12/100)</f>
        <v>0.774921036204744</v>
      </c>
      <c r="AI857" s="14" t="n">
        <f aca="false">CHOOSE(Operations!$F$837,1,Inputs!$F$95/100,Inputs!$F$96/100,Operations!$F$12/100)</f>
        <v>0.774921036204744</v>
      </c>
      <c r="AJ857" s="14" t="n">
        <f aca="false">CHOOSE(Operations!$F$837,1,Inputs!$F$95/100,Inputs!$F$96/100,Operations!$F$12/100)</f>
        <v>0.774921036204744</v>
      </c>
      <c r="AK857" s="14" t="n">
        <f aca="false">CHOOSE(Operations!$F$837,1,Inputs!$F$95/100,Inputs!$F$96/100,Operations!$F$12/100)</f>
        <v>0.774921036204744</v>
      </c>
      <c r="AL857" s="14" t="n">
        <f aca="false">CHOOSE(Operations!$F$837,1,Inputs!$F$95/100,Inputs!$F$96/100,Operations!$F$12/100)</f>
        <v>0.774921036204744</v>
      </c>
      <c r="AM857" s="14" t="n">
        <f aca="false">CHOOSE(Operations!$F$837,1,Inputs!$F$95/100,Inputs!$F$96/100,Operations!$F$12/100)</f>
        <v>0.774921036204744</v>
      </c>
      <c r="AN857" s="14" t="n">
        <f aca="false">CHOOSE(Operations!$F$837,1,Inputs!$F$95/100,Inputs!$F$96/100,Operations!$F$12/100)</f>
        <v>0.774921036204744</v>
      </c>
      <c r="AO857" s="14" t="n">
        <f aca="false">CHOOSE(Operations!$F$837,1,Inputs!$F$95/100,Inputs!$F$96/100,Operations!$F$12/100)</f>
        <v>0.774921036204744</v>
      </c>
      <c r="AP857" s="14" t="n">
        <f aca="false">CHOOSE(Operations!$F$837,1,Inputs!$F$95/100,Inputs!$F$96/100,Operations!$F$12/100)</f>
        <v>0.774921036204744</v>
      </c>
      <c r="AQ857" s="14" t="n">
        <f aca="false">CHOOSE(Operations!$F$837,1,Inputs!$F$95/100,Inputs!$F$96/100,Operations!$F$12/100)</f>
        <v>0.774921036204744</v>
      </c>
      <c r="AR857" s="14" t="n">
        <f aca="false">CHOOSE(Operations!$F$837,1,Inputs!$F$95/100,Inputs!$F$96/100,Operations!$F$12/100)</f>
        <v>0.774921036204744</v>
      </c>
      <c r="AS857" s="14" t="n">
        <f aca="false">CHOOSE(Operations!$F$837,1,Inputs!$F$95/100,Inputs!$F$96/100,Operations!$F$12/100)</f>
        <v>0.774921036204744</v>
      </c>
      <c r="AT857" s="14" t="n">
        <f aca="false">CHOOSE(Operations!$F$837,1,Inputs!$F$95/100,Inputs!$F$96/100,Operations!$F$12/100)</f>
        <v>0.774921036204744</v>
      </c>
      <c r="AU857" s="14" t="n">
        <f aca="false">CHOOSE(Operations!$F$837,1,Inputs!$F$95/100,Inputs!$F$96/100,Operations!$F$12/100)</f>
        <v>0.774921036204744</v>
      </c>
    </row>
    <row r="858" customFormat="false" ht="15" hidden="false" customHeight="false" outlineLevel="0" collapsed="false">
      <c r="D858" s="0" t="s">
        <v>463</v>
      </c>
      <c r="E858" s="0" t="s">
        <v>27</v>
      </c>
      <c r="J858" s="14" t="n">
        <f aca="false">(1-Inputs!$F$97/100)^MAX(0,Time!J$4-Inputs!$F$98)</f>
        <v>1</v>
      </c>
      <c r="K858" s="14" t="n">
        <f aca="false">(1-Inputs!$F$97/100)^MAX(0,Time!K$4-Inputs!$F$98)</f>
        <v>0.998</v>
      </c>
      <c r="L858" s="14" t="n">
        <f aca="false">(1-Inputs!$F$97/100)^MAX(0,Time!L$4-Inputs!$F$98)</f>
        <v>0.996004</v>
      </c>
      <c r="M858" s="14" t="n">
        <f aca="false">(1-Inputs!$F$97/100)^MAX(0,Time!M$4-Inputs!$F$98)</f>
        <v>0.994011992</v>
      </c>
      <c r="N858" s="14" t="n">
        <f aca="false">(1-Inputs!$F$97/100)^MAX(0,Time!N$4-Inputs!$F$98)</f>
        <v>0.992023968016</v>
      </c>
      <c r="O858" s="14" t="n">
        <f aca="false">(1-Inputs!$F$97/100)^MAX(0,Time!O$4-Inputs!$F$98)</f>
        <v>0.990039920079968</v>
      </c>
      <c r="P858" s="14" t="n">
        <f aca="false">(1-Inputs!$F$97/100)^MAX(0,Time!P$4-Inputs!$F$98)</f>
        <v>0.988059840239808</v>
      </c>
      <c r="Q858" s="14" t="n">
        <f aca="false">(1-Inputs!$F$97/100)^MAX(0,Time!Q$4-Inputs!$F$98)</f>
        <v>0.986083720559329</v>
      </c>
      <c r="R858" s="14" t="n">
        <f aca="false">(1-Inputs!$F$97/100)^MAX(0,Time!R$4-Inputs!$F$98)</f>
        <v>0.98411155311821</v>
      </c>
      <c r="S858" s="14" t="n">
        <f aca="false">(1-Inputs!$F$97/100)^MAX(0,Time!S$4-Inputs!$F$98)</f>
        <v>0.982143330011973</v>
      </c>
      <c r="T858" s="14" t="n">
        <f aca="false">(1-Inputs!$F$97/100)^MAX(0,Time!T$4-Inputs!$F$98)</f>
        <v>0.980179043351949</v>
      </c>
      <c r="U858" s="14" t="n">
        <f aca="false">(1-Inputs!$F$97/100)^MAX(0,Time!U$4-Inputs!$F$98)</f>
        <v>0.978218685265246</v>
      </c>
      <c r="V858" s="14" t="n">
        <f aca="false">(1-Inputs!$F$97/100)^MAX(0,Time!V$4-Inputs!$F$98)</f>
        <v>0.976262247894715</v>
      </c>
      <c r="W858" s="14" t="n">
        <f aca="false">(1-Inputs!$F$97/100)^MAX(0,Time!W$4-Inputs!$F$98)</f>
        <v>0.974309723398926</v>
      </c>
      <c r="X858" s="14" t="n">
        <f aca="false">(1-Inputs!$F$97/100)^MAX(0,Time!X$4-Inputs!$F$98)</f>
        <v>0.972361103952128</v>
      </c>
      <c r="Y858" s="14" t="n">
        <f aca="false">(1-Inputs!$F$97/100)^MAX(0,Time!Y$4-Inputs!$F$98)</f>
        <v>0.970416381744224</v>
      </c>
      <c r="Z858" s="14" t="n">
        <f aca="false">(1-Inputs!$F$97/100)^MAX(0,Time!Z$4-Inputs!$F$98)</f>
        <v>0.968475548980735</v>
      </c>
      <c r="AA858" s="14" t="n">
        <f aca="false">(1-Inputs!$F$97/100)^MAX(0,Time!AA$4-Inputs!$F$98)</f>
        <v>0.966538597882774</v>
      </c>
      <c r="AB858" s="14" t="n">
        <f aca="false">(1-Inputs!$F$97/100)^MAX(0,Time!AB$4-Inputs!$F$98)</f>
        <v>0.964605520687008</v>
      </c>
      <c r="AC858" s="14" t="n">
        <f aca="false">(1-Inputs!$F$97/100)^MAX(0,Time!AC$4-Inputs!$F$98)</f>
        <v>0.962676309645634</v>
      </c>
      <c r="AD858" s="14" t="n">
        <f aca="false">(1-Inputs!$F$97/100)^MAX(0,Time!AD$4-Inputs!$F$98)</f>
        <v>0.960750957026343</v>
      </c>
      <c r="AE858" s="14" t="n">
        <f aca="false">(1-Inputs!$F$97/100)^MAX(0,Time!AE$4-Inputs!$F$98)</f>
        <v>0.95882945511229</v>
      </c>
      <c r="AF858" s="14" t="n">
        <f aca="false">(1-Inputs!$F$97/100)^MAX(0,Time!AF$4-Inputs!$F$98)</f>
        <v>0.956911796202066</v>
      </c>
      <c r="AG858" s="14" t="n">
        <f aca="false">(1-Inputs!$F$97/100)^MAX(0,Time!AG$4-Inputs!$F$98)</f>
        <v>0.954997972609661</v>
      </c>
      <c r="AH858" s="14" t="n">
        <f aca="false">(1-Inputs!$F$97/100)^MAX(0,Time!AH$4-Inputs!$F$98)</f>
        <v>0.953087976664442</v>
      </c>
      <c r="AI858" s="14" t="n">
        <f aca="false">(1-Inputs!$F$97/100)^MAX(0,Time!AI$4-Inputs!$F$98)</f>
        <v>0.951181800711113</v>
      </c>
      <c r="AJ858" s="14" t="n">
        <f aca="false">(1-Inputs!$F$97/100)^MAX(0,Time!AJ$4-Inputs!$F$98)</f>
        <v>0.949279437109691</v>
      </c>
      <c r="AK858" s="14" t="n">
        <f aca="false">(1-Inputs!$F$97/100)^MAX(0,Time!AK$4-Inputs!$F$98)</f>
        <v>0.947380878235472</v>
      </c>
      <c r="AL858" s="14" t="n">
        <f aca="false">(1-Inputs!$F$97/100)^MAX(0,Time!AL$4-Inputs!$F$98)</f>
        <v>0.945486116479001</v>
      </c>
      <c r="AM858" s="14" t="n">
        <f aca="false">(1-Inputs!$F$97/100)^MAX(0,Time!AM$4-Inputs!$F$98)</f>
        <v>0.943595144246043</v>
      </c>
      <c r="AN858" s="14" t="n">
        <f aca="false">(1-Inputs!$F$97/100)^MAX(0,Time!AN$4-Inputs!$F$98)</f>
        <v>0.941707953957551</v>
      </c>
      <c r="AO858" s="14" t="n">
        <f aca="false">(1-Inputs!$F$97/100)^MAX(0,Time!AO$4-Inputs!$F$98)</f>
        <v>0.939824538049635</v>
      </c>
      <c r="AP858" s="14" t="n">
        <f aca="false">(1-Inputs!$F$97/100)^MAX(0,Time!AP$4-Inputs!$F$98)</f>
        <v>0.937944888973536</v>
      </c>
      <c r="AQ858" s="14" t="n">
        <f aca="false">(1-Inputs!$F$97/100)^MAX(0,Time!AQ$4-Inputs!$F$98)</f>
        <v>0.936068999195589</v>
      </c>
      <c r="AR858" s="14" t="n">
        <f aca="false">(1-Inputs!$F$97/100)^MAX(0,Time!AR$4-Inputs!$F$98)</f>
        <v>0.934196861197198</v>
      </c>
      <c r="AS858" s="14" t="n">
        <f aca="false">(1-Inputs!$F$97/100)^MAX(0,Time!AS$4-Inputs!$F$98)</f>
        <v>0.932328467474804</v>
      </c>
      <c r="AT858" s="14" t="n">
        <f aca="false">(1-Inputs!$F$97/100)^MAX(0,Time!AT$4-Inputs!$F$98)</f>
        <v>0.930463810539854</v>
      </c>
      <c r="AU858" s="14" t="n">
        <f aca="false">(1-Inputs!$F$97/100)^MAX(0,Time!AU$4-Inputs!$F$98)</f>
        <v>0.928602882918774</v>
      </c>
    </row>
    <row r="859" customFormat="false" ht="15" hidden="false" customHeight="false" outlineLevel="0" collapsed="false">
      <c r="D859" s="0" t="s">
        <v>464</v>
      </c>
      <c r="E859" s="0" t="s">
        <v>458</v>
      </c>
      <c r="J859" s="14" t="n">
        <f aca="false">(IF(Time!J$4&gt;=Inputs!$F$61,Inputs!$F$63,Inputs!$F$62+(Inputs!$F$63-Inputs!$F$62)*(Time!J$4-Inputs!$F$23)/(Inputs!$F$61-Inputs!$F$23))+Operations!$F$839)/100</f>
        <v>0.045</v>
      </c>
      <c r="K859" s="14" t="n">
        <f aca="false">(IF(Time!K$4&gt;=Inputs!$F$61,Inputs!$F$63,Inputs!$F$62+(Inputs!$F$63-Inputs!$F$62)*(Time!K$4-Inputs!$F$23)/(Inputs!$F$61-Inputs!$F$23))+Operations!$F$839)/100</f>
        <v>0.05</v>
      </c>
      <c r="L859" s="14" t="n">
        <f aca="false">(IF(Time!L$4&gt;=Inputs!$F$61,Inputs!$F$63,Inputs!$F$62+(Inputs!$F$63-Inputs!$F$62)*(Time!L$4-Inputs!$F$23)/(Inputs!$F$61-Inputs!$F$23))+Operations!$F$839)/100</f>
        <v>0.055</v>
      </c>
      <c r="M859" s="14" t="n">
        <f aca="false">(IF(Time!M$4&gt;=Inputs!$F$61,Inputs!$F$63,Inputs!$F$62+(Inputs!$F$63-Inputs!$F$62)*(Time!M$4-Inputs!$F$23)/(Inputs!$F$61-Inputs!$F$23))+Operations!$F$839)/100</f>
        <v>0.06</v>
      </c>
      <c r="N859" s="14" t="n">
        <f aca="false">(IF(Time!N$4&gt;=Inputs!$F$61,Inputs!$F$63,Inputs!$F$62+(Inputs!$F$63-Inputs!$F$62)*(Time!N$4-Inputs!$F$23)/(Inputs!$F$61-Inputs!$F$23))+Operations!$F$839)/100</f>
        <v>0.06</v>
      </c>
      <c r="O859" s="14" t="n">
        <f aca="false">(IF(Time!O$4&gt;=Inputs!$F$61,Inputs!$F$63,Inputs!$F$62+(Inputs!$F$63-Inputs!$F$62)*(Time!O$4-Inputs!$F$23)/(Inputs!$F$61-Inputs!$F$23))+Operations!$F$839)/100</f>
        <v>0.06</v>
      </c>
      <c r="P859" s="14" t="n">
        <f aca="false">(IF(Time!P$4&gt;=Inputs!$F$61,Inputs!$F$63,Inputs!$F$62+(Inputs!$F$63-Inputs!$F$62)*(Time!P$4-Inputs!$F$23)/(Inputs!$F$61-Inputs!$F$23))+Operations!$F$839)/100</f>
        <v>0.06</v>
      </c>
      <c r="Q859" s="14" t="n">
        <f aca="false">(IF(Time!Q$4&gt;=Inputs!$F$61,Inputs!$F$63,Inputs!$F$62+(Inputs!$F$63-Inputs!$F$62)*(Time!Q$4-Inputs!$F$23)/(Inputs!$F$61-Inputs!$F$23))+Operations!$F$839)/100</f>
        <v>0.06</v>
      </c>
      <c r="R859" s="14" t="n">
        <f aca="false">(IF(Time!R$4&gt;=Inputs!$F$61,Inputs!$F$63,Inputs!$F$62+(Inputs!$F$63-Inputs!$F$62)*(Time!R$4-Inputs!$F$23)/(Inputs!$F$61-Inputs!$F$23))+Operations!$F$839)/100</f>
        <v>0.06</v>
      </c>
      <c r="S859" s="14" t="n">
        <f aca="false">(IF(Time!S$4&gt;=Inputs!$F$61,Inputs!$F$63,Inputs!$F$62+(Inputs!$F$63-Inputs!$F$62)*(Time!S$4-Inputs!$F$23)/(Inputs!$F$61-Inputs!$F$23))+Operations!$F$839)/100</f>
        <v>0.06</v>
      </c>
      <c r="T859" s="14" t="n">
        <f aca="false">(IF(Time!T$4&gt;=Inputs!$F$61,Inputs!$F$63,Inputs!$F$62+(Inputs!$F$63-Inputs!$F$62)*(Time!T$4-Inputs!$F$23)/(Inputs!$F$61-Inputs!$F$23))+Operations!$F$839)/100</f>
        <v>0.06</v>
      </c>
      <c r="U859" s="14" t="n">
        <f aca="false">(IF(Time!U$4&gt;=Inputs!$F$61,Inputs!$F$63,Inputs!$F$62+(Inputs!$F$63-Inputs!$F$62)*(Time!U$4-Inputs!$F$23)/(Inputs!$F$61-Inputs!$F$23))+Operations!$F$839)/100</f>
        <v>0.06</v>
      </c>
      <c r="V859" s="14" t="n">
        <f aca="false">(IF(Time!V$4&gt;=Inputs!$F$61,Inputs!$F$63,Inputs!$F$62+(Inputs!$F$63-Inputs!$F$62)*(Time!V$4-Inputs!$F$23)/(Inputs!$F$61-Inputs!$F$23))+Operations!$F$839)/100</f>
        <v>0.06</v>
      </c>
      <c r="W859" s="14" t="n">
        <f aca="false">(IF(Time!W$4&gt;=Inputs!$F$61,Inputs!$F$63,Inputs!$F$62+(Inputs!$F$63-Inputs!$F$62)*(Time!W$4-Inputs!$F$23)/(Inputs!$F$61-Inputs!$F$23))+Operations!$F$839)/100</f>
        <v>0.06</v>
      </c>
      <c r="X859" s="14" t="n">
        <f aca="false">(IF(Time!X$4&gt;=Inputs!$F$61,Inputs!$F$63,Inputs!$F$62+(Inputs!$F$63-Inputs!$F$62)*(Time!X$4-Inputs!$F$23)/(Inputs!$F$61-Inputs!$F$23))+Operations!$F$839)/100</f>
        <v>0.06</v>
      </c>
      <c r="Y859" s="14" t="n">
        <f aca="false">(IF(Time!Y$4&gt;=Inputs!$F$61,Inputs!$F$63,Inputs!$F$62+(Inputs!$F$63-Inputs!$F$62)*(Time!Y$4-Inputs!$F$23)/(Inputs!$F$61-Inputs!$F$23))+Operations!$F$839)/100</f>
        <v>0.06</v>
      </c>
      <c r="Z859" s="14" t="n">
        <f aca="false">(IF(Time!Z$4&gt;=Inputs!$F$61,Inputs!$F$63,Inputs!$F$62+(Inputs!$F$63-Inputs!$F$62)*(Time!Z$4-Inputs!$F$23)/(Inputs!$F$61-Inputs!$F$23))+Operations!$F$839)/100</f>
        <v>0.06</v>
      </c>
      <c r="AA859" s="14" t="n">
        <f aca="false">(IF(Time!AA$4&gt;=Inputs!$F$61,Inputs!$F$63,Inputs!$F$62+(Inputs!$F$63-Inputs!$F$62)*(Time!AA$4-Inputs!$F$23)/(Inputs!$F$61-Inputs!$F$23))+Operations!$F$839)/100</f>
        <v>0.06</v>
      </c>
      <c r="AB859" s="14" t="n">
        <f aca="false">(IF(Time!AB$4&gt;=Inputs!$F$61,Inputs!$F$63,Inputs!$F$62+(Inputs!$F$63-Inputs!$F$62)*(Time!AB$4-Inputs!$F$23)/(Inputs!$F$61-Inputs!$F$23))+Operations!$F$839)/100</f>
        <v>0.06</v>
      </c>
      <c r="AC859" s="14" t="n">
        <f aca="false">(IF(Time!AC$4&gt;=Inputs!$F$61,Inputs!$F$63,Inputs!$F$62+(Inputs!$F$63-Inputs!$F$62)*(Time!AC$4-Inputs!$F$23)/(Inputs!$F$61-Inputs!$F$23))+Operations!$F$839)/100</f>
        <v>0.06</v>
      </c>
      <c r="AD859" s="14" t="n">
        <f aca="false">(IF(Time!AD$4&gt;=Inputs!$F$61,Inputs!$F$63,Inputs!$F$62+(Inputs!$F$63-Inputs!$F$62)*(Time!AD$4-Inputs!$F$23)/(Inputs!$F$61-Inputs!$F$23))+Operations!$F$839)/100</f>
        <v>0.06</v>
      </c>
      <c r="AE859" s="14" t="n">
        <f aca="false">(IF(Time!AE$4&gt;=Inputs!$F$61,Inputs!$F$63,Inputs!$F$62+(Inputs!$F$63-Inputs!$F$62)*(Time!AE$4-Inputs!$F$23)/(Inputs!$F$61-Inputs!$F$23))+Operations!$F$839)/100</f>
        <v>0.06</v>
      </c>
      <c r="AF859" s="14" t="n">
        <f aca="false">(IF(Time!AF$4&gt;=Inputs!$F$61,Inputs!$F$63,Inputs!$F$62+(Inputs!$F$63-Inputs!$F$62)*(Time!AF$4-Inputs!$F$23)/(Inputs!$F$61-Inputs!$F$23))+Operations!$F$839)/100</f>
        <v>0.06</v>
      </c>
      <c r="AG859" s="14" t="n">
        <f aca="false">(IF(Time!AG$4&gt;=Inputs!$F$61,Inputs!$F$63,Inputs!$F$62+(Inputs!$F$63-Inputs!$F$62)*(Time!AG$4-Inputs!$F$23)/(Inputs!$F$61-Inputs!$F$23))+Operations!$F$839)/100</f>
        <v>0.06</v>
      </c>
      <c r="AH859" s="14" t="n">
        <f aca="false">(IF(Time!AH$4&gt;=Inputs!$F$61,Inputs!$F$63,Inputs!$F$62+(Inputs!$F$63-Inputs!$F$62)*(Time!AH$4-Inputs!$F$23)/(Inputs!$F$61-Inputs!$F$23))+Operations!$F$839)/100</f>
        <v>0.06</v>
      </c>
      <c r="AI859" s="14" t="n">
        <f aca="false">(IF(Time!AI$4&gt;=Inputs!$F$61,Inputs!$F$63,Inputs!$F$62+(Inputs!$F$63-Inputs!$F$62)*(Time!AI$4-Inputs!$F$23)/(Inputs!$F$61-Inputs!$F$23))+Operations!$F$839)/100</f>
        <v>0.06</v>
      </c>
      <c r="AJ859" s="14" t="n">
        <f aca="false">(IF(Time!AJ$4&gt;=Inputs!$F$61,Inputs!$F$63,Inputs!$F$62+(Inputs!$F$63-Inputs!$F$62)*(Time!AJ$4-Inputs!$F$23)/(Inputs!$F$61-Inputs!$F$23))+Operations!$F$839)/100</f>
        <v>0.06</v>
      </c>
      <c r="AK859" s="14" t="n">
        <f aca="false">(IF(Time!AK$4&gt;=Inputs!$F$61,Inputs!$F$63,Inputs!$F$62+(Inputs!$F$63-Inputs!$F$62)*(Time!AK$4-Inputs!$F$23)/(Inputs!$F$61-Inputs!$F$23))+Operations!$F$839)/100</f>
        <v>0.06</v>
      </c>
      <c r="AL859" s="14" t="n">
        <f aca="false">(IF(Time!AL$4&gt;=Inputs!$F$61,Inputs!$F$63,Inputs!$F$62+(Inputs!$F$63-Inputs!$F$62)*(Time!AL$4-Inputs!$F$23)/(Inputs!$F$61-Inputs!$F$23))+Operations!$F$839)/100</f>
        <v>0.06</v>
      </c>
      <c r="AM859" s="14" t="n">
        <f aca="false">(IF(Time!AM$4&gt;=Inputs!$F$61,Inputs!$F$63,Inputs!$F$62+(Inputs!$F$63-Inputs!$F$62)*(Time!AM$4-Inputs!$F$23)/(Inputs!$F$61-Inputs!$F$23))+Operations!$F$839)/100</f>
        <v>0.06</v>
      </c>
      <c r="AN859" s="14" t="n">
        <f aca="false">(IF(Time!AN$4&gt;=Inputs!$F$61,Inputs!$F$63,Inputs!$F$62+(Inputs!$F$63-Inputs!$F$62)*(Time!AN$4-Inputs!$F$23)/(Inputs!$F$61-Inputs!$F$23))+Operations!$F$839)/100</f>
        <v>0.06</v>
      </c>
      <c r="AO859" s="14" t="n">
        <f aca="false">(IF(Time!AO$4&gt;=Inputs!$F$61,Inputs!$F$63,Inputs!$F$62+(Inputs!$F$63-Inputs!$F$62)*(Time!AO$4-Inputs!$F$23)/(Inputs!$F$61-Inputs!$F$23))+Operations!$F$839)/100</f>
        <v>0.06</v>
      </c>
      <c r="AP859" s="14" t="n">
        <f aca="false">(IF(Time!AP$4&gt;=Inputs!$F$61,Inputs!$F$63,Inputs!$F$62+(Inputs!$F$63-Inputs!$F$62)*(Time!AP$4-Inputs!$F$23)/(Inputs!$F$61-Inputs!$F$23))+Operations!$F$839)/100</f>
        <v>0.06</v>
      </c>
      <c r="AQ859" s="14" t="n">
        <f aca="false">(IF(Time!AQ$4&gt;=Inputs!$F$61,Inputs!$F$63,Inputs!$F$62+(Inputs!$F$63-Inputs!$F$62)*(Time!AQ$4-Inputs!$F$23)/(Inputs!$F$61-Inputs!$F$23))+Operations!$F$839)/100</f>
        <v>0.06</v>
      </c>
      <c r="AR859" s="14" t="n">
        <f aca="false">(IF(Time!AR$4&gt;=Inputs!$F$61,Inputs!$F$63,Inputs!$F$62+(Inputs!$F$63-Inputs!$F$62)*(Time!AR$4-Inputs!$F$23)/(Inputs!$F$61-Inputs!$F$23))+Operations!$F$839)/100</f>
        <v>0.06</v>
      </c>
      <c r="AS859" s="14" t="n">
        <f aca="false">(IF(Time!AS$4&gt;=Inputs!$F$61,Inputs!$F$63,Inputs!$F$62+(Inputs!$F$63-Inputs!$F$62)*(Time!AS$4-Inputs!$F$23)/(Inputs!$F$61-Inputs!$F$23))+Operations!$F$839)/100</f>
        <v>0.06</v>
      </c>
      <c r="AT859" s="14" t="n">
        <f aca="false">(IF(Time!AT$4&gt;=Inputs!$F$61,Inputs!$F$63,Inputs!$F$62+(Inputs!$F$63-Inputs!$F$62)*(Time!AT$4-Inputs!$F$23)/(Inputs!$F$61-Inputs!$F$23))+Operations!$F$839)/100</f>
        <v>0.06</v>
      </c>
      <c r="AU859" s="14" t="n">
        <f aca="false">(IF(Time!AU$4&gt;=Inputs!$F$61,Inputs!$F$63,Inputs!$F$62+(Inputs!$F$63-Inputs!$F$62)*(Time!AU$4-Inputs!$F$23)/(Inputs!$F$61-Inputs!$F$23))+Operations!$F$839)/100</f>
        <v>0.06</v>
      </c>
    </row>
    <row r="860" customFormat="false" ht="15" hidden="false" customHeight="false" outlineLevel="0" collapsed="false">
      <c r="D860" s="0" t="s">
        <v>465</v>
      </c>
      <c r="E860" s="0" t="s">
        <v>466</v>
      </c>
      <c r="J860" s="20" t="n">
        <f aca="false">Inputs!$F$94*Operations!J857*Inputs!$F$192/100*Operations!J858*(1-Operations!J859)</f>
        <v>514.926504426654</v>
      </c>
      <c r="K860" s="20" t="n">
        <f aca="false">Inputs!$F$94*Operations!K857*Inputs!$F$192/100*Operations!K858*(1-Operations!K859)</f>
        <v>511.206093033414</v>
      </c>
      <c r="L860" s="20" t="n">
        <f aca="false">Inputs!$F$94*Operations!L857*Inputs!$F$192/100*Operations!L858*(1-Operations!L859)</f>
        <v>507.49850357973</v>
      </c>
      <c r="M860" s="20" t="n">
        <f aca="false">Inputs!$F$94*Operations!M857*Inputs!$F$192/100*Operations!M858*(1-Operations!M859)</f>
        <v>503.803699659488</v>
      </c>
      <c r="N860" s="20" t="n">
        <f aca="false">Inputs!$F$94*Operations!N857*Inputs!$F$192/100*Operations!N858*(1-Operations!N859)</f>
        <v>502.796092260169</v>
      </c>
      <c r="O860" s="20" t="n">
        <f aca="false">Inputs!$F$94*Operations!O857*Inputs!$F$192/100*Operations!O858*(1-Operations!O859)</f>
        <v>501.790500075649</v>
      </c>
      <c r="P860" s="20" t="n">
        <f aca="false">Inputs!$F$94*Operations!P857*Inputs!$F$192/100*Operations!P858*(1-Operations!P859)</f>
        <v>500.786919075497</v>
      </c>
      <c r="Q860" s="20" t="n">
        <f aca="false">Inputs!$F$94*Operations!Q857*Inputs!$F$192/100*Operations!Q858*(1-Operations!Q859)</f>
        <v>499.785345237346</v>
      </c>
      <c r="R860" s="20" t="n">
        <f aca="false">Inputs!$F$94*Operations!R857*Inputs!$F$192/100*Operations!R858*(1-Operations!R859)</f>
        <v>498.785774546872</v>
      </c>
      <c r="S860" s="20" t="n">
        <f aca="false">Inputs!$F$94*Operations!S857*Inputs!$F$192/100*Operations!S858*(1-Operations!S859)</f>
        <v>497.788202997778</v>
      </c>
      <c r="T860" s="20" t="n">
        <f aca="false">Inputs!$F$94*Operations!T857*Inputs!$F$192/100*Operations!T858*(1-Operations!T859)</f>
        <v>496.792626591782</v>
      </c>
      <c r="U860" s="20" t="n">
        <f aca="false">Inputs!$F$94*Operations!U857*Inputs!$F$192/100*Operations!U858*(1-Operations!U859)</f>
        <v>495.799041338599</v>
      </c>
      <c r="V860" s="20" t="n">
        <f aca="false">Inputs!$F$94*Operations!V857*Inputs!$F$192/100*Operations!V858*(1-Operations!V859)</f>
        <v>494.807443255922</v>
      </c>
      <c r="W860" s="20" t="n">
        <f aca="false">Inputs!$F$94*Operations!W857*Inputs!$F$192/100*Operations!W858*(1-Operations!W859)</f>
        <v>493.81782836941</v>
      </c>
      <c r="X860" s="20" t="n">
        <f aca="false">Inputs!$F$94*Operations!X857*Inputs!$F$192/100*Operations!X858*(1-Operations!X859)</f>
        <v>492.830192712671</v>
      </c>
      <c r="Y860" s="20" t="n">
        <f aca="false">Inputs!$F$94*Operations!Y857*Inputs!$F$192/100*Operations!Y858*(1-Operations!Y859)</f>
        <v>491.844532327246</v>
      </c>
      <c r="Z860" s="20" t="n">
        <f aca="false">Inputs!$F$94*Operations!Z857*Inputs!$F$192/100*Operations!Z858*(1-Operations!Z859)</f>
        <v>490.860843262591</v>
      </c>
      <c r="AA860" s="20" t="n">
        <f aca="false">Inputs!$F$94*Operations!AA857*Inputs!$F$192/100*Operations!AA858*(1-Operations!AA859)</f>
        <v>489.879121576066</v>
      </c>
      <c r="AB860" s="20" t="n">
        <f aca="false">Inputs!$F$94*Operations!AB857*Inputs!$F$192/100*Operations!AB858*(1-Operations!AB859)</f>
        <v>488.899363332914</v>
      </c>
      <c r="AC860" s="20" t="n">
        <f aca="false">Inputs!$F$94*Operations!AC857*Inputs!$F$192/100*Operations!AC858*(1-Operations!AC859)</f>
        <v>487.921564606248</v>
      </c>
      <c r="AD860" s="20" t="n">
        <f aca="false">Inputs!$F$94*Operations!AD857*Inputs!$F$192/100*Operations!AD858*(1-Operations!AD859)</f>
        <v>486.945721477036</v>
      </c>
      <c r="AE860" s="20" t="n">
        <f aca="false">Inputs!$F$94*Operations!AE857*Inputs!$F$192/100*Operations!AE858*(1-Operations!AE859)</f>
        <v>485.971830034081</v>
      </c>
      <c r="AF860" s="20" t="n">
        <f aca="false">Inputs!$F$94*Operations!AF857*Inputs!$F$192/100*Operations!AF858*(1-Operations!AF859)</f>
        <v>484.999886374013</v>
      </c>
      <c r="AG860" s="20" t="n">
        <f aca="false">Inputs!$F$94*Operations!AG857*Inputs!$F$192/100*Operations!AG858*(1-Operations!AG859)</f>
        <v>484.029886601265</v>
      </c>
      <c r="AH860" s="20" t="n">
        <f aca="false">Inputs!$F$94*Operations!AH857*Inputs!$F$192/100*Operations!AH858*(1-Operations!AH859)</f>
        <v>483.061826828063</v>
      </c>
      <c r="AI860" s="20" t="n">
        <f aca="false">Inputs!$F$94*Operations!AI857*Inputs!$F$192/100*Operations!AI858*(1-Operations!AI859)</f>
        <v>482.095703174407</v>
      </c>
      <c r="AJ860" s="20" t="n">
        <f aca="false">Inputs!$F$94*Operations!AJ857*Inputs!$F$192/100*Operations!AJ858*(1-Operations!AJ859)</f>
        <v>481.131511768058</v>
      </c>
      <c r="AK860" s="20" t="n">
        <f aca="false">Inputs!$F$94*Operations!AK857*Inputs!$F$192/100*Operations!AK858*(1-Operations!AK859)</f>
        <v>480.169248744522</v>
      </c>
      <c r="AL860" s="20" t="n">
        <f aca="false">Inputs!$F$94*Operations!AL857*Inputs!$F$192/100*Operations!AL858*(1-Operations!AL859)</f>
        <v>479.208910247033</v>
      </c>
      <c r="AM860" s="20" t="n">
        <f aca="false">Inputs!$F$94*Operations!AM857*Inputs!$F$192/100*Operations!AM858*(1-Operations!AM859)</f>
        <v>478.250492426539</v>
      </c>
      <c r="AN860" s="20" t="n">
        <f aca="false">Inputs!$F$94*Operations!AN857*Inputs!$F$192/100*Operations!AN858*(1-Operations!AN859)</f>
        <v>477.293991441685</v>
      </c>
      <c r="AO860" s="20" t="n">
        <f aca="false">Inputs!$F$94*Operations!AO857*Inputs!$F$192/100*Operations!AO858*(1-Operations!AO859)</f>
        <v>476.339403458802</v>
      </c>
      <c r="AP860" s="20" t="n">
        <f aca="false">Inputs!$F$94*Operations!AP857*Inputs!$F$192/100*Operations!AP858*(1-Operations!AP859)</f>
        <v>475.386724651884</v>
      </c>
      <c r="AQ860" s="20" t="n">
        <f aca="false">Inputs!$F$94*Operations!AQ857*Inputs!$F$192/100*Operations!AQ858*(1-Operations!AQ859)</f>
        <v>474.435951202581</v>
      </c>
      <c r="AR860" s="20" t="n">
        <f aca="false">Inputs!$F$94*Operations!AR857*Inputs!$F$192/100*Operations!AR858*(1-Operations!AR859)</f>
        <v>473.487079300176</v>
      </c>
      <c r="AS860" s="20" t="n">
        <f aca="false">Inputs!$F$94*Operations!AS857*Inputs!$F$192/100*Operations!AS858*(1-Operations!AS859)</f>
        <v>472.540105141575</v>
      </c>
      <c r="AT860" s="20" t="n">
        <f aca="false">Inputs!$F$94*Operations!AT857*Inputs!$F$192/100*Operations!AT858*(1-Operations!AT859)</f>
        <v>471.595024931292</v>
      </c>
      <c r="AU860" s="20" t="n">
        <f aca="false">Inputs!$F$94*Operations!AU857*Inputs!$F$192/100*Operations!AU858*(1-Operations!AU859)</f>
        <v>470.651834881429</v>
      </c>
    </row>
    <row r="861" customFormat="false" ht="15" hidden="false" customHeight="false" outlineLevel="0" collapsed="false">
      <c r="D861" s="0" t="s">
        <v>467</v>
      </c>
      <c r="E861" s="0" t="s">
        <v>466</v>
      </c>
      <c r="G861" s="20" t="n">
        <f aca="false">SUM(J861:AU861)</f>
        <v>11420.5376301512</v>
      </c>
      <c r="J861" s="20" t="n">
        <f aca="false">Operations!J860*Operations!J853</f>
        <v>514.926504426654</v>
      </c>
      <c r="K861" s="20" t="n">
        <f aca="false">Operations!K860*Operations!K853</f>
        <v>511.206093033414</v>
      </c>
      <c r="L861" s="20" t="n">
        <f aca="false">Operations!L860*Operations!L853</f>
        <v>507.49850357973</v>
      </c>
      <c r="M861" s="20" t="n">
        <f aca="false">Operations!M860*Operations!M853</f>
        <v>503.803699659488</v>
      </c>
      <c r="N861" s="20" t="n">
        <f aca="false">Operations!N860*Operations!N853</f>
        <v>502.796092260169</v>
      </c>
      <c r="O861" s="20" t="n">
        <f aca="false">Operations!O860*Operations!O853</f>
        <v>501.790500075649</v>
      </c>
      <c r="P861" s="20" t="n">
        <f aca="false">Operations!P860*Operations!P853</f>
        <v>500.786919075497</v>
      </c>
      <c r="Q861" s="20" t="n">
        <f aca="false">Operations!Q860*Operations!Q853</f>
        <v>499.785345237346</v>
      </c>
      <c r="R861" s="20" t="n">
        <f aca="false">Operations!R860*Operations!R853</f>
        <v>498.785774546872</v>
      </c>
      <c r="S861" s="20" t="n">
        <f aca="false">Operations!S860*Operations!S853</f>
        <v>497.788202997778</v>
      </c>
      <c r="T861" s="20" t="n">
        <f aca="false">Operations!T860*Operations!T853</f>
        <v>496.792626591782</v>
      </c>
      <c r="U861" s="20" t="n">
        <f aca="false">Operations!U860*Operations!U853</f>
        <v>495.799041338599</v>
      </c>
      <c r="V861" s="20" t="n">
        <f aca="false">Operations!V860*Operations!V853</f>
        <v>494.807443255922</v>
      </c>
      <c r="W861" s="20" t="n">
        <f aca="false">Operations!W860*Operations!W853</f>
        <v>493.81782836941</v>
      </c>
      <c r="X861" s="20" t="n">
        <f aca="false">Operations!X860*Operations!X853</f>
        <v>492.830192712671</v>
      </c>
      <c r="Y861" s="20" t="n">
        <f aca="false">Operations!Y860*Operations!Y853</f>
        <v>491.844532327246</v>
      </c>
      <c r="Z861" s="20" t="n">
        <f aca="false">Operations!Z860*Operations!Z853</f>
        <v>490.860843262591</v>
      </c>
      <c r="AA861" s="20" t="n">
        <f aca="false">Operations!AA860*Operations!AA853</f>
        <v>489.879121576066</v>
      </c>
      <c r="AB861" s="20" t="n">
        <f aca="false">Operations!AB860*Operations!AB853</f>
        <v>488.899363332914</v>
      </c>
      <c r="AC861" s="20" t="n">
        <f aca="false">Operations!AC860*Operations!AC853</f>
        <v>487.921564606248</v>
      </c>
      <c r="AD861" s="20" t="n">
        <f aca="false">Operations!AD860*Operations!AD853</f>
        <v>486.945721477036</v>
      </c>
      <c r="AE861" s="20" t="n">
        <f aca="false">Operations!AE860*Operations!AE853</f>
        <v>485.971830034081</v>
      </c>
      <c r="AF861" s="20" t="n">
        <f aca="false">Operations!AF860*Operations!AF853</f>
        <v>484.999886374013</v>
      </c>
      <c r="AG861" s="20" t="n">
        <f aca="false">Operations!AG860*Operations!AG853</f>
        <v>0</v>
      </c>
      <c r="AH861" s="20" t="n">
        <f aca="false">Operations!AH860*Operations!AH853</f>
        <v>0</v>
      </c>
      <c r="AI861" s="20" t="n">
        <f aca="false">Operations!AI860*Operations!AI853</f>
        <v>0</v>
      </c>
      <c r="AJ861" s="20" t="n">
        <f aca="false">Operations!AJ860*Operations!AJ853</f>
        <v>0</v>
      </c>
      <c r="AK861" s="20" t="n">
        <f aca="false">Operations!AK860*Operations!AK853</f>
        <v>0</v>
      </c>
      <c r="AL861" s="20" t="n">
        <f aca="false">Operations!AL860*Operations!AL853</f>
        <v>0</v>
      </c>
      <c r="AM861" s="20" t="n">
        <f aca="false">Operations!AM860*Operations!AM853</f>
        <v>0</v>
      </c>
      <c r="AN861" s="20" t="n">
        <f aca="false">Operations!AN860*Operations!AN853</f>
        <v>0</v>
      </c>
      <c r="AO861" s="20" t="n">
        <f aca="false">Operations!AO860*Operations!AO853</f>
        <v>0</v>
      </c>
      <c r="AP861" s="20" t="n">
        <f aca="false">Operations!AP860*Operations!AP853</f>
        <v>0</v>
      </c>
      <c r="AQ861" s="20" t="n">
        <f aca="false">Operations!AQ860*Operations!AQ853</f>
        <v>0</v>
      </c>
      <c r="AR861" s="20" t="n">
        <f aca="false">Operations!AR860*Operations!AR853</f>
        <v>0</v>
      </c>
      <c r="AS861" s="20" t="n">
        <f aca="false">Operations!AS860*Operations!AS853</f>
        <v>0</v>
      </c>
      <c r="AT861" s="20" t="n">
        <f aca="false">Operations!AT860*Operations!AT853</f>
        <v>0</v>
      </c>
      <c r="AU861" s="20" t="n">
        <f aca="false">Operations!AU860*Operations!AU853</f>
        <v>0</v>
      </c>
    </row>
    <row r="862" customFormat="false" ht="15" hidden="false" customHeight="false" outlineLevel="0" collapsed="false">
      <c r="D862" s="0" t="s">
        <v>468</v>
      </c>
      <c r="E862" s="0" t="s">
        <v>54</v>
      </c>
      <c r="J862" s="14" t="n">
        <f aca="false">Operations!J847</f>
        <v>0.74</v>
      </c>
      <c r="K862" s="14" t="n">
        <f aca="false">Operations!K847</f>
        <v>0.734</v>
      </c>
      <c r="L862" s="14" t="n">
        <f aca="false">Operations!L847</f>
        <v>0.728</v>
      </c>
      <c r="M862" s="14" t="n">
        <f aca="false">Operations!M847</f>
        <v>0.722</v>
      </c>
      <c r="N862" s="14" t="n">
        <f aca="false">Operations!N847</f>
        <v>0.716</v>
      </c>
      <c r="O862" s="14" t="n">
        <f aca="false">Operations!O847</f>
        <v>0.71</v>
      </c>
      <c r="P862" s="14" t="n">
        <f aca="false">Operations!P847</f>
        <v>0.704</v>
      </c>
      <c r="Q862" s="14" t="n">
        <f aca="false">Operations!Q847</f>
        <v>0.698</v>
      </c>
      <c r="R862" s="14" t="n">
        <f aca="false">Operations!R847</f>
        <v>0.692</v>
      </c>
      <c r="S862" s="14" t="n">
        <f aca="false">Operations!S847</f>
        <v>0.686</v>
      </c>
      <c r="T862" s="14" t="n">
        <f aca="false">Operations!T847</f>
        <v>0.68</v>
      </c>
      <c r="U862" s="14" t="n">
        <f aca="false">Operations!U847</f>
        <v>0.674</v>
      </c>
      <c r="V862" s="14" t="n">
        <f aca="false">Operations!V847</f>
        <v>0.668</v>
      </c>
      <c r="W862" s="14" t="n">
        <f aca="false">Operations!W847</f>
        <v>0.662</v>
      </c>
      <c r="X862" s="14" t="n">
        <f aca="false">Operations!X847</f>
        <v>0.656</v>
      </c>
      <c r="Y862" s="14" t="n">
        <f aca="false">Operations!Y847</f>
        <v>0.65</v>
      </c>
      <c r="Z862" s="14" t="n">
        <f aca="false">Operations!Z847</f>
        <v>0.644</v>
      </c>
      <c r="AA862" s="14" t="n">
        <f aca="false">Operations!AA847</f>
        <v>0.638</v>
      </c>
      <c r="AB862" s="14" t="n">
        <f aca="false">Operations!AB847</f>
        <v>0.632</v>
      </c>
      <c r="AC862" s="14" t="n">
        <f aca="false">Operations!AC847</f>
        <v>0.626</v>
      </c>
      <c r="AD862" s="14" t="n">
        <f aca="false">Operations!AD847</f>
        <v>0.62</v>
      </c>
      <c r="AE862" s="14" t="n">
        <f aca="false">Operations!AE847</f>
        <v>0.62</v>
      </c>
      <c r="AF862" s="14" t="n">
        <f aca="false">Operations!AF847</f>
        <v>0.62</v>
      </c>
      <c r="AG862" s="14" t="n">
        <f aca="false">Operations!AG847</f>
        <v>0.62</v>
      </c>
      <c r="AH862" s="14" t="n">
        <f aca="false">Operations!AH847</f>
        <v>0.62</v>
      </c>
      <c r="AI862" s="14" t="n">
        <f aca="false">Operations!AI847</f>
        <v>0.62</v>
      </c>
      <c r="AJ862" s="14" t="n">
        <f aca="false">Operations!AJ847</f>
        <v>0.62</v>
      </c>
      <c r="AK862" s="14" t="n">
        <f aca="false">Operations!AK847</f>
        <v>0.62</v>
      </c>
      <c r="AL862" s="14" t="n">
        <f aca="false">Operations!AL847</f>
        <v>0.62</v>
      </c>
      <c r="AM862" s="14" t="n">
        <f aca="false">Operations!AM847</f>
        <v>0.62</v>
      </c>
      <c r="AN862" s="14" t="n">
        <f aca="false">Operations!AN847</f>
        <v>0.62</v>
      </c>
      <c r="AO862" s="14" t="n">
        <f aca="false">Operations!AO847</f>
        <v>0.62</v>
      </c>
      <c r="AP862" s="14" t="n">
        <f aca="false">Operations!AP847</f>
        <v>0.62</v>
      </c>
      <c r="AQ862" s="14" t="n">
        <f aca="false">Operations!AQ847</f>
        <v>0.62</v>
      </c>
      <c r="AR862" s="14" t="n">
        <f aca="false">Operations!AR847</f>
        <v>0.62</v>
      </c>
      <c r="AS862" s="14" t="n">
        <f aca="false">Operations!AS847</f>
        <v>0.62</v>
      </c>
      <c r="AT862" s="14" t="n">
        <f aca="false">Operations!AT847</f>
        <v>0.62</v>
      </c>
      <c r="AU862" s="14" t="n">
        <f aca="false">Operations!AU847</f>
        <v>0.62</v>
      </c>
    </row>
    <row r="863" customFormat="false" ht="15" hidden="false" customHeight="false" outlineLevel="0" collapsed="false">
      <c r="D863" s="0" t="s">
        <v>469</v>
      </c>
      <c r="E863" s="0" t="s">
        <v>54</v>
      </c>
      <c r="J863" s="14" t="n">
        <f aca="false">Operations!J862-Inputs!$F$44</f>
        <v>0.7</v>
      </c>
      <c r="K863" s="14" t="n">
        <f aca="false">Operations!K862-Inputs!$F$44</f>
        <v>0.694</v>
      </c>
      <c r="L863" s="14" t="n">
        <f aca="false">Operations!L862-Inputs!$F$44</f>
        <v>0.688</v>
      </c>
      <c r="M863" s="14" t="n">
        <f aca="false">Operations!M862-Inputs!$F$44</f>
        <v>0.682</v>
      </c>
      <c r="N863" s="14" t="n">
        <f aca="false">Operations!N862-Inputs!$F$44</f>
        <v>0.676</v>
      </c>
      <c r="O863" s="14" t="n">
        <f aca="false">Operations!O862-Inputs!$F$44</f>
        <v>0.67</v>
      </c>
      <c r="P863" s="14" t="n">
        <f aca="false">Operations!P862-Inputs!$F$44</f>
        <v>0.664</v>
      </c>
      <c r="Q863" s="14" t="n">
        <f aca="false">Operations!Q862-Inputs!$F$44</f>
        <v>0.658</v>
      </c>
      <c r="R863" s="14" t="n">
        <f aca="false">Operations!R862-Inputs!$F$44</f>
        <v>0.652</v>
      </c>
      <c r="S863" s="14" t="n">
        <f aca="false">Operations!S862-Inputs!$F$44</f>
        <v>0.646</v>
      </c>
      <c r="T863" s="14" t="n">
        <f aca="false">Operations!T862-Inputs!$F$44</f>
        <v>0.64</v>
      </c>
      <c r="U863" s="14" t="n">
        <f aca="false">Operations!U862-Inputs!$F$44</f>
        <v>0.634</v>
      </c>
      <c r="V863" s="14" t="n">
        <f aca="false">Operations!V862-Inputs!$F$44</f>
        <v>0.628</v>
      </c>
      <c r="W863" s="14" t="n">
        <f aca="false">Operations!W862-Inputs!$F$44</f>
        <v>0.622</v>
      </c>
      <c r="X863" s="14" t="n">
        <f aca="false">Operations!X862-Inputs!$F$44</f>
        <v>0.616</v>
      </c>
      <c r="Y863" s="14" t="n">
        <f aca="false">Operations!Y862-Inputs!$F$44</f>
        <v>0.61</v>
      </c>
      <c r="Z863" s="14" t="n">
        <f aca="false">Operations!Z862-Inputs!$F$44</f>
        <v>0.604</v>
      </c>
      <c r="AA863" s="14" t="n">
        <f aca="false">Operations!AA862-Inputs!$F$44</f>
        <v>0.598</v>
      </c>
      <c r="AB863" s="14" t="n">
        <f aca="false">Operations!AB862-Inputs!$F$44</f>
        <v>0.592</v>
      </c>
      <c r="AC863" s="14" t="n">
        <f aca="false">Operations!AC862-Inputs!$F$44</f>
        <v>0.586</v>
      </c>
      <c r="AD863" s="14" t="n">
        <f aca="false">Operations!AD862-Inputs!$F$44</f>
        <v>0.58</v>
      </c>
      <c r="AE863" s="14" t="n">
        <f aca="false">Operations!AE862-Inputs!$F$44</f>
        <v>0.58</v>
      </c>
      <c r="AF863" s="14" t="n">
        <f aca="false">Operations!AF862-Inputs!$F$44</f>
        <v>0.58</v>
      </c>
      <c r="AG863" s="14" t="n">
        <f aca="false">Operations!AG862-Inputs!$F$44</f>
        <v>0.58</v>
      </c>
      <c r="AH863" s="14" t="n">
        <f aca="false">Operations!AH862-Inputs!$F$44</f>
        <v>0.58</v>
      </c>
      <c r="AI863" s="14" t="n">
        <f aca="false">Operations!AI862-Inputs!$F$44</f>
        <v>0.58</v>
      </c>
      <c r="AJ863" s="14" t="n">
        <f aca="false">Operations!AJ862-Inputs!$F$44</f>
        <v>0.58</v>
      </c>
      <c r="AK863" s="14" t="n">
        <f aca="false">Operations!AK862-Inputs!$F$44</f>
        <v>0.58</v>
      </c>
      <c r="AL863" s="14" t="n">
        <f aca="false">Operations!AL862-Inputs!$F$44</f>
        <v>0.58</v>
      </c>
      <c r="AM863" s="14" t="n">
        <f aca="false">Operations!AM862-Inputs!$F$44</f>
        <v>0.58</v>
      </c>
      <c r="AN863" s="14" t="n">
        <f aca="false">Operations!AN862-Inputs!$F$44</f>
        <v>0.58</v>
      </c>
      <c r="AO863" s="14" t="n">
        <f aca="false">Operations!AO862-Inputs!$F$44</f>
        <v>0.58</v>
      </c>
      <c r="AP863" s="14" t="n">
        <f aca="false">Operations!AP862-Inputs!$F$44</f>
        <v>0.58</v>
      </c>
      <c r="AQ863" s="14" t="n">
        <f aca="false">Operations!AQ862-Inputs!$F$44</f>
        <v>0.58</v>
      </c>
      <c r="AR863" s="14" t="n">
        <f aca="false">Operations!AR862-Inputs!$F$44</f>
        <v>0.58</v>
      </c>
      <c r="AS863" s="14" t="n">
        <f aca="false">Operations!AS862-Inputs!$F$44</f>
        <v>0.58</v>
      </c>
      <c r="AT863" s="14" t="n">
        <f aca="false">Operations!AT862-Inputs!$F$44</f>
        <v>0.58</v>
      </c>
      <c r="AU863" s="14" t="n">
        <f aca="false">Operations!AU862-Inputs!$F$44</f>
        <v>0.58</v>
      </c>
    </row>
    <row r="864" customFormat="false" ht="15" hidden="false" customHeight="false" outlineLevel="0" collapsed="false">
      <c r="D864" s="0" t="s">
        <v>470</v>
      </c>
      <c r="E864" s="0" t="s">
        <v>96</v>
      </c>
      <c r="J864" s="18" t="n">
        <f aca="false">Operations!J856*Operations!J863</f>
        <v>50.54896</v>
      </c>
      <c r="K864" s="18" t="n">
        <f aca="false">Operations!K856*Operations!K863</f>
        <v>41.1136704</v>
      </c>
      <c r="L864" s="18" t="n">
        <f aca="false">Operations!L856*Operations!L863</f>
        <v>20.0461184</v>
      </c>
      <c r="M864" s="18" t="n">
        <f aca="false">Operations!M856*Operations!M863</f>
        <v>26.2750048</v>
      </c>
      <c r="N864" s="18" t="n">
        <f aca="false">Operations!N856*Operations!N863</f>
        <v>29.1848128</v>
      </c>
      <c r="O864" s="18" t="n">
        <f aca="false">Operations!O856*Operations!O863</f>
        <v>30.676888</v>
      </c>
      <c r="P864" s="18" t="n">
        <f aca="false">Operations!P856*Operations!P863</f>
        <v>31.5591232</v>
      </c>
      <c r="Q864" s="18" t="n">
        <f aca="false">Operations!Q856*Operations!Q863</f>
        <v>32.1019776</v>
      </c>
      <c r="R864" s="18" t="n">
        <f aca="false">Operations!R856*Operations!R863</f>
        <v>32.6928448</v>
      </c>
      <c r="S864" s="18" t="n">
        <f aca="false">Operations!S856*Operations!S863</f>
        <v>33.04233152</v>
      </c>
      <c r="T864" s="18" t="n">
        <f aca="false">Operations!T856*Operations!T863</f>
        <v>33.392128</v>
      </c>
      <c r="U864" s="18" t="n">
        <f aca="false">Operations!U856*Operations!U863</f>
        <v>33.74188576</v>
      </c>
      <c r="V864" s="18" t="n">
        <f aca="false">Operations!V856*Operations!V863</f>
        <v>34.09125632</v>
      </c>
      <c r="W864" s="18" t="n">
        <f aca="false">Operations!W856*Operations!W863</f>
        <v>34.4398912</v>
      </c>
      <c r="X864" s="18" t="n">
        <f aca="false">Operations!X856*Operations!X863</f>
        <v>34.78744192</v>
      </c>
      <c r="Y864" s="18" t="n">
        <f aca="false">Operations!Y856*Operations!Y863</f>
        <v>35.1394648</v>
      </c>
      <c r="Z864" s="18" t="n">
        <f aca="false">Operations!Z856*Operations!Z863</f>
        <v>35.4895904</v>
      </c>
      <c r="AA864" s="18" t="n">
        <f aca="false">Operations!AA856*Operations!AA863</f>
        <v>35.83747024</v>
      </c>
      <c r="AB864" s="18" t="n">
        <f aca="false">Operations!AB856*Operations!AB863</f>
        <v>36.1884864</v>
      </c>
      <c r="AC864" s="18" t="n">
        <f aca="false">Operations!AC856*Operations!AC863</f>
        <v>36.53644368</v>
      </c>
      <c r="AD864" s="18" t="n">
        <f aca="false">Operations!AD856*Operations!AD863</f>
        <v>36.886608</v>
      </c>
      <c r="AE864" s="18" t="n">
        <f aca="false">Operations!AE856*Operations!AE863</f>
        <v>37.6220944</v>
      </c>
      <c r="AF864" s="18" t="n">
        <f aca="false">Operations!AF856*Operations!AF863</f>
        <v>38.374424</v>
      </c>
      <c r="AG864" s="18" t="n">
        <f aca="false">Operations!AG856*Operations!AG863</f>
        <v>39.1435968</v>
      </c>
      <c r="AH864" s="18" t="n">
        <f aca="false">Operations!AH856*Operations!AH863</f>
        <v>39.9239984</v>
      </c>
      <c r="AI864" s="18" t="n">
        <f aca="false">Operations!AI856*Operations!AI863</f>
        <v>40.7212432</v>
      </c>
      <c r="AJ864" s="18" t="n">
        <f aca="false">Operations!AJ856*Operations!AJ863</f>
        <v>41.5353312</v>
      </c>
      <c r="AK864" s="18" t="n">
        <f aca="false">Operations!AK856*Operations!AK863</f>
        <v>42.3662624</v>
      </c>
      <c r="AL864" s="18" t="n">
        <f aca="false">Operations!AL856*Operations!AL863</f>
        <v>43.2140368</v>
      </c>
      <c r="AM864" s="18" t="n">
        <f aca="false">Operations!AM856*Operations!AM863</f>
        <v>44.0786544</v>
      </c>
      <c r="AN864" s="18" t="n">
        <f aca="false">Operations!AN856*Operations!AN863</f>
        <v>44.9601152</v>
      </c>
      <c r="AO864" s="18" t="n">
        <f aca="false">Operations!AO856*Operations!AO863</f>
        <v>45.8584192</v>
      </c>
      <c r="AP864" s="18" t="n">
        <f aca="false">Operations!AP856*Operations!AP863</f>
        <v>46.7735664</v>
      </c>
      <c r="AQ864" s="18" t="n">
        <f aca="false">Operations!AQ856*Operations!AQ863</f>
        <v>47.7111712</v>
      </c>
      <c r="AR864" s="18" t="n">
        <f aca="false">Operations!AR856*Operations!AR863</f>
        <v>48.6656192</v>
      </c>
      <c r="AS864" s="18" t="n">
        <f aca="false">Operations!AS856*Operations!AS863</f>
        <v>49.6369104</v>
      </c>
      <c r="AT864" s="18" t="n">
        <f aca="false">Operations!AT856*Operations!AT863</f>
        <v>50.6306592</v>
      </c>
      <c r="AU864" s="18" t="n">
        <f aca="false">Operations!AU856*Operations!AU863</f>
        <v>51.6412512</v>
      </c>
    </row>
    <row r="865" customFormat="false" ht="15" hidden="false" customHeight="false" outlineLevel="0" collapsed="false">
      <c r="D865" s="0" t="s">
        <v>471</v>
      </c>
      <c r="E865" s="0" t="s">
        <v>458</v>
      </c>
      <c r="J865" s="14" t="n">
        <f aca="false">MAX(0,MIN(Inputs!$F$200,Time!J$6)-MAX(Inputs!$F$199-1,Time!J$5))/Time!J$7</f>
        <v>0</v>
      </c>
      <c r="K865" s="14" t="n">
        <f aca="false">MAX(0,MIN(Inputs!$F$200,Time!K$6)-MAX(Inputs!$F$199-1,Time!K$5))/Time!K$7</f>
        <v>1</v>
      </c>
      <c r="L865" s="14" t="n">
        <f aca="false">MAX(0,MIN(Inputs!$F$200,Time!L$6)-MAX(Inputs!$F$199-1,Time!L$5))/Time!L$7</f>
        <v>1</v>
      </c>
      <c r="M865" s="14" t="n">
        <f aca="false">MAX(0,MIN(Inputs!$F$200,Time!M$6)-MAX(Inputs!$F$199-1,Time!M$5))/Time!M$7</f>
        <v>1</v>
      </c>
      <c r="N865" s="14" t="n">
        <f aca="false">MAX(0,MIN(Inputs!$F$200,Time!N$6)-MAX(Inputs!$F$199-1,Time!N$5))/Time!N$7</f>
        <v>1</v>
      </c>
      <c r="O865" s="14" t="n">
        <f aca="false">MAX(0,MIN(Inputs!$F$200,Time!O$6)-MAX(Inputs!$F$199-1,Time!O$5))/Time!O$7</f>
        <v>1</v>
      </c>
      <c r="P865" s="14" t="n">
        <f aca="false">MAX(0,MIN(Inputs!$F$200,Time!P$6)-MAX(Inputs!$F$199-1,Time!P$5))/Time!P$7</f>
        <v>0</v>
      </c>
      <c r="Q865" s="14" t="n">
        <f aca="false">MAX(0,MIN(Inputs!$F$200,Time!Q$6)-MAX(Inputs!$F$199-1,Time!Q$5))/Time!Q$7</f>
        <v>0</v>
      </c>
      <c r="R865" s="14" t="n">
        <f aca="false">MAX(0,MIN(Inputs!$F$200,Time!R$6)-MAX(Inputs!$F$199-1,Time!R$5))/Time!R$7</f>
        <v>0</v>
      </c>
      <c r="S865" s="14" t="n">
        <f aca="false">MAX(0,MIN(Inputs!$F$200,Time!S$6)-MAX(Inputs!$F$199-1,Time!S$5))/Time!S$7</f>
        <v>0</v>
      </c>
      <c r="T865" s="14" t="n">
        <f aca="false">MAX(0,MIN(Inputs!$F$200,Time!T$6)-MAX(Inputs!$F$199-1,Time!T$5))/Time!T$7</f>
        <v>0</v>
      </c>
      <c r="U865" s="14" t="n">
        <f aca="false">MAX(0,MIN(Inputs!$F$200,Time!U$6)-MAX(Inputs!$F$199-1,Time!U$5))/Time!U$7</f>
        <v>0</v>
      </c>
      <c r="V865" s="14" t="n">
        <f aca="false">MAX(0,MIN(Inputs!$F$200,Time!V$6)-MAX(Inputs!$F$199-1,Time!V$5))/Time!V$7</f>
        <v>0</v>
      </c>
      <c r="W865" s="14" t="n">
        <f aca="false">MAX(0,MIN(Inputs!$F$200,Time!W$6)-MAX(Inputs!$F$199-1,Time!W$5))/Time!W$7</f>
        <v>0</v>
      </c>
      <c r="X865" s="14" t="n">
        <f aca="false">MAX(0,MIN(Inputs!$F$200,Time!X$6)-MAX(Inputs!$F$199-1,Time!X$5))/Time!X$7</f>
        <v>0</v>
      </c>
      <c r="Y865" s="14" t="n">
        <f aca="false">MAX(0,MIN(Inputs!$F$200,Time!Y$6)-MAX(Inputs!$F$199-1,Time!Y$5))/Time!Y$7</f>
        <v>0</v>
      </c>
      <c r="Z865" s="14" t="n">
        <f aca="false">MAX(0,MIN(Inputs!$F$200,Time!Z$6)-MAX(Inputs!$F$199-1,Time!Z$5))/Time!Z$7</f>
        <v>0</v>
      </c>
      <c r="AA865" s="14" t="n">
        <f aca="false">MAX(0,MIN(Inputs!$F$200,Time!AA$6)-MAX(Inputs!$F$199-1,Time!AA$5))/Time!AA$7</f>
        <v>0</v>
      </c>
      <c r="AB865" s="14" t="n">
        <f aca="false">MAX(0,MIN(Inputs!$F$200,Time!AB$6)-MAX(Inputs!$F$199-1,Time!AB$5))/Time!AB$7</f>
        <v>0</v>
      </c>
      <c r="AC865" s="14" t="n">
        <f aca="false">MAX(0,MIN(Inputs!$F$200,Time!AC$6)-MAX(Inputs!$F$199-1,Time!AC$5))/Time!AC$7</f>
        <v>0</v>
      </c>
      <c r="AD865" s="14" t="n">
        <f aca="false">MAX(0,MIN(Inputs!$F$200,Time!AD$6)-MAX(Inputs!$F$199-1,Time!AD$5))/Time!AD$7</f>
        <v>0</v>
      </c>
      <c r="AE865" s="14" t="n">
        <f aca="false">MAX(0,MIN(Inputs!$F$200,Time!AE$6)-MAX(Inputs!$F$199-1,Time!AE$5))/Time!AE$7</f>
        <v>0</v>
      </c>
      <c r="AF865" s="14" t="n">
        <f aca="false">MAX(0,MIN(Inputs!$F$200,Time!AF$6)-MAX(Inputs!$F$199-1,Time!AF$5))/Time!AF$7</f>
        <v>0</v>
      </c>
      <c r="AG865" s="14" t="n">
        <f aca="false">MAX(0,MIN(Inputs!$F$200,Time!AG$6)-MAX(Inputs!$F$199-1,Time!AG$5))/Time!AG$7</f>
        <v>0</v>
      </c>
      <c r="AH865" s="14" t="n">
        <f aca="false">MAX(0,MIN(Inputs!$F$200,Time!AH$6)-MAX(Inputs!$F$199-1,Time!AH$5))/Time!AH$7</f>
        <v>0</v>
      </c>
      <c r="AI865" s="14" t="n">
        <f aca="false">MAX(0,MIN(Inputs!$F$200,Time!AI$6)-MAX(Inputs!$F$199-1,Time!AI$5))/Time!AI$7</f>
        <v>0</v>
      </c>
      <c r="AJ865" s="14" t="n">
        <f aca="false">MAX(0,MIN(Inputs!$F$200,Time!AJ$6)-MAX(Inputs!$F$199-1,Time!AJ$5))/Time!AJ$7</f>
        <v>0</v>
      </c>
      <c r="AK865" s="14" t="n">
        <f aca="false">MAX(0,MIN(Inputs!$F$200,Time!AK$6)-MAX(Inputs!$F$199-1,Time!AK$5))/Time!AK$7</f>
        <v>0</v>
      </c>
      <c r="AL865" s="14" t="n">
        <f aca="false">MAX(0,MIN(Inputs!$F$200,Time!AL$6)-MAX(Inputs!$F$199-1,Time!AL$5))/Time!AL$7</f>
        <v>0</v>
      </c>
      <c r="AM865" s="14" t="n">
        <f aca="false">MAX(0,MIN(Inputs!$F$200,Time!AM$6)-MAX(Inputs!$F$199-1,Time!AM$5))/Time!AM$7</f>
        <v>0</v>
      </c>
      <c r="AN865" s="14" t="n">
        <f aca="false">MAX(0,MIN(Inputs!$F$200,Time!AN$6)-MAX(Inputs!$F$199-1,Time!AN$5))/Time!AN$7</f>
        <v>0</v>
      </c>
      <c r="AO865" s="14" t="n">
        <f aca="false">MAX(0,MIN(Inputs!$F$200,Time!AO$6)-MAX(Inputs!$F$199-1,Time!AO$5))/Time!AO$7</f>
        <v>0</v>
      </c>
      <c r="AP865" s="14" t="n">
        <f aca="false">MAX(0,MIN(Inputs!$F$200,Time!AP$6)-MAX(Inputs!$F$199-1,Time!AP$5))/Time!AP$7</f>
        <v>0</v>
      </c>
      <c r="AQ865" s="14" t="n">
        <f aca="false">MAX(0,MIN(Inputs!$F$200,Time!AQ$6)-MAX(Inputs!$F$199-1,Time!AQ$5))/Time!AQ$7</f>
        <v>0</v>
      </c>
      <c r="AR865" s="14" t="n">
        <f aca="false">MAX(0,MIN(Inputs!$F$200,Time!AR$6)-MAX(Inputs!$F$199-1,Time!AR$5))/Time!AR$7</f>
        <v>0</v>
      </c>
      <c r="AS865" s="14" t="n">
        <f aca="false">MAX(0,MIN(Inputs!$F$200,Time!AS$6)-MAX(Inputs!$F$199-1,Time!AS$5))/Time!AS$7</f>
        <v>0</v>
      </c>
      <c r="AT865" s="14" t="n">
        <f aca="false">MAX(0,MIN(Inputs!$F$200,Time!AT$6)-MAX(Inputs!$F$199-1,Time!AT$5))/Time!AT$7</f>
        <v>0</v>
      </c>
      <c r="AU865" s="14" t="n">
        <f aca="false">MAX(0,MIN(Inputs!$F$200,Time!AU$6)-MAX(Inputs!$F$199-1,Time!AU$5))/Time!AU$7</f>
        <v>0</v>
      </c>
    </row>
    <row r="866" customFormat="false" ht="15" hidden="false" customHeight="false" outlineLevel="0" collapsed="false">
      <c r="D866" s="0" t="s">
        <v>472</v>
      </c>
      <c r="E866" s="0" t="s">
        <v>466</v>
      </c>
      <c r="J866" s="20" t="n">
        <f aca="false">Inputs!$F$197*Time!J$7*Inputs!$F$201/1000*Operations!J865</f>
        <v>0</v>
      </c>
      <c r="K866" s="20" t="n">
        <f aca="false">Inputs!$F$197*Time!K$7*Inputs!$F$201/1000*Operations!K865</f>
        <v>350.4</v>
      </c>
      <c r="L866" s="20" t="n">
        <f aca="false">Inputs!$F$197*Time!L$7*Inputs!$F$201/1000*Operations!L865</f>
        <v>351.36</v>
      </c>
      <c r="M866" s="20" t="n">
        <f aca="false">Inputs!$F$197*Time!M$7*Inputs!$F$201/1000*Operations!M865</f>
        <v>350.4</v>
      </c>
      <c r="N866" s="20" t="n">
        <f aca="false">Inputs!$F$197*Time!N$7*Inputs!$F$201/1000*Operations!N865</f>
        <v>350.4</v>
      </c>
      <c r="O866" s="20" t="n">
        <f aca="false">Inputs!$F$197*Time!O$7*Inputs!$F$201/1000*Operations!O865</f>
        <v>350.4</v>
      </c>
      <c r="P866" s="20" t="n">
        <f aca="false">Inputs!$F$197*Time!P$7*Inputs!$F$201/1000*Operations!P865</f>
        <v>0</v>
      </c>
      <c r="Q866" s="20" t="n">
        <f aca="false">Inputs!$F$197*Time!Q$7*Inputs!$F$201/1000*Operations!Q865</f>
        <v>0</v>
      </c>
      <c r="R866" s="20" t="n">
        <f aca="false">Inputs!$F$197*Time!R$7*Inputs!$F$201/1000*Operations!R865</f>
        <v>0</v>
      </c>
      <c r="S866" s="20" t="n">
        <f aca="false">Inputs!$F$197*Time!S$7*Inputs!$F$201/1000*Operations!S865</f>
        <v>0</v>
      </c>
      <c r="T866" s="20" t="n">
        <f aca="false">Inputs!$F$197*Time!T$7*Inputs!$F$201/1000*Operations!T865</f>
        <v>0</v>
      </c>
      <c r="U866" s="20" t="n">
        <f aca="false">Inputs!$F$197*Time!U$7*Inputs!$F$201/1000*Operations!U865</f>
        <v>0</v>
      </c>
      <c r="V866" s="20" t="n">
        <f aca="false">Inputs!$F$197*Time!V$7*Inputs!$F$201/1000*Operations!V865</f>
        <v>0</v>
      </c>
      <c r="W866" s="20" t="n">
        <f aca="false">Inputs!$F$197*Time!W$7*Inputs!$F$201/1000*Operations!W865</f>
        <v>0</v>
      </c>
      <c r="X866" s="20" t="n">
        <f aca="false">Inputs!$F$197*Time!X$7*Inputs!$F$201/1000*Operations!X865</f>
        <v>0</v>
      </c>
      <c r="Y866" s="20" t="n">
        <f aca="false">Inputs!$F$197*Time!Y$7*Inputs!$F$201/1000*Operations!Y865</f>
        <v>0</v>
      </c>
      <c r="Z866" s="20" t="n">
        <f aca="false">Inputs!$F$197*Time!Z$7*Inputs!$F$201/1000*Operations!Z865</f>
        <v>0</v>
      </c>
      <c r="AA866" s="20" t="n">
        <f aca="false">Inputs!$F$197*Time!AA$7*Inputs!$F$201/1000*Operations!AA865</f>
        <v>0</v>
      </c>
      <c r="AB866" s="20" t="n">
        <f aca="false">Inputs!$F$197*Time!AB$7*Inputs!$F$201/1000*Operations!AB865</f>
        <v>0</v>
      </c>
      <c r="AC866" s="20" t="n">
        <f aca="false">Inputs!$F$197*Time!AC$7*Inputs!$F$201/1000*Operations!AC865</f>
        <v>0</v>
      </c>
      <c r="AD866" s="20" t="n">
        <f aca="false">Inputs!$F$197*Time!AD$7*Inputs!$F$201/1000*Operations!AD865</f>
        <v>0</v>
      </c>
      <c r="AE866" s="20" t="n">
        <f aca="false">Inputs!$F$197*Time!AE$7*Inputs!$F$201/1000*Operations!AE865</f>
        <v>0</v>
      </c>
      <c r="AF866" s="20" t="n">
        <f aca="false">Inputs!$F$197*Time!AF$7*Inputs!$F$201/1000*Operations!AF865</f>
        <v>0</v>
      </c>
      <c r="AG866" s="20" t="n">
        <f aca="false">Inputs!$F$197*Time!AG$7*Inputs!$F$201/1000*Operations!AG865</f>
        <v>0</v>
      </c>
      <c r="AH866" s="20" t="n">
        <f aca="false">Inputs!$F$197*Time!AH$7*Inputs!$F$201/1000*Operations!AH865</f>
        <v>0</v>
      </c>
      <c r="AI866" s="20" t="n">
        <f aca="false">Inputs!$F$197*Time!AI$7*Inputs!$F$201/1000*Operations!AI865</f>
        <v>0</v>
      </c>
      <c r="AJ866" s="20" t="n">
        <f aca="false">Inputs!$F$197*Time!AJ$7*Inputs!$F$201/1000*Operations!AJ865</f>
        <v>0</v>
      </c>
      <c r="AK866" s="20" t="n">
        <f aca="false">Inputs!$F$197*Time!AK$7*Inputs!$F$201/1000*Operations!AK865</f>
        <v>0</v>
      </c>
      <c r="AL866" s="20" t="n">
        <f aca="false">Inputs!$F$197*Time!AL$7*Inputs!$F$201/1000*Operations!AL865</f>
        <v>0</v>
      </c>
      <c r="AM866" s="20" t="n">
        <f aca="false">Inputs!$F$197*Time!AM$7*Inputs!$F$201/1000*Operations!AM865</f>
        <v>0</v>
      </c>
      <c r="AN866" s="20" t="n">
        <f aca="false">Inputs!$F$197*Time!AN$7*Inputs!$F$201/1000*Operations!AN865</f>
        <v>0</v>
      </c>
      <c r="AO866" s="20" t="n">
        <f aca="false">Inputs!$F$197*Time!AO$7*Inputs!$F$201/1000*Operations!AO865</f>
        <v>0</v>
      </c>
      <c r="AP866" s="20" t="n">
        <f aca="false">Inputs!$F$197*Time!AP$7*Inputs!$F$201/1000*Operations!AP865</f>
        <v>0</v>
      </c>
      <c r="AQ866" s="20" t="n">
        <f aca="false">Inputs!$F$197*Time!AQ$7*Inputs!$F$201/1000*Operations!AQ865</f>
        <v>0</v>
      </c>
      <c r="AR866" s="20" t="n">
        <f aca="false">Inputs!$F$197*Time!AR$7*Inputs!$F$201/1000*Operations!AR865</f>
        <v>0</v>
      </c>
      <c r="AS866" s="20" t="n">
        <f aca="false">Inputs!$F$197*Time!AS$7*Inputs!$F$201/1000*Operations!AS865</f>
        <v>0</v>
      </c>
      <c r="AT866" s="20" t="n">
        <f aca="false">Inputs!$F$197*Time!AT$7*Inputs!$F$201/1000*Operations!AT865</f>
        <v>0</v>
      </c>
      <c r="AU866" s="20" t="n">
        <f aca="false">Inputs!$F$197*Time!AU$7*Inputs!$F$201/1000*Operations!AU865</f>
        <v>0</v>
      </c>
    </row>
    <row r="867" customFormat="false" ht="15" hidden="false" customHeight="false" outlineLevel="0" collapsed="false">
      <c r="D867" s="0" t="s">
        <v>473</v>
      </c>
      <c r="E867" s="0" t="s">
        <v>47</v>
      </c>
      <c r="G867" s="20" t="n">
        <f aca="false">SUM(J867:AU867)</f>
        <v>8.913603072</v>
      </c>
      <c r="J867" s="20" t="n">
        <f aca="false">Operations!J866*(Inputs!$F$198-Operations!J856)/1000</f>
        <v>-0</v>
      </c>
      <c r="K867" s="20" t="n">
        <f aca="false">Operations!K866*(Inputs!$F$198-Operations!K856)/1000</f>
        <v>-3.85145664</v>
      </c>
      <c r="L867" s="20" t="n">
        <f aca="false">Operations!L866*(Inputs!$F$198-Operations!L856)/1000</f>
        <v>6.715613952</v>
      </c>
      <c r="M867" s="20" t="n">
        <f aca="false">Operations!M866*(Inputs!$F$198-Operations!M856)/1000</f>
        <v>3.40714944</v>
      </c>
      <c r="N867" s="20" t="n">
        <f aca="false">Operations!N866*(Inputs!$F$198-Operations!N856)/1000</f>
        <v>1.77905088</v>
      </c>
      <c r="O867" s="20" t="n">
        <f aca="false">Operations!O866*(Inputs!$F$198-Operations!O856)/1000</f>
        <v>0.863245440000002</v>
      </c>
      <c r="P867" s="20" t="n">
        <f aca="false">Operations!P866*(Inputs!$F$198-Operations!P856)/1000</f>
        <v>0</v>
      </c>
      <c r="Q867" s="20" t="n">
        <f aca="false">Operations!Q866*(Inputs!$F$198-Operations!Q856)/1000</f>
        <v>-0</v>
      </c>
      <c r="R867" s="20" t="n">
        <f aca="false">Operations!R866*(Inputs!$F$198-Operations!R856)/1000</f>
        <v>-0</v>
      </c>
      <c r="S867" s="20" t="n">
        <f aca="false">Operations!S866*(Inputs!$F$198-Operations!S856)/1000</f>
        <v>-0</v>
      </c>
      <c r="T867" s="20" t="n">
        <f aca="false">Operations!T866*(Inputs!$F$198-Operations!T856)/1000</f>
        <v>-0</v>
      </c>
      <c r="U867" s="20" t="n">
        <f aca="false">Operations!U866*(Inputs!$F$198-Operations!U856)/1000</f>
        <v>-0</v>
      </c>
      <c r="V867" s="20" t="n">
        <f aca="false">Operations!V866*(Inputs!$F$198-Operations!V856)/1000</f>
        <v>-0</v>
      </c>
      <c r="W867" s="20" t="n">
        <f aca="false">Operations!W866*(Inputs!$F$198-Operations!W856)/1000</f>
        <v>-0</v>
      </c>
      <c r="X867" s="20" t="n">
        <f aca="false">Operations!X866*(Inputs!$F$198-Operations!X856)/1000</f>
        <v>-0</v>
      </c>
      <c r="Y867" s="20" t="n">
        <f aca="false">Operations!Y866*(Inputs!$F$198-Operations!Y856)/1000</f>
        <v>-0</v>
      </c>
      <c r="Z867" s="20" t="n">
        <f aca="false">Operations!Z866*(Inputs!$F$198-Operations!Z856)/1000</f>
        <v>-0</v>
      </c>
      <c r="AA867" s="20" t="n">
        <f aca="false">Operations!AA866*(Inputs!$F$198-Operations!AA856)/1000</f>
        <v>-0</v>
      </c>
      <c r="AB867" s="20" t="n">
        <f aca="false">Operations!AB866*(Inputs!$F$198-Operations!AB856)/1000</f>
        <v>-0</v>
      </c>
      <c r="AC867" s="20" t="n">
        <f aca="false">Operations!AC866*(Inputs!$F$198-Operations!AC856)/1000</f>
        <v>-0</v>
      </c>
      <c r="AD867" s="20" t="n">
        <f aca="false">Operations!AD866*(Inputs!$F$198-Operations!AD856)/1000</f>
        <v>-0</v>
      </c>
      <c r="AE867" s="20" t="n">
        <f aca="false">Operations!AE866*(Inputs!$F$198-Operations!AE856)/1000</f>
        <v>-0</v>
      </c>
      <c r="AF867" s="20" t="n">
        <f aca="false">Operations!AF866*(Inputs!$F$198-Operations!AF856)/1000</f>
        <v>-0</v>
      </c>
      <c r="AG867" s="20" t="n">
        <f aca="false">Operations!AG866*(Inputs!$F$198-Operations!AG856)/1000</f>
        <v>-0</v>
      </c>
      <c r="AH867" s="20" t="n">
        <f aca="false">Operations!AH866*(Inputs!$F$198-Operations!AH856)/1000</f>
        <v>-0</v>
      </c>
      <c r="AI867" s="20" t="n">
        <f aca="false">Operations!AI866*(Inputs!$F$198-Operations!AI856)/1000</f>
        <v>-0</v>
      </c>
      <c r="AJ867" s="20" t="n">
        <f aca="false">Operations!AJ866*(Inputs!$F$198-Operations!AJ856)/1000</f>
        <v>-0</v>
      </c>
      <c r="AK867" s="20" t="n">
        <f aca="false">Operations!AK866*(Inputs!$F$198-Operations!AK856)/1000</f>
        <v>-0</v>
      </c>
      <c r="AL867" s="20" t="n">
        <f aca="false">Operations!AL866*(Inputs!$F$198-Operations!AL856)/1000</f>
        <v>-0</v>
      </c>
      <c r="AM867" s="20" t="n">
        <f aca="false">Operations!AM866*(Inputs!$F$198-Operations!AM856)/1000</f>
        <v>-0</v>
      </c>
      <c r="AN867" s="20" t="n">
        <f aca="false">Operations!AN866*(Inputs!$F$198-Operations!AN856)/1000</f>
        <v>-0</v>
      </c>
      <c r="AO867" s="20" t="n">
        <f aca="false">Operations!AO866*(Inputs!$F$198-Operations!AO856)/1000</f>
        <v>-0</v>
      </c>
      <c r="AP867" s="20" t="n">
        <f aca="false">Operations!AP866*(Inputs!$F$198-Operations!AP856)/1000</f>
        <v>-0</v>
      </c>
      <c r="AQ867" s="20" t="n">
        <f aca="false">Operations!AQ866*(Inputs!$F$198-Operations!AQ856)/1000</f>
        <v>-0</v>
      </c>
      <c r="AR867" s="20" t="n">
        <f aca="false">Operations!AR866*(Inputs!$F$198-Operations!AR856)/1000</f>
        <v>-0</v>
      </c>
      <c r="AS867" s="20" t="n">
        <f aca="false">Operations!AS866*(Inputs!$F$198-Operations!AS856)/1000</f>
        <v>-0</v>
      </c>
      <c r="AT867" s="20" t="n">
        <f aca="false">Operations!AT866*(Inputs!$F$198-Operations!AT856)/1000</f>
        <v>-0</v>
      </c>
      <c r="AU867" s="20" t="n">
        <f aca="false">Operations!AU866*(Inputs!$F$198-Operations!AU856)/1000</f>
        <v>-0</v>
      </c>
    </row>
    <row r="868" customFormat="false" ht="15" hidden="false" customHeight="false" outlineLevel="0" collapsed="false">
      <c r="D868" s="0" t="s">
        <v>474</v>
      </c>
      <c r="E868" s="0" t="s">
        <v>466</v>
      </c>
      <c r="J868" s="20" t="n">
        <f aca="false">Operations!J861</f>
        <v>514.926504426654</v>
      </c>
      <c r="K868" s="20" t="n">
        <f aca="false">Operations!K861</f>
        <v>511.206093033414</v>
      </c>
      <c r="L868" s="20" t="n">
        <f aca="false">Operations!L861</f>
        <v>507.49850357973</v>
      </c>
      <c r="M868" s="20" t="n">
        <f aca="false">Operations!M861</f>
        <v>503.803699659488</v>
      </c>
      <c r="N868" s="20" t="n">
        <f aca="false">Operations!N861</f>
        <v>502.796092260169</v>
      </c>
      <c r="O868" s="20" t="n">
        <f aca="false">Operations!O861</f>
        <v>501.790500075649</v>
      </c>
      <c r="P868" s="20" t="n">
        <f aca="false">Operations!P861</f>
        <v>500.786919075497</v>
      </c>
      <c r="Q868" s="20" t="n">
        <f aca="false">Operations!Q861</f>
        <v>499.785345237346</v>
      </c>
      <c r="R868" s="20" t="n">
        <f aca="false">Operations!R861</f>
        <v>498.785774546872</v>
      </c>
      <c r="S868" s="20" t="n">
        <f aca="false">Operations!S861</f>
        <v>497.788202997778</v>
      </c>
      <c r="T868" s="20" t="n">
        <f aca="false">Operations!T861</f>
        <v>496.792626591782</v>
      </c>
      <c r="U868" s="20" t="n">
        <f aca="false">Operations!U861</f>
        <v>495.799041338599</v>
      </c>
      <c r="V868" s="20" t="n">
        <f aca="false">Operations!V861</f>
        <v>494.807443255922</v>
      </c>
      <c r="W868" s="20" t="n">
        <f aca="false">Operations!W861</f>
        <v>493.81782836941</v>
      </c>
      <c r="X868" s="20" t="n">
        <f aca="false">Operations!X861</f>
        <v>492.830192712671</v>
      </c>
      <c r="Y868" s="20" t="n">
        <f aca="false">Operations!Y861</f>
        <v>491.844532327246</v>
      </c>
      <c r="Z868" s="20" t="n">
        <f aca="false">Operations!Z861</f>
        <v>490.860843262591</v>
      </c>
      <c r="AA868" s="20" t="n">
        <f aca="false">Operations!AA861</f>
        <v>489.879121576066</v>
      </c>
      <c r="AB868" s="20" t="n">
        <f aca="false">Operations!AB861</f>
        <v>488.899363332914</v>
      </c>
      <c r="AC868" s="20" t="n">
        <f aca="false">Operations!AC861</f>
        <v>487.921564606248</v>
      </c>
      <c r="AD868" s="20" t="n">
        <f aca="false">Operations!AD861</f>
        <v>486.945721477036</v>
      </c>
      <c r="AE868" s="20" t="n">
        <f aca="false">Operations!AE861</f>
        <v>485.971830034081</v>
      </c>
      <c r="AF868" s="20" t="n">
        <f aca="false">Operations!AF861</f>
        <v>484.999886374013</v>
      </c>
      <c r="AG868" s="20" t="n">
        <f aca="false">Operations!AG861</f>
        <v>0</v>
      </c>
      <c r="AH868" s="20" t="n">
        <f aca="false">Operations!AH861</f>
        <v>0</v>
      </c>
      <c r="AI868" s="20" t="n">
        <f aca="false">Operations!AI861</f>
        <v>0</v>
      </c>
      <c r="AJ868" s="20" t="n">
        <f aca="false">Operations!AJ861</f>
        <v>0</v>
      </c>
      <c r="AK868" s="20" t="n">
        <f aca="false">Operations!AK861</f>
        <v>0</v>
      </c>
      <c r="AL868" s="20" t="n">
        <f aca="false">Operations!AL861</f>
        <v>0</v>
      </c>
      <c r="AM868" s="20" t="n">
        <f aca="false">Operations!AM861</f>
        <v>0</v>
      </c>
      <c r="AN868" s="20" t="n">
        <f aca="false">Operations!AN861</f>
        <v>0</v>
      </c>
      <c r="AO868" s="20" t="n">
        <f aca="false">Operations!AO861</f>
        <v>0</v>
      </c>
      <c r="AP868" s="20" t="n">
        <f aca="false">Operations!AP861</f>
        <v>0</v>
      </c>
      <c r="AQ868" s="20" t="n">
        <f aca="false">Operations!AQ861</f>
        <v>0</v>
      </c>
      <c r="AR868" s="20" t="n">
        <f aca="false">Operations!AR861</f>
        <v>0</v>
      </c>
      <c r="AS868" s="20" t="n">
        <f aca="false">Operations!AS861</f>
        <v>0</v>
      </c>
      <c r="AT868" s="20" t="n">
        <f aca="false">Operations!AT861</f>
        <v>0</v>
      </c>
      <c r="AU868" s="20" t="n">
        <f aca="false">Operations!AU861</f>
        <v>0</v>
      </c>
    </row>
    <row r="869" customFormat="false" ht="15" hidden="false" customHeight="false" outlineLevel="0" collapsed="false">
      <c r="D869" s="0" t="s">
        <v>475</v>
      </c>
      <c r="E869" s="0" t="s">
        <v>47</v>
      </c>
      <c r="J869" s="20" t="n">
        <f aca="false">0</f>
        <v>0</v>
      </c>
      <c r="K869" s="20" t="n">
        <f aca="false">0</f>
        <v>0</v>
      </c>
      <c r="L869" s="20" t="n">
        <f aca="false">0</f>
        <v>0</v>
      </c>
      <c r="M869" s="20" t="n">
        <f aca="false">0</f>
        <v>0</v>
      </c>
      <c r="N869" s="20" t="n">
        <f aca="false">0</f>
        <v>0</v>
      </c>
      <c r="O869" s="20" t="n">
        <f aca="false">0</f>
        <v>0</v>
      </c>
      <c r="P869" s="20" t="n">
        <f aca="false">0</f>
        <v>0</v>
      </c>
      <c r="Q869" s="20" t="n">
        <f aca="false">0</f>
        <v>0</v>
      </c>
      <c r="R869" s="20" t="n">
        <f aca="false">0</f>
        <v>0</v>
      </c>
      <c r="S869" s="20" t="n">
        <f aca="false">0</f>
        <v>0</v>
      </c>
      <c r="T869" s="20" t="n">
        <f aca="false">0</f>
        <v>0</v>
      </c>
      <c r="U869" s="20" t="n">
        <f aca="false">0</f>
        <v>0</v>
      </c>
      <c r="V869" s="20" t="n">
        <f aca="false">0</f>
        <v>0</v>
      </c>
      <c r="W869" s="20" t="n">
        <f aca="false">0</f>
        <v>0</v>
      </c>
      <c r="X869" s="20" t="n">
        <f aca="false">0</f>
        <v>0</v>
      </c>
      <c r="Y869" s="20" t="n">
        <f aca="false">0</f>
        <v>0</v>
      </c>
      <c r="Z869" s="20" t="n">
        <f aca="false">0</f>
        <v>0</v>
      </c>
      <c r="AA869" s="20" t="n">
        <f aca="false">0</f>
        <v>0</v>
      </c>
      <c r="AB869" s="20" t="n">
        <f aca="false">0</f>
        <v>0</v>
      </c>
      <c r="AC869" s="20" t="n">
        <f aca="false">0</f>
        <v>0</v>
      </c>
      <c r="AD869" s="20" t="n">
        <f aca="false">0</f>
        <v>0</v>
      </c>
      <c r="AE869" s="20" t="n">
        <f aca="false">0</f>
        <v>0</v>
      </c>
      <c r="AF869" s="20" t="n">
        <f aca="false">0</f>
        <v>0</v>
      </c>
      <c r="AG869" s="20" t="n">
        <f aca="false">0</f>
        <v>0</v>
      </c>
      <c r="AH869" s="20" t="n">
        <f aca="false">0</f>
        <v>0</v>
      </c>
      <c r="AI869" s="20" t="n">
        <f aca="false">0</f>
        <v>0</v>
      </c>
      <c r="AJ869" s="20" t="n">
        <f aca="false">0</f>
        <v>0</v>
      </c>
      <c r="AK869" s="20" t="n">
        <f aca="false">0</f>
        <v>0</v>
      </c>
      <c r="AL869" s="20" t="n">
        <f aca="false">0</f>
        <v>0</v>
      </c>
      <c r="AM869" s="20" t="n">
        <f aca="false">0</f>
        <v>0</v>
      </c>
      <c r="AN869" s="20" t="n">
        <f aca="false">0</f>
        <v>0</v>
      </c>
      <c r="AO869" s="20" t="n">
        <f aca="false">0</f>
        <v>0</v>
      </c>
      <c r="AP869" s="20" t="n">
        <f aca="false">0</f>
        <v>0</v>
      </c>
      <c r="AQ869" s="20" t="n">
        <f aca="false">0</f>
        <v>0</v>
      </c>
      <c r="AR869" s="20" t="n">
        <f aca="false">0</f>
        <v>0</v>
      </c>
      <c r="AS869" s="20" t="n">
        <f aca="false">0</f>
        <v>0</v>
      </c>
      <c r="AT869" s="20" t="n">
        <f aca="false">0</f>
        <v>0</v>
      </c>
      <c r="AU869" s="20" t="n">
        <f aca="false">0</f>
        <v>0</v>
      </c>
    </row>
    <row r="870" customFormat="false" ht="15" hidden="false" customHeight="false" outlineLevel="0" collapsed="false">
      <c r="D870" s="0" t="s">
        <v>476</v>
      </c>
      <c r="E870" s="0" t="s">
        <v>47</v>
      </c>
      <c r="J870" s="20" t="n">
        <f aca="false">Operations!J866*Inputs!$F$198/1000</f>
        <v>0</v>
      </c>
      <c r="K870" s="20" t="n">
        <f aca="false">Operations!K866*Inputs!$F$198/1000</f>
        <v>16.9068</v>
      </c>
      <c r="L870" s="20" t="n">
        <f aca="false">Operations!L866*Inputs!$F$198/1000</f>
        <v>16.95312</v>
      </c>
      <c r="M870" s="20" t="n">
        <f aca="false">Operations!M866*Inputs!$F$198/1000</f>
        <v>16.9068</v>
      </c>
      <c r="N870" s="20" t="n">
        <f aca="false">Operations!N866*Inputs!$F$198/1000</f>
        <v>16.9068</v>
      </c>
      <c r="O870" s="20" t="n">
        <f aca="false">Operations!O866*Inputs!$F$198/1000</f>
        <v>16.9068</v>
      </c>
      <c r="P870" s="20" t="n">
        <f aca="false">Operations!P866*Inputs!$F$198/1000</f>
        <v>0</v>
      </c>
      <c r="Q870" s="20" t="n">
        <f aca="false">Operations!Q866*Inputs!$F$198/1000</f>
        <v>0</v>
      </c>
      <c r="R870" s="20" t="n">
        <f aca="false">Operations!R866*Inputs!$F$198/1000</f>
        <v>0</v>
      </c>
      <c r="S870" s="20" t="n">
        <f aca="false">Operations!S866*Inputs!$F$198/1000</f>
        <v>0</v>
      </c>
      <c r="T870" s="20" t="n">
        <f aca="false">Operations!T866*Inputs!$F$198/1000</f>
        <v>0</v>
      </c>
      <c r="U870" s="20" t="n">
        <f aca="false">Operations!U866*Inputs!$F$198/1000</f>
        <v>0</v>
      </c>
      <c r="V870" s="20" t="n">
        <f aca="false">Operations!V866*Inputs!$F$198/1000</f>
        <v>0</v>
      </c>
      <c r="W870" s="20" t="n">
        <f aca="false">Operations!W866*Inputs!$F$198/1000</f>
        <v>0</v>
      </c>
      <c r="X870" s="20" t="n">
        <f aca="false">Operations!X866*Inputs!$F$198/1000</f>
        <v>0</v>
      </c>
      <c r="Y870" s="20" t="n">
        <f aca="false">Operations!Y866*Inputs!$F$198/1000</f>
        <v>0</v>
      </c>
      <c r="Z870" s="20" t="n">
        <f aca="false">Operations!Z866*Inputs!$F$198/1000</f>
        <v>0</v>
      </c>
      <c r="AA870" s="20" t="n">
        <f aca="false">Operations!AA866*Inputs!$F$198/1000</f>
        <v>0</v>
      </c>
      <c r="AB870" s="20" t="n">
        <f aca="false">Operations!AB866*Inputs!$F$198/1000</f>
        <v>0</v>
      </c>
      <c r="AC870" s="20" t="n">
        <f aca="false">Operations!AC866*Inputs!$F$198/1000</f>
        <v>0</v>
      </c>
      <c r="AD870" s="20" t="n">
        <f aca="false">Operations!AD866*Inputs!$F$198/1000</f>
        <v>0</v>
      </c>
      <c r="AE870" s="20" t="n">
        <f aca="false">Operations!AE866*Inputs!$F$198/1000</f>
        <v>0</v>
      </c>
      <c r="AF870" s="20" t="n">
        <f aca="false">Operations!AF866*Inputs!$F$198/1000</f>
        <v>0</v>
      </c>
      <c r="AG870" s="20" t="n">
        <f aca="false">Operations!AG866*Inputs!$F$198/1000</f>
        <v>0</v>
      </c>
      <c r="AH870" s="20" t="n">
        <f aca="false">Operations!AH866*Inputs!$F$198/1000</f>
        <v>0</v>
      </c>
      <c r="AI870" s="20" t="n">
        <f aca="false">Operations!AI866*Inputs!$F$198/1000</f>
        <v>0</v>
      </c>
      <c r="AJ870" s="20" t="n">
        <f aca="false">Operations!AJ866*Inputs!$F$198/1000</f>
        <v>0</v>
      </c>
      <c r="AK870" s="20" t="n">
        <f aca="false">Operations!AK866*Inputs!$F$198/1000</f>
        <v>0</v>
      </c>
      <c r="AL870" s="20" t="n">
        <f aca="false">Operations!AL866*Inputs!$F$198/1000</f>
        <v>0</v>
      </c>
      <c r="AM870" s="20" t="n">
        <f aca="false">Operations!AM866*Inputs!$F$198/1000</f>
        <v>0</v>
      </c>
      <c r="AN870" s="20" t="n">
        <f aca="false">Operations!AN866*Inputs!$F$198/1000</f>
        <v>0</v>
      </c>
      <c r="AO870" s="20" t="n">
        <f aca="false">Operations!AO866*Inputs!$F$198/1000</f>
        <v>0</v>
      </c>
      <c r="AP870" s="20" t="n">
        <f aca="false">Operations!AP866*Inputs!$F$198/1000</f>
        <v>0</v>
      </c>
      <c r="AQ870" s="20" t="n">
        <f aca="false">Operations!AQ866*Inputs!$F$198/1000</f>
        <v>0</v>
      </c>
      <c r="AR870" s="20" t="n">
        <f aca="false">Operations!AR866*Inputs!$F$198/1000</f>
        <v>0</v>
      </c>
      <c r="AS870" s="20" t="n">
        <f aca="false">Operations!AS866*Inputs!$F$198/1000</f>
        <v>0</v>
      </c>
      <c r="AT870" s="20" t="n">
        <f aca="false">Operations!AT866*Inputs!$F$198/1000</f>
        <v>0</v>
      </c>
      <c r="AU870" s="20" t="n">
        <f aca="false">Operations!AU866*Inputs!$F$198/1000</f>
        <v>0</v>
      </c>
    </row>
    <row r="871" customFormat="false" ht="15" hidden="false" customHeight="false" outlineLevel="0" collapsed="false">
      <c r="D871" s="0" t="s">
        <v>477</v>
      </c>
      <c r="E871" s="0" t="s">
        <v>47</v>
      </c>
      <c r="G871" s="20" t="n">
        <f aca="false">SUM(J871:AU871)</f>
        <v>392.101884699661</v>
      </c>
      <c r="J871" s="20" t="n">
        <f aca="false">Operations!J868*Operations!J864/1000</f>
        <v>26.0289992752028</v>
      </c>
      <c r="K871" s="20" t="n">
        <f aca="false">Operations!K868*Operations!K864/1000</f>
        <v>21.0175588154475</v>
      </c>
      <c r="L871" s="20" t="n">
        <f aca="false">Operations!L868*Operations!L864/1000</f>
        <v>10.1733750905821</v>
      </c>
      <c r="M871" s="20" t="n">
        <f aca="false">Operations!M868*Operations!M864/1000</f>
        <v>13.2374446268108</v>
      </c>
      <c r="N871" s="20" t="n">
        <f aca="false">Operations!N868*Operations!N864/1000</f>
        <v>14.6740098291846</v>
      </c>
      <c r="O871" s="20" t="n">
        <f aca="false">Operations!O868*Operations!O864/1000</f>
        <v>15.3933709702847</v>
      </c>
      <c r="P871" s="20" t="n">
        <f aca="false">Operations!P868*Operations!P864/1000</f>
        <v>15.804396076052</v>
      </c>
      <c r="Q871" s="20" t="n">
        <f aca="false">Operations!Q868*Operations!Q864/1000</f>
        <v>16.0440979576176</v>
      </c>
      <c r="R871" s="20" t="n">
        <f aca="false">Operations!R868*Operations!R864/1000</f>
        <v>16.3067259157087</v>
      </c>
      <c r="S871" s="20" t="n">
        <f aca="false">Operations!S868*Operations!S864/1000</f>
        <v>16.4480828301976</v>
      </c>
      <c r="T871" s="20" t="n">
        <f aca="false">Operations!T868*Operations!T864/1000</f>
        <v>16.588962976609</v>
      </c>
      <c r="U871" s="20" t="n">
        <f aca="false">Operations!U868*Operations!U864/1000</f>
        <v>16.7291946127645</v>
      </c>
      <c r="V871" s="20" t="n">
        <f aca="false">Operations!V868*Operations!V864/1000</f>
        <v>16.8686073770815</v>
      </c>
      <c r="W871" s="20" t="n">
        <f aca="false">Operations!W868*Operations!W864/1000</f>
        <v>17.0070322816627</v>
      </c>
      <c r="X871" s="20" t="n">
        <f aca="false">Operations!X868*Operations!X864/1000</f>
        <v>17.1443017054145</v>
      </c>
      <c r="Y871" s="20" t="n">
        <f aca="false">Operations!Y868*Operations!Y864/1000</f>
        <v>17.2831536307857</v>
      </c>
      <c r="Z871" s="20" t="n">
        <f aca="false">Operations!Z868*Operations!Z864/1000</f>
        <v>17.420450270788</v>
      </c>
      <c r="AA871" s="20" t="n">
        <f aca="false">Operations!AA868*Operations!AA864/1000</f>
        <v>17.5560284406796</v>
      </c>
      <c r="AB871" s="20" t="n">
        <f aca="false">Operations!AB868*Operations!AB864/1000</f>
        <v>17.6925279609418</v>
      </c>
      <c r="AC871" s="20" t="n">
        <f aca="false">Operations!AC868*Operations!AC864/1000</f>
        <v>17.8269187654937</v>
      </c>
      <c r="AD871" s="20" t="n">
        <f aca="false">Operations!AD868*Operations!AD864/1000</f>
        <v>17.9617759454006</v>
      </c>
      <c r="AE871" s="20" t="n">
        <f aca="false">Operations!AE868*Operations!AE864/1000</f>
        <v>18.283278065283</v>
      </c>
      <c r="AF871" s="20" t="n">
        <f aca="false">Operations!AF868*Operations!AF864/1000</f>
        <v>18.6115912796682</v>
      </c>
      <c r="AG871" s="20" t="n">
        <f aca="false">Operations!AG868*Operations!AG864/1000</f>
        <v>0</v>
      </c>
      <c r="AH871" s="20" t="n">
        <f aca="false">Operations!AH868*Operations!AH864/1000</f>
        <v>0</v>
      </c>
      <c r="AI871" s="20" t="n">
        <f aca="false">Operations!AI868*Operations!AI864/1000</f>
        <v>0</v>
      </c>
      <c r="AJ871" s="20" t="n">
        <f aca="false">Operations!AJ868*Operations!AJ864/1000</f>
        <v>0</v>
      </c>
      <c r="AK871" s="20" t="n">
        <f aca="false">Operations!AK868*Operations!AK864/1000</f>
        <v>0</v>
      </c>
      <c r="AL871" s="20" t="n">
        <f aca="false">Operations!AL868*Operations!AL864/1000</f>
        <v>0</v>
      </c>
      <c r="AM871" s="20" t="n">
        <f aca="false">Operations!AM868*Operations!AM864/1000</f>
        <v>0</v>
      </c>
      <c r="AN871" s="20" t="n">
        <f aca="false">Operations!AN868*Operations!AN864/1000</f>
        <v>0</v>
      </c>
      <c r="AO871" s="20" t="n">
        <f aca="false">Operations!AO868*Operations!AO864/1000</f>
        <v>0</v>
      </c>
      <c r="AP871" s="20" t="n">
        <f aca="false">Operations!AP868*Operations!AP864/1000</f>
        <v>0</v>
      </c>
      <c r="AQ871" s="20" t="n">
        <f aca="false">Operations!AQ868*Operations!AQ864/1000</f>
        <v>0</v>
      </c>
      <c r="AR871" s="20" t="n">
        <f aca="false">Operations!AR868*Operations!AR864/1000</f>
        <v>0</v>
      </c>
      <c r="AS871" s="20" t="n">
        <f aca="false">Operations!AS868*Operations!AS864/1000</f>
        <v>0</v>
      </c>
      <c r="AT871" s="20" t="n">
        <f aca="false">Operations!AT868*Operations!AT864/1000</f>
        <v>0</v>
      </c>
      <c r="AU871" s="20" t="n">
        <f aca="false">Operations!AU868*Operations!AU864/1000</f>
        <v>0</v>
      </c>
    </row>
    <row r="872" customFormat="false" ht="15" hidden="false" customHeight="false" outlineLevel="0" collapsed="false">
      <c r="D872" s="0" t="s">
        <v>478</v>
      </c>
      <c r="E872" s="0" t="s">
        <v>47</v>
      </c>
      <c r="G872" s="20" t="n">
        <f aca="false">SUM(J872:AU872)</f>
        <v>401.015487771661</v>
      </c>
      <c r="J872" s="20" t="n">
        <f aca="false">Operations!J871+Operations!J867</f>
        <v>26.0289992752028</v>
      </c>
      <c r="K872" s="20" t="n">
        <f aca="false">Operations!K871+Operations!K867</f>
        <v>17.1661021754475</v>
      </c>
      <c r="L872" s="20" t="n">
        <f aca="false">Operations!L871+Operations!L867</f>
        <v>16.8889890425821</v>
      </c>
      <c r="M872" s="20" t="n">
        <f aca="false">Operations!M871+Operations!M867</f>
        <v>16.6445940668108</v>
      </c>
      <c r="N872" s="20" t="n">
        <f aca="false">Operations!N871+Operations!N867</f>
        <v>16.4530607091846</v>
      </c>
      <c r="O872" s="20" t="n">
        <f aca="false">Operations!O871+Operations!O867</f>
        <v>16.2566164102847</v>
      </c>
      <c r="P872" s="20" t="n">
        <f aca="false">Operations!P871+Operations!P867</f>
        <v>15.804396076052</v>
      </c>
      <c r="Q872" s="20" t="n">
        <f aca="false">Operations!Q871+Operations!Q867</f>
        <v>16.0440979576176</v>
      </c>
      <c r="R872" s="20" t="n">
        <f aca="false">Operations!R871+Operations!R867</f>
        <v>16.3067259157087</v>
      </c>
      <c r="S872" s="20" t="n">
        <f aca="false">Operations!S871+Operations!S867</f>
        <v>16.4480828301976</v>
      </c>
      <c r="T872" s="20" t="n">
        <f aca="false">Operations!T871+Operations!T867</f>
        <v>16.588962976609</v>
      </c>
      <c r="U872" s="20" t="n">
        <f aca="false">Operations!U871+Operations!U867</f>
        <v>16.7291946127645</v>
      </c>
      <c r="V872" s="20" t="n">
        <f aca="false">Operations!V871+Operations!V867</f>
        <v>16.8686073770815</v>
      </c>
      <c r="W872" s="20" t="n">
        <f aca="false">Operations!W871+Operations!W867</f>
        <v>17.0070322816627</v>
      </c>
      <c r="X872" s="20" t="n">
        <f aca="false">Operations!X871+Operations!X867</f>
        <v>17.1443017054145</v>
      </c>
      <c r="Y872" s="20" t="n">
        <f aca="false">Operations!Y871+Operations!Y867</f>
        <v>17.2831536307857</v>
      </c>
      <c r="Z872" s="20" t="n">
        <f aca="false">Operations!Z871+Operations!Z867</f>
        <v>17.420450270788</v>
      </c>
      <c r="AA872" s="20" t="n">
        <f aca="false">Operations!AA871+Operations!AA867</f>
        <v>17.5560284406796</v>
      </c>
      <c r="AB872" s="20" t="n">
        <f aca="false">Operations!AB871+Operations!AB867</f>
        <v>17.6925279609418</v>
      </c>
      <c r="AC872" s="20" t="n">
        <f aca="false">Operations!AC871+Operations!AC867</f>
        <v>17.8269187654937</v>
      </c>
      <c r="AD872" s="20" t="n">
        <f aca="false">Operations!AD871+Operations!AD867</f>
        <v>17.9617759454006</v>
      </c>
      <c r="AE872" s="20" t="n">
        <f aca="false">Operations!AE871+Operations!AE867</f>
        <v>18.283278065283</v>
      </c>
      <c r="AF872" s="20" t="n">
        <f aca="false">Operations!AF871+Operations!AF867</f>
        <v>18.6115912796682</v>
      </c>
      <c r="AG872" s="20" t="n">
        <f aca="false">Operations!AG871+Operations!AG867</f>
        <v>0</v>
      </c>
      <c r="AH872" s="20" t="n">
        <f aca="false">Operations!AH871+Operations!AH867</f>
        <v>0</v>
      </c>
      <c r="AI872" s="20" t="n">
        <f aca="false">Operations!AI871+Operations!AI867</f>
        <v>0</v>
      </c>
      <c r="AJ872" s="20" t="n">
        <f aca="false">Operations!AJ871+Operations!AJ867</f>
        <v>0</v>
      </c>
      <c r="AK872" s="20" t="n">
        <f aca="false">Operations!AK871+Operations!AK867</f>
        <v>0</v>
      </c>
      <c r="AL872" s="20" t="n">
        <f aca="false">Operations!AL871+Operations!AL867</f>
        <v>0</v>
      </c>
      <c r="AM872" s="20" t="n">
        <f aca="false">Operations!AM871+Operations!AM867</f>
        <v>0</v>
      </c>
      <c r="AN872" s="20" t="n">
        <f aca="false">Operations!AN871+Operations!AN867</f>
        <v>0</v>
      </c>
      <c r="AO872" s="20" t="n">
        <f aca="false">Operations!AO871+Operations!AO867</f>
        <v>0</v>
      </c>
      <c r="AP872" s="20" t="n">
        <f aca="false">Operations!AP871+Operations!AP867</f>
        <v>0</v>
      </c>
      <c r="AQ872" s="20" t="n">
        <f aca="false">Operations!AQ871+Operations!AQ867</f>
        <v>0</v>
      </c>
      <c r="AR872" s="20" t="n">
        <f aca="false">Operations!AR871+Operations!AR867</f>
        <v>0</v>
      </c>
      <c r="AS872" s="20" t="n">
        <f aca="false">Operations!AS871+Operations!AS867</f>
        <v>0</v>
      </c>
      <c r="AT872" s="20" t="n">
        <f aca="false">Operations!AT871+Operations!AT867</f>
        <v>0</v>
      </c>
      <c r="AU872" s="20" t="n">
        <f aca="false">Operations!AU871+Operations!AU867</f>
        <v>0</v>
      </c>
    </row>
    <row r="873" customFormat="false" ht="15" hidden="false" customHeight="false" outlineLevel="0" collapsed="false">
      <c r="D873" s="0" t="s">
        <v>479</v>
      </c>
      <c r="E873" s="0" t="s">
        <v>47</v>
      </c>
      <c r="J873" s="20" t="n">
        <f aca="false">Operations!J872-Operations!J869-Operations!J870</f>
        <v>26.0289992752028</v>
      </c>
      <c r="K873" s="20" t="n">
        <f aca="false">Operations!K872-Operations!K869-Operations!K870</f>
        <v>0.259302175447523</v>
      </c>
      <c r="L873" s="20" t="n">
        <f aca="false">Operations!L872-Operations!L869-Operations!L870</f>
        <v>-0.0641309574179125</v>
      </c>
      <c r="M873" s="20" t="n">
        <f aca="false">Operations!M872-Operations!M869-Operations!M870</f>
        <v>-0.262205933189197</v>
      </c>
      <c r="N873" s="20" t="n">
        <f aca="false">Operations!N872-Operations!N869-Operations!N870</f>
        <v>-0.453739290815442</v>
      </c>
      <c r="O873" s="20" t="n">
        <f aca="false">Operations!O872-Operations!O869-Operations!O870</f>
        <v>-0.650183589715336</v>
      </c>
      <c r="P873" s="20" t="n">
        <f aca="false">Operations!P872-Operations!P869-Operations!P870</f>
        <v>15.804396076052</v>
      </c>
      <c r="Q873" s="20" t="n">
        <f aca="false">Operations!Q872-Operations!Q869-Operations!Q870</f>
        <v>16.0440979576176</v>
      </c>
      <c r="R873" s="20" t="n">
        <f aca="false">Operations!R872-Operations!R869-Operations!R870</f>
        <v>16.3067259157087</v>
      </c>
      <c r="S873" s="20" t="n">
        <f aca="false">Operations!S872-Operations!S869-Operations!S870</f>
        <v>16.4480828301976</v>
      </c>
      <c r="T873" s="20" t="n">
        <f aca="false">Operations!T872-Operations!T869-Operations!T870</f>
        <v>16.588962976609</v>
      </c>
      <c r="U873" s="20" t="n">
        <f aca="false">Operations!U872-Operations!U869-Operations!U870</f>
        <v>16.7291946127645</v>
      </c>
      <c r="V873" s="20" t="n">
        <f aca="false">Operations!V872-Operations!V869-Operations!V870</f>
        <v>16.8686073770815</v>
      </c>
      <c r="W873" s="20" t="n">
        <f aca="false">Operations!W872-Operations!W869-Operations!W870</f>
        <v>17.0070322816627</v>
      </c>
      <c r="X873" s="20" t="n">
        <f aca="false">Operations!X872-Operations!X869-Operations!X870</f>
        <v>17.1443017054145</v>
      </c>
      <c r="Y873" s="20" t="n">
        <f aca="false">Operations!Y872-Operations!Y869-Operations!Y870</f>
        <v>17.2831536307857</v>
      </c>
      <c r="Z873" s="20" t="n">
        <f aca="false">Operations!Z872-Operations!Z869-Operations!Z870</f>
        <v>17.420450270788</v>
      </c>
      <c r="AA873" s="20" t="n">
        <f aca="false">Operations!AA872-Operations!AA869-Operations!AA870</f>
        <v>17.5560284406796</v>
      </c>
      <c r="AB873" s="20" t="n">
        <f aca="false">Operations!AB872-Operations!AB869-Operations!AB870</f>
        <v>17.6925279609418</v>
      </c>
      <c r="AC873" s="20" t="n">
        <f aca="false">Operations!AC872-Operations!AC869-Operations!AC870</f>
        <v>17.8269187654937</v>
      </c>
      <c r="AD873" s="20" t="n">
        <f aca="false">Operations!AD872-Operations!AD869-Operations!AD870</f>
        <v>17.9617759454006</v>
      </c>
      <c r="AE873" s="20" t="n">
        <f aca="false">Operations!AE872-Operations!AE869-Operations!AE870</f>
        <v>18.283278065283</v>
      </c>
      <c r="AF873" s="20" t="n">
        <f aca="false">Operations!AF872-Operations!AF869-Operations!AF870</f>
        <v>18.6115912796682</v>
      </c>
      <c r="AG873" s="20" t="n">
        <f aca="false">Operations!AG872-Operations!AG869-Operations!AG870</f>
        <v>0</v>
      </c>
      <c r="AH873" s="20" t="n">
        <f aca="false">Operations!AH872-Operations!AH869-Operations!AH870</f>
        <v>0</v>
      </c>
      <c r="AI873" s="20" t="n">
        <f aca="false">Operations!AI872-Operations!AI869-Operations!AI870</f>
        <v>0</v>
      </c>
      <c r="AJ873" s="20" t="n">
        <f aca="false">Operations!AJ872-Operations!AJ869-Operations!AJ870</f>
        <v>0</v>
      </c>
      <c r="AK873" s="20" t="n">
        <f aca="false">Operations!AK872-Operations!AK869-Operations!AK870</f>
        <v>0</v>
      </c>
      <c r="AL873" s="20" t="n">
        <f aca="false">Operations!AL872-Operations!AL869-Operations!AL870</f>
        <v>0</v>
      </c>
      <c r="AM873" s="20" t="n">
        <f aca="false">Operations!AM872-Operations!AM869-Operations!AM870</f>
        <v>0</v>
      </c>
      <c r="AN873" s="20" t="n">
        <f aca="false">Operations!AN872-Operations!AN869-Operations!AN870</f>
        <v>0</v>
      </c>
      <c r="AO873" s="20" t="n">
        <f aca="false">Operations!AO872-Operations!AO869-Operations!AO870</f>
        <v>0</v>
      </c>
      <c r="AP873" s="20" t="n">
        <f aca="false">Operations!AP872-Operations!AP869-Operations!AP870</f>
        <v>0</v>
      </c>
      <c r="AQ873" s="20" t="n">
        <f aca="false">Operations!AQ872-Operations!AQ869-Operations!AQ870</f>
        <v>0</v>
      </c>
      <c r="AR873" s="20" t="n">
        <f aca="false">Operations!AR872-Operations!AR869-Operations!AR870</f>
        <v>0</v>
      </c>
      <c r="AS873" s="20" t="n">
        <f aca="false">Operations!AS872-Operations!AS869-Operations!AS870</f>
        <v>0</v>
      </c>
      <c r="AT873" s="20" t="n">
        <f aca="false">Operations!AT872-Operations!AT869-Operations!AT870</f>
        <v>0</v>
      </c>
      <c r="AU873" s="20" t="n">
        <f aca="false">Operations!AU872-Operations!AU869-Operations!AU870</f>
        <v>0</v>
      </c>
    </row>
    <row r="874" customFormat="false" ht="15" hidden="false" customHeight="false" outlineLevel="0" collapsed="false">
      <c r="D874" s="0" t="s">
        <v>480</v>
      </c>
      <c r="E874" s="0" t="s">
        <v>47</v>
      </c>
      <c r="J874" s="20" t="n">
        <f aca="false">Inputs!$F$92*Inputs!$F$88/1000*Time!J$9*Time!J$10*Operations!J853*Operations!$F$840</f>
        <v>8.3664</v>
      </c>
      <c r="K874" s="20" t="n">
        <f aca="false">Inputs!$F$92*Inputs!$F$88/1000*Time!K$9*Time!K$10*Operations!K853*Operations!$F$840</f>
        <v>8.85855348</v>
      </c>
      <c r="L874" s="20" t="n">
        <f aca="false">Inputs!$F$92*Inputs!$F$88/1000*Time!L$9*Time!L$10*Operations!L853*Operations!$F$840</f>
        <v>9.080017317</v>
      </c>
      <c r="M874" s="20" t="n">
        <f aca="false">Inputs!$F$92*Inputs!$F$88/1000*Time!M$9*Time!M$10*Operations!M853*Operations!$F$840</f>
        <v>9.307017749925</v>
      </c>
      <c r="N874" s="20" t="n">
        <f aca="false">Inputs!$F$92*Inputs!$F$88/1000*Time!N$9*Time!N$10*Operations!N853*Operations!$F$840</f>
        <v>9.53969319367312</v>
      </c>
      <c r="O874" s="20" t="n">
        <f aca="false">Inputs!$F$92*Inputs!$F$88/1000*Time!O$9*Time!O$10*Operations!O853*Operations!$F$840</f>
        <v>9.77818552351495</v>
      </c>
      <c r="P874" s="20" t="n">
        <f aca="false">Inputs!$F$92*Inputs!$F$88/1000*Time!P$9*Time!P$10*Operations!P853*Operations!$F$840</f>
        <v>10.0226401616028</v>
      </c>
      <c r="Q874" s="20" t="n">
        <f aca="false">Inputs!$F$92*Inputs!$F$88/1000*Time!Q$9*Time!Q$10*Operations!Q853*Operations!$F$840</f>
        <v>10.2732061656429</v>
      </c>
      <c r="R874" s="20" t="n">
        <f aca="false">Inputs!$F$92*Inputs!$F$88/1000*Time!R$9*Time!R$10*Operations!R853*Operations!$F$840</f>
        <v>10.530036319784</v>
      </c>
      <c r="S874" s="20" t="n">
        <f aca="false">Inputs!$F$92*Inputs!$F$88/1000*Time!S$9*Time!S$10*Operations!S853*Operations!$F$840</f>
        <v>10.7932872277786</v>
      </c>
      <c r="T874" s="20" t="n">
        <f aca="false">Inputs!$F$92*Inputs!$F$88/1000*Time!T$9*Time!T$10*Operations!T853*Operations!$F$840</f>
        <v>11.063119408473</v>
      </c>
      <c r="U874" s="20" t="n">
        <f aca="false">Inputs!$F$92*Inputs!$F$88/1000*Time!U$9*Time!U$10*Operations!U853*Operations!$F$840</f>
        <v>11.3396973936849</v>
      </c>
      <c r="V874" s="20" t="n">
        <f aca="false">Inputs!$F$92*Inputs!$F$88/1000*Time!V$9*Time!V$10*Operations!V853*Operations!$F$840</f>
        <v>11.623189828527</v>
      </c>
      <c r="W874" s="20" t="n">
        <f aca="false">Inputs!$F$92*Inputs!$F$88/1000*Time!W$9*Time!W$10*Operations!W853*Operations!$F$840</f>
        <v>11.9137695742401</v>
      </c>
      <c r="X874" s="20" t="n">
        <f aca="false">Inputs!$F$92*Inputs!$F$88/1000*Time!X$9*Time!X$10*Operations!X853*Operations!$F$840</f>
        <v>12.2116138135961</v>
      </c>
      <c r="Y874" s="20" t="n">
        <f aca="false">Inputs!$F$92*Inputs!$F$88/1000*Time!Y$9*Time!Y$10*Operations!Y853*Operations!$F$840</f>
        <v>12.516904158936</v>
      </c>
      <c r="Z874" s="20" t="n">
        <f aca="false">Inputs!$F$92*Inputs!$F$88/1000*Time!Z$9*Time!Z$10*Operations!Z853*Operations!$F$840</f>
        <v>12.8298267629094</v>
      </c>
      <c r="AA874" s="20" t="n">
        <f aca="false">Inputs!$F$92*Inputs!$F$88/1000*Time!AA$9*Time!AA$10*Operations!AA853*Operations!$F$840</f>
        <v>13.1505724319822</v>
      </c>
      <c r="AB874" s="20" t="n">
        <f aca="false">Inputs!$F$92*Inputs!$F$88/1000*Time!AB$9*Time!AB$10*Operations!AB853*Operations!$F$840</f>
        <v>13.4793367427817</v>
      </c>
      <c r="AC874" s="20" t="n">
        <f aca="false">Inputs!$F$92*Inputs!$F$88/1000*Time!AC$9*Time!AC$10*Operations!AC853*Operations!$F$840</f>
        <v>13.8163201613513</v>
      </c>
      <c r="AD874" s="20" t="n">
        <f aca="false">Inputs!$F$92*Inputs!$F$88/1000*Time!AD$9*Time!AD$10*Operations!AD853*Operations!$F$840</f>
        <v>14.1617281653851</v>
      </c>
      <c r="AE874" s="20" t="n">
        <f aca="false">Inputs!$F$92*Inputs!$F$88/1000*Time!AE$9*Time!AE$10*Operations!AE853*Operations!$F$840</f>
        <v>14.5157713695197</v>
      </c>
      <c r="AF874" s="20" t="n">
        <f aca="false">Inputs!$F$92*Inputs!$F$88/1000*Time!AF$9*Time!AF$10*Operations!AF853*Operations!$F$840</f>
        <v>14.8786656537577</v>
      </c>
      <c r="AG874" s="20" t="n">
        <f aca="false">Inputs!$F$92*Inputs!$F$88/1000*Time!AG$9*Time!AG$10*Operations!AG853*Operations!$F$840</f>
        <v>0</v>
      </c>
      <c r="AH874" s="20" t="n">
        <f aca="false">Inputs!$F$92*Inputs!$F$88/1000*Time!AH$9*Time!AH$10*Operations!AH853*Operations!$F$840</f>
        <v>0</v>
      </c>
      <c r="AI874" s="20" t="n">
        <f aca="false">Inputs!$F$92*Inputs!$F$88/1000*Time!AI$9*Time!AI$10*Operations!AI853*Operations!$F$840</f>
        <v>0</v>
      </c>
      <c r="AJ874" s="20" t="n">
        <f aca="false">Inputs!$F$92*Inputs!$F$88/1000*Time!AJ$9*Time!AJ$10*Operations!AJ853*Operations!$F$840</f>
        <v>0</v>
      </c>
      <c r="AK874" s="20" t="n">
        <f aca="false">Inputs!$F$92*Inputs!$F$88/1000*Time!AK$9*Time!AK$10*Operations!AK853*Operations!$F$840</f>
        <v>0</v>
      </c>
      <c r="AL874" s="20" t="n">
        <f aca="false">Inputs!$F$92*Inputs!$F$88/1000*Time!AL$9*Time!AL$10*Operations!AL853*Operations!$F$840</f>
        <v>0</v>
      </c>
      <c r="AM874" s="20" t="n">
        <f aca="false">Inputs!$F$92*Inputs!$F$88/1000*Time!AM$9*Time!AM$10*Operations!AM853*Operations!$F$840</f>
        <v>0</v>
      </c>
      <c r="AN874" s="20" t="n">
        <f aca="false">Inputs!$F$92*Inputs!$F$88/1000*Time!AN$9*Time!AN$10*Operations!AN853*Operations!$F$840</f>
        <v>0</v>
      </c>
      <c r="AO874" s="20" t="n">
        <f aca="false">Inputs!$F$92*Inputs!$F$88/1000*Time!AO$9*Time!AO$10*Operations!AO853*Operations!$F$840</f>
        <v>0</v>
      </c>
      <c r="AP874" s="20" t="n">
        <f aca="false">Inputs!$F$92*Inputs!$F$88/1000*Time!AP$9*Time!AP$10*Operations!AP853*Operations!$F$840</f>
        <v>0</v>
      </c>
      <c r="AQ874" s="20" t="n">
        <f aca="false">Inputs!$F$92*Inputs!$F$88/1000*Time!AQ$9*Time!AQ$10*Operations!AQ853*Operations!$F$840</f>
        <v>0</v>
      </c>
      <c r="AR874" s="20" t="n">
        <f aca="false">Inputs!$F$92*Inputs!$F$88/1000*Time!AR$9*Time!AR$10*Operations!AR853*Operations!$F$840</f>
        <v>0</v>
      </c>
      <c r="AS874" s="20" t="n">
        <f aca="false">Inputs!$F$92*Inputs!$F$88/1000*Time!AS$9*Time!AS$10*Operations!AS853*Operations!$F$840</f>
        <v>0</v>
      </c>
      <c r="AT874" s="20" t="n">
        <f aca="false">Inputs!$F$92*Inputs!$F$88/1000*Time!AT$9*Time!AT$10*Operations!AT853*Operations!$F$840</f>
        <v>0</v>
      </c>
      <c r="AU874" s="20" t="n">
        <f aca="false">Inputs!$F$92*Inputs!$F$88/1000*Time!AU$9*Time!AU$10*Operations!AU853*Operations!$F$840</f>
        <v>0</v>
      </c>
    </row>
    <row r="875" customFormat="false" ht="15" hidden="false" customHeight="false" outlineLevel="0" collapsed="false">
      <c r="D875" s="0" t="s">
        <v>481</v>
      </c>
      <c r="E875" s="0" t="s">
        <v>47</v>
      </c>
      <c r="J875" s="20" t="n">
        <f aca="false">Inputs!$F$239/100*Operations!J872</f>
        <v>1.04115997100811</v>
      </c>
      <c r="K875" s="20" t="n">
        <f aca="false">Inputs!$F$239/100*Operations!K872</f>
        <v>0.686644087017901</v>
      </c>
      <c r="L875" s="20" t="n">
        <f aca="false">Inputs!$F$239/100*Operations!L872</f>
        <v>0.675559561703284</v>
      </c>
      <c r="M875" s="20" t="n">
        <f aca="false">Inputs!$F$239/100*Operations!M872</f>
        <v>0.665783762672432</v>
      </c>
      <c r="N875" s="20" t="n">
        <f aca="false">Inputs!$F$239/100*Operations!N872</f>
        <v>0.658122428367382</v>
      </c>
      <c r="O875" s="20" t="n">
        <f aca="false">Inputs!$F$239/100*Operations!O872</f>
        <v>0.650264656411387</v>
      </c>
      <c r="P875" s="20" t="n">
        <f aca="false">Inputs!$F$239/100*Operations!P872</f>
        <v>0.632175843042082</v>
      </c>
      <c r="Q875" s="20" t="n">
        <f aca="false">Inputs!$F$239/100*Operations!Q872</f>
        <v>0.641763918304702</v>
      </c>
      <c r="R875" s="20" t="n">
        <f aca="false">Inputs!$F$239/100*Operations!R872</f>
        <v>0.652269036628346</v>
      </c>
      <c r="S875" s="20" t="n">
        <f aca="false">Inputs!$F$239/100*Operations!S872</f>
        <v>0.657923313207905</v>
      </c>
      <c r="T875" s="20" t="n">
        <f aca="false">Inputs!$F$239/100*Operations!T872</f>
        <v>0.66355851906436</v>
      </c>
      <c r="U875" s="20" t="n">
        <f aca="false">Inputs!$F$239/100*Operations!U872</f>
        <v>0.669167784510581</v>
      </c>
      <c r="V875" s="20" t="n">
        <f aca="false">Inputs!$F$239/100*Operations!V872</f>
        <v>0.674744295083259</v>
      </c>
      <c r="W875" s="20" t="n">
        <f aca="false">Inputs!$F$239/100*Operations!W872</f>
        <v>0.68028129126651</v>
      </c>
      <c r="X875" s="20" t="n">
        <f aca="false">Inputs!$F$239/100*Operations!X872</f>
        <v>0.685772068216578</v>
      </c>
      <c r="Y875" s="20" t="n">
        <f aca="false">Inputs!$F$239/100*Operations!Y872</f>
        <v>0.691326145231428</v>
      </c>
      <c r="Z875" s="20" t="n">
        <f aca="false">Inputs!$F$239/100*Operations!Z872</f>
        <v>0.696818010831518</v>
      </c>
      <c r="AA875" s="20" t="n">
        <f aca="false">Inputs!$F$239/100*Operations!AA872</f>
        <v>0.702241137627184</v>
      </c>
      <c r="AB875" s="20" t="n">
        <f aca="false">Inputs!$F$239/100*Operations!AB872</f>
        <v>0.707701118437672</v>
      </c>
      <c r="AC875" s="20" t="n">
        <f aca="false">Inputs!$F$239/100*Operations!AC872</f>
        <v>0.713076750619746</v>
      </c>
      <c r="AD875" s="20" t="n">
        <f aca="false">Inputs!$F$239/100*Operations!AD872</f>
        <v>0.718471037816023</v>
      </c>
      <c r="AE875" s="20" t="n">
        <f aca="false">Inputs!$F$239/100*Operations!AE872</f>
        <v>0.731331122611318</v>
      </c>
      <c r="AF875" s="20" t="n">
        <f aca="false">Inputs!$F$239/100*Operations!AF872</f>
        <v>0.744463651186728</v>
      </c>
      <c r="AG875" s="20" t="n">
        <f aca="false">Inputs!$F$239/100*Operations!AG872</f>
        <v>0</v>
      </c>
      <c r="AH875" s="20" t="n">
        <f aca="false">Inputs!$F$239/100*Operations!AH872</f>
        <v>0</v>
      </c>
      <c r="AI875" s="20" t="n">
        <f aca="false">Inputs!$F$239/100*Operations!AI872</f>
        <v>0</v>
      </c>
      <c r="AJ875" s="20" t="n">
        <f aca="false">Inputs!$F$239/100*Operations!AJ872</f>
        <v>0</v>
      </c>
      <c r="AK875" s="20" t="n">
        <f aca="false">Inputs!$F$239/100*Operations!AK872</f>
        <v>0</v>
      </c>
      <c r="AL875" s="20" t="n">
        <f aca="false">Inputs!$F$239/100*Operations!AL872</f>
        <v>0</v>
      </c>
      <c r="AM875" s="20" t="n">
        <f aca="false">Inputs!$F$239/100*Operations!AM872</f>
        <v>0</v>
      </c>
      <c r="AN875" s="20" t="n">
        <f aca="false">Inputs!$F$239/100*Operations!AN872</f>
        <v>0</v>
      </c>
      <c r="AO875" s="20" t="n">
        <f aca="false">Inputs!$F$239/100*Operations!AO872</f>
        <v>0</v>
      </c>
      <c r="AP875" s="20" t="n">
        <f aca="false">Inputs!$F$239/100*Operations!AP872</f>
        <v>0</v>
      </c>
      <c r="AQ875" s="20" t="n">
        <f aca="false">Inputs!$F$239/100*Operations!AQ872</f>
        <v>0</v>
      </c>
      <c r="AR875" s="20" t="n">
        <f aca="false">Inputs!$F$239/100*Operations!AR872</f>
        <v>0</v>
      </c>
      <c r="AS875" s="20" t="n">
        <f aca="false">Inputs!$F$239/100*Operations!AS872</f>
        <v>0</v>
      </c>
      <c r="AT875" s="20" t="n">
        <f aca="false">Inputs!$F$239/100*Operations!AT872</f>
        <v>0</v>
      </c>
      <c r="AU875" s="20" t="n">
        <f aca="false">Inputs!$F$239/100*Operations!AU872</f>
        <v>0</v>
      </c>
    </row>
    <row r="876" customFormat="false" ht="15" hidden="false" customHeight="false" outlineLevel="0" collapsed="false">
      <c r="D876" s="0" t="s">
        <v>482</v>
      </c>
      <c r="E876" s="0" t="s">
        <v>47</v>
      </c>
      <c r="J876" s="20" t="n">
        <f aca="false">Inputs!$F$243/100*Inputs!$F$93*Inputs!$F$88/1000*Time!J$9*Operations!J853</f>
        <v>0.0749952</v>
      </c>
      <c r="K876" s="20" t="n">
        <f aca="false">Inputs!$F$243/100*Inputs!$F$93*Inputs!$F$88/1000*Time!K$9*Operations!K853</f>
        <v>0.07687008</v>
      </c>
      <c r="L876" s="20" t="n">
        <f aca="false">Inputs!$F$243/100*Inputs!$F$93*Inputs!$F$88/1000*Time!L$9*Operations!L853</f>
        <v>0.078791832</v>
      </c>
      <c r="M876" s="20" t="n">
        <f aca="false">Inputs!$F$243/100*Inputs!$F$93*Inputs!$F$88/1000*Time!M$9*Operations!M853</f>
        <v>0.0807616278</v>
      </c>
      <c r="N876" s="20" t="n">
        <f aca="false">Inputs!$F$243/100*Inputs!$F$93*Inputs!$F$88/1000*Time!N$9*Operations!N853</f>
        <v>0.082780668495</v>
      </c>
      <c r="O876" s="20" t="n">
        <f aca="false">Inputs!$F$243/100*Inputs!$F$93*Inputs!$F$88/1000*Time!O$9*Operations!O853</f>
        <v>0.084850185207375</v>
      </c>
      <c r="P876" s="20" t="n">
        <f aca="false">Inputs!$F$243/100*Inputs!$F$93*Inputs!$F$88/1000*Time!P$9*Operations!P853</f>
        <v>0.0869714398375593</v>
      </c>
      <c r="Q876" s="20" t="n">
        <f aca="false">Inputs!$F$243/100*Inputs!$F$93*Inputs!$F$88/1000*Time!Q$9*Operations!Q853</f>
        <v>0.0891457258334983</v>
      </c>
      <c r="R876" s="20" t="n">
        <f aca="false">Inputs!$F$243/100*Inputs!$F$93*Inputs!$F$88/1000*Time!R$9*Operations!R853</f>
        <v>0.0913743689793358</v>
      </c>
      <c r="S876" s="20" t="n">
        <f aca="false">Inputs!$F$243/100*Inputs!$F$93*Inputs!$F$88/1000*Time!S$9*Operations!S853</f>
        <v>0.0936587282038191</v>
      </c>
      <c r="T876" s="20" t="n">
        <f aca="false">Inputs!$F$243/100*Inputs!$F$93*Inputs!$F$88/1000*Time!T$9*Operations!T853</f>
        <v>0.0960001964089146</v>
      </c>
      <c r="U876" s="20" t="n">
        <f aca="false">Inputs!$F$243/100*Inputs!$F$93*Inputs!$F$88/1000*Time!U$9*Operations!U853</f>
        <v>0.0984002013191375</v>
      </c>
      <c r="V876" s="20" t="n">
        <f aca="false">Inputs!$F$243/100*Inputs!$F$93*Inputs!$F$88/1000*Time!V$9*Operations!V853</f>
        <v>0.100860206352116</v>
      </c>
      <c r="W876" s="20" t="n">
        <f aca="false">Inputs!$F$243/100*Inputs!$F$93*Inputs!$F$88/1000*Time!W$9*Operations!W853</f>
        <v>0.103381711510919</v>
      </c>
      <c r="X876" s="20" t="n">
        <f aca="false">Inputs!$F$243/100*Inputs!$F$93*Inputs!$F$88/1000*Time!X$9*Operations!X853</f>
        <v>0.105966254298692</v>
      </c>
      <c r="Y876" s="20" t="n">
        <f aca="false">Inputs!$F$243/100*Inputs!$F$93*Inputs!$F$88/1000*Time!Y$9*Operations!Y853</f>
        <v>0.108615410656159</v>
      </c>
      <c r="Z876" s="20" t="n">
        <f aca="false">Inputs!$F$243/100*Inputs!$F$93*Inputs!$F$88/1000*Time!Z$9*Operations!Z853</f>
        <v>0.111330795922563</v>
      </c>
      <c r="AA876" s="20" t="n">
        <f aca="false">Inputs!$F$243/100*Inputs!$F$93*Inputs!$F$88/1000*Time!AA$9*Operations!AA853</f>
        <v>0.114114065820627</v>
      </c>
      <c r="AB876" s="20" t="n">
        <f aca="false">Inputs!$F$243/100*Inputs!$F$93*Inputs!$F$88/1000*Time!AB$9*Operations!AB853</f>
        <v>0.116966917466143</v>
      </c>
      <c r="AC876" s="20" t="n">
        <f aca="false">Inputs!$F$243/100*Inputs!$F$93*Inputs!$F$88/1000*Time!AC$9*Operations!AC853</f>
        <v>0.119891090402796</v>
      </c>
      <c r="AD876" s="20" t="n">
        <f aca="false">Inputs!$F$243/100*Inputs!$F$93*Inputs!$F$88/1000*Time!AD$9*Operations!AD853</f>
        <v>0.122888367662866</v>
      </c>
      <c r="AE876" s="20" t="n">
        <f aca="false">Inputs!$F$243/100*Inputs!$F$93*Inputs!$F$88/1000*Time!AE$9*Operations!AE853</f>
        <v>0.125960576854438</v>
      </c>
      <c r="AF876" s="20" t="n">
        <f aca="false">Inputs!$F$243/100*Inputs!$F$93*Inputs!$F$88/1000*Time!AF$9*Operations!AF853</f>
        <v>0.129109591275799</v>
      </c>
      <c r="AG876" s="20" t="n">
        <f aca="false">Inputs!$F$243/100*Inputs!$F$93*Inputs!$F$88/1000*Time!AG$9*Operations!AG853</f>
        <v>0</v>
      </c>
      <c r="AH876" s="20" t="n">
        <f aca="false">Inputs!$F$243/100*Inputs!$F$93*Inputs!$F$88/1000*Time!AH$9*Operations!AH853</f>
        <v>0</v>
      </c>
      <c r="AI876" s="20" t="n">
        <f aca="false">Inputs!$F$243/100*Inputs!$F$93*Inputs!$F$88/1000*Time!AI$9*Operations!AI853</f>
        <v>0</v>
      </c>
      <c r="AJ876" s="20" t="n">
        <f aca="false">Inputs!$F$243/100*Inputs!$F$93*Inputs!$F$88/1000*Time!AJ$9*Operations!AJ853</f>
        <v>0</v>
      </c>
      <c r="AK876" s="20" t="n">
        <f aca="false">Inputs!$F$243/100*Inputs!$F$93*Inputs!$F$88/1000*Time!AK$9*Operations!AK853</f>
        <v>0</v>
      </c>
      <c r="AL876" s="20" t="n">
        <f aca="false">Inputs!$F$243/100*Inputs!$F$93*Inputs!$F$88/1000*Time!AL$9*Operations!AL853</f>
        <v>0</v>
      </c>
      <c r="AM876" s="20" t="n">
        <f aca="false">Inputs!$F$243/100*Inputs!$F$93*Inputs!$F$88/1000*Time!AM$9*Operations!AM853</f>
        <v>0</v>
      </c>
      <c r="AN876" s="20" t="n">
        <f aca="false">Inputs!$F$243/100*Inputs!$F$93*Inputs!$F$88/1000*Time!AN$9*Operations!AN853</f>
        <v>0</v>
      </c>
      <c r="AO876" s="20" t="n">
        <f aca="false">Inputs!$F$243/100*Inputs!$F$93*Inputs!$F$88/1000*Time!AO$9*Operations!AO853</f>
        <v>0</v>
      </c>
      <c r="AP876" s="20" t="n">
        <f aca="false">Inputs!$F$243/100*Inputs!$F$93*Inputs!$F$88/1000*Time!AP$9*Operations!AP853</f>
        <v>0</v>
      </c>
      <c r="AQ876" s="20" t="n">
        <f aca="false">Inputs!$F$243/100*Inputs!$F$93*Inputs!$F$88/1000*Time!AQ$9*Operations!AQ853</f>
        <v>0</v>
      </c>
      <c r="AR876" s="20" t="n">
        <f aca="false">Inputs!$F$243/100*Inputs!$F$93*Inputs!$F$88/1000*Time!AR$9*Operations!AR853</f>
        <v>0</v>
      </c>
      <c r="AS876" s="20" t="n">
        <f aca="false">Inputs!$F$243/100*Inputs!$F$93*Inputs!$F$88/1000*Time!AS$9*Operations!AS853</f>
        <v>0</v>
      </c>
      <c r="AT876" s="20" t="n">
        <f aca="false">Inputs!$F$243/100*Inputs!$F$93*Inputs!$F$88/1000*Time!AT$9*Operations!AT853</f>
        <v>0</v>
      </c>
      <c r="AU876" s="20" t="n">
        <f aca="false">Inputs!$F$243/100*Inputs!$F$93*Inputs!$F$88/1000*Time!AU$9*Operations!AU853</f>
        <v>0</v>
      </c>
    </row>
    <row r="877" customFormat="false" ht="15" hidden="false" customHeight="false" outlineLevel="0" collapsed="false">
      <c r="D877" s="0" t="s">
        <v>483</v>
      </c>
      <c r="E877" s="0" t="s">
        <v>47</v>
      </c>
      <c r="J877" s="20" t="n">
        <f aca="false">Inputs!$F$244/100*Inputs!$F$245/100*Operations!J872</f>
        <v>0.136652246194814</v>
      </c>
      <c r="K877" s="20" t="n">
        <f aca="false">Inputs!$F$244/100*Inputs!$F$245/100*Operations!K872</f>
        <v>0.0901220364210995</v>
      </c>
      <c r="L877" s="20" t="n">
        <f aca="false">Inputs!$F$244/100*Inputs!$F$245/100*Operations!L872</f>
        <v>0.088667192473556</v>
      </c>
      <c r="M877" s="20" t="n">
        <f aca="false">Inputs!$F$244/100*Inputs!$F$245/100*Operations!M872</f>
        <v>0.0873841188507567</v>
      </c>
      <c r="N877" s="20" t="n">
        <f aca="false">Inputs!$F$244/100*Inputs!$F$245/100*Operations!N872</f>
        <v>0.086378568723219</v>
      </c>
      <c r="O877" s="20" t="n">
        <f aca="false">Inputs!$F$244/100*Inputs!$F$245/100*Operations!O872</f>
        <v>0.0853472361539945</v>
      </c>
      <c r="P877" s="20" t="n">
        <f aca="false">Inputs!$F$244/100*Inputs!$F$245/100*Operations!P872</f>
        <v>0.0829730793992732</v>
      </c>
      <c r="Q877" s="20" t="n">
        <f aca="false">Inputs!$F$244/100*Inputs!$F$245/100*Operations!Q872</f>
        <v>0.0842315142774922</v>
      </c>
      <c r="R877" s="20" t="n">
        <f aca="false">Inputs!$F$244/100*Inputs!$F$245/100*Operations!R872</f>
        <v>0.0856103110574705</v>
      </c>
      <c r="S877" s="20" t="n">
        <f aca="false">Inputs!$F$244/100*Inputs!$F$245/100*Operations!S872</f>
        <v>0.0863524348585376</v>
      </c>
      <c r="T877" s="20" t="n">
        <f aca="false">Inputs!$F$244/100*Inputs!$F$245/100*Operations!T872</f>
        <v>0.0870920556271972</v>
      </c>
      <c r="U877" s="20" t="n">
        <f aca="false">Inputs!$F$244/100*Inputs!$F$245/100*Operations!U872</f>
        <v>0.0878282717170137</v>
      </c>
      <c r="V877" s="20" t="n">
        <f aca="false">Inputs!$F$244/100*Inputs!$F$245/100*Operations!V872</f>
        <v>0.0885601887296778</v>
      </c>
      <c r="W877" s="20" t="n">
        <f aca="false">Inputs!$F$244/100*Inputs!$F$245/100*Operations!W872</f>
        <v>0.0892869194787294</v>
      </c>
      <c r="X877" s="20" t="n">
        <f aca="false">Inputs!$F$244/100*Inputs!$F$245/100*Operations!X872</f>
        <v>0.0900075839534259</v>
      </c>
      <c r="Y877" s="20" t="n">
        <f aca="false">Inputs!$F$244/100*Inputs!$F$245/100*Operations!Y872</f>
        <v>0.090736556561625</v>
      </c>
      <c r="Z877" s="20" t="n">
        <f aca="false">Inputs!$F$244/100*Inputs!$F$245/100*Operations!Z872</f>
        <v>0.0914573639216368</v>
      </c>
      <c r="AA877" s="20" t="n">
        <f aca="false">Inputs!$F$244/100*Inputs!$F$245/100*Operations!AA872</f>
        <v>0.0921691493135679</v>
      </c>
      <c r="AB877" s="20" t="n">
        <f aca="false">Inputs!$F$244/100*Inputs!$F$245/100*Operations!AB872</f>
        <v>0.0928857717949445</v>
      </c>
      <c r="AC877" s="20" t="n">
        <f aca="false">Inputs!$F$244/100*Inputs!$F$245/100*Operations!AC872</f>
        <v>0.0935913235188417</v>
      </c>
      <c r="AD877" s="20" t="n">
        <f aca="false">Inputs!$F$244/100*Inputs!$F$245/100*Operations!AD872</f>
        <v>0.0942993237133531</v>
      </c>
      <c r="AE877" s="20" t="n">
        <f aca="false">Inputs!$F$244/100*Inputs!$F$245/100*Operations!AE872</f>
        <v>0.0959872098427356</v>
      </c>
      <c r="AF877" s="20" t="n">
        <f aca="false">Inputs!$F$244/100*Inputs!$F$245/100*Operations!AF872</f>
        <v>0.0977108542182581</v>
      </c>
      <c r="AG877" s="20" t="n">
        <f aca="false">Inputs!$F$244/100*Inputs!$F$245/100*Operations!AG872</f>
        <v>0</v>
      </c>
      <c r="AH877" s="20" t="n">
        <f aca="false">Inputs!$F$244/100*Inputs!$F$245/100*Operations!AH872</f>
        <v>0</v>
      </c>
      <c r="AI877" s="20" t="n">
        <f aca="false">Inputs!$F$244/100*Inputs!$F$245/100*Operations!AI872</f>
        <v>0</v>
      </c>
      <c r="AJ877" s="20" t="n">
        <f aca="false">Inputs!$F$244/100*Inputs!$F$245/100*Operations!AJ872</f>
        <v>0</v>
      </c>
      <c r="AK877" s="20" t="n">
        <f aca="false">Inputs!$F$244/100*Inputs!$F$245/100*Operations!AK872</f>
        <v>0</v>
      </c>
      <c r="AL877" s="20" t="n">
        <f aca="false">Inputs!$F$244/100*Inputs!$F$245/100*Operations!AL872</f>
        <v>0</v>
      </c>
      <c r="AM877" s="20" t="n">
        <f aca="false">Inputs!$F$244/100*Inputs!$F$245/100*Operations!AM872</f>
        <v>0</v>
      </c>
      <c r="AN877" s="20" t="n">
        <f aca="false">Inputs!$F$244/100*Inputs!$F$245/100*Operations!AN872</f>
        <v>0</v>
      </c>
      <c r="AO877" s="20" t="n">
        <f aca="false">Inputs!$F$244/100*Inputs!$F$245/100*Operations!AO872</f>
        <v>0</v>
      </c>
      <c r="AP877" s="20" t="n">
        <f aca="false">Inputs!$F$244/100*Inputs!$F$245/100*Operations!AP872</f>
        <v>0</v>
      </c>
      <c r="AQ877" s="20" t="n">
        <f aca="false">Inputs!$F$244/100*Inputs!$F$245/100*Operations!AQ872</f>
        <v>0</v>
      </c>
      <c r="AR877" s="20" t="n">
        <f aca="false">Inputs!$F$244/100*Inputs!$F$245/100*Operations!AR872</f>
        <v>0</v>
      </c>
      <c r="AS877" s="20" t="n">
        <f aca="false">Inputs!$F$244/100*Inputs!$F$245/100*Operations!AS872</f>
        <v>0</v>
      </c>
      <c r="AT877" s="20" t="n">
        <f aca="false">Inputs!$F$244/100*Inputs!$F$245/100*Operations!AT872</f>
        <v>0</v>
      </c>
      <c r="AU877" s="20" t="n">
        <f aca="false">Inputs!$F$244/100*Inputs!$F$245/100*Operations!AU872</f>
        <v>0</v>
      </c>
    </row>
    <row r="878" customFormat="false" ht="15" hidden="false" customHeight="false" outlineLevel="0" collapsed="false">
      <c r="D878" s="0" t="s">
        <v>484</v>
      </c>
      <c r="E878" s="0" t="s">
        <v>47</v>
      </c>
      <c r="G878" s="20" t="n">
        <f aca="false">SUM(J878:AU878)</f>
        <v>116.52629910362</v>
      </c>
      <c r="J878" s="20" t="n">
        <f aca="false">Operations!J872-Operations!J874-Operations!J875-Operations!J876-Operations!J877</f>
        <v>16.4097918579998</v>
      </c>
      <c r="K878" s="20" t="n">
        <f aca="false">Operations!K872-Operations!K874-Operations!K875-Operations!K876-Operations!K877</f>
        <v>7.45391249200852</v>
      </c>
      <c r="L878" s="20" t="n">
        <f aca="false">Operations!L872-Operations!L874-Operations!L875-Operations!L876-Operations!L877</f>
        <v>6.96595313940525</v>
      </c>
      <c r="M878" s="20" t="n">
        <f aca="false">Operations!M872-Operations!M874-Operations!M875-Operations!M876-Operations!M877</f>
        <v>6.50364680756262</v>
      </c>
      <c r="N878" s="20" t="n">
        <f aca="false">Operations!N872-Operations!N874-Operations!N875-Operations!N876-Operations!N877</f>
        <v>6.08608584992584</v>
      </c>
      <c r="O878" s="20" t="n">
        <f aca="false">Operations!O872-Operations!O874-Operations!O875-Operations!O876-Operations!O877</f>
        <v>5.65796880899696</v>
      </c>
      <c r="P878" s="20" t="n">
        <f aca="false">Operations!P872-Operations!P874-Operations!P875-Operations!P876-Operations!P877</f>
        <v>4.97963555217031</v>
      </c>
      <c r="Q878" s="20" t="n">
        <f aca="false">Operations!Q872-Operations!Q874-Operations!Q875-Operations!Q876-Operations!Q877</f>
        <v>4.95575063355897</v>
      </c>
      <c r="R878" s="20" t="n">
        <f aca="false">Operations!R872-Operations!R874-Operations!R875-Operations!R876-Operations!R877</f>
        <v>4.94743587925955</v>
      </c>
      <c r="S878" s="20" t="n">
        <f aca="false">Operations!S872-Operations!S874-Operations!S875-Operations!S876-Operations!S877</f>
        <v>4.81686112614881</v>
      </c>
      <c r="T878" s="20" t="n">
        <f aca="false">Operations!T872-Operations!T874-Operations!T875-Operations!T876-Operations!T877</f>
        <v>4.6791927970355</v>
      </c>
      <c r="U878" s="20" t="n">
        <f aca="false">Operations!U872-Operations!U874-Operations!U875-Operations!U876-Operations!U877</f>
        <v>4.53410096153293</v>
      </c>
      <c r="V878" s="20" t="n">
        <f aca="false">Operations!V872-Operations!V874-Operations!V875-Operations!V876-Operations!V877</f>
        <v>4.38125285838946</v>
      </c>
      <c r="W878" s="20" t="n">
        <f aca="false">Operations!W872-Operations!W874-Operations!W875-Operations!W876-Operations!W877</f>
        <v>4.22031278516645</v>
      </c>
      <c r="X878" s="20" t="n">
        <f aca="false">Operations!X872-Operations!X874-Operations!X875-Operations!X876-Operations!X877</f>
        <v>4.05094198534961</v>
      </c>
      <c r="Y878" s="20" t="n">
        <f aca="false">Operations!Y872-Operations!Y874-Operations!Y875-Operations!Y876-Operations!Y877</f>
        <v>3.87557135940045</v>
      </c>
      <c r="Z878" s="20" t="n">
        <f aca="false">Operations!Z872-Operations!Z874-Operations!Z875-Operations!Z876-Operations!Z877</f>
        <v>3.69101733720279</v>
      </c>
      <c r="AA878" s="20" t="n">
        <f aca="false">Operations!AA872-Operations!AA874-Operations!AA875-Operations!AA876-Operations!AA877</f>
        <v>3.49693165593604</v>
      </c>
      <c r="AB878" s="20" t="n">
        <f aca="false">Operations!AB872-Operations!AB874-Operations!AB875-Operations!AB876-Operations!AB877</f>
        <v>3.29563741046131</v>
      </c>
      <c r="AC878" s="20" t="n">
        <f aca="false">Operations!AC872-Operations!AC874-Operations!AC875-Operations!AC876-Operations!AC877</f>
        <v>3.084039439601</v>
      </c>
      <c r="AD878" s="20" t="n">
        <f aca="false">Operations!AD872-Operations!AD874-Operations!AD875-Operations!AD876-Operations!AD877</f>
        <v>2.86438905082329</v>
      </c>
      <c r="AE878" s="20" t="n">
        <f aca="false">Operations!AE872-Operations!AE874-Operations!AE875-Operations!AE876-Operations!AE877</f>
        <v>2.81422778645478</v>
      </c>
      <c r="AF878" s="20" t="n">
        <f aca="false">Operations!AF872-Operations!AF874-Operations!AF875-Operations!AF876-Operations!AF877</f>
        <v>2.76164152922975</v>
      </c>
      <c r="AG878" s="20" t="n">
        <f aca="false">Operations!AG872-Operations!AG874-Operations!AG875-Operations!AG876-Operations!AG877</f>
        <v>0</v>
      </c>
      <c r="AH878" s="20" t="n">
        <f aca="false">Operations!AH872-Operations!AH874-Operations!AH875-Operations!AH876-Operations!AH877</f>
        <v>0</v>
      </c>
      <c r="AI878" s="20" t="n">
        <f aca="false">Operations!AI872-Operations!AI874-Operations!AI875-Operations!AI876-Operations!AI877</f>
        <v>0</v>
      </c>
      <c r="AJ878" s="20" t="n">
        <f aca="false">Operations!AJ872-Operations!AJ874-Operations!AJ875-Operations!AJ876-Operations!AJ877</f>
        <v>0</v>
      </c>
      <c r="AK878" s="20" t="n">
        <f aca="false">Operations!AK872-Operations!AK874-Operations!AK875-Operations!AK876-Operations!AK877</f>
        <v>0</v>
      </c>
      <c r="AL878" s="20" t="n">
        <f aca="false">Operations!AL872-Operations!AL874-Operations!AL875-Operations!AL876-Operations!AL877</f>
        <v>0</v>
      </c>
      <c r="AM878" s="20" t="n">
        <f aca="false">Operations!AM872-Operations!AM874-Operations!AM875-Operations!AM876-Operations!AM877</f>
        <v>0</v>
      </c>
      <c r="AN878" s="20" t="n">
        <f aca="false">Operations!AN872-Operations!AN874-Operations!AN875-Operations!AN876-Operations!AN877</f>
        <v>0</v>
      </c>
      <c r="AO878" s="20" t="n">
        <f aca="false">Operations!AO872-Operations!AO874-Operations!AO875-Operations!AO876-Operations!AO877</f>
        <v>0</v>
      </c>
      <c r="AP878" s="20" t="n">
        <f aca="false">Operations!AP872-Operations!AP874-Operations!AP875-Operations!AP876-Operations!AP877</f>
        <v>0</v>
      </c>
      <c r="AQ878" s="20" t="n">
        <f aca="false">Operations!AQ872-Operations!AQ874-Operations!AQ875-Operations!AQ876-Operations!AQ877</f>
        <v>0</v>
      </c>
      <c r="AR878" s="20" t="n">
        <f aca="false">Operations!AR872-Operations!AR874-Operations!AR875-Operations!AR876-Operations!AR877</f>
        <v>0</v>
      </c>
      <c r="AS878" s="20" t="n">
        <f aca="false">Operations!AS872-Operations!AS874-Operations!AS875-Operations!AS876-Operations!AS877</f>
        <v>0</v>
      </c>
      <c r="AT878" s="20" t="n">
        <f aca="false">Operations!AT872-Operations!AT874-Operations!AT875-Operations!AT876-Operations!AT877</f>
        <v>0</v>
      </c>
      <c r="AU878" s="20" t="n">
        <f aca="false">Operations!AU872-Operations!AU874-Operations!AU875-Operations!AU876-Operations!AU877</f>
        <v>0</v>
      </c>
    </row>
    <row r="879" customFormat="false" ht="15" hidden="false" customHeight="false" outlineLevel="0" collapsed="false">
      <c r="D879" s="0" t="s">
        <v>485</v>
      </c>
      <c r="E879" s="0" t="s">
        <v>47</v>
      </c>
      <c r="J879" s="20" t="n">
        <f aca="false">0</f>
        <v>0</v>
      </c>
      <c r="K879" s="20" t="n">
        <f aca="false">0</f>
        <v>0</v>
      </c>
      <c r="L879" s="20" t="n">
        <f aca="false">0</f>
        <v>0</v>
      </c>
      <c r="M879" s="20" t="n">
        <f aca="false">0</f>
        <v>0</v>
      </c>
      <c r="N879" s="20" t="n">
        <f aca="false">0</f>
        <v>0</v>
      </c>
      <c r="O879" s="20" t="n">
        <f aca="false">0</f>
        <v>0</v>
      </c>
      <c r="P879" s="20" t="n">
        <f aca="false">0</f>
        <v>0</v>
      </c>
      <c r="Q879" s="20" t="n">
        <f aca="false">0</f>
        <v>0</v>
      </c>
      <c r="R879" s="20" t="n">
        <f aca="false">0</f>
        <v>0</v>
      </c>
      <c r="S879" s="20" t="n">
        <f aca="false">0</f>
        <v>0</v>
      </c>
      <c r="T879" s="20" t="n">
        <f aca="false">0</f>
        <v>0</v>
      </c>
      <c r="U879" s="20" t="n">
        <f aca="false">0</f>
        <v>0</v>
      </c>
      <c r="V879" s="20" t="n">
        <f aca="false">0</f>
        <v>0</v>
      </c>
      <c r="W879" s="20" t="n">
        <f aca="false">0</f>
        <v>0</v>
      </c>
      <c r="X879" s="20" t="n">
        <f aca="false">0</f>
        <v>0</v>
      </c>
      <c r="Y879" s="20" t="n">
        <f aca="false">0</f>
        <v>0</v>
      </c>
      <c r="Z879" s="20" t="n">
        <f aca="false">0</f>
        <v>0</v>
      </c>
      <c r="AA879" s="20" t="n">
        <f aca="false">0</f>
        <v>0</v>
      </c>
      <c r="AB879" s="20" t="n">
        <f aca="false">0</f>
        <v>0</v>
      </c>
      <c r="AC879" s="20" t="n">
        <f aca="false">0</f>
        <v>0</v>
      </c>
      <c r="AD879" s="20" t="n">
        <f aca="false">0</f>
        <v>0</v>
      </c>
      <c r="AE879" s="20" t="n">
        <f aca="false">0</f>
        <v>0</v>
      </c>
      <c r="AF879" s="20" t="n">
        <f aca="false">0</f>
        <v>0</v>
      </c>
      <c r="AG879" s="20" t="n">
        <f aca="false">0</f>
        <v>0</v>
      </c>
      <c r="AH879" s="20" t="n">
        <f aca="false">0</f>
        <v>0</v>
      </c>
      <c r="AI879" s="20" t="n">
        <f aca="false">0</f>
        <v>0</v>
      </c>
      <c r="AJ879" s="20" t="n">
        <f aca="false">0</f>
        <v>0</v>
      </c>
      <c r="AK879" s="20" t="n">
        <f aca="false">0</f>
        <v>0</v>
      </c>
      <c r="AL879" s="20" t="n">
        <f aca="false">0</f>
        <v>0</v>
      </c>
      <c r="AM879" s="20" t="n">
        <f aca="false">0</f>
        <v>0</v>
      </c>
      <c r="AN879" s="20" t="n">
        <f aca="false">0</f>
        <v>0</v>
      </c>
      <c r="AO879" s="20" t="n">
        <f aca="false">0</f>
        <v>0</v>
      </c>
      <c r="AP879" s="20" t="n">
        <f aca="false">0</f>
        <v>0</v>
      </c>
      <c r="AQ879" s="20" t="n">
        <f aca="false">0</f>
        <v>0</v>
      </c>
      <c r="AR879" s="20" t="n">
        <f aca="false">0</f>
        <v>0</v>
      </c>
      <c r="AS879" s="20" t="n">
        <f aca="false">0</f>
        <v>0</v>
      </c>
      <c r="AT879" s="20" t="n">
        <f aca="false">0</f>
        <v>0</v>
      </c>
      <c r="AU879" s="20" t="n">
        <f aca="false">0</f>
        <v>0</v>
      </c>
    </row>
    <row r="880" customFormat="false" ht="15" hidden="false" customHeight="false" outlineLevel="0" collapsed="false">
      <c r="D880" s="0" t="s">
        <v>486</v>
      </c>
      <c r="E880" s="0" t="s">
        <v>47</v>
      </c>
      <c r="J880" s="20" t="n">
        <f aca="false">IF(Time!J$4=YEAR(Inputs!$F$90),Inputs!$F$93*Inputs!$F$88/1000*Time!J$9,0)</f>
        <v>0</v>
      </c>
      <c r="K880" s="20" t="n">
        <f aca="false">IF(Time!K$4=YEAR(Inputs!$F$90),Inputs!$F$93*Inputs!$F$88/1000*Time!K$9,0)</f>
        <v>0</v>
      </c>
      <c r="L880" s="20" t="n">
        <f aca="false">IF(Time!L$4=YEAR(Inputs!$F$90),Inputs!$F$93*Inputs!$F$88/1000*Time!L$9,0)</f>
        <v>0</v>
      </c>
      <c r="M880" s="20" t="n">
        <f aca="false">IF(Time!M$4=YEAR(Inputs!$F$90),Inputs!$F$93*Inputs!$F$88/1000*Time!M$9,0)</f>
        <v>0</v>
      </c>
      <c r="N880" s="20" t="n">
        <f aca="false">IF(Time!N$4=YEAR(Inputs!$F$90),Inputs!$F$93*Inputs!$F$88/1000*Time!N$9,0)</f>
        <v>0</v>
      </c>
      <c r="O880" s="20" t="n">
        <f aca="false">IF(Time!O$4=YEAR(Inputs!$F$90),Inputs!$F$93*Inputs!$F$88/1000*Time!O$9,0)</f>
        <v>0</v>
      </c>
      <c r="P880" s="20" t="n">
        <f aca="false">IF(Time!P$4=YEAR(Inputs!$F$90),Inputs!$F$93*Inputs!$F$88/1000*Time!P$9,0)</f>
        <v>0</v>
      </c>
      <c r="Q880" s="20" t="n">
        <f aca="false">IF(Time!Q$4=YEAR(Inputs!$F$90),Inputs!$F$93*Inputs!$F$88/1000*Time!Q$9,0)</f>
        <v>0</v>
      </c>
      <c r="R880" s="20" t="n">
        <f aca="false">IF(Time!R$4=YEAR(Inputs!$F$90),Inputs!$F$93*Inputs!$F$88/1000*Time!R$9,0)</f>
        <v>0</v>
      </c>
      <c r="S880" s="20" t="n">
        <f aca="false">IF(Time!S$4=YEAR(Inputs!$F$90),Inputs!$F$93*Inputs!$F$88/1000*Time!S$9,0)</f>
        <v>0</v>
      </c>
      <c r="T880" s="20" t="n">
        <f aca="false">IF(Time!T$4=YEAR(Inputs!$F$90),Inputs!$F$93*Inputs!$F$88/1000*Time!T$9,0)</f>
        <v>0</v>
      </c>
      <c r="U880" s="20" t="n">
        <f aca="false">IF(Time!U$4=YEAR(Inputs!$F$90),Inputs!$F$93*Inputs!$F$88/1000*Time!U$9,0)</f>
        <v>0</v>
      </c>
      <c r="V880" s="20" t="n">
        <f aca="false">IF(Time!V$4=YEAR(Inputs!$F$90),Inputs!$F$93*Inputs!$F$88/1000*Time!V$9,0)</f>
        <v>0</v>
      </c>
      <c r="W880" s="20" t="n">
        <f aca="false">IF(Time!W$4=YEAR(Inputs!$F$90),Inputs!$F$93*Inputs!$F$88/1000*Time!W$9,0)</f>
        <v>0</v>
      </c>
      <c r="X880" s="20" t="n">
        <f aca="false">IF(Time!X$4=YEAR(Inputs!$F$90),Inputs!$F$93*Inputs!$F$88/1000*Time!X$9,0)</f>
        <v>0</v>
      </c>
      <c r="Y880" s="20" t="n">
        <f aca="false">IF(Time!Y$4=YEAR(Inputs!$F$90),Inputs!$F$93*Inputs!$F$88/1000*Time!Y$9,0)</f>
        <v>0</v>
      </c>
      <c r="Z880" s="20" t="n">
        <f aca="false">IF(Time!Z$4=YEAR(Inputs!$F$90),Inputs!$F$93*Inputs!$F$88/1000*Time!Z$9,0)</f>
        <v>0</v>
      </c>
      <c r="AA880" s="20" t="n">
        <f aca="false">IF(Time!AA$4=YEAR(Inputs!$F$90),Inputs!$F$93*Inputs!$F$88/1000*Time!AA$9,0)</f>
        <v>0</v>
      </c>
      <c r="AB880" s="20" t="n">
        <f aca="false">IF(Time!AB$4=YEAR(Inputs!$F$90),Inputs!$F$93*Inputs!$F$88/1000*Time!AB$9,0)</f>
        <v>0</v>
      </c>
      <c r="AC880" s="20" t="n">
        <f aca="false">IF(Time!AC$4=YEAR(Inputs!$F$90),Inputs!$F$93*Inputs!$F$88/1000*Time!AC$9,0)</f>
        <v>0</v>
      </c>
      <c r="AD880" s="20" t="n">
        <f aca="false">IF(Time!AD$4=YEAR(Inputs!$F$90),Inputs!$F$93*Inputs!$F$88/1000*Time!AD$9,0)</f>
        <v>0</v>
      </c>
      <c r="AE880" s="20" t="n">
        <f aca="false">IF(Time!AE$4=YEAR(Inputs!$F$90),Inputs!$F$93*Inputs!$F$88/1000*Time!AE$9,0)</f>
        <v>0</v>
      </c>
      <c r="AF880" s="20" t="n">
        <f aca="false">IF(Time!AF$4=YEAR(Inputs!$F$90),Inputs!$F$93*Inputs!$F$88/1000*Time!AF$9,0)</f>
        <v>21.5182652126331</v>
      </c>
      <c r="AG880" s="20" t="n">
        <f aca="false">IF(Time!AG$4=YEAR(Inputs!$F$90),Inputs!$F$93*Inputs!$F$88/1000*Time!AG$9,0)</f>
        <v>0</v>
      </c>
      <c r="AH880" s="20" t="n">
        <f aca="false">IF(Time!AH$4=YEAR(Inputs!$F$90),Inputs!$F$93*Inputs!$F$88/1000*Time!AH$9,0)</f>
        <v>0</v>
      </c>
      <c r="AI880" s="20" t="n">
        <f aca="false">IF(Time!AI$4=YEAR(Inputs!$F$90),Inputs!$F$93*Inputs!$F$88/1000*Time!AI$9,0)</f>
        <v>0</v>
      </c>
      <c r="AJ880" s="20" t="n">
        <f aca="false">IF(Time!AJ$4=YEAR(Inputs!$F$90),Inputs!$F$93*Inputs!$F$88/1000*Time!AJ$9,0)</f>
        <v>0</v>
      </c>
      <c r="AK880" s="20" t="n">
        <f aca="false">IF(Time!AK$4=YEAR(Inputs!$F$90),Inputs!$F$93*Inputs!$F$88/1000*Time!AK$9,0)</f>
        <v>0</v>
      </c>
      <c r="AL880" s="20" t="n">
        <f aca="false">IF(Time!AL$4=YEAR(Inputs!$F$90),Inputs!$F$93*Inputs!$F$88/1000*Time!AL$9,0)</f>
        <v>0</v>
      </c>
      <c r="AM880" s="20" t="n">
        <f aca="false">IF(Time!AM$4=YEAR(Inputs!$F$90),Inputs!$F$93*Inputs!$F$88/1000*Time!AM$9,0)</f>
        <v>0</v>
      </c>
      <c r="AN880" s="20" t="n">
        <f aca="false">IF(Time!AN$4=YEAR(Inputs!$F$90),Inputs!$F$93*Inputs!$F$88/1000*Time!AN$9,0)</f>
        <v>0</v>
      </c>
      <c r="AO880" s="20" t="n">
        <f aca="false">IF(Time!AO$4=YEAR(Inputs!$F$90),Inputs!$F$93*Inputs!$F$88/1000*Time!AO$9,0)</f>
        <v>0</v>
      </c>
      <c r="AP880" s="20" t="n">
        <f aca="false">IF(Time!AP$4=YEAR(Inputs!$F$90),Inputs!$F$93*Inputs!$F$88/1000*Time!AP$9,0)</f>
        <v>0</v>
      </c>
      <c r="AQ880" s="20" t="n">
        <f aca="false">IF(Time!AQ$4=YEAR(Inputs!$F$90),Inputs!$F$93*Inputs!$F$88/1000*Time!AQ$9,0)</f>
        <v>0</v>
      </c>
      <c r="AR880" s="20" t="n">
        <f aca="false">IF(Time!AR$4=YEAR(Inputs!$F$90),Inputs!$F$93*Inputs!$F$88/1000*Time!AR$9,0)</f>
        <v>0</v>
      </c>
      <c r="AS880" s="20" t="n">
        <f aca="false">IF(Time!AS$4=YEAR(Inputs!$F$90),Inputs!$F$93*Inputs!$F$88/1000*Time!AS$9,0)</f>
        <v>0</v>
      </c>
      <c r="AT880" s="20" t="n">
        <f aca="false">IF(Time!AT$4=YEAR(Inputs!$F$90),Inputs!$F$93*Inputs!$F$88/1000*Time!AT$9,0)</f>
        <v>0</v>
      </c>
      <c r="AU880" s="20" t="n">
        <f aca="false">IF(Time!AU$4=YEAR(Inputs!$F$90),Inputs!$F$93*Inputs!$F$88/1000*Time!AU$9,0)</f>
        <v>0</v>
      </c>
    </row>
    <row r="881" customFormat="false" ht="15" hidden="false" customHeight="false" outlineLevel="0" collapsed="false">
      <c r="D881" s="0" t="s">
        <v>487</v>
      </c>
      <c r="E881" s="0" t="s">
        <v>47</v>
      </c>
      <c r="G881" s="20" t="n">
        <f aca="false">SUM(J881:AU881)</f>
        <v>95.0080338909869</v>
      </c>
      <c r="J881" s="20" t="n">
        <f aca="false">Operations!J878-Operations!J879-Operations!J880</f>
        <v>16.4097918579998</v>
      </c>
      <c r="K881" s="20" t="n">
        <f aca="false">Operations!K878-Operations!K879-Operations!K880</f>
        <v>7.45391249200852</v>
      </c>
      <c r="L881" s="20" t="n">
        <f aca="false">Operations!L878-Operations!L879-Operations!L880</f>
        <v>6.96595313940525</v>
      </c>
      <c r="M881" s="20" t="n">
        <f aca="false">Operations!M878-Operations!M879-Operations!M880</f>
        <v>6.50364680756262</v>
      </c>
      <c r="N881" s="20" t="n">
        <f aca="false">Operations!N878-Operations!N879-Operations!N880</f>
        <v>6.08608584992584</v>
      </c>
      <c r="O881" s="20" t="n">
        <f aca="false">Operations!O878-Operations!O879-Operations!O880</f>
        <v>5.65796880899696</v>
      </c>
      <c r="P881" s="20" t="n">
        <f aca="false">Operations!P878-Operations!P879-Operations!P880</f>
        <v>4.97963555217031</v>
      </c>
      <c r="Q881" s="20" t="n">
        <f aca="false">Operations!Q878-Operations!Q879-Operations!Q880</f>
        <v>4.95575063355897</v>
      </c>
      <c r="R881" s="20" t="n">
        <f aca="false">Operations!R878-Operations!R879-Operations!R880</f>
        <v>4.94743587925955</v>
      </c>
      <c r="S881" s="20" t="n">
        <f aca="false">Operations!S878-Operations!S879-Operations!S880</f>
        <v>4.81686112614881</v>
      </c>
      <c r="T881" s="20" t="n">
        <f aca="false">Operations!T878-Operations!T879-Operations!T880</f>
        <v>4.6791927970355</v>
      </c>
      <c r="U881" s="20" t="n">
        <f aca="false">Operations!U878-Operations!U879-Operations!U880</f>
        <v>4.53410096153293</v>
      </c>
      <c r="V881" s="20" t="n">
        <f aca="false">Operations!V878-Operations!V879-Operations!V880</f>
        <v>4.38125285838946</v>
      </c>
      <c r="W881" s="20" t="n">
        <f aca="false">Operations!W878-Operations!W879-Operations!W880</f>
        <v>4.22031278516645</v>
      </c>
      <c r="X881" s="20" t="n">
        <f aca="false">Operations!X878-Operations!X879-Operations!X880</f>
        <v>4.05094198534961</v>
      </c>
      <c r="Y881" s="20" t="n">
        <f aca="false">Operations!Y878-Operations!Y879-Operations!Y880</f>
        <v>3.87557135940045</v>
      </c>
      <c r="Z881" s="20" t="n">
        <f aca="false">Operations!Z878-Operations!Z879-Operations!Z880</f>
        <v>3.69101733720279</v>
      </c>
      <c r="AA881" s="20" t="n">
        <f aca="false">Operations!AA878-Operations!AA879-Operations!AA880</f>
        <v>3.49693165593604</v>
      </c>
      <c r="AB881" s="20" t="n">
        <f aca="false">Operations!AB878-Operations!AB879-Operations!AB880</f>
        <v>3.29563741046131</v>
      </c>
      <c r="AC881" s="20" t="n">
        <f aca="false">Operations!AC878-Operations!AC879-Operations!AC880</f>
        <v>3.084039439601</v>
      </c>
      <c r="AD881" s="20" t="n">
        <f aca="false">Operations!AD878-Operations!AD879-Operations!AD880</f>
        <v>2.86438905082329</v>
      </c>
      <c r="AE881" s="20" t="n">
        <f aca="false">Operations!AE878-Operations!AE879-Operations!AE880</f>
        <v>2.81422778645478</v>
      </c>
      <c r="AF881" s="20" t="n">
        <f aca="false">Operations!AF878-Operations!AF879-Operations!AF880</f>
        <v>-18.7566236834034</v>
      </c>
      <c r="AG881" s="20" t="n">
        <f aca="false">Operations!AG878-Operations!AG879-Operations!AG880</f>
        <v>0</v>
      </c>
      <c r="AH881" s="20" t="n">
        <f aca="false">Operations!AH878-Operations!AH879-Operations!AH880</f>
        <v>0</v>
      </c>
      <c r="AI881" s="20" t="n">
        <f aca="false">Operations!AI878-Operations!AI879-Operations!AI880</f>
        <v>0</v>
      </c>
      <c r="AJ881" s="20" t="n">
        <f aca="false">Operations!AJ878-Operations!AJ879-Operations!AJ880</f>
        <v>0</v>
      </c>
      <c r="AK881" s="20" t="n">
        <f aca="false">Operations!AK878-Operations!AK879-Operations!AK880</f>
        <v>0</v>
      </c>
      <c r="AL881" s="20" t="n">
        <f aca="false">Operations!AL878-Operations!AL879-Operations!AL880</f>
        <v>0</v>
      </c>
      <c r="AM881" s="20" t="n">
        <f aca="false">Operations!AM878-Operations!AM879-Operations!AM880</f>
        <v>0</v>
      </c>
      <c r="AN881" s="20" t="n">
        <f aca="false">Operations!AN878-Operations!AN879-Operations!AN880</f>
        <v>0</v>
      </c>
      <c r="AO881" s="20" t="n">
        <f aca="false">Operations!AO878-Operations!AO879-Operations!AO880</f>
        <v>0</v>
      </c>
      <c r="AP881" s="20" t="n">
        <f aca="false">Operations!AP878-Operations!AP879-Operations!AP880</f>
        <v>0</v>
      </c>
      <c r="AQ881" s="20" t="n">
        <f aca="false">Operations!AQ878-Operations!AQ879-Operations!AQ880</f>
        <v>0</v>
      </c>
      <c r="AR881" s="20" t="n">
        <f aca="false">Operations!AR878-Operations!AR879-Operations!AR880</f>
        <v>0</v>
      </c>
      <c r="AS881" s="20" t="n">
        <f aca="false">Operations!AS878-Operations!AS879-Operations!AS880</f>
        <v>0</v>
      </c>
      <c r="AT881" s="20" t="n">
        <f aca="false">Operations!AT878-Operations!AT879-Operations!AT880</f>
        <v>0</v>
      </c>
      <c r="AU881" s="20" t="n">
        <f aca="false">Operations!AU878-Operations!AU879-Operations!AU880</f>
        <v>0</v>
      </c>
    </row>
    <row r="882" customFormat="false" ht="15" hidden="false" customHeight="false" outlineLevel="0" collapsed="false">
      <c r="D882" s="0" t="s">
        <v>488</v>
      </c>
      <c r="E882" s="0" t="s">
        <v>458</v>
      </c>
      <c r="J882" s="14" t="n">
        <f aca="false">0</f>
        <v>0</v>
      </c>
      <c r="K882" s="14" t="n">
        <f aca="false">0</f>
        <v>0</v>
      </c>
      <c r="L882" s="14" t="n">
        <f aca="false">0</f>
        <v>0</v>
      </c>
      <c r="M882" s="14" t="n">
        <f aca="false">0</f>
        <v>0</v>
      </c>
      <c r="N882" s="14" t="n">
        <f aca="false">0</f>
        <v>0</v>
      </c>
      <c r="O882" s="14" t="n">
        <f aca="false">0</f>
        <v>0</v>
      </c>
      <c r="P882" s="14" t="n">
        <f aca="false">0</f>
        <v>0</v>
      </c>
      <c r="Q882" s="14" t="n">
        <f aca="false">0</f>
        <v>0</v>
      </c>
      <c r="R882" s="14" t="n">
        <f aca="false">0</f>
        <v>0</v>
      </c>
      <c r="S882" s="14" t="n">
        <f aca="false">0</f>
        <v>0</v>
      </c>
      <c r="T882" s="14" t="n">
        <f aca="false">0</f>
        <v>0</v>
      </c>
      <c r="U882" s="14" t="n">
        <f aca="false">0</f>
        <v>0</v>
      </c>
      <c r="V882" s="14" t="n">
        <f aca="false">0</f>
        <v>0</v>
      </c>
      <c r="W882" s="14" t="n">
        <f aca="false">0</f>
        <v>0</v>
      </c>
      <c r="X882" s="14" t="n">
        <f aca="false">0</f>
        <v>0</v>
      </c>
      <c r="Y882" s="14" t="n">
        <f aca="false">0</f>
        <v>0</v>
      </c>
      <c r="Z882" s="14" t="n">
        <f aca="false">0</f>
        <v>0</v>
      </c>
      <c r="AA882" s="14" t="n">
        <f aca="false">0</f>
        <v>0</v>
      </c>
      <c r="AB882" s="14" t="n">
        <f aca="false">0</f>
        <v>0</v>
      </c>
      <c r="AC882" s="14" t="n">
        <f aca="false">0</f>
        <v>0</v>
      </c>
      <c r="AD882" s="14" t="n">
        <f aca="false">0</f>
        <v>0</v>
      </c>
      <c r="AE882" s="14" t="n">
        <f aca="false">0</f>
        <v>0</v>
      </c>
      <c r="AF882" s="14" t="n">
        <f aca="false">0</f>
        <v>0</v>
      </c>
      <c r="AG882" s="14" t="n">
        <f aca="false">0</f>
        <v>0</v>
      </c>
      <c r="AH882" s="14" t="n">
        <f aca="false">0</f>
        <v>0</v>
      </c>
      <c r="AI882" s="14" t="n">
        <f aca="false">0</f>
        <v>0</v>
      </c>
      <c r="AJ882" s="14" t="n">
        <f aca="false">0</f>
        <v>0</v>
      </c>
      <c r="AK882" s="14" t="n">
        <f aca="false">0</f>
        <v>0</v>
      </c>
      <c r="AL882" s="14" t="n">
        <f aca="false">0</f>
        <v>0</v>
      </c>
      <c r="AM882" s="14" t="n">
        <f aca="false">0</f>
        <v>0</v>
      </c>
      <c r="AN882" s="14" t="n">
        <f aca="false">0</f>
        <v>0</v>
      </c>
      <c r="AO882" s="14" t="n">
        <f aca="false">0</f>
        <v>0</v>
      </c>
      <c r="AP882" s="14" t="n">
        <f aca="false">0</f>
        <v>0</v>
      </c>
      <c r="AQ882" s="14" t="n">
        <f aca="false">0</f>
        <v>0</v>
      </c>
      <c r="AR882" s="14" t="n">
        <f aca="false">0</f>
        <v>0</v>
      </c>
      <c r="AS882" s="14" t="n">
        <f aca="false">0</f>
        <v>0</v>
      </c>
      <c r="AT882" s="14" t="n">
        <f aca="false">0</f>
        <v>0</v>
      </c>
      <c r="AU882" s="14" t="n">
        <f aca="false">0</f>
        <v>0</v>
      </c>
    </row>
    <row r="883" customFormat="false" ht="15" hidden="false" customHeight="false" outlineLevel="0" collapsed="false">
      <c r="D883" s="0" t="s">
        <v>489</v>
      </c>
      <c r="E883" s="0" t="s">
        <v>458</v>
      </c>
      <c r="J883" s="14" t="n">
        <f aca="false">1</f>
        <v>1</v>
      </c>
      <c r="K883" s="14" t="n">
        <f aca="false">1</f>
        <v>1</v>
      </c>
      <c r="L883" s="14" t="n">
        <f aca="false">1</f>
        <v>1</v>
      </c>
      <c r="M883" s="14" t="n">
        <f aca="false">1</f>
        <v>1</v>
      </c>
      <c r="N883" s="14" t="n">
        <f aca="false">1</f>
        <v>1</v>
      </c>
      <c r="O883" s="14" t="n">
        <f aca="false">1</f>
        <v>1</v>
      </c>
      <c r="P883" s="14" t="n">
        <f aca="false">1</f>
        <v>1</v>
      </c>
      <c r="Q883" s="14" t="n">
        <f aca="false">1</f>
        <v>1</v>
      </c>
      <c r="R883" s="14" t="n">
        <f aca="false">1</f>
        <v>1</v>
      </c>
      <c r="S883" s="14" t="n">
        <f aca="false">1</f>
        <v>1</v>
      </c>
      <c r="T883" s="14" t="n">
        <f aca="false">1</f>
        <v>1</v>
      </c>
      <c r="U883" s="14" t="n">
        <f aca="false">1</f>
        <v>1</v>
      </c>
      <c r="V883" s="14" t="n">
        <f aca="false">1</f>
        <v>1</v>
      </c>
      <c r="W883" s="14" t="n">
        <f aca="false">1</f>
        <v>1</v>
      </c>
      <c r="X883" s="14" t="n">
        <f aca="false">1</f>
        <v>1</v>
      </c>
      <c r="Y883" s="14" t="n">
        <f aca="false">1</f>
        <v>1</v>
      </c>
      <c r="Z883" s="14" t="n">
        <f aca="false">1</f>
        <v>1</v>
      </c>
      <c r="AA883" s="14" t="n">
        <f aca="false">1</f>
        <v>1</v>
      </c>
      <c r="AB883" s="14" t="n">
        <f aca="false">1</f>
        <v>1</v>
      </c>
      <c r="AC883" s="14" t="n">
        <f aca="false">1</f>
        <v>1</v>
      </c>
      <c r="AD883" s="14" t="n">
        <f aca="false">1</f>
        <v>1</v>
      </c>
      <c r="AE883" s="14" t="n">
        <f aca="false">1</f>
        <v>1</v>
      </c>
      <c r="AF883" s="14" t="n">
        <f aca="false">1</f>
        <v>1</v>
      </c>
      <c r="AG883" s="14" t="n">
        <f aca="false">1</f>
        <v>1</v>
      </c>
      <c r="AH883" s="14" t="n">
        <f aca="false">1</f>
        <v>1</v>
      </c>
      <c r="AI883" s="14" t="n">
        <f aca="false">1</f>
        <v>1</v>
      </c>
      <c r="AJ883" s="14" t="n">
        <f aca="false">1</f>
        <v>1</v>
      </c>
      <c r="AK883" s="14" t="n">
        <f aca="false">1</f>
        <v>1</v>
      </c>
      <c r="AL883" s="14" t="n">
        <f aca="false">1</f>
        <v>1</v>
      </c>
      <c r="AM883" s="14" t="n">
        <f aca="false">1</f>
        <v>1</v>
      </c>
      <c r="AN883" s="14" t="n">
        <f aca="false">1</f>
        <v>1</v>
      </c>
      <c r="AO883" s="14" t="n">
        <f aca="false">1</f>
        <v>1</v>
      </c>
      <c r="AP883" s="14" t="n">
        <f aca="false">1</f>
        <v>1</v>
      </c>
      <c r="AQ883" s="14" t="n">
        <f aca="false">1</f>
        <v>1</v>
      </c>
      <c r="AR883" s="14" t="n">
        <f aca="false">1</f>
        <v>1</v>
      </c>
      <c r="AS883" s="14" t="n">
        <f aca="false">1</f>
        <v>1</v>
      </c>
      <c r="AT883" s="14" t="n">
        <f aca="false">1</f>
        <v>1</v>
      </c>
      <c r="AU883" s="14" t="n">
        <f aca="false">1</f>
        <v>1</v>
      </c>
    </row>
    <row r="884" customFormat="false" ht="15" hidden="false" customHeight="false" outlineLevel="0" collapsed="false">
      <c r="D884" s="0" t="s">
        <v>490</v>
      </c>
      <c r="E884" s="0" t="s">
        <v>47</v>
      </c>
      <c r="G884" s="20" t="n">
        <f aca="false">SUM(J884:AU884)</f>
        <v>91.3664088485267</v>
      </c>
      <c r="J884" s="20" t="n">
        <f aca="false">Operations!J881*(1-Operations!J882)*Operations!J855</f>
        <v>12.7681668155396</v>
      </c>
      <c r="K884" s="20" t="n">
        <f aca="false">Operations!K881*(1-Operations!K882)*Operations!K855</f>
        <v>7.45391249200852</v>
      </c>
      <c r="L884" s="20" t="n">
        <f aca="false">Operations!L881*(1-Operations!L882)*Operations!L855</f>
        <v>6.96595313940525</v>
      </c>
      <c r="M884" s="20" t="n">
        <f aca="false">Operations!M881*(1-Operations!M882)*Operations!M855</f>
        <v>6.50364680756262</v>
      </c>
      <c r="N884" s="20" t="n">
        <f aca="false">Operations!N881*(1-Operations!N882)*Operations!N855</f>
        <v>6.08608584992584</v>
      </c>
      <c r="O884" s="20" t="n">
        <f aca="false">Operations!O881*(1-Operations!O882)*Operations!O855</f>
        <v>5.65796880899696</v>
      </c>
      <c r="P884" s="20" t="n">
        <f aca="false">Operations!P881*(1-Operations!P882)*Operations!P855</f>
        <v>4.97963555217031</v>
      </c>
      <c r="Q884" s="20" t="n">
        <f aca="false">Operations!Q881*(1-Operations!Q882)*Operations!Q855</f>
        <v>4.95575063355897</v>
      </c>
      <c r="R884" s="20" t="n">
        <f aca="false">Operations!R881*(1-Operations!R882)*Operations!R855</f>
        <v>4.94743587925955</v>
      </c>
      <c r="S884" s="20" t="n">
        <f aca="false">Operations!S881*(1-Operations!S882)*Operations!S855</f>
        <v>4.81686112614881</v>
      </c>
      <c r="T884" s="20" t="n">
        <f aca="false">Operations!T881*(1-Operations!T882)*Operations!T855</f>
        <v>4.6791927970355</v>
      </c>
      <c r="U884" s="20" t="n">
        <f aca="false">Operations!U881*(1-Operations!U882)*Operations!U855</f>
        <v>4.53410096153293</v>
      </c>
      <c r="V884" s="20" t="n">
        <f aca="false">Operations!V881*(1-Operations!V882)*Operations!V855</f>
        <v>4.38125285838946</v>
      </c>
      <c r="W884" s="20" t="n">
        <f aca="false">Operations!W881*(1-Operations!W882)*Operations!W855</f>
        <v>4.22031278516645</v>
      </c>
      <c r="X884" s="20" t="n">
        <f aca="false">Operations!X881*(1-Operations!X882)*Operations!X855</f>
        <v>4.05094198534961</v>
      </c>
      <c r="Y884" s="20" t="n">
        <f aca="false">Operations!Y881*(1-Operations!Y882)*Operations!Y855</f>
        <v>3.87557135940045</v>
      </c>
      <c r="Z884" s="20" t="n">
        <f aca="false">Operations!Z881*(1-Operations!Z882)*Operations!Z855</f>
        <v>3.69101733720279</v>
      </c>
      <c r="AA884" s="20" t="n">
        <f aca="false">Operations!AA881*(1-Operations!AA882)*Operations!AA855</f>
        <v>3.49693165593604</v>
      </c>
      <c r="AB884" s="20" t="n">
        <f aca="false">Operations!AB881*(1-Operations!AB882)*Operations!AB855</f>
        <v>3.29563741046131</v>
      </c>
      <c r="AC884" s="20" t="n">
        <f aca="false">Operations!AC881*(1-Operations!AC882)*Operations!AC855</f>
        <v>3.084039439601</v>
      </c>
      <c r="AD884" s="20" t="n">
        <f aca="false">Operations!AD881*(1-Operations!AD882)*Operations!AD855</f>
        <v>2.86438905082329</v>
      </c>
      <c r="AE884" s="20" t="n">
        <f aca="false">Operations!AE881*(1-Operations!AE882)*Operations!AE855</f>
        <v>2.81422778645478</v>
      </c>
      <c r="AF884" s="20" t="n">
        <f aca="false">Operations!AF881*(1-Operations!AF882)*Operations!AF855</f>
        <v>-18.7566236834034</v>
      </c>
      <c r="AG884" s="20" t="n">
        <f aca="false">Operations!AG881*(1-Operations!AG882)*Operations!AG855</f>
        <v>0</v>
      </c>
      <c r="AH884" s="20" t="n">
        <f aca="false">Operations!AH881*(1-Operations!AH882)*Operations!AH855</f>
        <v>0</v>
      </c>
      <c r="AI884" s="20" t="n">
        <f aca="false">Operations!AI881*(1-Operations!AI882)*Operations!AI855</f>
        <v>0</v>
      </c>
      <c r="AJ884" s="20" t="n">
        <f aca="false">Operations!AJ881*(1-Operations!AJ882)*Operations!AJ855</f>
        <v>0</v>
      </c>
      <c r="AK884" s="20" t="n">
        <f aca="false">Operations!AK881*(1-Operations!AK882)*Operations!AK855</f>
        <v>0</v>
      </c>
      <c r="AL884" s="20" t="n">
        <f aca="false">Operations!AL881*(1-Operations!AL882)*Operations!AL855</f>
        <v>0</v>
      </c>
      <c r="AM884" s="20" t="n">
        <f aca="false">Operations!AM881*(1-Operations!AM882)*Operations!AM855</f>
        <v>0</v>
      </c>
      <c r="AN884" s="20" t="n">
        <f aca="false">Operations!AN881*(1-Operations!AN882)*Operations!AN855</f>
        <v>0</v>
      </c>
      <c r="AO884" s="20" t="n">
        <f aca="false">Operations!AO881*(1-Operations!AO882)*Operations!AO855</f>
        <v>0</v>
      </c>
      <c r="AP884" s="20" t="n">
        <f aca="false">Operations!AP881*(1-Operations!AP882)*Operations!AP855</f>
        <v>0</v>
      </c>
      <c r="AQ884" s="20" t="n">
        <f aca="false">Operations!AQ881*(1-Operations!AQ882)*Operations!AQ855</f>
        <v>0</v>
      </c>
      <c r="AR884" s="20" t="n">
        <f aca="false">Operations!AR881*(1-Operations!AR882)*Operations!AR855</f>
        <v>0</v>
      </c>
      <c r="AS884" s="20" t="n">
        <f aca="false">Operations!AS881*(1-Operations!AS882)*Operations!AS855</f>
        <v>0</v>
      </c>
      <c r="AT884" s="20" t="n">
        <f aca="false">Operations!AT881*(1-Operations!AT882)*Operations!AT855</f>
        <v>0</v>
      </c>
      <c r="AU884" s="20" t="n">
        <f aca="false">Operations!AU881*(1-Operations!AU882)*Operations!AU855</f>
        <v>0</v>
      </c>
    </row>
    <row r="885" customFormat="false" ht="15" hidden="false" customHeight="false" outlineLevel="0" collapsed="false">
      <c r="D885" s="0" t="s">
        <v>491</v>
      </c>
      <c r="E885" s="0" t="s">
        <v>47</v>
      </c>
      <c r="J885" s="20" t="n">
        <f aca="false">Operations!J881*Operations!J883*Operations!J855</f>
        <v>12.7681668155396</v>
      </c>
      <c r="K885" s="20" t="n">
        <f aca="false">Operations!K881*Operations!K883*Operations!K855</f>
        <v>7.45391249200852</v>
      </c>
      <c r="L885" s="20" t="n">
        <f aca="false">Operations!L881*Operations!L883*Operations!L855</f>
        <v>6.96595313940525</v>
      </c>
      <c r="M885" s="20" t="n">
        <f aca="false">Operations!M881*Operations!M883*Operations!M855</f>
        <v>6.50364680756262</v>
      </c>
      <c r="N885" s="20" t="n">
        <f aca="false">Operations!N881*Operations!N883*Operations!N855</f>
        <v>6.08608584992584</v>
      </c>
      <c r="O885" s="20" t="n">
        <f aca="false">Operations!O881*Operations!O883*Operations!O855</f>
        <v>5.65796880899696</v>
      </c>
      <c r="P885" s="20" t="n">
        <f aca="false">Operations!P881*Operations!P883*Operations!P855</f>
        <v>4.97963555217031</v>
      </c>
      <c r="Q885" s="20" t="n">
        <f aca="false">Operations!Q881*Operations!Q883*Operations!Q855</f>
        <v>4.95575063355897</v>
      </c>
      <c r="R885" s="20" t="n">
        <f aca="false">Operations!R881*Operations!R883*Operations!R855</f>
        <v>4.94743587925955</v>
      </c>
      <c r="S885" s="20" t="n">
        <f aca="false">Operations!S881*Operations!S883*Operations!S855</f>
        <v>4.81686112614881</v>
      </c>
      <c r="T885" s="20" t="n">
        <f aca="false">Operations!T881*Operations!T883*Operations!T855</f>
        <v>4.6791927970355</v>
      </c>
      <c r="U885" s="20" t="n">
        <f aca="false">Operations!U881*Operations!U883*Operations!U855</f>
        <v>4.53410096153293</v>
      </c>
      <c r="V885" s="20" t="n">
        <f aca="false">Operations!V881*Operations!V883*Operations!V855</f>
        <v>4.38125285838946</v>
      </c>
      <c r="W885" s="20" t="n">
        <f aca="false">Operations!W881*Operations!W883*Operations!W855</f>
        <v>4.22031278516645</v>
      </c>
      <c r="X885" s="20" t="n">
        <f aca="false">Operations!X881*Operations!X883*Operations!X855</f>
        <v>4.05094198534961</v>
      </c>
      <c r="Y885" s="20" t="n">
        <f aca="false">Operations!Y881*Operations!Y883*Operations!Y855</f>
        <v>3.87557135940045</v>
      </c>
      <c r="Z885" s="20" t="n">
        <f aca="false">Operations!Z881*Operations!Z883*Operations!Z855</f>
        <v>3.69101733720279</v>
      </c>
      <c r="AA885" s="20" t="n">
        <f aca="false">Operations!AA881*Operations!AA883*Operations!AA855</f>
        <v>3.49693165593604</v>
      </c>
      <c r="AB885" s="20" t="n">
        <f aca="false">Operations!AB881*Operations!AB883*Operations!AB855</f>
        <v>3.29563741046131</v>
      </c>
      <c r="AC885" s="20" t="n">
        <f aca="false">Operations!AC881*Operations!AC883*Operations!AC855</f>
        <v>3.084039439601</v>
      </c>
      <c r="AD885" s="20" t="n">
        <f aca="false">Operations!AD881*Operations!AD883*Operations!AD855</f>
        <v>2.86438905082329</v>
      </c>
      <c r="AE885" s="20" t="n">
        <f aca="false">Operations!AE881*Operations!AE883*Operations!AE855</f>
        <v>2.81422778645478</v>
      </c>
      <c r="AF885" s="20" t="n">
        <f aca="false">Operations!AF881*Operations!AF883*Operations!AF855</f>
        <v>-18.7566236834034</v>
      </c>
      <c r="AG885" s="20" t="n">
        <f aca="false">Operations!AG881*Operations!AG883*Operations!AG855</f>
        <v>0</v>
      </c>
      <c r="AH885" s="20" t="n">
        <f aca="false">Operations!AH881*Operations!AH883*Operations!AH855</f>
        <v>0</v>
      </c>
      <c r="AI885" s="20" t="n">
        <f aca="false">Operations!AI881*Operations!AI883*Operations!AI855</f>
        <v>0</v>
      </c>
      <c r="AJ885" s="20" t="n">
        <f aca="false">Operations!AJ881*Operations!AJ883*Operations!AJ855</f>
        <v>0</v>
      </c>
      <c r="AK885" s="20" t="n">
        <f aca="false">Operations!AK881*Operations!AK883*Operations!AK855</f>
        <v>0</v>
      </c>
      <c r="AL885" s="20" t="n">
        <f aca="false">Operations!AL881*Operations!AL883*Operations!AL855</f>
        <v>0</v>
      </c>
      <c r="AM885" s="20" t="n">
        <f aca="false">Operations!AM881*Operations!AM883*Operations!AM855</f>
        <v>0</v>
      </c>
      <c r="AN885" s="20" t="n">
        <f aca="false">Operations!AN881*Operations!AN883*Operations!AN855</f>
        <v>0</v>
      </c>
      <c r="AO885" s="20" t="n">
        <f aca="false">Operations!AO881*Operations!AO883*Operations!AO855</f>
        <v>0</v>
      </c>
      <c r="AP885" s="20" t="n">
        <f aca="false">Operations!AP881*Operations!AP883*Operations!AP855</f>
        <v>0</v>
      </c>
      <c r="AQ885" s="20" t="n">
        <f aca="false">Operations!AQ881*Operations!AQ883*Operations!AQ855</f>
        <v>0</v>
      </c>
      <c r="AR885" s="20" t="n">
        <f aca="false">Operations!AR881*Operations!AR883*Operations!AR855</f>
        <v>0</v>
      </c>
      <c r="AS885" s="20" t="n">
        <f aca="false">Operations!AS881*Operations!AS883*Operations!AS855</f>
        <v>0</v>
      </c>
      <c r="AT885" s="20" t="n">
        <f aca="false">Operations!AT881*Operations!AT883*Operations!AT855</f>
        <v>0</v>
      </c>
      <c r="AU885" s="20" t="n">
        <f aca="false">Operations!AU881*Operations!AU883*Operations!AU855</f>
        <v>0</v>
      </c>
    </row>
    <row r="886" customFormat="false" ht="15" hidden="false" customHeight="false" outlineLevel="0" collapsed="false">
      <c r="D886" s="0" t="s">
        <v>492</v>
      </c>
      <c r="E886" s="0" t="s">
        <v>47</v>
      </c>
      <c r="J886" s="20" t="n">
        <f aca="false">Operations!J884-Inputs!$F$248/100*Operations!J885</f>
        <v>10.0868517842763</v>
      </c>
      <c r="K886" s="20" t="n">
        <f aca="false">Operations!K884-Inputs!$F$248/100*Operations!K885</f>
        <v>5.88859086868673</v>
      </c>
      <c r="L886" s="20" t="n">
        <f aca="false">Operations!L884-Inputs!$F$248/100*Operations!L885</f>
        <v>5.50310298013014</v>
      </c>
      <c r="M886" s="20" t="n">
        <f aca="false">Operations!M884-Inputs!$F$248/100*Operations!M885</f>
        <v>5.13788097797447</v>
      </c>
      <c r="N886" s="20" t="n">
        <f aca="false">Operations!N884-Inputs!$F$248/100*Operations!N885</f>
        <v>4.80800782144141</v>
      </c>
      <c r="O886" s="20" t="n">
        <f aca="false">Operations!O884-Inputs!$F$248/100*Operations!O885</f>
        <v>4.4697953591076</v>
      </c>
      <c r="P886" s="20" t="n">
        <f aca="false">Operations!P884-Inputs!$F$248/100*Operations!P885</f>
        <v>3.93391208621455</v>
      </c>
      <c r="Q886" s="20" t="n">
        <f aca="false">Operations!Q884-Inputs!$F$248/100*Operations!Q885</f>
        <v>3.91504300051159</v>
      </c>
      <c r="R886" s="20" t="n">
        <f aca="false">Operations!R884-Inputs!$F$248/100*Operations!R885</f>
        <v>3.90847434461504</v>
      </c>
      <c r="S886" s="20" t="n">
        <f aca="false">Operations!S884-Inputs!$F$248/100*Operations!S885</f>
        <v>3.80532028965756</v>
      </c>
      <c r="T886" s="20" t="n">
        <f aca="false">Operations!T884-Inputs!$F$248/100*Operations!T885</f>
        <v>3.69656230965805</v>
      </c>
      <c r="U886" s="20" t="n">
        <f aca="false">Operations!U884-Inputs!$F$248/100*Operations!U885</f>
        <v>3.58193975961102</v>
      </c>
      <c r="V886" s="20" t="n">
        <f aca="false">Operations!V884-Inputs!$F$248/100*Operations!V885</f>
        <v>3.46118975812767</v>
      </c>
      <c r="W886" s="20" t="n">
        <f aca="false">Operations!W884-Inputs!$F$248/100*Operations!W885</f>
        <v>3.33404710028149</v>
      </c>
      <c r="X886" s="20" t="n">
        <f aca="false">Operations!X884-Inputs!$F$248/100*Operations!X885</f>
        <v>3.20024416842619</v>
      </c>
      <c r="Y886" s="20" t="n">
        <f aca="false">Operations!Y884-Inputs!$F$248/100*Operations!Y885</f>
        <v>3.06170137392635</v>
      </c>
      <c r="Z886" s="20" t="n">
        <f aca="false">Operations!Z884-Inputs!$F$248/100*Operations!Z885</f>
        <v>2.91590369639021</v>
      </c>
      <c r="AA886" s="20" t="n">
        <f aca="false">Operations!AA884-Inputs!$F$248/100*Operations!AA885</f>
        <v>2.76257600818947</v>
      </c>
      <c r="AB886" s="20" t="n">
        <f aca="false">Operations!AB884-Inputs!$F$248/100*Operations!AB885</f>
        <v>2.60355355426443</v>
      </c>
      <c r="AC886" s="20" t="n">
        <f aca="false">Operations!AC884-Inputs!$F$248/100*Operations!AC885</f>
        <v>2.43639115728479</v>
      </c>
      <c r="AD886" s="20" t="n">
        <f aca="false">Operations!AD884-Inputs!$F$248/100*Operations!AD885</f>
        <v>2.2628673501504</v>
      </c>
      <c r="AE886" s="20" t="n">
        <f aca="false">Operations!AE884-Inputs!$F$248/100*Operations!AE885</f>
        <v>2.22323995129928</v>
      </c>
      <c r="AF886" s="20" t="n">
        <f aca="false">Operations!AF884-Inputs!$F$248/100*Operations!AF885</f>
        <v>-14.8177327098887</v>
      </c>
      <c r="AG886" s="20" t="n">
        <f aca="false">Operations!AG884-Inputs!$F$248/100*Operations!AG885</f>
        <v>0</v>
      </c>
      <c r="AH886" s="20" t="n">
        <f aca="false">Operations!AH884-Inputs!$F$248/100*Operations!AH885</f>
        <v>0</v>
      </c>
      <c r="AI886" s="20" t="n">
        <f aca="false">Operations!AI884-Inputs!$F$248/100*Operations!AI885</f>
        <v>0</v>
      </c>
      <c r="AJ886" s="20" t="n">
        <f aca="false">Operations!AJ884-Inputs!$F$248/100*Operations!AJ885</f>
        <v>0</v>
      </c>
      <c r="AK886" s="20" t="n">
        <f aca="false">Operations!AK884-Inputs!$F$248/100*Operations!AK885</f>
        <v>0</v>
      </c>
      <c r="AL886" s="20" t="n">
        <f aca="false">Operations!AL884-Inputs!$F$248/100*Operations!AL885</f>
        <v>0</v>
      </c>
      <c r="AM886" s="20" t="n">
        <f aca="false">Operations!AM884-Inputs!$F$248/100*Operations!AM885</f>
        <v>0</v>
      </c>
      <c r="AN886" s="20" t="n">
        <f aca="false">Operations!AN884-Inputs!$F$248/100*Operations!AN885</f>
        <v>0</v>
      </c>
      <c r="AO886" s="20" t="n">
        <f aca="false">Operations!AO884-Inputs!$F$248/100*Operations!AO885</f>
        <v>0</v>
      </c>
      <c r="AP886" s="20" t="n">
        <f aca="false">Operations!AP884-Inputs!$F$248/100*Operations!AP885</f>
        <v>0</v>
      </c>
      <c r="AQ886" s="20" t="n">
        <f aca="false">Operations!AQ884-Inputs!$F$248/100*Operations!AQ885</f>
        <v>0</v>
      </c>
      <c r="AR886" s="20" t="n">
        <f aca="false">Operations!AR884-Inputs!$F$248/100*Operations!AR885</f>
        <v>0</v>
      </c>
      <c r="AS886" s="20" t="n">
        <f aca="false">Operations!AS884-Inputs!$F$248/100*Operations!AS885</f>
        <v>0</v>
      </c>
      <c r="AT886" s="20" t="n">
        <f aca="false">Operations!AT884-Inputs!$F$248/100*Operations!AT885</f>
        <v>0</v>
      </c>
      <c r="AU886" s="20" t="n">
        <f aca="false">Operations!AU884-Inputs!$F$248/100*Operations!AU885</f>
        <v>0</v>
      </c>
    </row>
    <row r="887" customFormat="false" ht="15" hidden="false" customHeight="false" outlineLevel="0" collapsed="false">
      <c r="D887" s="0" t="s">
        <v>493</v>
      </c>
      <c r="E887" s="0" t="s">
        <v>458</v>
      </c>
      <c r="J887" s="14" t="n">
        <f aca="false">IF(Operations!J872=0,0,Operations!J869/Operations!J872)</f>
        <v>0</v>
      </c>
      <c r="K887" s="14" t="n">
        <f aca="false">IF(Operations!K872=0,0,Operations!K869/Operations!K872)</f>
        <v>0</v>
      </c>
      <c r="L887" s="14" t="n">
        <f aca="false">IF(Operations!L872=0,0,Operations!L869/Operations!L872)</f>
        <v>0</v>
      </c>
      <c r="M887" s="14" t="n">
        <f aca="false">IF(Operations!M872=0,0,Operations!M869/Operations!M872)</f>
        <v>0</v>
      </c>
      <c r="N887" s="14" t="n">
        <f aca="false">IF(Operations!N872=0,0,Operations!N869/Operations!N872)</f>
        <v>0</v>
      </c>
      <c r="O887" s="14" t="n">
        <f aca="false">IF(Operations!O872=0,0,Operations!O869/Operations!O872)</f>
        <v>0</v>
      </c>
      <c r="P887" s="14" t="n">
        <f aca="false">IF(Operations!P872=0,0,Operations!P869/Operations!P872)</f>
        <v>0</v>
      </c>
      <c r="Q887" s="14" t="n">
        <f aca="false">IF(Operations!Q872=0,0,Operations!Q869/Operations!Q872)</f>
        <v>0</v>
      </c>
      <c r="R887" s="14" t="n">
        <f aca="false">IF(Operations!R872=0,0,Operations!R869/Operations!R872)</f>
        <v>0</v>
      </c>
      <c r="S887" s="14" t="n">
        <f aca="false">IF(Operations!S872=0,0,Operations!S869/Operations!S872)</f>
        <v>0</v>
      </c>
      <c r="T887" s="14" t="n">
        <f aca="false">IF(Operations!T872=0,0,Operations!T869/Operations!T872)</f>
        <v>0</v>
      </c>
      <c r="U887" s="14" t="n">
        <f aca="false">IF(Operations!U872=0,0,Operations!U869/Operations!U872)</f>
        <v>0</v>
      </c>
      <c r="V887" s="14" t="n">
        <f aca="false">IF(Operations!V872=0,0,Operations!V869/Operations!V872)</f>
        <v>0</v>
      </c>
      <c r="W887" s="14" t="n">
        <f aca="false">IF(Operations!W872=0,0,Operations!W869/Operations!W872)</f>
        <v>0</v>
      </c>
      <c r="X887" s="14" t="n">
        <f aca="false">IF(Operations!X872=0,0,Operations!X869/Operations!X872)</f>
        <v>0</v>
      </c>
      <c r="Y887" s="14" t="n">
        <f aca="false">IF(Operations!Y872=0,0,Operations!Y869/Operations!Y872)</f>
        <v>0</v>
      </c>
      <c r="Z887" s="14" t="n">
        <f aca="false">IF(Operations!Z872=0,0,Operations!Z869/Operations!Z872)</f>
        <v>0</v>
      </c>
      <c r="AA887" s="14" t="n">
        <f aca="false">IF(Operations!AA872=0,0,Operations!AA869/Operations!AA872)</f>
        <v>0</v>
      </c>
      <c r="AB887" s="14" t="n">
        <f aca="false">IF(Operations!AB872=0,0,Operations!AB869/Operations!AB872)</f>
        <v>0</v>
      </c>
      <c r="AC887" s="14" t="n">
        <f aca="false">IF(Operations!AC872=0,0,Operations!AC869/Operations!AC872)</f>
        <v>0</v>
      </c>
      <c r="AD887" s="14" t="n">
        <f aca="false">IF(Operations!AD872=0,0,Operations!AD869/Operations!AD872)</f>
        <v>0</v>
      </c>
      <c r="AE887" s="14" t="n">
        <f aca="false">IF(Operations!AE872=0,0,Operations!AE869/Operations!AE872)</f>
        <v>0</v>
      </c>
      <c r="AF887" s="14" t="n">
        <f aca="false">IF(Operations!AF872=0,0,Operations!AF869/Operations!AF872)</f>
        <v>0</v>
      </c>
      <c r="AG887" s="14" t="n">
        <f aca="false">IF(Operations!AG872=0,0,Operations!AG869/Operations!AG872)</f>
        <v>0</v>
      </c>
      <c r="AH887" s="14" t="n">
        <f aca="false">IF(Operations!AH872=0,0,Operations!AH869/Operations!AH872)</f>
        <v>0</v>
      </c>
      <c r="AI887" s="14" t="n">
        <f aca="false">IF(Operations!AI872=0,0,Operations!AI869/Operations!AI872)</f>
        <v>0</v>
      </c>
      <c r="AJ887" s="14" t="n">
        <f aca="false">IF(Operations!AJ872=0,0,Operations!AJ869/Operations!AJ872)</f>
        <v>0</v>
      </c>
      <c r="AK887" s="14" t="n">
        <f aca="false">IF(Operations!AK872=0,0,Operations!AK869/Operations!AK872)</f>
        <v>0</v>
      </c>
      <c r="AL887" s="14" t="n">
        <f aca="false">IF(Operations!AL872=0,0,Operations!AL869/Operations!AL872)</f>
        <v>0</v>
      </c>
      <c r="AM887" s="14" t="n">
        <f aca="false">IF(Operations!AM872=0,0,Operations!AM869/Operations!AM872)</f>
        <v>0</v>
      </c>
      <c r="AN887" s="14" t="n">
        <f aca="false">IF(Operations!AN872=0,0,Operations!AN869/Operations!AN872)</f>
        <v>0</v>
      </c>
      <c r="AO887" s="14" t="n">
        <f aca="false">IF(Operations!AO872=0,0,Operations!AO869/Operations!AO872)</f>
        <v>0</v>
      </c>
      <c r="AP887" s="14" t="n">
        <f aca="false">IF(Operations!AP872=0,0,Operations!AP869/Operations!AP872)</f>
        <v>0</v>
      </c>
      <c r="AQ887" s="14" t="n">
        <f aca="false">IF(Operations!AQ872=0,0,Operations!AQ869/Operations!AQ872)</f>
        <v>0</v>
      </c>
      <c r="AR887" s="14" t="n">
        <f aca="false">IF(Operations!AR872=0,0,Operations!AR869/Operations!AR872)</f>
        <v>0</v>
      </c>
      <c r="AS887" s="14" t="n">
        <f aca="false">IF(Operations!AS872=0,0,Operations!AS869/Operations!AS872)</f>
        <v>0</v>
      </c>
      <c r="AT887" s="14" t="n">
        <f aca="false">IF(Operations!AT872=0,0,Operations!AT869/Operations!AT872)</f>
        <v>0</v>
      </c>
      <c r="AU887" s="14" t="n">
        <f aca="false">IF(Operations!AU872=0,0,Operations!AU869/Operations!AU872)</f>
        <v>0</v>
      </c>
    </row>
    <row r="888" customFormat="false" ht="15" hidden="false" customHeight="false" outlineLevel="0" collapsed="false">
      <c r="D888" s="0" t="s">
        <v>494</v>
      </c>
      <c r="E888" s="0" t="s">
        <v>458</v>
      </c>
      <c r="J888" s="14" t="n">
        <f aca="false">IF(Operations!J872=0,0,Operations!J870/Operations!J872)</f>
        <v>0</v>
      </c>
      <c r="K888" s="14" t="n">
        <f aca="false">IF(Operations!K872=0,0,Operations!K870/Operations!K872)</f>
        <v>0.98489452219279</v>
      </c>
      <c r="L888" s="14" t="n">
        <f aca="false">IF(Operations!L872=0,0,Operations!L870/Operations!L872)</f>
        <v>1.00379720522384</v>
      </c>
      <c r="M888" s="14" t="n">
        <f aca="false">IF(Operations!M872=0,0,Operations!M870/Operations!M872)</f>
        <v>1.01575321886113</v>
      </c>
      <c r="N888" s="14" t="n">
        <f aca="false">IF(Operations!N872=0,0,Operations!N870/Operations!N872)</f>
        <v>1.02757780444839</v>
      </c>
      <c r="O888" s="14" t="n">
        <f aca="false">IF(Operations!O872=0,0,Operations!O870/Operations!O872)</f>
        <v>1.03999501331064</v>
      </c>
      <c r="P888" s="14" t="n">
        <f aca="false">IF(Operations!P872=0,0,Operations!P870/Operations!P872)</f>
        <v>0</v>
      </c>
      <c r="Q888" s="14" t="n">
        <f aca="false">IF(Operations!Q872=0,0,Operations!Q870/Operations!Q872)</f>
        <v>0</v>
      </c>
      <c r="R888" s="14" t="n">
        <f aca="false">IF(Operations!R872=0,0,Operations!R870/Operations!R872)</f>
        <v>0</v>
      </c>
      <c r="S888" s="14" t="n">
        <f aca="false">IF(Operations!S872=0,0,Operations!S870/Operations!S872)</f>
        <v>0</v>
      </c>
      <c r="T888" s="14" t="n">
        <f aca="false">IF(Operations!T872=0,0,Operations!T870/Operations!T872)</f>
        <v>0</v>
      </c>
      <c r="U888" s="14" t="n">
        <f aca="false">IF(Operations!U872=0,0,Operations!U870/Operations!U872)</f>
        <v>0</v>
      </c>
      <c r="V888" s="14" t="n">
        <f aca="false">IF(Operations!V872=0,0,Operations!V870/Operations!V872)</f>
        <v>0</v>
      </c>
      <c r="W888" s="14" t="n">
        <f aca="false">IF(Operations!W872=0,0,Operations!W870/Operations!W872)</f>
        <v>0</v>
      </c>
      <c r="X888" s="14" t="n">
        <f aca="false">IF(Operations!X872=0,0,Operations!X870/Operations!X872)</f>
        <v>0</v>
      </c>
      <c r="Y888" s="14" t="n">
        <f aca="false">IF(Operations!Y872=0,0,Operations!Y870/Operations!Y872)</f>
        <v>0</v>
      </c>
      <c r="Z888" s="14" t="n">
        <f aca="false">IF(Operations!Z872=0,0,Operations!Z870/Operations!Z872)</f>
        <v>0</v>
      </c>
      <c r="AA888" s="14" t="n">
        <f aca="false">IF(Operations!AA872=0,0,Operations!AA870/Operations!AA872)</f>
        <v>0</v>
      </c>
      <c r="AB888" s="14" t="n">
        <f aca="false">IF(Operations!AB872=0,0,Operations!AB870/Operations!AB872)</f>
        <v>0</v>
      </c>
      <c r="AC888" s="14" t="n">
        <f aca="false">IF(Operations!AC872=0,0,Operations!AC870/Operations!AC872)</f>
        <v>0</v>
      </c>
      <c r="AD888" s="14" t="n">
        <f aca="false">IF(Operations!AD872=0,0,Operations!AD870/Operations!AD872)</f>
        <v>0</v>
      </c>
      <c r="AE888" s="14" t="n">
        <f aca="false">IF(Operations!AE872=0,0,Operations!AE870/Operations!AE872)</f>
        <v>0</v>
      </c>
      <c r="AF888" s="14" t="n">
        <f aca="false">IF(Operations!AF872=0,0,Operations!AF870/Operations!AF872)</f>
        <v>0</v>
      </c>
      <c r="AG888" s="14" t="n">
        <f aca="false">IF(Operations!AG872=0,0,Operations!AG870/Operations!AG872)</f>
        <v>0</v>
      </c>
      <c r="AH888" s="14" t="n">
        <f aca="false">IF(Operations!AH872=0,0,Operations!AH870/Operations!AH872)</f>
        <v>0</v>
      </c>
      <c r="AI888" s="14" t="n">
        <f aca="false">IF(Operations!AI872=0,0,Operations!AI870/Operations!AI872)</f>
        <v>0</v>
      </c>
      <c r="AJ888" s="14" t="n">
        <f aca="false">IF(Operations!AJ872=0,0,Operations!AJ870/Operations!AJ872)</f>
        <v>0</v>
      </c>
      <c r="AK888" s="14" t="n">
        <f aca="false">IF(Operations!AK872=0,0,Operations!AK870/Operations!AK872)</f>
        <v>0</v>
      </c>
      <c r="AL888" s="14" t="n">
        <f aca="false">IF(Operations!AL872=0,0,Operations!AL870/Operations!AL872)</f>
        <v>0</v>
      </c>
      <c r="AM888" s="14" t="n">
        <f aca="false">IF(Operations!AM872=0,0,Operations!AM870/Operations!AM872)</f>
        <v>0</v>
      </c>
      <c r="AN888" s="14" t="n">
        <f aca="false">IF(Operations!AN872=0,0,Operations!AN870/Operations!AN872)</f>
        <v>0</v>
      </c>
      <c r="AO888" s="14" t="n">
        <f aca="false">IF(Operations!AO872=0,0,Operations!AO870/Operations!AO872)</f>
        <v>0</v>
      </c>
      <c r="AP888" s="14" t="n">
        <f aca="false">IF(Operations!AP872=0,0,Operations!AP870/Operations!AP872)</f>
        <v>0</v>
      </c>
      <c r="AQ888" s="14" t="n">
        <f aca="false">IF(Operations!AQ872=0,0,Operations!AQ870/Operations!AQ872)</f>
        <v>0</v>
      </c>
      <c r="AR888" s="14" t="n">
        <f aca="false">IF(Operations!AR872=0,0,Operations!AR870/Operations!AR872)</f>
        <v>0</v>
      </c>
      <c r="AS888" s="14" t="n">
        <f aca="false">IF(Operations!AS872=0,0,Operations!AS870/Operations!AS872)</f>
        <v>0</v>
      </c>
      <c r="AT888" s="14" t="n">
        <f aca="false">IF(Operations!AT872=0,0,Operations!AT870/Operations!AT872)</f>
        <v>0</v>
      </c>
      <c r="AU888" s="14" t="n">
        <f aca="false">IF(Operations!AU872=0,0,Operations!AU870/Operations!AU872)</f>
        <v>0</v>
      </c>
    </row>
    <row r="889" customFormat="false" ht="15" hidden="false" customHeight="false" outlineLevel="0" collapsed="false">
      <c r="D889" s="0" t="s">
        <v>495</v>
      </c>
      <c r="E889" s="0" t="s">
        <v>458</v>
      </c>
      <c r="J889" s="14" t="n">
        <f aca="false">1-Operations!J887-Operations!J888</f>
        <v>1</v>
      </c>
      <c r="K889" s="14" t="n">
        <f aca="false">1-Operations!K887-Operations!K888</f>
        <v>0.0151054778072101</v>
      </c>
      <c r="L889" s="14" t="n">
        <f aca="false">1-Operations!L887-Operations!L888</f>
        <v>-0.00379720522384264</v>
      </c>
      <c r="M889" s="14" t="n">
        <f aca="false">1-Operations!M887-Operations!M888</f>
        <v>-0.0157532188611336</v>
      </c>
      <c r="N889" s="14" t="n">
        <f aca="false">1-Operations!N887-Operations!N888</f>
        <v>-0.0275778044483936</v>
      </c>
      <c r="O889" s="14" t="n">
        <f aca="false">1-Operations!O887-Operations!O888</f>
        <v>-0.0399950133106419</v>
      </c>
      <c r="P889" s="14" t="n">
        <f aca="false">1-Operations!P887-Operations!P888</f>
        <v>1</v>
      </c>
      <c r="Q889" s="14" t="n">
        <f aca="false">1-Operations!Q887-Operations!Q888</f>
        <v>1</v>
      </c>
      <c r="R889" s="14" t="n">
        <f aca="false">1-Operations!R887-Operations!R888</f>
        <v>1</v>
      </c>
      <c r="S889" s="14" t="n">
        <f aca="false">1-Operations!S887-Operations!S888</f>
        <v>1</v>
      </c>
      <c r="T889" s="14" t="n">
        <f aca="false">1-Operations!T887-Operations!T888</f>
        <v>1</v>
      </c>
      <c r="U889" s="14" t="n">
        <f aca="false">1-Operations!U887-Operations!U888</f>
        <v>1</v>
      </c>
      <c r="V889" s="14" t="n">
        <f aca="false">1-Operations!V887-Operations!V888</f>
        <v>1</v>
      </c>
      <c r="W889" s="14" t="n">
        <f aca="false">1-Operations!W887-Operations!W888</f>
        <v>1</v>
      </c>
      <c r="X889" s="14" t="n">
        <f aca="false">1-Operations!X887-Operations!X888</f>
        <v>1</v>
      </c>
      <c r="Y889" s="14" t="n">
        <f aca="false">1-Operations!Y887-Operations!Y888</f>
        <v>1</v>
      </c>
      <c r="Z889" s="14" t="n">
        <f aca="false">1-Operations!Z887-Operations!Z888</f>
        <v>1</v>
      </c>
      <c r="AA889" s="14" t="n">
        <f aca="false">1-Operations!AA887-Operations!AA888</f>
        <v>1</v>
      </c>
      <c r="AB889" s="14" t="n">
        <f aca="false">1-Operations!AB887-Operations!AB888</f>
        <v>1</v>
      </c>
      <c r="AC889" s="14" t="n">
        <f aca="false">1-Operations!AC887-Operations!AC888</f>
        <v>1</v>
      </c>
      <c r="AD889" s="14" t="n">
        <f aca="false">1-Operations!AD887-Operations!AD888</f>
        <v>1</v>
      </c>
      <c r="AE889" s="14" t="n">
        <f aca="false">1-Operations!AE887-Operations!AE888</f>
        <v>1</v>
      </c>
      <c r="AF889" s="14" t="n">
        <f aca="false">1-Operations!AF887-Operations!AF888</f>
        <v>1</v>
      </c>
      <c r="AG889" s="14" t="n">
        <f aca="false">1-Operations!AG887-Operations!AG888</f>
        <v>1</v>
      </c>
      <c r="AH889" s="14" t="n">
        <f aca="false">1-Operations!AH887-Operations!AH888</f>
        <v>1</v>
      </c>
      <c r="AI889" s="14" t="n">
        <f aca="false">1-Operations!AI887-Operations!AI888</f>
        <v>1</v>
      </c>
      <c r="AJ889" s="14" t="n">
        <f aca="false">1-Operations!AJ887-Operations!AJ888</f>
        <v>1</v>
      </c>
      <c r="AK889" s="14" t="n">
        <f aca="false">1-Operations!AK887-Operations!AK888</f>
        <v>1</v>
      </c>
      <c r="AL889" s="14" t="n">
        <f aca="false">1-Operations!AL887-Operations!AL888</f>
        <v>1</v>
      </c>
      <c r="AM889" s="14" t="n">
        <f aca="false">1-Operations!AM887-Operations!AM888</f>
        <v>1</v>
      </c>
      <c r="AN889" s="14" t="n">
        <f aca="false">1-Operations!AN887-Operations!AN888</f>
        <v>1</v>
      </c>
      <c r="AO889" s="14" t="n">
        <f aca="false">1-Operations!AO887-Operations!AO888</f>
        <v>1</v>
      </c>
      <c r="AP889" s="14" t="n">
        <f aca="false">1-Operations!AP887-Operations!AP888</f>
        <v>1</v>
      </c>
      <c r="AQ889" s="14" t="n">
        <f aca="false">1-Operations!AQ887-Operations!AQ888</f>
        <v>1</v>
      </c>
      <c r="AR889" s="14" t="n">
        <f aca="false">1-Operations!AR887-Operations!AR888</f>
        <v>1</v>
      </c>
      <c r="AS889" s="14" t="n">
        <f aca="false">1-Operations!AS887-Operations!AS888</f>
        <v>1</v>
      </c>
      <c r="AT889" s="14" t="n">
        <f aca="false">1-Operations!AT887-Operations!AT888</f>
        <v>1</v>
      </c>
      <c r="AU889" s="14" t="n">
        <f aca="false">1-Operations!AU887-Operations!AU888</f>
        <v>1</v>
      </c>
    </row>
    <row r="890" customFormat="false" ht="15" hidden="false" customHeight="false" outlineLevel="0" collapsed="false">
      <c r="D890" s="0" t="s">
        <v>496</v>
      </c>
      <c r="E890" s="0" t="s">
        <v>47</v>
      </c>
      <c r="J890" s="20" t="n">
        <f aca="false">Operations!J869*Operations!J855*(1-Operations!J882)</f>
        <v>0</v>
      </c>
      <c r="K890" s="20" t="n">
        <f aca="false">Operations!K869*Operations!K855*(1-Operations!K882)</f>
        <v>0</v>
      </c>
      <c r="L890" s="20" t="n">
        <f aca="false">Operations!L869*Operations!L855*(1-Operations!L882)</f>
        <v>0</v>
      </c>
      <c r="M890" s="20" t="n">
        <f aca="false">Operations!M869*Operations!M855*(1-Operations!M882)</f>
        <v>0</v>
      </c>
      <c r="N890" s="20" t="n">
        <f aca="false">Operations!N869*Operations!N855*(1-Operations!N882)</f>
        <v>0</v>
      </c>
      <c r="O890" s="20" t="n">
        <f aca="false">Operations!O869*Operations!O855*(1-Operations!O882)</f>
        <v>0</v>
      </c>
      <c r="P890" s="20" t="n">
        <f aca="false">Operations!P869*Operations!P855*(1-Operations!P882)</f>
        <v>0</v>
      </c>
      <c r="Q890" s="20" t="n">
        <f aca="false">Operations!Q869*Operations!Q855*(1-Operations!Q882)</f>
        <v>0</v>
      </c>
      <c r="R890" s="20" t="n">
        <f aca="false">Operations!R869*Operations!R855*(1-Operations!R882)</f>
        <v>0</v>
      </c>
      <c r="S890" s="20" t="n">
        <f aca="false">Operations!S869*Operations!S855*(1-Operations!S882)</f>
        <v>0</v>
      </c>
      <c r="T890" s="20" t="n">
        <f aca="false">Operations!T869*Operations!T855*(1-Operations!T882)</f>
        <v>0</v>
      </c>
      <c r="U890" s="20" t="n">
        <f aca="false">Operations!U869*Operations!U855*(1-Operations!U882)</f>
        <v>0</v>
      </c>
      <c r="V890" s="20" t="n">
        <f aca="false">Operations!V869*Operations!V855*(1-Operations!V882)</f>
        <v>0</v>
      </c>
      <c r="W890" s="20" t="n">
        <f aca="false">Operations!W869*Operations!W855*(1-Operations!W882)</f>
        <v>0</v>
      </c>
      <c r="X890" s="20" t="n">
        <f aca="false">Operations!X869*Operations!X855*(1-Operations!X882)</f>
        <v>0</v>
      </c>
      <c r="Y890" s="20" t="n">
        <f aca="false">Operations!Y869*Operations!Y855*(1-Operations!Y882)</f>
        <v>0</v>
      </c>
      <c r="Z890" s="20" t="n">
        <f aca="false">Operations!Z869*Operations!Z855*(1-Operations!Z882)</f>
        <v>0</v>
      </c>
      <c r="AA890" s="20" t="n">
        <f aca="false">Operations!AA869*Operations!AA855*(1-Operations!AA882)</f>
        <v>0</v>
      </c>
      <c r="AB890" s="20" t="n">
        <f aca="false">Operations!AB869*Operations!AB855*(1-Operations!AB882)</f>
        <v>0</v>
      </c>
      <c r="AC890" s="20" t="n">
        <f aca="false">Operations!AC869*Operations!AC855*(1-Operations!AC882)</f>
        <v>0</v>
      </c>
      <c r="AD890" s="20" t="n">
        <f aca="false">Operations!AD869*Operations!AD855*(1-Operations!AD882)</f>
        <v>0</v>
      </c>
      <c r="AE890" s="20" t="n">
        <f aca="false">Operations!AE869*Operations!AE855*(1-Operations!AE882)</f>
        <v>0</v>
      </c>
      <c r="AF890" s="20" t="n">
        <f aca="false">Operations!AF869*Operations!AF855*(1-Operations!AF882)</f>
        <v>0</v>
      </c>
      <c r="AG890" s="20" t="n">
        <f aca="false">Operations!AG869*Operations!AG855*(1-Operations!AG882)</f>
        <v>0</v>
      </c>
      <c r="AH890" s="20" t="n">
        <f aca="false">Operations!AH869*Operations!AH855*(1-Operations!AH882)</f>
        <v>0</v>
      </c>
      <c r="AI890" s="20" t="n">
        <f aca="false">Operations!AI869*Operations!AI855*(1-Operations!AI882)</f>
        <v>0</v>
      </c>
      <c r="AJ890" s="20" t="n">
        <f aca="false">Operations!AJ869*Operations!AJ855*(1-Operations!AJ882)</f>
        <v>0</v>
      </c>
      <c r="AK890" s="20" t="n">
        <f aca="false">Operations!AK869*Operations!AK855*(1-Operations!AK882)</f>
        <v>0</v>
      </c>
      <c r="AL890" s="20" t="n">
        <f aca="false">Operations!AL869*Operations!AL855*(1-Operations!AL882)</f>
        <v>0</v>
      </c>
      <c r="AM890" s="20" t="n">
        <f aca="false">Operations!AM869*Operations!AM855*(1-Operations!AM882)</f>
        <v>0</v>
      </c>
      <c r="AN890" s="20" t="n">
        <f aca="false">Operations!AN869*Operations!AN855*(1-Operations!AN882)</f>
        <v>0</v>
      </c>
      <c r="AO890" s="20" t="n">
        <f aca="false">Operations!AO869*Operations!AO855*(1-Operations!AO882)</f>
        <v>0</v>
      </c>
      <c r="AP890" s="20" t="n">
        <f aca="false">Operations!AP869*Operations!AP855*(1-Operations!AP882)</f>
        <v>0</v>
      </c>
      <c r="AQ890" s="20" t="n">
        <f aca="false">Operations!AQ869*Operations!AQ855*(1-Operations!AQ882)</f>
        <v>0</v>
      </c>
      <c r="AR890" s="20" t="n">
        <f aca="false">Operations!AR869*Operations!AR855*(1-Operations!AR882)</f>
        <v>0</v>
      </c>
      <c r="AS890" s="20" t="n">
        <f aca="false">Operations!AS869*Operations!AS855*(1-Operations!AS882)</f>
        <v>0</v>
      </c>
      <c r="AT890" s="20" t="n">
        <f aca="false">Operations!AT869*Operations!AT855*(1-Operations!AT882)</f>
        <v>0</v>
      </c>
      <c r="AU890" s="20" t="n">
        <f aca="false">Operations!AU869*Operations!AU855*(1-Operations!AU882)</f>
        <v>0</v>
      </c>
    </row>
    <row r="891" customFormat="false" ht="15" hidden="false" customHeight="false" outlineLevel="0" collapsed="false">
      <c r="D891" s="0" t="s">
        <v>497</v>
      </c>
      <c r="E891" s="0" t="s">
        <v>47</v>
      </c>
      <c r="J891" s="20" t="n">
        <f aca="false">Operations!J870*Operations!J855*(1-Operations!J882)</f>
        <v>0</v>
      </c>
      <c r="K891" s="20" t="n">
        <f aca="false">Operations!K870*Operations!K855*(1-Operations!K882)</f>
        <v>16.9068</v>
      </c>
      <c r="L891" s="20" t="n">
        <f aca="false">Operations!L870*Operations!L855*(1-Operations!L882)</f>
        <v>16.95312</v>
      </c>
      <c r="M891" s="20" t="n">
        <f aca="false">Operations!M870*Operations!M855*(1-Operations!M882)</f>
        <v>16.9068</v>
      </c>
      <c r="N891" s="20" t="n">
        <f aca="false">Operations!N870*Operations!N855*(1-Operations!N882)</f>
        <v>16.9068</v>
      </c>
      <c r="O891" s="20" t="n">
        <f aca="false">Operations!O870*Operations!O855*(1-Operations!O882)</f>
        <v>16.9068</v>
      </c>
      <c r="P891" s="20" t="n">
        <f aca="false">Operations!P870*Operations!P855*(1-Operations!P882)</f>
        <v>0</v>
      </c>
      <c r="Q891" s="20" t="n">
        <f aca="false">Operations!Q870*Operations!Q855*(1-Operations!Q882)</f>
        <v>0</v>
      </c>
      <c r="R891" s="20" t="n">
        <f aca="false">Operations!R870*Operations!R855*(1-Operations!R882)</f>
        <v>0</v>
      </c>
      <c r="S891" s="20" t="n">
        <f aca="false">Operations!S870*Operations!S855*(1-Operations!S882)</f>
        <v>0</v>
      </c>
      <c r="T891" s="20" t="n">
        <f aca="false">Operations!T870*Operations!T855*(1-Operations!T882)</f>
        <v>0</v>
      </c>
      <c r="U891" s="20" t="n">
        <f aca="false">Operations!U870*Operations!U855*(1-Operations!U882)</f>
        <v>0</v>
      </c>
      <c r="V891" s="20" t="n">
        <f aca="false">Operations!V870*Operations!V855*(1-Operations!V882)</f>
        <v>0</v>
      </c>
      <c r="W891" s="20" t="n">
        <f aca="false">Operations!W870*Operations!W855*(1-Operations!W882)</f>
        <v>0</v>
      </c>
      <c r="X891" s="20" t="n">
        <f aca="false">Operations!X870*Operations!X855*(1-Operations!X882)</f>
        <v>0</v>
      </c>
      <c r="Y891" s="20" t="n">
        <f aca="false">Operations!Y870*Operations!Y855*(1-Operations!Y882)</f>
        <v>0</v>
      </c>
      <c r="Z891" s="20" t="n">
        <f aca="false">Operations!Z870*Operations!Z855*(1-Operations!Z882)</f>
        <v>0</v>
      </c>
      <c r="AA891" s="20" t="n">
        <f aca="false">Operations!AA870*Operations!AA855*(1-Operations!AA882)</f>
        <v>0</v>
      </c>
      <c r="AB891" s="20" t="n">
        <f aca="false">Operations!AB870*Operations!AB855*(1-Operations!AB882)</f>
        <v>0</v>
      </c>
      <c r="AC891" s="20" t="n">
        <f aca="false">Operations!AC870*Operations!AC855*(1-Operations!AC882)</f>
        <v>0</v>
      </c>
      <c r="AD891" s="20" t="n">
        <f aca="false">Operations!AD870*Operations!AD855*(1-Operations!AD882)</f>
        <v>0</v>
      </c>
      <c r="AE891" s="20" t="n">
        <f aca="false">Operations!AE870*Operations!AE855*(1-Operations!AE882)</f>
        <v>0</v>
      </c>
      <c r="AF891" s="20" t="n">
        <f aca="false">Operations!AF870*Operations!AF855*(1-Operations!AF882)</f>
        <v>0</v>
      </c>
      <c r="AG891" s="20" t="n">
        <f aca="false">Operations!AG870*Operations!AG855*(1-Operations!AG882)</f>
        <v>0</v>
      </c>
      <c r="AH891" s="20" t="n">
        <f aca="false">Operations!AH870*Operations!AH855*(1-Operations!AH882)</f>
        <v>0</v>
      </c>
      <c r="AI891" s="20" t="n">
        <f aca="false">Operations!AI870*Operations!AI855*(1-Operations!AI882)</f>
        <v>0</v>
      </c>
      <c r="AJ891" s="20" t="n">
        <f aca="false">Operations!AJ870*Operations!AJ855*(1-Operations!AJ882)</f>
        <v>0</v>
      </c>
      <c r="AK891" s="20" t="n">
        <f aca="false">Operations!AK870*Operations!AK855*(1-Operations!AK882)</f>
        <v>0</v>
      </c>
      <c r="AL891" s="20" t="n">
        <f aca="false">Operations!AL870*Operations!AL855*(1-Operations!AL882)</f>
        <v>0</v>
      </c>
      <c r="AM891" s="20" t="n">
        <f aca="false">Operations!AM870*Operations!AM855*(1-Operations!AM882)</f>
        <v>0</v>
      </c>
      <c r="AN891" s="20" t="n">
        <f aca="false">Operations!AN870*Operations!AN855*(1-Operations!AN882)</f>
        <v>0</v>
      </c>
      <c r="AO891" s="20" t="n">
        <f aca="false">Operations!AO870*Operations!AO855*(1-Operations!AO882)</f>
        <v>0</v>
      </c>
      <c r="AP891" s="20" t="n">
        <f aca="false">Operations!AP870*Operations!AP855*(1-Operations!AP882)</f>
        <v>0</v>
      </c>
      <c r="AQ891" s="20" t="n">
        <f aca="false">Operations!AQ870*Operations!AQ855*(1-Operations!AQ882)</f>
        <v>0</v>
      </c>
      <c r="AR891" s="20" t="n">
        <f aca="false">Operations!AR870*Operations!AR855*(1-Operations!AR882)</f>
        <v>0</v>
      </c>
      <c r="AS891" s="20" t="n">
        <f aca="false">Operations!AS870*Operations!AS855*(1-Operations!AS882)</f>
        <v>0</v>
      </c>
      <c r="AT891" s="20" t="n">
        <f aca="false">Operations!AT870*Operations!AT855*(1-Operations!AT882)</f>
        <v>0</v>
      </c>
      <c r="AU891" s="20" t="n">
        <f aca="false">Operations!AU870*Operations!AU855*(1-Operations!AU882)</f>
        <v>0</v>
      </c>
    </row>
    <row r="892" customFormat="false" ht="15" hidden="false" customHeight="false" outlineLevel="0" collapsed="false">
      <c r="D892" s="0" t="s">
        <v>498</v>
      </c>
      <c r="E892" s="0" t="s">
        <v>47</v>
      </c>
      <c r="J892" s="20" t="n">
        <f aca="false">Operations!J873*Operations!J855*(1-Operations!J882)</f>
        <v>20.2527008059112</v>
      </c>
      <c r="K892" s="20" t="n">
        <f aca="false">Operations!K873*Operations!K855*(1-Operations!K882)</f>
        <v>0.259302175447523</v>
      </c>
      <c r="L892" s="20" t="n">
        <f aca="false">Operations!L873*Operations!L855*(1-Operations!L882)</f>
        <v>-0.0641309574179125</v>
      </c>
      <c r="M892" s="20" t="n">
        <f aca="false">Operations!M873*Operations!M855*(1-Operations!M882)</f>
        <v>-0.262205933189197</v>
      </c>
      <c r="N892" s="20" t="n">
        <f aca="false">Operations!N873*Operations!N855*(1-Operations!N882)</f>
        <v>-0.453739290815442</v>
      </c>
      <c r="O892" s="20" t="n">
        <f aca="false">Operations!O873*Operations!O855*(1-Operations!O882)</f>
        <v>-0.650183589715336</v>
      </c>
      <c r="P892" s="20" t="n">
        <f aca="false">Operations!P873*Operations!P855*(1-Operations!P882)</f>
        <v>15.804396076052</v>
      </c>
      <c r="Q892" s="20" t="n">
        <f aca="false">Operations!Q873*Operations!Q855*(1-Operations!Q882)</f>
        <v>16.0440979576176</v>
      </c>
      <c r="R892" s="20" t="n">
        <f aca="false">Operations!R873*Operations!R855*(1-Operations!R882)</f>
        <v>16.3067259157087</v>
      </c>
      <c r="S892" s="20" t="n">
        <f aca="false">Operations!S873*Operations!S855*(1-Operations!S882)</f>
        <v>16.4480828301976</v>
      </c>
      <c r="T892" s="20" t="n">
        <f aca="false">Operations!T873*Operations!T855*(1-Operations!T882)</f>
        <v>16.588962976609</v>
      </c>
      <c r="U892" s="20" t="n">
        <f aca="false">Operations!U873*Operations!U855*(1-Operations!U882)</f>
        <v>16.7291946127645</v>
      </c>
      <c r="V892" s="20" t="n">
        <f aca="false">Operations!V873*Operations!V855*(1-Operations!V882)</f>
        <v>16.8686073770815</v>
      </c>
      <c r="W892" s="20" t="n">
        <f aca="false">Operations!W873*Operations!W855*(1-Operations!W882)</f>
        <v>17.0070322816627</v>
      </c>
      <c r="X892" s="20" t="n">
        <f aca="false">Operations!X873*Operations!X855*(1-Operations!X882)</f>
        <v>17.1443017054145</v>
      </c>
      <c r="Y892" s="20" t="n">
        <f aca="false">Operations!Y873*Operations!Y855*(1-Operations!Y882)</f>
        <v>17.2831536307857</v>
      </c>
      <c r="Z892" s="20" t="n">
        <f aca="false">Operations!Z873*Operations!Z855*(1-Operations!Z882)</f>
        <v>17.420450270788</v>
      </c>
      <c r="AA892" s="20" t="n">
        <f aca="false">Operations!AA873*Operations!AA855*(1-Operations!AA882)</f>
        <v>17.5560284406796</v>
      </c>
      <c r="AB892" s="20" t="n">
        <f aca="false">Operations!AB873*Operations!AB855*(1-Operations!AB882)</f>
        <v>17.6925279609418</v>
      </c>
      <c r="AC892" s="20" t="n">
        <f aca="false">Operations!AC873*Operations!AC855*(1-Operations!AC882)</f>
        <v>17.8269187654937</v>
      </c>
      <c r="AD892" s="20" t="n">
        <f aca="false">Operations!AD873*Operations!AD855*(1-Operations!AD882)</f>
        <v>17.9617759454006</v>
      </c>
      <c r="AE892" s="20" t="n">
        <f aca="false">Operations!AE873*Operations!AE855*(1-Operations!AE882)</f>
        <v>18.283278065283</v>
      </c>
      <c r="AF892" s="20" t="n">
        <f aca="false">Operations!AF873*Operations!AF855*(1-Operations!AF882)</f>
        <v>18.6115912796682</v>
      </c>
      <c r="AG892" s="20" t="n">
        <f aca="false">Operations!AG873*Operations!AG855*(1-Operations!AG882)</f>
        <v>0</v>
      </c>
      <c r="AH892" s="20" t="n">
        <f aca="false">Operations!AH873*Operations!AH855*(1-Operations!AH882)</f>
        <v>0</v>
      </c>
      <c r="AI892" s="20" t="n">
        <f aca="false">Operations!AI873*Operations!AI855*(1-Operations!AI882)</f>
        <v>0</v>
      </c>
      <c r="AJ892" s="20" t="n">
        <f aca="false">Operations!AJ873*Operations!AJ855*(1-Operations!AJ882)</f>
        <v>0</v>
      </c>
      <c r="AK892" s="20" t="n">
        <f aca="false">Operations!AK873*Operations!AK855*(1-Operations!AK882)</f>
        <v>0</v>
      </c>
      <c r="AL892" s="20" t="n">
        <f aca="false">Operations!AL873*Operations!AL855*(1-Operations!AL882)</f>
        <v>0</v>
      </c>
      <c r="AM892" s="20" t="n">
        <f aca="false">Operations!AM873*Operations!AM855*(1-Operations!AM882)</f>
        <v>0</v>
      </c>
      <c r="AN892" s="20" t="n">
        <f aca="false">Operations!AN873*Operations!AN855*(1-Operations!AN882)</f>
        <v>0</v>
      </c>
      <c r="AO892" s="20" t="n">
        <f aca="false">Operations!AO873*Operations!AO855*(1-Operations!AO882)</f>
        <v>0</v>
      </c>
      <c r="AP892" s="20" t="n">
        <f aca="false">Operations!AP873*Operations!AP855*(1-Operations!AP882)</f>
        <v>0</v>
      </c>
      <c r="AQ892" s="20" t="n">
        <f aca="false">Operations!AQ873*Operations!AQ855*(1-Operations!AQ882)</f>
        <v>0</v>
      </c>
      <c r="AR892" s="20" t="n">
        <f aca="false">Operations!AR873*Operations!AR855*(1-Operations!AR882)</f>
        <v>0</v>
      </c>
      <c r="AS892" s="20" t="n">
        <f aca="false">Operations!AS873*Operations!AS855*(1-Operations!AS882)</f>
        <v>0</v>
      </c>
      <c r="AT892" s="20" t="n">
        <f aca="false">Operations!AT873*Operations!AT855*(1-Operations!AT882)</f>
        <v>0</v>
      </c>
      <c r="AU892" s="20" t="n">
        <f aca="false">Operations!AU873*Operations!AU855*(1-Operations!AU882)</f>
        <v>0</v>
      </c>
    </row>
    <row r="893" customFormat="false" ht="15" hidden="false" customHeight="false" outlineLevel="0" collapsed="false">
      <c r="D893" s="0" t="s">
        <v>499</v>
      </c>
      <c r="E893" s="0" t="s">
        <v>47</v>
      </c>
      <c r="J893" s="20" t="n">
        <f aca="false">Operations!J872*Operations!J855*(1-Operations!J882)</f>
        <v>20.2527008059112</v>
      </c>
      <c r="K893" s="20" t="n">
        <f aca="false">Operations!K872*Operations!K855*(1-Operations!K882)</f>
        <v>17.1661021754475</v>
      </c>
      <c r="L893" s="20" t="n">
        <f aca="false">Operations!L872*Operations!L855*(1-Operations!L882)</f>
        <v>16.8889890425821</v>
      </c>
      <c r="M893" s="20" t="n">
        <f aca="false">Operations!M872*Operations!M855*(1-Operations!M882)</f>
        <v>16.6445940668108</v>
      </c>
      <c r="N893" s="20" t="n">
        <f aca="false">Operations!N872*Operations!N855*(1-Operations!N882)</f>
        <v>16.4530607091846</v>
      </c>
      <c r="O893" s="20" t="n">
        <f aca="false">Operations!O872*Operations!O855*(1-Operations!O882)</f>
        <v>16.2566164102847</v>
      </c>
      <c r="P893" s="20" t="n">
        <f aca="false">Operations!P872*Operations!P855*(1-Operations!P882)</f>
        <v>15.804396076052</v>
      </c>
      <c r="Q893" s="20" t="n">
        <f aca="false">Operations!Q872*Operations!Q855*(1-Operations!Q882)</f>
        <v>16.0440979576176</v>
      </c>
      <c r="R893" s="20" t="n">
        <f aca="false">Operations!R872*Operations!R855*(1-Operations!R882)</f>
        <v>16.3067259157087</v>
      </c>
      <c r="S893" s="20" t="n">
        <f aca="false">Operations!S872*Operations!S855*(1-Operations!S882)</f>
        <v>16.4480828301976</v>
      </c>
      <c r="T893" s="20" t="n">
        <f aca="false">Operations!T872*Operations!T855*(1-Operations!T882)</f>
        <v>16.588962976609</v>
      </c>
      <c r="U893" s="20" t="n">
        <f aca="false">Operations!U872*Operations!U855*(1-Operations!U882)</f>
        <v>16.7291946127645</v>
      </c>
      <c r="V893" s="20" t="n">
        <f aca="false">Operations!V872*Operations!V855*(1-Operations!V882)</f>
        <v>16.8686073770815</v>
      </c>
      <c r="W893" s="20" t="n">
        <f aca="false">Operations!W872*Operations!W855*(1-Operations!W882)</f>
        <v>17.0070322816627</v>
      </c>
      <c r="X893" s="20" t="n">
        <f aca="false">Operations!X872*Operations!X855*(1-Operations!X882)</f>
        <v>17.1443017054145</v>
      </c>
      <c r="Y893" s="20" t="n">
        <f aca="false">Operations!Y872*Operations!Y855*(1-Operations!Y882)</f>
        <v>17.2831536307857</v>
      </c>
      <c r="Z893" s="20" t="n">
        <f aca="false">Operations!Z872*Operations!Z855*(1-Operations!Z882)</f>
        <v>17.420450270788</v>
      </c>
      <c r="AA893" s="20" t="n">
        <f aca="false">Operations!AA872*Operations!AA855*(1-Operations!AA882)</f>
        <v>17.5560284406796</v>
      </c>
      <c r="AB893" s="20" t="n">
        <f aca="false">Operations!AB872*Operations!AB855*(1-Operations!AB882)</f>
        <v>17.6925279609418</v>
      </c>
      <c r="AC893" s="20" t="n">
        <f aca="false">Operations!AC872*Operations!AC855*(1-Operations!AC882)</f>
        <v>17.8269187654937</v>
      </c>
      <c r="AD893" s="20" t="n">
        <f aca="false">Operations!AD872*Operations!AD855*(1-Operations!AD882)</f>
        <v>17.9617759454006</v>
      </c>
      <c r="AE893" s="20" t="n">
        <f aca="false">Operations!AE872*Operations!AE855*(1-Operations!AE882)</f>
        <v>18.283278065283</v>
      </c>
      <c r="AF893" s="20" t="n">
        <f aca="false">Operations!AF872*Operations!AF855*(1-Operations!AF882)</f>
        <v>18.6115912796682</v>
      </c>
      <c r="AG893" s="20" t="n">
        <f aca="false">Operations!AG872*Operations!AG855*(1-Operations!AG882)</f>
        <v>0</v>
      </c>
      <c r="AH893" s="20" t="n">
        <f aca="false">Operations!AH872*Operations!AH855*(1-Operations!AH882)</f>
        <v>0</v>
      </c>
      <c r="AI893" s="20" t="n">
        <f aca="false">Operations!AI872*Operations!AI855*(1-Operations!AI882)</f>
        <v>0</v>
      </c>
      <c r="AJ893" s="20" t="n">
        <f aca="false">Operations!AJ872*Operations!AJ855*(1-Operations!AJ882)</f>
        <v>0</v>
      </c>
      <c r="AK893" s="20" t="n">
        <f aca="false">Operations!AK872*Operations!AK855*(1-Operations!AK882)</f>
        <v>0</v>
      </c>
      <c r="AL893" s="20" t="n">
        <f aca="false">Operations!AL872*Operations!AL855*(1-Operations!AL882)</f>
        <v>0</v>
      </c>
      <c r="AM893" s="20" t="n">
        <f aca="false">Operations!AM872*Operations!AM855*(1-Operations!AM882)</f>
        <v>0</v>
      </c>
      <c r="AN893" s="20" t="n">
        <f aca="false">Operations!AN872*Operations!AN855*(1-Operations!AN882)</f>
        <v>0</v>
      </c>
      <c r="AO893" s="20" t="n">
        <f aca="false">Operations!AO872*Operations!AO855*(1-Operations!AO882)</f>
        <v>0</v>
      </c>
      <c r="AP893" s="20" t="n">
        <f aca="false">Operations!AP872*Operations!AP855*(1-Operations!AP882)</f>
        <v>0</v>
      </c>
      <c r="AQ893" s="20" t="n">
        <f aca="false">Operations!AQ872*Operations!AQ855*(1-Operations!AQ882)</f>
        <v>0</v>
      </c>
      <c r="AR893" s="20" t="n">
        <f aca="false">Operations!AR872*Operations!AR855*(1-Operations!AR882)</f>
        <v>0</v>
      </c>
      <c r="AS893" s="20" t="n">
        <f aca="false">Operations!AS872*Operations!AS855*(1-Operations!AS882)</f>
        <v>0</v>
      </c>
      <c r="AT893" s="20" t="n">
        <f aca="false">Operations!AT872*Operations!AT855*(1-Operations!AT882)</f>
        <v>0</v>
      </c>
      <c r="AU893" s="20" t="n">
        <f aca="false">Operations!AU872*Operations!AU855*(1-Operations!AU882)</f>
        <v>0</v>
      </c>
    </row>
    <row r="894" customFormat="false" ht="15" hidden="false" customHeight="false" outlineLevel="0" collapsed="false">
      <c r="D894" s="19" t="s">
        <v>500</v>
      </c>
    </row>
    <row r="895" customFormat="false" ht="15" hidden="false" customHeight="false" outlineLevel="0" collapsed="false">
      <c r="D895" s="0" t="s">
        <v>501</v>
      </c>
      <c r="E895" s="0" t="s">
        <v>458</v>
      </c>
      <c r="J895" s="14" t="n">
        <f aca="false">MAX(0,MIN(Inputs!$F$101,Time!J$6)-MAX(Inputs!$F$100,Time!J$5))/Time!J$7</f>
        <v>1</v>
      </c>
      <c r="K895" s="14" t="n">
        <f aca="false">MAX(0,MIN(Inputs!$F$101,Time!K$6)-MAX(Inputs!$F$100,Time!K$5))/Time!K$7</f>
        <v>1</v>
      </c>
      <c r="L895" s="14" t="n">
        <f aca="false">MAX(0,MIN(Inputs!$F$101,Time!L$6)-MAX(Inputs!$F$100,Time!L$5))/Time!L$7</f>
        <v>1</v>
      </c>
      <c r="M895" s="14" t="n">
        <f aca="false">MAX(0,MIN(Inputs!$F$101,Time!M$6)-MAX(Inputs!$F$100,Time!M$5))/Time!M$7</f>
        <v>1</v>
      </c>
      <c r="N895" s="14" t="n">
        <f aca="false">MAX(0,MIN(Inputs!$F$101,Time!N$6)-MAX(Inputs!$F$100,Time!N$5))/Time!N$7</f>
        <v>1</v>
      </c>
      <c r="O895" s="14" t="n">
        <f aca="false">MAX(0,MIN(Inputs!$F$101,Time!O$6)-MAX(Inputs!$F$100,Time!O$5))/Time!O$7</f>
        <v>1</v>
      </c>
      <c r="P895" s="14" t="n">
        <f aca="false">MAX(0,MIN(Inputs!$F$101,Time!P$6)-MAX(Inputs!$F$100,Time!P$5))/Time!P$7</f>
        <v>1</v>
      </c>
      <c r="Q895" s="14" t="n">
        <f aca="false">MAX(0,MIN(Inputs!$F$101,Time!Q$6)-MAX(Inputs!$F$100,Time!Q$5))/Time!Q$7</f>
        <v>1</v>
      </c>
      <c r="R895" s="14" t="n">
        <f aca="false">MAX(0,MIN(Inputs!$F$101,Time!R$6)-MAX(Inputs!$F$100,Time!R$5))/Time!R$7</f>
        <v>1</v>
      </c>
      <c r="S895" s="14" t="n">
        <f aca="false">MAX(0,MIN(Inputs!$F$101,Time!S$6)-MAX(Inputs!$F$100,Time!S$5))/Time!S$7</f>
        <v>1</v>
      </c>
      <c r="T895" s="14" t="n">
        <f aca="false">MAX(0,MIN(Inputs!$F$101,Time!T$6)-MAX(Inputs!$F$100,Time!T$5))/Time!T$7</f>
        <v>1</v>
      </c>
      <c r="U895" s="14" t="n">
        <f aca="false">MAX(0,MIN(Inputs!$F$101,Time!U$6)-MAX(Inputs!$F$100,Time!U$5))/Time!U$7</f>
        <v>1</v>
      </c>
      <c r="V895" s="14" t="n">
        <f aca="false">MAX(0,MIN(Inputs!$F$101,Time!V$6)-MAX(Inputs!$F$100,Time!V$5))/Time!V$7</f>
        <v>1</v>
      </c>
      <c r="W895" s="14" t="n">
        <f aca="false">MAX(0,MIN(Inputs!$F$101,Time!W$6)-MAX(Inputs!$F$100,Time!W$5))/Time!W$7</f>
        <v>1</v>
      </c>
      <c r="X895" s="14" t="n">
        <f aca="false">MAX(0,MIN(Inputs!$F$101,Time!X$6)-MAX(Inputs!$F$100,Time!X$5))/Time!X$7</f>
        <v>1</v>
      </c>
      <c r="Y895" s="14" t="n">
        <f aca="false">MAX(0,MIN(Inputs!$F$101,Time!Y$6)-MAX(Inputs!$F$100,Time!Y$5))/Time!Y$7</f>
        <v>1</v>
      </c>
      <c r="Z895" s="14" t="n">
        <f aca="false">MAX(0,MIN(Inputs!$F$101,Time!Z$6)-MAX(Inputs!$F$100,Time!Z$5))/Time!Z$7</f>
        <v>1</v>
      </c>
      <c r="AA895" s="14" t="n">
        <f aca="false">MAX(0,MIN(Inputs!$F$101,Time!AA$6)-MAX(Inputs!$F$100,Time!AA$5))/Time!AA$7</f>
        <v>1</v>
      </c>
      <c r="AB895" s="14" t="n">
        <f aca="false">MAX(0,MIN(Inputs!$F$101,Time!AB$6)-MAX(Inputs!$F$100,Time!AB$5))/Time!AB$7</f>
        <v>1</v>
      </c>
      <c r="AC895" s="14" t="n">
        <f aca="false">MAX(0,MIN(Inputs!$F$101,Time!AC$6)-MAX(Inputs!$F$100,Time!AC$5))/Time!AC$7</f>
        <v>1</v>
      </c>
      <c r="AD895" s="14" t="n">
        <f aca="false">MAX(0,MIN(Inputs!$F$101,Time!AD$6)-MAX(Inputs!$F$100,Time!AD$5))/Time!AD$7</f>
        <v>1</v>
      </c>
      <c r="AE895" s="14" t="n">
        <f aca="false">MAX(0,MIN(Inputs!$F$101,Time!AE$6)-MAX(Inputs!$F$100,Time!AE$5))/Time!AE$7</f>
        <v>1</v>
      </c>
      <c r="AF895" s="14" t="n">
        <f aca="false">MAX(0,MIN(Inputs!$F$101,Time!AF$6)-MAX(Inputs!$F$100,Time!AF$5))/Time!AF$7</f>
        <v>1</v>
      </c>
      <c r="AG895" s="14" t="n">
        <f aca="false">MAX(0,MIN(Inputs!$F$101,Time!AG$6)-MAX(Inputs!$F$100,Time!AG$5))/Time!AG$7</f>
        <v>1</v>
      </c>
      <c r="AH895" s="14" t="n">
        <f aca="false">MAX(0,MIN(Inputs!$F$101,Time!AH$6)-MAX(Inputs!$F$100,Time!AH$5))/Time!AH$7</f>
        <v>1</v>
      </c>
      <c r="AI895" s="14" t="n">
        <f aca="false">MAX(0,MIN(Inputs!$F$101,Time!AI$6)-MAX(Inputs!$F$100,Time!AI$5))/Time!AI$7</f>
        <v>0.495890410958904</v>
      </c>
      <c r="AJ895" s="14" t="n">
        <f aca="false">MAX(0,MIN(Inputs!$F$101,Time!AJ$6)-MAX(Inputs!$F$100,Time!AJ$5))/Time!AJ$7</f>
        <v>0</v>
      </c>
      <c r="AK895" s="14" t="n">
        <f aca="false">MAX(0,MIN(Inputs!$F$101,Time!AK$6)-MAX(Inputs!$F$100,Time!AK$5))/Time!AK$7</f>
        <v>0</v>
      </c>
      <c r="AL895" s="14" t="n">
        <f aca="false">MAX(0,MIN(Inputs!$F$101,Time!AL$6)-MAX(Inputs!$F$100,Time!AL$5))/Time!AL$7</f>
        <v>0</v>
      </c>
      <c r="AM895" s="14" t="n">
        <f aca="false">MAX(0,MIN(Inputs!$F$101,Time!AM$6)-MAX(Inputs!$F$100,Time!AM$5))/Time!AM$7</f>
        <v>0</v>
      </c>
      <c r="AN895" s="14" t="n">
        <f aca="false">MAX(0,MIN(Inputs!$F$101,Time!AN$6)-MAX(Inputs!$F$100,Time!AN$5))/Time!AN$7</f>
        <v>0</v>
      </c>
      <c r="AO895" s="14" t="n">
        <f aca="false">MAX(0,MIN(Inputs!$F$101,Time!AO$6)-MAX(Inputs!$F$100,Time!AO$5))/Time!AO$7</f>
        <v>0</v>
      </c>
      <c r="AP895" s="14" t="n">
        <f aca="false">MAX(0,MIN(Inputs!$F$101,Time!AP$6)-MAX(Inputs!$F$100,Time!AP$5))/Time!AP$7</f>
        <v>0</v>
      </c>
      <c r="AQ895" s="14" t="n">
        <f aca="false">MAX(0,MIN(Inputs!$F$101,Time!AQ$6)-MAX(Inputs!$F$100,Time!AQ$5))/Time!AQ$7</f>
        <v>0</v>
      </c>
      <c r="AR895" s="14" t="n">
        <f aca="false">MAX(0,MIN(Inputs!$F$101,Time!AR$6)-MAX(Inputs!$F$100,Time!AR$5))/Time!AR$7</f>
        <v>0</v>
      </c>
      <c r="AS895" s="14" t="n">
        <f aca="false">MAX(0,MIN(Inputs!$F$101,Time!AS$6)-MAX(Inputs!$F$100,Time!AS$5))/Time!AS$7</f>
        <v>0</v>
      </c>
      <c r="AT895" s="14" t="n">
        <f aca="false">MAX(0,MIN(Inputs!$F$101,Time!AT$6)-MAX(Inputs!$F$100,Time!AT$5))/Time!AT$7</f>
        <v>0</v>
      </c>
      <c r="AU895" s="14" t="n">
        <f aca="false">MAX(0,MIN(Inputs!$F$101,Time!AU$6)-MAX(Inputs!$F$100,Time!AU$5))/Time!AU$7</f>
        <v>0</v>
      </c>
    </row>
    <row r="896" customFormat="false" ht="15" hidden="false" customHeight="false" outlineLevel="0" collapsed="false">
      <c r="D896" s="0" t="s">
        <v>502</v>
      </c>
      <c r="E896" s="0" t="s">
        <v>458</v>
      </c>
      <c r="J896" s="14" t="n">
        <f aca="false">MAX(0,MIN(Inputs!$F$101,Time!J$6)-MAX(MAX(Inputs!$F$102,Inputs!$F$100),Time!J$5))/Time!J$7</f>
        <v>0.778082191780822</v>
      </c>
      <c r="K896" s="14" t="n">
        <f aca="false">MAX(0,MIN(Inputs!$F$101,Time!K$6)-MAX(MAX(Inputs!$F$102,Inputs!$F$100),Time!K$5))/Time!K$7</f>
        <v>1</v>
      </c>
      <c r="L896" s="14" t="n">
        <f aca="false">MAX(0,MIN(Inputs!$F$101,Time!L$6)-MAX(MAX(Inputs!$F$102,Inputs!$F$100),Time!L$5))/Time!L$7</f>
        <v>1</v>
      </c>
      <c r="M896" s="14" t="n">
        <f aca="false">MAX(0,MIN(Inputs!$F$101,Time!M$6)-MAX(MAX(Inputs!$F$102,Inputs!$F$100),Time!M$5))/Time!M$7</f>
        <v>1</v>
      </c>
      <c r="N896" s="14" t="n">
        <f aca="false">MAX(0,MIN(Inputs!$F$101,Time!N$6)-MAX(MAX(Inputs!$F$102,Inputs!$F$100),Time!N$5))/Time!N$7</f>
        <v>1</v>
      </c>
      <c r="O896" s="14" t="n">
        <f aca="false">MAX(0,MIN(Inputs!$F$101,Time!O$6)-MAX(MAX(Inputs!$F$102,Inputs!$F$100),Time!O$5))/Time!O$7</f>
        <v>1</v>
      </c>
      <c r="P896" s="14" t="n">
        <f aca="false">MAX(0,MIN(Inputs!$F$101,Time!P$6)-MAX(MAX(Inputs!$F$102,Inputs!$F$100),Time!P$5))/Time!P$7</f>
        <v>1</v>
      </c>
      <c r="Q896" s="14" t="n">
        <f aca="false">MAX(0,MIN(Inputs!$F$101,Time!Q$6)-MAX(MAX(Inputs!$F$102,Inputs!$F$100),Time!Q$5))/Time!Q$7</f>
        <v>1</v>
      </c>
      <c r="R896" s="14" t="n">
        <f aca="false">MAX(0,MIN(Inputs!$F$101,Time!R$6)-MAX(MAX(Inputs!$F$102,Inputs!$F$100),Time!R$5))/Time!R$7</f>
        <v>1</v>
      </c>
      <c r="S896" s="14" t="n">
        <f aca="false">MAX(0,MIN(Inputs!$F$101,Time!S$6)-MAX(MAX(Inputs!$F$102,Inputs!$F$100),Time!S$5))/Time!S$7</f>
        <v>1</v>
      </c>
      <c r="T896" s="14" t="n">
        <f aca="false">MAX(0,MIN(Inputs!$F$101,Time!T$6)-MAX(MAX(Inputs!$F$102,Inputs!$F$100),Time!T$5))/Time!T$7</f>
        <v>1</v>
      </c>
      <c r="U896" s="14" t="n">
        <f aca="false">MAX(0,MIN(Inputs!$F$101,Time!U$6)-MAX(MAX(Inputs!$F$102,Inputs!$F$100),Time!U$5))/Time!U$7</f>
        <v>1</v>
      </c>
      <c r="V896" s="14" t="n">
        <f aca="false">MAX(0,MIN(Inputs!$F$101,Time!V$6)-MAX(MAX(Inputs!$F$102,Inputs!$F$100),Time!V$5))/Time!V$7</f>
        <v>1</v>
      </c>
      <c r="W896" s="14" t="n">
        <f aca="false">MAX(0,MIN(Inputs!$F$101,Time!W$6)-MAX(MAX(Inputs!$F$102,Inputs!$F$100),Time!W$5))/Time!W$7</f>
        <v>1</v>
      </c>
      <c r="X896" s="14" t="n">
        <f aca="false">MAX(0,MIN(Inputs!$F$101,Time!X$6)-MAX(MAX(Inputs!$F$102,Inputs!$F$100),Time!X$5))/Time!X$7</f>
        <v>1</v>
      </c>
      <c r="Y896" s="14" t="n">
        <f aca="false">MAX(0,MIN(Inputs!$F$101,Time!Y$6)-MAX(MAX(Inputs!$F$102,Inputs!$F$100),Time!Y$5))/Time!Y$7</f>
        <v>1</v>
      </c>
      <c r="Z896" s="14" t="n">
        <f aca="false">MAX(0,MIN(Inputs!$F$101,Time!Z$6)-MAX(MAX(Inputs!$F$102,Inputs!$F$100),Time!Z$5))/Time!Z$7</f>
        <v>1</v>
      </c>
      <c r="AA896" s="14" t="n">
        <f aca="false">MAX(0,MIN(Inputs!$F$101,Time!AA$6)-MAX(MAX(Inputs!$F$102,Inputs!$F$100),Time!AA$5))/Time!AA$7</f>
        <v>1</v>
      </c>
      <c r="AB896" s="14" t="n">
        <f aca="false">MAX(0,MIN(Inputs!$F$101,Time!AB$6)-MAX(MAX(Inputs!$F$102,Inputs!$F$100),Time!AB$5))/Time!AB$7</f>
        <v>1</v>
      </c>
      <c r="AC896" s="14" t="n">
        <f aca="false">MAX(0,MIN(Inputs!$F$101,Time!AC$6)-MAX(MAX(Inputs!$F$102,Inputs!$F$100),Time!AC$5))/Time!AC$7</f>
        <v>1</v>
      </c>
      <c r="AD896" s="14" t="n">
        <f aca="false">MAX(0,MIN(Inputs!$F$101,Time!AD$6)-MAX(MAX(Inputs!$F$102,Inputs!$F$100),Time!AD$5))/Time!AD$7</f>
        <v>1</v>
      </c>
      <c r="AE896" s="14" t="n">
        <f aca="false">MAX(0,MIN(Inputs!$F$101,Time!AE$6)-MAX(MAX(Inputs!$F$102,Inputs!$F$100),Time!AE$5))/Time!AE$7</f>
        <v>1</v>
      </c>
      <c r="AF896" s="14" t="n">
        <f aca="false">MAX(0,MIN(Inputs!$F$101,Time!AF$6)-MAX(MAX(Inputs!$F$102,Inputs!$F$100),Time!AF$5))/Time!AF$7</f>
        <v>1</v>
      </c>
      <c r="AG896" s="14" t="n">
        <f aca="false">MAX(0,MIN(Inputs!$F$101,Time!AG$6)-MAX(MAX(Inputs!$F$102,Inputs!$F$100),Time!AG$5))/Time!AG$7</f>
        <v>1</v>
      </c>
      <c r="AH896" s="14" t="n">
        <f aca="false">MAX(0,MIN(Inputs!$F$101,Time!AH$6)-MAX(MAX(Inputs!$F$102,Inputs!$F$100),Time!AH$5))/Time!AH$7</f>
        <v>1</v>
      </c>
      <c r="AI896" s="14" t="n">
        <f aca="false">MAX(0,MIN(Inputs!$F$101,Time!AI$6)-MAX(MAX(Inputs!$F$102,Inputs!$F$100),Time!AI$5))/Time!AI$7</f>
        <v>0.495890410958904</v>
      </c>
      <c r="AJ896" s="14" t="n">
        <f aca="false">MAX(0,MIN(Inputs!$F$101,Time!AJ$6)-MAX(MAX(Inputs!$F$102,Inputs!$F$100),Time!AJ$5))/Time!AJ$7</f>
        <v>0</v>
      </c>
      <c r="AK896" s="14" t="n">
        <f aca="false">MAX(0,MIN(Inputs!$F$101,Time!AK$6)-MAX(MAX(Inputs!$F$102,Inputs!$F$100),Time!AK$5))/Time!AK$7</f>
        <v>0</v>
      </c>
      <c r="AL896" s="14" t="n">
        <f aca="false">MAX(0,MIN(Inputs!$F$101,Time!AL$6)-MAX(MAX(Inputs!$F$102,Inputs!$F$100),Time!AL$5))/Time!AL$7</f>
        <v>0</v>
      </c>
      <c r="AM896" s="14" t="n">
        <f aca="false">MAX(0,MIN(Inputs!$F$101,Time!AM$6)-MAX(MAX(Inputs!$F$102,Inputs!$F$100),Time!AM$5))/Time!AM$7</f>
        <v>0</v>
      </c>
      <c r="AN896" s="14" t="n">
        <f aca="false">MAX(0,MIN(Inputs!$F$101,Time!AN$6)-MAX(MAX(Inputs!$F$102,Inputs!$F$100),Time!AN$5))/Time!AN$7</f>
        <v>0</v>
      </c>
      <c r="AO896" s="14" t="n">
        <f aca="false">MAX(0,MIN(Inputs!$F$101,Time!AO$6)-MAX(MAX(Inputs!$F$102,Inputs!$F$100),Time!AO$5))/Time!AO$7</f>
        <v>0</v>
      </c>
      <c r="AP896" s="14" t="n">
        <f aca="false">MAX(0,MIN(Inputs!$F$101,Time!AP$6)-MAX(MAX(Inputs!$F$102,Inputs!$F$100),Time!AP$5))/Time!AP$7</f>
        <v>0</v>
      </c>
      <c r="AQ896" s="14" t="n">
        <f aca="false">MAX(0,MIN(Inputs!$F$101,Time!AQ$6)-MAX(MAX(Inputs!$F$102,Inputs!$F$100),Time!AQ$5))/Time!AQ$7</f>
        <v>0</v>
      </c>
      <c r="AR896" s="14" t="n">
        <f aca="false">MAX(0,MIN(Inputs!$F$101,Time!AR$6)-MAX(MAX(Inputs!$F$102,Inputs!$F$100),Time!AR$5))/Time!AR$7</f>
        <v>0</v>
      </c>
      <c r="AS896" s="14" t="n">
        <f aca="false">MAX(0,MIN(Inputs!$F$101,Time!AS$6)-MAX(MAX(Inputs!$F$102,Inputs!$F$100),Time!AS$5))/Time!AS$7</f>
        <v>0</v>
      </c>
      <c r="AT896" s="14" t="n">
        <f aca="false">MAX(0,MIN(Inputs!$F$101,Time!AT$6)-MAX(MAX(Inputs!$F$102,Inputs!$F$100),Time!AT$5))/Time!AT$7</f>
        <v>0</v>
      </c>
      <c r="AU896" s="14" t="n">
        <f aca="false">MAX(0,MIN(Inputs!$F$101,Time!AU$6)-MAX(MAX(Inputs!$F$102,Inputs!$F$100),Time!AU$5))/Time!AU$7</f>
        <v>0</v>
      </c>
    </row>
    <row r="897" customFormat="false" ht="15" hidden="false" customHeight="false" outlineLevel="0" collapsed="false">
      <c r="D897" s="0" t="s">
        <v>503</v>
      </c>
      <c r="E897" s="0" t="s">
        <v>458</v>
      </c>
      <c r="J897" s="14" t="n">
        <f aca="false">IF(Operations!J895&gt;0,Operations!J896/Operations!J895,0)</f>
        <v>0.778082191780822</v>
      </c>
      <c r="K897" s="14" t="n">
        <f aca="false">IF(Operations!K895&gt;0,Operations!K896/Operations!K895,0)</f>
        <v>1</v>
      </c>
      <c r="L897" s="14" t="n">
        <f aca="false">IF(Operations!L895&gt;0,Operations!L896/Operations!L895,0)</f>
        <v>1</v>
      </c>
      <c r="M897" s="14" t="n">
        <f aca="false">IF(Operations!M895&gt;0,Operations!M896/Operations!M895,0)</f>
        <v>1</v>
      </c>
      <c r="N897" s="14" t="n">
        <f aca="false">IF(Operations!N895&gt;0,Operations!N896/Operations!N895,0)</f>
        <v>1</v>
      </c>
      <c r="O897" s="14" t="n">
        <f aca="false">IF(Operations!O895&gt;0,Operations!O896/Operations!O895,0)</f>
        <v>1</v>
      </c>
      <c r="P897" s="14" t="n">
        <f aca="false">IF(Operations!P895&gt;0,Operations!P896/Operations!P895,0)</f>
        <v>1</v>
      </c>
      <c r="Q897" s="14" t="n">
        <f aca="false">IF(Operations!Q895&gt;0,Operations!Q896/Operations!Q895,0)</f>
        <v>1</v>
      </c>
      <c r="R897" s="14" t="n">
        <f aca="false">IF(Operations!R895&gt;0,Operations!R896/Operations!R895,0)</f>
        <v>1</v>
      </c>
      <c r="S897" s="14" t="n">
        <f aca="false">IF(Operations!S895&gt;0,Operations!S896/Operations!S895,0)</f>
        <v>1</v>
      </c>
      <c r="T897" s="14" t="n">
        <f aca="false">IF(Operations!T895&gt;0,Operations!T896/Operations!T895,0)</f>
        <v>1</v>
      </c>
      <c r="U897" s="14" t="n">
        <f aca="false">IF(Operations!U895&gt;0,Operations!U896/Operations!U895,0)</f>
        <v>1</v>
      </c>
      <c r="V897" s="14" t="n">
        <f aca="false">IF(Operations!V895&gt;0,Operations!V896/Operations!V895,0)</f>
        <v>1</v>
      </c>
      <c r="W897" s="14" t="n">
        <f aca="false">IF(Operations!W895&gt;0,Operations!W896/Operations!W895,0)</f>
        <v>1</v>
      </c>
      <c r="X897" s="14" t="n">
        <f aca="false">IF(Operations!X895&gt;0,Operations!X896/Operations!X895,0)</f>
        <v>1</v>
      </c>
      <c r="Y897" s="14" t="n">
        <f aca="false">IF(Operations!Y895&gt;0,Operations!Y896/Operations!Y895,0)</f>
        <v>1</v>
      </c>
      <c r="Z897" s="14" t="n">
        <f aca="false">IF(Operations!Z895&gt;0,Operations!Z896/Operations!Z895,0)</f>
        <v>1</v>
      </c>
      <c r="AA897" s="14" t="n">
        <f aca="false">IF(Operations!AA895&gt;0,Operations!AA896/Operations!AA895,0)</f>
        <v>1</v>
      </c>
      <c r="AB897" s="14" t="n">
        <f aca="false">IF(Operations!AB895&gt;0,Operations!AB896/Operations!AB895,0)</f>
        <v>1</v>
      </c>
      <c r="AC897" s="14" t="n">
        <f aca="false">IF(Operations!AC895&gt;0,Operations!AC896/Operations!AC895,0)</f>
        <v>1</v>
      </c>
      <c r="AD897" s="14" t="n">
        <f aca="false">IF(Operations!AD895&gt;0,Operations!AD896/Operations!AD895,0)</f>
        <v>1</v>
      </c>
      <c r="AE897" s="14" t="n">
        <f aca="false">IF(Operations!AE895&gt;0,Operations!AE896/Operations!AE895,0)</f>
        <v>1</v>
      </c>
      <c r="AF897" s="14" t="n">
        <f aca="false">IF(Operations!AF895&gt;0,Operations!AF896/Operations!AF895,0)</f>
        <v>1</v>
      </c>
      <c r="AG897" s="14" t="n">
        <f aca="false">IF(Operations!AG895&gt;0,Operations!AG896/Operations!AG895,0)</f>
        <v>1</v>
      </c>
      <c r="AH897" s="14" t="n">
        <f aca="false">IF(Operations!AH895&gt;0,Operations!AH896/Operations!AH895,0)</f>
        <v>1</v>
      </c>
      <c r="AI897" s="14" t="n">
        <f aca="false">IF(Operations!AI895&gt;0,Operations!AI896/Operations!AI895,0)</f>
        <v>1</v>
      </c>
      <c r="AJ897" s="14" t="n">
        <f aca="false">IF(Operations!AJ895&gt;0,Operations!AJ896/Operations!AJ895,0)</f>
        <v>0</v>
      </c>
      <c r="AK897" s="14" t="n">
        <f aca="false">IF(Operations!AK895&gt;0,Operations!AK896/Operations!AK895,0)</f>
        <v>0</v>
      </c>
      <c r="AL897" s="14" t="n">
        <f aca="false">IF(Operations!AL895&gt;0,Operations!AL896/Operations!AL895,0)</f>
        <v>0</v>
      </c>
      <c r="AM897" s="14" t="n">
        <f aca="false">IF(Operations!AM895&gt;0,Operations!AM896/Operations!AM895,0)</f>
        <v>0</v>
      </c>
      <c r="AN897" s="14" t="n">
        <f aca="false">IF(Operations!AN895&gt;0,Operations!AN896/Operations!AN895,0)</f>
        <v>0</v>
      </c>
      <c r="AO897" s="14" t="n">
        <f aca="false">IF(Operations!AO895&gt;0,Operations!AO896/Operations!AO895,0)</f>
        <v>0</v>
      </c>
      <c r="AP897" s="14" t="n">
        <f aca="false">IF(Operations!AP895&gt;0,Operations!AP896/Operations!AP895,0)</f>
        <v>0</v>
      </c>
      <c r="AQ897" s="14" t="n">
        <f aca="false">IF(Operations!AQ895&gt;0,Operations!AQ896/Operations!AQ895,0)</f>
        <v>0</v>
      </c>
      <c r="AR897" s="14" t="n">
        <f aca="false">IF(Operations!AR895&gt;0,Operations!AR896/Operations!AR895,0)</f>
        <v>0</v>
      </c>
      <c r="AS897" s="14" t="n">
        <f aca="false">IF(Operations!AS895&gt;0,Operations!AS896/Operations!AS895,0)</f>
        <v>0</v>
      </c>
      <c r="AT897" s="14" t="n">
        <f aca="false">IF(Operations!AT895&gt;0,Operations!AT896/Operations!AT895,0)</f>
        <v>0</v>
      </c>
      <c r="AU897" s="14" t="n">
        <f aca="false">IF(Operations!AU895&gt;0,Operations!AU896/Operations!AU895,0)</f>
        <v>0</v>
      </c>
    </row>
    <row r="898" customFormat="false" ht="15" hidden="false" customHeight="false" outlineLevel="0" collapsed="false">
      <c r="D898" s="0" t="s">
        <v>504</v>
      </c>
      <c r="E898" s="0" t="s">
        <v>96</v>
      </c>
      <c r="J898" s="18" t="n">
        <f aca="false">Operations!J844</f>
        <v>73.9286</v>
      </c>
      <c r="K898" s="18" t="n">
        <f aca="false">Operations!K844</f>
        <v>60.6492</v>
      </c>
      <c r="L898" s="18" t="n">
        <f aca="false">Operations!L844</f>
        <v>29.8291</v>
      </c>
      <c r="M898" s="18" t="n">
        <f aca="false">Operations!M844</f>
        <v>39.4418</v>
      </c>
      <c r="N898" s="18" t="n">
        <f aca="false">Operations!N844</f>
        <v>44.1986</v>
      </c>
      <c r="O898" s="18" t="n">
        <f aca="false">Operations!O844</f>
        <v>46.8743</v>
      </c>
      <c r="P898" s="18" t="n">
        <f aca="false">Operations!P844</f>
        <v>48.6581</v>
      </c>
      <c r="Q898" s="18" t="n">
        <f aca="false">Operations!Q844</f>
        <v>49.9464</v>
      </c>
      <c r="R898" s="18" t="n">
        <f aca="false">Operations!R844</f>
        <v>51.3338</v>
      </c>
      <c r="S898" s="18" t="n">
        <f aca="false">Operations!S844</f>
        <v>52.36444</v>
      </c>
      <c r="T898" s="18" t="n">
        <f aca="false">Operations!T844</f>
        <v>53.4149</v>
      </c>
      <c r="U898" s="18" t="n">
        <f aca="false">Operations!U844</f>
        <v>54.48518</v>
      </c>
      <c r="V898" s="18" t="n">
        <f aca="false">Operations!V844</f>
        <v>55.57528</v>
      </c>
      <c r="W898" s="18" t="n">
        <f aca="false">Operations!W844</f>
        <v>56.6852</v>
      </c>
      <c r="X898" s="18" t="n">
        <f aca="false">Operations!X844</f>
        <v>57.81494</v>
      </c>
      <c r="Y898" s="18" t="n">
        <f aca="false">Operations!Y844</f>
        <v>58.97441</v>
      </c>
      <c r="Z898" s="18" t="n">
        <f aca="false">Operations!Z844</f>
        <v>60.1537</v>
      </c>
      <c r="AA898" s="18" t="n">
        <f aca="false">Operations!AA844</f>
        <v>61.35281</v>
      </c>
      <c r="AB898" s="18" t="n">
        <f aca="false">Operations!AB844</f>
        <v>62.58165</v>
      </c>
      <c r="AC898" s="18" t="n">
        <f aca="false">Operations!AC844</f>
        <v>63.83031</v>
      </c>
      <c r="AD898" s="18" t="n">
        <f aca="false">Operations!AD844</f>
        <v>65.1087</v>
      </c>
      <c r="AE898" s="18" t="n">
        <f aca="false">Operations!AE844</f>
        <v>66.40691</v>
      </c>
      <c r="AF898" s="18" t="n">
        <f aca="false">Operations!AF844</f>
        <v>67.73485</v>
      </c>
      <c r="AG898" s="18" t="n">
        <f aca="false">Operations!AG844</f>
        <v>69.09252</v>
      </c>
      <c r="AH898" s="18" t="n">
        <f aca="false">Operations!AH844</f>
        <v>70.47001</v>
      </c>
      <c r="AI898" s="18" t="n">
        <f aca="false">Operations!AI844</f>
        <v>71.87723</v>
      </c>
      <c r="AJ898" s="18" t="n">
        <f aca="false">Operations!AJ844</f>
        <v>73.31418</v>
      </c>
      <c r="AK898" s="18" t="n">
        <f aca="false">Operations!AK844</f>
        <v>74.78086</v>
      </c>
      <c r="AL898" s="18" t="n">
        <f aca="false">Operations!AL844</f>
        <v>76.27727</v>
      </c>
      <c r="AM898" s="18" t="n">
        <f aca="false">Operations!AM844</f>
        <v>77.80341</v>
      </c>
      <c r="AN898" s="18" t="n">
        <f aca="false">Operations!AN844</f>
        <v>79.35928</v>
      </c>
      <c r="AO898" s="18" t="n">
        <f aca="false">Operations!AO844</f>
        <v>80.94488</v>
      </c>
      <c r="AP898" s="18" t="n">
        <f aca="false">Operations!AP844</f>
        <v>82.56021</v>
      </c>
      <c r="AQ898" s="18" t="n">
        <f aca="false">Operations!AQ844</f>
        <v>84.21518</v>
      </c>
      <c r="AR898" s="18" t="n">
        <f aca="false">Operations!AR844</f>
        <v>85.89988</v>
      </c>
      <c r="AS898" s="18" t="n">
        <f aca="false">Operations!AS844</f>
        <v>87.61431</v>
      </c>
      <c r="AT898" s="18" t="n">
        <f aca="false">Operations!AT844</f>
        <v>89.36838</v>
      </c>
      <c r="AU898" s="18" t="n">
        <f aca="false">Operations!AU844</f>
        <v>91.15218</v>
      </c>
    </row>
    <row r="899" customFormat="false" ht="15" hidden="false" customHeight="false" outlineLevel="0" collapsed="false">
      <c r="D899" s="0" t="s">
        <v>505</v>
      </c>
      <c r="E899" s="0" t="s">
        <v>27</v>
      </c>
      <c r="J899" s="14" t="n">
        <f aca="false">CHOOSE(Operations!$F$837,1,Inputs!$F$106/100,Inputs!$F$107/100,Operations!$F$18/100)</f>
        <v>0.803963483146067</v>
      </c>
      <c r="K899" s="14" t="n">
        <f aca="false">CHOOSE(Operations!$F$837,1,Inputs!$F$106/100,Inputs!$F$107/100,Operations!$F$18/100)</f>
        <v>0.803963483146067</v>
      </c>
      <c r="L899" s="14" t="n">
        <f aca="false">CHOOSE(Operations!$F$837,1,Inputs!$F$106/100,Inputs!$F$107/100,Operations!$F$18/100)</f>
        <v>0.803963483146067</v>
      </c>
      <c r="M899" s="14" t="n">
        <f aca="false">CHOOSE(Operations!$F$837,1,Inputs!$F$106/100,Inputs!$F$107/100,Operations!$F$18/100)</f>
        <v>0.803963483146067</v>
      </c>
      <c r="N899" s="14" t="n">
        <f aca="false">CHOOSE(Operations!$F$837,1,Inputs!$F$106/100,Inputs!$F$107/100,Operations!$F$18/100)</f>
        <v>0.803963483146067</v>
      </c>
      <c r="O899" s="14" t="n">
        <f aca="false">CHOOSE(Operations!$F$837,1,Inputs!$F$106/100,Inputs!$F$107/100,Operations!$F$18/100)</f>
        <v>0.803963483146067</v>
      </c>
      <c r="P899" s="14" t="n">
        <f aca="false">CHOOSE(Operations!$F$837,1,Inputs!$F$106/100,Inputs!$F$107/100,Operations!$F$18/100)</f>
        <v>0.803963483146067</v>
      </c>
      <c r="Q899" s="14" t="n">
        <f aca="false">CHOOSE(Operations!$F$837,1,Inputs!$F$106/100,Inputs!$F$107/100,Operations!$F$18/100)</f>
        <v>0.803963483146067</v>
      </c>
      <c r="R899" s="14" t="n">
        <f aca="false">CHOOSE(Operations!$F$837,1,Inputs!$F$106/100,Inputs!$F$107/100,Operations!$F$18/100)</f>
        <v>0.803963483146067</v>
      </c>
      <c r="S899" s="14" t="n">
        <f aca="false">CHOOSE(Operations!$F$837,1,Inputs!$F$106/100,Inputs!$F$107/100,Operations!$F$18/100)</f>
        <v>0.803963483146067</v>
      </c>
      <c r="T899" s="14" t="n">
        <f aca="false">CHOOSE(Operations!$F$837,1,Inputs!$F$106/100,Inputs!$F$107/100,Operations!$F$18/100)</f>
        <v>0.803963483146067</v>
      </c>
      <c r="U899" s="14" t="n">
        <f aca="false">CHOOSE(Operations!$F$837,1,Inputs!$F$106/100,Inputs!$F$107/100,Operations!$F$18/100)</f>
        <v>0.803963483146067</v>
      </c>
      <c r="V899" s="14" t="n">
        <f aca="false">CHOOSE(Operations!$F$837,1,Inputs!$F$106/100,Inputs!$F$107/100,Operations!$F$18/100)</f>
        <v>0.803963483146067</v>
      </c>
      <c r="W899" s="14" t="n">
        <f aca="false">CHOOSE(Operations!$F$837,1,Inputs!$F$106/100,Inputs!$F$107/100,Operations!$F$18/100)</f>
        <v>0.803963483146067</v>
      </c>
      <c r="X899" s="14" t="n">
        <f aca="false">CHOOSE(Operations!$F$837,1,Inputs!$F$106/100,Inputs!$F$107/100,Operations!$F$18/100)</f>
        <v>0.803963483146067</v>
      </c>
      <c r="Y899" s="14" t="n">
        <f aca="false">CHOOSE(Operations!$F$837,1,Inputs!$F$106/100,Inputs!$F$107/100,Operations!$F$18/100)</f>
        <v>0.803963483146067</v>
      </c>
      <c r="Z899" s="14" t="n">
        <f aca="false">CHOOSE(Operations!$F$837,1,Inputs!$F$106/100,Inputs!$F$107/100,Operations!$F$18/100)</f>
        <v>0.803963483146067</v>
      </c>
      <c r="AA899" s="14" t="n">
        <f aca="false">CHOOSE(Operations!$F$837,1,Inputs!$F$106/100,Inputs!$F$107/100,Operations!$F$18/100)</f>
        <v>0.803963483146067</v>
      </c>
      <c r="AB899" s="14" t="n">
        <f aca="false">CHOOSE(Operations!$F$837,1,Inputs!$F$106/100,Inputs!$F$107/100,Operations!$F$18/100)</f>
        <v>0.803963483146067</v>
      </c>
      <c r="AC899" s="14" t="n">
        <f aca="false">CHOOSE(Operations!$F$837,1,Inputs!$F$106/100,Inputs!$F$107/100,Operations!$F$18/100)</f>
        <v>0.803963483146067</v>
      </c>
      <c r="AD899" s="14" t="n">
        <f aca="false">CHOOSE(Operations!$F$837,1,Inputs!$F$106/100,Inputs!$F$107/100,Operations!$F$18/100)</f>
        <v>0.803963483146067</v>
      </c>
      <c r="AE899" s="14" t="n">
        <f aca="false">CHOOSE(Operations!$F$837,1,Inputs!$F$106/100,Inputs!$F$107/100,Operations!$F$18/100)</f>
        <v>0.803963483146067</v>
      </c>
      <c r="AF899" s="14" t="n">
        <f aca="false">CHOOSE(Operations!$F$837,1,Inputs!$F$106/100,Inputs!$F$107/100,Operations!$F$18/100)</f>
        <v>0.803963483146067</v>
      </c>
      <c r="AG899" s="14" t="n">
        <f aca="false">CHOOSE(Operations!$F$837,1,Inputs!$F$106/100,Inputs!$F$107/100,Operations!$F$18/100)</f>
        <v>0.803963483146067</v>
      </c>
      <c r="AH899" s="14" t="n">
        <f aca="false">CHOOSE(Operations!$F$837,1,Inputs!$F$106/100,Inputs!$F$107/100,Operations!$F$18/100)</f>
        <v>0.803963483146067</v>
      </c>
      <c r="AI899" s="14" t="n">
        <f aca="false">CHOOSE(Operations!$F$837,1,Inputs!$F$106/100,Inputs!$F$107/100,Operations!$F$18/100)</f>
        <v>0.803963483146067</v>
      </c>
      <c r="AJ899" s="14" t="n">
        <f aca="false">CHOOSE(Operations!$F$837,1,Inputs!$F$106/100,Inputs!$F$107/100,Operations!$F$18/100)</f>
        <v>0.803963483146067</v>
      </c>
      <c r="AK899" s="14" t="n">
        <f aca="false">CHOOSE(Operations!$F$837,1,Inputs!$F$106/100,Inputs!$F$107/100,Operations!$F$18/100)</f>
        <v>0.803963483146067</v>
      </c>
      <c r="AL899" s="14" t="n">
        <f aca="false">CHOOSE(Operations!$F$837,1,Inputs!$F$106/100,Inputs!$F$107/100,Operations!$F$18/100)</f>
        <v>0.803963483146067</v>
      </c>
      <c r="AM899" s="14" t="n">
        <f aca="false">CHOOSE(Operations!$F$837,1,Inputs!$F$106/100,Inputs!$F$107/100,Operations!$F$18/100)</f>
        <v>0.803963483146067</v>
      </c>
      <c r="AN899" s="14" t="n">
        <f aca="false">CHOOSE(Operations!$F$837,1,Inputs!$F$106/100,Inputs!$F$107/100,Operations!$F$18/100)</f>
        <v>0.803963483146067</v>
      </c>
      <c r="AO899" s="14" t="n">
        <f aca="false">CHOOSE(Operations!$F$837,1,Inputs!$F$106/100,Inputs!$F$107/100,Operations!$F$18/100)</f>
        <v>0.803963483146067</v>
      </c>
      <c r="AP899" s="14" t="n">
        <f aca="false">CHOOSE(Operations!$F$837,1,Inputs!$F$106/100,Inputs!$F$107/100,Operations!$F$18/100)</f>
        <v>0.803963483146067</v>
      </c>
      <c r="AQ899" s="14" t="n">
        <f aca="false">CHOOSE(Operations!$F$837,1,Inputs!$F$106/100,Inputs!$F$107/100,Operations!$F$18/100)</f>
        <v>0.803963483146067</v>
      </c>
      <c r="AR899" s="14" t="n">
        <f aca="false">CHOOSE(Operations!$F$837,1,Inputs!$F$106/100,Inputs!$F$107/100,Operations!$F$18/100)</f>
        <v>0.803963483146067</v>
      </c>
      <c r="AS899" s="14" t="n">
        <f aca="false">CHOOSE(Operations!$F$837,1,Inputs!$F$106/100,Inputs!$F$107/100,Operations!$F$18/100)</f>
        <v>0.803963483146067</v>
      </c>
      <c r="AT899" s="14" t="n">
        <f aca="false">CHOOSE(Operations!$F$837,1,Inputs!$F$106/100,Inputs!$F$107/100,Operations!$F$18/100)</f>
        <v>0.803963483146067</v>
      </c>
      <c r="AU899" s="14" t="n">
        <f aca="false">CHOOSE(Operations!$F$837,1,Inputs!$F$106/100,Inputs!$F$107/100,Operations!$F$18/100)</f>
        <v>0.803963483146067</v>
      </c>
    </row>
    <row r="900" customFormat="false" ht="15" hidden="false" customHeight="false" outlineLevel="0" collapsed="false">
      <c r="D900" s="0" t="s">
        <v>506</v>
      </c>
      <c r="E900" s="0" t="s">
        <v>27</v>
      </c>
      <c r="J900" s="14" t="n">
        <f aca="false">(1-Inputs!$F$108/100)^MAX(0,Time!J$4-Inputs!$F$109)</f>
        <v>1</v>
      </c>
      <c r="K900" s="14" t="n">
        <f aca="false">(1-Inputs!$F$108/100)^MAX(0,Time!K$4-Inputs!$F$109)</f>
        <v>0.998</v>
      </c>
      <c r="L900" s="14" t="n">
        <f aca="false">(1-Inputs!$F$108/100)^MAX(0,Time!L$4-Inputs!$F$109)</f>
        <v>0.996004</v>
      </c>
      <c r="M900" s="14" t="n">
        <f aca="false">(1-Inputs!$F$108/100)^MAX(0,Time!M$4-Inputs!$F$109)</f>
        <v>0.994011992</v>
      </c>
      <c r="N900" s="14" t="n">
        <f aca="false">(1-Inputs!$F$108/100)^MAX(0,Time!N$4-Inputs!$F$109)</f>
        <v>0.992023968016</v>
      </c>
      <c r="O900" s="14" t="n">
        <f aca="false">(1-Inputs!$F$108/100)^MAX(0,Time!O$4-Inputs!$F$109)</f>
        <v>0.990039920079968</v>
      </c>
      <c r="P900" s="14" t="n">
        <f aca="false">(1-Inputs!$F$108/100)^MAX(0,Time!P$4-Inputs!$F$109)</f>
        <v>0.988059840239808</v>
      </c>
      <c r="Q900" s="14" t="n">
        <f aca="false">(1-Inputs!$F$108/100)^MAX(0,Time!Q$4-Inputs!$F$109)</f>
        <v>0.986083720559329</v>
      </c>
      <c r="R900" s="14" t="n">
        <f aca="false">(1-Inputs!$F$108/100)^MAX(0,Time!R$4-Inputs!$F$109)</f>
        <v>0.98411155311821</v>
      </c>
      <c r="S900" s="14" t="n">
        <f aca="false">(1-Inputs!$F$108/100)^MAX(0,Time!S$4-Inputs!$F$109)</f>
        <v>0.982143330011973</v>
      </c>
      <c r="T900" s="14" t="n">
        <f aca="false">(1-Inputs!$F$108/100)^MAX(0,Time!T$4-Inputs!$F$109)</f>
        <v>0.980179043351949</v>
      </c>
      <c r="U900" s="14" t="n">
        <f aca="false">(1-Inputs!$F$108/100)^MAX(0,Time!U$4-Inputs!$F$109)</f>
        <v>0.978218685265246</v>
      </c>
      <c r="V900" s="14" t="n">
        <f aca="false">(1-Inputs!$F$108/100)^MAX(0,Time!V$4-Inputs!$F$109)</f>
        <v>0.976262247894715</v>
      </c>
      <c r="W900" s="14" t="n">
        <f aca="false">(1-Inputs!$F$108/100)^MAX(0,Time!W$4-Inputs!$F$109)</f>
        <v>0.974309723398926</v>
      </c>
      <c r="X900" s="14" t="n">
        <f aca="false">(1-Inputs!$F$108/100)^MAX(0,Time!X$4-Inputs!$F$109)</f>
        <v>0.972361103952128</v>
      </c>
      <c r="Y900" s="14" t="n">
        <f aca="false">(1-Inputs!$F$108/100)^MAX(0,Time!Y$4-Inputs!$F$109)</f>
        <v>0.970416381744224</v>
      </c>
      <c r="Z900" s="14" t="n">
        <f aca="false">(1-Inputs!$F$108/100)^MAX(0,Time!Z$4-Inputs!$F$109)</f>
        <v>0.968475548980735</v>
      </c>
      <c r="AA900" s="14" t="n">
        <f aca="false">(1-Inputs!$F$108/100)^MAX(0,Time!AA$4-Inputs!$F$109)</f>
        <v>0.966538597882774</v>
      </c>
      <c r="AB900" s="14" t="n">
        <f aca="false">(1-Inputs!$F$108/100)^MAX(0,Time!AB$4-Inputs!$F$109)</f>
        <v>0.964605520687008</v>
      </c>
      <c r="AC900" s="14" t="n">
        <f aca="false">(1-Inputs!$F$108/100)^MAX(0,Time!AC$4-Inputs!$F$109)</f>
        <v>0.962676309645634</v>
      </c>
      <c r="AD900" s="14" t="n">
        <f aca="false">(1-Inputs!$F$108/100)^MAX(0,Time!AD$4-Inputs!$F$109)</f>
        <v>0.960750957026343</v>
      </c>
      <c r="AE900" s="14" t="n">
        <f aca="false">(1-Inputs!$F$108/100)^MAX(0,Time!AE$4-Inputs!$F$109)</f>
        <v>0.95882945511229</v>
      </c>
      <c r="AF900" s="14" t="n">
        <f aca="false">(1-Inputs!$F$108/100)^MAX(0,Time!AF$4-Inputs!$F$109)</f>
        <v>0.956911796202066</v>
      </c>
      <c r="AG900" s="14" t="n">
        <f aca="false">(1-Inputs!$F$108/100)^MAX(0,Time!AG$4-Inputs!$F$109)</f>
        <v>0.954997972609661</v>
      </c>
      <c r="AH900" s="14" t="n">
        <f aca="false">(1-Inputs!$F$108/100)^MAX(0,Time!AH$4-Inputs!$F$109)</f>
        <v>0.953087976664442</v>
      </c>
      <c r="AI900" s="14" t="n">
        <f aca="false">(1-Inputs!$F$108/100)^MAX(0,Time!AI$4-Inputs!$F$109)</f>
        <v>0.951181800711113</v>
      </c>
      <c r="AJ900" s="14" t="n">
        <f aca="false">(1-Inputs!$F$108/100)^MAX(0,Time!AJ$4-Inputs!$F$109)</f>
        <v>0.949279437109691</v>
      </c>
      <c r="AK900" s="14" t="n">
        <f aca="false">(1-Inputs!$F$108/100)^MAX(0,Time!AK$4-Inputs!$F$109)</f>
        <v>0.947380878235472</v>
      </c>
      <c r="AL900" s="14" t="n">
        <f aca="false">(1-Inputs!$F$108/100)^MAX(0,Time!AL$4-Inputs!$F$109)</f>
        <v>0.945486116479001</v>
      </c>
      <c r="AM900" s="14" t="n">
        <f aca="false">(1-Inputs!$F$108/100)^MAX(0,Time!AM$4-Inputs!$F$109)</f>
        <v>0.943595144246043</v>
      </c>
      <c r="AN900" s="14" t="n">
        <f aca="false">(1-Inputs!$F$108/100)^MAX(0,Time!AN$4-Inputs!$F$109)</f>
        <v>0.941707953957551</v>
      </c>
      <c r="AO900" s="14" t="n">
        <f aca="false">(1-Inputs!$F$108/100)^MAX(0,Time!AO$4-Inputs!$F$109)</f>
        <v>0.939824538049635</v>
      </c>
      <c r="AP900" s="14" t="n">
        <f aca="false">(1-Inputs!$F$108/100)^MAX(0,Time!AP$4-Inputs!$F$109)</f>
        <v>0.937944888973536</v>
      </c>
      <c r="AQ900" s="14" t="n">
        <f aca="false">(1-Inputs!$F$108/100)^MAX(0,Time!AQ$4-Inputs!$F$109)</f>
        <v>0.936068999195589</v>
      </c>
      <c r="AR900" s="14" t="n">
        <f aca="false">(1-Inputs!$F$108/100)^MAX(0,Time!AR$4-Inputs!$F$109)</f>
        <v>0.934196861197198</v>
      </c>
      <c r="AS900" s="14" t="n">
        <f aca="false">(1-Inputs!$F$108/100)^MAX(0,Time!AS$4-Inputs!$F$109)</f>
        <v>0.932328467474804</v>
      </c>
      <c r="AT900" s="14" t="n">
        <f aca="false">(1-Inputs!$F$108/100)^MAX(0,Time!AT$4-Inputs!$F$109)</f>
        <v>0.930463810539854</v>
      </c>
      <c r="AU900" s="14" t="n">
        <f aca="false">(1-Inputs!$F$108/100)^MAX(0,Time!AU$4-Inputs!$F$109)</f>
        <v>0.928602882918774</v>
      </c>
    </row>
    <row r="901" customFormat="false" ht="15" hidden="false" customHeight="false" outlineLevel="0" collapsed="false">
      <c r="D901" s="0" t="s">
        <v>507</v>
      </c>
      <c r="E901" s="0" t="s">
        <v>458</v>
      </c>
      <c r="J901" s="14" t="n">
        <f aca="false">(IF(Time!J$4&gt;=Inputs!$F$61,Inputs!$F$71,Inputs!$F$70+(Inputs!$F$71-Inputs!$F$70)*(Time!J$4-Inputs!$F$23)/(Inputs!$F$61-Inputs!$F$23))+Operations!$F$839)/100</f>
        <v>0.015</v>
      </c>
      <c r="K901" s="14" t="n">
        <f aca="false">(IF(Time!K$4&gt;=Inputs!$F$61,Inputs!$F$71,Inputs!$F$70+(Inputs!$F$71-Inputs!$F$70)*(Time!K$4-Inputs!$F$23)/(Inputs!$F$61-Inputs!$F$23))+Operations!$F$839)/100</f>
        <v>0.015</v>
      </c>
      <c r="L901" s="14" t="n">
        <f aca="false">(IF(Time!L$4&gt;=Inputs!$F$61,Inputs!$F$71,Inputs!$F$70+(Inputs!$F$71-Inputs!$F$70)*(Time!L$4-Inputs!$F$23)/(Inputs!$F$61-Inputs!$F$23))+Operations!$F$839)/100</f>
        <v>0.015</v>
      </c>
      <c r="M901" s="14" t="n">
        <f aca="false">(IF(Time!M$4&gt;=Inputs!$F$61,Inputs!$F$71,Inputs!$F$70+(Inputs!$F$71-Inputs!$F$70)*(Time!M$4-Inputs!$F$23)/(Inputs!$F$61-Inputs!$F$23))+Operations!$F$839)/100</f>
        <v>0.015</v>
      </c>
      <c r="N901" s="14" t="n">
        <f aca="false">(IF(Time!N$4&gt;=Inputs!$F$61,Inputs!$F$71,Inputs!$F$70+(Inputs!$F$71-Inputs!$F$70)*(Time!N$4-Inputs!$F$23)/(Inputs!$F$61-Inputs!$F$23))+Operations!$F$839)/100</f>
        <v>0.015</v>
      </c>
      <c r="O901" s="14" t="n">
        <f aca="false">(IF(Time!O$4&gt;=Inputs!$F$61,Inputs!$F$71,Inputs!$F$70+(Inputs!$F$71-Inputs!$F$70)*(Time!O$4-Inputs!$F$23)/(Inputs!$F$61-Inputs!$F$23))+Operations!$F$839)/100</f>
        <v>0.015</v>
      </c>
      <c r="P901" s="14" t="n">
        <f aca="false">(IF(Time!P$4&gt;=Inputs!$F$61,Inputs!$F$71,Inputs!$F$70+(Inputs!$F$71-Inputs!$F$70)*(Time!P$4-Inputs!$F$23)/(Inputs!$F$61-Inputs!$F$23))+Operations!$F$839)/100</f>
        <v>0.015</v>
      </c>
      <c r="Q901" s="14" t="n">
        <f aca="false">(IF(Time!Q$4&gt;=Inputs!$F$61,Inputs!$F$71,Inputs!$F$70+(Inputs!$F$71-Inputs!$F$70)*(Time!Q$4-Inputs!$F$23)/(Inputs!$F$61-Inputs!$F$23))+Operations!$F$839)/100</f>
        <v>0.015</v>
      </c>
      <c r="R901" s="14" t="n">
        <f aca="false">(IF(Time!R$4&gt;=Inputs!$F$61,Inputs!$F$71,Inputs!$F$70+(Inputs!$F$71-Inputs!$F$70)*(Time!R$4-Inputs!$F$23)/(Inputs!$F$61-Inputs!$F$23))+Operations!$F$839)/100</f>
        <v>0.015</v>
      </c>
      <c r="S901" s="14" t="n">
        <f aca="false">(IF(Time!S$4&gt;=Inputs!$F$61,Inputs!$F$71,Inputs!$F$70+(Inputs!$F$71-Inputs!$F$70)*(Time!S$4-Inputs!$F$23)/(Inputs!$F$61-Inputs!$F$23))+Operations!$F$839)/100</f>
        <v>0.015</v>
      </c>
      <c r="T901" s="14" t="n">
        <f aca="false">(IF(Time!T$4&gt;=Inputs!$F$61,Inputs!$F$71,Inputs!$F$70+(Inputs!$F$71-Inputs!$F$70)*(Time!T$4-Inputs!$F$23)/(Inputs!$F$61-Inputs!$F$23))+Operations!$F$839)/100</f>
        <v>0.015</v>
      </c>
      <c r="U901" s="14" t="n">
        <f aca="false">(IF(Time!U$4&gt;=Inputs!$F$61,Inputs!$F$71,Inputs!$F$70+(Inputs!$F$71-Inputs!$F$70)*(Time!U$4-Inputs!$F$23)/(Inputs!$F$61-Inputs!$F$23))+Operations!$F$839)/100</f>
        <v>0.015</v>
      </c>
      <c r="V901" s="14" t="n">
        <f aca="false">(IF(Time!V$4&gt;=Inputs!$F$61,Inputs!$F$71,Inputs!$F$70+(Inputs!$F$71-Inputs!$F$70)*(Time!V$4-Inputs!$F$23)/(Inputs!$F$61-Inputs!$F$23))+Operations!$F$839)/100</f>
        <v>0.015</v>
      </c>
      <c r="W901" s="14" t="n">
        <f aca="false">(IF(Time!W$4&gt;=Inputs!$F$61,Inputs!$F$71,Inputs!$F$70+(Inputs!$F$71-Inputs!$F$70)*(Time!W$4-Inputs!$F$23)/(Inputs!$F$61-Inputs!$F$23))+Operations!$F$839)/100</f>
        <v>0.015</v>
      </c>
      <c r="X901" s="14" t="n">
        <f aca="false">(IF(Time!X$4&gt;=Inputs!$F$61,Inputs!$F$71,Inputs!$F$70+(Inputs!$F$71-Inputs!$F$70)*(Time!X$4-Inputs!$F$23)/(Inputs!$F$61-Inputs!$F$23))+Operations!$F$839)/100</f>
        <v>0.015</v>
      </c>
      <c r="Y901" s="14" t="n">
        <f aca="false">(IF(Time!Y$4&gt;=Inputs!$F$61,Inputs!$F$71,Inputs!$F$70+(Inputs!$F$71-Inputs!$F$70)*(Time!Y$4-Inputs!$F$23)/(Inputs!$F$61-Inputs!$F$23))+Operations!$F$839)/100</f>
        <v>0.015</v>
      </c>
      <c r="Z901" s="14" t="n">
        <f aca="false">(IF(Time!Z$4&gt;=Inputs!$F$61,Inputs!$F$71,Inputs!$F$70+(Inputs!$F$71-Inputs!$F$70)*(Time!Z$4-Inputs!$F$23)/(Inputs!$F$61-Inputs!$F$23))+Operations!$F$839)/100</f>
        <v>0.015</v>
      </c>
      <c r="AA901" s="14" t="n">
        <f aca="false">(IF(Time!AA$4&gt;=Inputs!$F$61,Inputs!$F$71,Inputs!$F$70+(Inputs!$F$71-Inputs!$F$70)*(Time!AA$4-Inputs!$F$23)/(Inputs!$F$61-Inputs!$F$23))+Operations!$F$839)/100</f>
        <v>0.015</v>
      </c>
      <c r="AB901" s="14" t="n">
        <f aca="false">(IF(Time!AB$4&gt;=Inputs!$F$61,Inputs!$F$71,Inputs!$F$70+(Inputs!$F$71-Inputs!$F$70)*(Time!AB$4-Inputs!$F$23)/(Inputs!$F$61-Inputs!$F$23))+Operations!$F$839)/100</f>
        <v>0.015</v>
      </c>
      <c r="AC901" s="14" t="n">
        <f aca="false">(IF(Time!AC$4&gt;=Inputs!$F$61,Inputs!$F$71,Inputs!$F$70+(Inputs!$F$71-Inputs!$F$70)*(Time!AC$4-Inputs!$F$23)/(Inputs!$F$61-Inputs!$F$23))+Operations!$F$839)/100</f>
        <v>0.015</v>
      </c>
      <c r="AD901" s="14" t="n">
        <f aca="false">(IF(Time!AD$4&gt;=Inputs!$F$61,Inputs!$F$71,Inputs!$F$70+(Inputs!$F$71-Inputs!$F$70)*(Time!AD$4-Inputs!$F$23)/(Inputs!$F$61-Inputs!$F$23))+Operations!$F$839)/100</f>
        <v>0.015</v>
      </c>
      <c r="AE901" s="14" t="n">
        <f aca="false">(IF(Time!AE$4&gt;=Inputs!$F$61,Inputs!$F$71,Inputs!$F$70+(Inputs!$F$71-Inputs!$F$70)*(Time!AE$4-Inputs!$F$23)/(Inputs!$F$61-Inputs!$F$23))+Operations!$F$839)/100</f>
        <v>0.015</v>
      </c>
      <c r="AF901" s="14" t="n">
        <f aca="false">(IF(Time!AF$4&gt;=Inputs!$F$61,Inputs!$F$71,Inputs!$F$70+(Inputs!$F$71-Inputs!$F$70)*(Time!AF$4-Inputs!$F$23)/(Inputs!$F$61-Inputs!$F$23))+Operations!$F$839)/100</f>
        <v>0.015</v>
      </c>
      <c r="AG901" s="14" t="n">
        <f aca="false">(IF(Time!AG$4&gt;=Inputs!$F$61,Inputs!$F$71,Inputs!$F$70+(Inputs!$F$71-Inputs!$F$70)*(Time!AG$4-Inputs!$F$23)/(Inputs!$F$61-Inputs!$F$23))+Operations!$F$839)/100</f>
        <v>0.015</v>
      </c>
      <c r="AH901" s="14" t="n">
        <f aca="false">(IF(Time!AH$4&gt;=Inputs!$F$61,Inputs!$F$71,Inputs!$F$70+(Inputs!$F$71-Inputs!$F$70)*(Time!AH$4-Inputs!$F$23)/(Inputs!$F$61-Inputs!$F$23))+Operations!$F$839)/100</f>
        <v>0.015</v>
      </c>
      <c r="AI901" s="14" t="n">
        <f aca="false">(IF(Time!AI$4&gt;=Inputs!$F$61,Inputs!$F$71,Inputs!$F$70+(Inputs!$F$71-Inputs!$F$70)*(Time!AI$4-Inputs!$F$23)/(Inputs!$F$61-Inputs!$F$23))+Operations!$F$839)/100</f>
        <v>0.015</v>
      </c>
      <c r="AJ901" s="14" t="n">
        <f aca="false">(IF(Time!AJ$4&gt;=Inputs!$F$61,Inputs!$F$71,Inputs!$F$70+(Inputs!$F$71-Inputs!$F$70)*(Time!AJ$4-Inputs!$F$23)/(Inputs!$F$61-Inputs!$F$23))+Operations!$F$839)/100</f>
        <v>0.015</v>
      </c>
      <c r="AK901" s="14" t="n">
        <f aca="false">(IF(Time!AK$4&gt;=Inputs!$F$61,Inputs!$F$71,Inputs!$F$70+(Inputs!$F$71-Inputs!$F$70)*(Time!AK$4-Inputs!$F$23)/(Inputs!$F$61-Inputs!$F$23))+Operations!$F$839)/100</f>
        <v>0.015</v>
      </c>
      <c r="AL901" s="14" t="n">
        <f aca="false">(IF(Time!AL$4&gt;=Inputs!$F$61,Inputs!$F$71,Inputs!$F$70+(Inputs!$F$71-Inputs!$F$70)*(Time!AL$4-Inputs!$F$23)/(Inputs!$F$61-Inputs!$F$23))+Operations!$F$839)/100</f>
        <v>0.015</v>
      </c>
      <c r="AM901" s="14" t="n">
        <f aca="false">(IF(Time!AM$4&gt;=Inputs!$F$61,Inputs!$F$71,Inputs!$F$70+(Inputs!$F$71-Inputs!$F$70)*(Time!AM$4-Inputs!$F$23)/(Inputs!$F$61-Inputs!$F$23))+Operations!$F$839)/100</f>
        <v>0.015</v>
      </c>
      <c r="AN901" s="14" t="n">
        <f aca="false">(IF(Time!AN$4&gt;=Inputs!$F$61,Inputs!$F$71,Inputs!$F$70+(Inputs!$F$71-Inputs!$F$70)*(Time!AN$4-Inputs!$F$23)/(Inputs!$F$61-Inputs!$F$23))+Operations!$F$839)/100</f>
        <v>0.015</v>
      </c>
      <c r="AO901" s="14" t="n">
        <f aca="false">(IF(Time!AO$4&gt;=Inputs!$F$61,Inputs!$F$71,Inputs!$F$70+(Inputs!$F$71-Inputs!$F$70)*(Time!AO$4-Inputs!$F$23)/(Inputs!$F$61-Inputs!$F$23))+Operations!$F$839)/100</f>
        <v>0.015</v>
      </c>
      <c r="AP901" s="14" t="n">
        <f aca="false">(IF(Time!AP$4&gt;=Inputs!$F$61,Inputs!$F$71,Inputs!$F$70+(Inputs!$F$71-Inputs!$F$70)*(Time!AP$4-Inputs!$F$23)/(Inputs!$F$61-Inputs!$F$23))+Operations!$F$839)/100</f>
        <v>0.015</v>
      </c>
      <c r="AQ901" s="14" t="n">
        <f aca="false">(IF(Time!AQ$4&gt;=Inputs!$F$61,Inputs!$F$71,Inputs!$F$70+(Inputs!$F$71-Inputs!$F$70)*(Time!AQ$4-Inputs!$F$23)/(Inputs!$F$61-Inputs!$F$23))+Operations!$F$839)/100</f>
        <v>0.015</v>
      </c>
      <c r="AR901" s="14" t="n">
        <f aca="false">(IF(Time!AR$4&gt;=Inputs!$F$61,Inputs!$F$71,Inputs!$F$70+(Inputs!$F$71-Inputs!$F$70)*(Time!AR$4-Inputs!$F$23)/(Inputs!$F$61-Inputs!$F$23))+Operations!$F$839)/100</f>
        <v>0.015</v>
      </c>
      <c r="AS901" s="14" t="n">
        <f aca="false">(IF(Time!AS$4&gt;=Inputs!$F$61,Inputs!$F$71,Inputs!$F$70+(Inputs!$F$71-Inputs!$F$70)*(Time!AS$4-Inputs!$F$23)/(Inputs!$F$61-Inputs!$F$23))+Operations!$F$839)/100</f>
        <v>0.015</v>
      </c>
      <c r="AT901" s="14" t="n">
        <f aca="false">(IF(Time!AT$4&gt;=Inputs!$F$61,Inputs!$F$71,Inputs!$F$70+(Inputs!$F$71-Inputs!$F$70)*(Time!AT$4-Inputs!$F$23)/(Inputs!$F$61-Inputs!$F$23))+Operations!$F$839)/100</f>
        <v>0.015</v>
      </c>
      <c r="AU901" s="14" t="n">
        <f aca="false">(IF(Time!AU$4&gt;=Inputs!$F$61,Inputs!$F$71,Inputs!$F$70+(Inputs!$F$71-Inputs!$F$70)*(Time!AU$4-Inputs!$F$23)/(Inputs!$F$61-Inputs!$F$23))+Operations!$F$839)/100</f>
        <v>0.015</v>
      </c>
    </row>
    <row r="902" customFormat="false" ht="15" hidden="false" customHeight="false" outlineLevel="0" collapsed="false">
      <c r="D902" s="0" t="s">
        <v>508</v>
      </c>
      <c r="E902" s="0" t="s">
        <v>466</v>
      </c>
      <c r="J902" s="20" t="n">
        <f aca="false">Inputs!$F$105*Operations!J899*Inputs!$F$192/100*Operations!J900*(1-Operations!J901)</f>
        <v>622.040616271067</v>
      </c>
      <c r="K902" s="20" t="n">
        <f aca="false">Inputs!$F$105*Operations!K899*Inputs!$F$192/100*Operations!K900*(1-Operations!K901)</f>
        <v>620.796535038525</v>
      </c>
      <c r="L902" s="20" t="n">
        <f aca="false">Inputs!$F$105*Operations!L899*Inputs!$F$192/100*Operations!L900*(1-Operations!L901)</f>
        <v>619.554941968448</v>
      </c>
      <c r="M902" s="20" t="n">
        <f aca="false">Inputs!$F$105*Operations!M899*Inputs!$F$192/100*Operations!M900*(1-Operations!M901)</f>
        <v>618.315832084511</v>
      </c>
      <c r="N902" s="20" t="n">
        <f aca="false">Inputs!$F$105*Operations!N899*Inputs!$F$192/100*Operations!N900*(1-Operations!N901)</f>
        <v>617.079200420342</v>
      </c>
      <c r="O902" s="20" t="n">
        <f aca="false">Inputs!$F$105*Operations!O899*Inputs!$F$192/100*Operations!O900*(1-Operations!O901)</f>
        <v>615.845042019502</v>
      </c>
      <c r="P902" s="20" t="n">
        <f aca="false">Inputs!$F$105*Operations!P899*Inputs!$F$192/100*Operations!P900*(1-Operations!P901)</f>
        <v>614.613351935463</v>
      </c>
      <c r="Q902" s="20" t="n">
        <f aca="false">Inputs!$F$105*Operations!Q899*Inputs!$F$192/100*Operations!Q900*(1-Operations!Q901)</f>
        <v>613.384125231592</v>
      </c>
      <c r="R902" s="20" t="n">
        <f aca="false">Inputs!$F$105*Operations!R899*Inputs!$F$192/100*Operations!R900*(1-Operations!R901)</f>
        <v>612.157356981129</v>
      </c>
      <c r="S902" s="20" t="n">
        <f aca="false">Inputs!$F$105*Operations!S899*Inputs!$F$192/100*Operations!S900*(1-Operations!S901)</f>
        <v>610.933042267166</v>
      </c>
      <c r="T902" s="20" t="n">
        <f aca="false">Inputs!$F$105*Operations!T899*Inputs!$F$192/100*Operations!T900*(1-Operations!T901)</f>
        <v>609.711176182632</v>
      </c>
      <c r="U902" s="20" t="n">
        <f aca="false">Inputs!$F$105*Operations!U899*Inputs!$F$192/100*Operations!U900*(1-Operations!U901)</f>
        <v>608.491753830267</v>
      </c>
      <c r="V902" s="20" t="n">
        <f aca="false">Inputs!$F$105*Operations!V899*Inputs!$F$192/100*Operations!V900*(1-Operations!V901)</f>
        <v>607.274770322606</v>
      </c>
      <c r="W902" s="20" t="n">
        <f aca="false">Inputs!$F$105*Operations!W899*Inputs!$F$192/100*Operations!W900*(1-Operations!W901)</f>
        <v>606.060220781961</v>
      </c>
      <c r="X902" s="20" t="n">
        <f aca="false">Inputs!$F$105*Operations!X899*Inputs!$F$192/100*Operations!X900*(1-Operations!X901)</f>
        <v>604.848100340397</v>
      </c>
      <c r="Y902" s="20" t="n">
        <f aca="false">Inputs!$F$105*Operations!Y899*Inputs!$F$192/100*Operations!Y900*(1-Operations!Y901)</f>
        <v>603.638404139716</v>
      </c>
      <c r="Z902" s="20" t="n">
        <f aca="false">Inputs!$F$105*Operations!Z899*Inputs!$F$192/100*Operations!Z900*(1-Operations!Z901)</f>
        <v>602.431127331437</v>
      </c>
      <c r="AA902" s="20" t="n">
        <f aca="false">Inputs!$F$105*Operations!AA899*Inputs!$F$192/100*Operations!AA900*(1-Operations!AA901)</f>
        <v>601.226265076774</v>
      </c>
      <c r="AB902" s="20" t="n">
        <f aca="false">Inputs!$F$105*Operations!AB899*Inputs!$F$192/100*Operations!AB900*(1-Operations!AB901)</f>
        <v>600.02381254662</v>
      </c>
      <c r="AC902" s="20" t="n">
        <f aca="false">Inputs!$F$105*Operations!AC899*Inputs!$F$192/100*Operations!AC900*(1-Operations!AC901)</f>
        <v>598.823764921527</v>
      </c>
      <c r="AD902" s="20" t="n">
        <f aca="false">Inputs!$F$105*Operations!AD899*Inputs!$F$192/100*Operations!AD900*(1-Operations!AD901)</f>
        <v>597.626117391684</v>
      </c>
      <c r="AE902" s="20" t="n">
        <f aca="false">Inputs!$F$105*Operations!AE899*Inputs!$F$192/100*Operations!AE900*(1-Operations!AE901)</f>
        <v>596.430865156901</v>
      </c>
      <c r="AF902" s="20" t="n">
        <f aca="false">Inputs!$F$105*Operations!AF899*Inputs!$F$192/100*Operations!AF900*(1-Operations!AF901)</f>
        <v>595.238003426587</v>
      </c>
      <c r="AG902" s="20" t="n">
        <f aca="false">Inputs!$F$105*Operations!AG899*Inputs!$F$192/100*Operations!AG900*(1-Operations!AG901)</f>
        <v>594.047527419734</v>
      </c>
      <c r="AH902" s="20" t="n">
        <f aca="false">Inputs!$F$105*Operations!AH899*Inputs!$F$192/100*Operations!AH900*(1-Operations!AH901)</f>
        <v>592.859432364894</v>
      </c>
      <c r="AI902" s="20" t="n">
        <f aca="false">Inputs!$F$105*Operations!AI899*Inputs!$F$192/100*Operations!AI900*(1-Operations!AI901)</f>
        <v>591.673713500164</v>
      </c>
      <c r="AJ902" s="20" t="n">
        <f aca="false">Inputs!$F$105*Operations!AJ899*Inputs!$F$192/100*Operations!AJ900*(1-Operations!AJ901)</f>
        <v>590.490366073164</v>
      </c>
      <c r="AK902" s="20" t="n">
        <f aca="false">Inputs!$F$105*Operations!AK899*Inputs!$F$192/100*Operations!AK900*(1-Operations!AK901)</f>
        <v>589.309385341018</v>
      </c>
      <c r="AL902" s="20" t="n">
        <f aca="false">Inputs!$F$105*Operations!AL899*Inputs!$F$192/100*Operations!AL900*(1-Operations!AL901)</f>
        <v>588.130766570336</v>
      </c>
      <c r="AM902" s="20" t="n">
        <f aca="false">Inputs!$F$105*Operations!AM899*Inputs!$F$192/100*Operations!AM900*(1-Operations!AM901)</f>
        <v>586.954505037195</v>
      </c>
      <c r="AN902" s="20" t="n">
        <f aca="false">Inputs!$F$105*Operations!AN899*Inputs!$F$192/100*Operations!AN900*(1-Operations!AN901)</f>
        <v>585.780596027121</v>
      </c>
      <c r="AO902" s="20" t="n">
        <f aca="false">Inputs!$F$105*Operations!AO899*Inputs!$F$192/100*Operations!AO900*(1-Operations!AO901)</f>
        <v>584.609034835066</v>
      </c>
      <c r="AP902" s="20" t="n">
        <f aca="false">Inputs!$F$105*Operations!AP899*Inputs!$F$192/100*Operations!AP900*(1-Operations!AP901)</f>
        <v>583.439816765396</v>
      </c>
      <c r="AQ902" s="20" t="n">
        <f aca="false">Inputs!$F$105*Operations!AQ899*Inputs!$F$192/100*Operations!AQ900*(1-Operations!AQ901)</f>
        <v>582.272937131866</v>
      </c>
      <c r="AR902" s="20" t="n">
        <f aca="false">Inputs!$F$105*Operations!AR899*Inputs!$F$192/100*Operations!AR900*(1-Operations!AR901)</f>
        <v>581.108391257602</v>
      </c>
      <c r="AS902" s="20" t="n">
        <f aca="false">Inputs!$F$105*Operations!AS899*Inputs!$F$192/100*Operations!AS900*(1-Operations!AS901)</f>
        <v>579.946174475087</v>
      </c>
      <c r="AT902" s="20" t="n">
        <f aca="false">Inputs!$F$105*Operations!AT899*Inputs!$F$192/100*Operations!AT900*(1-Operations!AT901)</f>
        <v>578.786282126136</v>
      </c>
      <c r="AU902" s="20" t="n">
        <f aca="false">Inputs!$F$105*Operations!AU899*Inputs!$F$192/100*Operations!AU900*(1-Operations!AU901)</f>
        <v>577.628709561884</v>
      </c>
    </row>
    <row r="903" customFormat="false" ht="15" hidden="false" customHeight="false" outlineLevel="0" collapsed="false">
      <c r="D903" s="0" t="s">
        <v>509</v>
      </c>
      <c r="E903" s="0" t="s">
        <v>466</v>
      </c>
      <c r="G903" s="20" t="n">
        <f aca="false">SUM(J903:AU903)</f>
        <v>15476.8567063927</v>
      </c>
      <c r="J903" s="20" t="n">
        <f aca="false">Operations!J902*Operations!J895</f>
        <v>622.040616271067</v>
      </c>
      <c r="K903" s="20" t="n">
        <f aca="false">Operations!K902*Operations!K895</f>
        <v>620.796535038525</v>
      </c>
      <c r="L903" s="20" t="n">
        <f aca="false">Operations!L902*Operations!L895</f>
        <v>619.554941968448</v>
      </c>
      <c r="M903" s="20" t="n">
        <f aca="false">Operations!M902*Operations!M895</f>
        <v>618.315832084511</v>
      </c>
      <c r="N903" s="20" t="n">
        <f aca="false">Operations!N902*Operations!N895</f>
        <v>617.079200420342</v>
      </c>
      <c r="O903" s="20" t="n">
        <f aca="false">Operations!O902*Operations!O895</f>
        <v>615.845042019502</v>
      </c>
      <c r="P903" s="20" t="n">
        <f aca="false">Operations!P902*Operations!P895</f>
        <v>614.613351935463</v>
      </c>
      <c r="Q903" s="20" t="n">
        <f aca="false">Operations!Q902*Operations!Q895</f>
        <v>613.384125231592</v>
      </c>
      <c r="R903" s="20" t="n">
        <f aca="false">Operations!R902*Operations!R895</f>
        <v>612.157356981129</v>
      </c>
      <c r="S903" s="20" t="n">
        <f aca="false">Operations!S902*Operations!S895</f>
        <v>610.933042267166</v>
      </c>
      <c r="T903" s="20" t="n">
        <f aca="false">Operations!T902*Operations!T895</f>
        <v>609.711176182632</v>
      </c>
      <c r="U903" s="20" t="n">
        <f aca="false">Operations!U902*Operations!U895</f>
        <v>608.491753830267</v>
      </c>
      <c r="V903" s="20" t="n">
        <f aca="false">Operations!V902*Operations!V895</f>
        <v>607.274770322606</v>
      </c>
      <c r="W903" s="20" t="n">
        <f aca="false">Operations!W902*Operations!W895</f>
        <v>606.060220781961</v>
      </c>
      <c r="X903" s="20" t="n">
        <f aca="false">Operations!X902*Operations!X895</f>
        <v>604.848100340397</v>
      </c>
      <c r="Y903" s="20" t="n">
        <f aca="false">Operations!Y902*Operations!Y895</f>
        <v>603.638404139716</v>
      </c>
      <c r="Z903" s="20" t="n">
        <f aca="false">Operations!Z902*Operations!Z895</f>
        <v>602.431127331437</v>
      </c>
      <c r="AA903" s="20" t="n">
        <f aca="false">Operations!AA902*Operations!AA895</f>
        <v>601.226265076774</v>
      </c>
      <c r="AB903" s="20" t="n">
        <f aca="false">Operations!AB902*Operations!AB895</f>
        <v>600.02381254662</v>
      </c>
      <c r="AC903" s="20" t="n">
        <f aca="false">Operations!AC902*Operations!AC895</f>
        <v>598.823764921527</v>
      </c>
      <c r="AD903" s="20" t="n">
        <f aca="false">Operations!AD902*Operations!AD895</f>
        <v>597.626117391684</v>
      </c>
      <c r="AE903" s="20" t="n">
        <f aca="false">Operations!AE902*Operations!AE895</f>
        <v>596.430865156901</v>
      </c>
      <c r="AF903" s="20" t="n">
        <f aca="false">Operations!AF902*Operations!AF895</f>
        <v>595.238003426587</v>
      </c>
      <c r="AG903" s="20" t="n">
        <f aca="false">Operations!AG902*Operations!AG895</f>
        <v>594.047527419734</v>
      </c>
      <c r="AH903" s="20" t="n">
        <f aca="false">Operations!AH902*Operations!AH895</f>
        <v>592.859432364894</v>
      </c>
      <c r="AI903" s="20" t="n">
        <f aca="false">Operations!AI902*Operations!AI895</f>
        <v>293.405320941177</v>
      </c>
      <c r="AJ903" s="20" t="n">
        <f aca="false">Operations!AJ902*Operations!AJ895</f>
        <v>0</v>
      </c>
      <c r="AK903" s="20" t="n">
        <f aca="false">Operations!AK902*Operations!AK895</f>
        <v>0</v>
      </c>
      <c r="AL903" s="20" t="n">
        <f aca="false">Operations!AL902*Operations!AL895</f>
        <v>0</v>
      </c>
      <c r="AM903" s="20" t="n">
        <f aca="false">Operations!AM902*Operations!AM895</f>
        <v>0</v>
      </c>
      <c r="AN903" s="20" t="n">
        <f aca="false">Operations!AN902*Operations!AN895</f>
        <v>0</v>
      </c>
      <c r="AO903" s="20" t="n">
        <f aca="false">Operations!AO902*Operations!AO895</f>
        <v>0</v>
      </c>
      <c r="AP903" s="20" t="n">
        <f aca="false">Operations!AP902*Operations!AP895</f>
        <v>0</v>
      </c>
      <c r="AQ903" s="20" t="n">
        <f aca="false">Operations!AQ902*Operations!AQ895</f>
        <v>0</v>
      </c>
      <c r="AR903" s="20" t="n">
        <f aca="false">Operations!AR902*Operations!AR895</f>
        <v>0</v>
      </c>
      <c r="AS903" s="20" t="n">
        <f aca="false">Operations!AS902*Operations!AS895</f>
        <v>0</v>
      </c>
      <c r="AT903" s="20" t="n">
        <f aca="false">Operations!AT902*Operations!AT895</f>
        <v>0</v>
      </c>
      <c r="AU903" s="20" t="n">
        <f aca="false">Operations!AU902*Operations!AU895</f>
        <v>0</v>
      </c>
    </row>
    <row r="904" customFormat="false" ht="15" hidden="false" customHeight="false" outlineLevel="0" collapsed="false">
      <c r="D904" s="0" t="s">
        <v>510</v>
      </c>
      <c r="E904" s="0" t="s">
        <v>54</v>
      </c>
      <c r="J904" s="14" t="n">
        <f aca="false">Operations!J851</f>
        <v>0.92</v>
      </c>
      <c r="K904" s="14" t="n">
        <f aca="false">Operations!K851</f>
        <v>0.917</v>
      </c>
      <c r="L904" s="14" t="n">
        <f aca="false">Operations!L851</f>
        <v>0.914</v>
      </c>
      <c r="M904" s="14" t="n">
        <f aca="false">Operations!M851</f>
        <v>0.911</v>
      </c>
      <c r="N904" s="14" t="n">
        <f aca="false">Operations!N851</f>
        <v>0.908</v>
      </c>
      <c r="O904" s="14" t="n">
        <f aca="false">Operations!O851</f>
        <v>0.905</v>
      </c>
      <c r="P904" s="14" t="n">
        <f aca="false">Operations!P851</f>
        <v>0.902</v>
      </c>
      <c r="Q904" s="14" t="n">
        <f aca="false">Operations!Q851</f>
        <v>0.899</v>
      </c>
      <c r="R904" s="14" t="n">
        <f aca="false">Operations!R851</f>
        <v>0.896</v>
      </c>
      <c r="S904" s="14" t="n">
        <f aca="false">Operations!S851</f>
        <v>0.893</v>
      </c>
      <c r="T904" s="14" t="n">
        <f aca="false">Operations!T851</f>
        <v>0.89</v>
      </c>
      <c r="U904" s="14" t="n">
        <f aca="false">Operations!U851</f>
        <v>0.887</v>
      </c>
      <c r="V904" s="14" t="n">
        <f aca="false">Operations!V851</f>
        <v>0.884</v>
      </c>
      <c r="W904" s="14" t="n">
        <f aca="false">Operations!W851</f>
        <v>0.881</v>
      </c>
      <c r="X904" s="14" t="n">
        <f aca="false">Operations!X851</f>
        <v>0.878</v>
      </c>
      <c r="Y904" s="14" t="n">
        <f aca="false">Operations!Y851</f>
        <v>0.875</v>
      </c>
      <c r="Z904" s="14" t="n">
        <f aca="false">Operations!Z851</f>
        <v>0.872</v>
      </c>
      <c r="AA904" s="14" t="n">
        <f aca="false">Operations!AA851</f>
        <v>0.869</v>
      </c>
      <c r="AB904" s="14" t="n">
        <f aca="false">Operations!AB851</f>
        <v>0.866</v>
      </c>
      <c r="AC904" s="14" t="n">
        <f aca="false">Operations!AC851</f>
        <v>0.863</v>
      </c>
      <c r="AD904" s="14" t="n">
        <f aca="false">Operations!AD851</f>
        <v>0.86</v>
      </c>
      <c r="AE904" s="14" t="n">
        <f aca="false">Operations!AE851</f>
        <v>0.857</v>
      </c>
      <c r="AF904" s="14" t="n">
        <f aca="false">Operations!AF851</f>
        <v>0.854</v>
      </c>
      <c r="AG904" s="14" t="n">
        <f aca="false">Operations!AG851</f>
        <v>0.851</v>
      </c>
      <c r="AH904" s="14" t="n">
        <f aca="false">Operations!AH851</f>
        <v>0.85</v>
      </c>
      <c r="AI904" s="14" t="n">
        <f aca="false">Operations!AI851</f>
        <v>0.85</v>
      </c>
      <c r="AJ904" s="14" t="n">
        <f aca="false">Operations!AJ851</f>
        <v>0.85</v>
      </c>
      <c r="AK904" s="14" t="n">
        <f aca="false">Operations!AK851</f>
        <v>0.85</v>
      </c>
      <c r="AL904" s="14" t="n">
        <f aca="false">Operations!AL851</f>
        <v>0.85</v>
      </c>
      <c r="AM904" s="14" t="n">
        <f aca="false">Operations!AM851</f>
        <v>0.85</v>
      </c>
      <c r="AN904" s="14" t="n">
        <f aca="false">Operations!AN851</f>
        <v>0.85</v>
      </c>
      <c r="AO904" s="14" t="n">
        <f aca="false">Operations!AO851</f>
        <v>0.85</v>
      </c>
      <c r="AP904" s="14" t="n">
        <f aca="false">Operations!AP851</f>
        <v>0.85</v>
      </c>
      <c r="AQ904" s="14" t="n">
        <f aca="false">Operations!AQ851</f>
        <v>0.85</v>
      </c>
      <c r="AR904" s="14" t="n">
        <f aca="false">Operations!AR851</f>
        <v>0.85</v>
      </c>
      <c r="AS904" s="14" t="n">
        <f aca="false">Operations!AS851</f>
        <v>0.85</v>
      </c>
      <c r="AT904" s="14" t="n">
        <f aca="false">Operations!AT851</f>
        <v>0.85</v>
      </c>
      <c r="AU904" s="14" t="n">
        <f aca="false">Operations!AU851</f>
        <v>0.85</v>
      </c>
    </row>
    <row r="905" customFormat="false" ht="15" hidden="false" customHeight="false" outlineLevel="0" collapsed="false">
      <c r="D905" s="0" t="s">
        <v>511</v>
      </c>
      <c r="E905" s="0" t="s">
        <v>54</v>
      </c>
      <c r="J905" s="14" t="n">
        <f aca="false">Operations!J904-Inputs!$F$60</f>
        <v>0.91</v>
      </c>
      <c r="K905" s="14" t="n">
        <f aca="false">Operations!K904-Inputs!$F$60</f>
        <v>0.907</v>
      </c>
      <c r="L905" s="14" t="n">
        <f aca="false">Operations!L904-Inputs!$F$60</f>
        <v>0.904</v>
      </c>
      <c r="M905" s="14" t="n">
        <f aca="false">Operations!M904-Inputs!$F$60</f>
        <v>0.901</v>
      </c>
      <c r="N905" s="14" t="n">
        <f aca="false">Operations!N904-Inputs!$F$60</f>
        <v>0.898</v>
      </c>
      <c r="O905" s="14" t="n">
        <f aca="false">Operations!O904-Inputs!$F$60</f>
        <v>0.895</v>
      </c>
      <c r="P905" s="14" t="n">
        <f aca="false">Operations!P904-Inputs!$F$60</f>
        <v>0.892</v>
      </c>
      <c r="Q905" s="14" t="n">
        <f aca="false">Operations!Q904-Inputs!$F$60</f>
        <v>0.889</v>
      </c>
      <c r="R905" s="14" t="n">
        <f aca="false">Operations!R904-Inputs!$F$60</f>
        <v>0.886</v>
      </c>
      <c r="S905" s="14" t="n">
        <f aca="false">Operations!S904-Inputs!$F$60</f>
        <v>0.883</v>
      </c>
      <c r="T905" s="14" t="n">
        <f aca="false">Operations!T904-Inputs!$F$60</f>
        <v>0.88</v>
      </c>
      <c r="U905" s="14" t="n">
        <f aca="false">Operations!U904-Inputs!$F$60</f>
        <v>0.877</v>
      </c>
      <c r="V905" s="14" t="n">
        <f aca="false">Operations!V904-Inputs!$F$60</f>
        <v>0.874</v>
      </c>
      <c r="W905" s="14" t="n">
        <f aca="false">Operations!W904-Inputs!$F$60</f>
        <v>0.871</v>
      </c>
      <c r="X905" s="14" t="n">
        <f aca="false">Operations!X904-Inputs!$F$60</f>
        <v>0.868</v>
      </c>
      <c r="Y905" s="14" t="n">
        <f aca="false">Operations!Y904-Inputs!$F$60</f>
        <v>0.865</v>
      </c>
      <c r="Z905" s="14" t="n">
        <f aca="false">Operations!Z904-Inputs!$F$60</f>
        <v>0.862</v>
      </c>
      <c r="AA905" s="14" t="n">
        <f aca="false">Operations!AA904-Inputs!$F$60</f>
        <v>0.859</v>
      </c>
      <c r="AB905" s="14" t="n">
        <f aca="false">Operations!AB904-Inputs!$F$60</f>
        <v>0.856</v>
      </c>
      <c r="AC905" s="14" t="n">
        <f aca="false">Operations!AC904-Inputs!$F$60</f>
        <v>0.853</v>
      </c>
      <c r="AD905" s="14" t="n">
        <f aca="false">Operations!AD904-Inputs!$F$60</f>
        <v>0.85</v>
      </c>
      <c r="AE905" s="14" t="n">
        <f aca="false">Operations!AE904-Inputs!$F$60</f>
        <v>0.847</v>
      </c>
      <c r="AF905" s="14" t="n">
        <f aca="false">Operations!AF904-Inputs!$F$60</f>
        <v>0.844</v>
      </c>
      <c r="AG905" s="14" t="n">
        <f aca="false">Operations!AG904-Inputs!$F$60</f>
        <v>0.841</v>
      </c>
      <c r="AH905" s="14" t="n">
        <f aca="false">Operations!AH904-Inputs!$F$60</f>
        <v>0.84</v>
      </c>
      <c r="AI905" s="14" t="n">
        <f aca="false">Operations!AI904-Inputs!$F$60</f>
        <v>0.84</v>
      </c>
      <c r="AJ905" s="14" t="n">
        <f aca="false">Operations!AJ904-Inputs!$F$60</f>
        <v>0.84</v>
      </c>
      <c r="AK905" s="14" t="n">
        <f aca="false">Operations!AK904-Inputs!$F$60</f>
        <v>0.84</v>
      </c>
      <c r="AL905" s="14" t="n">
        <f aca="false">Operations!AL904-Inputs!$F$60</f>
        <v>0.84</v>
      </c>
      <c r="AM905" s="14" t="n">
        <f aca="false">Operations!AM904-Inputs!$F$60</f>
        <v>0.84</v>
      </c>
      <c r="AN905" s="14" t="n">
        <f aca="false">Operations!AN904-Inputs!$F$60</f>
        <v>0.84</v>
      </c>
      <c r="AO905" s="14" t="n">
        <f aca="false">Operations!AO904-Inputs!$F$60</f>
        <v>0.84</v>
      </c>
      <c r="AP905" s="14" t="n">
        <f aca="false">Operations!AP904-Inputs!$F$60</f>
        <v>0.84</v>
      </c>
      <c r="AQ905" s="14" t="n">
        <f aca="false">Operations!AQ904-Inputs!$F$60</f>
        <v>0.84</v>
      </c>
      <c r="AR905" s="14" t="n">
        <f aca="false">Operations!AR904-Inputs!$F$60</f>
        <v>0.84</v>
      </c>
      <c r="AS905" s="14" t="n">
        <f aca="false">Operations!AS904-Inputs!$F$60</f>
        <v>0.84</v>
      </c>
      <c r="AT905" s="14" t="n">
        <f aca="false">Operations!AT904-Inputs!$F$60</f>
        <v>0.84</v>
      </c>
      <c r="AU905" s="14" t="n">
        <f aca="false">Operations!AU904-Inputs!$F$60</f>
        <v>0.84</v>
      </c>
    </row>
    <row r="906" customFormat="false" ht="15" hidden="false" customHeight="false" outlineLevel="0" collapsed="false">
      <c r="D906" s="0" t="s">
        <v>512</v>
      </c>
      <c r="E906" s="0" t="s">
        <v>96</v>
      </c>
      <c r="J906" s="18" t="n">
        <f aca="false">Operations!J898*Operations!J905</f>
        <v>67.275026</v>
      </c>
      <c r="K906" s="18" t="n">
        <f aca="false">Operations!K898*Operations!K905</f>
        <v>55.0088244</v>
      </c>
      <c r="L906" s="18" t="n">
        <f aca="false">Operations!L898*Operations!L905</f>
        <v>26.9655064</v>
      </c>
      <c r="M906" s="18" t="n">
        <f aca="false">Operations!M898*Operations!M905</f>
        <v>35.5370618</v>
      </c>
      <c r="N906" s="18" t="n">
        <f aca="false">Operations!N898*Operations!N905</f>
        <v>39.6903428</v>
      </c>
      <c r="O906" s="18" t="n">
        <f aca="false">Operations!O898*Operations!O905</f>
        <v>41.9524985</v>
      </c>
      <c r="P906" s="18" t="n">
        <f aca="false">Operations!P898*Operations!P905</f>
        <v>43.4030252</v>
      </c>
      <c r="Q906" s="18" t="n">
        <f aca="false">Operations!Q898*Operations!Q905</f>
        <v>44.4023496</v>
      </c>
      <c r="R906" s="18" t="n">
        <f aca="false">Operations!R898*Operations!R905</f>
        <v>45.4817468</v>
      </c>
      <c r="S906" s="18" t="n">
        <f aca="false">Operations!S898*Operations!S905</f>
        <v>46.23780052</v>
      </c>
      <c r="T906" s="18" t="n">
        <f aca="false">Operations!T898*Operations!T905</f>
        <v>47.005112</v>
      </c>
      <c r="U906" s="18" t="n">
        <f aca="false">Operations!U898*Operations!U905</f>
        <v>47.78350286</v>
      </c>
      <c r="V906" s="18" t="n">
        <f aca="false">Operations!V898*Operations!V905</f>
        <v>48.57279472</v>
      </c>
      <c r="W906" s="18" t="n">
        <f aca="false">Operations!W898*Operations!W905</f>
        <v>49.3728092</v>
      </c>
      <c r="X906" s="18" t="n">
        <f aca="false">Operations!X898*Operations!X905</f>
        <v>50.18336792</v>
      </c>
      <c r="Y906" s="18" t="n">
        <f aca="false">Operations!Y898*Operations!Y905</f>
        <v>51.01286465</v>
      </c>
      <c r="Z906" s="18" t="n">
        <f aca="false">Operations!Z898*Operations!Z905</f>
        <v>51.8524894</v>
      </c>
      <c r="AA906" s="18" t="n">
        <f aca="false">Operations!AA898*Operations!AA905</f>
        <v>52.70206379</v>
      </c>
      <c r="AB906" s="18" t="n">
        <f aca="false">Operations!AB898*Operations!AB905</f>
        <v>53.5698924</v>
      </c>
      <c r="AC906" s="18" t="n">
        <f aca="false">Operations!AC898*Operations!AC905</f>
        <v>54.44725443</v>
      </c>
      <c r="AD906" s="18" t="n">
        <f aca="false">Operations!AD898*Operations!AD905</f>
        <v>55.342395</v>
      </c>
      <c r="AE906" s="18" t="n">
        <f aca="false">Operations!AE898*Operations!AE905</f>
        <v>56.24665277</v>
      </c>
      <c r="AF906" s="18" t="n">
        <f aca="false">Operations!AF898*Operations!AF905</f>
        <v>57.1682134</v>
      </c>
      <c r="AG906" s="18" t="n">
        <f aca="false">Operations!AG898*Operations!AG905</f>
        <v>58.10680932</v>
      </c>
      <c r="AH906" s="18" t="n">
        <f aca="false">Operations!AH898*Operations!AH905</f>
        <v>59.1948084</v>
      </c>
      <c r="AI906" s="18" t="n">
        <f aca="false">Operations!AI898*Operations!AI905</f>
        <v>60.3768732</v>
      </c>
      <c r="AJ906" s="18" t="n">
        <f aca="false">Operations!AJ898*Operations!AJ905</f>
        <v>61.5839112</v>
      </c>
      <c r="AK906" s="18" t="n">
        <f aca="false">Operations!AK898*Operations!AK905</f>
        <v>62.8159224</v>
      </c>
      <c r="AL906" s="18" t="n">
        <f aca="false">Operations!AL898*Operations!AL905</f>
        <v>64.0729068</v>
      </c>
      <c r="AM906" s="18" t="n">
        <f aca="false">Operations!AM898*Operations!AM905</f>
        <v>65.3548644</v>
      </c>
      <c r="AN906" s="18" t="n">
        <f aca="false">Operations!AN898*Operations!AN905</f>
        <v>66.6617952</v>
      </c>
      <c r="AO906" s="18" t="n">
        <f aca="false">Operations!AO898*Operations!AO905</f>
        <v>67.9936992</v>
      </c>
      <c r="AP906" s="18" t="n">
        <f aca="false">Operations!AP898*Operations!AP905</f>
        <v>69.3505764</v>
      </c>
      <c r="AQ906" s="18" t="n">
        <f aca="false">Operations!AQ898*Operations!AQ905</f>
        <v>70.7407512</v>
      </c>
      <c r="AR906" s="18" t="n">
        <f aca="false">Operations!AR898*Operations!AR905</f>
        <v>72.1558992</v>
      </c>
      <c r="AS906" s="18" t="n">
        <f aca="false">Operations!AS898*Operations!AS905</f>
        <v>73.5960204</v>
      </c>
      <c r="AT906" s="18" t="n">
        <f aca="false">Operations!AT898*Operations!AT905</f>
        <v>75.0694392</v>
      </c>
      <c r="AU906" s="18" t="n">
        <f aca="false">Operations!AU898*Operations!AU905</f>
        <v>76.5678312</v>
      </c>
    </row>
    <row r="907" customFormat="false" ht="15" hidden="false" customHeight="false" outlineLevel="0" collapsed="false">
      <c r="D907" s="0" t="s">
        <v>513</v>
      </c>
      <c r="E907" s="0" t="s">
        <v>458</v>
      </c>
      <c r="J907" s="14" t="n">
        <f aca="false">MAX(0,MIN(Inputs!$F$203,Time!J$6)-MAX(Inputs!$F$100,Time!J$5))/Time!J$7</f>
        <v>1</v>
      </c>
      <c r="K907" s="14" t="n">
        <f aca="false">MAX(0,MIN(Inputs!$F$203,Time!K$6)-MAX(Inputs!$F$100,Time!K$5))/Time!K$7</f>
        <v>1</v>
      </c>
      <c r="L907" s="14" t="n">
        <f aca="false">MAX(0,MIN(Inputs!$F$203,Time!L$6)-MAX(Inputs!$F$100,Time!L$5))/Time!L$7</f>
        <v>1</v>
      </c>
      <c r="M907" s="14" t="n">
        <f aca="false">MAX(0,MIN(Inputs!$F$203,Time!M$6)-MAX(Inputs!$F$100,Time!M$5))/Time!M$7</f>
        <v>1</v>
      </c>
      <c r="N907" s="14" t="n">
        <f aca="false">MAX(0,MIN(Inputs!$F$203,Time!N$6)-MAX(Inputs!$F$100,Time!N$5))/Time!N$7</f>
        <v>1</v>
      </c>
      <c r="O907" s="14" t="n">
        <f aca="false">MAX(0,MIN(Inputs!$F$203,Time!O$6)-MAX(Inputs!$F$100,Time!O$5))/Time!O$7</f>
        <v>1</v>
      </c>
      <c r="P907" s="14" t="n">
        <f aca="false">MAX(0,MIN(Inputs!$F$203,Time!P$6)-MAX(Inputs!$F$100,Time!P$5))/Time!P$7</f>
        <v>1</v>
      </c>
      <c r="Q907" s="14" t="n">
        <f aca="false">MAX(0,MIN(Inputs!$F$203,Time!Q$6)-MAX(Inputs!$F$100,Time!Q$5))/Time!Q$7</f>
        <v>0.495890410958904</v>
      </c>
      <c r="R907" s="14" t="n">
        <f aca="false">MAX(0,MIN(Inputs!$F$203,Time!R$6)-MAX(Inputs!$F$100,Time!R$5))/Time!R$7</f>
        <v>0</v>
      </c>
      <c r="S907" s="14" t="n">
        <f aca="false">MAX(0,MIN(Inputs!$F$203,Time!S$6)-MAX(Inputs!$F$100,Time!S$5))/Time!S$7</f>
        <v>0</v>
      </c>
      <c r="T907" s="14" t="n">
        <f aca="false">MAX(0,MIN(Inputs!$F$203,Time!T$6)-MAX(Inputs!$F$100,Time!T$5))/Time!T$7</f>
        <v>0</v>
      </c>
      <c r="U907" s="14" t="n">
        <f aca="false">MAX(0,MIN(Inputs!$F$203,Time!U$6)-MAX(Inputs!$F$100,Time!U$5))/Time!U$7</f>
        <v>0</v>
      </c>
      <c r="V907" s="14" t="n">
        <f aca="false">MAX(0,MIN(Inputs!$F$203,Time!V$6)-MAX(Inputs!$F$100,Time!V$5))/Time!V$7</f>
        <v>0</v>
      </c>
      <c r="W907" s="14" t="n">
        <f aca="false">MAX(0,MIN(Inputs!$F$203,Time!W$6)-MAX(Inputs!$F$100,Time!W$5))/Time!W$7</f>
        <v>0</v>
      </c>
      <c r="X907" s="14" t="n">
        <f aca="false">MAX(0,MIN(Inputs!$F$203,Time!X$6)-MAX(Inputs!$F$100,Time!X$5))/Time!X$7</f>
        <v>0</v>
      </c>
      <c r="Y907" s="14" t="n">
        <f aca="false">MAX(0,MIN(Inputs!$F$203,Time!Y$6)-MAX(Inputs!$F$100,Time!Y$5))/Time!Y$7</f>
        <v>0</v>
      </c>
      <c r="Z907" s="14" t="n">
        <f aca="false">MAX(0,MIN(Inputs!$F$203,Time!Z$6)-MAX(Inputs!$F$100,Time!Z$5))/Time!Z$7</f>
        <v>0</v>
      </c>
      <c r="AA907" s="14" t="n">
        <f aca="false">MAX(0,MIN(Inputs!$F$203,Time!AA$6)-MAX(Inputs!$F$100,Time!AA$5))/Time!AA$7</f>
        <v>0</v>
      </c>
      <c r="AB907" s="14" t="n">
        <f aca="false">MAX(0,MIN(Inputs!$F$203,Time!AB$6)-MAX(Inputs!$F$100,Time!AB$5))/Time!AB$7</f>
        <v>0</v>
      </c>
      <c r="AC907" s="14" t="n">
        <f aca="false">MAX(0,MIN(Inputs!$F$203,Time!AC$6)-MAX(Inputs!$F$100,Time!AC$5))/Time!AC$7</f>
        <v>0</v>
      </c>
      <c r="AD907" s="14" t="n">
        <f aca="false">MAX(0,MIN(Inputs!$F$203,Time!AD$6)-MAX(Inputs!$F$100,Time!AD$5))/Time!AD$7</f>
        <v>0</v>
      </c>
      <c r="AE907" s="14" t="n">
        <f aca="false">MAX(0,MIN(Inputs!$F$203,Time!AE$6)-MAX(Inputs!$F$100,Time!AE$5))/Time!AE$7</f>
        <v>0</v>
      </c>
      <c r="AF907" s="14" t="n">
        <f aca="false">MAX(0,MIN(Inputs!$F$203,Time!AF$6)-MAX(Inputs!$F$100,Time!AF$5))/Time!AF$7</f>
        <v>0</v>
      </c>
      <c r="AG907" s="14" t="n">
        <f aca="false">MAX(0,MIN(Inputs!$F$203,Time!AG$6)-MAX(Inputs!$F$100,Time!AG$5))/Time!AG$7</f>
        <v>0</v>
      </c>
      <c r="AH907" s="14" t="n">
        <f aca="false">MAX(0,MIN(Inputs!$F$203,Time!AH$6)-MAX(Inputs!$F$100,Time!AH$5))/Time!AH$7</f>
        <v>0</v>
      </c>
      <c r="AI907" s="14" t="n">
        <f aca="false">MAX(0,MIN(Inputs!$F$203,Time!AI$6)-MAX(Inputs!$F$100,Time!AI$5))/Time!AI$7</f>
        <v>0</v>
      </c>
      <c r="AJ907" s="14" t="n">
        <f aca="false">MAX(0,MIN(Inputs!$F$203,Time!AJ$6)-MAX(Inputs!$F$100,Time!AJ$5))/Time!AJ$7</f>
        <v>0</v>
      </c>
      <c r="AK907" s="14" t="n">
        <f aca="false">MAX(0,MIN(Inputs!$F$203,Time!AK$6)-MAX(Inputs!$F$100,Time!AK$5))/Time!AK$7</f>
        <v>0</v>
      </c>
      <c r="AL907" s="14" t="n">
        <f aca="false">MAX(0,MIN(Inputs!$F$203,Time!AL$6)-MAX(Inputs!$F$100,Time!AL$5))/Time!AL$7</f>
        <v>0</v>
      </c>
      <c r="AM907" s="14" t="n">
        <f aca="false">MAX(0,MIN(Inputs!$F$203,Time!AM$6)-MAX(Inputs!$F$100,Time!AM$5))/Time!AM$7</f>
        <v>0</v>
      </c>
      <c r="AN907" s="14" t="n">
        <f aca="false">MAX(0,MIN(Inputs!$F$203,Time!AN$6)-MAX(Inputs!$F$100,Time!AN$5))/Time!AN$7</f>
        <v>0</v>
      </c>
      <c r="AO907" s="14" t="n">
        <f aca="false">MAX(0,MIN(Inputs!$F$203,Time!AO$6)-MAX(Inputs!$F$100,Time!AO$5))/Time!AO$7</f>
        <v>0</v>
      </c>
      <c r="AP907" s="14" t="n">
        <f aca="false">MAX(0,MIN(Inputs!$F$203,Time!AP$6)-MAX(Inputs!$F$100,Time!AP$5))/Time!AP$7</f>
        <v>0</v>
      </c>
      <c r="AQ907" s="14" t="n">
        <f aca="false">MAX(0,MIN(Inputs!$F$203,Time!AQ$6)-MAX(Inputs!$F$100,Time!AQ$5))/Time!AQ$7</f>
        <v>0</v>
      </c>
      <c r="AR907" s="14" t="n">
        <f aca="false">MAX(0,MIN(Inputs!$F$203,Time!AR$6)-MAX(Inputs!$F$100,Time!AR$5))/Time!AR$7</f>
        <v>0</v>
      </c>
      <c r="AS907" s="14" t="n">
        <f aca="false">MAX(0,MIN(Inputs!$F$203,Time!AS$6)-MAX(Inputs!$F$100,Time!AS$5))/Time!AS$7</f>
        <v>0</v>
      </c>
      <c r="AT907" s="14" t="n">
        <f aca="false">MAX(0,MIN(Inputs!$F$203,Time!AT$6)-MAX(Inputs!$F$100,Time!AT$5))/Time!AT$7</f>
        <v>0</v>
      </c>
      <c r="AU907" s="14" t="n">
        <f aca="false">MAX(0,MIN(Inputs!$F$203,Time!AU$6)-MAX(Inputs!$F$100,Time!AU$5))/Time!AU$7</f>
        <v>0</v>
      </c>
    </row>
    <row r="908" customFormat="false" ht="15" hidden="false" customHeight="false" outlineLevel="0" collapsed="false">
      <c r="D908" s="0" t="s">
        <v>514</v>
      </c>
      <c r="E908" s="0" t="s">
        <v>466</v>
      </c>
      <c r="J908" s="20" t="n">
        <f aca="false">Operations!J902*Operations!J907</f>
        <v>622.040616271067</v>
      </c>
      <c r="K908" s="20" t="n">
        <f aca="false">Operations!K902*Operations!K907</f>
        <v>620.796535038525</v>
      </c>
      <c r="L908" s="20" t="n">
        <f aca="false">Operations!L902*Operations!L907</f>
        <v>619.554941968448</v>
      </c>
      <c r="M908" s="20" t="n">
        <f aca="false">Operations!M902*Operations!M907</f>
        <v>618.315832084511</v>
      </c>
      <c r="N908" s="20" t="n">
        <f aca="false">Operations!N902*Operations!N907</f>
        <v>617.079200420342</v>
      </c>
      <c r="O908" s="20" t="n">
        <f aca="false">Operations!O902*Operations!O907</f>
        <v>615.845042019502</v>
      </c>
      <c r="P908" s="20" t="n">
        <f aca="false">Operations!P902*Operations!P907</f>
        <v>614.613351935463</v>
      </c>
      <c r="Q908" s="20" t="n">
        <f aca="false">Operations!Q902*Operations!Q907</f>
        <v>304.171305936762</v>
      </c>
      <c r="R908" s="20" t="n">
        <f aca="false">Operations!R902*Operations!R907</f>
        <v>0</v>
      </c>
      <c r="S908" s="20" t="n">
        <f aca="false">Operations!S902*Operations!S907</f>
        <v>0</v>
      </c>
      <c r="T908" s="20" t="n">
        <f aca="false">Operations!T902*Operations!T907</f>
        <v>0</v>
      </c>
      <c r="U908" s="20" t="n">
        <f aca="false">Operations!U902*Operations!U907</f>
        <v>0</v>
      </c>
      <c r="V908" s="20" t="n">
        <f aca="false">Operations!V902*Operations!V907</f>
        <v>0</v>
      </c>
      <c r="W908" s="20" t="n">
        <f aca="false">Operations!W902*Operations!W907</f>
        <v>0</v>
      </c>
      <c r="X908" s="20" t="n">
        <f aca="false">Operations!X902*Operations!X907</f>
        <v>0</v>
      </c>
      <c r="Y908" s="20" t="n">
        <f aca="false">Operations!Y902*Operations!Y907</f>
        <v>0</v>
      </c>
      <c r="Z908" s="20" t="n">
        <f aca="false">Operations!Z902*Operations!Z907</f>
        <v>0</v>
      </c>
      <c r="AA908" s="20" t="n">
        <f aca="false">Operations!AA902*Operations!AA907</f>
        <v>0</v>
      </c>
      <c r="AB908" s="20" t="n">
        <f aca="false">Operations!AB902*Operations!AB907</f>
        <v>0</v>
      </c>
      <c r="AC908" s="20" t="n">
        <f aca="false">Operations!AC902*Operations!AC907</f>
        <v>0</v>
      </c>
      <c r="AD908" s="20" t="n">
        <f aca="false">Operations!AD902*Operations!AD907</f>
        <v>0</v>
      </c>
      <c r="AE908" s="20" t="n">
        <f aca="false">Operations!AE902*Operations!AE907</f>
        <v>0</v>
      </c>
      <c r="AF908" s="20" t="n">
        <f aca="false">Operations!AF902*Operations!AF907</f>
        <v>0</v>
      </c>
      <c r="AG908" s="20" t="n">
        <f aca="false">Operations!AG902*Operations!AG907</f>
        <v>0</v>
      </c>
      <c r="AH908" s="20" t="n">
        <f aca="false">Operations!AH902*Operations!AH907</f>
        <v>0</v>
      </c>
      <c r="AI908" s="20" t="n">
        <f aca="false">Operations!AI902*Operations!AI907</f>
        <v>0</v>
      </c>
      <c r="AJ908" s="20" t="n">
        <f aca="false">Operations!AJ902*Operations!AJ907</f>
        <v>0</v>
      </c>
      <c r="AK908" s="20" t="n">
        <f aca="false">Operations!AK902*Operations!AK907</f>
        <v>0</v>
      </c>
      <c r="AL908" s="20" t="n">
        <f aca="false">Operations!AL902*Operations!AL907</f>
        <v>0</v>
      </c>
      <c r="AM908" s="20" t="n">
        <f aca="false">Operations!AM902*Operations!AM907</f>
        <v>0</v>
      </c>
      <c r="AN908" s="20" t="n">
        <f aca="false">Operations!AN902*Operations!AN907</f>
        <v>0</v>
      </c>
      <c r="AO908" s="20" t="n">
        <f aca="false">Operations!AO902*Operations!AO907</f>
        <v>0</v>
      </c>
      <c r="AP908" s="20" t="n">
        <f aca="false">Operations!AP902*Operations!AP907</f>
        <v>0</v>
      </c>
      <c r="AQ908" s="20" t="n">
        <f aca="false">Operations!AQ902*Operations!AQ907</f>
        <v>0</v>
      </c>
      <c r="AR908" s="20" t="n">
        <f aca="false">Operations!AR902*Operations!AR907</f>
        <v>0</v>
      </c>
      <c r="AS908" s="20" t="n">
        <f aca="false">Operations!AS902*Operations!AS907</f>
        <v>0</v>
      </c>
      <c r="AT908" s="20" t="n">
        <f aca="false">Operations!AT902*Operations!AT907</f>
        <v>0</v>
      </c>
      <c r="AU908" s="20" t="n">
        <f aca="false">Operations!AU902*Operations!AU907</f>
        <v>0</v>
      </c>
    </row>
    <row r="909" customFormat="false" ht="15" hidden="false" customHeight="false" outlineLevel="0" collapsed="false">
      <c r="D909" s="0" t="s">
        <v>515</v>
      </c>
      <c r="E909" s="0" t="s">
        <v>47</v>
      </c>
      <c r="G909" s="20" t="n">
        <f aca="false">SUM(J909:AU909)</f>
        <v>145.457888326183</v>
      </c>
      <c r="J909" s="20" t="n">
        <f aca="false">Operations!J908*Inputs!$F$202/1000</f>
        <v>19.5320753509115</v>
      </c>
      <c r="K909" s="20" t="n">
        <f aca="false">Operations!K908*Inputs!$F$202/1000</f>
        <v>19.4930112002097</v>
      </c>
      <c r="L909" s="20" t="n">
        <f aca="false">Operations!L908*Inputs!$F$202/1000</f>
        <v>19.4540251778093</v>
      </c>
      <c r="M909" s="20" t="n">
        <f aca="false">Operations!M908*Inputs!$F$202/1000</f>
        <v>19.4151171274537</v>
      </c>
      <c r="N909" s="20" t="n">
        <f aca="false">Operations!N908*Inputs!$F$202/1000</f>
        <v>19.3762868931987</v>
      </c>
      <c r="O909" s="20" t="n">
        <f aca="false">Operations!O908*Inputs!$F$202/1000</f>
        <v>19.3375343194124</v>
      </c>
      <c r="P909" s="20" t="n">
        <f aca="false">Operations!P908*Inputs!$F$202/1000</f>
        <v>19.2988592507735</v>
      </c>
      <c r="Q909" s="20" t="n">
        <f aca="false">Operations!Q908*Inputs!$F$202/1000</f>
        <v>9.55097900641433</v>
      </c>
      <c r="R909" s="20" t="n">
        <f aca="false">Operations!R908*Inputs!$F$202/1000</f>
        <v>0</v>
      </c>
      <c r="S909" s="20" t="n">
        <f aca="false">Operations!S908*Inputs!$F$202/1000</f>
        <v>0</v>
      </c>
      <c r="T909" s="20" t="n">
        <f aca="false">Operations!T908*Inputs!$F$202/1000</f>
        <v>0</v>
      </c>
      <c r="U909" s="20" t="n">
        <f aca="false">Operations!U908*Inputs!$F$202/1000</f>
        <v>0</v>
      </c>
      <c r="V909" s="20" t="n">
        <f aca="false">Operations!V908*Inputs!$F$202/1000</f>
        <v>0</v>
      </c>
      <c r="W909" s="20" t="n">
        <f aca="false">Operations!W908*Inputs!$F$202/1000</f>
        <v>0</v>
      </c>
      <c r="X909" s="20" t="n">
        <f aca="false">Operations!X908*Inputs!$F$202/1000</f>
        <v>0</v>
      </c>
      <c r="Y909" s="20" t="n">
        <f aca="false">Operations!Y908*Inputs!$F$202/1000</f>
        <v>0</v>
      </c>
      <c r="Z909" s="20" t="n">
        <f aca="false">Operations!Z908*Inputs!$F$202/1000</f>
        <v>0</v>
      </c>
      <c r="AA909" s="20" t="n">
        <f aca="false">Operations!AA908*Inputs!$F$202/1000</f>
        <v>0</v>
      </c>
      <c r="AB909" s="20" t="n">
        <f aca="false">Operations!AB908*Inputs!$F$202/1000</f>
        <v>0</v>
      </c>
      <c r="AC909" s="20" t="n">
        <f aca="false">Operations!AC908*Inputs!$F$202/1000</f>
        <v>0</v>
      </c>
      <c r="AD909" s="20" t="n">
        <f aca="false">Operations!AD908*Inputs!$F$202/1000</f>
        <v>0</v>
      </c>
      <c r="AE909" s="20" t="n">
        <f aca="false">Operations!AE908*Inputs!$F$202/1000</f>
        <v>0</v>
      </c>
      <c r="AF909" s="20" t="n">
        <f aca="false">Operations!AF908*Inputs!$F$202/1000</f>
        <v>0</v>
      </c>
      <c r="AG909" s="20" t="n">
        <f aca="false">Operations!AG908*Inputs!$F$202/1000</f>
        <v>0</v>
      </c>
      <c r="AH909" s="20" t="n">
        <f aca="false">Operations!AH908*Inputs!$F$202/1000</f>
        <v>0</v>
      </c>
      <c r="AI909" s="20" t="n">
        <f aca="false">Operations!AI908*Inputs!$F$202/1000</f>
        <v>0</v>
      </c>
      <c r="AJ909" s="20" t="n">
        <f aca="false">Operations!AJ908*Inputs!$F$202/1000</f>
        <v>0</v>
      </c>
      <c r="AK909" s="20" t="n">
        <f aca="false">Operations!AK908*Inputs!$F$202/1000</f>
        <v>0</v>
      </c>
      <c r="AL909" s="20" t="n">
        <f aca="false">Operations!AL908*Inputs!$F$202/1000</f>
        <v>0</v>
      </c>
      <c r="AM909" s="20" t="n">
        <f aca="false">Operations!AM908*Inputs!$F$202/1000</f>
        <v>0</v>
      </c>
      <c r="AN909" s="20" t="n">
        <f aca="false">Operations!AN908*Inputs!$F$202/1000</f>
        <v>0</v>
      </c>
      <c r="AO909" s="20" t="n">
        <f aca="false">Operations!AO908*Inputs!$F$202/1000</f>
        <v>0</v>
      </c>
      <c r="AP909" s="20" t="n">
        <f aca="false">Operations!AP908*Inputs!$F$202/1000</f>
        <v>0</v>
      </c>
      <c r="AQ909" s="20" t="n">
        <f aca="false">Operations!AQ908*Inputs!$F$202/1000</f>
        <v>0</v>
      </c>
      <c r="AR909" s="20" t="n">
        <f aca="false">Operations!AR908*Inputs!$F$202/1000</f>
        <v>0</v>
      </c>
      <c r="AS909" s="20" t="n">
        <f aca="false">Operations!AS908*Inputs!$F$202/1000</f>
        <v>0</v>
      </c>
      <c r="AT909" s="20" t="n">
        <f aca="false">Operations!AT908*Inputs!$F$202/1000</f>
        <v>0</v>
      </c>
      <c r="AU909" s="20" t="n">
        <f aca="false">Operations!AU908*Inputs!$F$202/1000</f>
        <v>0</v>
      </c>
    </row>
    <row r="910" customFormat="false" ht="15" hidden="false" customHeight="false" outlineLevel="0" collapsed="false">
      <c r="D910" s="0" t="s">
        <v>516</v>
      </c>
      <c r="E910" s="0" t="s">
        <v>466</v>
      </c>
      <c r="J910" s="20" t="n">
        <f aca="false">Operations!J903-Operations!J908</f>
        <v>0</v>
      </c>
      <c r="K910" s="20" t="n">
        <f aca="false">Operations!K903-Operations!K908</f>
        <v>0</v>
      </c>
      <c r="L910" s="20" t="n">
        <f aca="false">Operations!L903-Operations!L908</f>
        <v>0</v>
      </c>
      <c r="M910" s="20" t="n">
        <f aca="false">Operations!M903-Operations!M908</f>
        <v>0</v>
      </c>
      <c r="N910" s="20" t="n">
        <f aca="false">Operations!N903-Operations!N908</f>
        <v>0</v>
      </c>
      <c r="O910" s="20" t="n">
        <f aca="false">Operations!O903-Operations!O908</f>
        <v>0</v>
      </c>
      <c r="P910" s="20" t="n">
        <f aca="false">Operations!P903-Operations!P908</f>
        <v>0</v>
      </c>
      <c r="Q910" s="20" t="n">
        <f aca="false">Operations!Q903-Operations!Q908</f>
        <v>309.21281929483</v>
      </c>
      <c r="R910" s="20" t="n">
        <f aca="false">Operations!R903-Operations!R908</f>
        <v>612.157356981129</v>
      </c>
      <c r="S910" s="20" t="n">
        <f aca="false">Operations!S903-Operations!S908</f>
        <v>610.933042267166</v>
      </c>
      <c r="T910" s="20" t="n">
        <f aca="false">Operations!T903-Operations!T908</f>
        <v>609.711176182632</v>
      </c>
      <c r="U910" s="20" t="n">
        <f aca="false">Operations!U903-Operations!U908</f>
        <v>608.491753830267</v>
      </c>
      <c r="V910" s="20" t="n">
        <f aca="false">Operations!V903-Operations!V908</f>
        <v>607.274770322606</v>
      </c>
      <c r="W910" s="20" t="n">
        <f aca="false">Operations!W903-Operations!W908</f>
        <v>606.060220781961</v>
      </c>
      <c r="X910" s="20" t="n">
        <f aca="false">Operations!X903-Operations!X908</f>
        <v>604.848100340397</v>
      </c>
      <c r="Y910" s="20" t="n">
        <f aca="false">Operations!Y903-Operations!Y908</f>
        <v>603.638404139716</v>
      </c>
      <c r="Z910" s="20" t="n">
        <f aca="false">Operations!Z903-Operations!Z908</f>
        <v>602.431127331437</v>
      </c>
      <c r="AA910" s="20" t="n">
        <f aca="false">Operations!AA903-Operations!AA908</f>
        <v>601.226265076774</v>
      </c>
      <c r="AB910" s="20" t="n">
        <f aca="false">Operations!AB903-Operations!AB908</f>
        <v>600.02381254662</v>
      </c>
      <c r="AC910" s="20" t="n">
        <f aca="false">Operations!AC903-Operations!AC908</f>
        <v>598.823764921527</v>
      </c>
      <c r="AD910" s="20" t="n">
        <f aca="false">Operations!AD903-Operations!AD908</f>
        <v>597.626117391684</v>
      </c>
      <c r="AE910" s="20" t="n">
        <f aca="false">Operations!AE903-Operations!AE908</f>
        <v>596.430865156901</v>
      </c>
      <c r="AF910" s="20" t="n">
        <f aca="false">Operations!AF903-Operations!AF908</f>
        <v>595.238003426587</v>
      </c>
      <c r="AG910" s="20" t="n">
        <f aca="false">Operations!AG903-Operations!AG908</f>
        <v>594.047527419734</v>
      </c>
      <c r="AH910" s="20" t="n">
        <f aca="false">Operations!AH903-Operations!AH908</f>
        <v>592.859432364894</v>
      </c>
      <c r="AI910" s="20" t="n">
        <f aca="false">Operations!AI903-Operations!AI908</f>
        <v>293.405320941177</v>
      </c>
      <c r="AJ910" s="20" t="n">
        <f aca="false">Operations!AJ903-Operations!AJ908</f>
        <v>0</v>
      </c>
      <c r="AK910" s="20" t="n">
        <f aca="false">Operations!AK903-Operations!AK908</f>
        <v>0</v>
      </c>
      <c r="AL910" s="20" t="n">
        <f aca="false">Operations!AL903-Operations!AL908</f>
        <v>0</v>
      </c>
      <c r="AM910" s="20" t="n">
        <f aca="false">Operations!AM903-Operations!AM908</f>
        <v>0</v>
      </c>
      <c r="AN910" s="20" t="n">
        <f aca="false">Operations!AN903-Operations!AN908</f>
        <v>0</v>
      </c>
      <c r="AO910" s="20" t="n">
        <f aca="false">Operations!AO903-Operations!AO908</f>
        <v>0</v>
      </c>
      <c r="AP910" s="20" t="n">
        <f aca="false">Operations!AP903-Operations!AP908</f>
        <v>0</v>
      </c>
      <c r="AQ910" s="20" t="n">
        <f aca="false">Operations!AQ903-Operations!AQ908</f>
        <v>0</v>
      </c>
      <c r="AR910" s="20" t="n">
        <f aca="false">Operations!AR903-Operations!AR908</f>
        <v>0</v>
      </c>
      <c r="AS910" s="20" t="n">
        <f aca="false">Operations!AS903-Operations!AS908</f>
        <v>0</v>
      </c>
      <c r="AT910" s="20" t="n">
        <f aca="false">Operations!AT903-Operations!AT908</f>
        <v>0</v>
      </c>
      <c r="AU910" s="20" t="n">
        <f aca="false">Operations!AU903-Operations!AU908</f>
        <v>0</v>
      </c>
    </row>
    <row r="911" customFormat="false" ht="15" hidden="false" customHeight="false" outlineLevel="0" collapsed="false">
      <c r="D911" s="0" t="s">
        <v>517</v>
      </c>
      <c r="E911" s="0" t="s">
        <v>47</v>
      </c>
      <c r="J911" s="20" t="n">
        <f aca="false">Operations!J909</f>
        <v>19.5320753509115</v>
      </c>
      <c r="K911" s="20" t="n">
        <f aca="false">Operations!K909</f>
        <v>19.4930112002097</v>
      </c>
      <c r="L911" s="20" t="n">
        <f aca="false">Operations!L909</f>
        <v>19.4540251778093</v>
      </c>
      <c r="M911" s="20" t="n">
        <f aca="false">Operations!M909</f>
        <v>19.4151171274537</v>
      </c>
      <c r="N911" s="20" t="n">
        <f aca="false">Operations!N909</f>
        <v>19.3762868931987</v>
      </c>
      <c r="O911" s="20" t="n">
        <f aca="false">Operations!O909</f>
        <v>19.3375343194124</v>
      </c>
      <c r="P911" s="20" t="n">
        <f aca="false">Operations!P909</f>
        <v>19.2988592507735</v>
      </c>
      <c r="Q911" s="20" t="n">
        <f aca="false">Operations!Q909</f>
        <v>9.55097900641433</v>
      </c>
      <c r="R911" s="20" t="n">
        <f aca="false">Operations!R909</f>
        <v>0</v>
      </c>
      <c r="S911" s="20" t="n">
        <f aca="false">Operations!S909</f>
        <v>0</v>
      </c>
      <c r="T911" s="20" t="n">
        <f aca="false">Operations!T909</f>
        <v>0</v>
      </c>
      <c r="U911" s="20" t="n">
        <f aca="false">Operations!U909</f>
        <v>0</v>
      </c>
      <c r="V911" s="20" t="n">
        <f aca="false">Operations!V909</f>
        <v>0</v>
      </c>
      <c r="W911" s="20" t="n">
        <f aca="false">Operations!W909</f>
        <v>0</v>
      </c>
      <c r="X911" s="20" t="n">
        <f aca="false">Operations!X909</f>
        <v>0</v>
      </c>
      <c r="Y911" s="20" t="n">
        <f aca="false">Operations!Y909</f>
        <v>0</v>
      </c>
      <c r="Z911" s="20" t="n">
        <f aca="false">Operations!Z909</f>
        <v>0</v>
      </c>
      <c r="AA911" s="20" t="n">
        <f aca="false">Operations!AA909</f>
        <v>0</v>
      </c>
      <c r="AB911" s="20" t="n">
        <f aca="false">Operations!AB909</f>
        <v>0</v>
      </c>
      <c r="AC911" s="20" t="n">
        <f aca="false">Operations!AC909</f>
        <v>0</v>
      </c>
      <c r="AD911" s="20" t="n">
        <f aca="false">Operations!AD909</f>
        <v>0</v>
      </c>
      <c r="AE911" s="20" t="n">
        <f aca="false">Operations!AE909</f>
        <v>0</v>
      </c>
      <c r="AF911" s="20" t="n">
        <f aca="false">Operations!AF909</f>
        <v>0</v>
      </c>
      <c r="AG911" s="20" t="n">
        <f aca="false">Operations!AG909</f>
        <v>0</v>
      </c>
      <c r="AH911" s="20" t="n">
        <f aca="false">Operations!AH909</f>
        <v>0</v>
      </c>
      <c r="AI911" s="20" t="n">
        <f aca="false">Operations!AI909</f>
        <v>0</v>
      </c>
      <c r="AJ911" s="20" t="n">
        <f aca="false">Operations!AJ909</f>
        <v>0</v>
      </c>
      <c r="AK911" s="20" t="n">
        <f aca="false">Operations!AK909</f>
        <v>0</v>
      </c>
      <c r="AL911" s="20" t="n">
        <f aca="false">Operations!AL909</f>
        <v>0</v>
      </c>
      <c r="AM911" s="20" t="n">
        <f aca="false">Operations!AM909</f>
        <v>0</v>
      </c>
      <c r="AN911" s="20" t="n">
        <f aca="false">Operations!AN909</f>
        <v>0</v>
      </c>
      <c r="AO911" s="20" t="n">
        <f aca="false">Operations!AO909</f>
        <v>0</v>
      </c>
      <c r="AP911" s="20" t="n">
        <f aca="false">Operations!AP909</f>
        <v>0</v>
      </c>
      <c r="AQ911" s="20" t="n">
        <f aca="false">Operations!AQ909</f>
        <v>0</v>
      </c>
      <c r="AR911" s="20" t="n">
        <f aca="false">Operations!AR909</f>
        <v>0</v>
      </c>
      <c r="AS911" s="20" t="n">
        <f aca="false">Operations!AS909</f>
        <v>0</v>
      </c>
      <c r="AT911" s="20" t="n">
        <f aca="false">Operations!AT909</f>
        <v>0</v>
      </c>
      <c r="AU911" s="20" t="n">
        <f aca="false">Operations!AU909</f>
        <v>0</v>
      </c>
    </row>
    <row r="912" customFormat="false" ht="15" hidden="false" customHeight="false" outlineLevel="0" collapsed="false">
      <c r="D912" s="0" t="s">
        <v>518</v>
      </c>
      <c r="E912" s="0" t="s">
        <v>47</v>
      </c>
      <c r="J912" s="20" t="n">
        <f aca="false">0</f>
        <v>0</v>
      </c>
      <c r="K912" s="20" t="n">
        <f aca="false">0</f>
        <v>0</v>
      </c>
      <c r="L912" s="20" t="n">
        <f aca="false">0</f>
        <v>0</v>
      </c>
      <c r="M912" s="20" t="n">
        <f aca="false">0</f>
        <v>0</v>
      </c>
      <c r="N912" s="20" t="n">
        <f aca="false">0</f>
        <v>0</v>
      </c>
      <c r="O912" s="20" t="n">
        <f aca="false">0</f>
        <v>0</v>
      </c>
      <c r="P912" s="20" t="n">
        <f aca="false">0</f>
        <v>0</v>
      </c>
      <c r="Q912" s="20" t="n">
        <f aca="false">0</f>
        <v>0</v>
      </c>
      <c r="R912" s="20" t="n">
        <f aca="false">0</f>
        <v>0</v>
      </c>
      <c r="S912" s="20" t="n">
        <f aca="false">0</f>
        <v>0</v>
      </c>
      <c r="T912" s="20" t="n">
        <f aca="false">0</f>
        <v>0</v>
      </c>
      <c r="U912" s="20" t="n">
        <f aca="false">0</f>
        <v>0</v>
      </c>
      <c r="V912" s="20" t="n">
        <f aca="false">0</f>
        <v>0</v>
      </c>
      <c r="W912" s="20" t="n">
        <f aca="false">0</f>
        <v>0</v>
      </c>
      <c r="X912" s="20" t="n">
        <f aca="false">0</f>
        <v>0</v>
      </c>
      <c r="Y912" s="20" t="n">
        <f aca="false">0</f>
        <v>0</v>
      </c>
      <c r="Z912" s="20" t="n">
        <f aca="false">0</f>
        <v>0</v>
      </c>
      <c r="AA912" s="20" t="n">
        <f aca="false">0</f>
        <v>0</v>
      </c>
      <c r="AB912" s="20" t="n">
        <f aca="false">0</f>
        <v>0</v>
      </c>
      <c r="AC912" s="20" t="n">
        <f aca="false">0</f>
        <v>0</v>
      </c>
      <c r="AD912" s="20" t="n">
        <f aca="false">0</f>
        <v>0</v>
      </c>
      <c r="AE912" s="20" t="n">
        <f aca="false">0</f>
        <v>0</v>
      </c>
      <c r="AF912" s="20" t="n">
        <f aca="false">0</f>
        <v>0</v>
      </c>
      <c r="AG912" s="20" t="n">
        <f aca="false">0</f>
        <v>0</v>
      </c>
      <c r="AH912" s="20" t="n">
        <f aca="false">0</f>
        <v>0</v>
      </c>
      <c r="AI912" s="20" t="n">
        <f aca="false">0</f>
        <v>0</v>
      </c>
      <c r="AJ912" s="20" t="n">
        <f aca="false">0</f>
        <v>0</v>
      </c>
      <c r="AK912" s="20" t="n">
        <f aca="false">0</f>
        <v>0</v>
      </c>
      <c r="AL912" s="20" t="n">
        <f aca="false">0</f>
        <v>0</v>
      </c>
      <c r="AM912" s="20" t="n">
        <f aca="false">0</f>
        <v>0</v>
      </c>
      <c r="AN912" s="20" t="n">
        <f aca="false">0</f>
        <v>0</v>
      </c>
      <c r="AO912" s="20" t="n">
        <f aca="false">0</f>
        <v>0</v>
      </c>
      <c r="AP912" s="20" t="n">
        <f aca="false">0</f>
        <v>0</v>
      </c>
      <c r="AQ912" s="20" t="n">
        <f aca="false">0</f>
        <v>0</v>
      </c>
      <c r="AR912" s="20" t="n">
        <f aca="false">0</f>
        <v>0</v>
      </c>
      <c r="AS912" s="20" t="n">
        <f aca="false">0</f>
        <v>0</v>
      </c>
      <c r="AT912" s="20" t="n">
        <f aca="false">0</f>
        <v>0</v>
      </c>
      <c r="AU912" s="20" t="n">
        <f aca="false">0</f>
        <v>0</v>
      </c>
    </row>
    <row r="913" customFormat="false" ht="15" hidden="false" customHeight="false" outlineLevel="0" collapsed="false">
      <c r="D913" s="0" t="s">
        <v>519</v>
      </c>
      <c r="E913" s="0" t="s">
        <v>47</v>
      </c>
      <c r="G913" s="20" t="n">
        <f aca="false">SUM(J913:AU913)</f>
        <v>563.770174681364</v>
      </c>
      <c r="J913" s="20" t="n">
        <f aca="false">Operations!J910*Operations!J906/1000</f>
        <v>0</v>
      </c>
      <c r="K913" s="20" t="n">
        <f aca="false">Operations!K910*Operations!K906/1000</f>
        <v>0</v>
      </c>
      <c r="L913" s="20" t="n">
        <f aca="false">Operations!L910*Operations!L906/1000</f>
        <v>0</v>
      </c>
      <c r="M913" s="20" t="n">
        <f aca="false">Operations!M910*Operations!M906/1000</f>
        <v>0</v>
      </c>
      <c r="N913" s="20" t="n">
        <f aca="false">Operations!N910*Operations!N906/1000</f>
        <v>0</v>
      </c>
      <c r="O913" s="20" t="n">
        <f aca="false">Operations!O910*Operations!O906/1000</f>
        <v>0</v>
      </c>
      <c r="P913" s="20" t="n">
        <f aca="false">Operations!P910*Operations!P906/1000</f>
        <v>0</v>
      </c>
      <c r="Q913" s="20" t="n">
        <f aca="false">Operations!Q910*Operations!Q906/1000</f>
        <v>13.7297757031307</v>
      </c>
      <c r="R913" s="20" t="n">
        <f aca="false">Operations!R910*Operations!R906/1000</f>
        <v>27.8419859119729</v>
      </c>
      <c r="S913" s="20" t="n">
        <f aca="false">Operations!S910*Operations!S906/1000</f>
        <v>28.248200139426</v>
      </c>
      <c r="T913" s="20" t="n">
        <f aca="false">Operations!T910*Operations!T906/1000</f>
        <v>28.6595421241163</v>
      </c>
      <c r="U913" s="20" t="n">
        <f aca="false">Operations!U910*Operations!U906/1000</f>
        <v>29.075867459435</v>
      </c>
      <c r="V913" s="20" t="n">
        <f aca="false">Operations!V910*Operations!V906/1000</f>
        <v>29.4970327575151</v>
      </c>
      <c r="W913" s="20" t="n">
        <f aca="false">Operations!W910*Operations!W906/1000</f>
        <v>29.9228956443776</v>
      </c>
      <c r="X913" s="20" t="n">
        <f aca="false">Operations!X910*Operations!X906/1000</f>
        <v>30.3533147550952</v>
      </c>
      <c r="Y913" s="20" t="n">
        <f aca="false">Operations!Y910*Operations!Y906/1000</f>
        <v>30.7933242079213</v>
      </c>
      <c r="Z913" s="20" t="n">
        <f aca="false">Operations!Z910*Operations!Z906/1000</f>
        <v>31.2375536441834</v>
      </c>
      <c r="AA913" s="20" t="n">
        <f aca="false">Operations!AA910*Operations!AA906/1000</f>
        <v>31.6858649742996</v>
      </c>
      <c r="AB913" s="20" t="n">
        <f aca="false">Operations!AB910*Operations!AB906/1000</f>
        <v>32.1432110755602</v>
      </c>
      <c r="AC913" s="20" t="n">
        <f aca="false">Operations!AC910*Operations!AC906/1000</f>
        <v>32.6043098874129</v>
      </c>
      <c r="AD913" s="20" t="n">
        <f aca="false">Operations!AD910*Operations!AD906/1000</f>
        <v>33.0740606510069</v>
      </c>
      <c r="AE913" s="20" t="n">
        <f aca="false">Operations!AE910*Operations!AE906/1000</f>
        <v>33.5472397737909</v>
      </c>
      <c r="AF913" s="20" t="n">
        <f aca="false">Operations!AF910*Operations!AF906/1000</f>
        <v>34.028693203681</v>
      </c>
      <c r="AG913" s="20" t="n">
        <f aca="false">Operations!AG910*Operations!AG906/1000</f>
        <v>34.5182064027959</v>
      </c>
      <c r="AH913" s="20" t="n">
        <f aca="false">Operations!AH910*Operations!AH906/1000</f>
        <v>35.0942005069727</v>
      </c>
      <c r="AI913" s="20" t="n">
        <f aca="false">Operations!AI910*Operations!AI906/1000</f>
        <v>17.7148958586708</v>
      </c>
      <c r="AJ913" s="20" t="n">
        <f aca="false">Operations!AJ910*Operations!AJ906/1000</f>
        <v>0</v>
      </c>
      <c r="AK913" s="20" t="n">
        <f aca="false">Operations!AK910*Operations!AK906/1000</f>
        <v>0</v>
      </c>
      <c r="AL913" s="20" t="n">
        <f aca="false">Operations!AL910*Operations!AL906/1000</f>
        <v>0</v>
      </c>
      <c r="AM913" s="20" t="n">
        <f aca="false">Operations!AM910*Operations!AM906/1000</f>
        <v>0</v>
      </c>
      <c r="AN913" s="20" t="n">
        <f aca="false">Operations!AN910*Operations!AN906/1000</f>
        <v>0</v>
      </c>
      <c r="AO913" s="20" t="n">
        <f aca="false">Operations!AO910*Operations!AO906/1000</f>
        <v>0</v>
      </c>
      <c r="AP913" s="20" t="n">
        <f aca="false">Operations!AP910*Operations!AP906/1000</f>
        <v>0</v>
      </c>
      <c r="AQ913" s="20" t="n">
        <f aca="false">Operations!AQ910*Operations!AQ906/1000</f>
        <v>0</v>
      </c>
      <c r="AR913" s="20" t="n">
        <f aca="false">Operations!AR910*Operations!AR906/1000</f>
        <v>0</v>
      </c>
      <c r="AS913" s="20" t="n">
        <f aca="false">Operations!AS910*Operations!AS906/1000</f>
        <v>0</v>
      </c>
      <c r="AT913" s="20" t="n">
        <f aca="false">Operations!AT910*Operations!AT906/1000</f>
        <v>0</v>
      </c>
      <c r="AU913" s="20" t="n">
        <f aca="false">Operations!AU910*Operations!AU906/1000</f>
        <v>0</v>
      </c>
    </row>
    <row r="914" customFormat="false" ht="15" hidden="false" customHeight="false" outlineLevel="0" collapsed="false">
      <c r="D914" s="0" t="s">
        <v>520</v>
      </c>
      <c r="E914" s="0" t="s">
        <v>47</v>
      </c>
      <c r="G914" s="20" t="n">
        <f aca="false">SUM(J914:AU914)</f>
        <v>709.228063007548</v>
      </c>
      <c r="J914" s="20" t="n">
        <f aca="false">Operations!J913+Operations!J909</f>
        <v>19.5320753509115</v>
      </c>
      <c r="K914" s="20" t="n">
        <f aca="false">Operations!K913+Operations!K909</f>
        <v>19.4930112002097</v>
      </c>
      <c r="L914" s="20" t="n">
        <f aca="false">Operations!L913+Operations!L909</f>
        <v>19.4540251778093</v>
      </c>
      <c r="M914" s="20" t="n">
        <f aca="false">Operations!M913+Operations!M909</f>
        <v>19.4151171274537</v>
      </c>
      <c r="N914" s="20" t="n">
        <f aca="false">Operations!N913+Operations!N909</f>
        <v>19.3762868931987</v>
      </c>
      <c r="O914" s="20" t="n">
        <f aca="false">Operations!O913+Operations!O909</f>
        <v>19.3375343194124</v>
      </c>
      <c r="P914" s="20" t="n">
        <f aca="false">Operations!P913+Operations!P909</f>
        <v>19.2988592507735</v>
      </c>
      <c r="Q914" s="20" t="n">
        <f aca="false">Operations!Q913+Operations!Q909</f>
        <v>23.280754709545</v>
      </c>
      <c r="R914" s="20" t="n">
        <f aca="false">Operations!R913+Operations!R909</f>
        <v>27.8419859119729</v>
      </c>
      <c r="S914" s="20" t="n">
        <f aca="false">Operations!S913+Operations!S909</f>
        <v>28.248200139426</v>
      </c>
      <c r="T914" s="20" t="n">
        <f aca="false">Operations!T913+Operations!T909</f>
        <v>28.6595421241163</v>
      </c>
      <c r="U914" s="20" t="n">
        <f aca="false">Operations!U913+Operations!U909</f>
        <v>29.075867459435</v>
      </c>
      <c r="V914" s="20" t="n">
        <f aca="false">Operations!V913+Operations!V909</f>
        <v>29.4970327575151</v>
      </c>
      <c r="W914" s="20" t="n">
        <f aca="false">Operations!W913+Operations!W909</f>
        <v>29.9228956443776</v>
      </c>
      <c r="X914" s="20" t="n">
        <f aca="false">Operations!X913+Operations!X909</f>
        <v>30.3533147550952</v>
      </c>
      <c r="Y914" s="20" t="n">
        <f aca="false">Operations!Y913+Operations!Y909</f>
        <v>30.7933242079213</v>
      </c>
      <c r="Z914" s="20" t="n">
        <f aca="false">Operations!Z913+Operations!Z909</f>
        <v>31.2375536441834</v>
      </c>
      <c r="AA914" s="20" t="n">
        <f aca="false">Operations!AA913+Operations!AA909</f>
        <v>31.6858649742996</v>
      </c>
      <c r="AB914" s="20" t="n">
        <f aca="false">Operations!AB913+Operations!AB909</f>
        <v>32.1432110755602</v>
      </c>
      <c r="AC914" s="20" t="n">
        <f aca="false">Operations!AC913+Operations!AC909</f>
        <v>32.6043098874129</v>
      </c>
      <c r="AD914" s="20" t="n">
        <f aca="false">Operations!AD913+Operations!AD909</f>
        <v>33.0740606510069</v>
      </c>
      <c r="AE914" s="20" t="n">
        <f aca="false">Operations!AE913+Operations!AE909</f>
        <v>33.5472397737909</v>
      </c>
      <c r="AF914" s="20" t="n">
        <f aca="false">Operations!AF913+Operations!AF909</f>
        <v>34.028693203681</v>
      </c>
      <c r="AG914" s="20" t="n">
        <f aca="false">Operations!AG913+Operations!AG909</f>
        <v>34.5182064027959</v>
      </c>
      <c r="AH914" s="20" t="n">
        <f aca="false">Operations!AH913+Operations!AH909</f>
        <v>35.0942005069727</v>
      </c>
      <c r="AI914" s="20" t="n">
        <f aca="false">Operations!AI913+Operations!AI909</f>
        <v>17.7148958586708</v>
      </c>
      <c r="AJ914" s="20" t="n">
        <f aca="false">Operations!AJ913+Operations!AJ909</f>
        <v>0</v>
      </c>
      <c r="AK914" s="20" t="n">
        <f aca="false">Operations!AK913+Operations!AK909</f>
        <v>0</v>
      </c>
      <c r="AL914" s="20" t="n">
        <f aca="false">Operations!AL913+Operations!AL909</f>
        <v>0</v>
      </c>
      <c r="AM914" s="20" t="n">
        <f aca="false">Operations!AM913+Operations!AM909</f>
        <v>0</v>
      </c>
      <c r="AN914" s="20" t="n">
        <f aca="false">Operations!AN913+Operations!AN909</f>
        <v>0</v>
      </c>
      <c r="AO914" s="20" t="n">
        <f aca="false">Operations!AO913+Operations!AO909</f>
        <v>0</v>
      </c>
      <c r="AP914" s="20" t="n">
        <f aca="false">Operations!AP913+Operations!AP909</f>
        <v>0</v>
      </c>
      <c r="AQ914" s="20" t="n">
        <f aca="false">Operations!AQ913+Operations!AQ909</f>
        <v>0</v>
      </c>
      <c r="AR914" s="20" t="n">
        <f aca="false">Operations!AR913+Operations!AR909</f>
        <v>0</v>
      </c>
      <c r="AS914" s="20" t="n">
        <f aca="false">Operations!AS913+Operations!AS909</f>
        <v>0</v>
      </c>
      <c r="AT914" s="20" t="n">
        <f aca="false">Operations!AT913+Operations!AT909</f>
        <v>0</v>
      </c>
      <c r="AU914" s="20" t="n">
        <f aca="false">Operations!AU913+Operations!AU909</f>
        <v>0</v>
      </c>
    </row>
    <row r="915" customFormat="false" ht="15" hidden="false" customHeight="false" outlineLevel="0" collapsed="false">
      <c r="D915" s="0" t="s">
        <v>521</v>
      </c>
      <c r="E915" s="0" t="s">
        <v>47</v>
      </c>
      <c r="J915" s="20" t="n">
        <f aca="false">Operations!J914-Operations!J911-Operations!J912</f>
        <v>0</v>
      </c>
      <c r="K915" s="20" t="n">
        <f aca="false">Operations!K914-Operations!K911-Operations!K912</f>
        <v>0</v>
      </c>
      <c r="L915" s="20" t="n">
        <f aca="false">Operations!L914-Operations!L911-Operations!L912</f>
        <v>0</v>
      </c>
      <c r="M915" s="20" t="n">
        <f aca="false">Operations!M914-Operations!M911-Operations!M912</f>
        <v>0</v>
      </c>
      <c r="N915" s="20" t="n">
        <f aca="false">Operations!N914-Operations!N911-Operations!N912</f>
        <v>0</v>
      </c>
      <c r="O915" s="20" t="n">
        <f aca="false">Operations!O914-Operations!O911-Operations!O912</f>
        <v>0</v>
      </c>
      <c r="P915" s="20" t="n">
        <f aca="false">Operations!P914-Operations!P911-Operations!P912</f>
        <v>0</v>
      </c>
      <c r="Q915" s="20" t="n">
        <f aca="false">Operations!Q914-Operations!Q911-Operations!Q912</f>
        <v>13.7297757031307</v>
      </c>
      <c r="R915" s="20" t="n">
        <f aca="false">Operations!R914-Operations!R911-Operations!R912</f>
        <v>27.8419859119729</v>
      </c>
      <c r="S915" s="20" t="n">
        <f aca="false">Operations!S914-Operations!S911-Operations!S912</f>
        <v>28.248200139426</v>
      </c>
      <c r="T915" s="20" t="n">
        <f aca="false">Operations!T914-Operations!T911-Operations!T912</f>
        <v>28.6595421241163</v>
      </c>
      <c r="U915" s="20" t="n">
        <f aca="false">Operations!U914-Operations!U911-Operations!U912</f>
        <v>29.075867459435</v>
      </c>
      <c r="V915" s="20" t="n">
        <f aca="false">Operations!V914-Operations!V911-Operations!V912</f>
        <v>29.4970327575151</v>
      </c>
      <c r="W915" s="20" t="n">
        <f aca="false">Operations!W914-Operations!W911-Operations!W912</f>
        <v>29.9228956443776</v>
      </c>
      <c r="X915" s="20" t="n">
        <f aca="false">Operations!X914-Operations!X911-Operations!X912</f>
        <v>30.3533147550952</v>
      </c>
      <c r="Y915" s="20" t="n">
        <f aca="false">Operations!Y914-Operations!Y911-Operations!Y912</f>
        <v>30.7933242079213</v>
      </c>
      <c r="Z915" s="20" t="n">
        <f aca="false">Operations!Z914-Operations!Z911-Operations!Z912</f>
        <v>31.2375536441834</v>
      </c>
      <c r="AA915" s="20" t="n">
        <f aca="false">Operations!AA914-Operations!AA911-Operations!AA912</f>
        <v>31.6858649742996</v>
      </c>
      <c r="AB915" s="20" t="n">
        <f aca="false">Operations!AB914-Operations!AB911-Operations!AB912</f>
        <v>32.1432110755602</v>
      </c>
      <c r="AC915" s="20" t="n">
        <f aca="false">Operations!AC914-Operations!AC911-Operations!AC912</f>
        <v>32.6043098874129</v>
      </c>
      <c r="AD915" s="20" t="n">
        <f aca="false">Operations!AD914-Operations!AD911-Operations!AD912</f>
        <v>33.0740606510069</v>
      </c>
      <c r="AE915" s="20" t="n">
        <f aca="false">Operations!AE914-Operations!AE911-Operations!AE912</f>
        <v>33.5472397737909</v>
      </c>
      <c r="AF915" s="20" t="n">
        <f aca="false">Operations!AF914-Operations!AF911-Operations!AF912</f>
        <v>34.028693203681</v>
      </c>
      <c r="AG915" s="20" t="n">
        <f aca="false">Operations!AG914-Operations!AG911-Operations!AG912</f>
        <v>34.5182064027959</v>
      </c>
      <c r="AH915" s="20" t="n">
        <f aca="false">Operations!AH914-Operations!AH911-Operations!AH912</f>
        <v>35.0942005069727</v>
      </c>
      <c r="AI915" s="20" t="n">
        <f aca="false">Operations!AI914-Operations!AI911-Operations!AI912</f>
        <v>17.7148958586708</v>
      </c>
      <c r="AJ915" s="20" t="n">
        <f aca="false">Operations!AJ914-Operations!AJ911-Operations!AJ912</f>
        <v>0</v>
      </c>
      <c r="AK915" s="20" t="n">
        <f aca="false">Operations!AK914-Operations!AK911-Operations!AK912</f>
        <v>0</v>
      </c>
      <c r="AL915" s="20" t="n">
        <f aca="false">Operations!AL914-Operations!AL911-Operations!AL912</f>
        <v>0</v>
      </c>
      <c r="AM915" s="20" t="n">
        <f aca="false">Operations!AM914-Operations!AM911-Operations!AM912</f>
        <v>0</v>
      </c>
      <c r="AN915" s="20" t="n">
        <f aca="false">Operations!AN914-Operations!AN911-Operations!AN912</f>
        <v>0</v>
      </c>
      <c r="AO915" s="20" t="n">
        <f aca="false">Operations!AO914-Operations!AO911-Operations!AO912</f>
        <v>0</v>
      </c>
      <c r="AP915" s="20" t="n">
        <f aca="false">Operations!AP914-Operations!AP911-Operations!AP912</f>
        <v>0</v>
      </c>
      <c r="AQ915" s="20" t="n">
        <f aca="false">Operations!AQ914-Operations!AQ911-Operations!AQ912</f>
        <v>0</v>
      </c>
      <c r="AR915" s="20" t="n">
        <f aca="false">Operations!AR914-Operations!AR911-Operations!AR912</f>
        <v>0</v>
      </c>
      <c r="AS915" s="20" t="n">
        <f aca="false">Operations!AS914-Operations!AS911-Operations!AS912</f>
        <v>0</v>
      </c>
      <c r="AT915" s="20" t="n">
        <f aca="false">Operations!AT914-Operations!AT911-Operations!AT912</f>
        <v>0</v>
      </c>
      <c r="AU915" s="20" t="n">
        <f aca="false">Operations!AU914-Operations!AU911-Operations!AU912</f>
        <v>0</v>
      </c>
    </row>
    <row r="916" customFormat="false" ht="15" hidden="false" customHeight="false" outlineLevel="0" collapsed="false">
      <c r="D916" s="0" t="s">
        <v>522</v>
      </c>
      <c r="E916" s="0" t="s">
        <v>47</v>
      </c>
      <c r="J916" s="20" t="n">
        <f aca="false">Inputs!$F$103*Inputs!$F$99/1000*Time!J$9*Time!J$10*Operations!J895*Operations!$F$840</f>
        <v>10.3086</v>
      </c>
      <c r="K916" s="20" t="n">
        <f aca="false">Inputs!$F$103*Inputs!$F$99/1000*Time!K$9*Time!K$10*Operations!K895*Operations!$F$840</f>
        <v>10.915003395</v>
      </c>
      <c r="L916" s="20" t="n">
        <f aca="false">Inputs!$F$103*Inputs!$F$99/1000*Time!L$9*Time!L$10*Operations!L895*Operations!$F$840</f>
        <v>11.187878479875</v>
      </c>
      <c r="M916" s="20" t="n">
        <f aca="false">Inputs!$F$103*Inputs!$F$99/1000*Time!M$9*Time!M$10*Operations!M895*Operations!$F$840</f>
        <v>11.4675754418719</v>
      </c>
      <c r="N916" s="20" t="n">
        <f aca="false">Inputs!$F$103*Inputs!$F$99/1000*Time!N$9*Time!N$10*Operations!N895*Operations!$F$840</f>
        <v>11.7542648279187</v>
      </c>
      <c r="O916" s="20" t="n">
        <f aca="false">Inputs!$F$103*Inputs!$F$99/1000*Time!O$9*Time!O$10*Operations!O895*Operations!$F$840</f>
        <v>12.0481214486166</v>
      </c>
      <c r="P916" s="20" t="n">
        <f aca="false">Inputs!$F$103*Inputs!$F$99/1000*Time!P$9*Time!P$10*Operations!P895*Operations!$F$840</f>
        <v>12.349324484832</v>
      </c>
      <c r="Q916" s="20" t="n">
        <f aca="false">Inputs!$F$103*Inputs!$F$99/1000*Time!Q$9*Time!Q$10*Operations!Q895*Operations!$F$840</f>
        <v>12.6580575969529</v>
      </c>
      <c r="R916" s="20" t="n">
        <f aca="false">Inputs!$F$103*Inputs!$F$99/1000*Time!R$9*Time!R$10*Operations!R895*Operations!$F$840</f>
        <v>12.9745090368767</v>
      </c>
      <c r="S916" s="20" t="n">
        <f aca="false">Inputs!$F$103*Inputs!$F$99/1000*Time!S$9*Time!S$10*Operations!S895*Operations!$F$840</f>
        <v>13.2988717627986</v>
      </c>
      <c r="T916" s="20" t="n">
        <f aca="false">Inputs!$F$103*Inputs!$F$99/1000*Time!T$9*Time!T$10*Operations!T895*Operations!$F$840</f>
        <v>13.6313435568685</v>
      </c>
      <c r="U916" s="20" t="n">
        <f aca="false">Inputs!$F$103*Inputs!$F$99/1000*Time!U$9*Time!U$10*Operations!U895*Operations!$F$840</f>
        <v>13.9721271457903</v>
      </c>
      <c r="V916" s="20" t="n">
        <f aca="false">Inputs!$F$103*Inputs!$F$99/1000*Time!V$9*Time!V$10*Operations!V895*Operations!$F$840</f>
        <v>14.321430324435</v>
      </c>
      <c r="W916" s="20" t="n">
        <f aca="false">Inputs!$F$103*Inputs!$F$99/1000*Time!W$9*Time!W$10*Operations!W895*Operations!$F$840</f>
        <v>14.6794660825459</v>
      </c>
      <c r="X916" s="20" t="n">
        <f aca="false">Inputs!$F$103*Inputs!$F$99/1000*Time!X$9*Time!X$10*Operations!X895*Operations!$F$840</f>
        <v>15.0464527346095</v>
      </c>
      <c r="Y916" s="20" t="n">
        <f aca="false">Inputs!$F$103*Inputs!$F$99/1000*Time!Y$9*Time!Y$10*Operations!Y895*Operations!$F$840</f>
        <v>15.4226140529748</v>
      </c>
      <c r="Z916" s="20" t="n">
        <f aca="false">Inputs!$F$103*Inputs!$F$99/1000*Time!Z$9*Time!Z$10*Operations!Z895*Operations!$F$840</f>
        <v>15.8081794042991</v>
      </c>
      <c r="AA916" s="20" t="n">
        <f aca="false">Inputs!$F$103*Inputs!$F$99/1000*Time!AA$9*Time!AA$10*Operations!AA895*Operations!$F$840</f>
        <v>16.2033838894066</v>
      </c>
      <c r="AB916" s="20" t="n">
        <f aca="false">Inputs!$F$103*Inputs!$F$99/1000*Time!AB$9*Time!AB$10*Operations!AB895*Operations!$F$840</f>
        <v>16.6084684866418</v>
      </c>
      <c r="AC916" s="20" t="n">
        <f aca="false">Inputs!$F$103*Inputs!$F$99/1000*Time!AC$9*Time!AC$10*Operations!AC895*Operations!$F$840</f>
        <v>17.0236801988078</v>
      </c>
      <c r="AD916" s="20" t="n">
        <f aca="false">Inputs!$F$103*Inputs!$F$99/1000*Time!AD$9*Time!AD$10*Operations!AD895*Operations!$F$840</f>
        <v>17.449272203778</v>
      </c>
      <c r="AE916" s="20" t="n">
        <f aca="false">Inputs!$F$103*Inputs!$F$99/1000*Time!AE$9*Time!AE$10*Operations!AE895*Operations!$F$840</f>
        <v>17.8855040088725</v>
      </c>
      <c r="AF916" s="20" t="n">
        <f aca="false">Inputs!$F$103*Inputs!$F$99/1000*Time!AF$9*Time!AF$10*Operations!AF895*Operations!$F$840</f>
        <v>18.3326416090943</v>
      </c>
      <c r="AG916" s="20" t="n">
        <f aca="false">Inputs!$F$103*Inputs!$F$99/1000*Time!AG$9*Time!AG$10*Operations!AG895*Operations!$F$840</f>
        <v>18.7909576493216</v>
      </c>
      <c r="AH916" s="20" t="n">
        <f aca="false">Inputs!$F$103*Inputs!$F$99/1000*Time!AH$9*Time!AH$10*Operations!AH895*Operations!$F$840</f>
        <v>19.2607315905547</v>
      </c>
      <c r="AI916" s="20" t="n">
        <f aca="false">Inputs!$F$103*Inputs!$F$99/1000*Time!AI$9*Time!AI$10*Operations!AI895*Operations!$F$840</f>
        <v>9.78999240640454</v>
      </c>
      <c r="AJ916" s="20" t="n">
        <f aca="false">Inputs!$F$103*Inputs!$F$99/1000*Time!AJ$9*Time!AJ$10*Operations!AJ895*Operations!$F$840</f>
        <v>0</v>
      </c>
      <c r="AK916" s="20" t="n">
        <f aca="false">Inputs!$F$103*Inputs!$F$99/1000*Time!AK$9*Time!AK$10*Operations!AK895*Operations!$F$840</f>
        <v>0</v>
      </c>
      <c r="AL916" s="20" t="n">
        <f aca="false">Inputs!$F$103*Inputs!$F$99/1000*Time!AL$9*Time!AL$10*Operations!AL895*Operations!$F$840</f>
        <v>0</v>
      </c>
      <c r="AM916" s="20" t="n">
        <f aca="false">Inputs!$F$103*Inputs!$F$99/1000*Time!AM$9*Time!AM$10*Operations!AM895*Operations!$F$840</f>
        <v>0</v>
      </c>
      <c r="AN916" s="20" t="n">
        <f aca="false">Inputs!$F$103*Inputs!$F$99/1000*Time!AN$9*Time!AN$10*Operations!AN895*Operations!$F$840</f>
        <v>0</v>
      </c>
      <c r="AO916" s="20" t="n">
        <f aca="false">Inputs!$F$103*Inputs!$F$99/1000*Time!AO$9*Time!AO$10*Operations!AO895*Operations!$F$840</f>
        <v>0</v>
      </c>
      <c r="AP916" s="20" t="n">
        <f aca="false">Inputs!$F$103*Inputs!$F$99/1000*Time!AP$9*Time!AP$10*Operations!AP895*Operations!$F$840</f>
        <v>0</v>
      </c>
      <c r="AQ916" s="20" t="n">
        <f aca="false">Inputs!$F$103*Inputs!$F$99/1000*Time!AQ$9*Time!AQ$10*Operations!AQ895*Operations!$F$840</f>
        <v>0</v>
      </c>
      <c r="AR916" s="20" t="n">
        <f aca="false">Inputs!$F$103*Inputs!$F$99/1000*Time!AR$9*Time!AR$10*Operations!AR895*Operations!$F$840</f>
        <v>0</v>
      </c>
      <c r="AS916" s="20" t="n">
        <f aca="false">Inputs!$F$103*Inputs!$F$99/1000*Time!AS$9*Time!AS$10*Operations!AS895*Operations!$F$840</f>
        <v>0</v>
      </c>
      <c r="AT916" s="20" t="n">
        <f aca="false">Inputs!$F$103*Inputs!$F$99/1000*Time!AT$9*Time!AT$10*Operations!AT895*Operations!$F$840</f>
        <v>0</v>
      </c>
      <c r="AU916" s="20" t="n">
        <f aca="false">Inputs!$F$103*Inputs!$F$99/1000*Time!AU$9*Time!AU$10*Operations!AU895*Operations!$F$840</f>
        <v>0</v>
      </c>
    </row>
    <row r="917" customFormat="false" ht="15" hidden="false" customHeight="false" outlineLevel="0" collapsed="false">
      <c r="D917" s="0" t="s">
        <v>523</v>
      </c>
      <c r="E917" s="0" t="s">
        <v>47</v>
      </c>
      <c r="J917" s="20" t="n">
        <f aca="false">Inputs!$F$239/100*Operations!J914</f>
        <v>0.781283014036461</v>
      </c>
      <c r="K917" s="20" t="n">
        <f aca="false">Inputs!$F$239/100*Operations!K914</f>
        <v>0.779720448008388</v>
      </c>
      <c r="L917" s="20" t="n">
        <f aca="false">Inputs!$F$239/100*Operations!L914</f>
        <v>0.778161007112371</v>
      </c>
      <c r="M917" s="20" t="n">
        <f aca="false">Inputs!$F$239/100*Operations!M914</f>
        <v>0.776604685098146</v>
      </c>
      <c r="N917" s="20" t="n">
        <f aca="false">Inputs!$F$239/100*Operations!N914</f>
        <v>0.77505147572795</v>
      </c>
      <c r="O917" s="20" t="n">
        <f aca="false">Inputs!$F$239/100*Operations!O914</f>
        <v>0.773501372776494</v>
      </c>
      <c r="P917" s="20" t="n">
        <f aca="false">Inputs!$F$239/100*Operations!P914</f>
        <v>0.771954370030941</v>
      </c>
      <c r="Q917" s="20" t="n">
        <f aca="false">Inputs!$F$239/100*Operations!Q914</f>
        <v>0.931230188381799</v>
      </c>
      <c r="R917" s="20" t="n">
        <f aca="false">Inputs!$F$239/100*Operations!R914</f>
        <v>1.11367943647892</v>
      </c>
      <c r="S917" s="20" t="n">
        <f aca="false">Inputs!$F$239/100*Operations!S914</f>
        <v>1.12992800557704</v>
      </c>
      <c r="T917" s="20" t="n">
        <f aca="false">Inputs!$F$239/100*Operations!T914</f>
        <v>1.14638168496465</v>
      </c>
      <c r="U917" s="20" t="n">
        <f aca="false">Inputs!$F$239/100*Operations!U914</f>
        <v>1.1630346983774</v>
      </c>
      <c r="V917" s="20" t="n">
        <f aca="false">Inputs!$F$239/100*Operations!V914</f>
        <v>1.1798813103006</v>
      </c>
      <c r="W917" s="20" t="n">
        <f aca="false">Inputs!$F$239/100*Operations!W914</f>
        <v>1.19691582577511</v>
      </c>
      <c r="X917" s="20" t="n">
        <f aca="false">Inputs!$F$239/100*Operations!X914</f>
        <v>1.21413259020381</v>
      </c>
      <c r="Y917" s="20" t="n">
        <f aca="false">Inputs!$F$239/100*Operations!Y914</f>
        <v>1.23173296831685</v>
      </c>
      <c r="Z917" s="20" t="n">
        <f aca="false">Inputs!$F$239/100*Operations!Z914</f>
        <v>1.24950214576734</v>
      </c>
      <c r="AA917" s="20" t="n">
        <f aca="false">Inputs!$F$239/100*Operations!AA914</f>
        <v>1.26743459897198</v>
      </c>
      <c r="AB917" s="20" t="n">
        <f aca="false">Inputs!$F$239/100*Operations!AB914</f>
        <v>1.28572844302241</v>
      </c>
      <c r="AC917" s="20" t="n">
        <f aca="false">Inputs!$F$239/100*Operations!AC914</f>
        <v>1.30417239549652</v>
      </c>
      <c r="AD917" s="20" t="n">
        <f aca="false">Inputs!$F$239/100*Operations!AD914</f>
        <v>1.32296242604028</v>
      </c>
      <c r="AE917" s="20" t="n">
        <f aca="false">Inputs!$F$239/100*Operations!AE914</f>
        <v>1.34188959095164</v>
      </c>
      <c r="AF917" s="20" t="n">
        <f aca="false">Inputs!$F$239/100*Operations!AF914</f>
        <v>1.36114772814724</v>
      </c>
      <c r="AG917" s="20" t="n">
        <f aca="false">Inputs!$F$239/100*Operations!AG914</f>
        <v>1.38072825611184</v>
      </c>
      <c r="AH917" s="20" t="n">
        <f aca="false">Inputs!$F$239/100*Operations!AH914</f>
        <v>1.40376802027891</v>
      </c>
      <c r="AI917" s="20" t="n">
        <f aca="false">Inputs!$F$239/100*Operations!AI914</f>
        <v>0.708595834346831</v>
      </c>
      <c r="AJ917" s="20" t="n">
        <f aca="false">Inputs!$F$239/100*Operations!AJ914</f>
        <v>0</v>
      </c>
      <c r="AK917" s="20" t="n">
        <f aca="false">Inputs!$F$239/100*Operations!AK914</f>
        <v>0</v>
      </c>
      <c r="AL917" s="20" t="n">
        <f aca="false">Inputs!$F$239/100*Operations!AL914</f>
        <v>0</v>
      </c>
      <c r="AM917" s="20" t="n">
        <f aca="false">Inputs!$F$239/100*Operations!AM914</f>
        <v>0</v>
      </c>
      <c r="AN917" s="20" t="n">
        <f aca="false">Inputs!$F$239/100*Operations!AN914</f>
        <v>0</v>
      </c>
      <c r="AO917" s="20" t="n">
        <f aca="false">Inputs!$F$239/100*Operations!AO914</f>
        <v>0</v>
      </c>
      <c r="AP917" s="20" t="n">
        <f aca="false">Inputs!$F$239/100*Operations!AP914</f>
        <v>0</v>
      </c>
      <c r="AQ917" s="20" t="n">
        <f aca="false">Inputs!$F$239/100*Operations!AQ914</f>
        <v>0</v>
      </c>
      <c r="AR917" s="20" t="n">
        <f aca="false">Inputs!$F$239/100*Operations!AR914</f>
        <v>0</v>
      </c>
      <c r="AS917" s="20" t="n">
        <f aca="false">Inputs!$F$239/100*Operations!AS914</f>
        <v>0</v>
      </c>
      <c r="AT917" s="20" t="n">
        <f aca="false">Inputs!$F$239/100*Operations!AT914</f>
        <v>0</v>
      </c>
      <c r="AU917" s="20" t="n">
        <f aca="false">Inputs!$F$239/100*Operations!AU914</f>
        <v>0</v>
      </c>
    </row>
    <row r="918" customFormat="false" ht="15" hidden="false" customHeight="false" outlineLevel="0" collapsed="false">
      <c r="D918" s="0" t="s">
        <v>524</v>
      </c>
      <c r="E918" s="0" t="s">
        <v>47</v>
      </c>
      <c r="J918" s="20" t="n">
        <f aca="false">Inputs!$F$243/100*Inputs!$F$104*Inputs!$F$99/1000*Time!J$9*Operations!J895</f>
        <v>0.0924048</v>
      </c>
      <c r="K918" s="20" t="n">
        <f aca="false">Inputs!$F$243/100*Inputs!$F$104*Inputs!$F$99/1000*Time!K$9*Operations!K895</f>
        <v>0.09471492</v>
      </c>
      <c r="L918" s="20" t="n">
        <f aca="false">Inputs!$F$243/100*Inputs!$F$104*Inputs!$F$99/1000*Time!L$9*Operations!L895</f>
        <v>0.097082793</v>
      </c>
      <c r="M918" s="20" t="n">
        <f aca="false">Inputs!$F$243/100*Inputs!$F$104*Inputs!$F$99/1000*Time!M$9*Operations!M895</f>
        <v>0.099509862825</v>
      </c>
      <c r="N918" s="20" t="n">
        <f aca="false">Inputs!$F$243/100*Inputs!$F$104*Inputs!$F$99/1000*Time!N$9*Operations!N895</f>
        <v>0.101997609395625</v>
      </c>
      <c r="O918" s="20" t="n">
        <f aca="false">Inputs!$F$243/100*Inputs!$F$104*Inputs!$F$99/1000*Time!O$9*Operations!O895</f>
        <v>0.104547549630516</v>
      </c>
      <c r="P918" s="20" t="n">
        <f aca="false">Inputs!$F$243/100*Inputs!$F$104*Inputs!$F$99/1000*Time!P$9*Operations!P895</f>
        <v>0.107161238371278</v>
      </c>
      <c r="Q918" s="20" t="n">
        <f aca="false">Inputs!$F$243/100*Inputs!$F$104*Inputs!$F$99/1000*Time!Q$9*Operations!Q895</f>
        <v>0.10984026933056</v>
      </c>
      <c r="R918" s="20" t="n">
        <f aca="false">Inputs!$F$243/100*Inputs!$F$104*Inputs!$F$99/1000*Time!R$9*Operations!R895</f>
        <v>0.112586276063824</v>
      </c>
      <c r="S918" s="20" t="n">
        <f aca="false">Inputs!$F$243/100*Inputs!$F$104*Inputs!$F$99/1000*Time!S$9*Operations!S895</f>
        <v>0.11540093296542</v>
      </c>
      <c r="T918" s="20" t="n">
        <f aca="false">Inputs!$F$243/100*Inputs!$F$104*Inputs!$F$99/1000*Time!T$9*Operations!T895</f>
        <v>0.118285956289555</v>
      </c>
      <c r="U918" s="20" t="n">
        <f aca="false">Inputs!$F$243/100*Inputs!$F$104*Inputs!$F$99/1000*Time!U$9*Operations!U895</f>
        <v>0.121243105196794</v>
      </c>
      <c r="V918" s="20" t="n">
        <f aca="false">Inputs!$F$243/100*Inputs!$F$104*Inputs!$F$99/1000*Time!V$9*Operations!V895</f>
        <v>0.124274182826714</v>
      </c>
      <c r="W918" s="20" t="n">
        <f aca="false">Inputs!$F$243/100*Inputs!$F$104*Inputs!$F$99/1000*Time!W$9*Operations!W895</f>
        <v>0.127381037397382</v>
      </c>
      <c r="X918" s="20" t="n">
        <f aca="false">Inputs!$F$243/100*Inputs!$F$104*Inputs!$F$99/1000*Time!X$9*Operations!X895</f>
        <v>0.130565563332317</v>
      </c>
      <c r="Y918" s="20" t="n">
        <f aca="false">Inputs!$F$243/100*Inputs!$F$104*Inputs!$F$99/1000*Time!Y$9*Operations!Y895</f>
        <v>0.133829702415625</v>
      </c>
      <c r="Z918" s="20" t="n">
        <f aca="false">Inputs!$F$243/100*Inputs!$F$104*Inputs!$F$99/1000*Time!Z$9*Operations!Z895</f>
        <v>0.137175444976015</v>
      </c>
      <c r="AA918" s="20" t="n">
        <f aca="false">Inputs!$F$243/100*Inputs!$F$104*Inputs!$F$99/1000*Time!AA$9*Operations!AA895</f>
        <v>0.140604831100415</v>
      </c>
      <c r="AB918" s="20" t="n">
        <f aca="false">Inputs!$F$243/100*Inputs!$F$104*Inputs!$F$99/1000*Time!AB$9*Operations!AB895</f>
        <v>0.144119951877926</v>
      </c>
      <c r="AC918" s="20" t="n">
        <f aca="false">Inputs!$F$243/100*Inputs!$F$104*Inputs!$F$99/1000*Time!AC$9*Operations!AC895</f>
        <v>0.147722950674874</v>
      </c>
      <c r="AD918" s="20" t="n">
        <f aca="false">Inputs!$F$243/100*Inputs!$F$104*Inputs!$F$99/1000*Time!AD$9*Operations!AD895</f>
        <v>0.151416024441746</v>
      </c>
      <c r="AE918" s="20" t="n">
        <f aca="false">Inputs!$F$243/100*Inputs!$F$104*Inputs!$F$99/1000*Time!AE$9*Operations!AE895</f>
        <v>0.155201425052789</v>
      </c>
      <c r="AF918" s="20" t="n">
        <f aca="false">Inputs!$F$243/100*Inputs!$F$104*Inputs!$F$99/1000*Time!AF$9*Operations!AF895</f>
        <v>0.159081460679109</v>
      </c>
      <c r="AG918" s="20" t="n">
        <f aca="false">Inputs!$F$243/100*Inputs!$F$104*Inputs!$F$99/1000*Time!AG$9*Operations!AG895</f>
        <v>0.163058497196087</v>
      </c>
      <c r="AH918" s="20" t="n">
        <f aca="false">Inputs!$F$243/100*Inputs!$F$104*Inputs!$F$99/1000*Time!AH$9*Operations!AH895</f>
        <v>0.167134959625989</v>
      </c>
      <c r="AI918" s="20" t="n">
        <f aca="false">Inputs!$F$243/100*Inputs!$F$104*Inputs!$F$99/1000*Time!AI$9*Operations!AI895</f>
        <v>0.0849526394098948</v>
      </c>
      <c r="AJ918" s="20" t="n">
        <f aca="false">Inputs!$F$243/100*Inputs!$F$104*Inputs!$F$99/1000*Time!AJ$9*Operations!AJ895</f>
        <v>0</v>
      </c>
      <c r="AK918" s="20" t="n">
        <f aca="false">Inputs!$F$243/100*Inputs!$F$104*Inputs!$F$99/1000*Time!AK$9*Operations!AK895</f>
        <v>0</v>
      </c>
      <c r="AL918" s="20" t="n">
        <f aca="false">Inputs!$F$243/100*Inputs!$F$104*Inputs!$F$99/1000*Time!AL$9*Operations!AL895</f>
        <v>0</v>
      </c>
      <c r="AM918" s="20" t="n">
        <f aca="false">Inputs!$F$243/100*Inputs!$F$104*Inputs!$F$99/1000*Time!AM$9*Operations!AM895</f>
        <v>0</v>
      </c>
      <c r="AN918" s="20" t="n">
        <f aca="false">Inputs!$F$243/100*Inputs!$F$104*Inputs!$F$99/1000*Time!AN$9*Operations!AN895</f>
        <v>0</v>
      </c>
      <c r="AO918" s="20" t="n">
        <f aca="false">Inputs!$F$243/100*Inputs!$F$104*Inputs!$F$99/1000*Time!AO$9*Operations!AO895</f>
        <v>0</v>
      </c>
      <c r="AP918" s="20" t="n">
        <f aca="false">Inputs!$F$243/100*Inputs!$F$104*Inputs!$F$99/1000*Time!AP$9*Operations!AP895</f>
        <v>0</v>
      </c>
      <c r="AQ918" s="20" t="n">
        <f aca="false">Inputs!$F$243/100*Inputs!$F$104*Inputs!$F$99/1000*Time!AQ$9*Operations!AQ895</f>
        <v>0</v>
      </c>
      <c r="AR918" s="20" t="n">
        <f aca="false">Inputs!$F$243/100*Inputs!$F$104*Inputs!$F$99/1000*Time!AR$9*Operations!AR895</f>
        <v>0</v>
      </c>
      <c r="AS918" s="20" t="n">
        <f aca="false">Inputs!$F$243/100*Inputs!$F$104*Inputs!$F$99/1000*Time!AS$9*Operations!AS895</f>
        <v>0</v>
      </c>
      <c r="AT918" s="20" t="n">
        <f aca="false">Inputs!$F$243/100*Inputs!$F$104*Inputs!$F$99/1000*Time!AT$9*Operations!AT895</f>
        <v>0</v>
      </c>
      <c r="AU918" s="20" t="n">
        <f aca="false">Inputs!$F$243/100*Inputs!$F$104*Inputs!$F$99/1000*Time!AU$9*Operations!AU895</f>
        <v>0</v>
      </c>
    </row>
    <row r="919" customFormat="false" ht="15" hidden="false" customHeight="false" outlineLevel="0" collapsed="false">
      <c r="D919" s="0" t="s">
        <v>525</v>
      </c>
      <c r="E919" s="0" t="s">
        <v>47</v>
      </c>
      <c r="J919" s="20" t="n">
        <f aca="false">Inputs!$F$244/100*Inputs!$F$245/100*Operations!J914</f>
        <v>0.102543395592285</v>
      </c>
      <c r="K919" s="20" t="n">
        <f aca="false">Inputs!$F$244/100*Inputs!$F$245/100*Operations!K914</f>
        <v>0.102338308801101</v>
      </c>
      <c r="L919" s="20" t="n">
        <f aca="false">Inputs!$F$244/100*Inputs!$F$245/100*Operations!L914</f>
        <v>0.102133632183499</v>
      </c>
      <c r="M919" s="20" t="n">
        <f aca="false">Inputs!$F$244/100*Inputs!$F$245/100*Operations!M914</f>
        <v>0.101929364919132</v>
      </c>
      <c r="N919" s="20" t="n">
        <f aca="false">Inputs!$F$244/100*Inputs!$F$245/100*Operations!N914</f>
        <v>0.101725506189293</v>
      </c>
      <c r="O919" s="20" t="n">
        <f aca="false">Inputs!$F$244/100*Inputs!$F$245/100*Operations!O914</f>
        <v>0.101522055176915</v>
      </c>
      <c r="P919" s="20" t="n">
        <f aca="false">Inputs!$F$244/100*Inputs!$F$245/100*Operations!P914</f>
        <v>0.101319011066561</v>
      </c>
      <c r="Q919" s="20" t="n">
        <f aca="false">Inputs!$F$244/100*Inputs!$F$245/100*Operations!Q914</f>
        <v>0.122223962225111</v>
      </c>
      <c r="R919" s="20" t="n">
        <f aca="false">Inputs!$F$244/100*Inputs!$F$245/100*Operations!R914</f>
        <v>0.146170426037858</v>
      </c>
      <c r="S919" s="20" t="n">
        <f aca="false">Inputs!$F$244/100*Inputs!$F$245/100*Operations!S914</f>
        <v>0.148303050731986</v>
      </c>
      <c r="T919" s="20" t="n">
        <f aca="false">Inputs!$F$244/100*Inputs!$F$245/100*Operations!T914</f>
        <v>0.150462596151611</v>
      </c>
      <c r="U919" s="20" t="n">
        <f aca="false">Inputs!$F$244/100*Inputs!$F$245/100*Operations!U914</f>
        <v>0.152648304162034</v>
      </c>
      <c r="V919" s="20" t="n">
        <f aca="false">Inputs!$F$244/100*Inputs!$F$245/100*Operations!V914</f>
        <v>0.154859421976954</v>
      </c>
      <c r="W919" s="20" t="n">
        <f aca="false">Inputs!$F$244/100*Inputs!$F$245/100*Operations!W914</f>
        <v>0.157095202132983</v>
      </c>
      <c r="X919" s="20" t="n">
        <f aca="false">Inputs!$F$244/100*Inputs!$F$245/100*Operations!X914</f>
        <v>0.15935490246425</v>
      </c>
      <c r="Y919" s="20" t="n">
        <f aca="false">Inputs!$F$244/100*Inputs!$F$245/100*Operations!Y914</f>
        <v>0.161664952091587</v>
      </c>
      <c r="Z919" s="20" t="n">
        <f aca="false">Inputs!$F$244/100*Inputs!$F$245/100*Operations!Z914</f>
        <v>0.163997156631963</v>
      </c>
      <c r="AA919" s="20" t="n">
        <f aca="false">Inputs!$F$244/100*Inputs!$F$245/100*Operations!AA914</f>
        <v>0.166350791115073</v>
      </c>
      <c r="AB919" s="20" t="n">
        <f aca="false">Inputs!$F$244/100*Inputs!$F$245/100*Operations!AB914</f>
        <v>0.168751858146691</v>
      </c>
      <c r="AC919" s="20" t="n">
        <f aca="false">Inputs!$F$244/100*Inputs!$F$245/100*Operations!AC914</f>
        <v>0.171172626908918</v>
      </c>
      <c r="AD919" s="20" t="n">
        <f aca="false">Inputs!$F$244/100*Inputs!$F$245/100*Operations!AD914</f>
        <v>0.173638818417786</v>
      </c>
      <c r="AE919" s="20" t="n">
        <f aca="false">Inputs!$F$244/100*Inputs!$F$245/100*Operations!AE914</f>
        <v>0.176123008812402</v>
      </c>
      <c r="AF919" s="20" t="n">
        <f aca="false">Inputs!$F$244/100*Inputs!$F$245/100*Operations!AF914</f>
        <v>0.178650639319325</v>
      </c>
      <c r="AG919" s="20" t="n">
        <f aca="false">Inputs!$F$244/100*Inputs!$F$245/100*Operations!AG914</f>
        <v>0.181220583614679</v>
      </c>
      <c r="AH919" s="20" t="n">
        <f aca="false">Inputs!$F$244/100*Inputs!$F$245/100*Operations!AH914</f>
        <v>0.184244552661607</v>
      </c>
      <c r="AI919" s="20" t="n">
        <f aca="false">Inputs!$F$244/100*Inputs!$F$245/100*Operations!AI914</f>
        <v>0.0930032032580216</v>
      </c>
      <c r="AJ919" s="20" t="n">
        <f aca="false">Inputs!$F$244/100*Inputs!$F$245/100*Operations!AJ914</f>
        <v>0</v>
      </c>
      <c r="AK919" s="20" t="n">
        <f aca="false">Inputs!$F$244/100*Inputs!$F$245/100*Operations!AK914</f>
        <v>0</v>
      </c>
      <c r="AL919" s="20" t="n">
        <f aca="false">Inputs!$F$244/100*Inputs!$F$245/100*Operations!AL914</f>
        <v>0</v>
      </c>
      <c r="AM919" s="20" t="n">
        <f aca="false">Inputs!$F$244/100*Inputs!$F$245/100*Operations!AM914</f>
        <v>0</v>
      </c>
      <c r="AN919" s="20" t="n">
        <f aca="false">Inputs!$F$244/100*Inputs!$F$245/100*Operations!AN914</f>
        <v>0</v>
      </c>
      <c r="AO919" s="20" t="n">
        <f aca="false">Inputs!$F$244/100*Inputs!$F$245/100*Operations!AO914</f>
        <v>0</v>
      </c>
      <c r="AP919" s="20" t="n">
        <f aca="false">Inputs!$F$244/100*Inputs!$F$245/100*Operations!AP914</f>
        <v>0</v>
      </c>
      <c r="AQ919" s="20" t="n">
        <f aca="false">Inputs!$F$244/100*Inputs!$F$245/100*Operations!AQ914</f>
        <v>0</v>
      </c>
      <c r="AR919" s="20" t="n">
        <f aca="false">Inputs!$F$244/100*Inputs!$F$245/100*Operations!AR914</f>
        <v>0</v>
      </c>
      <c r="AS919" s="20" t="n">
        <f aca="false">Inputs!$F$244/100*Inputs!$F$245/100*Operations!AS914</f>
        <v>0</v>
      </c>
      <c r="AT919" s="20" t="n">
        <f aca="false">Inputs!$F$244/100*Inputs!$F$245/100*Operations!AT914</f>
        <v>0</v>
      </c>
      <c r="AU919" s="20" t="n">
        <f aca="false">Inputs!$F$244/100*Inputs!$F$245/100*Operations!AU914</f>
        <v>0</v>
      </c>
    </row>
    <row r="920" customFormat="false" ht="15" hidden="false" customHeight="false" outlineLevel="0" collapsed="false">
      <c r="D920" s="0" t="s">
        <v>526</v>
      </c>
      <c r="E920" s="0" t="s">
        <v>47</v>
      </c>
      <c r="G920" s="20" t="n">
        <f aca="false">SUM(J920:AU920)</f>
        <v>300.705747353233</v>
      </c>
      <c r="J920" s="20" t="n">
        <f aca="false">Operations!J914-Operations!J916-Operations!J917-Operations!J918-Operations!J919</f>
        <v>8.24724414128277</v>
      </c>
      <c r="K920" s="20" t="n">
        <f aca="false">Operations!K914-Operations!K916-Operations!K917-Operations!K918-Operations!K919</f>
        <v>7.6012341284002</v>
      </c>
      <c r="L920" s="20" t="n">
        <f aca="false">Operations!L914-Operations!L916-Operations!L917-Operations!L918-Operations!L919</f>
        <v>7.2887692656384</v>
      </c>
      <c r="M920" s="20" t="n">
        <f aca="false">Operations!M914-Operations!M916-Operations!M917-Operations!M918-Operations!M919</f>
        <v>6.96949777273951</v>
      </c>
      <c r="N920" s="20" t="n">
        <f aca="false">Operations!N914-Operations!N916-Operations!N917-Operations!N918-Operations!N919</f>
        <v>6.64324747396721</v>
      </c>
      <c r="O920" s="20" t="n">
        <f aca="false">Operations!O914-Operations!O916-Operations!O917-Operations!O918-Operations!O919</f>
        <v>6.3098418932118</v>
      </c>
      <c r="P920" s="20" t="n">
        <f aca="false">Operations!P914-Operations!P916-Operations!P917-Operations!P918-Operations!P919</f>
        <v>5.9691001464727</v>
      </c>
      <c r="Q920" s="20" t="n">
        <f aca="false">Operations!Q914-Operations!Q916-Operations!Q917-Operations!Q918-Operations!Q919</f>
        <v>9.45940269265466</v>
      </c>
      <c r="R920" s="20" t="n">
        <f aca="false">Operations!R914-Operations!R916-Operations!R917-Operations!R918-Operations!R919</f>
        <v>13.4950407365156</v>
      </c>
      <c r="S920" s="20" t="n">
        <f aca="false">Operations!S914-Operations!S916-Operations!S917-Operations!S918-Operations!S919</f>
        <v>13.5556963873529</v>
      </c>
      <c r="T920" s="20" t="n">
        <f aca="false">Operations!T914-Operations!T916-Operations!T917-Operations!T918-Operations!T919</f>
        <v>13.613068329842</v>
      </c>
      <c r="U920" s="20" t="n">
        <f aca="false">Operations!U914-Operations!U916-Operations!U917-Operations!U918-Operations!U919</f>
        <v>13.6668142059085</v>
      </c>
      <c r="V920" s="20" t="n">
        <f aca="false">Operations!V914-Operations!V916-Operations!V917-Operations!V918-Operations!V919</f>
        <v>13.7165875179758</v>
      </c>
      <c r="W920" s="20" t="n">
        <f aca="false">Operations!W914-Operations!W916-Operations!W917-Operations!W918-Operations!W919</f>
        <v>13.7620374965263</v>
      </c>
      <c r="X920" s="20" t="n">
        <f aca="false">Operations!X914-Operations!X916-Operations!X917-Operations!X918-Operations!X919</f>
        <v>13.8028089644853</v>
      </c>
      <c r="Y920" s="20" t="n">
        <f aca="false">Operations!Y914-Operations!Y916-Operations!Y917-Operations!Y918-Operations!Y919</f>
        <v>13.8434825321225</v>
      </c>
      <c r="Z920" s="20" t="n">
        <f aca="false">Operations!Z914-Operations!Z916-Operations!Z917-Operations!Z918-Operations!Z919</f>
        <v>13.8786994925089</v>
      </c>
      <c r="AA920" s="20" t="n">
        <f aca="false">Operations!AA914-Operations!AA916-Operations!AA917-Operations!AA918-Operations!AA919</f>
        <v>13.9080908637055</v>
      </c>
      <c r="AB920" s="20" t="n">
        <f aca="false">Operations!AB914-Operations!AB916-Operations!AB917-Operations!AB918-Operations!AB919</f>
        <v>13.9361423358714</v>
      </c>
      <c r="AC920" s="20" t="n">
        <f aca="false">Operations!AC914-Operations!AC916-Operations!AC917-Operations!AC918-Operations!AC919</f>
        <v>13.9575617155248</v>
      </c>
      <c r="AD920" s="20" t="n">
        <f aca="false">Operations!AD914-Operations!AD916-Operations!AD917-Operations!AD918-Operations!AD919</f>
        <v>13.9767711783291</v>
      </c>
      <c r="AE920" s="20" t="n">
        <f aca="false">Operations!AE914-Operations!AE916-Operations!AE917-Operations!AE918-Operations!AE919</f>
        <v>13.9885217401016</v>
      </c>
      <c r="AF920" s="20" t="n">
        <f aca="false">Operations!AF914-Operations!AF916-Operations!AF917-Operations!AF918-Operations!AF919</f>
        <v>13.9971717664411</v>
      </c>
      <c r="AG920" s="20" t="n">
        <f aca="false">Operations!AG914-Operations!AG916-Operations!AG917-Operations!AG918-Operations!AG919</f>
        <v>14.0022414165517</v>
      </c>
      <c r="AH920" s="20" t="n">
        <f aca="false">Operations!AH914-Operations!AH916-Operations!AH917-Operations!AH918-Operations!AH919</f>
        <v>14.0783213838515</v>
      </c>
      <c r="AI920" s="20" t="n">
        <f aca="false">Operations!AI914-Operations!AI916-Operations!AI917-Operations!AI918-Operations!AI919</f>
        <v>7.03835177525149</v>
      </c>
      <c r="AJ920" s="20" t="n">
        <f aca="false">Operations!AJ914-Operations!AJ916-Operations!AJ917-Operations!AJ918-Operations!AJ919</f>
        <v>0</v>
      </c>
      <c r="AK920" s="20" t="n">
        <f aca="false">Operations!AK914-Operations!AK916-Operations!AK917-Operations!AK918-Operations!AK919</f>
        <v>0</v>
      </c>
      <c r="AL920" s="20" t="n">
        <f aca="false">Operations!AL914-Operations!AL916-Operations!AL917-Operations!AL918-Operations!AL919</f>
        <v>0</v>
      </c>
      <c r="AM920" s="20" t="n">
        <f aca="false">Operations!AM914-Operations!AM916-Operations!AM917-Operations!AM918-Operations!AM919</f>
        <v>0</v>
      </c>
      <c r="AN920" s="20" t="n">
        <f aca="false">Operations!AN914-Operations!AN916-Operations!AN917-Operations!AN918-Operations!AN919</f>
        <v>0</v>
      </c>
      <c r="AO920" s="20" t="n">
        <f aca="false">Operations!AO914-Operations!AO916-Operations!AO917-Operations!AO918-Operations!AO919</f>
        <v>0</v>
      </c>
      <c r="AP920" s="20" t="n">
        <f aca="false">Operations!AP914-Operations!AP916-Operations!AP917-Operations!AP918-Operations!AP919</f>
        <v>0</v>
      </c>
      <c r="AQ920" s="20" t="n">
        <f aca="false">Operations!AQ914-Operations!AQ916-Operations!AQ917-Operations!AQ918-Operations!AQ919</f>
        <v>0</v>
      </c>
      <c r="AR920" s="20" t="n">
        <f aca="false">Operations!AR914-Operations!AR916-Operations!AR917-Operations!AR918-Operations!AR919</f>
        <v>0</v>
      </c>
      <c r="AS920" s="20" t="n">
        <f aca="false">Operations!AS914-Operations!AS916-Operations!AS917-Operations!AS918-Operations!AS919</f>
        <v>0</v>
      </c>
      <c r="AT920" s="20" t="n">
        <f aca="false">Operations!AT914-Operations!AT916-Operations!AT917-Operations!AT918-Operations!AT919</f>
        <v>0</v>
      </c>
      <c r="AU920" s="20" t="n">
        <f aca="false">Operations!AU914-Operations!AU916-Operations!AU917-Operations!AU918-Operations!AU919</f>
        <v>0</v>
      </c>
    </row>
    <row r="921" customFormat="false" ht="15" hidden="false" customHeight="false" outlineLevel="0" collapsed="false">
      <c r="D921" s="0" t="s">
        <v>527</v>
      </c>
      <c r="E921" s="0" t="s">
        <v>47</v>
      </c>
      <c r="J921" s="20" t="n">
        <f aca="false">0</f>
        <v>0</v>
      </c>
      <c r="K921" s="20" t="n">
        <f aca="false">0</f>
        <v>0</v>
      </c>
      <c r="L921" s="20" t="n">
        <f aca="false">0</f>
        <v>0</v>
      </c>
      <c r="M921" s="20" t="n">
        <f aca="false">0</f>
        <v>0</v>
      </c>
      <c r="N921" s="20" t="n">
        <f aca="false">0</f>
        <v>0</v>
      </c>
      <c r="O921" s="20" t="n">
        <f aca="false">0</f>
        <v>0</v>
      </c>
      <c r="P921" s="20" t="n">
        <f aca="false">0</f>
        <v>0</v>
      </c>
      <c r="Q921" s="20" t="n">
        <f aca="false">0</f>
        <v>0</v>
      </c>
      <c r="R921" s="20" t="n">
        <f aca="false">0</f>
        <v>0</v>
      </c>
      <c r="S921" s="20" t="n">
        <f aca="false">0</f>
        <v>0</v>
      </c>
      <c r="T921" s="20" t="n">
        <f aca="false">0</f>
        <v>0</v>
      </c>
      <c r="U921" s="20" t="n">
        <f aca="false">0</f>
        <v>0</v>
      </c>
      <c r="V921" s="20" t="n">
        <f aca="false">0</f>
        <v>0</v>
      </c>
      <c r="W921" s="20" t="n">
        <f aca="false">0</f>
        <v>0</v>
      </c>
      <c r="X921" s="20" t="n">
        <f aca="false">0</f>
        <v>0</v>
      </c>
      <c r="Y921" s="20" t="n">
        <f aca="false">0</f>
        <v>0</v>
      </c>
      <c r="Z921" s="20" t="n">
        <f aca="false">0</f>
        <v>0</v>
      </c>
      <c r="AA921" s="20" t="n">
        <f aca="false">0</f>
        <v>0</v>
      </c>
      <c r="AB921" s="20" t="n">
        <f aca="false">0</f>
        <v>0</v>
      </c>
      <c r="AC921" s="20" t="n">
        <f aca="false">0</f>
        <v>0</v>
      </c>
      <c r="AD921" s="20" t="n">
        <f aca="false">0</f>
        <v>0</v>
      </c>
      <c r="AE921" s="20" t="n">
        <f aca="false">0</f>
        <v>0</v>
      </c>
      <c r="AF921" s="20" t="n">
        <f aca="false">0</f>
        <v>0</v>
      </c>
      <c r="AG921" s="20" t="n">
        <f aca="false">0</f>
        <v>0</v>
      </c>
      <c r="AH921" s="20" t="n">
        <f aca="false">0</f>
        <v>0</v>
      </c>
      <c r="AI921" s="20" t="n">
        <f aca="false">0</f>
        <v>0</v>
      </c>
      <c r="AJ921" s="20" t="n">
        <f aca="false">0</f>
        <v>0</v>
      </c>
      <c r="AK921" s="20" t="n">
        <f aca="false">0</f>
        <v>0</v>
      </c>
      <c r="AL921" s="20" t="n">
        <f aca="false">0</f>
        <v>0</v>
      </c>
      <c r="AM921" s="20" t="n">
        <f aca="false">0</f>
        <v>0</v>
      </c>
      <c r="AN921" s="20" t="n">
        <f aca="false">0</f>
        <v>0</v>
      </c>
      <c r="AO921" s="20" t="n">
        <f aca="false">0</f>
        <v>0</v>
      </c>
      <c r="AP921" s="20" t="n">
        <f aca="false">0</f>
        <v>0</v>
      </c>
      <c r="AQ921" s="20" t="n">
        <f aca="false">0</f>
        <v>0</v>
      </c>
      <c r="AR921" s="20" t="n">
        <f aca="false">0</f>
        <v>0</v>
      </c>
      <c r="AS921" s="20" t="n">
        <f aca="false">0</f>
        <v>0</v>
      </c>
      <c r="AT921" s="20" t="n">
        <f aca="false">0</f>
        <v>0</v>
      </c>
      <c r="AU921" s="20" t="n">
        <f aca="false">0</f>
        <v>0</v>
      </c>
    </row>
    <row r="922" customFormat="false" ht="15" hidden="false" customHeight="false" outlineLevel="0" collapsed="false">
      <c r="D922" s="0" t="s">
        <v>528</v>
      </c>
      <c r="E922" s="0" t="s">
        <v>47</v>
      </c>
      <c r="J922" s="20" t="n">
        <f aca="false">IF(Time!J$4=YEAR(Inputs!$F$101),Inputs!$F$104*Inputs!$F$99/1000*Time!J$9,0)</f>
        <v>0</v>
      </c>
      <c r="K922" s="20" t="n">
        <f aca="false">IF(Time!K$4=YEAR(Inputs!$F$101),Inputs!$F$104*Inputs!$F$99/1000*Time!K$9,0)</f>
        <v>0</v>
      </c>
      <c r="L922" s="20" t="n">
        <f aca="false">IF(Time!L$4=YEAR(Inputs!$F$101),Inputs!$F$104*Inputs!$F$99/1000*Time!L$9,0)</f>
        <v>0</v>
      </c>
      <c r="M922" s="20" t="n">
        <f aca="false">IF(Time!M$4=YEAR(Inputs!$F$101),Inputs!$F$104*Inputs!$F$99/1000*Time!M$9,0)</f>
        <v>0</v>
      </c>
      <c r="N922" s="20" t="n">
        <f aca="false">IF(Time!N$4=YEAR(Inputs!$F$101),Inputs!$F$104*Inputs!$F$99/1000*Time!N$9,0)</f>
        <v>0</v>
      </c>
      <c r="O922" s="20" t="n">
        <f aca="false">IF(Time!O$4=YEAR(Inputs!$F$101),Inputs!$F$104*Inputs!$F$99/1000*Time!O$9,0)</f>
        <v>0</v>
      </c>
      <c r="P922" s="20" t="n">
        <f aca="false">IF(Time!P$4=YEAR(Inputs!$F$101),Inputs!$F$104*Inputs!$F$99/1000*Time!P$9,0)</f>
        <v>0</v>
      </c>
      <c r="Q922" s="20" t="n">
        <f aca="false">IF(Time!Q$4=YEAR(Inputs!$F$101),Inputs!$F$104*Inputs!$F$99/1000*Time!Q$9,0)</f>
        <v>0</v>
      </c>
      <c r="R922" s="20" t="n">
        <f aca="false">IF(Time!R$4=YEAR(Inputs!$F$101),Inputs!$F$104*Inputs!$F$99/1000*Time!R$9,0)</f>
        <v>0</v>
      </c>
      <c r="S922" s="20" t="n">
        <f aca="false">IF(Time!S$4=YEAR(Inputs!$F$101),Inputs!$F$104*Inputs!$F$99/1000*Time!S$9,0)</f>
        <v>0</v>
      </c>
      <c r="T922" s="20" t="n">
        <f aca="false">IF(Time!T$4=YEAR(Inputs!$F$101),Inputs!$F$104*Inputs!$F$99/1000*Time!T$9,0)</f>
        <v>0</v>
      </c>
      <c r="U922" s="20" t="n">
        <f aca="false">IF(Time!U$4=YEAR(Inputs!$F$101),Inputs!$F$104*Inputs!$F$99/1000*Time!U$9,0)</f>
        <v>0</v>
      </c>
      <c r="V922" s="20" t="n">
        <f aca="false">IF(Time!V$4=YEAR(Inputs!$F$101),Inputs!$F$104*Inputs!$F$99/1000*Time!V$9,0)</f>
        <v>0</v>
      </c>
      <c r="W922" s="20" t="n">
        <f aca="false">IF(Time!W$4=YEAR(Inputs!$F$101),Inputs!$F$104*Inputs!$F$99/1000*Time!W$9,0)</f>
        <v>0</v>
      </c>
      <c r="X922" s="20" t="n">
        <f aca="false">IF(Time!X$4=YEAR(Inputs!$F$101),Inputs!$F$104*Inputs!$F$99/1000*Time!X$9,0)</f>
        <v>0</v>
      </c>
      <c r="Y922" s="20" t="n">
        <f aca="false">IF(Time!Y$4=YEAR(Inputs!$F$101),Inputs!$F$104*Inputs!$F$99/1000*Time!Y$9,0)</f>
        <v>0</v>
      </c>
      <c r="Z922" s="20" t="n">
        <f aca="false">IF(Time!Z$4=YEAR(Inputs!$F$101),Inputs!$F$104*Inputs!$F$99/1000*Time!Z$9,0)</f>
        <v>0</v>
      </c>
      <c r="AA922" s="20" t="n">
        <f aca="false">IF(Time!AA$4=YEAR(Inputs!$F$101),Inputs!$F$104*Inputs!$F$99/1000*Time!AA$9,0)</f>
        <v>0</v>
      </c>
      <c r="AB922" s="20" t="n">
        <f aca="false">IF(Time!AB$4=YEAR(Inputs!$F$101),Inputs!$F$104*Inputs!$F$99/1000*Time!AB$9,0)</f>
        <v>0</v>
      </c>
      <c r="AC922" s="20" t="n">
        <f aca="false">IF(Time!AC$4=YEAR(Inputs!$F$101),Inputs!$F$104*Inputs!$F$99/1000*Time!AC$9,0)</f>
        <v>0</v>
      </c>
      <c r="AD922" s="20" t="n">
        <f aca="false">IF(Time!AD$4=YEAR(Inputs!$F$101),Inputs!$F$104*Inputs!$F$99/1000*Time!AD$9,0)</f>
        <v>0</v>
      </c>
      <c r="AE922" s="20" t="n">
        <f aca="false">IF(Time!AE$4=YEAR(Inputs!$F$101),Inputs!$F$104*Inputs!$F$99/1000*Time!AE$9,0)</f>
        <v>0</v>
      </c>
      <c r="AF922" s="20" t="n">
        <f aca="false">IF(Time!AF$4=YEAR(Inputs!$F$101),Inputs!$F$104*Inputs!$F$99/1000*Time!AF$9,0)</f>
        <v>0</v>
      </c>
      <c r="AG922" s="20" t="n">
        <f aca="false">IF(Time!AG$4=YEAR(Inputs!$F$101),Inputs!$F$104*Inputs!$F$99/1000*Time!AG$9,0)</f>
        <v>0</v>
      </c>
      <c r="AH922" s="20" t="n">
        <f aca="false">IF(Time!AH$4=YEAR(Inputs!$F$101),Inputs!$F$104*Inputs!$F$99/1000*Time!AH$9,0)</f>
        <v>0</v>
      </c>
      <c r="AI922" s="20" t="n">
        <f aca="false">IF(Time!AI$4=YEAR(Inputs!$F$101),Inputs!$F$104*Inputs!$F$99/1000*Time!AI$9,0)</f>
        <v>28.5522222694398</v>
      </c>
      <c r="AJ922" s="20" t="n">
        <f aca="false">IF(Time!AJ$4=YEAR(Inputs!$F$101),Inputs!$F$104*Inputs!$F$99/1000*Time!AJ$9,0)</f>
        <v>0</v>
      </c>
      <c r="AK922" s="20" t="n">
        <f aca="false">IF(Time!AK$4=YEAR(Inputs!$F$101),Inputs!$F$104*Inputs!$F$99/1000*Time!AK$9,0)</f>
        <v>0</v>
      </c>
      <c r="AL922" s="20" t="n">
        <f aca="false">IF(Time!AL$4=YEAR(Inputs!$F$101),Inputs!$F$104*Inputs!$F$99/1000*Time!AL$9,0)</f>
        <v>0</v>
      </c>
      <c r="AM922" s="20" t="n">
        <f aca="false">IF(Time!AM$4=YEAR(Inputs!$F$101),Inputs!$F$104*Inputs!$F$99/1000*Time!AM$9,0)</f>
        <v>0</v>
      </c>
      <c r="AN922" s="20" t="n">
        <f aca="false">IF(Time!AN$4=YEAR(Inputs!$F$101),Inputs!$F$104*Inputs!$F$99/1000*Time!AN$9,0)</f>
        <v>0</v>
      </c>
      <c r="AO922" s="20" t="n">
        <f aca="false">IF(Time!AO$4=YEAR(Inputs!$F$101),Inputs!$F$104*Inputs!$F$99/1000*Time!AO$9,0)</f>
        <v>0</v>
      </c>
      <c r="AP922" s="20" t="n">
        <f aca="false">IF(Time!AP$4=YEAR(Inputs!$F$101),Inputs!$F$104*Inputs!$F$99/1000*Time!AP$9,0)</f>
        <v>0</v>
      </c>
      <c r="AQ922" s="20" t="n">
        <f aca="false">IF(Time!AQ$4=YEAR(Inputs!$F$101),Inputs!$F$104*Inputs!$F$99/1000*Time!AQ$9,0)</f>
        <v>0</v>
      </c>
      <c r="AR922" s="20" t="n">
        <f aca="false">IF(Time!AR$4=YEAR(Inputs!$F$101),Inputs!$F$104*Inputs!$F$99/1000*Time!AR$9,0)</f>
        <v>0</v>
      </c>
      <c r="AS922" s="20" t="n">
        <f aca="false">IF(Time!AS$4=YEAR(Inputs!$F$101),Inputs!$F$104*Inputs!$F$99/1000*Time!AS$9,0)</f>
        <v>0</v>
      </c>
      <c r="AT922" s="20" t="n">
        <f aca="false">IF(Time!AT$4=YEAR(Inputs!$F$101),Inputs!$F$104*Inputs!$F$99/1000*Time!AT$9,0)</f>
        <v>0</v>
      </c>
      <c r="AU922" s="20" t="n">
        <f aca="false">IF(Time!AU$4=YEAR(Inputs!$F$101),Inputs!$F$104*Inputs!$F$99/1000*Time!AU$9,0)</f>
        <v>0</v>
      </c>
    </row>
    <row r="923" customFormat="false" ht="15" hidden="false" customHeight="false" outlineLevel="0" collapsed="false">
      <c r="D923" s="0" t="s">
        <v>529</v>
      </c>
      <c r="E923" s="0" t="s">
        <v>47</v>
      </c>
      <c r="G923" s="20" t="n">
        <f aca="false">SUM(J923:AU923)</f>
        <v>272.153525083793</v>
      </c>
      <c r="J923" s="20" t="n">
        <f aca="false">Operations!J920-Operations!J921-Operations!J922</f>
        <v>8.24724414128277</v>
      </c>
      <c r="K923" s="20" t="n">
        <f aca="false">Operations!K920-Operations!K921-Operations!K922</f>
        <v>7.6012341284002</v>
      </c>
      <c r="L923" s="20" t="n">
        <f aca="false">Operations!L920-Operations!L921-Operations!L922</f>
        <v>7.2887692656384</v>
      </c>
      <c r="M923" s="20" t="n">
        <f aca="false">Operations!M920-Operations!M921-Operations!M922</f>
        <v>6.96949777273951</v>
      </c>
      <c r="N923" s="20" t="n">
        <f aca="false">Operations!N920-Operations!N921-Operations!N922</f>
        <v>6.64324747396721</v>
      </c>
      <c r="O923" s="20" t="n">
        <f aca="false">Operations!O920-Operations!O921-Operations!O922</f>
        <v>6.3098418932118</v>
      </c>
      <c r="P923" s="20" t="n">
        <f aca="false">Operations!P920-Operations!P921-Operations!P922</f>
        <v>5.9691001464727</v>
      </c>
      <c r="Q923" s="20" t="n">
        <f aca="false">Operations!Q920-Operations!Q921-Operations!Q922</f>
        <v>9.45940269265466</v>
      </c>
      <c r="R923" s="20" t="n">
        <f aca="false">Operations!R920-Operations!R921-Operations!R922</f>
        <v>13.4950407365156</v>
      </c>
      <c r="S923" s="20" t="n">
        <f aca="false">Operations!S920-Operations!S921-Operations!S922</f>
        <v>13.5556963873529</v>
      </c>
      <c r="T923" s="20" t="n">
        <f aca="false">Operations!T920-Operations!T921-Operations!T922</f>
        <v>13.613068329842</v>
      </c>
      <c r="U923" s="20" t="n">
        <f aca="false">Operations!U920-Operations!U921-Operations!U922</f>
        <v>13.6668142059085</v>
      </c>
      <c r="V923" s="20" t="n">
        <f aca="false">Operations!V920-Operations!V921-Operations!V922</f>
        <v>13.7165875179758</v>
      </c>
      <c r="W923" s="20" t="n">
        <f aca="false">Operations!W920-Operations!W921-Operations!W922</f>
        <v>13.7620374965263</v>
      </c>
      <c r="X923" s="20" t="n">
        <f aca="false">Operations!X920-Operations!X921-Operations!X922</f>
        <v>13.8028089644853</v>
      </c>
      <c r="Y923" s="20" t="n">
        <f aca="false">Operations!Y920-Operations!Y921-Operations!Y922</f>
        <v>13.8434825321225</v>
      </c>
      <c r="Z923" s="20" t="n">
        <f aca="false">Operations!Z920-Operations!Z921-Operations!Z922</f>
        <v>13.8786994925089</v>
      </c>
      <c r="AA923" s="20" t="n">
        <f aca="false">Operations!AA920-Operations!AA921-Operations!AA922</f>
        <v>13.9080908637055</v>
      </c>
      <c r="AB923" s="20" t="n">
        <f aca="false">Operations!AB920-Operations!AB921-Operations!AB922</f>
        <v>13.9361423358714</v>
      </c>
      <c r="AC923" s="20" t="n">
        <f aca="false">Operations!AC920-Operations!AC921-Operations!AC922</f>
        <v>13.9575617155248</v>
      </c>
      <c r="AD923" s="20" t="n">
        <f aca="false">Operations!AD920-Operations!AD921-Operations!AD922</f>
        <v>13.9767711783291</v>
      </c>
      <c r="AE923" s="20" t="n">
        <f aca="false">Operations!AE920-Operations!AE921-Operations!AE922</f>
        <v>13.9885217401016</v>
      </c>
      <c r="AF923" s="20" t="n">
        <f aca="false">Operations!AF920-Operations!AF921-Operations!AF922</f>
        <v>13.9971717664411</v>
      </c>
      <c r="AG923" s="20" t="n">
        <f aca="false">Operations!AG920-Operations!AG921-Operations!AG922</f>
        <v>14.0022414165517</v>
      </c>
      <c r="AH923" s="20" t="n">
        <f aca="false">Operations!AH920-Operations!AH921-Operations!AH922</f>
        <v>14.0783213838515</v>
      </c>
      <c r="AI923" s="20" t="n">
        <f aca="false">Operations!AI920-Operations!AI921-Operations!AI922</f>
        <v>-21.5138704941883</v>
      </c>
      <c r="AJ923" s="20" t="n">
        <f aca="false">Operations!AJ920-Operations!AJ921-Operations!AJ922</f>
        <v>0</v>
      </c>
      <c r="AK923" s="20" t="n">
        <f aca="false">Operations!AK920-Operations!AK921-Operations!AK922</f>
        <v>0</v>
      </c>
      <c r="AL923" s="20" t="n">
        <f aca="false">Operations!AL920-Operations!AL921-Operations!AL922</f>
        <v>0</v>
      </c>
      <c r="AM923" s="20" t="n">
        <f aca="false">Operations!AM920-Operations!AM921-Operations!AM922</f>
        <v>0</v>
      </c>
      <c r="AN923" s="20" t="n">
        <f aca="false">Operations!AN920-Operations!AN921-Operations!AN922</f>
        <v>0</v>
      </c>
      <c r="AO923" s="20" t="n">
        <f aca="false">Operations!AO920-Operations!AO921-Operations!AO922</f>
        <v>0</v>
      </c>
      <c r="AP923" s="20" t="n">
        <f aca="false">Operations!AP920-Operations!AP921-Operations!AP922</f>
        <v>0</v>
      </c>
      <c r="AQ923" s="20" t="n">
        <f aca="false">Operations!AQ920-Operations!AQ921-Operations!AQ922</f>
        <v>0</v>
      </c>
      <c r="AR923" s="20" t="n">
        <f aca="false">Operations!AR920-Operations!AR921-Operations!AR922</f>
        <v>0</v>
      </c>
      <c r="AS923" s="20" t="n">
        <f aca="false">Operations!AS920-Operations!AS921-Operations!AS922</f>
        <v>0</v>
      </c>
      <c r="AT923" s="20" t="n">
        <f aca="false">Operations!AT920-Operations!AT921-Operations!AT922</f>
        <v>0</v>
      </c>
      <c r="AU923" s="20" t="n">
        <f aca="false">Operations!AU920-Operations!AU921-Operations!AU922</f>
        <v>0</v>
      </c>
    </row>
    <row r="924" customFormat="false" ht="15" hidden="false" customHeight="false" outlineLevel="0" collapsed="false">
      <c r="D924" s="0" t="s">
        <v>530</v>
      </c>
      <c r="E924" s="0" t="s">
        <v>458</v>
      </c>
      <c r="J924" s="14" t="n">
        <f aca="false">0</f>
        <v>0</v>
      </c>
      <c r="K924" s="14" t="n">
        <f aca="false">0</f>
        <v>0</v>
      </c>
      <c r="L924" s="14" t="n">
        <f aca="false">0</f>
        <v>0</v>
      </c>
      <c r="M924" s="14" t="n">
        <f aca="false">0</f>
        <v>0</v>
      </c>
      <c r="N924" s="14" t="n">
        <f aca="false">0</f>
        <v>0</v>
      </c>
      <c r="O924" s="14" t="n">
        <f aca="false">0</f>
        <v>0</v>
      </c>
      <c r="P924" s="14" t="n">
        <f aca="false">0</f>
        <v>0</v>
      </c>
      <c r="Q924" s="14" t="n">
        <f aca="false">0</f>
        <v>0</v>
      </c>
      <c r="R924" s="14" t="n">
        <f aca="false">0</f>
        <v>0</v>
      </c>
      <c r="S924" s="14" t="n">
        <f aca="false">0</f>
        <v>0</v>
      </c>
      <c r="T924" s="14" t="n">
        <f aca="false">0</f>
        <v>0</v>
      </c>
      <c r="U924" s="14" t="n">
        <f aca="false">0</f>
        <v>0</v>
      </c>
      <c r="V924" s="14" t="n">
        <f aca="false">0</f>
        <v>0</v>
      </c>
      <c r="W924" s="14" t="n">
        <f aca="false">0</f>
        <v>0</v>
      </c>
      <c r="X924" s="14" t="n">
        <f aca="false">0</f>
        <v>0</v>
      </c>
      <c r="Y924" s="14" t="n">
        <f aca="false">0</f>
        <v>0</v>
      </c>
      <c r="Z924" s="14" t="n">
        <f aca="false">0</f>
        <v>0</v>
      </c>
      <c r="AA924" s="14" t="n">
        <f aca="false">0</f>
        <v>0</v>
      </c>
      <c r="AB924" s="14" t="n">
        <f aca="false">0</f>
        <v>0</v>
      </c>
      <c r="AC924" s="14" t="n">
        <f aca="false">0</f>
        <v>0</v>
      </c>
      <c r="AD924" s="14" t="n">
        <f aca="false">0</f>
        <v>0</v>
      </c>
      <c r="AE924" s="14" t="n">
        <f aca="false">0</f>
        <v>0</v>
      </c>
      <c r="AF924" s="14" t="n">
        <f aca="false">0</f>
        <v>0</v>
      </c>
      <c r="AG924" s="14" t="n">
        <f aca="false">0</f>
        <v>0</v>
      </c>
      <c r="AH924" s="14" t="n">
        <f aca="false">0</f>
        <v>0</v>
      </c>
      <c r="AI924" s="14" t="n">
        <f aca="false">0</f>
        <v>0</v>
      </c>
      <c r="AJ924" s="14" t="n">
        <f aca="false">0</f>
        <v>0</v>
      </c>
      <c r="AK924" s="14" t="n">
        <f aca="false">0</f>
        <v>0</v>
      </c>
      <c r="AL924" s="14" t="n">
        <f aca="false">0</f>
        <v>0</v>
      </c>
      <c r="AM924" s="14" t="n">
        <f aca="false">0</f>
        <v>0</v>
      </c>
      <c r="AN924" s="14" t="n">
        <f aca="false">0</f>
        <v>0</v>
      </c>
      <c r="AO924" s="14" t="n">
        <f aca="false">0</f>
        <v>0</v>
      </c>
      <c r="AP924" s="14" t="n">
        <f aca="false">0</f>
        <v>0</v>
      </c>
      <c r="AQ924" s="14" t="n">
        <f aca="false">0</f>
        <v>0</v>
      </c>
      <c r="AR924" s="14" t="n">
        <f aca="false">0</f>
        <v>0</v>
      </c>
      <c r="AS924" s="14" t="n">
        <f aca="false">0</f>
        <v>0</v>
      </c>
      <c r="AT924" s="14" t="n">
        <f aca="false">0</f>
        <v>0</v>
      </c>
      <c r="AU924" s="14" t="n">
        <f aca="false">0</f>
        <v>0</v>
      </c>
    </row>
    <row r="925" customFormat="false" ht="15" hidden="false" customHeight="false" outlineLevel="0" collapsed="false">
      <c r="D925" s="0" t="s">
        <v>531</v>
      </c>
      <c r="E925" s="0" t="s">
        <v>458</v>
      </c>
      <c r="J925" s="14" t="n">
        <f aca="false">1</f>
        <v>1</v>
      </c>
      <c r="K925" s="14" t="n">
        <f aca="false">1</f>
        <v>1</v>
      </c>
      <c r="L925" s="14" t="n">
        <f aca="false">1</f>
        <v>1</v>
      </c>
      <c r="M925" s="14" t="n">
        <f aca="false">1</f>
        <v>1</v>
      </c>
      <c r="N925" s="14" t="n">
        <f aca="false">1</f>
        <v>1</v>
      </c>
      <c r="O925" s="14" t="n">
        <f aca="false">1</f>
        <v>1</v>
      </c>
      <c r="P925" s="14" t="n">
        <f aca="false">1</f>
        <v>1</v>
      </c>
      <c r="Q925" s="14" t="n">
        <f aca="false">1</f>
        <v>1</v>
      </c>
      <c r="R925" s="14" t="n">
        <f aca="false">1</f>
        <v>1</v>
      </c>
      <c r="S925" s="14" t="n">
        <f aca="false">1</f>
        <v>1</v>
      </c>
      <c r="T925" s="14" t="n">
        <f aca="false">1</f>
        <v>1</v>
      </c>
      <c r="U925" s="14" t="n">
        <f aca="false">1</f>
        <v>1</v>
      </c>
      <c r="V925" s="14" t="n">
        <f aca="false">1</f>
        <v>1</v>
      </c>
      <c r="W925" s="14" t="n">
        <f aca="false">1</f>
        <v>1</v>
      </c>
      <c r="X925" s="14" t="n">
        <f aca="false">1</f>
        <v>1</v>
      </c>
      <c r="Y925" s="14" t="n">
        <f aca="false">1</f>
        <v>1</v>
      </c>
      <c r="Z925" s="14" t="n">
        <f aca="false">1</f>
        <v>1</v>
      </c>
      <c r="AA925" s="14" t="n">
        <f aca="false">1</f>
        <v>1</v>
      </c>
      <c r="AB925" s="14" t="n">
        <f aca="false">1</f>
        <v>1</v>
      </c>
      <c r="AC925" s="14" t="n">
        <f aca="false">1</f>
        <v>1</v>
      </c>
      <c r="AD925" s="14" t="n">
        <f aca="false">1</f>
        <v>1</v>
      </c>
      <c r="AE925" s="14" t="n">
        <f aca="false">1</f>
        <v>1</v>
      </c>
      <c r="AF925" s="14" t="n">
        <f aca="false">1</f>
        <v>1</v>
      </c>
      <c r="AG925" s="14" t="n">
        <f aca="false">1</f>
        <v>1</v>
      </c>
      <c r="AH925" s="14" t="n">
        <f aca="false">1</f>
        <v>1</v>
      </c>
      <c r="AI925" s="14" t="n">
        <f aca="false">1</f>
        <v>1</v>
      </c>
      <c r="AJ925" s="14" t="n">
        <f aca="false">1</f>
        <v>1</v>
      </c>
      <c r="AK925" s="14" t="n">
        <f aca="false">1</f>
        <v>1</v>
      </c>
      <c r="AL925" s="14" t="n">
        <f aca="false">1</f>
        <v>1</v>
      </c>
      <c r="AM925" s="14" t="n">
        <f aca="false">1</f>
        <v>1</v>
      </c>
      <c r="AN925" s="14" t="n">
        <f aca="false">1</f>
        <v>1</v>
      </c>
      <c r="AO925" s="14" t="n">
        <f aca="false">1</f>
        <v>1</v>
      </c>
      <c r="AP925" s="14" t="n">
        <f aca="false">1</f>
        <v>1</v>
      </c>
      <c r="AQ925" s="14" t="n">
        <f aca="false">1</f>
        <v>1</v>
      </c>
      <c r="AR925" s="14" t="n">
        <f aca="false">1</f>
        <v>1</v>
      </c>
      <c r="AS925" s="14" t="n">
        <f aca="false">1</f>
        <v>1</v>
      </c>
      <c r="AT925" s="14" t="n">
        <f aca="false">1</f>
        <v>1</v>
      </c>
      <c r="AU925" s="14" t="n">
        <f aca="false">1</f>
        <v>1</v>
      </c>
    </row>
    <row r="926" customFormat="false" ht="15" hidden="false" customHeight="false" outlineLevel="0" collapsed="false">
      <c r="D926" s="0" t="s">
        <v>532</v>
      </c>
      <c r="E926" s="0" t="s">
        <v>47</v>
      </c>
      <c r="G926" s="20" t="n">
        <f aca="false">SUM(J926:AU926)</f>
        <v>270.323314740111</v>
      </c>
      <c r="J926" s="20" t="n">
        <f aca="false">Operations!J923*(1-Operations!J924)*Operations!J897</f>
        <v>6.41703379760084</v>
      </c>
      <c r="K926" s="20" t="n">
        <f aca="false">Operations!K923*(1-Operations!K924)*Operations!K897</f>
        <v>7.6012341284002</v>
      </c>
      <c r="L926" s="20" t="n">
        <f aca="false">Operations!L923*(1-Operations!L924)*Operations!L897</f>
        <v>7.2887692656384</v>
      </c>
      <c r="M926" s="20" t="n">
        <f aca="false">Operations!M923*(1-Operations!M924)*Operations!M897</f>
        <v>6.96949777273951</v>
      </c>
      <c r="N926" s="20" t="n">
        <f aca="false">Operations!N923*(1-Operations!N924)*Operations!N897</f>
        <v>6.64324747396721</v>
      </c>
      <c r="O926" s="20" t="n">
        <f aca="false">Operations!O923*(1-Operations!O924)*Operations!O897</f>
        <v>6.3098418932118</v>
      </c>
      <c r="P926" s="20" t="n">
        <f aca="false">Operations!P923*(1-Operations!P924)*Operations!P897</f>
        <v>5.9691001464727</v>
      </c>
      <c r="Q926" s="20" t="n">
        <f aca="false">Operations!Q923*(1-Operations!Q924)*Operations!Q897</f>
        <v>9.45940269265466</v>
      </c>
      <c r="R926" s="20" t="n">
        <f aca="false">Operations!R923*(1-Operations!R924)*Operations!R897</f>
        <v>13.4950407365156</v>
      </c>
      <c r="S926" s="20" t="n">
        <f aca="false">Operations!S923*(1-Operations!S924)*Operations!S897</f>
        <v>13.5556963873529</v>
      </c>
      <c r="T926" s="20" t="n">
        <f aca="false">Operations!T923*(1-Operations!T924)*Operations!T897</f>
        <v>13.613068329842</v>
      </c>
      <c r="U926" s="20" t="n">
        <f aca="false">Operations!U923*(1-Operations!U924)*Operations!U897</f>
        <v>13.6668142059085</v>
      </c>
      <c r="V926" s="20" t="n">
        <f aca="false">Operations!V923*(1-Operations!V924)*Operations!V897</f>
        <v>13.7165875179758</v>
      </c>
      <c r="W926" s="20" t="n">
        <f aca="false">Operations!W923*(1-Operations!W924)*Operations!W897</f>
        <v>13.7620374965263</v>
      </c>
      <c r="X926" s="20" t="n">
        <f aca="false">Operations!X923*(1-Operations!X924)*Operations!X897</f>
        <v>13.8028089644853</v>
      </c>
      <c r="Y926" s="20" t="n">
        <f aca="false">Operations!Y923*(1-Operations!Y924)*Operations!Y897</f>
        <v>13.8434825321225</v>
      </c>
      <c r="Z926" s="20" t="n">
        <f aca="false">Operations!Z923*(1-Operations!Z924)*Operations!Z897</f>
        <v>13.8786994925089</v>
      </c>
      <c r="AA926" s="20" t="n">
        <f aca="false">Operations!AA923*(1-Operations!AA924)*Operations!AA897</f>
        <v>13.9080908637055</v>
      </c>
      <c r="AB926" s="20" t="n">
        <f aca="false">Operations!AB923*(1-Operations!AB924)*Operations!AB897</f>
        <v>13.9361423358714</v>
      </c>
      <c r="AC926" s="20" t="n">
        <f aca="false">Operations!AC923*(1-Operations!AC924)*Operations!AC897</f>
        <v>13.9575617155248</v>
      </c>
      <c r="AD926" s="20" t="n">
        <f aca="false">Operations!AD923*(1-Operations!AD924)*Operations!AD897</f>
        <v>13.9767711783291</v>
      </c>
      <c r="AE926" s="20" t="n">
        <f aca="false">Operations!AE923*(1-Operations!AE924)*Operations!AE897</f>
        <v>13.9885217401016</v>
      </c>
      <c r="AF926" s="20" t="n">
        <f aca="false">Operations!AF923*(1-Operations!AF924)*Operations!AF897</f>
        <v>13.9971717664411</v>
      </c>
      <c r="AG926" s="20" t="n">
        <f aca="false">Operations!AG923*(1-Operations!AG924)*Operations!AG897</f>
        <v>14.0022414165517</v>
      </c>
      <c r="AH926" s="20" t="n">
        <f aca="false">Operations!AH923*(1-Operations!AH924)*Operations!AH897</f>
        <v>14.0783213838515</v>
      </c>
      <c r="AI926" s="20" t="n">
        <f aca="false">Operations!AI923*(1-Operations!AI924)*Operations!AI897</f>
        <v>-21.5138704941883</v>
      </c>
      <c r="AJ926" s="20" t="n">
        <f aca="false">Operations!AJ923*(1-Operations!AJ924)*Operations!AJ897</f>
        <v>0</v>
      </c>
      <c r="AK926" s="20" t="n">
        <f aca="false">Operations!AK923*(1-Operations!AK924)*Operations!AK897</f>
        <v>0</v>
      </c>
      <c r="AL926" s="20" t="n">
        <f aca="false">Operations!AL923*(1-Operations!AL924)*Operations!AL897</f>
        <v>0</v>
      </c>
      <c r="AM926" s="20" t="n">
        <f aca="false">Operations!AM923*(1-Operations!AM924)*Operations!AM897</f>
        <v>0</v>
      </c>
      <c r="AN926" s="20" t="n">
        <f aca="false">Operations!AN923*(1-Operations!AN924)*Operations!AN897</f>
        <v>0</v>
      </c>
      <c r="AO926" s="20" t="n">
        <f aca="false">Operations!AO923*(1-Operations!AO924)*Operations!AO897</f>
        <v>0</v>
      </c>
      <c r="AP926" s="20" t="n">
        <f aca="false">Operations!AP923*(1-Operations!AP924)*Operations!AP897</f>
        <v>0</v>
      </c>
      <c r="AQ926" s="20" t="n">
        <f aca="false">Operations!AQ923*(1-Operations!AQ924)*Operations!AQ897</f>
        <v>0</v>
      </c>
      <c r="AR926" s="20" t="n">
        <f aca="false">Operations!AR923*(1-Operations!AR924)*Operations!AR897</f>
        <v>0</v>
      </c>
      <c r="AS926" s="20" t="n">
        <f aca="false">Operations!AS923*(1-Operations!AS924)*Operations!AS897</f>
        <v>0</v>
      </c>
      <c r="AT926" s="20" t="n">
        <f aca="false">Operations!AT923*(1-Operations!AT924)*Operations!AT897</f>
        <v>0</v>
      </c>
      <c r="AU926" s="20" t="n">
        <f aca="false">Operations!AU923*(1-Operations!AU924)*Operations!AU897</f>
        <v>0</v>
      </c>
    </row>
    <row r="927" customFormat="false" ht="15" hidden="false" customHeight="false" outlineLevel="0" collapsed="false">
      <c r="D927" s="0" t="s">
        <v>533</v>
      </c>
      <c r="E927" s="0" t="s">
        <v>47</v>
      </c>
      <c r="J927" s="20" t="n">
        <f aca="false">Operations!J923*Operations!J925*Operations!J897</f>
        <v>6.41703379760084</v>
      </c>
      <c r="K927" s="20" t="n">
        <f aca="false">Operations!K923*Operations!K925*Operations!K897</f>
        <v>7.6012341284002</v>
      </c>
      <c r="L927" s="20" t="n">
        <f aca="false">Operations!L923*Operations!L925*Operations!L897</f>
        <v>7.2887692656384</v>
      </c>
      <c r="M927" s="20" t="n">
        <f aca="false">Operations!M923*Operations!M925*Operations!M897</f>
        <v>6.96949777273951</v>
      </c>
      <c r="N927" s="20" t="n">
        <f aca="false">Operations!N923*Operations!N925*Operations!N897</f>
        <v>6.64324747396721</v>
      </c>
      <c r="O927" s="20" t="n">
        <f aca="false">Operations!O923*Operations!O925*Operations!O897</f>
        <v>6.3098418932118</v>
      </c>
      <c r="P927" s="20" t="n">
        <f aca="false">Operations!P923*Operations!P925*Operations!P897</f>
        <v>5.9691001464727</v>
      </c>
      <c r="Q927" s="20" t="n">
        <f aca="false">Operations!Q923*Operations!Q925*Operations!Q897</f>
        <v>9.45940269265466</v>
      </c>
      <c r="R927" s="20" t="n">
        <f aca="false">Operations!R923*Operations!R925*Operations!R897</f>
        <v>13.4950407365156</v>
      </c>
      <c r="S927" s="20" t="n">
        <f aca="false">Operations!S923*Operations!S925*Operations!S897</f>
        <v>13.5556963873529</v>
      </c>
      <c r="T927" s="20" t="n">
        <f aca="false">Operations!T923*Operations!T925*Operations!T897</f>
        <v>13.613068329842</v>
      </c>
      <c r="U927" s="20" t="n">
        <f aca="false">Operations!U923*Operations!U925*Operations!U897</f>
        <v>13.6668142059085</v>
      </c>
      <c r="V927" s="20" t="n">
        <f aca="false">Operations!V923*Operations!V925*Operations!V897</f>
        <v>13.7165875179758</v>
      </c>
      <c r="W927" s="20" t="n">
        <f aca="false">Operations!W923*Operations!W925*Operations!W897</f>
        <v>13.7620374965263</v>
      </c>
      <c r="X927" s="20" t="n">
        <f aca="false">Operations!X923*Operations!X925*Operations!X897</f>
        <v>13.8028089644853</v>
      </c>
      <c r="Y927" s="20" t="n">
        <f aca="false">Operations!Y923*Operations!Y925*Operations!Y897</f>
        <v>13.8434825321225</v>
      </c>
      <c r="Z927" s="20" t="n">
        <f aca="false">Operations!Z923*Operations!Z925*Operations!Z897</f>
        <v>13.8786994925089</v>
      </c>
      <c r="AA927" s="20" t="n">
        <f aca="false">Operations!AA923*Operations!AA925*Operations!AA897</f>
        <v>13.9080908637055</v>
      </c>
      <c r="AB927" s="20" t="n">
        <f aca="false">Operations!AB923*Operations!AB925*Operations!AB897</f>
        <v>13.9361423358714</v>
      </c>
      <c r="AC927" s="20" t="n">
        <f aca="false">Operations!AC923*Operations!AC925*Operations!AC897</f>
        <v>13.9575617155248</v>
      </c>
      <c r="AD927" s="20" t="n">
        <f aca="false">Operations!AD923*Operations!AD925*Operations!AD897</f>
        <v>13.9767711783291</v>
      </c>
      <c r="AE927" s="20" t="n">
        <f aca="false">Operations!AE923*Operations!AE925*Operations!AE897</f>
        <v>13.9885217401016</v>
      </c>
      <c r="AF927" s="20" t="n">
        <f aca="false">Operations!AF923*Operations!AF925*Operations!AF897</f>
        <v>13.9971717664411</v>
      </c>
      <c r="AG927" s="20" t="n">
        <f aca="false">Operations!AG923*Operations!AG925*Operations!AG897</f>
        <v>14.0022414165517</v>
      </c>
      <c r="AH927" s="20" t="n">
        <f aca="false">Operations!AH923*Operations!AH925*Operations!AH897</f>
        <v>14.0783213838515</v>
      </c>
      <c r="AI927" s="20" t="n">
        <f aca="false">Operations!AI923*Operations!AI925*Operations!AI897</f>
        <v>-21.5138704941883</v>
      </c>
      <c r="AJ927" s="20" t="n">
        <f aca="false">Operations!AJ923*Operations!AJ925*Operations!AJ897</f>
        <v>0</v>
      </c>
      <c r="AK927" s="20" t="n">
        <f aca="false">Operations!AK923*Operations!AK925*Operations!AK897</f>
        <v>0</v>
      </c>
      <c r="AL927" s="20" t="n">
        <f aca="false">Operations!AL923*Operations!AL925*Operations!AL897</f>
        <v>0</v>
      </c>
      <c r="AM927" s="20" t="n">
        <f aca="false">Operations!AM923*Operations!AM925*Operations!AM897</f>
        <v>0</v>
      </c>
      <c r="AN927" s="20" t="n">
        <f aca="false">Operations!AN923*Operations!AN925*Operations!AN897</f>
        <v>0</v>
      </c>
      <c r="AO927" s="20" t="n">
        <f aca="false">Operations!AO923*Operations!AO925*Operations!AO897</f>
        <v>0</v>
      </c>
      <c r="AP927" s="20" t="n">
        <f aca="false">Operations!AP923*Operations!AP925*Operations!AP897</f>
        <v>0</v>
      </c>
      <c r="AQ927" s="20" t="n">
        <f aca="false">Operations!AQ923*Operations!AQ925*Operations!AQ897</f>
        <v>0</v>
      </c>
      <c r="AR927" s="20" t="n">
        <f aca="false">Operations!AR923*Operations!AR925*Operations!AR897</f>
        <v>0</v>
      </c>
      <c r="AS927" s="20" t="n">
        <f aca="false">Operations!AS923*Operations!AS925*Operations!AS897</f>
        <v>0</v>
      </c>
      <c r="AT927" s="20" t="n">
        <f aca="false">Operations!AT923*Operations!AT925*Operations!AT897</f>
        <v>0</v>
      </c>
      <c r="AU927" s="20" t="n">
        <f aca="false">Operations!AU923*Operations!AU925*Operations!AU897</f>
        <v>0</v>
      </c>
    </row>
    <row r="928" customFormat="false" ht="15" hidden="false" customHeight="false" outlineLevel="0" collapsed="false">
      <c r="D928" s="0" t="s">
        <v>534</v>
      </c>
      <c r="E928" s="0" t="s">
        <v>47</v>
      </c>
      <c r="J928" s="20" t="n">
        <f aca="false">Operations!J926-Inputs!$F$248/100*Operations!J927</f>
        <v>5.06945670010466</v>
      </c>
      <c r="K928" s="20" t="n">
        <f aca="false">Operations!K926-Inputs!$F$248/100*Operations!K927</f>
        <v>6.00497496143616</v>
      </c>
      <c r="L928" s="20" t="n">
        <f aca="false">Operations!L926-Inputs!$F$248/100*Operations!L927</f>
        <v>5.75812771985434</v>
      </c>
      <c r="M928" s="20" t="n">
        <f aca="false">Operations!M926-Inputs!$F$248/100*Operations!M927</f>
        <v>5.50590324046421</v>
      </c>
      <c r="N928" s="20" t="n">
        <f aca="false">Operations!N926-Inputs!$F$248/100*Operations!N927</f>
        <v>5.2481655044341</v>
      </c>
      <c r="O928" s="20" t="n">
        <f aca="false">Operations!O926-Inputs!$F$248/100*Operations!O927</f>
        <v>4.98477509563732</v>
      </c>
      <c r="P928" s="20" t="n">
        <f aca="false">Operations!P926-Inputs!$F$248/100*Operations!P927</f>
        <v>4.71558911571343</v>
      </c>
      <c r="Q928" s="20" t="n">
        <f aca="false">Operations!Q926-Inputs!$F$248/100*Operations!Q927</f>
        <v>7.47292812719718</v>
      </c>
      <c r="R928" s="20" t="n">
        <f aca="false">Operations!R926-Inputs!$F$248/100*Operations!R927</f>
        <v>10.6610821818474</v>
      </c>
      <c r="S928" s="20" t="n">
        <f aca="false">Operations!S926-Inputs!$F$248/100*Operations!S927</f>
        <v>10.7090001460088</v>
      </c>
      <c r="T928" s="20" t="n">
        <f aca="false">Operations!T926-Inputs!$F$248/100*Operations!T927</f>
        <v>10.7543239805752</v>
      </c>
      <c r="U928" s="20" t="n">
        <f aca="false">Operations!U926-Inputs!$F$248/100*Operations!U927</f>
        <v>10.7967832226677</v>
      </c>
      <c r="V928" s="20" t="n">
        <f aca="false">Operations!V926-Inputs!$F$248/100*Operations!V927</f>
        <v>10.8361041392009</v>
      </c>
      <c r="W928" s="20" t="n">
        <f aca="false">Operations!W926-Inputs!$F$248/100*Operations!W927</f>
        <v>10.8720096222558</v>
      </c>
      <c r="X928" s="20" t="n">
        <f aca="false">Operations!X926-Inputs!$F$248/100*Operations!X927</f>
        <v>10.9042190819434</v>
      </c>
      <c r="Y928" s="20" t="n">
        <f aca="false">Operations!Y926-Inputs!$F$248/100*Operations!Y927</f>
        <v>10.9363512003768</v>
      </c>
      <c r="Z928" s="20" t="n">
        <f aca="false">Operations!Z926-Inputs!$F$248/100*Operations!Z927</f>
        <v>10.964172599082</v>
      </c>
      <c r="AA928" s="20" t="n">
        <f aca="false">Operations!AA926-Inputs!$F$248/100*Operations!AA927</f>
        <v>10.9873917823273</v>
      </c>
      <c r="AB928" s="20" t="n">
        <f aca="false">Operations!AB926-Inputs!$F$248/100*Operations!AB927</f>
        <v>11.0095524453384</v>
      </c>
      <c r="AC928" s="20" t="n">
        <f aca="false">Operations!AC926-Inputs!$F$248/100*Operations!AC927</f>
        <v>11.0264737552646</v>
      </c>
      <c r="AD928" s="20" t="n">
        <f aca="false">Operations!AD926-Inputs!$F$248/100*Operations!AD927</f>
        <v>11.04164923088</v>
      </c>
      <c r="AE928" s="20" t="n">
        <f aca="false">Operations!AE926-Inputs!$F$248/100*Operations!AE927</f>
        <v>11.0509321746803</v>
      </c>
      <c r="AF928" s="20" t="n">
        <f aca="false">Operations!AF926-Inputs!$F$248/100*Operations!AF927</f>
        <v>11.0577656954885</v>
      </c>
      <c r="AG928" s="20" t="n">
        <f aca="false">Operations!AG926-Inputs!$F$248/100*Operations!AG927</f>
        <v>11.0617707190758</v>
      </c>
      <c r="AH928" s="20" t="n">
        <f aca="false">Operations!AH926-Inputs!$F$248/100*Operations!AH927</f>
        <v>11.1218738932427</v>
      </c>
      <c r="AI928" s="20" t="n">
        <f aca="false">Operations!AI926-Inputs!$F$248/100*Operations!AI927</f>
        <v>-16.9959576904088</v>
      </c>
      <c r="AJ928" s="20" t="n">
        <f aca="false">Operations!AJ926-Inputs!$F$248/100*Operations!AJ927</f>
        <v>0</v>
      </c>
      <c r="AK928" s="20" t="n">
        <f aca="false">Operations!AK926-Inputs!$F$248/100*Operations!AK927</f>
        <v>0</v>
      </c>
      <c r="AL928" s="20" t="n">
        <f aca="false">Operations!AL926-Inputs!$F$248/100*Operations!AL927</f>
        <v>0</v>
      </c>
      <c r="AM928" s="20" t="n">
        <f aca="false">Operations!AM926-Inputs!$F$248/100*Operations!AM927</f>
        <v>0</v>
      </c>
      <c r="AN928" s="20" t="n">
        <f aca="false">Operations!AN926-Inputs!$F$248/100*Operations!AN927</f>
        <v>0</v>
      </c>
      <c r="AO928" s="20" t="n">
        <f aca="false">Operations!AO926-Inputs!$F$248/100*Operations!AO927</f>
        <v>0</v>
      </c>
      <c r="AP928" s="20" t="n">
        <f aca="false">Operations!AP926-Inputs!$F$248/100*Operations!AP927</f>
        <v>0</v>
      </c>
      <c r="AQ928" s="20" t="n">
        <f aca="false">Operations!AQ926-Inputs!$F$248/100*Operations!AQ927</f>
        <v>0</v>
      </c>
      <c r="AR928" s="20" t="n">
        <f aca="false">Operations!AR926-Inputs!$F$248/100*Operations!AR927</f>
        <v>0</v>
      </c>
      <c r="AS928" s="20" t="n">
        <f aca="false">Operations!AS926-Inputs!$F$248/100*Operations!AS927</f>
        <v>0</v>
      </c>
      <c r="AT928" s="20" t="n">
        <f aca="false">Operations!AT926-Inputs!$F$248/100*Operations!AT927</f>
        <v>0</v>
      </c>
      <c r="AU928" s="20" t="n">
        <f aca="false">Operations!AU926-Inputs!$F$248/100*Operations!AU927</f>
        <v>0</v>
      </c>
    </row>
    <row r="929" customFormat="false" ht="15" hidden="false" customHeight="false" outlineLevel="0" collapsed="false">
      <c r="D929" s="0" t="s">
        <v>535</v>
      </c>
      <c r="E929" s="0" t="s">
        <v>458</v>
      </c>
      <c r="J929" s="14" t="n">
        <f aca="false">IF(Operations!J914=0,0,Operations!J911/Operations!J914)</f>
        <v>1</v>
      </c>
      <c r="K929" s="14" t="n">
        <f aca="false">IF(Operations!K914=0,0,Operations!K911/Operations!K914)</f>
        <v>1</v>
      </c>
      <c r="L929" s="14" t="n">
        <f aca="false">IF(Operations!L914=0,0,Operations!L911/Operations!L914)</f>
        <v>1</v>
      </c>
      <c r="M929" s="14" t="n">
        <f aca="false">IF(Operations!M914=0,0,Operations!M911/Operations!M914)</f>
        <v>1</v>
      </c>
      <c r="N929" s="14" t="n">
        <f aca="false">IF(Operations!N914=0,0,Operations!N911/Operations!N914)</f>
        <v>1</v>
      </c>
      <c r="O929" s="14" t="n">
        <f aca="false">IF(Operations!O914=0,0,Operations!O911/Operations!O914)</f>
        <v>1</v>
      </c>
      <c r="P929" s="14" t="n">
        <f aca="false">IF(Operations!P914=0,0,Operations!P911/Operations!P914)</f>
        <v>1</v>
      </c>
      <c r="Q929" s="14" t="n">
        <f aca="false">IF(Operations!Q914=0,0,Operations!Q911/Operations!Q914)</f>
        <v>0.410252121358354</v>
      </c>
      <c r="R929" s="14" t="n">
        <f aca="false">IF(Operations!R914=0,0,Operations!R911/Operations!R914)</f>
        <v>0</v>
      </c>
      <c r="S929" s="14" t="n">
        <f aca="false">IF(Operations!S914=0,0,Operations!S911/Operations!S914)</f>
        <v>0</v>
      </c>
      <c r="T929" s="14" t="n">
        <f aca="false">IF(Operations!T914=0,0,Operations!T911/Operations!T914)</f>
        <v>0</v>
      </c>
      <c r="U929" s="14" t="n">
        <f aca="false">IF(Operations!U914=0,0,Operations!U911/Operations!U914)</f>
        <v>0</v>
      </c>
      <c r="V929" s="14" t="n">
        <f aca="false">IF(Operations!V914=0,0,Operations!V911/Operations!V914)</f>
        <v>0</v>
      </c>
      <c r="W929" s="14" t="n">
        <f aca="false">IF(Operations!W914=0,0,Operations!W911/Operations!W914)</f>
        <v>0</v>
      </c>
      <c r="X929" s="14" t="n">
        <f aca="false">IF(Operations!X914=0,0,Operations!X911/Operations!X914)</f>
        <v>0</v>
      </c>
      <c r="Y929" s="14" t="n">
        <f aca="false">IF(Operations!Y914=0,0,Operations!Y911/Operations!Y914)</f>
        <v>0</v>
      </c>
      <c r="Z929" s="14" t="n">
        <f aca="false">IF(Operations!Z914=0,0,Operations!Z911/Operations!Z914)</f>
        <v>0</v>
      </c>
      <c r="AA929" s="14" t="n">
        <f aca="false">IF(Operations!AA914=0,0,Operations!AA911/Operations!AA914)</f>
        <v>0</v>
      </c>
      <c r="AB929" s="14" t="n">
        <f aca="false">IF(Operations!AB914=0,0,Operations!AB911/Operations!AB914)</f>
        <v>0</v>
      </c>
      <c r="AC929" s="14" t="n">
        <f aca="false">IF(Operations!AC914=0,0,Operations!AC911/Operations!AC914)</f>
        <v>0</v>
      </c>
      <c r="AD929" s="14" t="n">
        <f aca="false">IF(Operations!AD914=0,0,Operations!AD911/Operations!AD914)</f>
        <v>0</v>
      </c>
      <c r="AE929" s="14" t="n">
        <f aca="false">IF(Operations!AE914=0,0,Operations!AE911/Operations!AE914)</f>
        <v>0</v>
      </c>
      <c r="AF929" s="14" t="n">
        <f aca="false">IF(Operations!AF914=0,0,Operations!AF911/Operations!AF914)</f>
        <v>0</v>
      </c>
      <c r="AG929" s="14" t="n">
        <f aca="false">IF(Operations!AG914=0,0,Operations!AG911/Operations!AG914)</f>
        <v>0</v>
      </c>
      <c r="AH929" s="14" t="n">
        <f aca="false">IF(Operations!AH914=0,0,Operations!AH911/Operations!AH914)</f>
        <v>0</v>
      </c>
      <c r="AI929" s="14" t="n">
        <f aca="false">IF(Operations!AI914=0,0,Operations!AI911/Operations!AI914)</f>
        <v>0</v>
      </c>
      <c r="AJ929" s="14" t="n">
        <f aca="false">IF(Operations!AJ914=0,0,Operations!AJ911/Operations!AJ914)</f>
        <v>0</v>
      </c>
      <c r="AK929" s="14" t="n">
        <f aca="false">IF(Operations!AK914=0,0,Operations!AK911/Operations!AK914)</f>
        <v>0</v>
      </c>
      <c r="AL929" s="14" t="n">
        <f aca="false">IF(Operations!AL914=0,0,Operations!AL911/Operations!AL914)</f>
        <v>0</v>
      </c>
      <c r="AM929" s="14" t="n">
        <f aca="false">IF(Operations!AM914=0,0,Operations!AM911/Operations!AM914)</f>
        <v>0</v>
      </c>
      <c r="AN929" s="14" t="n">
        <f aca="false">IF(Operations!AN914=0,0,Operations!AN911/Operations!AN914)</f>
        <v>0</v>
      </c>
      <c r="AO929" s="14" t="n">
        <f aca="false">IF(Operations!AO914=0,0,Operations!AO911/Operations!AO914)</f>
        <v>0</v>
      </c>
      <c r="AP929" s="14" t="n">
        <f aca="false">IF(Operations!AP914=0,0,Operations!AP911/Operations!AP914)</f>
        <v>0</v>
      </c>
      <c r="AQ929" s="14" t="n">
        <f aca="false">IF(Operations!AQ914=0,0,Operations!AQ911/Operations!AQ914)</f>
        <v>0</v>
      </c>
      <c r="AR929" s="14" t="n">
        <f aca="false">IF(Operations!AR914=0,0,Operations!AR911/Operations!AR914)</f>
        <v>0</v>
      </c>
      <c r="AS929" s="14" t="n">
        <f aca="false">IF(Operations!AS914=0,0,Operations!AS911/Operations!AS914)</f>
        <v>0</v>
      </c>
      <c r="AT929" s="14" t="n">
        <f aca="false">IF(Operations!AT914=0,0,Operations!AT911/Operations!AT914)</f>
        <v>0</v>
      </c>
      <c r="AU929" s="14" t="n">
        <f aca="false">IF(Operations!AU914=0,0,Operations!AU911/Operations!AU914)</f>
        <v>0</v>
      </c>
    </row>
    <row r="930" customFormat="false" ht="15" hidden="false" customHeight="false" outlineLevel="0" collapsed="false">
      <c r="D930" s="0" t="s">
        <v>536</v>
      </c>
      <c r="E930" s="0" t="s">
        <v>458</v>
      </c>
      <c r="J930" s="14" t="n">
        <f aca="false">IF(Operations!J914=0,0,Operations!J912/Operations!J914)</f>
        <v>0</v>
      </c>
      <c r="K930" s="14" t="n">
        <f aca="false">IF(Operations!K914=0,0,Operations!K912/Operations!K914)</f>
        <v>0</v>
      </c>
      <c r="L930" s="14" t="n">
        <f aca="false">IF(Operations!L914=0,0,Operations!L912/Operations!L914)</f>
        <v>0</v>
      </c>
      <c r="M930" s="14" t="n">
        <f aca="false">IF(Operations!M914=0,0,Operations!M912/Operations!M914)</f>
        <v>0</v>
      </c>
      <c r="N930" s="14" t="n">
        <f aca="false">IF(Operations!N914=0,0,Operations!N912/Operations!N914)</f>
        <v>0</v>
      </c>
      <c r="O930" s="14" t="n">
        <f aca="false">IF(Operations!O914=0,0,Operations!O912/Operations!O914)</f>
        <v>0</v>
      </c>
      <c r="P930" s="14" t="n">
        <f aca="false">IF(Operations!P914=0,0,Operations!P912/Operations!P914)</f>
        <v>0</v>
      </c>
      <c r="Q930" s="14" t="n">
        <f aca="false">IF(Operations!Q914=0,0,Operations!Q912/Operations!Q914)</f>
        <v>0</v>
      </c>
      <c r="R930" s="14" t="n">
        <f aca="false">IF(Operations!R914=0,0,Operations!R912/Operations!R914)</f>
        <v>0</v>
      </c>
      <c r="S930" s="14" t="n">
        <f aca="false">IF(Operations!S914=0,0,Operations!S912/Operations!S914)</f>
        <v>0</v>
      </c>
      <c r="T930" s="14" t="n">
        <f aca="false">IF(Operations!T914=0,0,Operations!T912/Operations!T914)</f>
        <v>0</v>
      </c>
      <c r="U930" s="14" t="n">
        <f aca="false">IF(Operations!U914=0,0,Operations!U912/Operations!U914)</f>
        <v>0</v>
      </c>
      <c r="V930" s="14" t="n">
        <f aca="false">IF(Operations!V914=0,0,Operations!V912/Operations!V914)</f>
        <v>0</v>
      </c>
      <c r="W930" s="14" t="n">
        <f aca="false">IF(Operations!W914=0,0,Operations!W912/Operations!W914)</f>
        <v>0</v>
      </c>
      <c r="X930" s="14" t="n">
        <f aca="false">IF(Operations!X914=0,0,Operations!X912/Operations!X914)</f>
        <v>0</v>
      </c>
      <c r="Y930" s="14" t="n">
        <f aca="false">IF(Operations!Y914=0,0,Operations!Y912/Operations!Y914)</f>
        <v>0</v>
      </c>
      <c r="Z930" s="14" t="n">
        <f aca="false">IF(Operations!Z914=0,0,Operations!Z912/Operations!Z914)</f>
        <v>0</v>
      </c>
      <c r="AA930" s="14" t="n">
        <f aca="false">IF(Operations!AA914=0,0,Operations!AA912/Operations!AA914)</f>
        <v>0</v>
      </c>
      <c r="AB930" s="14" t="n">
        <f aca="false">IF(Operations!AB914=0,0,Operations!AB912/Operations!AB914)</f>
        <v>0</v>
      </c>
      <c r="AC930" s="14" t="n">
        <f aca="false">IF(Operations!AC914=0,0,Operations!AC912/Operations!AC914)</f>
        <v>0</v>
      </c>
      <c r="AD930" s="14" t="n">
        <f aca="false">IF(Operations!AD914=0,0,Operations!AD912/Operations!AD914)</f>
        <v>0</v>
      </c>
      <c r="AE930" s="14" t="n">
        <f aca="false">IF(Operations!AE914=0,0,Operations!AE912/Operations!AE914)</f>
        <v>0</v>
      </c>
      <c r="AF930" s="14" t="n">
        <f aca="false">IF(Operations!AF914=0,0,Operations!AF912/Operations!AF914)</f>
        <v>0</v>
      </c>
      <c r="AG930" s="14" t="n">
        <f aca="false">IF(Operations!AG914=0,0,Operations!AG912/Operations!AG914)</f>
        <v>0</v>
      </c>
      <c r="AH930" s="14" t="n">
        <f aca="false">IF(Operations!AH914=0,0,Operations!AH912/Operations!AH914)</f>
        <v>0</v>
      </c>
      <c r="AI930" s="14" t="n">
        <f aca="false">IF(Operations!AI914=0,0,Operations!AI912/Operations!AI914)</f>
        <v>0</v>
      </c>
      <c r="AJ930" s="14" t="n">
        <f aca="false">IF(Operations!AJ914=0,0,Operations!AJ912/Operations!AJ914)</f>
        <v>0</v>
      </c>
      <c r="AK930" s="14" t="n">
        <f aca="false">IF(Operations!AK914=0,0,Operations!AK912/Operations!AK914)</f>
        <v>0</v>
      </c>
      <c r="AL930" s="14" t="n">
        <f aca="false">IF(Operations!AL914=0,0,Operations!AL912/Operations!AL914)</f>
        <v>0</v>
      </c>
      <c r="AM930" s="14" t="n">
        <f aca="false">IF(Operations!AM914=0,0,Operations!AM912/Operations!AM914)</f>
        <v>0</v>
      </c>
      <c r="AN930" s="14" t="n">
        <f aca="false">IF(Operations!AN914=0,0,Operations!AN912/Operations!AN914)</f>
        <v>0</v>
      </c>
      <c r="AO930" s="14" t="n">
        <f aca="false">IF(Operations!AO914=0,0,Operations!AO912/Operations!AO914)</f>
        <v>0</v>
      </c>
      <c r="AP930" s="14" t="n">
        <f aca="false">IF(Operations!AP914=0,0,Operations!AP912/Operations!AP914)</f>
        <v>0</v>
      </c>
      <c r="AQ930" s="14" t="n">
        <f aca="false">IF(Operations!AQ914=0,0,Operations!AQ912/Operations!AQ914)</f>
        <v>0</v>
      </c>
      <c r="AR930" s="14" t="n">
        <f aca="false">IF(Operations!AR914=0,0,Operations!AR912/Operations!AR914)</f>
        <v>0</v>
      </c>
      <c r="AS930" s="14" t="n">
        <f aca="false">IF(Operations!AS914=0,0,Operations!AS912/Operations!AS914)</f>
        <v>0</v>
      </c>
      <c r="AT930" s="14" t="n">
        <f aca="false">IF(Operations!AT914=0,0,Operations!AT912/Operations!AT914)</f>
        <v>0</v>
      </c>
      <c r="AU930" s="14" t="n">
        <f aca="false">IF(Operations!AU914=0,0,Operations!AU912/Operations!AU914)</f>
        <v>0</v>
      </c>
    </row>
    <row r="931" customFormat="false" ht="15" hidden="false" customHeight="false" outlineLevel="0" collapsed="false">
      <c r="D931" s="0" t="s">
        <v>537</v>
      </c>
      <c r="E931" s="0" t="s">
        <v>458</v>
      </c>
      <c r="J931" s="14" t="n">
        <f aca="false">1-Operations!J929-Operations!J930</f>
        <v>0</v>
      </c>
      <c r="K931" s="14" t="n">
        <f aca="false">1-Operations!K929-Operations!K930</f>
        <v>0</v>
      </c>
      <c r="L931" s="14" t="n">
        <f aca="false">1-Operations!L929-Operations!L930</f>
        <v>0</v>
      </c>
      <c r="M931" s="14" t="n">
        <f aca="false">1-Operations!M929-Operations!M930</f>
        <v>0</v>
      </c>
      <c r="N931" s="14" t="n">
        <f aca="false">1-Operations!N929-Operations!N930</f>
        <v>0</v>
      </c>
      <c r="O931" s="14" t="n">
        <f aca="false">1-Operations!O929-Operations!O930</f>
        <v>0</v>
      </c>
      <c r="P931" s="14" t="n">
        <f aca="false">1-Operations!P929-Operations!P930</f>
        <v>0</v>
      </c>
      <c r="Q931" s="14" t="n">
        <f aca="false">1-Operations!Q929-Operations!Q930</f>
        <v>0.589747878641646</v>
      </c>
      <c r="R931" s="14" t="n">
        <f aca="false">1-Operations!R929-Operations!R930</f>
        <v>1</v>
      </c>
      <c r="S931" s="14" t="n">
        <f aca="false">1-Operations!S929-Operations!S930</f>
        <v>1</v>
      </c>
      <c r="T931" s="14" t="n">
        <f aca="false">1-Operations!T929-Operations!T930</f>
        <v>1</v>
      </c>
      <c r="U931" s="14" t="n">
        <f aca="false">1-Operations!U929-Operations!U930</f>
        <v>1</v>
      </c>
      <c r="V931" s="14" t="n">
        <f aca="false">1-Operations!V929-Operations!V930</f>
        <v>1</v>
      </c>
      <c r="W931" s="14" t="n">
        <f aca="false">1-Operations!W929-Operations!W930</f>
        <v>1</v>
      </c>
      <c r="X931" s="14" t="n">
        <f aca="false">1-Operations!X929-Operations!X930</f>
        <v>1</v>
      </c>
      <c r="Y931" s="14" t="n">
        <f aca="false">1-Operations!Y929-Operations!Y930</f>
        <v>1</v>
      </c>
      <c r="Z931" s="14" t="n">
        <f aca="false">1-Operations!Z929-Operations!Z930</f>
        <v>1</v>
      </c>
      <c r="AA931" s="14" t="n">
        <f aca="false">1-Operations!AA929-Operations!AA930</f>
        <v>1</v>
      </c>
      <c r="AB931" s="14" t="n">
        <f aca="false">1-Operations!AB929-Operations!AB930</f>
        <v>1</v>
      </c>
      <c r="AC931" s="14" t="n">
        <f aca="false">1-Operations!AC929-Operations!AC930</f>
        <v>1</v>
      </c>
      <c r="AD931" s="14" t="n">
        <f aca="false">1-Operations!AD929-Operations!AD930</f>
        <v>1</v>
      </c>
      <c r="AE931" s="14" t="n">
        <f aca="false">1-Operations!AE929-Operations!AE930</f>
        <v>1</v>
      </c>
      <c r="AF931" s="14" t="n">
        <f aca="false">1-Operations!AF929-Operations!AF930</f>
        <v>1</v>
      </c>
      <c r="AG931" s="14" t="n">
        <f aca="false">1-Operations!AG929-Operations!AG930</f>
        <v>1</v>
      </c>
      <c r="AH931" s="14" t="n">
        <f aca="false">1-Operations!AH929-Operations!AH930</f>
        <v>1</v>
      </c>
      <c r="AI931" s="14" t="n">
        <f aca="false">1-Operations!AI929-Operations!AI930</f>
        <v>1</v>
      </c>
      <c r="AJ931" s="14" t="n">
        <f aca="false">1-Operations!AJ929-Operations!AJ930</f>
        <v>1</v>
      </c>
      <c r="AK931" s="14" t="n">
        <f aca="false">1-Operations!AK929-Operations!AK930</f>
        <v>1</v>
      </c>
      <c r="AL931" s="14" t="n">
        <f aca="false">1-Operations!AL929-Operations!AL930</f>
        <v>1</v>
      </c>
      <c r="AM931" s="14" t="n">
        <f aca="false">1-Operations!AM929-Operations!AM930</f>
        <v>1</v>
      </c>
      <c r="AN931" s="14" t="n">
        <f aca="false">1-Operations!AN929-Operations!AN930</f>
        <v>1</v>
      </c>
      <c r="AO931" s="14" t="n">
        <f aca="false">1-Operations!AO929-Operations!AO930</f>
        <v>1</v>
      </c>
      <c r="AP931" s="14" t="n">
        <f aca="false">1-Operations!AP929-Operations!AP930</f>
        <v>1</v>
      </c>
      <c r="AQ931" s="14" t="n">
        <f aca="false">1-Operations!AQ929-Operations!AQ930</f>
        <v>1</v>
      </c>
      <c r="AR931" s="14" t="n">
        <f aca="false">1-Operations!AR929-Operations!AR930</f>
        <v>1</v>
      </c>
      <c r="AS931" s="14" t="n">
        <f aca="false">1-Operations!AS929-Operations!AS930</f>
        <v>1</v>
      </c>
      <c r="AT931" s="14" t="n">
        <f aca="false">1-Operations!AT929-Operations!AT930</f>
        <v>1</v>
      </c>
      <c r="AU931" s="14" t="n">
        <f aca="false">1-Operations!AU929-Operations!AU930</f>
        <v>1</v>
      </c>
    </row>
    <row r="932" customFormat="false" ht="15" hidden="false" customHeight="false" outlineLevel="0" collapsed="false">
      <c r="D932" s="0" t="s">
        <v>538</v>
      </c>
      <c r="E932" s="0" t="s">
        <v>47</v>
      </c>
      <c r="J932" s="20" t="n">
        <f aca="false">Operations!J911*Operations!J897*(1-Operations!J924)</f>
        <v>15.1975599990654</v>
      </c>
      <c r="K932" s="20" t="n">
        <f aca="false">Operations!K911*Operations!K897*(1-Operations!K924)</f>
        <v>19.4930112002097</v>
      </c>
      <c r="L932" s="20" t="n">
        <f aca="false">Operations!L911*Operations!L897*(1-Operations!L924)</f>
        <v>19.4540251778093</v>
      </c>
      <c r="M932" s="20" t="n">
        <f aca="false">Operations!M911*Operations!M897*(1-Operations!M924)</f>
        <v>19.4151171274537</v>
      </c>
      <c r="N932" s="20" t="n">
        <f aca="false">Operations!N911*Operations!N897*(1-Operations!N924)</f>
        <v>19.3762868931987</v>
      </c>
      <c r="O932" s="20" t="n">
        <f aca="false">Operations!O911*Operations!O897*(1-Operations!O924)</f>
        <v>19.3375343194124</v>
      </c>
      <c r="P932" s="20" t="n">
        <f aca="false">Operations!P911*Operations!P897*(1-Operations!P924)</f>
        <v>19.2988592507735</v>
      </c>
      <c r="Q932" s="20" t="n">
        <f aca="false">Operations!Q911*Operations!Q897*(1-Operations!Q924)</f>
        <v>9.55097900641433</v>
      </c>
      <c r="R932" s="20" t="n">
        <f aca="false">Operations!R911*Operations!R897*(1-Operations!R924)</f>
        <v>0</v>
      </c>
      <c r="S932" s="20" t="n">
        <f aca="false">Operations!S911*Operations!S897*(1-Operations!S924)</f>
        <v>0</v>
      </c>
      <c r="T932" s="20" t="n">
        <f aca="false">Operations!T911*Operations!T897*(1-Operations!T924)</f>
        <v>0</v>
      </c>
      <c r="U932" s="20" t="n">
        <f aca="false">Operations!U911*Operations!U897*(1-Operations!U924)</f>
        <v>0</v>
      </c>
      <c r="V932" s="20" t="n">
        <f aca="false">Operations!V911*Operations!V897*(1-Operations!V924)</f>
        <v>0</v>
      </c>
      <c r="W932" s="20" t="n">
        <f aca="false">Operations!W911*Operations!W897*(1-Operations!W924)</f>
        <v>0</v>
      </c>
      <c r="X932" s="20" t="n">
        <f aca="false">Operations!X911*Operations!X897*(1-Operations!X924)</f>
        <v>0</v>
      </c>
      <c r="Y932" s="20" t="n">
        <f aca="false">Operations!Y911*Operations!Y897*(1-Operations!Y924)</f>
        <v>0</v>
      </c>
      <c r="Z932" s="20" t="n">
        <f aca="false">Operations!Z911*Operations!Z897*(1-Operations!Z924)</f>
        <v>0</v>
      </c>
      <c r="AA932" s="20" t="n">
        <f aca="false">Operations!AA911*Operations!AA897*(1-Operations!AA924)</f>
        <v>0</v>
      </c>
      <c r="AB932" s="20" t="n">
        <f aca="false">Operations!AB911*Operations!AB897*(1-Operations!AB924)</f>
        <v>0</v>
      </c>
      <c r="AC932" s="20" t="n">
        <f aca="false">Operations!AC911*Operations!AC897*(1-Operations!AC924)</f>
        <v>0</v>
      </c>
      <c r="AD932" s="20" t="n">
        <f aca="false">Operations!AD911*Operations!AD897*(1-Operations!AD924)</f>
        <v>0</v>
      </c>
      <c r="AE932" s="20" t="n">
        <f aca="false">Operations!AE911*Operations!AE897*(1-Operations!AE924)</f>
        <v>0</v>
      </c>
      <c r="AF932" s="20" t="n">
        <f aca="false">Operations!AF911*Operations!AF897*(1-Operations!AF924)</f>
        <v>0</v>
      </c>
      <c r="AG932" s="20" t="n">
        <f aca="false">Operations!AG911*Operations!AG897*(1-Operations!AG924)</f>
        <v>0</v>
      </c>
      <c r="AH932" s="20" t="n">
        <f aca="false">Operations!AH911*Operations!AH897*(1-Operations!AH924)</f>
        <v>0</v>
      </c>
      <c r="AI932" s="20" t="n">
        <f aca="false">Operations!AI911*Operations!AI897*(1-Operations!AI924)</f>
        <v>0</v>
      </c>
      <c r="AJ932" s="20" t="n">
        <f aca="false">Operations!AJ911*Operations!AJ897*(1-Operations!AJ924)</f>
        <v>0</v>
      </c>
      <c r="AK932" s="20" t="n">
        <f aca="false">Operations!AK911*Operations!AK897*(1-Operations!AK924)</f>
        <v>0</v>
      </c>
      <c r="AL932" s="20" t="n">
        <f aca="false">Operations!AL911*Operations!AL897*(1-Operations!AL924)</f>
        <v>0</v>
      </c>
      <c r="AM932" s="20" t="n">
        <f aca="false">Operations!AM911*Operations!AM897*(1-Operations!AM924)</f>
        <v>0</v>
      </c>
      <c r="AN932" s="20" t="n">
        <f aca="false">Operations!AN911*Operations!AN897*(1-Operations!AN924)</f>
        <v>0</v>
      </c>
      <c r="AO932" s="20" t="n">
        <f aca="false">Operations!AO911*Operations!AO897*(1-Operations!AO924)</f>
        <v>0</v>
      </c>
      <c r="AP932" s="20" t="n">
        <f aca="false">Operations!AP911*Operations!AP897*(1-Operations!AP924)</f>
        <v>0</v>
      </c>
      <c r="AQ932" s="20" t="n">
        <f aca="false">Operations!AQ911*Operations!AQ897*(1-Operations!AQ924)</f>
        <v>0</v>
      </c>
      <c r="AR932" s="20" t="n">
        <f aca="false">Operations!AR911*Operations!AR897*(1-Operations!AR924)</f>
        <v>0</v>
      </c>
      <c r="AS932" s="20" t="n">
        <f aca="false">Operations!AS911*Operations!AS897*(1-Operations!AS924)</f>
        <v>0</v>
      </c>
      <c r="AT932" s="20" t="n">
        <f aca="false">Operations!AT911*Operations!AT897*(1-Operations!AT924)</f>
        <v>0</v>
      </c>
      <c r="AU932" s="20" t="n">
        <f aca="false">Operations!AU911*Operations!AU897*(1-Operations!AU924)</f>
        <v>0</v>
      </c>
    </row>
    <row r="933" customFormat="false" ht="15" hidden="false" customHeight="false" outlineLevel="0" collapsed="false">
      <c r="D933" s="0" t="s">
        <v>539</v>
      </c>
      <c r="E933" s="0" t="s">
        <v>47</v>
      </c>
      <c r="J933" s="20" t="n">
        <f aca="false">Operations!J912*Operations!J897*(1-Operations!J924)</f>
        <v>0</v>
      </c>
      <c r="K933" s="20" t="n">
        <f aca="false">Operations!K912*Operations!K897*(1-Operations!K924)</f>
        <v>0</v>
      </c>
      <c r="L933" s="20" t="n">
        <f aca="false">Operations!L912*Operations!L897*(1-Operations!L924)</f>
        <v>0</v>
      </c>
      <c r="M933" s="20" t="n">
        <f aca="false">Operations!M912*Operations!M897*(1-Operations!M924)</f>
        <v>0</v>
      </c>
      <c r="N933" s="20" t="n">
        <f aca="false">Operations!N912*Operations!N897*(1-Operations!N924)</f>
        <v>0</v>
      </c>
      <c r="O933" s="20" t="n">
        <f aca="false">Operations!O912*Operations!O897*(1-Operations!O924)</f>
        <v>0</v>
      </c>
      <c r="P933" s="20" t="n">
        <f aca="false">Operations!P912*Operations!P897*(1-Operations!P924)</f>
        <v>0</v>
      </c>
      <c r="Q933" s="20" t="n">
        <f aca="false">Operations!Q912*Operations!Q897*(1-Operations!Q924)</f>
        <v>0</v>
      </c>
      <c r="R933" s="20" t="n">
        <f aca="false">Operations!R912*Operations!R897*(1-Operations!R924)</f>
        <v>0</v>
      </c>
      <c r="S933" s="20" t="n">
        <f aca="false">Operations!S912*Operations!S897*(1-Operations!S924)</f>
        <v>0</v>
      </c>
      <c r="T933" s="20" t="n">
        <f aca="false">Operations!T912*Operations!T897*(1-Operations!T924)</f>
        <v>0</v>
      </c>
      <c r="U933" s="20" t="n">
        <f aca="false">Operations!U912*Operations!U897*(1-Operations!U924)</f>
        <v>0</v>
      </c>
      <c r="V933" s="20" t="n">
        <f aca="false">Operations!V912*Operations!V897*(1-Operations!V924)</f>
        <v>0</v>
      </c>
      <c r="W933" s="20" t="n">
        <f aca="false">Operations!W912*Operations!W897*(1-Operations!W924)</f>
        <v>0</v>
      </c>
      <c r="X933" s="20" t="n">
        <f aca="false">Operations!X912*Operations!X897*(1-Operations!X924)</f>
        <v>0</v>
      </c>
      <c r="Y933" s="20" t="n">
        <f aca="false">Operations!Y912*Operations!Y897*(1-Operations!Y924)</f>
        <v>0</v>
      </c>
      <c r="Z933" s="20" t="n">
        <f aca="false">Operations!Z912*Operations!Z897*(1-Operations!Z924)</f>
        <v>0</v>
      </c>
      <c r="AA933" s="20" t="n">
        <f aca="false">Operations!AA912*Operations!AA897*(1-Operations!AA924)</f>
        <v>0</v>
      </c>
      <c r="AB933" s="20" t="n">
        <f aca="false">Operations!AB912*Operations!AB897*(1-Operations!AB924)</f>
        <v>0</v>
      </c>
      <c r="AC933" s="20" t="n">
        <f aca="false">Operations!AC912*Operations!AC897*(1-Operations!AC924)</f>
        <v>0</v>
      </c>
      <c r="AD933" s="20" t="n">
        <f aca="false">Operations!AD912*Operations!AD897*(1-Operations!AD924)</f>
        <v>0</v>
      </c>
      <c r="AE933" s="20" t="n">
        <f aca="false">Operations!AE912*Operations!AE897*(1-Operations!AE924)</f>
        <v>0</v>
      </c>
      <c r="AF933" s="20" t="n">
        <f aca="false">Operations!AF912*Operations!AF897*(1-Operations!AF924)</f>
        <v>0</v>
      </c>
      <c r="AG933" s="20" t="n">
        <f aca="false">Operations!AG912*Operations!AG897*(1-Operations!AG924)</f>
        <v>0</v>
      </c>
      <c r="AH933" s="20" t="n">
        <f aca="false">Operations!AH912*Operations!AH897*(1-Operations!AH924)</f>
        <v>0</v>
      </c>
      <c r="AI933" s="20" t="n">
        <f aca="false">Operations!AI912*Operations!AI897*(1-Operations!AI924)</f>
        <v>0</v>
      </c>
      <c r="AJ933" s="20" t="n">
        <f aca="false">Operations!AJ912*Operations!AJ897*(1-Operations!AJ924)</f>
        <v>0</v>
      </c>
      <c r="AK933" s="20" t="n">
        <f aca="false">Operations!AK912*Operations!AK897*(1-Operations!AK924)</f>
        <v>0</v>
      </c>
      <c r="AL933" s="20" t="n">
        <f aca="false">Operations!AL912*Operations!AL897*(1-Operations!AL924)</f>
        <v>0</v>
      </c>
      <c r="AM933" s="20" t="n">
        <f aca="false">Operations!AM912*Operations!AM897*(1-Operations!AM924)</f>
        <v>0</v>
      </c>
      <c r="AN933" s="20" t="n">
        <f aca="false">Operations!AN912*Operations!AN897*(1-Operations!AN924)</f>
        <v>0</v>
      </c>
      <c r="AO933" s="20" t="n">
        <f aca="false">Operations!AO912*Operations!AO897*(1-Operations!AO924)</f>
        <v>0</v>
      </c>
      <c r="AP933" s="20" t="n">
        <f aca="false">Operations!AP912*Operations!AP897*(1-Operations!AP924)</f>
        <v>0</v>
      </c>
      <c r="AQ933" s="20" t="n">
        <f aca="false">Operations!AQ912*Operations!AQ897*(1-Operations!AQ924)</f>
        <v>0</v>
      </c>
      <c r="AR933" s="20" t="n">
        <f aca="false">Operations!AR912*Operations!AR897*(1-Operations!AR924)</f>
        <v>0</v>
      </c>
      <c r="AS933" s="20" t="n">
        <f aca="false">Operations!AS912*Operations!AS897*(1-Operations!AS924)</f>
        <v>0</v>
      </c>
      <c r="AT933" s="20" t="n">
        <f aca="false">Operations!AT912*Operations!AT897*(1-Operations!AT924)</f>
        <v>0</v>
      </c>
      <c r="AU933" s="20" t="n">
        <f aca="false">Operations!AU912*Operations!AU897*(1-Operations!AU924)</f>
        <v>0</v>
      </c>
    </row>
    <row r="934" customFormat="false" ht="15" hidden="false" customHeight="false" outlineLevel="0" collapsed="false">
      <c r="D934" s="0" t="s">
        <v>540</v>
      </c>
      <c r="E934" s="0" t="s">
        <v>47</v>
      </c>
      <c r="J934" s="20" t="n">
        <f aca="false">Operations!J915*Operations!J897*(1-Operations!J924)</f>
        <v>0</v>
      </c>
      <c r="K934" s="20" t="n">
        <f aca="false">Operations!K915*Operations!K897*(1-Operations!K924)</f>
        <v>0</v>
      </c>
      <c r="L934" s="20" t="n">
        <f aca="false">Operations!L915*Operations!L897*(1-Operations!L924)</f>
        <v>0</v>
      </c>
      <c r="M934" s="20" t="n">
        <f aca="false">Operations!M915*Operations!M897*(1-Operations!M924)</f>
        <v>0</v>
      </c>
      <c r="N934" s="20" t="n">
        <f aca="false">Operations!N915*Operations!N897*(1-Operations!N924)</f>
        <v>0</v>
      </c>
      <c r="O934" s="20" t="n">
        <f aca="false">Operations!O915*Operations!O897*(1-Operations!O924)</f>
        <v>0</v>
      </c>
      <c r="P934" s="20" t="n">
        <f aca="false">Operations!P915*Operations!P897*(1-Operations!P924)</f>
        <v>0</v>
      </c>
      <c r="Q934" s="20" t="n">
        <f aca="false">Operations!Q915*Operations!Q897*(1-Operations!Q924)</f>
        <v>13.7297757031307</v>
      </c>
      <c r="R934" s="20" t="n">
        <f aca="false">Operations!R915*Operations!R897*(1-Operations!R924)</f>
        <v>27.8419859119729</v>
      </c>
      <c r="S934" s="20" t="n">
        <f aca="false">Operations!S915*Operations!S897*(1-Operations!S924)</f>
        <v>28.248200139426</v>
      </c>
      <c r="T934" s="20" t="n">
        <f aca="false">Operations!T915*Operations!T897*(1-Operations!T924)</f>
        <v>28.6595421241163</v>
      </c>
      <c r="U934" s="20" t="n">
        <f aca="false">Operations!U915*Operations!U897*(1-Operations!U924)</f>
        <v>29.075867459435</v>
      </c>
      <c r="V934" s="20" t="n">
        <f aca="false">Operations!V915*Operations!V897*(1-Operations!V924)</f>
        <v>29.4970327575151</v>
      </c>
      <c r="W934" s="20" t="n">
        <f aca="false">Operations!W915*Operations!W897*(1-Operations!W924)</f>
        <v>29.9228956443776</v>
      </c>
      <c r="X934" s="20" t="n">
        <f aca="false">Operations!X915*Operations!X897*(1-Operations!X924)</f>
        <v>30.3533147550952</v>
      </c>
      <c r="Y934" s="20" t="n">
        <f aca="false">Operations!Y915*Operations!Y897*(1-Operations!Y924)</f>
        <v>30.7933242079213</v>
      </c>
      <c r="Z934" s="20" t="n">
        <f aca="false">Operations!Z915*Operations!Z897*(1-Operations!Z924)</f>
        <v>31.2375536441834</v>
      </c>
      <c r="AA934" s="20" t="n">
        <f aca="false">Operations!AA915*Operations!AA897*(1-Operations!AA924)</f>
        <v>31.6858649742996</v>
      </c>
      <c r="AB934" s="20" t="n">
        <f aca="false">Operations!AB915*Operations!AB897*(1-Operations!AB924)</f>
        <v>32.1432110755602</v>
      </c>
      <c r="AC934" s="20" t="n">
        <f aca="false">Operations!AC915*Operations!AC897*(1-Operations!AC924)</f>
        <v>32.6043098874129</v>
      </c>
      <c r="AD934" s="20" t="n">
        <f aca="false">Operations!AD915*Operations!AD897*(1-Operations!AD924)</f>
        <v>33.0740606510069</v>
      </c>
      <c r="AE934" s="20" t="n">
        <f aca="false">Operations!AE915*Operations!AE897*(1-Operations!AE924)</f>
        <v>33.5472397737909</v>
      </c>
      <c r="AF934" s="20" t="n">
        <f aca="false">Operations!AF915*Operations!AF897*(1-Operations!AF924)</f>
        <v>34.028693203681</v>
      </c>
      <c r="AG934" s="20" t="n">
        <f aca="false">Operations!AG915*Operations!AG897*(1-Operations!AG924)</f>
        <v>34.5182064027959</v>
      </c>
      <c r="AH934" s="20" t="n">
        <f aca="false">Operations!AH915*Operations!AH897*(1-Operations!AH924)</f>
        <v>35.0942005069727</v>
      </c>
      <c r="AI934" s="20" t="n">
        <f aca="false">Operations!AI915*Operations!AI897*(1-Operations!AI924)</f>
        <v>17.7148958586708</v>
      </c>
      <c r="AJ934" s="20" t="n">
        <f aca="false">Operations!AJ915*Operations!AJ897*(1-Operations!AJ924)</f>
        <v>0</v>
      </c>
      <c r="AK934" s="20" t="n">
        <f aca="false">Operations!AK915*Operations!AK897*(1-Operations!AK924)</f>
        <v>0</v>
      </c>
      <c r="AL934" s="20" t="n">
        <f aca="false">Operations!AL915*Operations!AL897*(1-Operations!AL924)</f>
        <v>0</v>
      </c>
      <c r="AM934" s="20" t="n">
        <f aca="false">Operations!AM915*Operations!AM897*(1-Operations!AM924)</f>
        <v>0</v>
      </c>
      <c r="AN934" s="20" t="n">
        <f aca="false">Operations!AN915*Operations!AN897*(1-Operations!AN924)</f>
        <v>0</v>
      </c>
      <c r="AO934" s="20" t="n">
        <f aca="false">Operations!AO915*Operations!AO897*(1-Operations!AO924)</f>
        <v>0</v>
      </c>
      <c r="AP934" s="20" t="n">
        <f aca="false">Operations!AP915*Operations!AP897*(1-Operations!AP924)</f>
        <v>0</v>
      </c>
      <c r="AQ934" s="20" t="n">
        <f aca="false">Operations!AQ915*Operations!AQ897*(1-Operations!AQ924)</f>
        <v>0</v>
      </c>
      <c r="AR934" s="20" t="n">
        <f aca="false">Operations!AR915*Operations!AR897*(1-Operations!AR924)</f>
        <v>0</v>
      </c>
      <c r="AS934" s="20" t="n">
        <f aca="false">Operations!AS915*Operations!AS897*(1-Operations!AS924)</f>
        <v>0</v>
      </c>
      <c r="AT934" s="20" t="n">
        <f aca="false">Operations!AT915*Operations!AT897*(1-Operations!AT924)</f>
        <v>0</v>
      </c>
      <c r="AU934" s="20" t="n">
        <f aca="false">Operations!AU915*Operations!AU897*(1-Operations!AU924)</f>
        <v>0</v>
      </c>
    </row>
    <row r="935" customFormat="false" ht="15" hidden="false" customHeight="false" outlineLevel="0" collapsed="false">
      <c r="D935" s="0" t="s">
        <v>541</v>
      </c>
      <c r="E935" s="0" t="s">
        <v>47</v>
      </c>
      <c r="J935" s="20" t="n">
        <f aca="false">Operations!J914*Operations!J897*(1-Operations!J924)</f>
        <v>15.1975599990654</v>
      </c>
      <c r="K935" s="20" t="n">
        <f aca="false">Operations!K914*Operations!K897*(1-Operations!K924)</f>
        <v>19.4930112002097</v>
      </c>
      <c r="L935" s="20" t="n">
        <f aca="false">Operations!L914*Operations!L897*(1-Operations!L924)</f>
        <v>19.4540251778093</v>
      </c>
      <c r="M935" s="20" t="n">
        <f aca="false">Operations!M914*Operations!M897*(1-Operations!M924)</f>
        <v>19.4151171274537</v>
      </c>
      <c r="N935" s="20" t="n">
        <f aca="false">Operations!N914*Operations!N897*(1-Operations!N924)</f>
        <v>19.3762868931987</v>
      </c>
      <c r="O935" s="20" t="n">
        <f aca="false">Operations!O914*Operations!O897*(1-Operations!O924)</f>
        <v>19.3375343194124</v>
      </c>
      <c r="P935" s="20" t="n">
        <f aca="false">Operations!P914*Operations!P897*(1-Operations!P924)</f>
        <v>19.2988592507735</v>
      </c>
      <c r="Q935" s="20" t="n">
        <f aca="false">Operations!Q914*Operations!Q897*(1-Operations!Q924)</f>
        <v>23.280754709545</v>
      </c>
      <c r="R935" s="20" t="n">
        <f aca="false">Operations!R914*Operations!R897*(1-Operations!R924)</f>
        <v>27.8419859119729</v>
      </c>
      <c r="S935" s="20" t="n">
        <f aca="false">Operations!S914*Operations!S897*(1-Operations!S924)</f>
        <v>28.248200139426</v>
      </c>
      <c r="T935" s="20" t="n">
        <f aca="false">Operations!T914*Operations!T897*(1-Operations!T924)</f>
        <v>28.6595421241163</v>
      </c>
      <c r="U935" s="20" t="n">
        <f aca="false">Operations!U914*Operations!U897*(1-Operations!U924)</f>
        <v>29.075867459435</v>
      </c>
      <c r="V935" s="20" t="n">
        <f aca="false">Operations!V914*Operations!V897*(1-Operations!V924)</f>
        <v>29.4970327575151</v>
      </c>
      <c r="W935" s="20" t="n">
        <f aca="false">Operations!W914*Operations!W897*(1-Operations!W924)</f>
        <v>29.9228956443776</v>
      </c>
      <c r="X935" s="20" t="n">
        <f aca="false">Operations!X914*Operations!X897*(1-Operations!X924)</f>
        <v>30.3533147550952</v>
      </c>
      <c r="Y935" s="20" t="n">
        <f aca="false">Operations!Y914*Operations!Y897*(1-Operations!Y924)</f>
        <v>30.7933242079213</v>
      </c>
      <c r="Z935" s="20" t="n">
        <f aca="false">Operations!Z914*Operations!Z897*(1-Operations!Z924)</f>
        <v>31.2375536441834</v>
      </c>
      <c r="AA935" s="20" t="n">
        <f aca="false">Operations!AA914*Operations!AA897*(1-Operations!AA924)</f>
        <v>31.6858649742996</v>
      </c>
      <c r="AB935" s="20" t="n">
        <f aca="false">Operations!AB914*Operations!AB897*(1-Operations!AB924)</f>
        <v>32.1432110755602</v>
      </c>
      <c r="AC935" s="20" t="n">
        <f aca="false">Operations!AC914*Operations!AC897*(1-Operations!AC924)</f>
        <v>32.6043098874129</v>
      </c>
      <c r="AD935" s="20" t="n">
        <f aca="false">Operations!AD914*Operations!AD897*(1-Operations!AD924)</f>
        <v>33.0740606510069</v>
      </c>
      <c r="AE935" s="20" t="n">
        <f aca="false">Operations!AE914*Operations!AE897*(1-Operations!AE924)</f>
        <v>33.5472397737909</v>
      </c>
      <c r="AF935" s="20" t="n">
        <f aca="false">Operations!AF914*Operations!AF897*(1-Operations!AF924)</f>
        <v>34.028693203681</v>
      </c>
      <c r="AG935" s="20" t="n">
        <f aca="false">Operations!AG914*Operations!AG897*(1-Operations!AG924)</f>
        <v>34.5182064027959</v>
      </c>
      <c r="AH935" s="20" t="n">
        <f aca="false">Operations!AH914*Operations!AH897*(1-Operations!AH924)</f>
        <v>35.0942005069727</v>
      </c>
      <c r="AI935" s="20" t="n">
        <f aca="false">Operations!AI914*Operations!AI897*(1-Operations!AI924)</f>
        <v>17.7148958586708</v>
      </c>
      <c r="AJ935" s="20" t="n">
        <f aca="false">Operations!AJ914*Operations!AJ897*(1-Operations!AJ924)</f>
        <v>0</v>
      </c>
      <c r="AK935" s="20" t="n">
        <f aca="false">Operations!AK914*Operations!AK897*(1-Operations!AK924)</f>
        <v>0</v>
      </c>
      <c r="AL935" s="20" t="n">
        <f aca="false">Operations!AL914*Operations!AL897*(1-Operations!AL924)</f>
        <v>0</v>
      </c>
      <c r="AM935" s="20" t="n">
        <f aca="false">Operations!AM914*Operations!AM897*(1-Operations!AM924)</f>
        <v>0</v>
      </c>
      <c r="AN935" s="20" t="n">
        <f aca="false">Operations!AN914*Operations!AN897*(1-Operations!AN924)</f>
        <v>0</v>
      </c>
      <c r="AO935" s="20" t="n">
        <f aca="false">Operations!AO914*Operations!AO897*(1-Operations!AO924)</f>
        <v>0</v>
      </c>
      <c r="AP935" s="20" t="n">
        <f aca="false">Operations!AP914*Operations!AP897*(1-Operations!AP924)</f>
        <v>0</v>
      </c>
      <c r="AQ935" s="20" t="n">
        <f aca="false">Operations!AQ914*Operations!AQ897*(1-Operations!AQ924)</f>
        <v>0</v>
      </c>
      <c r="AR935" s="20" t="n">
        <f aca="false">Operations!AR914*Operations!AR897*(1-Operations!AR924)</f>
        <v>0</v>
      </c>
      <c r="AS935" s="20" t="n">
        <f aca="false">Operations!AS914*Operations!AS897*(1-Operations!AS924)</f>
        <v>0</v>
      </c>
      <c r="AT935" s="20" t="n">
        <f aca="false">Operations!AT914*Operations!AT897*(1-Operations!AT924)</f>
        <v>0</v>
      </c>
      <c r="AU935" s="20" t="n">
        <f aca="false">Operations!AU914*Operations!AU897*(1-Operations!AU924)</f>
        <v>0</v>
      </c>
    </row>
    <row r="936" customFormat="false" ht="15" hidden="false" customHeight="false" outlineLevel="0" collapsed="false">
      <c r="D936" s="19" t="s">
        <v>542</v>
      </c>
    </row>
    <row r="937" customFormat="false" ht="15" hidden="false" customHeight="false" outlineLevel="0" collapsed="false">
      <c r="D937" s="0" t="s">
        <v>543</v>
      </c>
      <c r="E937" s="0" t="s">
        <v>458</v>
      </c>
      <c r="J937" s="14" t="n">
        <f aca="false">MAX(0,MIN(Inputs!$F$112,Time!J$6)-MAX(Inputs!$F$111,Time!J$5))/Time!J$7</f>
        <v>1</v>
      </c>
      <c r="K937" s="14" t="n">
        <f aca="false">MAX(0,MIN(Inputs!$F$112,Time!K$6)-MAX(Inputs!$F$111,Time!K$5))/Time!K$7</f>
        <v>1</v>
      </c>
      <c r="L937" s="14" t="n">
        <f aca="false">MAX(0,MIN(Inputs!$F$112,Time!L$6)-MAX(Inputs!$F$111,Time!L$5))/Time!L$7</f>
        <v>1</v>
      </c>
      <c r="M937" s="14" t="n">
        <f aca="false">MAX(0,MIN(Inputs!$F$112,Time!M$6)-MAX(Inputs!$F$111,Time!M$5))/Time!M$7</f>
        <v>1</v>
      </c>
      <c r="N937" s="14" t="n">
        <f aca="false">MAX(0,MIN(Inputs!$F$112,Time!N$6)-MAX(Inputs!$F$111,Time!N$5))/Time!N$7</f>
        <v>1</v>
      </c>
      <c r="O937" s="14" t="n">
        <f aca="false">MAX(0,MIN(Inputs!$F$112,Time!O$6)-MAX(Inputs!$F$111,Time!O$5))/Time!O$7</f>
        <v>1</v>
      </c>
      <c r="P937" s="14" t="n">
        <f aca="false">MAX(0,MIN(Inputs!$F$112,Time!P$6)-MAX(Inputs!$F$111,Time!P$5))/Time!P$7</f>
        <v>1</v>
      </c>
      <c r="Q937" s="14" t="n">
        <f aca="false">MAX(0,MIN(Inputs!$F$112,Time!Q$6)-MAX(Inputs!$F$111,Time!Q$5))/Time!Q$7</f>
        <v>1</v>
      </c>
      <c r="R937" s="14" t="n">
        <f aca="false">MAX(0,MIN(Inputs!$F$112,Time!R$6)-MAX(Inputs!$F$111,Time!R$5))/Time!R$7</f>
        <v>1</v>
      </c>
      <c r="S937" s="14" t="n">
        <f aca="false">MAX(0,MIN(Inputs!$F$112,Time!S$6)-MAX(Inputs!$F$111,Time!S$5))/Time!S$7</f>
        <v>1</v>
      </c>
      <c r="T937" s="14" t="n">
        <f aca="false">MAX(0,MIN(Inputs!$F$112,Time!T$6)-MAX(Inputs!$F$111,Time!T$5))/Time!T$7</f>
        <v>1</v>
      </c>
      <c r="U937" s="14" t="n">
        <f aca="false">MAX(0,MIN(Inputs!$F$112,Time!U$6)-MAX(Inputs!$F$111,Time!U$5))/Time!U$7</f>
        <v>1</v>
      </c>
      <c r="V937" s="14" t="n">
        <f aca="false">MAX(0,MIN(Inputs!$F$112,Time!V$6)-MAX(Inputs!$F$111,Time!V$5))/Time!V$7</f>
        <v>1</v>
      </c>
      <c r="W937" s="14" t="n">
        <f aca="false">MAX(0,MIN(Inputs!$F$112,Time!W$6)-MAX(Inputs!$F$111,Time!W$5))/Time!W$7</f>
        <v>1</v>
      </c>
      <c r="X937" s="14" t="n">
        <f aca="false">MAX(0,MIN(Inputs!$F$112,Time!X$6)-MAX(Inputs!$F$111,Time!X$5))/Time!X$7</f>
        <v>1</v>
      </c>
      <c r="Y937" s="14" t="n">
        <f aca="false">MAX(0,MIN(Inputs!$F$112,Time!Y$6)-MAX(Inputs!$F$111,Time!Y$5))/Time!Y$7</f>
        <v>1</v>
      </c>
      <c r="Z937" s="14" t="n">
        <f aca="false">MAX(0,MIN(Inputs!$F$112,Time!Z$6)-MAX(Inputs!$F$111,Time!Z$5))/Time!Z$7</f>
        <v>1</v>
      </c>
      <c r="AA937" s="14" t="n">
        <f aca="false">MAX(0,MIN(Inputs!$F$112,Time!AA$6)-MAX(Inputs!$F$111,Time!AA$5))/Time!AA$7</f>
        <v>1</v>
      </c>
      <c r="AB937" s="14" t="n">
        <f aca="false">MAX(0,MIN(Inputs!$F$112,Time!AB$6)-MAX(Inputs!$F$111,Time!AB$5))/Time!AB$7</f>
        <v>1</v>
      </c>
      <c r="AC937" s="14" t="n">
        <f aca="false">MAX(0,MIN(Inputs!$F$112,Time!AC$6)-MAX(Inputs!$F$111,Time!AC$5))/Time!AC$7</f>
        <v>1</v>
      </c>
      <c r="AD937" s="14" t="n">
        <f aca="false">MAX(0,MIN(Inputs!$F$112,Time!AD$6)-MAX(Inputs!$F$111,Time!AD$5))/Time!AD$7</f>
        <v>1</v>
      </c>
      <c r="AE937" s="14" t="n">
        <f aca="false">MAX(0,MIN(Inputs!$F$112,Time!AE$6)-MAX(Inputs!$F$111,Time!AE$5))/Time!AE$7</f>
        <v>1</v>
      </c>
      <c r="AF937" s="14" t="n">
        <f aca="false">MAX(0,MIN(Inputs!$F$112,Time!AF$6)-MAX(Inputs!$F$111,Time!AF$5))/Time!AF$7</f>
        <v>1</v>
      </c>
      <c r="AG937" s="14" t="n">
        <f aca="false">MAX(0,MIN(Inputs!$F$112,Time!AG$6)-MAX(Inputs!$F$111,Time!AG$5))/Time!AG$7</f>
        <v>1</v>
      </c>
      <c r="AH937" s="14" t="n">
        <f aca="false">MAX(0,MIN(Inputs!$F$112,Time!AH$6)-MAX(Inputs!$F$111,Time!AH$5))/Time!AH$7</f>
        <v>1</v>
      </c>
      <c r="AI937" s="14" t="n">
        <f aca="false">MAX(0,MIN(Inputs!$F$112,Time!AI$6)-MAX(Inputs!$F$111,Time!AI$5))/Time!AI$7</f>
        <v>1</v>
      </c>
      <c r="AJ937" s="14" t="n">
        <f aca="false">MAX(0,MIN(Inputs!$F$112,Time!AJ$6)-MAX(Inputs!$F$111,Time!AJ$5))/Time!AJ$7</f>
        <v>1</v>
      </c>
      <c r="AK937" s="14" t="n">
        <f aca="false">MAX(0,MIN(Inputs!$F$112,Time!AK$6)-MAX(Inputs!$F$111,Time!AK$5))/Time!AK$7</f>
        <v>0.915068493150685</v>
      </c>
      <c r="AL937" s="14" t="n">
        <f aca="false">MAX(0,MIN(Inputs!$F$112,Time!AL$6)-MAX(Inputs!$F$111,Time!AL$5))/Time!AL$7</f>
        <v>0</v>
      </c>
      <c r="AM937" s="14" t="n">
        <f aca="false">MAX(0,MIN(Inputs!$F$112,Time!AM$6)-MAX(Inputs!$F$111,Time!AM$5))/Time!AM$7</f>
        <v>0</v>
      </c>
      <c r="AN937" s="14" t="n">
        <f aca="false">MAX(0,MIN(Inputs!$F$112,Time!AN$6)-MAX(Inputs!$F$111,Time!AN$5))/Time!AN$7</f>
        <v>0</v>
      </c>
      <c r="AO937" s="14" t="n">
        <f aca="false">MAX(0,MIN(Inputs!$F$112,Time!AO$6)-MAX(Inputs!$F$111,Time!AO$5))/Time!AO$7</f>
        <v>0</v>
      </c>
      <c r="AP937" s="14" t="n">
        <f aca="false">MAX(0,MIN(Inputs!$F$112,Time!AP$6)-MAX(Inputs!$F$111,Time!AP$5))/Time!AP$7</f>
        <v>0</v>
      </c>
      <c r="AQ937" s="14" t="n">
        <f aca="false">MAX(0,MIN(Inputs!$F$112,Time!AQ$6)-MAX(Inputs!$F$111,Time!AQ$5))/Time!AQ$7</f>
        <v>0</v>
      </c>
      <c r="AR937" s="14" t="n">
        <f aca="false">MAX(0,MIN(Inputs!$F$112,Time!AR$6)-MAX(Inputs!$F$111,Time!AR$5))/Time!AR$7</f>
        <v>0</v>
      </c>
      <c r="AS937" s="14" t="n">
        <f aca="false">MAX(0,MIN(Inputs!$F$112,Time!AS$6)-MAX(Inputs!$F$111,Time!AS$5))/Time!AS$7</f>
        <v>0</v>
      </c>
      <c r="AT937" s="14" t="n">
        <f aca="false">MAX(0,MIN(Inputs!$F$112,Time!AT$6)-MAX(Inputs!$F$111,Time!AT$5))/Time!AT$7</f>
        <v>0</v>
      </c>
      <c r="AU937" s="14" t="n">
        <f aca="false">MAX(0,MIN(Inputs!$F$112,Time!AU$6)-MAX(Inputs!$F$111,Time!AU$5))/Time!AU$7</f>
        <v>0</v>
      </c>
    </row>
    <row r="938" customFormat="false" ht="15" hidden="false" customHeight="false" outlineLevel="0" collapsed="false">
      <c r="D938" s="0" t="s">
        <v>544</v>
      </c>
      <c r="E938" s="0" t="s">
        <v>458</v>
      </c>
      <c r="J938" s="14" t="n">
        <f aca="false">MAX(0,MIN(Inputs!$F$112,Time!J$6)-MAX(MAX(Inputs!$F$113,Inputs!$F$111),Time!J$5))/Time!J$7</f>
        <v>0.778082191780822</v>
      </c>
      <c r="K938" s="14" t="n">
        <f aca="false">MAX(0,MIN(Inputs!$F$112,Time!K$6)-MAX(MAX(Inputs!$F$113,Inputs!$F$111),Time!K$5))/Time!K$7</f>
        <v>1</v>
      </c>
      <c r="L938" s="14" t="n">
        <f aca="false">MAX(0,MIN(Inputs!$F$112,Time!L$6)-MAX(MAX(Inputs!$F$113,Inputs!$F$111),Time!L$5))/Time!L$7</f>
        <v>1</v>
      </c>
      <c r="M938" s="14" t="n">
        <f aca="false">MAX(0,MIN(Inputs!$F$112,Time!M$6)-MAX(MAX(Inputs!$F$113,Inputs!$F$111),Time!M$5))/Time!M$7</f>
        <v>1</v>
      </c>
      <c r="N938" s="14" t="n">
        <f aca="false">MAX(0,MIN(Inputs!$F$112,Time!N$6)-MAX(MAX(Inputs!$F$113,Inputs!$F$111),Time!N$5))/Time!N$7</f>
        <v>1</v>
      </c>
      <c r="O938" s="14" t="n">
        <f aca="false">MAX(0,MIN(Inputs!$F$112,Time!O$6)-MAX(MAX(Inputs!$F$113,Inputs!$F$111),Time!O$5))/Time!O$7</f>
        <v>1</v>
      </c>
      <c r="P938" s="14" t="n">
        <f aca="false">MAX(0,MIN(Inputs!$F$112,Time!P$6)-MAX(MAX(Inputs!$F$113,Inputs!$F$111),Time!P$5))/Time!P$7</f>
        <v>1</v>
      </c>
      <c r="Q938" s="14" t="n">
        <f aca="false">MAX(0,MIN(Inputs!$F$112,Time!Q$6)-MAX(MAX(Inputs!$F$113,Inputs!$F$111),Time!Q$5))/Time!Q$7</f>
        <v>1</v>
      </c>
      <c r="R938" s="14" t="n">
        <f aca="false">MAX(0,MIN(Inputs!$F$112,Time!R$6)-MAX(MAX(Inputs!$F$113,Inputs!$F$111),Time!R$5))/Time!R$7</f>
        <v>1</v>
      </c>
      <c r="S938" s="14" t="n">
        <f aca="false">MAX(0,MIN(Inputs!$F$112,Time!S$6)-MAX(MAX(Inputs!$F$113,Inputs!$F$111),Time!S$5))/Time!S$7</f>
        <v>1</v>
      </c>
      <c r="T938" s="14" t="n">
        <f aca="false">MAX(0,MIN(Inputs!$F$112,Time!T$6)-MAX(MAX(Inputs!$F$113,Inputs!$F$111),Time!T$5))/Time!T$7</f>
        <v>1</v>
      </c>
      <c r="U938" s="14" t="n">
        <f aca="false">MAX(0,MIN(Inputs!$F$112,Time!U$6)-MAX(MAX(Inputs!$F$113,Inputs!$F$111),Time!U$5))/Time!U$7</f>
        <v>1</v>
      </c>
      <c r="V938" s="14" t="n">
        <f aca="false">MAX(0,MIN(Inputs!$F$112,Time!V$6)-MAX(MAX(Inputs!$F$113,Inputs!$F$111),Time!V$5))/Time!V$7</f>
        <v>1</v>
      </c>
      <c r="W938" s="14" t="n">
        <f aca="false">MAX(0,MIN(Inputs!$F$112,Time!W$6)-MAX(MAX(Inputs!$F$113,Inputs!$F$111),Time!W$5))/Time!W$7</f>
        <v>1</v>
      </c>
      <c r="X938" s="14" t="n">
        <f aca="false">MAX(0,MIN(Inputs!$F$112,Time!X$6)-MAX(MAX(Inputs!$F$113,Inputs!$F$111),Time!X$5))/Time!X$7</f>
        <v>1</v>
      </c>
      <c r="Y938" s="14" t="n">
        <f aca="false">MAX(0,MIN(Inputs!$F$112,Time!Y$6)-MAX(MAX(Inputs!$F$113,Inputs!$F$111),Time!Y$5))/Time!Y$7</f>
        <v>1</v>
      </c>
      <c r="Z938" s="14" t="n">
        <f aca="false">MAX(0,MIN(Inputs!$F$112,Time!Z$6)-MAX(MAX(Inputs!$F$113,Inputs!$F$111),Time!Z$5))/Time!Z$7</f>
        <v>1</v>
      </c>
      <c r="AA938" s="14" t="n">
        <f aca="false">MAX(0,MIN(Inputs!$F$112,Time!AA$6)-MAX(MAX(Inputs!$F$113,Inputs!$F$111),Time!AA$5))/Time!AA$7</f>
        <v>1</v>
      </c>
      <c r="AB938" s="14" t="n">
        <f aca="false">MAX(0,MIN(Inputs!$F$112,Time!AB$6)-MAX(MAX(Inputs!$F$113,Inputs!$F$111),Time!AB$5))/Time!AB$7</f>
        <v>1</v>
      </c>
      <c r="AC938" s="14" t="n">
        <f aca="false">MAX(0,MIN(Inputs!$F$112,Time!AC$6)-MAX(MAX(Inputs!$F$113,Inputs!$F$111),Time!AC$5))/Time!AC$7</f>
        <v>1</v>
      </c>
      <c r="AD938" s="14" t="n">
        <f aca="false">MAX(0,MIN(Inputs!$F$112,Time!AD$6)-MAX(MAX(Inputs!$F$113,Inputs!$F$111),Time!AD$5))/Time!AD$7</f>
        <v>1</v>
      </c>
      <c r="AE938" s="14" t="n">
        <f aca="false">MAX(0,MIN(Inputs!$F$112,Time!AE$6)-MAX(MAX(Inputs!$F$113,Inputs!$F$111),Time!AE$5))/Time!AE$7</f>
        <v>1</v>
      </c>
      <c r="AF938" s="14" t="n">
        <f aca="false">MAX(0,MIN(Inputs!$F$112,Time!AF$6)-MAX(MAX(Inputs!$F$113,Inputs!$F$111),Time!AF$5))/Time!AF$7</f>
        <v>1</v>
      </c>
      <c r="AG938" s="14" t="n">
        <f aca="false">MAX(0,MIN(Inputs!$F$112,Time!AG$6)-MAX(MAX(Inputs!$F$113,Inputs!$F$111),Time!AG$5))/Time!AG$7</f>
        <v>1</v>
      </c>
      <c r="AH938" s="14" t="n">
        <f aca="false">MAX(0,MIN(Inputs!$F$112,Time!AH$6)-MAX(MAX(Inputs!$F$113,Inputs!$F$111),Time!AH$5))/Time!AH$7</f>
        <v>1</v>
      </c>
      <c r="AI938" s="14" t="n">
        <f aca="false">MAX(0,MIN(Inputs!$F$112,Time!AI$6)-MAX(MAX(Inputs!$F$113,Inputs!$F$111),Time!AI$5))/Time!AI$7</f>
        <v>1</v>
      </c>
      <c r="AJ938" s="14" t="n">
        <f aca="false">MAX(0,MIN(Inputs!$F$112,Time!AJ$6)-MAX(MAX(Inputs!$F$113,Inputs!$F$111),Time!AJ$5))/Time!AJ$7</f>
        <v>1</v>
      </c>
      <c r="AK938" s="14" t="n">
        <f aca="false">MAX(0,MIN(Inputs!$F$112,Time!AK$6)-MAX(MAX(Inputs!$F$113,Inputs!$F$111),Time!AK$5))/Time!AK$7</f>
        <v>0.915068493150685</v>
      </c>
      <c r="AL938" s="14" t="n">
        <f aca="false">MAX(0,MIN(Inputs!$F$112,Time!AL$6)-MAX(MAX(Inputs!$F$113,Inputs!$F$111),Time!AL$5))/Time!AL$7</f>
        <v>0</v>
      </c>
      <c r="AM938" s="14" t="n">
        <f aca="false">MAX(0,MIN(Inputs!$F$112,Time!AM$6)-MAX(MAX(Inputs!$F$113,Inputs!$F$111),Time!AM$5))/Time!AM$7</f>
        <v>0</v>
      </c>
      <c r="AN938" s="14" t="n">
        <f aca="false">MAX(0,MIN(Inputs!$F$112,Time!AN$6)-MAX(MAX(Inputs!$F$113,Inputs!$F$111),Time!AN$5))/Time!AN$7</f>
        <v>0</v>
      </c>
      <c r="AO938" s="14" t="n">
        <f aca="false">MAX(0,MIN(Inputs!$F$112,Time!AO$6)-MAX(MAX(Inputs!$F$113,Inputs!$F$111),Time!AO$5))/Time!AO$7</f>
        <v>0</v>
      </c>
      <c r="AP938" s="14" t="n">
        <f aca="false">MAX(0,MIN(Inputs!$F$112,Time!AP$6)-MAX(MAX(Inputs!$F$113,Inputs!$F$111),Time!AP$5))/Time!AP$7</f>
        <v>0</v>
      </c>
      <c r="AQ938" s="14" t="n">
        <f aca="false">MAX(0,MIN(Inputs!$F$112,Time!AQ$6)-MAX(MAX(Inputs!$F$113,Inputs!$F$111),Time!AQ$5))/Time!AQ$7</f>
        <v>0</v>
      </c>
      <c r="AR938" s="14" t="n">
        <f aca="false">MAX(0,MIN(Inputs!$F$112,Time!AR$6)-MAX(MAX(Inputs!$F$113,Inputs!$F$111),Time!AR$5))/Time!AR$7</f>
        <v>0</v>
      </c>
      <c r="AS938" s="14" t="n">
        <f aca="false">MAX(0,MIN(Inputs!$F$112,Time!AS$6)-MAX(MAX(Inputs!$F$113,Inputs!$F$111),Time!AS$5))/Time!AS$7</f>
        <v>0</v>
      </c>
      <c r="AT938" s="14" t="n">
        <f aca="false">MAX(0,MIN(Inputs!$F$112,Time!AT$6)-MAX(MAX(Inputs!$F$113,Inputs!$F$111),Time!AT$5))/Time!AT$7</f>
        <v>0</v>
      </c>
      <c r="AU938" s="14" t="n">
        <f aca="false">MAX(0,MIN(Inputs!$F$112,Time!AU$6)-MAX(MAX(Inputs!$F$113,Inputs!$F$111),Time!AU$5))/Time!AU$7</f>
        <v>0</v>
      </c>
    </row>
    <row r="939" customFormat="false" ht="15" hidden="false" customHeight="false" outlineLevel="0" collapsed="false">
      <c r="D939" s="0" t="s">
        <v>545</v>
      </c>
      <c r="E939" s="0" t="s">
        <v>458</v>
      </c>
      <c r="J939" s="14" t="n">
        <f aca="false">IF(Operations!J937&gt;0,Operations!J938/Operations!J937,0)</f>
        <v>0.778082191780822</v>
      </c>
      <c r="K939" s="14" t="n">
        <f aca="false">IF(Operations!K937&gt;0,Operations!K938/Operations!K937,0)</f>
        <v>1</v>
      </c>
      <c r="L939" s="14" t="n">
        <f aca="false">IF(Operations!L937&gt;0,Operations!L938/Operations!L937,0)</f>
        <v>1</v>
      </c>
      <c r="M939" s="14" t="n">
        <f aca="false">IF(Operations!M937&gt;0,Operations!M938/Operations!M937,0)</f>
        <v>1</v>
      </c>
      <c r="N939" s="14" t="n">
        <f aca="false">IF(Operations!N937&gt;0,Operations!N938/Operations!N937,0)</f>
        <v>1</v>
      </c>
      <c r="O939" s="14" t="n">
        <f aca="false">IF(Operations!O937&gt;0,Operations!O938/Operations!O937,0)</f>
        <v>1</v>
      </c>
      <c r="P939" s="14" t="n">
        <f aca="false">IF(Operations!P937&gt;0,Operations!P938/Operations!P937,0)</f>
        <v>1</v>
      </c>
      <c r="Q939" s="14" t="n">
        <f aca="false">IF(Operations!Q937&gt;0,Operations!Q938/Operations!Q937,0)</f>
        <v>1</v>
      </c>
      <c r="R939" s="14" t="n">
        <f aca="false">IF(Operations!R937&gt;0,Operations!R938/Operations!R937,0)</f>
        <v>1</v>
      </c>
      <c r="S939" s="14" t="n">
        <f aca="false">IF(Operations!S937&gt;0,Operations!S938/Operations!S937,0)</f>
        <v>1</v>
      </c>
      <c r="T939" s="14" t="n">
        <f aca="false">IF(Operations!T937&gt;0,Operations!T938/Operations!T937,0)</f>
        <v>1</v>
      </c>
      <c r="U939" s="14" t="n">
        <f aca="false">IF(Operations!U937&gt;0,Operations!U938/Operations!U937,0)</f>
        <v>1</v>
      </c>
      <c r="V939" s="14" t="n">
        <f aca="false">IF(Operations!V937&gt;0,Operations!V938/Operations!V937,0)</f>
        <v>1</v>
      </c>
      <c r="W939" s="14" t="n">
        <f aca="false">IF(Operations!W937&gt;0,Operations!W938/Operations!W937,0)</f>
        <v>1</v>
      </c>
      <c r="X939" s="14" t="n">
        <f aca="false">IF(Operations!X937&gt;0,Operations!X938/Operations!X937,0)</f>
        <v>1</v>
      </c>
      <c r="Y939" s="14" t="n">
        <f aca="false">IF(Operations!Y937&gt;0,Operations!Y938/Operations!Y937,0)</f>
        <v>1</v>
      </c>
      <c r="Z939" s="14" t="n">
        <f aca="false">IF(Operations!Z937&gt;0,Operations!Z938/Operations!Z937,0)</f>
        <v>1</v>
      </c>
      <c r="AA939" s="14" t="n">
        <f aca="false">IF(Operations!AA937&gt;0,Operations!AA938/Operations!AA937,0)</f>
        <v>1</v>
      </c>
      <c r="AB939" s="14" t="n">
        <f aca="false">IF(Operations!AB937&gt;0,Operations!AB938/Operations!AB937,0)</f>
        <v>1</v>
      </c>
      <c r="AC939" s="14" t="n">
        <f aca="false">IF(Operations!AC937&gt;0,Operations!AC938/Operations!AC937,0)</f>
        <v>1</v>
      </c>
      <c r="AD939" s="14" t="n">
        <f aca="false">IF(Operations!AD937&gt;0,Operations!AD938/Operations!AD937,0)</f>
        <v>1</v>
      </c>
      <c r="AE939" s="14" t="n">
        <f aca="false">IF(Operations!AE937&gt;0,Operations!AE938/Operations!AE937,0)</f>
        <v>1</v>
      </c>
      <c r="AF939" s="14" t="n">
        <f aca="false">IF(Operations!AF937&gt;0,Operations!AF938/Operations!AF937,0)</f>
        <v>1</v>
      </c>
      <c r="AG939" s="14" t="n">
        <f aca="false">IF(Operations!AG937&gt;0,Operations!AG938/Operations!AG937,0)</f>
        <v>1</v>
      </c>
      <c r="AH939" s="14" t="n">
        <f aca="false">IF(Operations!AH937&gt;0,Operations!AH938/Operations!AH937,0)</f>
        <v>1</v>
      </c>
      <c r="AI939" s="14" t="n">
        <f aca="false">IF(Operations!AI937&gt;0,Operations!AI938/Operations!AI937,0)</f>
        <v>1</v>
      </c>
      <c r="AJ939" s="14" t="n">
        <f aca="false">IF(Operations!AJ937&gt;0,Operations!AJ938/Operations!AJ937,0)</f>
        <v>1</v>
      </c>
      <c r="AK939" s="14" t="n">
        <f aca="false">IF(Operations!AK937&gt;0,Operations!AK938/Operations!AK937,0)</f>
        <v>1</v>
      </c>
      <c r="AL939" s="14" t="n">
        <f aca="false">IF(Operations!AL937&gt;0,Operations!AL938/Operations!AL937,0)</f>
        <v>0</v>
      </c>
      <c r="AM939" s="14" t="n">
        <f aca="false">IF(Operations!AM937&gt;0,Operations!AM938/Operations!AM937,0)</f>
        <v>0</v>
      </c>
      <c r="AN939" s="14" t="n">
        <f aca="false">IF(Operations!AN937&gt;0,Operations!AN938/Operations!AN937,0)</f>
        <v>0</v>
      </c>
      <c r="AO939" s="14" t="n">
        <f aca="false">IF(Operations!AO937&gt;0,Operations!AO938/Operations!AO937,0)</f>
        <v>0</v>
      </c>
      <c r="AP939" s="14" t="n">
        <f aca="false">IF(Operations!AP937&gt;0,Operations!AP938/Operations!AP937,0)</f>
        <v>0</v>
      </c>
      <c r="AQ939" s="14" t="n">
        <f aca="false">IF(Operations!AQ937&gt;0,Operations!AQ938/Operations!AQ937,0)</f>
        <v>0</v>
      </c>
      <c r="AR939" s="14" t="n">
        <f aca="false">IF(Operations!AR937&gt;0,Operations!AR938/Operations!AR937,0)</f>
        <v>0</v>
      </c>
      <c r="AS939" s="14" t="n">
        <f aca="false">IF(Operations!AS937&gt;0,Operations!AS938/Operations!AS937,0)</f>
        <v>0</v>
      </c>
      <c r="AT939" s="14" t="n">
        <f aca="false">IF(Operations!AT937&gt;0,Operations!AT938/Operations!AT937,0)</f>
        <v>0</v>
      </c>
      <c r="AU939" s="14" t="n">
        <f aca="false">IF(Operations!AU937&gt;0,Operations!AU938/Operations!AU937,0)</f>
        <v>0</v>
      </c>
    </row>
    <row r="940" customFormat="false" ht="15" hidden="false" customHeight="false" outlineLevel="0" collapsed="false">
      <c r="D940" s="0" t="s">
        <v>546</v>
      </c>
      <c r="E940" s="0" t="s">
        <v>96</v>
      </c>
      <c r="J940" s="18" t="n">
        <f aca="false">Operations!J843</f>
        <v>72.2128</v>
      </c>
      <c r="K940" s="18" t="n">
        <f aca="false">Operations!K843</f>
        <v>59.2416</v>
      </c>
      <c r="L940" s="18" t="n">
        <f aca="false">Operations!L843</f>
        <v>29.1368</v>
      </c>
      <c r="M940" s="18" t="n">
        <f aca="false">Operations!M843</f>
        <v>38.5264</v>
      </c>
      <c r="N940" s="18" t="n">
        <f aca="false">Operations!N843</f>
        <v>43.1728</v>
      </c>
      <c r="O940" s="18" t="n">
        <f aca="false">Operations!O843</f>
        <v>45.7864</v>
      </c>
      <c r="P940" s="18" t="n">
        <f aca="false">Operations!P843</f>
        <v>47.5288</v>
      </c>
      <c r="Q940" s="18" t="n">
        <f aca="false">Operations!Q843</f>
        <v>48.7872</v>
      </c>
      <c r="R940" s="18" t="n">
        <f aca="false">Operations!R843</f>
        <v>50.1424</v>
      </c>
      <c r="S940" s="18" t="n">
        <f aca="false">Operations!S843</f>
        <v>51.14912</v>
      </c>
      <c r="T940" s="18" t="n">
        <f aca="false">Operations!T843</f>
        <v>52.1752</v>
      </c>
      <c r="U940" s="18" t="n">
        <f aca="false">Operations!U843</f>
        <v>53.22064</v>
      </c>
      <c r="V940" s="18" t="n">
        <f aca="false">Operations!V843</f>
        <v>54.28544</v>
      </c>
      <c r="W940" s="18" t="n">
        <f aca="false">Operations!W843</f>
        <v>55.3696</v>
      </c>
      <c r="X940" s="18" t="n">
        <f aca="false">Operations!X843</f>
        <v>56.47312</v>
      </c>
      <c r="Y940" s="18" t="n">
        <f aca="false">Operations!Y843</f>
        <v>57.60568</v>
      </c>
      <c r="Z940" s="18" t="n">
        <f aca="false">Operations!Z843</f>
        <v>58.7576</v>
      </c>
      <c r="AA940" s="18" t="n">
        <f aca="false">Operations!AA843</f>
        <v>59.92888</v>
      </c>
      <c r="AB940" s="18" t="n">
        <f aca="false">Operations!AB843</f>
        <v>61.1292</v>
      </c>
      <c r="AC940" s="18" t="n">
        <f aca="false">Operations!AC843</f>
        <v>62.34888</v>
      </c>
      <c r="AD940" s="18" t="n">
        <f aca="false">Operations!AD843</f>
        <v>63.5976</v>
      </c>
      <c r="AE940" s="18" t="n">
        <f aca="false">Operations!AE843</f>
        <v>64.86568</v>
      </c>
      <c r="AF940" s="18" t="n">
        <f aca="false">Operations!AF843</f>
        <v>66.1628</v>
      </c>
      <c r="AG940" s="18" t="n">
        <f aca="false">Operations!AG843</f>
        <v>67.48896</v>
      </c>
      <c r="AH940" s="18" t="n">
        <f aca="false">Operations!AH843</f>
        <v>68.83448</v>
      </c>
      <c r="AI940" s="18" t="n">
        <f aca="false">Operations!AI843</f>
        <v>70.20904</v>
      </c>
      <c r="AJ940" s="18" t="n">
        <f aca="false">Operations!AJ843</f>
        <v>71.61264</v>
      </c>
      <c r="AK940" s="18" t="n">
        <f aca="false">Operations!AK843</f>
        <v>73.04528</v>
      </c>
      <c r="AL940" s="18" t="n">
        <f aca="false">Operations!AL843</f>
        <v>74.50696</v>
      </c>
      <c r="AM940" s="18" t="n">
        <f aca="false">Operations!AM843</f>
        <v>75.99768</v>
      </c>
      <c r="AN940" s="18" t="n">
        <f aca="false">Operations!AN843</f>
        <v>77.51744</v>
      </c>
      <c r="AO940" s="18" t="n">
        <f aca="false">Operations!AO843</f>
        <v>79.06624</v>
      </c>
      <c r="AP940" s="18" t="n">
        <f aca="false">Operations!AP843</f>
        <v>80.64408</v>
      </c>
      <c r="AQ940" s="18" t="n">
        <f aca="false">Operations!AQ843</f>
        <v>82.26064</v>
      </c>
      <c r="AR940" s="18" t="n">
        <f aca="false">Operations!AR843</f>
        <v>83.90624</v>
      </c>
      <c r="AS940" s="18" t="n">
        <f aca="false">Operations!AS843</f>
        <v>85.58088</v>
      </c>
      <c r="AT940" s="18" t="n">
        <f aca="false">Operations!AT843</f>
        <v>87.29424</v>
      </c>
      <c r="AU940" s="18" t="n">
        <f aca="false">Operations!AU843</f>
        <v>89.03664</v>
      </c>
    </row>
    <row r="941" customFormat="false" ht="15" hidden="false" customHeight="false" outlineLevel="0" collapsed="false">
      <c r="D941" s="0" t="s">
        <v>547</v>
      </c>
      <c r="E941" s="0" t="s">
        <v>27</v>
      </c>
      <c r="J941" s="14" t="n">
        <f aca="false">CHOOSE(Operations!$F$837,1,Inputs!$F$117/100,Inputs!$F$118/100,Operations!$F$24/100)</f>
        <v>0.762214965667915</v>
      </c>
      <c r="K941" s="14" t="n">
        <f aca="false">CHOOSE(Operations!$F$837,1,Inputs!$F$117/100,Inputs!$F$118/100,Operations!$F$24/100)</f>
        <v>0.762214965667915</v>
      </c>
      <c r="L941" s="14" t="n">
        <f aca="false">CHOOSE(Operations!$F$837,1,Inputs!$F$117/100,Inputs!$F$118/100,Operations!$F$24/100)</f>
        <v>0.762214965667915</v>
      </c>
      <c r="M941" s="14" t="n">
        <f aca="false">CHOOSE(Operations!$F$837,1,Inputs!$F$117/100,Inputs!$F$118/100,Operations!$F$24/100)</f>
        <v>0.762214965667915</v>
      </c>
      <c r="N941" s="14" t="n">
        <f aca="false">CHOOSE(Operations!$F$837,1,Inputs!$F$117/100,Inputs!$F$118/100,Operations!$F$24/100)</f>
        <v>0.762214965667915</v>
      </c>
      <c r="O941" s="14" t="n">
        <f aca="false">CHOOSE(Operations!$F$837,1,Inputs!$F$117/100,Inputs!$F$118/100,Operations!$F$24/100)</f>
        <v>0.762214965667915</v>
      </c>
      <c r="P941" s="14" t="n">
        <f aca="false">CHOOSE(Operations!$F$837,1,Inputs!$F$117/100,Inputs!$F$118/100,Operations!$F$24/100)</f>
        <v>0.762214965667915</v>
      </c>
      <c r="Q941" s="14" t="n">
        <f aca="false">CHOOSE(Operations!$F$837,1,Inputs!$F$117/100,Inputs!$F$118/100,Operations!$F$24/100)</f>
        <v>0.762214965667915</v>
      </c>
      <c r="R941" s="14" t="n">
        <f aca="false">CHOOSE(Operations!$F$837,1,Inputs!$F$117/100,Inputs!$F$118/100,Operations!$F$24/100)</f>
        <v>0.762214965667915</v>
      </c>
      <c r="S941" s="14" t="n">
        <f aca="false">CHOOSE(Operations!$F$837,1,Inputs!$F$117/100,Inputs!$F$118/100,Operations!$F$24/100)</f>
        <v>0.762214965667915</v>
      </c>
      <c r="T941" s="14" t="n">
        <f aca="false">CHOOSE(Operations!$F$837,1,Inputs!$F$117/100,Inputs!$F$118/100,Operations!$F$24/100)</f>
        <v>0.762214965667915</v>
      </c>
      <c r="U941" s="14" t="n">
        <f aca="false">CHOOSE(Operations!$F$837,1,Inputs!$F$117/100,Inputs!$F$118/100,Operations!$F$24/100)</f>
        <v>0.762214965667915</v>
      </c>
      <c r="V941" s="14" t="n">
        <f aca="false">CHOOSE(Operations!$F$837,1,Inputs!$F$117/100,Inputs!$F$118/100,Operations!$F$24/100)</f>
        <v>0.762214965667915</v>
      </c>
      <c r="W941" s="14" t="n">
        <f aca="false">CHOOSE(Operations!$F$837,1,Inputs!$F$117/100,Inputs!$F$118/100,Operations!$F$24/100)</f>
        <v>0.762214965667915</v>
      </c>
      <c r="X941" s="14" t="n">
        <f aca="false">CHOOSE(Operations!$F$837,1,Inputs!$F$117/100,Inputs!$F$118/100,Operations!$F$24/100)</f>
        <v>0.762214965667915</v>
      </c>
      <c r="Y941" s="14" t="n">
        <f aca="false">CHOOSE(Operations!$F$837,1,Inputs!$F$117/100,Inputs!$F$118/100,Operations!$F$24/100)</f>
        <v>0.762214965667915</v>
      </c>
      <c r="Z941" s="14" t="n">
        <f aca="false">CHOOSE(Operations!$F$837,1,Inputs!$F$117/100,Inputs!$F$118/100,Operations!$F$24/100)</f>
        <v>0.762214965667915</v>
      </c>
      <c r="AA941" s="14" t="n">
        <f aca="false">CHOOSE(Operations!$F$837,1,Inputs!$F$117/100,Inputs!$F$118/100,Operations!$F$24/100)</f>
        <v>0.762214965667915</v>
      </c>
      <c r="AB941" s="14" t="n">
        <f aca="false">CHOOSE(Operations!$F$837,1,Inputs!$F$117/100,Inputs!$F$118/100,Operations!$F$24/100)</f>
        <v>0.762214965667915</v>
      </c>
      <c r="AC941" s="14" t="n">
        <f aca="false">CHOOSE(Operations!$F$837,1,Inputs!$F$117/100,Inputs!$F$118/100,Operations!$F$24/100)</f>
        <v>0.762214965667915</v>
      </c>
      <c r="AD941" s="14" t="n">
        <f aca="false">CHOOSE(Operations!$F$837,1,Inputs!$F$117/100,Inputs!$F$118/100,Operations!$F$24/100)</f>
        <v>0.762214965667915</v>
      </c>
      <c r="AE941" s="14" t="n">
        <f aca="false">CHOOSE(Operations!$F$837,1,Inputs!$F$117/100,Inputs!$F$118/100,Operations!$F$24/100)</f>
        <v>0.762214965667915</v>
      </c>
      <c r="AF941" s="14" t="n">
        <f aca="false">CHOOSE(Operations!$F$837,1,Inputs!$F$117/100,Inputs!$F$118/100,Operations!$F$24/100)</f>
        <v>0.762214965667915</v>
      </c>
      <c r="AG941" s="14" t="n">
        <f aca="false">CHOOSE(Operations!$F$837,1,Inputs!$F$117/100,Inputs!$F$118/100,Operations!$F$24/100)</f>
        <v>0.762214965667915</v>
      </c>
      <c r="AH941" s="14" t="n">
        <f aca="false">CHOOSE(Operations!$F$837,1,Inputs!$F$117/100,Inputs!$F$118/100,Operations!$F$24/100)</f>
        <v>0.762214965667915</v>
      </c>
      <c r="AI941" s="14" t="n">
        <f aca="false">CHOOSE(Operations!$F$837,1,Inputs!$F$117/100,Inputs!$F$118/100,Operations!$F$24/100)</f>
        <v>0.762214965667915</v>
      </c>
      <c r="AJ941" s="14" t="n">
        <f aca="false">CHOOSE(Operations!$F$837,1,Inputs!$F$117/100,Inputs!$F$118/100,Operations!$F$24/100)</f>
        <v>0.762214965667915</v>
      </c>
      <c r="AK941" s="14" t="n">
        <f aca="false">CHOOSE(Operations!$F$837,1,Inputs!$F$117/100,Inputs!$F$118/100,Operations!$F$24/100)</f>
        <v>0.762214965667915</v>
      </c>
      <c r="AL941" s="14" t="n">
        <f aca="false">CHOOSE(Operations!$F$837,1,Inputs!$F$117/100,Inputs!$F$118/100,Operations!$F$24/100)</f>
        <v>0.762214965667915</v>
      </c>
      <c r="AM941" s="14" t="n">
        <f aca="false">CHOOSE(Operations!$F$837,1,Inputs!$F$117/100,Inputs!$F$118/100,Operations!$F$24/100)</f>
        <v>0.762214965667915</v>
      </c>
      <c r="AN941" s="14" t="n">
        <f aca="false">CHOOSE(Operations!$F$837,1,Inputs!$F$117/100,Inputs!$F$118/100,Operations!$F$24/100)</f>
        <v>0.762214965667915</v>
      </c>
      <c r="AO941" s="14" t="n">
        <f aca="false">CHOOSE(Operations!$F$837,1,Inputs!$F$117/100,Inputs!$F$118/100,Operations!$F$24/100)</f>
        <v>0.762214965667915</v>
      </c>
      <c r="AP941" s="14" t="n">
        <f aca="false">CHOOSE(Operations!$F$837,1,Inputs!$F$117/100,Inputs!$F$118/100,Operations!$F$24/100)</f>
        <v>0.762214965667915</v>
      </c>
      <c r="AQ941" s="14" t="n">
        <f aca="false">CHOOSE(Operations!$F$837,1,Inputs!$F$117/100,Inputs!$F$118/100,Operations!$F$24/100)</f>
        <v>0.762214965667915</v>
      </c>
      <c r="AR941" s="14" t="n">
        <f aca="false">CHOOSE(Operations!$F$837,1,Inputs!$F$117/100,Inputs!$F$118/100,Operations!$F$24/100)</f>
        <v>0.762214965667915</v>
      </c>
      <c r="AS941" s="14" t="n">
        <f aca="false">CHOOSE(Operations!$F$837,1,Inputs!$F$117/100,Inputs!$F$118/100,Operations!$F$24/100)</f>
        <v>0.762214965667915</v>
      </c>
      <c r="AT941" s="14" t="n">
        <f aca="false">CHOOSE(Operations!$F$837,1,Inputs!$F$117/100,Inputs!$F$118/100,Operations!$F$24/100)</f>
        <v>0.762214965667915</v>
      </c>
      <c r="AU941" s="14" t="n">
        <f aca="false">CHOOSE(Operations!$F$837,1,Inputs!$F$117/100,Inputs!$F$118/100,Operations!$F$24/100)</f>
        <v>0.762214965667915</v>
      </c>
    </row>
    <row r="942" customFormat="false" ht="15" hidden="false" customHeight="false" outlineLevel="0" collapsed="false">
      <c r="D942" s="0" t="s">
        <v>548</v>
      </c>
      <c r="E942" s="0" t="s">
        <v>27</v>
      </c>
      <c r="J942" s="14" t="n">
        <f aca="false">(1-Inputs!$F$119/100)^MAX(0,Time!J$4-Inputs!$F$120)</f>
        <v>1</v>
      </c>
      <c r="K942" s="14" t="n">
        <f aca="false">(1-Inputs!$F$119/100)^MAX(0,Time!K$4-Inputs!$F$120)</f>
        <v>0.998</v>
      </c>
      <c r="L942" s="14" t="n">
        <f aca="false">(1-Inputs!$F$119/100)^MAX(0,Time!L$4-Inputs!$F$120)</f>
        <v>0.996004</v>
      </c>
      <c r="M942" s="14" t="n">
        <f aca="false">(1-Inputs!$F$119/100)^MAX(0,Time!M$4-Inputs!$F$120)</f>
        <v>0.994011992</v>
      </c>
      <c r="N942" s="14" t="n">
        <f aca="false">(1-Inputs!$F$119/100)^MAX(0,Time!N$4-Inputs!$F$120)</f>
        <v>0.992023968016</v>
      </c>
      <c r="O942" s="14" t="n">
        <f aca="false">(1-Inputs!$F$119/100)^MAX(0,Time!O$4-Inputs!$F$120)</f>
        <v>0.990039920079968</v>
      </c>
      <c r="P942" s="14" t="n">
        <f aca="false">(1-Inputs!$F$119/100)^MAX(0,Time!P$4-Inputs!$F$120)</f>
        <v>0.988059840239808</v>
      </c>
      <c r="Q942" s="14" t="n">
        <f aca="false">(1-Inputs!$F$119/100)^MAX(0,Time!Q$4-Inputs!$F$120)</f>
        <v>0.986083720559329</v>
      </c>
      <c r="R942" s="14" t="n">
        <f aca="false">(1-Inputs!$F$119/100)^MAX(0,Time!R$4-Inputs!$F$120)</f>
        <v>0.98411155311821</v>
      </c>
      <c r="S942" s="14" t="n">
        <f aca="false">(1-Inputs!$F$119/100)^MAX(0,Time!S$4-Inputs!$F$120)</f>
        <v>0.982143330011973</v>
      </c>
      <c r="T942" s="14" t="n">
        <f aca="false">(1-Inputs!$F$119/100)^MAX(0,Time!T$4-Inputs!$F$120)</f>
        <v>0.980179043351949</v>
      </c>
      <c r="U942" s="14" t="n">
        <f aca="false">(1-Inputs!$F$119/100)^MAX(0,Time!U$4-Inputs!$F$120)</f>
        <v>0.978218685265246</v>
      </c>
      <c r="V942" s="14" t="n">
        <f aca="false">(1-Inputs!$F$119/100)^MAX(0,Time!V$4-Inputs!$F$120)</f>
        <v>0.976262247894715</v>
      </c>
      <c r="W942" s="14" t="n">
        <f aca="false">(1-Inputs!$F$119/100)^MAX(0,Time!W$4-Inputs!$F$120)</f>
        <v>0.974309723398926</v>
      </c>
      <c r="X942" s="14" t="n">
        <f aca="false">(1-Inputs!$F$119/100)^MAX(0,Time!X$4-Inputs!$F$120)</f>
        <v>0.972361103952128</v>
      </c>
      <c r="Y942" s="14" t="n">
        <f aca="false">(1-Inputs!$F$119/100)^MAX(0,Time!Y$4-Inputs!$F$120)</f>
        <v>0.970416381744224</v>
      </c>
      <c r="Z942" s="14" t="n">
        <f aca="false">(1-Inputs!$F$119/100)^MAX(0,Time!Z$4-Inputs!$F$120)</f>
        <v>0.968475548980735</v>
      </c>
      <c r="AA942" s="14" t="n">
        <f aca="false">(1-Inputs!$F$119/100)^MAX(0,Time!AA$4-Inputs!$F$120)</f>
        <v>0.966538597882774</v>
      </c>
      <c r="AB942" s="14" t="n">
        <f aca="false">(1-Inputs!$F$119/100)^MAX(0,Time!AB$4-Inputs!$F$120)</f>
        <v>0.964605520687008</v>
      </c>
      <c r="AC942" s="14" t="n">
        <f aca="false">(1-Inputs!$F$119/100)^MAX(0,Time!AC$4-Inputs!$F$120)</f>
        <v>0.962676309645634</v>
      </c>
      <c r="AD942" s="14" t="n">
        <f aca="false">(1-Inputs!$F$119/100)^MAX(0,Time!AD$4-Inputs!$F$120)</f>
        <v>0.960750957026343</v>
      </c>
      <c r="AE942" s="14" t="n">
        <f aca="false">(1-Inputs!$F$119/100)^MAX(0,Time!AE$4-Inputs!$F$120)</f>
        <v>0.95882945511229</v>
      </c>
      <c r="AF942" s="14" t="n">
        <f aca="false">(1-Inputs!$F$119/100)^MAX(0,Time!AF$4-Inputs!$F$120)</f>
        <v>0.956911796202066</v>
      </c>
      <c r="AG942" s="14" t="n">
        <f aca="false">(1-Inputs!$F$119/100)^MAX(0,Time!AG$4-Inputs!$F$120)</f>
        <v>0.954997972609661</v>
      </c>
      <c r="AH942" s="14" t="n">
        <f aca="false">(1-Inputs!$F$119/100)^MAX(0,Time!AH$4-Inputs!$F$120)</f>
        <v>0.953087976664442</v>
      </c>
      <c r="AI942" s="14" t="n">
        <f aca="false">(1-Inputs!$F$119/100)^MAX(0,Time!AI$4-Inputs!$F$120)</f>
        <v>0.951181800711113</v>
      </c>
      <c r="AJ942" s="14" t="n">
        <f aca="false">(1-Inputs!$F$119/100)^MAX(0,Time!AJ$4-Inputs!$F$120)</f>
        <v>0.949279437109691</v>
      </c>
      <c r="AK942" s="14" t="n">
        <f aca="false">(1-Inputs!$F$119/100)^MAX(0,Time!AK$4-Inputs!$F$120)</f>
        <v>0.947380878235472</v>
      </c>
      <c r="AL942" s="14" t="n">
        <f aca="false">(1-Inputs!$F$119/100)^MAX(0,Time!AL$4-Inputs!$F$120)</f>
        <v>0.945486116479001</v>
      </c>
      <c r="AM942" s="14" t="n">
        <f aca="false">(1-Inputs!$F$119/100)^MAX(0,Time!AM$4-Inputs!$F$120)</f>
        <v>0.943595144246043</v>
      </c>
      <c r="AN942" s="14" t="n">
        <f aca="false">(1-Inputs!$F$119/100)^MAX(0,Time!AN$4-Inputs!$F$120)</f>
        <v>0.941707953957551</v>
      </c>
      <c r="AO942" s="14" t="n">
        <f aca="false">(1-Inputs!$F$119/100)^MAX(0,Time!AO$4-Inputs!$F$120)</f>
        <v>0.939824538049635</v>
      </c>
      <c r="AP942" s="14" t="n">
        <f aca="false">(1-Inputs!$F$119/100)^MAX(0,Time!AP$4-Inputs!$F$120)</f>
        <v>0.937944888973536</v>
      </c>
      <c r="AQ942" s="14" t="n">
        <f aca="false">(1-Inputs!$F$119/100)^MAX(0,Time!AQ$4-Inputs!$F$120)</f>
        <v>0.936068999195589</v>
      </c>
      <c r="AR942" s="14" t="n">
        <f aca="false">(1-Inputs!$F$119/100)^MAX(0,Time!AR$4-Inputs!$F$120)</f>
        <v>0.934196861197198</v>
      </c>
      <c r="AS942" s="14" t="n">
        <f aca="false">(1-Inputs!$F$119/100)^MAX(0,Time!AS$4-Inputs!$F$120)</f>
        <v>0.932328467474804</v>
      </c>
      <c r="AT942" s="14" t="n">
        <f aca="false">(1-Inputs!$F$119/100)^MAX(0,Time!AT$4-Inputs!$F$120)</f>
        <v>0.930463810539854</v>
      </c>
      <c r="AU942" s="14" t="n">
        <f aca="false">(1-Inputs!$F$119/100)^MAX(0,Time!AU$4-Inputs!$F$120)</f>
        <v>0.928602882918774</v>
      </c>
    </row>
    <row r="943" customFormat="false" ht="15" hidden="false" customHeight="false" outlineLevel="0" collapsed="false">
      <c r="D943" s="0" t="s">
        <v>549</v>
      </c>
      <c r="E943" s="0" t="s">
        <v>458</v>
      </c>
      <c r="J943" s="14" t="n">
        <f aca="false">(IF(Time!J$4&gt;=Inputs!$F$61,Inputs!$F$65,Inputs!$F$64+(Inputs!$F$65-Inputs!$F$64)*(Time!J$4-Inputs!$F$23)/(Inputs!$F$61-Inputs!$F$23))+Operations!$F$839)/100</f>
        <v>0.052</v>
      </c>
      <c r="K943" s="14" t="n">
        <f aca="false">(IF(Time!K$4&gt;=Inputs!$F$61,Inputs!$F$65,Inputs!$F$64+(Inputs!$F$65-Inputs!$F$64)*(Time!K$4-Inputs!$F$23)/(Inputs!$F$61-Inputs!$F$23))+Operations!$F$839)/100</f>
        <v>0.058</v>
      </c>
      <c r="L943" s="14" t="n">
        <f aca="false">(IF(Time!L$4&gt;=Inputs!$F$61,Inputs!$F$65,Inputs!$F$64+(Inputs!$F$65-Inputs!$F$64)*(Time!L$4-Inputs!$F$23)/(Inputs!$F$61-Inputs!$F$23))+Operations!$F$839)/100</f>
        <v>0.064</v>
      </c>
      <c r="M943" s="14" t="n">
        <f aca="false">(IF(Time!M$4&gt;=Inputs!$F$61,Inputs!$F$65,Inputs!$F$64+(Inputs!$F$65-Inputs!$F$64)*(Time!M$4-Inputs!$F$23)/(Inputs!$F$61-Inputs!$F$23))+Operations!$F$839)/100</f>
        <v>0.07</v>
      </c>
      <c r="N943" s="14" t="n">
        <f aca="false">(IF(Time!N$4&gt;=Inputs!$F$61,Inputs!$F$65,Inputs!$F$64+(Inputs!$F$65-Inputs!$F$64)*(Time!N$4-Inputs!$F$23)/(Inputs!$F$61-Inputs!$F$23))+Operations!$F$839)/100</f>
        <v>0.07</v>
      </c>
      <c r="O943" s="14" t="n">
        <f aca="false">(IF(Time!O$4&gt;=Inputs!$F$61,Inputs!$F$65,Inputs!$F$64+(Inputs!$F$65-Inputs!$F$64)*(Time!O$4-Inputs!$F$23)/(Inputs!$F$61-Inputs!$F$23))+Operations!$F$839)/100</f>
        <v>0.07</v>
      </c>
      <c r="P943" s="14" t="n">
        <f aca="false">(IF(Time!P$4&gt;=Inputs!$F$61,Inputs!$F$65,Inputs!$F$64+(Inputs!$F$65-Inputs!$F$64)*(Time!P$4-Inputs!$F$23)/(Inputs!$F$61-Inputs!$F$23))+Operations!$F$839)/100</f>
        <v>0.07</v>
      </c>
      <c r="Q943" s="14" t="n">
        <f aca="false">(IF(Time!Q$4&gt;=Inputs!$F$61,Inputs!$F$65,Inputs!$F$64+(Inputs!$F$65-Inputs!$F$64)*(Time!Q$4-Inputs!$F$23)/(Inputs!$F$61-Inputs!$F$23))+Operations!$F$839)/100</f>
        <v>0.07</v>
      </c>
      <c r="R943" s="14" t="n">
        <f aca="false">(IF(Time!R$4&gt;=Inputs!$F$61,Inputs!$F$65,Inputs!$F$64+(Inputs!$F$65-Inputs!$F$64)*(Time!R$4-Inputs!$F$23)/(Inputs!$F$61-Inputs!$F$23))+Operations!$F$839)/100</f>
        <v>0.07</v>
      </c>
      <c r="S943" s="14" t="n">
        <f aca="false">(IF(Time!S$4&gt;=Inputs!$F$61,Inputs!$F$65,Inputs!$F$64+(Inputs!$F$65-Inputs!$F$64)*(Time!S$4-Inputs!$F$23)/(Inputs!$F$61-Inputs!$F$23))+Operations!$F$839)/100</f>
        <v>0.07</v>
      </c>
      <c r="T943" s="14" t="n">
        <f aca="false">(IF(Time!T$4&gt;=Inputs!$F$61,Inputs!$F$65,Inputs!$F$64+(Inputs!$F$65-Inputs!$F$64)*(Time!T$4-Inputs!$F$23)/(Inputs!$F$61-Inputs!$F$23))+Operations!$F$839)/100</f>
        <v>0.07</v>
      </c>
      <c r="U943" s="14" t="n">
        <f aca="false">(IF(Time!U$4&gt;=Inputs!$F$61,Inputs!$F$65,Inputs!$F$64+(Inputs!$F$65-Inputs!$F$64)*(Time!U$4-Inputs!$F$23)/(Inputs!$F$61-Inputs!$F$23))+Operations!$F$839)/100</f>
        <v>0.07</v>
      </c>
      <c r="V943" s="14" t="n">
        <f aca="false">(IF(Time!V$4&gt;=Inputs!$F$61,Inputs!$F$65,Inputs!$F$64+(Inputs!$F$65-Inputs!$F$64)*(Time!V$4-Inputs!$F$23)/(Inputs!$F$61-Inputs!$F$23))+Operations!$F$839)/100</f>
        <v>0.07</v>
      </c>
      <c r="W943" s="14" t="n">
        <f aca="false">(IF(Time!W$4&gt;=Inputs!$F$61,Inputs!$F$65,Inputs!$F$64+(Inputs!$F$65-Inputs!$F$64)*(Time!W$4-Inputs!$F$23)/(Inputs!$F$61-Inputs!$F$23))+Operations!$F$839)/100</f>
        <v>0.07</v>
      </c>
      <c r="X943" s="14" t="n">
        <f aca="false">(IF(Time!X$4&gt;=Inputs!$F$61,Inputs!$F$65,Inputs!$F$64+(Inputs!$F$65-Inputs!$F$64)*(Time!X$4-Inputs!$F$23)/(Inputs!$F$61-Inputs!$F$23))+Operations!$F$839)/100</f>
        <v>0.07</v>
      </c>
      <c r="Y943" s="14" t="n">
        <f aca="false">(IF(Time!Y$4&gt;=Inputs!$F$61,Inputs!$F$65,Inputs!$F$64+(Inputs!$F$65-Inputs!$F$64)*(Time!Y$4-Inputs!$F$23)/(Inputs!$F$61-Inputs!$F$23))+Operations!$F$839)/100</f>
        <v>0.07</v>
      </c>
      <c r="Z943" s="14" t="n">
        <f aca="false">(IF(Time!Z$4&gt;=Inputs!$F$61,Inputs!$F$65,Inputs!$F$64+(Inputs!$F$65-Inputs!$F$64)*(Time!Z$4-Inputs!$F$23)/(Inputs!$F$61-Inputs!$F$23))+Operations!$F$839)/100</f>
        <v>0.07</v>
      </c>
      <c r="AA943" s="14" t="n">
        <f aca="false">(IF(Time!AA$4&gt;=Inputs!$F$61,Inputs!$F$65,Inputs!$F$64+(Inputs!$F$65-Inputs!$F$64)*(Time!AA$4-Inputs!$F$23)/(Inputs!$F$61-Inputs!$F$23))+Operations!$F$839)/100</f>
        <v>0.07</v>
      </c>
      <c r="AB943" s="14" t="n">
        <f aca="false">(IF(Time!AB$4&gt;=Inputs!$F$61,Inputs!$F$65,Inputs!$F$64+(Inputs!$F$65-Inputs!$F$64)*(Time!AB$4-Inputs!$F$23)/(Inputs!$F$61-Inputs!$F$23))+Operations!$F$839)/100</f>
        <v>0.07</v>
      </c>
      <c r="AC943" s="14" t="n">
        <f aca="false">(IF(Time!AC$4&gt;=Inputs!$F$61,Inputs!$F$65,Inputs!$F$64+(Inputs!$F$65-Inputs!$F$64)*(Time!AC$4-Inputs!$F$23)/(Inputs!$F$61-Inputs!$F$23))+Operations!$F$839)/100</f>
        <v>0.07</v>
      </c>
      <c r="AD943" s="14" t="n">
        <f aca="false">(IF(Time!AD$4&gt;=Inputs!$F$61,Inputs!$F$65,Inputs!$F$64+(Inputs!$F$65-Inputs!$F$64)*(Time!AD$4-Inputs!$F$23)/(Inputs!$F$61-Inputs!$F$23))+Operations!$F$839)/100</f>
        <v>0.07</v>
      </c>
      <c r="AE943" s="14" t="n">
        <f aca="false">(IF(Time!AE$4&gt;=Inputs!$F$61,Inputs!$F$65,Inputs!$F$64+(Inputs!$F$65-Inputs!$F$64)*(Time!AE$4-Inputs!$F$23)/(Inputs!$F$61-Inputs!$F$23))+Operations!$F$839)/100</f>
        <v>0.07</v>
      </c>
      <c r="AF943" s="14" t="n">
        <f aca="false">(IF(Time!AF$4&gt;=Inputs!$F$61,Inputs!$F$65,Inputs!$F$64+(Inputs!$F$65-Inputs!$F$64)*(Time!AF$4-Inputs!$F$23)/(Inputs!$F$61-Inputs!$F$23))+Operations!$F$839)/100</f>
        <v>0.07</v>
      </c>
      <c r="AG943" s="14" t="n">
        <f aca="false">(IF(Time!AG$4&gt;=Inputs!$F$61,Inputs!$F$65,Inputs!$F$64+(Inputs!$F$65-Inputs!$F$64)*(Time!AG$4-Inputs!$F$23)/(Inputs!$F$61-Inputs!$F$23))+Operations!$F$839)/100</f>
        <v>0.07</v>
      </c>
      <c r="AH943" s="14" t="n">
        <f aca="false">(IF(Time!AH$4&gt;=Inputs!$F$61,Inputs!$F$65,Inputs!$F$64+(Inputs!$F$65-Inputs!$F$64)*(Time!AH$4-Inputs!$F$23)/(Inputs!$F$61-Inputs!$F$23))+Operations!$F$839)/100</f>
        <v>0.07</v>
      </c>
      <c r="AI943" s="14" t="n">
        <f aca="false">(IF(Time!AI$4&gt;=Inputs!$F$61,Inputs!$F$65,Inputs!$F$64+(Inputs!$F$65-Inputs!$F$64)*(Time!AI$4-Inputs!$F$23)/(Inputs!$F$61-Inputs!$F$23))+Operations!$F$839)/100</f>
        <v>0.07</v>
      </c>
      <c r="AJ943" s="14" t="n">
        <f aca="false">(IF(Time!AJ$4&gt;=Inputs!$F$61,Inputs!$F$65,Inputs!$F$64+(Inputs!$F$65-Inputs!$F$64)*(Time!AJ$4-Inputs!$F$23)/(Inputs!$F$61-Inputs!$F$23))+Operations!$F$839)/100</f>
        <v>0.07</v>
      </c>
      <c r="AK943" s="14" t="n">
        <f aca="false">(IF(Time!AK$4&gt;=Inputs!$F$61,Inputs!$F$65,Inputs!$F$64+(Inputs!$F$65-Inputs!$F$64)*(Time!AK$4-Inputs!$F$23)/(Inputs!$F$61-Inputs!$F$23))+Operations!$F$839)/100</f>
        <v>0.07</v>
      </c>
      <c r="AL943" s="14" t="n">
        <f aca="false">(IF(Time!AL$4&gt;=Inputs!$F$61,Inputs!$F$65,Inputs!$F$64+(Inputs!$F$65-Inputs!$F$64)*(Time!AL$4-Inputs!$F$23)/(Inputs!$F$61-Inputs!$F$23))+Operations!$F$839)/100</f>
        <v>0.07</v>
      </c>
      <c r="AM943" s="14" t="n">
        <f aca="false">(IF(Time!AM$4&gt;=Inputs!$F$61,Inputs!$F$65,Inputs!$F$64+(Inputs!$F$65-Inputs!$F$64)*(Time!AM$4-Inputs!$F$23)/(Inputs!$F$61-Inputs!$F$23))+Operations!$F$839)/100</f>
        <v>0.07</v>
      </c>
      <c r="AN943" s="14" t="n">
        <f aca="false">(IF(Time!AN$4&gt;=Inputs!$F$61,Inputs!$F$65,Inputs!$F$64+(Inputs!$F$65-Inputs!$F$64)*(Time!AN$4-Inputs!$F$23)/(Inputs!$F$61-Inputs!$F$23))+Operations!$F$839)/100</f>
        <v>0.07</v>
      </c>
      <c r="AO943" s="14" t="n">
        <f aca="false">(IF(Time!AO$4&gt;=Inputs!$F$61,Inputs!$F$65,Inputs!$F$64+(Inputs!$F$65-Inputs!$F$64)*(Time!AO$4-Inputs!$F$23)/(Inputs!$F$61-Inputs!$F$23))+Operations!$F$839)/100</f>
        <v>0.07</v>
      </c>
      <c r="AP943" s="14" t="n">
        <f aca="false">(IF(Time!AP$4&gt;=Inputs!$F$61,Inputs!$F$65,Inputs!$F$64+(Inputs!$F$65-Inputs!$F$64)*(Time!AP$4-Inputs!$F$23)/(Inputs!$F$61-Inputs!$F$23))+Operations!$F$839)/100</f>
        <v>0.07</v>
      </c>
      <c r="AQ943" s="14" t="n">
        <f aca="false">(IF(Time!AQ$4&gt;=Inputs!$F$61,Inputs!$F$65,Inputs!$F$64+(Inputs!$F$65-Inputs!$F$64)*(Time!AQ$4-Inputs!$F$23)/(Inputs!$F$61-Inputs!$F$23))+Operations!$F$839)/100</f>
        <v>0.07</v>
      </c>
      <c r="AR943" s="14" t="n">
        <f aca="false">(IF(Time!AR$4&gt;=Inputs!$F$61,Inputs!$F$65,Inputs!$F$64+(Inputs!$F$65-Inputs!$F$64)*(Time!AR$4-Inputs!$F$23)/(Inputs!$F$61-Inputs!$F$23))+Operations!$F$839)/100</f>
        <v>0.07</v>
      </c>
      <c r="AS943" s="14" t="n">
        <f aca="false">(IF(Time!AS$4&gt;=Inputs!$F$61,Inputs!$F$65,Inputs!$F$64+(Inputs!$F$65-Inputs!$F$64)*(Time!AS$4-Inputs!$F$23)/(Inputs!$F$61-Inputs!$F$23))+Operations!$F$839)/100</f>
        <v>0.07</v>
      </c>
      <c r="AT943" s="14" t="n">
        <f aca="false">(IF(Time!AT$4&gt;=Inputs!$F$61,Inputs!$F$65,Inputs!$F$64+(Inputs!$F$65-Inputs!$F$64)*(Time!AT$4-Inputs!$F$23)/(Inputs!$F$61-Inputs!$F$23))+Operations!$F$839)/100</f>
        <v>0.07</v>
      </c>
      <c r="AU943" s="14" t="n">
        <f aca="false">(IF(Time!AU$4&gt;=Inputs!$F$61,Inputs!$F$65,Inputs!$F$64+(Inputs!$F$65-Inputs!$F$64)*(Time!AU$4-Inputs!$F$23)/(Inputs!$F$61-Inputs!$F$23))+Operations!$F$839)/100</f>
        <v>0.07</v>
      </c>
    </row>
    <row r="944" customFormat="false" ht="15" hidden="false" customHeight="false" outlineLevel="0" collapsed="false">
      <c r="D944" s="0" t="s">
        <v>550</v>
      </c>
      <c r="E944" s="0" t="s">
        <v>466</v>
      </c>
      <c r="J944" s="20" t="n">
        <f aca="false">Inputs!$F$116*Operations!J941*Inputs!$F$192/100*Operations!J942*(1-Operations!J943)</f>
        <v>447.421404391011</v>
      </c>
      <c r="K944" s="20" t="n">
        <f aca="false">Inputs!$F$116*Operations!K941*Inputs!$F$192/100*Operations!K942*(1-Operations!K943)</f>
        <v>443.700444103861</v>
      </c>
      <c r="L944" s="20" t="n">
        <f aca="false">Inputs!$F$116*Operations!L941*Inputs!$F$192/100*Operations!L942*(1-Operations!L943)</f>
        <v>439.992577972241</v>
      </c>
      <c r="M944" s="20" t="n">
        <f aca="false">Inputs!$F$116*Operations!M941*Inputs!$F$192/100*Operations!M942*(1-Operations!M943)</f>
        <v>436.297768503372</v>
      </c>
      <c r="N944" s="20" t="n">
        <f aca="false">Inputs!$F$116*Operations!N941*Inputs!$F$192/100*Operations!N942*(1-Operations!N943)</f>
        <v>435.425172966365</v>
      </c>
      <c r="O944" s="20" t="n">
        <f aca="false">Inputs!$F$116*Operations!O941*Inputs!$F$192/100*Operations!O942*(1-Operations!O943)</f>
        <v>434.554322620432</v>
      </c>
      <c r="P944" s="20" t="n">
        <f aca="false">Inputs!$F$116*Operations!P941*Inputs!$F$192/100*Operations!P942*(1-Operations!P943)</f>
        <v>433.685213975191</v>
      </c>
      <c r="Q944" s="20" t="n">
        <f aca="false">Inputs!$F$116*Operations!Q941*Inputs!$F$192/100*Operations!Q942*(1-Operations!Q943)</f>
        <v>432.817843547241</v>
      </c>
      <c r="R944" s="20" t="n">
        <f aca="false">Inputs!$F$116*Operations!R941*Inputs!$F$192/100*Operations!R942*(1-Operations!R943)</f>
        <v>431.952207860147</v>
      </c>
      <c r="S944" s="20" t="n">
        <f aca="false">Inputs!$F$116*Operations!S941*Inputs!$F$192/100*Operations!S942*(1-Operations!S943)</f>
        <v>431.088303444426</v>
      </c>
      <c r="T944" s="20" t="n">
        <f aca="false">Inputs!$F$116*Operations!T941*Inputs!$F$192/100*Operations!T942*(1-Operations!T943)</f>
        <v>430.226126837537</v>
      </c>
      <c r="U944" s="20" t="n">
        <f aca="false">Inputs!$F$116*Operations!U941*Inputs!$F$192/100*Operations!U942*(1-Operations!U943)</f>
        <v>429.365674583862</v>
      </c>
      <c r="V944" s="20" t="n">
        <f aca="false">Inputs!$F$116*Operations!V941*Inputs!$F$192/100*Operations!V942*(1-Operations!V943)</f>
        <v>428.506943234695</v>
      </c>
      <c r="W944" s="20" t="n">
        <f aca="false">Inputs!$F$116*Operations!W941*Inputs!$F$192/100*Operations!W942*(1-Operations!W943)</f>
        <v>427.649929348225</v>
      </c>
      <c r="X944" s="20" t="n">
        <f aca="false">Inputs!$F$116*Operations!X941*Inputs!$F$192/100*Operations!X942*(1-Operations!X943)</f>
        <v>426.794629489529</v>
      </c>
      <c r="Y944" s="20" t="n">
        <f aca="false">Inputs!$F$116*Operations!Y941*Inputs!$F$192/100*Operations!Y942*(1-Operations!Y943)</f>
        <v>425.94104023055</v>
      </c>
      <c r="Z944" s="20" t="n">
        <f aca="false">Inputs!$F$116*Operations!Z941*Inputs!$F$192/100*Operations!Z942*(1-Operations!Z943)</f>
        <v>425.089158150089</v>
      </c>
      <c r="AA944" s="20" t="n">
        <f aca="false">Inputs!$F$116*Operations!AA941*Inputs!$F$192/100*Operations!AA942*(1-Operations!AA943)</f>
        <v>424.238979833788</v>
      </c>
      <c r="AB944" s="20" t="n">
        <f aca="false">Inputs!$F$116*Operations!AB941*Inputs!$F$192/100*Operations!AB942*(1-Operations!AB943)</f>
        <v>423.390501874121</v>
      </c>
      <c r="AC944" s="20" t="n">
        <f aca="false">Inputs!$F$116*Operations!AC941*Inputs!$F$192/100*Operations!AC942*(1-Operations!AC943)</f>
        <v>422.543720870373</v>
      </c>
      <c r="AD944" s="20" t="n">
        <f aca="false">Inputs!$F$116*Operations!AD941*Inputs!$F$192/100*Operations!AD942*(1-Operations!AD943)</f>
        <v>421.698633428632</v>
      </c>
      <c r="AE944" s="20" t="n">
        <f aca="false">Inputs!$F$116*Operations!AE941*Inputs!$F$192/100*Operations!AE942*(1-Operations!AE943)</f>
        <v>420.855236161775</v>
      </c>
      <c r="AF944" s="20" t="n">
        <f aca="false">Inputs!$F$116*Operations!AF941*Inputs!$F$192/100*Operations!AF942*(1-Operations!AF943)</f>
        <v>420.013525689451</v>
      </c>
      <c r="AG944" s="20" t="n">
        <f aca="false">Inputs!$F$116*Operations!AG941*Inputs!$F$192/100*Operations!AG942*(1-Operations!AG943)</f>
        <v>419.173498638072</v>
      </c>
      <c r="AH944" s="20" t="n">
        <f aca="false">Inputs!$F$116*Operations!AH941*Inputs!$F$192/100*Operations!AH942*(1-Operations!AH943)</f>
        <v>418.335151640796</v>
      </c>
      <c r="AI944" s="20" t="n">
        <f aca="false">Inputs!$F$116*Operations!AI941*Inputs!$F$192/100*Operations!AI942*(1-Operations!AI943)</f>
        <v>417.498481337514</v>
      </c>
      <c r="AJ944" s="20" t="n">
        <f aca="false">Inputs!$F$116*Operations!AJ941*Inputs!$F$192/100*Operations!AJ942*(1-Operations!AJ943)</f>
        <v>416.663484374839</v>
      </c>
      <c r="AK944" s="20" t="n">
        <f aca="false">Inputs!$F$116*Operations!AK941*Inputs!$F$192/100*Operations!AK942*(1-Operations!AK943)</f>
        <v>415.83015740609</v>
      </c>
      <c r="AL944" s="20" t="n">
        <f aca="false">Inputs!$F$116*Operations!AL941*Inputs!$F$192/100*Operations!AL942*(1-Operations!AL943)</f>
        <v>414.998497091278</v>
      </c>
      <c r="AM944" s="20" t="n">
        <f aca="false">Inputs!$F$116*Operations!AM941*Inputs!$F$192/100*Operations!AM942*(1-Operations!AM943)</f>
        <v>414.168500097095</v>
      </c>
      <c r="AN944" s="20" t="n">
        <f aca="false">Inputs!$F$116*Operations!AN941*Inputs!$F$192/100*Operations!AN942*(1-Operations!AN943)</f>
        <v>413.340163096901</v>
      </c>
      <c r="AO944" s="20" t="n">
        <f aca="false">Inputs!$F$116*Operations!AO941*Inputs!$F$192/100*Operations!AO942*(1-Operations!AO943)</f>
        <v>412.513482770707</v>
      </c>
      <c r="AP944" s="20" t="n">
        <f aca="false">Inputs!$F$116*Operations!AP941*Inputs!$F$192/100*Operations!AP942*(1-Operations!AP943)</f>
        <v>411.688455805166</v>
      </c>
      <c r="AQ944" s="20" t="n">
        <f aca="false">Inputs!$F$116*Operations!AQ941*Inputs!$F$192/100*Operations!AQ942*(1-Operations!AQ943)</f>
        <v>410.865078893555</v>
      </c>
      <c r="AR944" s="20" t="n">
        <f aca="false">Inputs!$F$116*Operations!AR941*Inputs!$F$192/100*Operations!AR942*(1-Operations!AR943)</f>
        <v>410.043348735768</v>
      </c>
      <c r="AS944" s="20" t="n">
        <f aca="false">Inputs!$F$116*Operations!AS941*Inputs!$F$192/100*Operations!AS942*(1-Operations!AS943)</f>
        <v>409.223262038297</v>
      </c>
      <c r="AT944" s="20" t="n">
        <f aca="false">Inputs!$F$116*Operations!AT941*Inputs!$F$192/100*Operations!AT942*(1-Operations!AT943)</f>
        <v>408.40481551422</v>
      </c>
      <c r="AU944" s="20" t="n">
        <f aca="false">Inputs!$F$116*Operations!AU941*Inputs!$F$192/100*Operations!AU942*(1-Operations!AU943)</f>
        <v>407.588005883192</v>
      </c>
    </row>
    <row r="945" customFormat="false" ht="15" hidden="false" customHeight="false" outlineLevel="0" collapsed="false">
      <c r="D945" s="0" t="s">
        <v>551</v>
      </c>
      <c r="E945" s="0" t="s">
        <v>466</v>
      </c>
      <c r="G945" s="20" t="n">
        <f aca="false">SUM(J945:AU945)</f>
        <v>11945.4330506523</v>
      </c>
      <c r="J945" s="20" t="n">
        <f aca="false">Operations!J944*Operations!J937</f>
        <v>447.421404391011</v>
      </c>
      <c r="K945" s="20" t="n">
        <f aca="false">Operations!K944*Operations!K937</f>
        <v>443.700444103861</v>
      </c>
      <c r="L945" s="20" t="n">
        <f aca="false">Operations!L944*Operations!L937</f>
        <v>439.992577972241</v>
      </c>
      <c r="M945" s="20" t="n">
        <f aca="false">Operations!M944*Operations!M937</f>
        <v>436.297768503372</v>
      </c>
      <c r="N945" s="20" t="n">
        <f aca="false">Operations!N944*Operations!N937</f>
        <v>435.425172966365</v>
      </c>
      <c r="O945" s="20" t="n">
        <f aca="false">Operations!O944*Operations!O937</f>
        <v>434.554322620432</v>
      </c>
      <c r="P945" s="20" t="n">
        <f aca="false">Operations!P944*Operations!P937</f>
        <v>433.685213975191</v>
      </c>
      <c r="Q945" s="20" t="n">
        <f aca="false">Operations!Q944*Operations!Q937</f>
        <v>432.817843547241</v>
      </c>
      <c r="R945" s="20" t="n">
        <f aca="false">Operations!R944*Operations!R937</f>
        <v>431.952207860147</v>
      </c>
      <c r="S945" s="20" t="n">
        <f aca="false">Operations!S944*Operations!S937</f>
        <v>431.088303444426</v>
      </c>
      <c r="T945" s="20" t="n">
        <f aca="false">Operations!T944*Operations!T937</f>
        <v>430.226126837537</v>
      </c>
      <c r="U945" s="20" t="n">
        <f aca="false">Operations!U944*Operations!U937</f>
        <v>429.365674583862</v>
      </c>
      <c r="V945" s="20" t="n">
        <f aca="false">Operations!V944*Operations!V937</f>
        <v>428.506943234695</v>
      </c>
      <c r="W945" s="20" t="n">
        <f aca="false">Operations!W944*Operations!W937</f>
        <v>427.649929348225</v>
      </c>
      <c r="X945" s="20" t="n">
        <f aca="false">Operations!X944*Operations!X937</f>
        <v>426.794629489529</v>
      </c>
      <c r="Y945" s="20" t="n">
        <f aca="false">Operations!Y944*Operations!Y937</f>
        <v>425.94104023055</v>
      </c>
      <c r="Z945" s="20" t="n">
        <f aca="false">Operations!Z944*Operations!Z937</f>
        <v>425.089158150089</v>
      </c>
      <c r="AA945" s="20" t="n">
        <f aca="false">Operations!AA944*Operations!AA937</f>
        <v>424.238979833788</v>
      </c>
      <c r="AB945" s="20" t="n">
        <f aca="false">Operations!AB944*Operations!AB937</f>
        <v>423.390501874121</v>
      </c>
      <c r="AC945" s="20" t="n">
        <f aca="false">Operations!AC944*Operations!AC937</f>
        <v>422.543720870373</v>
      </c>
      <c r="AD945" s="20" t="n">
        <f aca="false">Operations!AD944*Operations!AD937</f>
        <v>421.698633428632</v>
      </c>
      <c r="AE945" s="20" t="n">
        <f aca="false">Operations!AE944*Operations!AE937</f>
        <v>420.855236161775</v>
      </c>
      <c r="AF945" s="20" t="n">
        <f aca="false">Operations!AF944*Operations!AF937</f>
        <v>420.013525689451</v>
      </c>
      <c r="AG945" s="20" t="n">
        <f aca="false">Operations!AG944*Operations!AG937</f>
        <v>419.173498638072</v>
      </c>
      <c r="AH945" s="20" t="n">
        <f aca="false">Operations!AH944*Operations!AH937</f>
        <v>418.335151640796</v>
      </c>
      <c r="AI945" s="20" t="n">
        <f aca="false">Operations!AI944*Operations!AI937</f>
        <v>417.498481337514</v>
      </c>
      <c r="AJ945" s="20" t="n">
        <f aca="false">Operations!AJ944*Operations!AJ937</f>
        <v>416.663484374839</v>
      </c>
      <c r="AK945" s="20" t="n">
        <f aca="false">Operations!AK944*Operations!AK937</f>
        <v>380.513075544203</v>
      </c>
      <c r="AL945" s="20" t="n">
        <f aca="false">Operations!AL944*Operations!AL937</f>
        <v>0</v>
      </c>
      <c r="AM945" s="20" t="n">
        <f aca="false">Operations!AM944*Operations!AM937</f>
        <v>0</v>
      </c>
      <c r="AN945" s="20" t="n">
        <f aca="false">Operations!AN944*Operations!AN937</f>
        <v>0</v>
      </c>
      <c r="AO945" s="20" t="n">
        <f aca="false">Operations!AO944*Operations!AO937</f>
        <v>0</v>
      </c>
      <c r="AP945" s="20" t="n">
        <f aca="false">Operations!AP944*Operations!AP937</f>
        <v>0</v>
      </c>
      <c r="AQ945" s="20" t="n">
        <f aca="false">Operations!AQ944*Operations!AQ937</f>
        <v>0</v>
      </c>
      <c r="AR945" s="20" t="n">
        <f aca="false">Operations!AR944*Operations!AR937</f>
        <v>0</v>
      </c>
      <c r="AS945" s="20" t="n">
        <f aca="false">Operations!AS944*Operations!AS937</f>
        <v>0</v>
      </c>
      <c r="AT945" s="20" t="n">
        <f aca="false">Operations!AT944*Operations!AT937</f>
        <v>0</v>
      </c>
      <c r="AU945" s="20" t="n">
        <f aca="false">Operations!AU944*Operations!AU937</f>
        <v>0</v>
      </c>
    </row>
    <row r="946" customFormat="false" ht="15" hidden="false" customHeight="false" outlineLevel="0" collapsed="false">
      <c r="D946" s="0" t="s">
        <v>552</v>
      </c>
      <c r="E946" s="0" t="s">
        <v>54</v>
      </c>
      <c r="J946" s="14" t="n">
        <f aca="false">Operations!J848</f>
        <v>0.66</v>
      </c>
      <c r="K946" s="14" t="n">
        <f aca="false">Operations!K848</f>
        <v>0.655</v>
      </c>
      <c r="L946" s="14" t="n">
        <f aca="false">Operations!L848</f>
        <v>0.65</v>
      </c>
      <c r="M946" s="14" t="n">
        <f aca="false">Operations!M848</f>
        <v>0.645</v>
      </c>
      <c r="N946" s="14" t="n">
        <f aca="false">Operations!N848</f>
        <v>0.64</v>
      </c>
      <c r="O946" s="14" t="n">
        <f aca="false">Operations!O848</f>
        <v>0.635</v>
      </c>
      <c r="P946" s="14" t="n">
        <f aca="false">Operations!P848</f>
        <v>0.63</v>
      </c>
      <c r="Q946" s="14" t="n">
        <f aca="false">Operations!Q848</f>
        <v>0.625</v>
      </c>
      <c r="R946" s="14" t="n">
        <f aca="false">Operations!R848</f>
        <v>0.62</v>
      </c>
      <c r="S946" s="14" t="n">
        <f aca="false">Operations!S848</f>
        <v>0.615</v>
      </c>
      <c r="T946" s="14" t="n">
        <f aca="false">Operations!T848</f>
        <v>0.61</v>
      </c>
      <c r="U946" s="14" t="n">
        <f aca="false">Operations!U848</f>
        <v>0.605</v>
      </c>
      <c r="V946" s="14" t="n">
        <f aca="false">Operations!V848</f>
        <v>0.6</v>
      </c>
      <c r="W946" s="14" t="n">
        <f aca="false">Operations!W848</f>
        <v>0.595</v>
      </c>
      <c r="X946" s="14" t="n">
        <f aca="false">Operations!X848</f>
        <v>0.59</v>
      </c>
      <c r="Y946" s="14" t="n">
        <f aca="false">Operations!Y848</f>
        <v>0.585</v>
      </c>
      <c r="Z946" s="14" t="n">
        <f aca="false">Operations!Z848</f>
        <v>0.58</v>
      </c>
      <c r="AA946" s="14" t="n">
        <f aca="false">Operations!AA848</f>
        <v>0.58</v>
      </c>
      <c r="AB946" s="14" t="n">
        <f aca="false">Operations!AB848</f>
        <v>0.58</v>
      </c>
      <c r="AC946" s="14" t="n">
        <f aca="false">Operations!AC848</f>
        <v>0.58</v>
      </c>
      <c r="AD946" s="14" t="n">
        <f aca="false">Operations!AD848</f>
        <v>0.58</v>
      </c>
      <c r="AE946" s="14" t="n">
        <f aca="false">Operations!AE848</f>
        <v>0.58</v>
      </c>
      <c r="AF946" s="14" t="n">
        <f aca="false">Operations!AF848</f>
        <v>0.58</v>
      </c>
      <c r="AG946" s="14" t="n">
        <f aca="false">Operations!AG848</f>
        <v>0.58</v>
      </c>
      <c r="AH946" s="14" t="n">
        <f aca="false">Operations!AH848</f>
        <v>0.58</v>
      </c>
      <c r="AI946" s="14" t="n">
        <f aca="false">Operations!AI848</f>
        <v>0.58</v>
      </c>
      <c r="AJ946" s="14" t="n">
        <f aca="false">Operations!AJ848</f>
        <v>0.58</v>
      </c>
      <c r="AK946" s="14" t="n">
        <f aca="false">Operations!AK848</f>
        <v>0.58</v>
      </c>
      <c r="AL946" s="14" t="n">
        <f aca="false">Operations!AL848</f>
        <v>0.58</v>
      </c>
      <c r="AM946" s="14" t="n">
        <f aca="false">Operations!AM848</f>
        <v>0.58</v>
      </c>
      <c r="AN946" s="14" t="n">
        <f aca="false">Operations!AN848</f>
        <v>0.58</v>
      </c>
      <c r="AO946" s="14" t="n">
        <f aca="false">Operations!AO848</f>
        <v>0.58</v>
      </c>
      <c r="AP946" s="14" t="n">
        <f aca="false">Operations!AP848</f>
        <v>0.58</v>
      </c>
      <c r="AQ946" s="14" t="n">
        <f aca="false">Operations!AQ848</f>
        <v>0.58</v>
      </c>
      <c r="AR946" s="14" t="n">
        <f aca="false">Operations!AR848</f>
        <v>0.58</v>
      </c>
      <c r="AS946" s="14" t="n">
        <f aca="false">Operations!AS848</f>
        <v>0.58</v>
      </c>
      <c r="AT946" s="14" t="n">
        <f aca="false">Operations!AT848</f>
        <v>0.58</v>
      </c>
      <c r="AU946" s="14" t="n">
        <f aca="false">Operations!AU848</f>
        <v>0.58</v>
      </c>
    </row>
    <row r="947" customFormat="false" ht="15" hidden="false" customHeight="false" outlineLevel="0" collapsed="false">
      <c r="D947" s="0" t="s">
        <v>553</v>
      </c>
      <c r="E947" s="0" t="s">
        <v>54</v>
      </c>
      <c r="J947" s="14" t="n">
        <f aca="false">Operations!J946-Inputs!$F$48</f>
        <v>0.59</v>
      </c>
      <c r="K947" s="14" t="n">
        <f aca="false">Operations!K946-Inputs!$F$48</f>
        <v>0.585</v>
      </c>
      <c r="L947" s="14" t="n">
        <f aca="false">Operations!L946-Inputs!$F$48</f>
        <v>0.58</v>
      </c>
      <c r="M947" s="14" t="n">
        <f aca="false">Operations!M946-Inputs!$F$48</f>
        <v>0.575</v>
      </c>
      <c r="N947" s="14" t="n">
        <f aca="false">Operations!N946-Inputs!$F$48</f>
        <v>0.57</v>
      </c>
      <c r="O947" s="14" t="n">
        <f aca="false">Operations!O946-Inputs!$F$48</f>
        <v>0.565</v>
      </c>
      <c r="P947" s="14" t="n">
        <f aca="false">Operations!P946-Inputs!$F$48</f>
        <v>0.56</v>
      </c>
      <c r="Q947" s="14" t="n">
        <f aca="false">Operations!Q946-Inputs!$F$48</f>
        <v>0.555</v>
      </c>
      <c r="R947" s="14" t="n">
        <f aca="false">Operations!R946-Inputs!$F$48</f>
        <v>0.55</v>
      </c>
      <c r="S947" s="14" t="n">
        <f aca="false">Operations!S946-Inputs!$F$48</f>
        <v>0.545</v>
      </c>
      <c r="T947" s="14" t="n">
        <f aca="false">Operations!T946-Inputs!$F$48</f>
        <v>0.54</v>
      </c>
      <c r="U947" s="14" t="n">
        <f aca="false">Operations!U946-Inputs!$F$48</f>
        <v>0.535</v>
      </c>
      <c r="V947" s="14" t="n">
        <f aca="false">Operations!V946-Inputs!$F$48</f>
        <v>0.53</v>
      </c>
      <c r="W947" s="14" t="n">
        <f aca="false">Operations!W946-Inputs!$F$48</f>
        <v>0.525</v>
      </c>
      <c r="X947" s="14" t="n">
        <f aca="false">Operations!X946-Inputs!$F$48</f>
        <v>0.52</v>
      </c>
      <c r="Y947" s="14" t="n">
        <f aca="false">Operations!Y946-Inputs!$F$48</f>
        <v>0.515</v>
      </c>
      <c r="Z947" s="14" t="n">
        <f aca="false">Operations!Z946-Inputs!$F$48</f>
        <v>0.51</v>
      </c>
      <c r="AA947" s="14" t="n">
        <f aca="false">Operations!AA946-Inputs!$F$48</f>
        <v>0.51</v>
      </c>
      <c r="AB947" s="14" t="n">
        <f aca="false">Operations!AB946-Inputs!$F$48</f>
        <v>0.51</v>
      </c>
      <c r="AC947" s="14" t="n">
        <f aca="false">Operations!AC946-Inputs!$F$48</f>
        <v>0.51</v>
      </c>
      <c r="AD947" s="14" t="n">
        <f aca="false">Operations!AD946-Inputs!$F$48</f>
        <v>0.51</v>
      </c>
      <c r="AE947" s="14" t="n">
        <f aca="false">Operations!AE946-Inputs!$F$48</f>
        <v>0.51</v>
      </c>
      <c r="AF947" s="14" t="n">
        <f aca="false">Operations!AF946-Inputs!$F$48</f>
        <v>0.51</v>
      </c>
      <c r="AG947" s="14" t="n">
        <f aca="false">Operations!AG946-Inputs!$F$48</f>
        <v>0.51</v>
      </c>
      <c r="AH947" s="14" t="n">
        <f aca="false">Operations!AH946-Inputs!$F$48</f>
        <v>0.51</v>
      </c>
      <c r="AI947" s="14" t="n">
        <f aca="false">Operations!AI946-Inputs!$F$48</f>
        <v>0.51</v>
      </c>
      <c r="AJ947" s="14" t="n">
        <f aca="false">Operations!AJ946-Inputs!$F$48</f>
        <v>0.51</v>
      </c>
      <c r="AK947" s="14" t="n">
        <f aca="false">Operations!AK946-Inputs!$F$48</f>
        <v>0.51</v>
      </c>
      <c r="AL947" s="14" t="n">
        <f aca="false">Operations!AL946-Inputs!$F$48</f>
        <v>0.51</v>
      </c>
      <c r="AM947" s="14" t="n">
        <f aca="false">Operations!AM946-Inputs!$F$48</f>
        <v>0.51</v>
      </c>
      <c r="AN947" s="14" t="n">
        <f aca="false">Operations!AN946-Inputs!$F$48</f>
        <v>0.51</v>
      </c>
      <c r="AO947" s="14" t="n">
        <f aca="false">Operations!AO946-Inputs!$F$48</f>
        <v>0.51</v>
      </c>
      <c r="AP947" s="14" t="n">
        <f aca="false">Operations!AP946-Inputs!$F$48</f>
        <v>0.51</v>
      </c>
      <c r="AQ947" s="14" t="n">
        <f aca="false">Operations!AQ946-Inputs!$F$48</f>
        <v>0.51</v>
      </c>
      <c r="AR947" s="14" t="n">
        <f aca="false">Operations!AR946-Inputs!$F$48</f>
        <v>0.51</v>
      </c>
      <c r="AS947" s="14" t="n">
        <f aca="false">Operations!AS946-Inputs!$F$48</f>
        <v>0.51</v>
      </c>
      <c r="AT947" s="14" t="n">
        <f aca="false">Operations!AT946-Inputs!$F$48</f>
        <v>0.51</v>
      </c>
      <c r="AU947" s="14" t="n">
        <f aca="false">Operations!AU946-Inputs!$F$48</f>
        <v>0.51</v>
      </c>
    </row>
    <row r="948" customFormat="false" ht="15" hidden="false" customHeight="false" outlineLevel="0" collapsed="false">
      <c r="D948" s="0" t="s">
        <v>554</v>
      </c>
      <c r="E948" s="0" t="s">
        <v>96</v>
      </c>
      <c r="J948" s="18" t="n">
        <f aca="false">Operations!J940*Operations!J947</f>
        <v>42.605552</v>
      </c>
      <c r="K948" s="18" t="n">
        <f aca="false">Operations!K940*Operations!K947</f>
        <v>34.656336</v>
      </c>
      <c r="L948" s="18" t="n">
        <f aca="false">Operations!L940*Operations!L947</f>
        <v>16.899344</v>
      </c>
      <c r="M948" s="18" t="n">
        <f aca="false">Operations!M940*Operations!M947</f>
        <v>22.15268</v>
      </c>
      <c r="N948" s="18" t="n">
        <f aca="false">Operations!N940*Operations!N947</f>
        <v>24.608496</v>
      </c>
      <c r="O948" s="18" t="n">
        <f aca="false">Operations!O940*Operations!O947</f>
        <v>25.869316</v>
      </c>
      <c r="P948" s="18" t="n">
        <f aca="false">Operations!P940*Operations!P947</f>
        <v>26.616128</v>
      </c>
      <c r="Q948" s="18" t="n">
        <f aca="false">Operations!Q940*Operations!Q947</f>
        <v>27.076896</v>
      </c>
      <c r="R948" s="18" t="n">
        <f aca="false">Operations!R940*Operations!R947</f>
        <v>27.57832</v>
      </c>
      <c r="S948" s="18" t="n">
        <f aca="false">Operations!S940*Operations!S947</f>
        <v>27.8762704</v>
      </c>
      <c r="T948" s="18" t="n">
        <f aca="false">Operations!T940*Operations!T947</f>
        <v>28.174608</v>
      </c>
      <c r="U948" s="18" t="n">
        <f aca="false">Operations!U940*Operations!U947</f>
        <v>28.4730424</v>
      </c>
      <c r="V948" s="18" t="n">
        <f aca="false">Operations!V940*Operations!V947</f>
        <v>28.7712832</v>
      </c>
      <c r="W948" s="18" t="n">
        <f aca="false">Operations!W940*Operations!W947</f>
        <v>29.06904</v>
      </c>
      <c r="X948" s="18" t="n">
        <f aca="false">Operations!X940*Operations!X947</f>
        <v>29.3660224</v>
      </c>
      <c r="Y948" s="18" t="n">
        <f aca="false">Operations!Y940*Operations!Y947</f>
        <v>29.6669252</v>
      </c>
      <c r="Z948" s="18" t="n">
        <f aca="false">Operations!Z940*Operations!Z947</f>
        <v>29.966376</v>
      </c>
      <c r="AA948" s="18" t="n">
        <f aca="false">Operations!AA940*Operations!AA947</f>
        <v>30.5637288</v>
      </c>
      <c r="AB948" s="18" t="n">
        <f aca="false">Operations!AB940*Operations!AB947</f>
        <v>31.175892</v>
      </c>
      <c r="AC948" s="18" t="n">
        <f aca="false">Operations!AC940*Operations!AC947</f>
        <v>31.7979288</v>
      </c>
      <c r="AD948" s="18" t="n">
        <f aca="false">Operations!AD940*Operations!AD947</f>
        <v>32.434776</v>
      </c>
      <c r="AE948" s="18" t="n">
        <f aca="false">Operations!AE940*Operations!AE947</f>
        <v>33.0814968</v>
      </c>
      <c r="AF948" s="18" t="n">
        <f aca="false">Operations!AF940*Operations!AF947</f>
        <v>33.743028</v>
      </c>
      <c r="AG948" s="18" t="n">
        <f aca="false">Operations!AG940*Operations!AG947</f>
        <v>34.4193696</v>
      </c>
      <c r="AH948" s="18" t="n">
        <f aca="false">Operations!AH940*Operations!AH947</f>
        <v>35.1055848</v>
      </c>
      <c r="AI948" s="18" t="n">
        <f aca="false">Operations!AI940*Operations!AI947</f>
        <v>35.8066104</v>
      </c>
      <c r="AJ948" s="18" t="n">
        <f aca="false">Operations!AJ940*Operations!AJ947</f>
        <v>36.5224464</v>
      </c>
      <c r="AK948" s="18" t="n">
        <f aca="false">Operations!AK940*Operations!AK947</f>
        <v>37.2530928</v>
      </c>
      <c r="AL948" s="18" t="n">
        <f aca="false">Operations!AL940*Operations!AL947</f>
        <v>37.9985496</v>
      </c>
      <c r="AM948" s="18" t="n">
        <f aca="false">Operations!AM940*Operations!AM947</f>
        <v>38.7588168</v>
      </c>
      <c r="AN948" s="18" t="n">
        <f aca="false">Operations!AN940*Operations!AN947</f>
        <v>39.5338944</v>
      </c>
      <c r="AO948" s="18" t="n">
        <f aca="false">Operations!AO940*Operations!AO947</f>
        <v>40.3237824</v>
      </c>
      <c r="AP948" s="18" t="n">
        <f aca="false">Operations!AP940*Operations!AP947</f>
        <v>41.1284808</v>
      </c>
      <c r="AQ948" s="18" t="n">
        <f aca="false">Operations!AQ940*Operations!AQ947</f>
        <v>41.9529264</v>
      </c>
      <c r="AR948" s="18" t="n">
        <f aca="false">Operations!AR940*Operations!AR947</f>
        <v>42.7921824</v>
      </c>
      <c r="AS948" s="18" t="n">
        <f aca="false">Operations!AS940*Operations!AS947</f>
        <v>43.6462488</v>
      </c>
      <c r="AT948" s="18" t="n">
        <f aca="false">Operations!AT940*Operations!AT947</f>
        <v>44.5200624</v>
      </c>
      <c r="AU948" s="18" t="n">
        <f aca="false">Operations!AU940*Operations!AU947</f>
        <v>45.4086864</v>
      </c>
    </row>
    <row r="949" customFormat="false" ht="15" hidden="false" customHeight="false" outlineLevel="0" collapsed="false">
      <c r="D949" s="0" t="s">
        <v>555</v>
      </c>
      <c r="E949" s="0" t="s">
        <v>458</v>
      </c>
      <c r="J949" s="14" t="n">
        <f aca="false">MAX(0,MIN(Inputs!$F$206,Time!J$6)-MAX(Inputs!$F$205-1,Time!J$5))/Time!J$7</f>
        <v>1</v>
      </c>
      <c r="K949" s="14" t="n">
        <f aca="false">MAX(0,MIN(Inputs!$F$206,Time!K$6)-MAX(Inputs!$F$205-1,Time!K$5))/Time!K$7</f>
        <v>1</v>
      </c>
      <c r="L949" s="14" t="n">
        <f aca="false">MAX(0,MIN(Inputs!$F$206,Time!L$6)-MAX(Inputs!$F$205-1,Time!L$5))/Time!L$7</f>
        <v>1</v>
      </c>
      <c r="M949" s="14" t="n">
        <f aca="false">MAX(0,MIN(Inputs!$F$206,Time!M$6)-MAX(Inputs!$F$205-1,Time!M$5))/Time!M$7</f>
        <v>1</v>
      </c>
      <c r="N949" s="14" t="n">
        <f aca="false">MAX(0,MIN(Inputs!$F$206,Time!N$6)-MAX(Inputs!$F$205-1,Time!N$5))/Time!N$7</f>
        <v>1</v>
      </c>
      <c r="O949" s="14" t="n">
        <f aca="false">MAX(0,MIN(Inputs!$F$206,Time!O$6)-MAX(Inputs!$F$205-1,Time!O$5))/Time!O$7</f>
        <v>1</v>
      </c>
      <c r="P949" s="14" t="n">
        <f aca="false">MAX(0,MIN(Inputs!$F$206,Time!P$6)-MAX(Inputs!$F$205-1,Time!P$5))/Time!P$7</f>
        <v>1</v>
      </c>
      <c r="Q949" s="14" t="n">
        <f aca="false">MAX(0,MIN(Inputs!$F$206,Time!Q$6)-MAX(Inputs!$F$205-1,Time!Q$5))/Time!Q$7</f>
        <v>1</v>
      </c>
      <c r="R949" s="14" t="n">
        <f aca="false">MAX(0,MIN(Inputs!$F$206,Time!R$6)-MAX(Inputs!$F$205-1,Time!R$5))/Time!R$7</f>
        <v>0</v>
      </c>
      <c r="S949" s="14" t="n">
        <f aca="false">MAX(0,MIN(Inputs!$F$206,Time!S$6)-MAX(Inputs!$F$205-1,Time!S$5))/Time!S$7</f>
        <v>0</v>
      </c>
      <c r="T949" s="14" t="n">
        <f aca="false">MAX(0,MIN(Inputs!$F$206,Time!T$6)-MAX(Inputs!$F$205-1,Time!T$5))/Time!T$7</f>
        <v>0</v>
      </c>
      <c r="U949" s="14" t="n">
        <f aca="false">MAX(0,MIN(Inputs!$F$206,Time!U$6)-MAX(Inputs!$F$205-1,Time!U$5))/Time!U$7</f>
        <v>0</v>
      </c>
      <c r="V949" s="14" t="n">
        <f aca="false">MAX(0,MIN(Inputs!$F$206,Time!V$6)-MAX(Inputs!$F$205-1,Time!V$5))/Time!V$7</f>
        <v>0</v>
      </c>
      <c r="W949" s="14" t="n">
        <f aca="false">MAX(0,MIN(Inputs!$F$206,Time!W$6)-MAX(Inputs!$F$205-1,Time!W$5))/Time!W$7</f>
        <v>0</v>
      </c>
      <c r="X949" s="14" t="n">
        <f aca="false">MAX(0,MIN(Inputs!$F$206,Time!X$6)-MAX(Inputs!$F$205-1,Time!X$5))/Time!X$7</f>
        <v>0</v>
      </c>
      <c r="Y949" s="14" t="n">
        <f aca="false">MAX(0,MIN(Inputs!$F$206,Time!Y$6)-MAX(Inputs!$F$205-1,Time!Y$5))/Time!Y$7</f>
        <v>0</v>
      </c>
      <c r="Z949" s="14" t="n">
        <f aca="false">MAX(0,MIN(Inputs!$F$206,Time!Z$6)-MAX(Inputs!$F$205-1,Time!Z$5))/Time!Z$7</f>
        <v>0</v>
      </c>
      <c r="AA949" s="14" t="n">
        <f aca="false">MAX(0,MIN(Inputs!$F$206,Time!AA$6)-MAX(Inputs!$F$205-1,Time!AA$5))/Time!AA$7</f>
        <v>0</v>
      </c>
      <c r="AB949" s="14" t="n">
        <f aca="false">MAX(0,MIN(Inputs!$F$206,Time!AB$6)-MAX(Inputs!$F$205-1,Time!AB$5))/Time!AB$7</f>
        <v>0</v>
      </c>
      <c r="AC949" s="14" t="n">
        <f aca="false">MAX(0,MIN(Inputs!$F$206,Time!AC$6)-MAX(Inputs!$F$205-1,Time!AC$5))/Time!AC$7</f>
        <v>0</v>
      </c>
      <c r="AD949" s="14" t="n">
        <f aca="false">MAX(0,MIN(Inputs!$F$206,Time!AD$6)-MAX(Inputs!$F$205-1,Time!AD$5))/Time!AD$7</f>
        <v>0</v>
      </c>
      <c r="AE949" s="14" t="n">
        <f aca="false">MAX(0,MIN(Inputs!$F$206,Time!AE$6)-MAX(Inputs!$F$205-1,Time!AE$5))/Time!AE$7</f>
        <v>0</v>
      </c>
      <c r="AF949" s="14" t="n">
        <f aca="false">MAX(0,MIN(Inputs!$F$206,Time!AF$6)-MAX(Inputs!$F$205-1,Time!AF$5))/Time!AF$7</f>
        <v>0</v>
      </c>
      <c r="AG949" s="14" t="n">
        <f aca="false">MAX(0,MIN(Inputs!$F$206,Time!AG$6)-MAX(Inputs!$F$205-1,Time!AG$5))/Time!AG$7</f>
        <v>0</v>
      </c>
      <c r="AH949" s="14" t="n">
        <f aca="false">MAX(0,MIN(Inputs!$F$206,Time!AH$6)-MAX(Inputs!$F$205-1,Time!AH$5))/Time!AH$7</f>
        <v>0</v>
      </c>
      <c r="AI949" s="14" t="n">
        <f aca="false">MAX(0,MIN(Inputs!$F$206,Time!AI$6)-MAX(Inputs!$F$205-1,Time!AI$5))/Time!AI$7</f>
        <v>0</v>
      </c>
      <c r="AJ949" s="14" t="n">
        <f aca="false">MAX(0,MIN(Inputs!$F$206,Time!AJ$6)-MAX(Inputs!$F$205-1,Time!AJ$5))/Time!AJ$7</f>
        <v>0</v>
      </c>
      <c r="AK949" s="14" t="n">
        <f aca="false">MAX(0,MIN(Inputs!$F$206,Time!AK$6)-MAX(Inputs!$F$205-1,Time!AK$5))/Time!AK$7</f>
        <v>0</v>
      </c>
      <c r="AL949" s="14" t="n">
        <f aca="false">MAX(0,MIN(Inputs!$F$206,Time!AL$6)-MAX(Inputs!$F$205-1,Time!AL$5))/Time!AL$7</f>
        <v>0</v>
      </c>
      <c r="AM949" s="14" t="n">
        <f aca="false">MAX(0,MIN(Inputs!$F$206,Time!AM$6)-MAX(Inputs!$F$205-1,Time!AM$5))/Time!AM$7</f>
        <v>0</v>
      </c>
      <c r="AN949" s="14" t="n">
        <f aca="false">MAX(0,MIN(Inputs!$F$206,Time!AN$6)-MAX(Inputs!$F$205-1,Time!AN$5))/Time!AN$7</f>
        <v>0</v>
      </c>
      <c r="AO949" s="14" t="n">
        <f aca="false">MAX(0,MIN(Inputs!$F$206,Time!AO$6)-MAX(Inputs!$F$205-1,Time!AO$5))/Time!AO$7</f>
        <v>0</v>
      </c>
      <c r="AP949" s="14" t="n">
        <f aca="false">MAX(0,MIN(Inputs!$F$206,Time!AP$6)-MAX(Inputs!$F$205-1,Time!AP$5))/Time!AP$7</f>
        <v>0</v>
      </c>
      <c r="AQ949" s="14" t="n">
        <f aca="false">MAX(0,MIN(Inputs!$F$206,Time!AQ$6)-MAX(Inputs!$F$205-1,Time!AQ$5))/Time!AQ$7</f>
        <v>0</v>
      </c>
      <c r="AR949" s="14" t="n">
        <f aca="false">MAX(0,MIN(Inputs!$F$206,Time!AR$6)-MAX(Inputs!$F$205-1,Time!AR$5))/Time!AR$7</f>
        <v>0</v>
      </c>
      <c r="AS949" s="14" t="n">
        <f aca="false">MAX(0,MIN(Inputs!$F$206,Time!AS$6)-MAX(Inputs!$F$205-1,Time!AS$5))/Time!AS$7</f>
        <v>0</v>
      </c>
      <c r="AT949" s="14" t="n">
        <f aca="false">MAX(0,MIN(Inputs!$F$206,Time!AT$6)-MAX(Inputs!$F$205-1,Time!AT$5))/Time!AT$7</f>
        <v>0</v>
      </c>
      <c r="AU949" s="14" t="n">
        <f aca="false">MAX(0,MIN(Inputs!$F$206,Time!AU$6)-MAX(Inputs!$F$205-1,Time!AU$5))/Time!AU$7</f>
        <v>0</v>
      </c>
    </row>
    <row r="950" customFormat="false" ht="15" hidden="false" customHeight="false" outlineLevel="0" collapsed="false">
      <c r="D950" s="0" t="s">
        <v>556</v>
      </c>
      <c r="E950" s="0" t="s">
        <v>466</v>
      </c>
      <c r="J950" s="20" t="n">
        <f aca="false">Operations!J944*Operations!J949</f>
        <v>447.421404391011</v>
      </c>
      <c r="K950" s="20" t="n">
        <f aca="false">Operations!K944*Operations!K949</f>
        <v>443.700444103861</v>
      </c>
      <c r="L950" s="20" t="n">
        <f aca="false">Operations!L944*Operations!L949</f>
        <v>439.992577972241</v>
      </c>
      <c r="M950" s="20" t="n">
        <f aca="false">Operations!M944*Operations!M949</f>
        <v>436.297768503372</v>
      </c>
      <c r="N950" s="20" t="n">
        <f aca="false">Operations!N944*Operations!N949</f>
        <v>435.425172966365</v>
      </c>
      <c r="O950" s="20" t="n">
        <f aca="false">Operations!O944*Operations!O949</f>
        <v>434.554322620432</v>
      </c>
      <c r="P950" s="20" t="n">
        <f aca="false">Operations!P944*Operations!P949</f>
        <v>433.685213975191</v>
      </c>
      <c r="Q950" s="20" t="n">
        <f aca="false">Operations!Q944*Operations!Q949</f>
        <v>432.817843547241</v>
      </c>
      <c r="R950" s="20" t="n">
        <f aca="false">Operations!R944*Operations!R949</f>
        <v>0</v>
      </c>
      <c r="S950" s="20" t="n">
        <f aca="false">Operations!S944*Operations!S949</f>
        <v>0</v>
      </c>
      <c r="T950" s="20" t="n">
        <f aca="false">Operations!T944*Operations!T949</f>
        <v>0</v>
      </c>
      <c r="U950" s="20" t="n">
        <f aca="false">Operations!U944*Operations!U949</f>
        <v>0</v>
      </c>
      <c r="V950" s="20" t="n">
        <f aca="false">Operations!V944*Operations!V949</f>
        <v>0</v>
      </c>
      <c r="W950" s="20" t="n">
        <f aca="false">Operations!W944*Operations!W949</f>
        <v>0</v>
      </c>
      <c r="X950" s="20" t="n">
        <f aca="false">Operations!X944*Operations!X949</f>
        <v>0</v>
      </c>
      <c r="Y950" s="20" t="n">
        <f aca="false">Operations!Y944*Operations!Y949</f>
        <v>0</v>
      </c>
      <c r="Z950" s="20" t="n">
        <f aca="false">Operations!Z944*Operations!Z949</f>
        <v>0</v>
      </c>
      <c r="AA950" s="20" t="n">
        <f aca="false">Operations!AA944*Operations!AA949</f>
        <v>0</v>
      </c>
      <c r="AB950" s="20" t="n">
        <f aca="false">Operations!AB944*Operations!AB949</f>
        <v>0</v>
      </c>
      <c r="AC950" s="20" t="n">
        <f aca="false">Operations!AC944*Operations!AC949</f>
        <v>0</v>
      </c>
      <c r="AD950" s="20" t="n">
        <f aca="false">Operations!AD944*Operations!AD949</f>
        <v>0</v>
      </c>
      <c r="AE950" s="20" t="n">
        <f aca="false">Operations!AE944*Operations!AE949</f>
        <v>0</v>
      </c>
      <c r="AF950" s="20" t="n">
        <f aca="false">Operations!AF944*Operations!AF949</f>
        <v>0</v>
      </c>
      <c r="AG950" s="20" t="n">
        <f aca="false">Operations!AG944*Operations!AG949</f>
        <v>0</v>
      </c>
      <c r="AH950" s="20" t="n">
        <f aca="false">Operations!AH944*Operations!AH949</f>
        <v>0</v>
      </c>
      <c r="AI950" s="20" t="n">
        <f aca="false">Operations!AI944*Operations!AI949</f>
        <v>0</v>
      </c>
      <c r="AJ950" s="20" t="n">
        <f aca="false">Operations!AJ944*Operations!AJ949</f>
        <v>0</v>
      </c>
      <c r="AK950" s="20" t="n">
        <f aca="false">Operations!AK944*Operations!AK949</f>
        <v>0</v>
      </c>
      <c r="AL950" s="20" t="n">
        <f aca="false">Operations!AL944*Operations!AL949</f>
        <v>0</v>
      </c>
      <c r="AM950" s="20" t="n">
        <f aca="false">Operations!AM944*Operations!AM949</f>
        <v>0</v>
      </c>
      <c r="AN950" s="20" t="n">
        <f aca="false">Operations!AN944*Operations!AN949</f>
        <v>0</v>
      </c>
      <c r="AO950" s="20" t="n">
        <f aca="false">Operations!AO944*Operations!AO949</f>
        <v>0</v>
      </c>
      <c r="AP950" s="20" t="n">
        <f aca="false">Operations!AP944*Operations!AP949</f>
        <v>0</v>
      </c>
      <c r="AQ950" s="20" t="n">
        <f aca="false">Operations!AQ944*Operations!AQ949</f>
        <v>0</v>
      </c>
      <c r="AR950" s="20" t="n">
        <f aca="false">Operations!AR944*Operations!AR949</f>
        <v>0</v>
      </c>
      <c r="AS950" s="20" t="n">
        <f aca="false">Operations!AS944*Operations!AS949</f>
        <v>0</v>
      </c>
      <c r="AT950" s="20" t="n">
        <f aca="false">Operations!AT944*Operations!AT949</f>
        <v>0</v>
      </c>
      <c r="AU950" s="20" t="n">
        <f aca="false">Operations!AU944*Operations!AU949</f>
        <v>0</v>
      </c>
    </row>
    <row r="951" customFormat="false" ht="15" hidden="false" customHeight="false" outlineLevel="0" collapsed="false">
      <c r="D951" s="0" t="s">
        <v>557</v>
      </c>
      <c r="E951" s="0" t="s">
        <v>47</v>
      </c>
      <c r="G951" s="20" t="n">
        <f aca="false">SUM(J951:AU951)</f>
        <v>98.1550728495155</v>
      </c>
      <c r="J951" s="20" t="n">
        <f aca="false">Inputs!$F$204*Operations!J949-Operations!J950*Operations!J946*Operations!J940/1000</f>
        <v>4.51569542193523</v>
      </c>
      <c r="K951" s="20" t="n">
        <f aca="false">Inputs!$F$204*Operations!K949-Operations!K950*Operations!K946*Operations!K940/1000</f>
        <v>8.62298162972775</v>
      </c>
      <c r="L951" s="20" t="n">
        <f aca="false">Inputs!$F$204*Operations!L949-Operations!L950*Operations!L946*Operations!L940/1000</f>
        <v>17.50701576519</v>
      </c>
      <c r="M951" s="20" t="n">
        <f aca="false">Inputs!$F$204*Operations!M949-Operations!M950*Operations!M946*Operations!M940/1000</f>
        <v>14.9982063852379</v>
      </c>
      <c r="N951" s="20" t="n">
        <f aca="false">Inputs!$F$204*Operations!N949-Operations!N950*Operations!N946*Operations!N940/1000</f>
        <v>13.8089446992369</v>
      </c>
      <c r="O951" s="20" t="n">
        <f aca="false">Inputs!$F$204*Operations!O949-Operations!O950*Operations!O946*Operations!O940/1000</f>
        <v>13.2056094463601</v>
      </c>
      <c r="P951" s="20" t="n">
        <f aca="false">Inputs!$F$204*Operations!P949-Operations!P950*Operations!P946*Operations!P940/1000</f>
        <v>12.85410118727</v>
      </c>
      <c r="Q951" s="20" t="n">
        <f aca="false">Inputs!$F$204*Operations!Q949-Operations!Q950*Operations!Q946*Operations!Q940/1000</f>
        <v>12.6425183145575</v>
      </c>
      <c r="R951" s="20" t="n">
        <f aca="false">Inputs!$F$204*Operations!R949-Operations!R950*Operations!R946*Operations!R940/1000</f>
        <v>0</v>
      </c>
      <c r="S951" s="20" t="n">
        <f aca="false">Inputs!$F$204*Operations!S949-Operations!S950*Operations!S946*Operations!S940/1000</f>
        <v>0</v>
      </c>
      <c r="T951" s="20" t="n">
        <f aca="false">Inputs!$F$204*Operations!T949-Operations!T950*Operations!T946*Operations!T940/1000</f>
        <v>0</v>
      </c>
      <c r="U951" s="20" t="n">
        <f aca="false">Inputs!$F$204*Operations!U949-Operations!U950*Operations!U946*Operations!U940/1000</f>
        <v>0</v>
      </c>
      <c r="V951" s="20" t="n">
        <f aca="false">Inputs!$F$204*Operations!V949-Operations!V950*Operations!V946*Operations!V940/1000</f>
        <v>0</v>
      </c>
      <c r="W951" s="20" t="n">
        <f aca="false">Inputs!$F$204*Operations!W949-Operations!W950*Operations!W946*Operations!W940/1000</f>
        <v>0</v>
      </c>
      <c r="X951" s="20" t="n">
        <f aca="false">Inputs!$F$204*Operations!X949-Operations!X950*Operations!X946*Operations!X940/1000</f>
        <v>0</v>
      </c>
      <c r="Y951" s="20" t="n">
        <f aca="false">Inputs!$F$204*Operations!Y949-Operations!Y950*Operations!Y946*Operations!Y940/1000</f>
        <v>0</v>
      </c>
      <c r="Z951" s="20" t="n">
        <f aca="false">Inputs!$F$204*Operations!Z949-Operations!Z950*Operations!Z946*Operations!Z940/1000</f>
        <v>0</v>
      </c>
      <c r="AA951" s="20" t="n">
        <f aca="false">Inputs!$F$204*Operations!AA949-Operations!AA950*Operations!AA946*Operations!AA940/1000</f>
        <v>0</v>
      </c>
      <c r="AB951" s="20" t="n">
        <f aca="false">Inputs!$F$204*Operations!AB949-Operations!AB950*Operations!AB946*Operations!AB940/1000</f>
        <v>0</v>
      </c>
      <c r="AC951" s="20" t="n">
        <f aca="false">Inputs!$F$204*Operations!AC949-Operations!AC950*Operations!AC946*Operations!AC940/1000</f>
        <v>0</v>
      </c>
      <c r="AD951" s="20" t="n">
        <f aca="false">Inputs!$F$204*Operations!AD949-Operations!AD950*Operations!AD946*Operations!AD940/1000</f>
        <v>0</v>
      </c>
      <c r="AE951" s="20" t="n">
        <f aca="false">Inputs!$F$204*Operations!AE949-Operations!AE950*Operations!AE946*Operations!AE940/1000</f>
        <v>0</v>
      </c>
      <c r="AF951" s="20" t="n">
        <f aca="false">Inputs!$F$204*Operations!AF949-Operations!AF950*Operations!AF946*Operations!AF940/1000</f>
        <v>0</v>
      </c>
      <c r="AG951" s="20" t="n">
        <f aca="false">Inputs!$F$204*Operations!AG949-Operations!AG950*Operations!AG946*Operations!AG940/1000</f>
        <v>0</v>
      </c>
      <c r="AH951" s="20" t="n">
        <f aca="false">Inputs!$F$204*Operations!AH949-Operations!AH950*Operations!AH946*Operations!AH940/1000</f>
        <v>0</v>
      </c>
      <c r="AI951" s="20" t="n">
        <f aca="false">Inputs!$F$204*Operations!AI949-Operations!AI950*Operations!AI946*Operations!AI940/1000</f>
        <v>0</v>
      </c>
      <c r="AJ951" s="20" t="n">
        <f aca="false">Inputs!$F$204*Operations!AJ949-Operations!AJ950*Operations!AJ946*Operations!AJ940/1000</f>
        <v>0</v>
      </c>
      <c r="AK951" s="20" t="n">
        <f aca="false">Inputs!$F$204*Operations!AK949-Operations!AK950*Operations!AK946*Operations!AK940/1000</f>
        <v>0</v>
      </c>
      <c r="AL951" s="20" t="n">
        <f aca="false">Inputs!$F$204*Operations!AL949-Operations!AL950*Operations!AL946*Operations!AL940/1000</f>
        <v>0</v>
      </c>
      <c r="AM951" s="20" t="n">
        <f aca="false">Inputs!$F$204*Operations!AM949-Operations!AM950*Operations!AM946*Operations!AM940/1000</f>
        <v>0</v>
      </c>
      <c r="AN951" s="20" t="n">
        <f aca="false">Inputs!$F$204*Operations!AN949-Operations!AN950*Operations!AN946*Operations!AN940/1000</f>
        <v>0</v>
      </c>
      <c r="AO951" s="20" t="n">
        <f aca="false">Inputs!$F$204*Operations!AO949-Operations!AO950*Operations!AO946*Operations!AO940/1000</f>
        <v>0</v>
      </c>
      <c r="AP951" s="20" t="n">
        <f aca="false">Inputs!$F$204*Operations!AP949-Operations!AP950*Operations!AP946*Operations!AP940/1000</f>
        <v>0</v>
      </c>
      <c r="AQ951" s="20" t="n">
        <f aca="false">Inputs!$F$204*Operations!AQ949-Operations!AQ950*Operations!AQ946*Operations!AQ940/1000</f>
        <v>0</v>
      </c>
      <c r="AR951" s="20" t="n">
        <f aca="false">Inputs!$F$204*Operations!AR949-Operations!AR950*Operations!AR946*Operations!AR940/1000</f>
        <v>0</v>
      </c>
      <c r="AS951" s="20" t="n">
        <f aca="false">Inputs!$F$204*Operations!AS949-Operations!AS950*Operations!AS946*Operations!AS940/1000</f>
        <v>0</v>
      </c>
      <c r="AT951" s="20" t="n">
        <f aca="false">Inputs!$F$204*Operations!AT949-Operations!AT950*Operations!AT946*Operations!AT940/1000</f>
        <v>0</v>
      </c>
      <c r="AU951" s="20" t="n">
        <f aca="false">Inputs!$F$204*Operations!AU949-Operations!AU950*Operations!AU946*Operations!AU940/1000</f>
        <v>0</v>
      </c>
    </row>
    <row r="952" customFormat="false" ht="15" hidden="false" customHeight="false" outlineLevel="0" collapsed="false">
      <c r="D952" s="0" t="s">
        <v>558</v>
      </c>
      <c r="E952" s="0" t="s">
        <v>466</v>
      </c>
      <c r="J952" s="20" t="n">
        <f aca="false">Operations!J945</f>
        <v>447.421404391011</v>
      </c>
      <c r="K952" s="20" t="n">
        <f aca="false">Operations!K945</f>
        <v>443.700444103861</v>
      </c>
      <c r="L952" s="20" t="n">
        <f aca="false">Operations!L945</f>
        <v>439.992577972241</v>
      </c>
      <c r="M952" s="20" t="n">
        <f aca="false">Operations!M945</f>
        <v>436.297768503372</v>
      </c>
      <c r="N952" s="20" t="n">
        <f aca="false">Operations!N945</f>
        <v>435.425172966365</v>
      </c>
      <c r="O952" s="20" t="n">
        <f aca="false">Operations!O945</f>
        <v>434.554322620432</v>
      </c>
      <c r="P952" s="20" t="n">
        <f aca="false">Operations!P945</f>
        <v>433.685213975191</v>
      </c>
      <c r="Q952" s="20" t="n">
        <f aca="false">Operations!Q945</f>
        <v>432.817843547241</v>
      </c>
      <c r="R952" s="20" t="n">
        <f aca="false">Operations!R945</f>
        <v>431.952207860147</v>
      </c>
      <c r="S952" s="20" t="n">
        <f aca="false">Operations!S945</f>
        <v>431.088303444426</v>
      </c>
      <c r="T952" s="20" t="n">
        <f aca="false">Operations!T945</f>
        <v>430.226126837537</v>
      </c>
      <c r="U952" s="20" t="n">
        <f aca="false">Operations!U945</f>
        <v>429.365674583862</v>
      </c>
      <c r="V952" s="20" t="n">
        <f aca="false">Operations!V945</f>
        <v>428.506943234695</v>
      </c>
      <c r="W952" s="20" t="n">
        <f aca="false">Operations!W945</f>
        <v>427.649929348225</v>
      </c>
      <c r="X952" s="20" t="n">
        <f aca="false">Operations!X945</f>
        <v>426.794629489529</v>
      </c>
      <c r="Y952" s="20" t="n">
        <f aca="false">Operations!Y945</f>
        <v>425.94104023055</v>
      </c>
      <c r="Z952" s="20" t="n">
        <f aca="false">Operations!Z945</f>
        <v>425.089158150089</v>
      </c>
      <c r="AA952" s="20" t="n">
        <f aca="false">Operations!AA945</f>
        <v>424.238979833788</v>
      </c>
      <c r="AB952" s="20" t="n">
        <f aca="false">Operations!AB945</f>
        <v>423.390501874121</v>
      </c>
      <c r="AC952" s="20" t="n">
        <f aca="false">Operations!AC945</f>
        <v>422.543720870373</v>
      </c>
      <c r="AD952" s="20" t="n">
        <f aca="false">Operations!AD945</f>
        <v>421.698633428632</v>
      </c>
      <c r="AE952" s="20" t="n">
        <f aca="false">Operations!AE945</f>
        <v>420.855236161775</v>
      </c>
      <c r="AF952" s="20" t="n">
        <f aca="false">Operations!AF945</f>
        <v>420.013525689451</v>
      </c>
      <c r="AG952" s="20" t="n">
        <f aca="false">Operations!AG945</f>
        <v>419.173498638072</v>
      </c>
      <c r="AH952" s="20" t="n">
        <f aca="false">Operations!AH945</f>
        <v>418.335151640796</v>
      </c>
      <c r="AI952" s="20" t="n">
        <f aca="false">Operations!AI945</f>
        <v>417.498481337514</v>
      </c>
      <c r="AJ952" s="20" t="n">
        <f aca="false">Operations!AJ945</f>
        <v>416.663484374839</v>
      </c>
      <c r="AK952" s="20" t="n">
        <f aca="false">Operations!AK945</f>
        <v>380.513075544203</v>
      </c>
      <c r="AL952" s="20" t="n">
        <f aca="false">Operations!AL945</f>
        <v>0</v>
      </c>
      <c r="AM952" s="20" t="n">
        <f aca="false">Operations!AM945</f>
        <v>0</v>
      </c>
      <c r="AN952" s="20" t="n">
        <f aca="false">Operations!AN945</f>
        <v>0</v>
      </c>
      <c r="AO952" s="20" t="n">
        <f aca="false">Operations!AO945</f>
        <v>0</v>
      </c>
      <c r="AP952" s="20" t="n">
        <f aca="false">Operations!AP945</f>
        <v>0</v>
      </c>
      <c r="AQ952" s="20" t="n">
        <f aca="false">Operations!AQ945</f>
        <v>0</v>
      </c>
      <c r="AR952" s="20" t="n">
        <f aca="false">Operations!AR945</f>
        <v>0</v>
      </c>
      <c r="AS952" s="20" t="n">
        <f aca="false">Operations!AS945</f>
        <v>0</v>
      </c>
      <c r="AT952" s="20" t="n">
        <f aca="false">Operations!AT945</f>
        <v>0</v>
      </c>
      <c r="AU952" s="20" t="n">
        <f aca="false">Operations!AU945</f>
        <v>0</v>
      </c>
    </row>
    <row r="953" customFormat="false" ht="15" hidden="false" customHeight="false" outlineLevel="0" collapsed="false">
      <c r="D953" s="0" t="s">
        <v>559</v>
      </c>
      <c r="E953" s="0" t="s">
        <v>47</v>
      </c>
      <c r="J953" s="20" t="n">
        <f aca="false">Inputs!$F$204*Operations!J949</f>
        <v>25.84</v>
      </c>
      <c r="K953" s="20" t="n">
        <f aca="false">Inputs!$F$204*Operations!K949</f>
        <v>25.84</v>
      </c>
      <c r="L953" s="20" t="n">
        <f aca="false">Inputs!$F$204*Operations!L949</f>
        <v>25.84</v>
      </c>
      <c r="M953" s="20" t="n">
        <f aca="false">Inputs!$F$204*Operations!M949</f>
        <v>25.84</v>
      </c>
      <c r="N953" s="20" t="n">
        <f aca="false">Inputs!$F$204*Operations!N949</f>
        <v>25.84</v>
      </c>
      <c r="O953" s="20" t="n">
        <f aca="false">Inputs!$F$204*Operations!O949</f>
        <v>25.84</v>
      </c>
      <c r="P953" s="20" t="n">
        <f aca="false">Inputs!$F$204*Operations!P949</f>
        <v>25.84</v>
      </c>
      <c r="Q953" s="20" t="n">
        <f aca="false">Inputs!$F$204*Operations!Q949</f>
        <v>25.84</v>
      </c>
      <c r="R953" s="20" t="n">
        <f aca="false">Inputs!$F$204*Operations!R949</f>
        <v>0</v>
      </c>
      <c r="S953" s="20" t="n">
        <f aca="false">Inputs!$F$204*Operations!S949</f>
        <v>0</v>
      </c>
      <c r="T953" s="20" t="n">
        <f aca="false">Inputs!$F$204*Operations!T949</f>
        <v>0</v>
      </c>
      <c r="U953" s="20" t="n">
        <f aca="false">Inputs!$F$204*Operations!U949</f>
        <v>0</v>
      </c>
      <c r="V953" s="20" t="n">
        <f aca="false">Inputs!$F$204*Operations!V949</f>
        <v>0</v>
      </c>
      <c r="W953" s="20" t="n">
        <f aca="false">Inputs!$F$204*Operations!W949</f>
        <v>0</v>
      </c>
      <c r="X953" s="20" t="n">
        <f aca="false">Inputs!$F$204*Operations!X949</f>
        <v>0</v>
      </c>
      <c r="Y953" s="20" t="n">
        <f aca="false">Inputs!$F$204*Operations!Y949</f>
        <v>0</v>
      </c>
      <c r="Z953" s="20" t="n">
        <f aca="false">Inputs!$F$204*Operations!Z949</f>
        <v>0</v>
      </c>
      <c r="AA953" s="20" t="n">
        <f aca="false">Inputs!$F$204*Operations!AA949</f>
        <v>0</v>
      </c>
      <c r="AB953" s="20" t="n">
        <f aca="false">Inputs!$F$204*Operations!AB949</f>
        <v>0</v>
      </c>
      <c r="AC953" s="20" t="n">
        <f aca="false">Inputs!$F$204*Operations!AC949</f>
        <v>0</v>
      </c>
      <c r="AD953" s="20" t="n">
        <f aca="false">Inputs!$F$204*Operations!AD949</f>
        <v>0</v>
      </c>
      <c r="AE953" s="20" t="n">
        <f aca="false">Inputs!$F$204*Operations!AE949</f>
        <v>0</v>
      </c>
      <c r="AF953" s="20" t="n">
        <f aca="false">Inputs!$F$204*Operations!AF949</f>
        <v>0</v>
      </c>
      <c r="AG953" s="20" t="n">
        <f aca="false">Inputs!$F$204*Operations!AG949</f>
        <v>0</v>
      </c>
      <c r="AH953" s="20" t="n">
        <f aca="false">Inputs!$F$204*Operations!AH949</f>
        <v>0</v>
      </c>
      <c r="AI953" s="20" t="n">
        <f aca="false">Inputs!$F$204*Operations!AI949</f>
        <v>0</v>
      </c>
      <c r="AJ953" s="20" t="n">
        <f aca="false">Inputs!$F$204*Operations!AJ949</f>
        <v>0</v>
      </c>
      <c r="AK953" s="20" t="n">
        <f aca="false">Inputs!$F$204*Operations!AK949</f>
        <v>0</v>
      </c>
      <c r="AL953" s="20" t="n">
        <f aca="false">Inputs!$F$204*Operations!AL949</f>
        <v>0</v>
      </c>
      <c r="AM953" s="20" t="n">
        <f aca="false">Inputs!$F$204*Operations!AM949</f>
        <v>0</v>
      </c>
      <c r="AN953" s="20" t="n">
        <f aca="false">Inputs!$F$204*Operations!AN949</f>
        <v>0</v>
      </c>
      <c r="AO953" s="20" t="n">
        <f aca="false">Inputs!$F$204*Operations!AO949</f>
        <v>0</v>
      </c>
      <c r="AP953" s="20" t="n">
        <f aca="false">Inputs!$F$204*Operations!AP949</f>
        <v>0</v>
      </c>
      <c r="AQ953" s="20" t="n">
        <f aca="false">Inputs!$F$204*Operations!AQ949</f>
        <v>0</v>
      </c>
      <c r="AR953" s="20" t="n">
        <f aca="false">Inputs!$F$204*Operations!AR949</f>
        <v>0</v>
      </c>
      <c r="AS953" s="20" t="n">
        <f aca="false">Inputs!$F$204*Operations!AS949</f>
        <v>0</v>
      </c>
      <c r="AT953" s="20" t="n">
        <f aca="false">Inputs!$F$204*Operations!AT949</f>
        <v>0</v>
      </c>
      <c r="AU953" s="20" t="n">
        <f aca="false">Inputs!$F$204*Operations!AU949</f>
        <v>0</v>
      </c>
    </row>
    <row r="954" customFormat="false" ht="15" hidden="false" customHeight="false" outlineLevel="0" collapsed="false">
      <c r="D954" s="0" t="s">
        <v>560</v>
      </c>
      <c r="E954" s="0" t="s">
        <v>47</v>
      </c>
      <c r="J954" s="20" t="n">
        <f aca="false">0</f>
        <v>0</v>
      </c>
      <c r="K954" s="20" t="n">
        <f aca="false">0</f>
        <v>0</v>
      </c>
      <c r="L954" s="20" t="n">
        <f aca="false">0</f>
        <v>0</v>
      </c>
      <c r="M954" s="20" t="n">
        <f aca="false">0</f>
        <v>0</v>
      </c>
      <c r="N954" s="20" t="n">
        <f aca="false">0</f>
        <v>0</v>
      </c>
      <c r="O954" s="20" t="n">
        <f aca="false">0</f>
        <v>0</v>
      </c>
      <c r="P954" s="20" t="n">
        <f aca="false">0</f>
        <v>0</v>
      </c>
      <c r="Q954" s="20" t="n">
        <f aca="false">0</f>
        <v>0</v>
      </c>
      <c r="R954" s="20" t="n">
        <f aca="false">0</f>
        <v>0</v>
      </c>
      <c r="S954" s="20" t="n">
        <f aca="false">0</f>
        <v>0</v>
      </c>
      <c r="T954" s="20" t="n">
        <f aca="false">0</f>
        <v>0</v>
      </c>
      <c r="U954" s="20" t="n">
        <f aca="false">0</f>
        <v>0</v>
      </c>
      <c r="V954" s="20" t="n">
        <f aca="false">0</f>
        <v>0</v>
      </c>
      <c r="W954" s="20" t="n">
        <f aca="false">0</f>
        <v>0</v>
      </c>
      <c r="X954" s="20" t="n">
        <f aca="false">0</f>
        <v>0</v>
      </c>
      <c r="Y954" s="20" t="n">
        <f aca="false">0</f>
        <v>0</v>
      </c>
      <c r="Z954" s="20" t="n">
        <f aca="false">0</f>
        <v>0</v>
      </c>
      <c r="AA954" s="20" t="n">
        <f aca="false">0</f>
        <v>0</v>
      </c>
      <c r="AB954" s="20" t="n">
        <f aca="false">0</f>
        <v>0</v>
      </c>
      <c r="AC954" s="20" t="n">
        <f aca="false">0</f>
        <v>0</v>
      </c>
      <c r="AD954" s="20" t="n">
        <f aca="false">0</f>
        <v>0</v>
      </c>
      <c r="AE954" s="20" t="n">
        <f aca="false">0</f>
        <v>0</v>
      </c>
      <c r="AF954" s="20" t="n">
        <f aca="false">0</f>
        <v>0</v>
      </c>
      <c r="AG954" s="20" t="n">
        <f aca="false">0</f>
        <v>0</v>
      </c>
      <c r="AH954" s="20" t="n">
        <f aca="false">0</f>
        <v>0</v>
      </c>
      <c r="AI954" s="20" t="n">
        <f aca="false">0</f>
        <v>0</v>
      </c>
      <c r="AJ954" s="20" t="n">
        <f aca="false">0</f>
        <v>0</v>
      </c>
      <c r="AK954" s="20" t="n">
        <f aca="false">0</f>
        <v>0</v>
      </c>
      <c r="AL954" s="20" t="n">
        <f aca="false">0</f>
        <v>0</v>
      </c>
      <c r="AM954" s="20" t="n">
        <f aca="false">0</f>
        <v>0</v>
      </c>
      <c r="AN954" s="20" t="n">
        <f aca="false">0</f>
        <v>0</v>
      </c>
      <c r="AO954" s="20" t="n">
        <f aca="false">0</f>
        <v>0</v>
      </c>
      <c r="AP954" s="20" t="n">
        <f aca="false">0</f>
        <v>0</v>
      </c>
      <c r="AQ954" s="20" t="n">
        <f aca="false">0</f>
        <v>0</v>
      </c>
      <c r="AR954" s="20" t="n">
        <f aca="false">0</f>
        <v>0</v>
      </c>
      <c r="AS954" s="20" t="n">
        <f aca="false">0</f>
        <v>0</v>
      </c>
      <c r="AT954" s="20" t="n">
        <f aca="false">0</f>
        <v>0</v>
      </c>
      <c r="AU954" s="20" t="n">
        <f aca="false">0</f>
        <v>0</v>
      </c>
    </row>
    <row r="955" customFormat="false" ht="15" hidden="false" customHeight="false" outlineLevel="0" collapsed="false">
      <c r="D955" s="0" t="s">
        <v>561</v>
      </c>
      <c r="E955" s="0" t="s">
        <v>47</v>
      </c>
      <c r="G955" s="20" t="n">
        <f aca="false">SUM(J955:AU955)</f>
        <v>362.534424272916</v>
      </c>
      <c r="J955" s="20" t="n">
        <f aca="false">Operations!J952*Operations!J948/1000</f>
        <v>19.0626359106943</v>
      </c>
      <c r="K955" s="20" t="n">
        <f aca="false">Operations!K952*Operations!K948/1000</f>
        <v>15.3770316742126</v>
      </c>
      <c r="L955" s="20" t="n">
        <f aca="false">Operations!L952*Operations!L948/1000</f>
        <v>7.43558593259973</v>
      </c>
      <c r="M955" s="20" t="n">
        <f aca="false">Operations!M952*Operations!M948/1000</f>
        <v>9.66516485036927</v>
      </c>
      <c r="N955" s="20" t="n">
        <f aca="false">Operations!N952*Operations!N948/1000</f>
        <v>10.7151586272421</v>
      </c>
      <c r="O955" s="20" t="n">
        <f aca="false">Operations!O952*Operations!O948/1000</f>
        <v>11.2416230910339</v>
      </c>
      <c r="P955" s="20" t="n">
        <f aca="false">Operations!P952*Operations!P948/1000</f>
        <v>11.5430211668711</v>
      </c>
      <c r="Q955" s="20" t="n">
        <f aca="false">Operations!Q952*Operations!Q948/1000</f>
        <v>11.7193637366729</v>
      </c>
      <c r="R955" s="20" t="n">
        <f aca="false">Operations!R952*Operations!R948/1000</f>
        <v>11.9125162130736</v>
      </c>
      <c r="S955" s="20" t="n">
        <f aca="false">Operations!S952*Operations!S948/1000</f>
        <v>12.0171341130941</v>
      </c>
      <c r="T955" s="20" t="n">
        <f aca="false">Operations!T952*Operations!T948/1000</f>
        <v>12.1214524750059</v>
      </c>
      <c r="U955" s="20" t="n">
        <f aca="false">Operations!U952*Operations!U948/1000</f>
        <v>12.2253470575309</v>
      </c>
      <c r="V955" s="20" t="n">
        <f aca="false">Operations!V952*Operations!V948/1000</f>
        <v>12.3286946169717</v>
      </c>
      <c r="W955" s="20" t="n">
        <f aca="false">Operations!W952*Operations!W948/1000</f>
        <v>12.4313729022207</v>
      </c>
      <c r="X955" s="20" t="n">
        <f aca="false">Operations!X952*Operations!X948/1000</f>
        <v>12.5332606497892</v>
      </c>
      <c r="Y955" s="20" t="n">
        <f aca="false">Operations!Y952*Operations!Y948/1000</f>
        <v>12.6363609801299</v>
      </c>
      <c r="Z955" s="20" t="n">
        <f aca="false">Operations!Z952*Operations!Z948/1000</f>
        <v>12.738381546649</v>
      </c>
      <c r="AA955" s="20" t="n">
        <f aca="false">Operations!AA952*Operations!AA948/1000</f>
        <v>12.9663251260286</v>
      </c>
      <c r="AB955" s="20" t="n">
        <f aca="false">Operations!AB952*Operations!AB948/1000</f>
        <v>13.1995765602534</v>
      </c>
      <c r="AC955" s="20" t="n">
        <f aca="false">Operations!AC952*Operations!AC948/1000</f>
        <v>13.4360151511232</v>
      </c>
      <c r="AD955" s="20" t="n">
        <f aca="false">Operations!AD952*Operations!AD948/1000</f>
        <v>13.6777007147638</v>
      </c>
      <c r="AE955" s="20" t="n">
        <f aca="false">Operations!AE952*Operations!AE948/1000</f>
        <v>13.922521148349</v>
      </c>
      <c r="AF955" s="20" t="n">
        <f aca="false">Operations!AF952*Operations!AF948/1000</f>
        <v>14.1725281577179</v>
      </c>
      <c r="AG955" s="20" t="n">
        <f aca="false">Operations!AG952*Operations!AG948/1000</f>
        <v>14.4276875761489</v>
      </c>
      <c r="AH955" s="20" t="n">
        <f aca="false">Operations!AH952*Operations!AH948/1000</f>
        <v>14.6859001407468</v>
      </c>
      <c r="AI955" s="20" t="n">
        <f aca="false">Operations!AI952*Operations!AI948/1000</f>
        <v>14.9492054638441</v>
      </c>
      <c r="AJ955" s="20" t="n">
        <f aca="false">Operations!AJ952*Operations!AJ948/1000</f>
        <v>15.2175697749173</v>
      </c>
      <c r="AK955" s="20" t="n">
        <f aca="false">Operations!AK952*Operations!AK948/1000</f>
        <v>14.1752889148616</v>
      </c>
      <c r="AL955" s="20" t="n">
        <f aca="false">Operations!AL952*Operations!AL948/1000</f>
        <v>0</v>
      </c>
      <c r="AM955" s="20" t="n">
        <f aca="false">Operations!AM952*Operations!AM948/1000</f>
        <v>0</v>
      </c>
      <c r="AN955" s="20" t="n">
        <f aca="false">Operations!AN952*Operations!AN948/1000</f>
        <v>0</v>
      </c>
      <c r="AO955" s="20" t="n">
        <f aca="false">Operations!AO952*Operations!AO948/1000</f>
        <v>0</v>
      </c>
      <c r="AP955" s="20" t="n">
        <f aca="false">Operations!AP952*Operations!AP948/1000</f>
        <v>0</v>
      </c>
      <c r="AQ955" s="20" t="n">
        <f aca="false">Operations!AQ952*Operations!AQ948/1000</f>
        <v>0</v>
      </c>
      <c r="AR955" s="20" t="n">
        <f aca="false">Operations!AR952*Operations!AR948/1000</f>
        <v>0</v>
      </c>
      <c r="AS955" s="20" t="n">
        <f aca="false">Operations!AS952*Operations!AS948/1000</f>
        <v>0</v>
      </c>
      <c r="AT955" s="20" t="n">
        <f aca="false">Operations!AT952*Operations!AT948/1000</f>
        <v>0</v>
      </c>
      <c r="AU955" s="20" t="n">
        <f aca="false">Operations!AU952*Operations!AU948/1000</f>
        <v>0</v>
      </c>
    </row>
    <row r="956" customFormat="false" ht="15" hidden="false" customHeight="false" outlineLevel="0" collapsed="false">
      <c r="D956" s="0" t="s">
        <v>562</v>
      </c>
      <c r="E956" s="0" t="s">
        <v>47</v>
      </c>
      <c r="G956" s="20" t="n">
        <f aca="false">SUM(J956:AU956)</f>
        <v>460.689497122431</v>
      </c>
      <c r="J956" s="20" t="n">
        <f aca="false">Operations!J955+Operations!J951</f>
        <v>23.5783313326295</v>
      </c>
      <c r="K956" s="20" t="n">
        <f aca="false">Operations!K955+Operations!K951</f>
        <v>24.0000133039404</v>
      </c>
      <c r="L956" s="20" t="n">
        <f aca="false">Operations!L955+Operations!L951</f>
        <v>24.9426016977897</v>
      </c>
      <c r="M956" s="20" t="n">
        <f aca="false">Operations!M955+Operations!M951</f>
        <v>24.6633712356072</v>
      </c>
      <c r="N956" s="20" t="n">
        <f aca="false">Operations!N955+Operations!N951</f>
        <v>24.524103326479</v>
      </c>
      <c r="O956" s="20" t="n">
        <f aca="false">Operations!O955+Operations!O951</f>
        <v>24.447232537394</v>
      </c>
      <c r="P956" s="20" t="n">
        <f aca="false">Operations!P955+Operations!P951</f>
        <v>24.3971223541411</v>
      </c>
      <c r="Q956" s="20" t="n">
        <f aca="false">Operations!Q955+Operations!Q951</f>
        <v>24.3618820512304</v>
      </c>
      <c r="R956" s="20" t="n">
        <f aca="false">Operations!R955+Operations!R951</f>
        <v>11.9125162130736</v>
      </c>
      <c r="S956" s="20" t="n">
        <f aca="false">Operations!S955+Operations!S951</f>
        <v>12.0171341130941</v>
      </c>
      <c r="T956" s="20" t="n">
        <f aca="false">Operations!T955+Operations!T951</f>
        <v>12.1214524750059</v>
      </c>
      <c r="U956" s="20" t="n">
        <f aca="false">Operations!U955+Operations!U951</f>
        <v>12.2253470575309</v>
      </c>
      <c r="V956" s="20" t="n">
        <f aca="false">Operations!V955+Operations!V951</f>
        <v>12.3286946169717</v>
      </c>
      <c r="W956" s="20" t="n">
        <f aca="false">Operations!W955+Operations!W951</f>
        <v>12.4313729022207</v>
      </c>
      <c r="X956" s="20" t="n">
        <f aca="false">Operations!X955+Operations!X951</f>
        <v>12.5332606497892</v>
      </c>
      <c r="Y956" s="20" t="n">
        <f aca="false">Operations!Y955+Operations!Y951</f>
        <v>12.6363609801299</v>
      </c>
      <c r="Z956" s="20" t="n">
        <f aca="false">Operations!Z955+Operations!Z951</f>
        <v>12.738381546649</v>
      </c>
      <c r="AA956" s="20" t="n">
        <f aca="false">Operations!AA955+Operations!AA951</f>
        <v>12.9663251260286</v>
      </c>
      <c r="AB956" s="20" t="n">
        <f aca="false">Operations!AB955+Operations!AB951</f>
        <v>13.1995765602534</v>
      </c>
      <c r="AC956" s="20" t="n">
        <f aca="false">Operations!AC955+Operations!AC951</f>
        <v>13.4360151511232</v>
      </c>
      <c r="AD956" s="20" t="n">
        <f aca="false">Operations!AD955+Operations!AD951</f>
        <v>13.6777007147638</v>
      </c>
      <c r="AE956" s="20" t="n">
        <f aca="false">Operations!AE955+Operations!AE951</f>
        <v>13.922521148349</v>
      </c>
      <c r="AF956" s="20" t="n">
        <f aca="false">Operations!AF955+Operations!AF951</f>
        <v>14.1725281577179</v>
      </c>
      <c r="AG956" s="20" t="n">
        <f aca="false">Operations!AG955+Operations!AG951</f>
        <v>14.4276875761489</v>
      </c>
      <c r="AH956" s="20" t="n">
        <f aca="false">Operations!AH955+Operations!AH951</f>
        <v>14.6859001407468</v>
      </c>
      <c r="AI956" s="20" t="n">
        <f aca="false">Operations!AI955+Operations!AI951</f>
        <v>14.9492054638441</v>
      </c>
      <c r="AJ956" s="20" t="n">
        <f aca="false">Operations!AJ955+Operations!AJ951</f>
        <v>15.2175697749173</v>
      </c>
      <c r="AK956" s="20" t="n">
        <f aca="false">Operations!AK955+Operations!AK951</f>
        <v>14.1752889148616</v>
      </c>
      <c r="AL956" s="20" t="n">
        <f aca="false">Operations!AL955+Operations!AL951</f>
        <v>0</v>
      </c>
      <c r="AM956" s="20" t="n">
        <f aca="false">Operations!AM955+Operations!AM951</f>
        <v>0</v>
      </c>
      <c r="AN956" s="20" t="n">
        <f aca="false">Operations!AN955+Operations!AN951</f>
        <v>0</v>
      </c>
      <c r="AO956" s="20" t="n">
        <f aca="false">Operations!AO955+Operations!AO951</f>
        <v>0</v>
      </c>
      <c r="AP956" s="20" t="n">
        <f aca="false">Operations!AP955+Operations!AP951</f>
        <v>0</v>
      </c>
      <c r="AQ956" s="20" t="n">
        <f aca="false">Operations!AQ955+Operations!AQ951</f>
        <v>0</v>
      </c>
      <c r="AR956" s="20" t="n">
        <f aca="false">Operations!AR955+Operations!AR951</f>
        <v>0</v>
      </c>
      <c r="AS956" s="20" t="n">
        <f aca="false">Operations!AS955+Operations!AS951</f>
        <v>0</v>
      </c>
      <c r="AT956" s="20" t="n">
        <f aca="false">Operations!AT955+Operations!AT951</f>
        <v>0</v>
      </c>
      <c r="AU956" s="20" t="n">
        <f aca="false">Operations!AU955+Operations!AU951</f>
        <v>0</v>
      </c>
    </row>
    <row r="957" customFormat="false" ht="15" hidden="false" customHeight="false" outlineLevel="0" collapsed="false">
      <c r="D957" s="0" t="s">
        <v>563</v>
      </c>
      <c r="E957" s="0" t="s">
        <v>47</v>
      </c>
      <c r="J957" s="20" t="n">
        <f aca="false">Operations!J956-Operations!J953-Operations!J954</f>
        <v>-2.26166866737051</v>
      </c>
      <c r="K957" s="20" t="n">
        <f aca="false">Operations!K956-Operations!K953-Operations!K954</f>
        <v>-1.83998669605963</v>
      </c>
      <c r="L957" s="20" t="n">
        <f aca="false">Operations!L956-Operations!L953-Operations!L954</f>
        <v>-0.897398302210309</v>
      </c>
      <c r="M957" s="20" t="n">
        <f aca="false">Operations!M956-Operations!M953-Operations!M954</f>
        <v>-1.17662876439278</v>
      </c>
      <c r="N957" s="20" t="n">
        <f aca="false">Operations!N956-Operations!N953-Operations!N954</f>
        <v>-1.31589667352096</v>
      </c>
      <c r="O957" s="20" t="n">
        <f aca="false">Operations!O956-Operations!O953-Operations!O954</f>
        <v>-1.39276746260597</v>
      </c>
      <c r="P957" s="20" t="n">
        <f aca="false">Operations!P956-Operations!P953-Operations!P954</f>
        <v>-1.44287764585888</v>
      </c>
      <c r="Q957" s="20" t="n">
        <f aca="false">Operations!Q956-Operations!Q953-Operations!Q954</f>
        <v>-1.47811794876956</v>
      </c>
      <c r="R957" s="20" t="n">
        <f aca="false">Operations!R956-Operations!R953-Operations!R954</f>
        <v>11.9125162130736</v>
      </c>
      <c r="S957" s="20" t="n">
        <f aca="false">Operations!S956-Operations!S953-Operations!S954</f>
        <v>12.0171341130941</v>
      </c>
      <c r="T957" s="20" t="n">
        <f aca="false">Operations!T956-Operations!T953-Operations!T954</f>
        <v>12.1214524750059</v>
      </c>
      <c r="U957" s="20" t="n">
        <f aca="false">Operations!U956-Operations!U953-Operations!U954</f>
        <v>12.2253470575309</v>
      </c>
      <c r="V957" s="20" t="n">
        <f aca="false">Operations!V956-Operations!V953-Operations!V954</f>
        <v>12.3286946169717</v>
      </c>
      <c r="W957" s="20" t="n">
        <f aca="false">Operations!W956-Operations!W953-Operations!W954</f>
        <v>12.4313729022207</v>
      </c>
      <c r="X957" s="20" t="n">
        <f aca="false">Operations!X956-Operations!X953-Operations!X954</f>
        <v>12.5332606497892</v>
      </c>
      <c r="Y957" s="20" t="n">
        <f aca="false">Operations!Y956-Operations!Y953-Operations!Y954</f>
        <v>12.6363609801299</v>
      </c>
      <c r="Z957" s="20" t="n">
        <f aca="false">Operations!Z956-Operations!Z953-Operations!Z954</f>
        <v>12.738381546649</v>
      </c>
      <c r="AA957" s="20" t="n">
        <f aca="false">Operations!AA956-Operations!AA953-Operations!AA954</f>
        <v>12.9663251260286</v>
      </c>
      <c r="AB957" s="20" t="n">
        <f aca="false">Operations!AB956-Operations!AB953-Operations!AB954</f>
        <v>13.1995765602534</v>
      </c>
      <c r="AC957" s="20" t="n">
        <f aca="false">Operations!AC956-Operations!AC953-Operations!AC954</f>
        <v>13.4360151511232</v>
      </c>
      <c r="AD957" s="20" t="n">
        <f aca="false">Operations!AD956-Operations!AD953-Operations!AD954</f>
        <v>13.6777007147638</v>
      </c>
      <c r="AE957" s="20" t="n">
        <f aca="false">Operations!AE956-Operations!AE953-Operations!AE954</f>
        <v>13.922521148349</v>
      </c>
      <c r="AF957" s="20" t="n">
        <f aca="false">Operations!AF956-Operations!AF953-Operations!AF954</f>
        <v>14.1725281577179</v>
      </c>
      <c r="AG957" s="20" t="n">
        <f aca="false">Operations!AG956-Operations!AG953-Operations!AG954</f>
        <v>14.4276875761489</v>
      </c>
      <c r="AH957" s="20" t="n">
        <f aca="false">Operations!AH956-Operations!AH953-Operations!AH954</f>
        <v>14.6859001407468</v>
      </c>
      <c r="AI957" s="20" t="n">
        <f aca="false">Operations!AI956-Operations!AI953-Operations!AI954</f>
        <v>14.9492054638441</v>
      </c>
      <c r="AJ957" s="20" t="n">
        <f aca="false">Operations!AJ956-Operations!AJ953-Operations!AJ954</f>
        <v>15.2175697749173</v>
      </c>
      <c r="AK957" s="20" t="n">
        <f aca="false">Operations!AK956-Operations!AK953-Operations!AK954</f>
        <v>14.1752889148616</v>
      </c>
      <c r="AL957" s="20" t="n">
        <f aca="false">Operations!AL956-Operations!AL953-Operations!AL954</f>
        <v>0</v>
      </c>
      <c r="AM957" s="20" t="n">
        <f aca="false">Operations!AM956-Operations!AM953-Operations!AM954</f>
        <v>0</v>
      </c>
      <c r="AN957" s="20" t="n">
        <f aca="false">Operations!AN956-Operations!AN953-Operations!AN954</f>
        <v>0</v>
      </c>
      <c r="AO957" s="20" t="n">
        <f aca="false">Operations!AO956-Operations!AO953-Operations!AO954</f>
        <v>0</v>
      </c>
      <c r="AP957" s="20" t="n">
        <f aca="false">Operations!AP956-Operations!AP953-Operations!AP954</f>
        <v>0</v>
      </c>
      <c r="AQ957" s="20" t="n">
        <f aca="false">Operations!AQ956-Operations!AQ953-Operations!AQ954</f>
        <v>0</v>
      </c>
      <c r="AR957" s="20" t="n">
        <f aca="false">Operations!AR956-Operations!AR953-Operations!AR954</f>
        <v>0</v>
      </c>
      <c r="AS957" s="20" t="n">
        <f aca="false">Operations!AS956-Operations!AS953-Operations!AS954</f>
        <v>0</v>
      </c>
      <c r="AT957" s="20" t="n">
        <f aca="false">Operations!AT956-Operations!AT953-Operations!AT954</f>
        <v>0</v>
      </c>
      <c r="AU957" s="20" t="n">
        <f aca="false">Operations!AU956-Operations!AU953-Operations!AU954</f>
        <v>0</v>
      </c>
    </row>
    <row r="958" customFormat="false" ht="15" hidden="false" customHeight="false" outlineLevel="0" collapsed="false">
      <c r="D958" s="0" t="s">
        <v>564</v>
      </c>
      <c r="E958" s="0" t="s">
        <v>47</v>
      </c>
      <c r="J958" s="20" t="n">
        <f aca="false">Inputs!$F$114*Inputs!$F$110/1000*Time!J$9*Time!J$10*Operations!J937*Operations!$F$840</f>
        <v>5.6916</v>
      </c>
      <c r="K958" s="20" t="n">
        <f aca="false">Inputs!$F$114*Inputs!$F$110/1000*Time!K$9*Time!K$10*Operations!K937*Operations!$F$840</f>
        <v>6.02640837</v>
      </c>
      <c r="L958" s="20" t="n">
        <f aca="false">Inputs!$F$114*Inputs!$F$110/1000*Time!L$9*Time!L$10*Operations!L937*Operations!$F$840</f>
        <v>6.17706857925</v>
      </c>
      <c r="M958" s="20" t="n">
        <f aca="false">Inputs!$F$114*Inputs!$F$110/1000*Time!M$9*Time!M$10*Operations!M937*Operations!$F$840</f>
        <v>6.33149529373125</v>
      </c>
      <c r="N958" s="20" t="n">
        <f aca="false">Inputs!$F$114*Inputs!$F$110/1000*Time!N$9*Time!N$10*Operations!N937*Operations!$F$840</f>
        <v>6.48978267607453</v>
      </c>
      <c r="O958" s="20" t="n">
        <f aca="false">Inputs!$F$114*Inputs!$F$110/1000*Time!O$9*Time!O$10*Operations!O937*Operations!$F$840</f>
        <v>6.65202724297639</v>
      </c>
      <c r="P958" s="20" t="n">
        <f aca="false">Inputs!$F$114*Inputs!$F$110/1000*Time!P$9*Time!P$10*Operations!P937*Operations!$F$840</f>
        <v>6.8183279240508</v>
      </c>
      <c r="Q958" s="20" t="n">
        <f aca="false">Inputs!$F$114*Inputs!$F$110/1000*Time!Q$9*Time!Q$10*Operations!Q937*Operations!$F$840</f>
        <v>6.98878612215207</v>
      </c>
      <c r="R958" s="20" t="n">
        <f aca="false">Inputs!$F$114*Inputs!$F$110/1000*Time!R$9*Time!R$10*Operations!R937*Operations!$F$840</f>
        <v>7.16350577520587</v>
      </c>
      <c r="S958" s="20" t="n">
        <f aca="false">Inputs!$F$114*Inputs!$F$110/1000*Time!S$9*Time!S$10*Operations!S937*Operations!$F$840</f>
        <v>7.34259341958602</v>
      </c>
      <c r="T958" s="20" t="n">
        <f aca="false">Inputs!$F$114*Inputs!$F$110/1000*Time!T$9*Time!T$10*Operations!T937*Operations!$F$840</f>
        <v>7.52615825507567</v>
      </c>
      <c r="U958" s="20" t="n">
        <f aca="false">Inputs!$F$114*Inputs!$F$110/1000*Time!U$9*Time!U$10*Operations!U937*Operations!$F$840</f>
        <v>7.71431221145256</v>
      </c>
      <c r="V958" s="20" t="n">
        <f aca="false">Inputs!$F$114*Inputs!$F$110/1000*Time!V$9*Time!V$10*Operations!V937*Operations!$F$840</f>
        <v>7.90717001673887</v>
      </c>
      <c r="W958" s="20" t="n">
        <f aca="false">Inputs!$F$114*Inputs!$F$110/1000*Time!W$9*Time!W$10*Operations!W937*Operations!$F$840</f>
        <v>8.10484926715734</v>
      </c>
      <c r="X958" s="20" t="n">
        <f aca="false">Inputs!$F$114*Inputs!$F$110/1000*Time!X$9*Time!X$10*Operations!X937*Operations!$F$840</f>
        <v>8.30747049883628</v>
      </c>
      <c r="Y958" s="20" t="n">
        <f aca="false">Inputs!$F$114*Inputs!$F$110/1000*Time!Y$9*Time!Y$10*Operations!Y937*Operations!$F$840</f>
        <v>8.51515726130718</v>
      </c>
      <c r="Z958" s="20" t="n">
        <f aca="false">Inputs!$F$114*Inputs!$F$110/1000*Time!Z$9*Time!Z$10*Operations!Z937*Operations!$F$840</f>
        <v>8.72803619283986</v>
      </c>
      <c r="AA958" s="20" t="n">
        <f aca="false">Inputs!$F$114*Inputs!$F$110/1000*Time!AA$9*Time!AA$10*Operations!AA937*Operations!$F$840</f>
        <v>8.94623709766086</v>
      </c>
      <c r="AB958" s="20" t="n">
        <f aca="false">Inputs!$F$114*Inputs!$F$110/1000*Time!AB$9*Time!AB$10*Operations!AB937*Operations!$F$840</f>
        <v>9.16989302510238</v>
      </c>
      <c r="AC958" s="20" t="n">
        <f aca="false">Inputs!$F$114*Inputs!$F$110/1000*Time!AC$9*Time!AC$10*Operations!AC937*Operations!$F$840</f>
        <v>9.39914035072994</v>
      </c>
      <c r="AD958" s="20" t="n">
        <f aca="false">Inputs!$F$114*Inputs!$F$110/1000*Time!AD$9*Time!AD$10*Operations!AD937*Operations!$F$840</f>
        <v>9.63411885949818</v>
      </c>
      <c r="AE958" s="20" t="n">
        <f aca="false">Inputs!$F$114*Inputs!$F$110/1000*Time!AE$9*Time!AE$10*Operations!AE937*Operations!$F$840</f>
        <v>9.87497183098564</v>
      </c>
      <c r="AF958" s="20" t="n">
        <f aca="false">Inputs!$F$114*Inputs!$F$110/1000*Time!AF$9*Time!AF$10*Operations!AF937*Operations!$F$840</f>
        <v>10.1218461267603</v>
      </c>
      <c r="AG958" s="20" t="n">
        <f aca="false">Inputs!$F$114*Inputs!$F$110/1000*Time!AG$9*Time!AG$10*Operations!AG937*Operations!$F$840</f>
        <v>10.3748922799293</v>
      </c>
      <c r="AH958" s="20" t="n">
        <f aca="false">Inputs!$F$114*Inputs!$F$110/1000*Time!AH$9*Time!AH$10*Operations!AH937*Operations!$F$840</f>
        <v>10.6342645869275</v>
      </c>
      <c r="AI958" s="20" t="n">
        <f aca="false">Inputs!$F$114*Inputs!$F$110/1000*Time!AI$9*Time!AI$10*Operations!AI937*Operations!$F$840</f>
        <v>10.9001212016007</v>
      </c>
      <c r="AJ958" s="20" t="n">
        <f aca="false">Inputs!$F$114*Inputs!$F$110/1000*Time!AJ$9*Time!AJ$10*Operations!AJ937*Operations!$F$840</f>
        <v>11.1726242316407</v>
      </c>
      <c r="AK958" s="20" t="n">
        <f aca="false">Inputs!$F$114*Inputs!$F$110/1000*Time!AK$9*Time!AK$10*Operations!AK937*Operations!$F$840</f>
        <v>10.479309330691</v>
      </c>
      <c r="AL958" s="20" t="n">
        <f aca="false">Inputs!$F$114*Inputs!$F$110/1000*Time!AL$9*Time!AL$10*Operations!AL937*Operations!$F$840</f>
        <v>0</v>
      </c>
      <c r="AM958" s="20" t="n">
        <f aca="false">Inputs!$F$114*Inputs!$F$110/1000*Time!AM$9*Time!AM$10*Operations!AM937*Operations!$F$840</f>
        <v>0</v>
      </c>
      <c r="AN958" s="20" t="n">
        <f aca="false">Inputs!$F$114*Inputs!$F$110/1000*Time!AN$9*Time!AN$10*Operations!AN937*Operations!$F$840</f>
        <v>0</v>
      </c>
      <c r="AO958" s="20" t="n">
        <f aca="false">Inputs!$F$114*Inputs!$F$110/1000*Time!AO$9*Time!AO$10*Operations!AO937*Operations!$F$840</f>
        <v>0</v>
      </c>
      <c r="AP958" s="20" t="n">
        <f aca="false">Inputs!$F$114*Inputs!$F$110/1000*Time!AP$9*Time!AP$10*Operations!AP937*Operations!$F$840</f>
        <v>0</v>
      </c>
      <c r="AQ958" s="20" t="n">
        <f aca="false">Inputs!$F$114*Inputs!$F$110/1000*Time!AQ$9*Time!AQ$10*Operations!AQ937*Operations!$F$840</f>
        <v>0</v>
      </c>
      <c r="AR958" s="20" t="n">
        <f aca="false">Inputs!$F$114*Inputs!$F$110/1000*Time!AR$9*Time!AR$10*Operations!AR937*Operations!$F$840</f>
        <v>0</v>
      </c>
      <c r="AS958" s="20" t="n">
        <f aca="false">Inputs!$F$114*Inputs!$F$110/1000*Time!AS$9*Time!AS$10*Operations!AS937*Operations!$F$840</f>
        <v>0</v>
      </c>
      <c r="AT958" s="20" t="n">
        <f aca="false">Inputs!$F$114*Inputs!$F$110/1000*Time!AT$9*Time!AT$10*Operations!AT937*Operations!$F$840</f>
        <v>0</v>
      </c>
      <c r="AU958" s="20" t="n">
        <f aca="false">Inputs!$F$114*Inputs!$F$110/1000*Time!AU$9*Time!AU$10*Operations!AU937*Operations!$F$840</f>
        <v>0</v>
      </c>
    </row>
    <row r="959" customFormat="false" ht="15" hidden="false" customHeight="false" outlineLevel="0" collapsed="false">
      <c r="D959" s="0" t="s">
        <v>565</v>
      </c>
      <c r="E959" s="0" t="s">
        <v>47</v>
      </c>
      <c r="J959" s="20" t="n">
        <f aca="false">Inputs!$F$239/100*Operations!J956</f>
        <v>0.94313325330518</v>
      </c>
      <c r="K959" s="20" t="n">
        <f aca="false">Inputs!$F$239/100*Operations!K956</f>
        <v>0.960000532157615</v>
      </c>
      <c r="L959" s="20" t="n">
        <f aca="false">Inputs!$F$239/100*Operations!L956</f>
        <v>0.997704067911588</v>
      </c>
      <c r="M959" s="20" t="n">
        <f aca="false">Inputs!$F$239/100*Operations!M956</f>
        <v>0.986534849424289</v>
      </c>
      <c r="N959" s="20" t="n">
        <f aca="false">Inputs!$F$239/100*Operations!N956</f>
        <v>0.980964133059161</v>
      </c>
      <c r="O959" s="20" t="n">
        <f aca="false">Inputs!$F$239/100*Operations!O956</f>
        <v>0.977889301495761</v>
      </c>
      <c r="P959" s="20" t="n">
        <f aca="false">Inputs!$F$239/100*Operations!P956</f>
        <v>0.975884894165645</v>
      </c>
      <c r="Q959" s="20" t="n">
        <f aca="false">Inputs!$F$239/100*Operations!Q956</f>
        <v>0.974475282049218</v>
      </c>
      <c r="R959" s="20" t="n">
        <f aca="false">Inputs!$F$239/100*Operations!R956</f>
        <v>0.476500648522946</v>
      </c>
      <c r="S959" s="20" t="n">
        <f aca="false">Inputs!$F$239/100*Operations!S956</f>
        <v>0.480685364523763</v>
      </c>
      <c r="T959" s="20" t="n">
        <f aca="false">Inputs!$F$239/100*Operations!T956</f>
        <v>0.484858099000236</v>
      </c>
      <c r="U959" s="20" t="n">
        <f aca="false">Inputs!$F$239/100*Operations!U956</f>
        <v>0.489013882301236</v>
      </c>
      <c r="V959" s="20" t="n">
        <f aca="false">Inputs!$F$239/100*Operations!V956</f>
        <v>0.493147784678869</v>
      </c>
      <c r="W959" s="20" t="n">
        <f aca="false">Inputs!$F$239/100*Operations!W956</f>
        <v>0.497254916088829</v>
      </c>
      <c r="X959" s="20" t="n">
        <f aca="false">Inputs!$F$239/100*Operations!X956</f>
        <v>0.501330425991568</v>
      </c>
      <c r="Y959" s="20" t="n">
        <f aca="false">Inputs!$F$239/100*Operations!Y956</f>
        <v>0.505454439205197</v>
      </c>
      <c r="Z959" s="20" t="n">
        <f aca="false">Inputs!$F$239/100*Operations!Z956</f>
        <v>0.509535261865961</v>
      </c>
      <c r="AA959" s="20" t="n">
        <f aca="false">Inputs!$F$239/100*Operations!AA956</f>
        <v>0.518653005041143</v>
      </c>
      <c r="AB959" s="20" t="n">
        <f aca="false">Inputs!$F$239/100*Operations!AB956</f>
        <v>0.527983062410136</v>
      </c>
      <c r="AC959" s="20" t="n">
        <f aca="false">Inputs!$F$239/100*Operations!AC956</f>
        <v>0.537440606044927</v>
      </c>
      <c r="AD959" s="20" t="n">
        <f aca="false">Inputs!$F$239/100*Operations!AD956</f>
        <v>0.547108028590552</v>
      </c>
      <c r="AE959" s="20" t="n">
        <f aca="false">Inputs!$F$239/100*Operations!AE956</f>
        <v>0.55690084593396</v>
      </c>
      <c r="AF959" s="20" t="n">
        <f aca="false">Inputs!$F$239/100*Operations!AF956</f>
        <v>0.566901126308715</v>
      </c>
      <c r="AG959" s="20" t="n">
        <f aca="false">Inputs!$F$239/100*Operations!AG956</f>
        <v>0.577107503045956</v>
      </c>
      <c r="AH959" s="20" t="n">
        <f aca="false">Inputs!$F$239/100*Operations!AH956</f>
        <v>0.587436005629873</v>
      </c>
      <c r="AI959" s="20" t="n">
        <f aca="false">Inputs!$F$239/100*Operations!AI956</f>
        <v>0.597968218553762</v>
      </c>
      <c r="AJ959" s="20" t="n">
        <f aca="false">Inputs!$F$239/100*Operations!AJ956</f>
        <v>0.608702790996692</v>
      </c>
      <c r="AK959" s="20" t="n">
        <f aca="false">Inputs!$F$239/100*Operations!AK956</f>
        <v>0.567011556594464</v>
      </c>
      <c r="AL959" s="20" t="n">
        <f aca="false">Inputs!$F$239/100*Operations!AL956</f>
        <v>0</v>
      </c>
      <c r="AM959" s="20" t="n">
        <f aca="false">Inputs!$F$239/100*Operations!AM956</f>
        <v>0</v>
      </c>
      <c r="AN959" s="20" t="n">
        <f aca="false">Inputs!$F$239/100*Operations!AN956</f>
        <v>0</v>
      </c>
      <c r="AO959" s="20" t="n">
        <f aca="false">Inputs!$F$239/100*Operations!AO956</f>
        <v>0</v>
      </c>
      <c r="AP959" s="20" t="n">
        <f aca="false">Inputs!$F$239/100*Operations!AP956</f>
        <v>0</v>
      </c>
      <c r="AQ959" s="20" t="n">
        <f aca="false">Inputs!$F$239/100*Operations!AQ956</f>
        <v>0</v>
      </c>
      <c r="AR959" s="20" t="n">
        <f aca="false">Inputs!$F$239/100*Operations!AR956</f>
        <v>0</v>
      </c>
      <c r="AS959" s="20" t="n">
        <f aca="false">Inputs!$F$239/100*Operations!AS956</f>
        <v>0</v>
      </c>
      <c r="AT959" s="20" t="n">
        <f aca="false">Inputs!$F$239/100*Operations!AT956</f>
        <v>0</v>
      </c>
      <c r="AU959" s="20" t="n">
        <f aca="false">Inputs!$F$239/100*Operations!AU956</f>
        <v>0</v>
      </c>
    </row>
    <row r="960" customFormat="false" ht="15" hidden="false" customHeight="false" outlineLevel="0" collapsed="false">
      <c r="D960" s="0" t="s">
        <v>566</v>
      </c>
      <c r="E960" s="0" t="s">
        <v>47</v>
      </c>
      <c r="J960" s="20" t="n">
        <f aca="false">Inputs!$F$243/100*Inputs!$F$115*Inputs!$F$110/1000*Time!J$9*Operations!J937</f>
        <v>0.056916</v>
      </c>
      <c r="K960" s="20" t="n">
        <f aca="false">Inputs!$F$243/100*Inputs!$F$115*Inputs!$F$110/1000*Time!K$9*Operations!K937</f>
        <v>0.0583389</v>
      </c>
      <c r="L960" s="20" t="n">
        <f aca="false">Inputs!$F$243/100*Inputs!$F$115*Inputs!$F$110/1000*Time!L$9*Operations!L937</f>
        <v>0.0597973725</v>
      </c>
      <c r="M960" s="20" t="n">
        <f aca="false">Inputs!$F$243/100*Inputs!$F$115*Inputs!$F$110/1000*Time!M$9*Operations!M937</f>
        <v>0.0612923068125</v>
      </c>
      <c r="N960" s="20" t="n">
        <f aca="false">Inputs!$F$243/100*Inputs!$F$115*Inputs!$F$110/1000*Time!N$9*Operations!N937</f>
        <v>0.0628246144828125</v>
      </c>
      <c r="O960" s="20" t="n">
        <f aca="false">Inputs!$F$243/100*Inputs!$F$115*Inputs!$F$110/1000*Time!O$9*Operations!O937</f>
        <v>0.0643952298448828</v>
      </c>
      <c r="P960" s="20" t="n">
        <f aca="false">Inputs!$F$243/100*Inputs!$F$115*Inputs!$F$110/1000*Time!P$9*Operations!P937</f>
        <v>0.0660051105910048</v>
      </c>
      <c r="Q960" s="20" t="n">
        <f aca="false">Inputs!$F$243/100*Inputs!$F$115*Inputs!$F$110/1000*Time!Q$9*Operations!Q937</f>
        <v>0.06765523835578</v>
      </c>
      <c r="R960" s="20" t="n">
        <f aca="false">Inputs!$F$243/100*Inputs!$F$115*Inputs!$F$110/1000*Time!R$9*Operations!R937</f>
        <v>0.0693466193146744</v>
      </c>
      <c r="S960" s="20" t="n">
        <f aca="false">Inputs!$F$243/100*Inputs!$F$115*Inputs!$F$110/1000*Time!S$9*Operations!S937</f>
        <v>0.0710802847975413</v>
      </c>
      <c r="T960" s="20" t="n">
        <f aca="false">Inputs!$F$243/100*Inputs!$F$115*Inputs!$F$110/1000*Time!T$9*Operations!T937</f>
        <v>0.0728572919174798</v>
      </c>
      <c r="U960" s="20" t="n">
        <f aca="false">Inputs!$F$243/100*Inputs!$F$115*Inputs!$F$110/1000*Time!U$9*Operations!U937</f>
        <v>0.0746787242154168</v>
      </c>
      <c r="V960" s="20" t="n">
        <f aca="false">Inputs!$F$243/100*Inputs!$F$115*Inputs!$F$110/1000*Time!V$9*Operations!V937</f>
        <v>0.0765456923208022</v>
      </c>
      <c r="W960" s="20" t="n">
        <f aca="false">Inputs!$F$243/100*Inputs!$F$115*Inputs!$F$110/1000*Time!W$9*Operations!W937</f>
        <v>0.0784593346288223</v>
      </c>
      <c r="X960" s="20" t="n">
        <f aca="false">Inputs!$F$243/100*Inputs!$F$115*Inputs!$F$110/1000*Time!X$9*Operations!X937</f>
        <v>0.0804208179945428</v>
      </c>
      <c r="Y960" s="20" t="n">
        <f aca="false">Inputs!$F$243/100*Inputs!$F$115*Inputs!$F$110/1000*Time!Y$9*Operations!Y937</f>
        <v>0.0824313384444064</v>
      </c>
      <c r="Z960" s="20" t="n">
        <f aca="false">Inputs!$F$243/100*Inputs!$F$115*Inputs!$F$110/1000*Time!Z$9*Operations!Z937</f>
        <v>0.0844921219055166</v>
      </c>
      <c r="AA960" s="20" t="n">
        <f aca="false">Inputs!$F$243/100*Inputs!$F$115*Inputs!$F$110/1000*Time!AA$9*Operations!AA937</f>
        <v>0.0866044249531545</v>
      </c>
      <c r="AB960" s="20" t="n">
        <f aca="false">Inputs!$F$243/100*Inputs!$F$115*Inputs!$F$110/1000*Time!AB$9*Operations!AB937</f>
        <v>0.0887695355769833</v>
      </c>
      <c r="AC960" s="20" t="n">
        <f aca="false">Inputs!$F$243/100*Inputs!$F$115*Inputs!$F$110/1000*Time!AC$9*Operations!AC937</f>
        <v>0.0909887739664079</v>
      </c>
      <c r="AD960" s="20" t="n">
        <f aca="false">Inputs!$F$243/100*Inputs!$F$115*Inputs!$F$110/1000*Time!AD$9*Operations!AD937</f>
        <v>0.0932634933155681</v>
      </c>
      <c r="AE960" s="20" t="n">
        <f aca="false">Inputs!$F$243/100*Inputs!$F$115*Inputs!$F$110/1000*Time!AE$9*Operations!AE937</f>
        <v>0.0955950806484573</v>
      </c>
      <c r="AF960" s="20" t="n">
        <f aca="false">Inputs!$F$243/100*Inputs!$F$115*Inputs!$F$110/1000*Time!AF$9*Operations!AF937</f>
        <v>0.0979849576646687</v>
      </c>
      <c r="AG960" s="20" t="n">
        <f aca="false">Inputs!$F$243/100*Inputs!$F$115*Inputs!$F$110/1000*Time!AG$9*Operations!AG937</f>
        <v>0.100434581606285</v>
      </c>
      <c r="AH960" s="20" t="n">
        <f aca="false">Inputs!$F$243/100*Inputs!$F$115*Inputs!$F$110/1000*Time!AH$9*Operations!AH937</f>
        <v>0.102945446146443</v>
      </c>
      <c r="AI960" s="20" t="n">
        <f aca="false">Inputs!$F$243/100*Inputs!$F$115*Inputs!$F$110/1000*Time!AI$9*Operations!AI937</f>
        <v>0.105519082300104</v>
      </c>
      <c r="AJ960" s="20" t="n">
        <f aca="false">Inputs!$F$243/100*Inputs!$F$115*Inputs!$F$110/1000*Time!AJ$9*Operations!AJ937</f>
        <v>0.108157059357606</v>
      </c>
      <c r="AK960" s="20" t="n">
        <f aca="false">Inputs!$F$243/100*Inputs!$F$115*Inputs!$F$110/1000*Time!AK$9*Operations!AK937</f>
        <v>0.101445395263223</v>
      </c>
      <c r="AL960" s="20" t="n">
        <f aca="false">Inputs!$F$243/100*Inputs!$F$115*Inputs!$F$110/1000*Time!AL$9*Operations!AL937</f>
        <v>0</v>
      </c>
      <c r="AM960" s="20" t="n">
        <f aca="false">Inputs!$F$243/100*Inputs!$F$115*Inputs!$F$110/1000*Time!AM$9*Operations!AM937</f>
        <v>0</v>
      </c>
      <c r="AN960" s="20" t="n">
        <f aca="false">Inputs!$F$243/100*Inputs!$F$115*Inputs!$F$110/1000*Time!AN$9*Operations!AN937</f>
        <v>0</v>
      </c>
      <c r="AO960" s="20" t="n">
        <f aca="false">Inputs!$F$243/100*Inputs!$F$115*Inputs!$F$110/1000*Time!AO$9*Operations!AO937</f>
        <v>0</v>
      </c>
      <c r="AP960" s="20" t="n">
        <f aca="false">Inputs!$F$243/100*Inputs!$F$115*Inputs!$F$110/1000*Time!AP$9*Operations!AP937</f>
        <v>0</v>
      </c>
      <c r="AQ960" s="20" t="n">
        <f aca="false">Inputs!$F$243/100*Inputs!$F$115*Inputs!$F$110/1000*Time!AQ$9*Operations!AQ937</f>
        <v>0</v>
      </c>
      <c r="AR960" s="20" t="n">
        <f aca="false">Inputs!$F$243/100*Inputs!$F$115*Inputs!$F$110/1000*Time!AR$9*Operations!AR937</f>
        <v>0</v>
      </c>
      <c r="AS960" s="20" t="n">
        <f aca="false">Inputs!$F$243/100*Inputs!$F$115*Inputs!$F$110/1000*Time!AS$9*Operations!AS937</f>
        <v>0</v>
      </c>
      <c r="AT960" s="20" t="n">
        <f aca="false">Inputs!$F$243/100*Inputs!$F$115*Inputs!$F$110/1000*Time!AT$9*Operations!AT937</f>
        <v>0</v>
      </c>
      <c r="AU960" s="20" t="n">
        <f aca="false">Inputs!$F$243/100*Inputs!$F$115*Inputs!$F$110/1000*Time!AU$9*Operations!AU937</f>
        <v>0</v>
      </c>
    </row>
    <row r="961" customFormat="false" ht="15" hidden="false" customHeight="false" outlineLevel="0" collapsed="false">
      <c r="D961" s="0" t="s">
        <v>567</v>
      </c>
      <c r="E961" s="0" t="s">
        <v>47</v>
      </c>
      <c r="J961" s="20" t="n">
        <f aca="false">Inputs!$F$244/100*Inputs!$F$245/100*Operations!J956</f>
        <v>0.123786239496305</v>
      </c>
      <c r="K961" s="20" t="n">
        <f aca="false">Inputs!$F$244/100*Inputs!$F$245/100*Operations!K956</f>
        <v>0.126000069845687</v>
      </c>
      <c r="L961" s="20" t="n">
        <f aca="false">Inputs!$F$244/100*Inputs!$F$245/100*Operations!L956</f>
        <v>0.130948658913396</v>
      </c>
      <c r="M961" s="20" t="n">
        <f aca="false">Inputs!$F$244/100*Inputs!$F$245/100*Operations!M956</f>
        <v>0.129482698986938</v>
      </c>
      <c r="N961" s="20" t="n">
        <f aca="false">Inputs!$F$244/100*Inputs!$F$245/100*Operations!N956</f>
        <v>0.128751542464015</v>
      </c>
      <c r="O961" s="20" t="n">
        <f aca="false">Inputs!$F$244/100*Inputs!$F$245/100*Operations!O956</f>
        <v>0.128347970821319</v>
      </c>
      <c r="P961" s="20" t="n">
        <f aca="false">Inputs!$F$244/100*Inputs!$F$245/100*Operations!P956</f>
        <v>0.128084892359241</v>
      </c>
      <c r="Q961" s="20" t="n">
        <f aca="false">Inputs!$F$244/100*Inputs!$F$245/100*Operations!Q956</f>
        <v>0.12789988076896</v>
      </c>
      <c r="R961" s="20" t="n">
        <f aca="false">Inputs!$F$244/100*Inputs!$F$245/100*Operations!R956</f>
        <v>0.0625407101186366</v>
      </c>
      <c r="S961" s="20" t="n">
        <f aca="false">Inputs!$F$244/100*Inputs!$F$245/100*Operations!S956</f>
        <v>0.0630899540937439</v>
      </c>
      <c r="T961" s="20" t="n">
        <f aca="false">Inputs!$F$244/100*Inputs!$F$245/100*Operations!T956</f>
        <v>0.063637625493781</v>
      </c>
      <c r="U961" s="20" t="n">
        <f aca="false">Inputs!$F$244/100*Inputs!$F$245/100*Operations!U956</f>
        <v>0.0641830720520373</v>
      </c>
      <c r="V961" s="20" t="n">
        <f aca="false">Inputs!$F$244/100*Inputs!$F$245/100*Operations!V956</f>
        <v>0.0647256467391015</v>
      </c>
      <c r="W961" s="20" t="n">
        <f aca="false">Inputs!$F$244/100*Inputs!$F$245/100*Operations!W956</f>
        <v>0.0652647077366589</v>
      </c>
      <c r="X961" s="20" t="n">
        <f aca="false">Inputs!$F$244/100*Inputs!$F$245/100*Operations!X956</f>
        <v>0.0657996184113933</v>
      </c>
      <c r="Y961" s="20" t="n">
        <f aca="false">Inputs!$F$244/100*Inputs!$F$245/100*Operations!Y956</f>
        <v>0.0663408951456821</v>
      </c>
      <c r="Z961" s="20" t="n">
        <f aca="false">Inputs!$F$244/100*Inputs!$F$245/100*Operations!Z956</f>
        <v>0.0668765031199074</v>
      </c>
      <c r="AA961" s="20" t="n">
        <f aca="false">Inputs!$F$244/100*Inputs!$F$245/100*Operations!AA956</f>
        <v>0.06807320691165</v>
      </c>
      <c r="AB961" s="20" t="n">
        <f aca="false">Inputs!$F$244/100*Inputs!$F$245/100*Operations!AB956</f>
        <v>0.0692977769413303</v>
      </c>
      <c r="AC961" s="20" t="n">
        <f aca="false">Inputs!$F$244/100*Inputs!$F$245/100*Operations!AC956</f>
        <v>0.0705390795433967</v>
      </c>
      <c r="AD961" s="20" t="n">
        <f aca="false">Inputs!$F$244/100*Inputs!$F$245/100*Operations!AD956</f>
        <v>0.0718079287525099</v>
      </c>
      <c r="AE961" s="20" t="n">
        <f aca="false">Inputs!$F$244/100*Inputs!$F$245/100*Operations!AE956</f>
        <v>0.0730932360288322</v>
      </c>
      <c r="AF961" s="20" t="n">
        <f aca="false">Inputs!$F$244/100*Inputs!$F$245/100*Operations!AF956</f>
        <v>0.0744057728280188</v>
      </c>
      <c r="AG961" s="20" t="n">
        <f aca="false">Inputs!$F$244/100*Inputs!$F$245/100*Operations!AG956</f>
        <v>0.0757453597747817</v>
      </c>
      <c r="AH961" s="20" t="n">
        <f aca="false">Inputs!$F$244/100*Inputs!$F$245/100*Operations!AH956</f>
        <v>0.0771009757389208</v>
      </c>
      <c r="AI961" s="20" t="n">
        <f aca="false">Inputs!$F$244/100*Inputs!$F$245/100*Operations!AI956</f>
        <v>0.0784833286851813</v>
      </c>
      <c r="AJ961" s="20" t="n">
        <f aca="false">Inputs!$F$244/100*Inputs!$F$245/100*Operations!AJ956</f>
        <v>0.0798922413183159</v>
      </c>
      <c r="AK961" s="20" t="n">
        <f aca="false">Inputs!$F$244/100*Inputs!$F$245/100*Operations!AK956</f>
        <v>0.0744202668030234</v>
      </c>
      <c r="AL961" s="20" t="n">
        <f aca="false">Inputs!$F$244/100*Inputs!$F$245/100*Operations!AL956</f>
        <v>0</v>
      </c>
      <c r="AM961" s="20" t="n">
        <f aca="false">Inputs!$F$244/100*Inputs!$F$245/100*Operations!AM956</f>
        <v>0</v>
      </c>
      <c r="AN961" s="20" t="n">
        <f aca="false">Inputs!$F$244/100*Inputs!$F$245/100*Operations!AN956</f>
        <v>0</v>
      </c>
      <c r="AO961" s="20" t="n">
        <f aca="false">Inputs!$F$244/100*Inputs!$F$245/100*Operations!AO956</f>
        <v>0</v>
      </c>
      <c r="AP961" s="20" t="n">
        <f aca="false">Inputs!$F$244/100*Inputs!$F$245/100*Operations!AP956</f>
        <v>0</v>
      </c>
      <c r="AQ961" s="20" t="n">
        <f aca="false">Inputs!$F$244/100*Inputs!$F$245/100*Operations!AQ956</f>
        <v>0</v>
      </c>
      <c r="AR961" s="20" t="n">
        <f aca="false">Inputs!$F$244/100*Inputs!$F$245/100*Operations!AR956</f>
        <v>0</v>
      </c>
      <c r="AS961" s="20" t="n">
        <f aca="false">Inputs!$F$244/100*Inputs!$F$245/100*Operations!AS956</f>
        <v>0</v>
      </c>
      <c r="AT961" s="20" t="n">
        <f aca="false">Inputs!$F$244/100*Inputs!$F$245/100*Operations!AT956</f>
        <v>0</v>
      </c>
      <c r="AU961" s="20" t="n">
        <f aca="false">Inputs!$F$244/100*Inputs!$F$245/100*Operations!AU956</f>
        <v>0</v>
      </c>
    </row>
    <row r="962" customFormat="false" ht="15" hidden="false" customHeight="false" outlineLevel="0" collapsed="false">
      <c r="D962" s="0" t="s">
        <v>568</v>
      </c>
      <c r="E962" s="0" t="s">
        <v>47</v>
      </c>
      <c r="G962" s="20" t="n">
        <f aca="false">SUM(J962:AU962)</f>
        <v>204.391884520755</v>
      </c>
      <c r="J962" s="20" t="n">
        <f aca="false">Operations!J956-Operations!J958-Operations!J959-Operations!J960-Operations!J961</f>
        <v>16.762895839828</v>
      </c>
      <c r="K962" s="20" t="n">
        <f aca="false">Operations!K956-Operations!K958-Operations!K959-Operations!K960-Operations!K961</f>
        <v>16.8292654319371</v>
      </c>
      <c r="L962" s="20" t="n">
        <f aca="false">Operations!L956-Operations!L958-Operations!L959-Operations!L960-Operations!L961</f>
        <v>17.5770830192147</v>
      </c>
      <c r="M962" s="20" t="n">
        <f aca="false">Operations!M956-Operations!M958-Operations!M959-Operations!M960-Operations!M961</f>
        <v>17.1545660866522</v>
      </c>
      <c r="N962" s="20" t="n">
        <f aca="false">Operations!N956-Operations!N958-Operations!N959-Operations!N960-Operations!N961</f>
        <v>16.8617803603985</v>
      </c>
      <c r="O962" s="20" t="n">
        <f aca="false">Operations!O956-Operations!O958-Operations!O959-Operations!O960-Operations!O961</f>
        <v>16.6245727922557</v>
      </c>
      <c r="P962" s="20" t="n">
        <f aca="false">Operations!P956-Operations!P958-Operations!P959-Operations!P960-Operations!P961</f>
        <v>16.4088195329744</v>
      </c>
      <c r="Q962" s="20" t="n">
        <f aca="false">Operations!Q956-Operations!Q958-Operations!Q959-Operations!Q960-Operations!Q961</f>
        <v>16.2030655279044</v>
      </c>
      <c r="R962" s="20" t="n">
        <f aca="false">Operations!R956-Operations!R958-Operations!R959-Operations!R960-Operations!R961</f>
        <v>4.14062245991151</v>
      </c>
      <c r="S962" s="20" t="n">
        <f aca="false">Operations!S956-Operations!S958-Operations!S959-Operations!S960-Operations!S961</f>
        <v>4.05968509009301</v>
      </c>
      <c r="T962" s="20" t="n">
        <f aca="false">Operations!T956-Operations!T958-Operations!T959-Operations!T960-Operations!T961</f>
        <v>3.97394120351874</v>
      </c>
      <c r="U962" s="20" t="n">
        <f aca="false">Operations!U956-Operations!U958-Operations!U959-Operations!U960-Operations!U961</f>
        <v>3.88315916750966</v>
      </c>
      <c r="V962" s="20" t="n">
        <f aca="false">Operations!V956-Operations!V958-Operations!V959-Operations!V960-Operations!V961</f>
        <v>3.78710547649408</v>
      </c>
      <c r="W962" s="20" t="n">
        <f aca="false">Operations!W956-Operations!W958-Operations!W959-Operations!W960-Operations!W961</f>
        <v>3.68554467660908</v>
      </c>
      <c r="X962" s="20" t="n">
        <f aca="false">Operations!X956-Operations!X958-Operations!X959-Operations!X960-Operations!X961</f>
        <v>3.57823928855542</v>
      </c>
      <c r="Y962" s="20" t="n">
        <f aca="false">Operations!Y956-Operations!Y958-Operations!Y959-Operations!Y960-Operations!Y961</f>
        <v>3.46697704602745</v>
      </c>
      <c r="Z962" s="20" t="n">
        <f aca="false">Operations!Z956-Operations!Z958-Operations!Z959-Operations!Z960-Operations!Z961</f>
        <v>3.34944146691778</v>
      </c>
      <c r="AA962" s="20" t="n">
        <f aca="false">Operations!AA956-Operations!AA958-Operations!AA959-Operations!AA960-Operations!AA961</f>
        <v>3.34675739146177</v>
      </c>
      <c r="AB962" s="20" t="n">
        <f aca="false">Operations!AB956-Operations!AB958-Operations!AB959-Operations!AB960-Operations!AB961</f>
        <v>3.34363316022256</v>
      </c>
      <c r="AC962" s="20" t="n">
        <f aca="false">Operations!AC956-Operations!AC958-Operations!AC959-Operations!AC960-Operations!AC961</f>
        <v>3.33790634083851</v>
      </c>
      <c r="AD962" s="20" t="n">
        <f aca="false">Operations!AD956-Operations!AD958-Operations!AD959-Operations!AD960-Operations!AD961</f>
        <v>3.33140240460698</v>
      </c>
      <c r="AE962" s="20" t="n">
        <f aca="false">Operations!AE956-Operations!AE958-Operations!AE959-Operations!AE960-Operations!AE961</f>
        <v>3.3219601547521</v>
      </c>
      <c r="AF962" s="20" t="n">
        <f aca="false">Operations!AF956-Operations!AF958-Operations!AF959-Operations!AF960-Operations!AF961</f>
        <v>3.31139017415619</v>
      </c>
      <c r="AG962" s="20" t="n">
        <f aca="false">Operations!AG956-Operations!AG958-Operations!AG959-Operations!AG960-Operations!AG961</f>
        <v>3.2995078517926</v>
      </c>
      <c r="AH962" s="20" t="n">
        <f aca="false">Operations!AH956-Operations!AH958-Operations!AH959-Operations!AH960-Operations!AH961</f>
        <v>3.28415312630408</v>
      </c>
      <c r="AI962" s="20" t="n">
        <f aca="false">Operations!AI956-Operations!AI958-Operations!AI959-Operations!AI960-Operations!AI961</f>
        <v>3.2671136327043</v>
      </c>
      <c r="AJ962" s="20" t="n">
        <f aca="false">Operations!AJ956-Operations!AJ958-Operations!AJ959-Operations!AJ960-Operations!AJ961</f>
        <v>3.24819345160398</v>
      </c>
      <c r="AK962" s="20" t="n">
        <f aca="false">Operations!AK956-Operations!AK958-Operations!AK959-Operations!AK960-Operations!AK961</f>
        <v>2.95310236550992</v>
      </c>
      <c r="AL962" s="20" t="n">
        <f aca="false">Operations!AL956-Operations!AL958-Operations!AL959-Operations!AL960-Operations!AL961</f>
        <v>0</v>
      </c>
      <c r="AM962" s="20" t="n">
        <f aca="false">Operations!AM956-Operations!AM958-Operations!AM959-Operations!AM960-Operations!AM961</f>
        <v>0</v>
      </c>
      <c r="AN962" s="20" t="n">
        <f aca="false">Operations!AN956-Operations!AN958-Operations!AN959-Operations!AN960-Operations!AN961</f>
        <v>0</v>
      </c>
      <c r="AO962" s="20" t="n">
        <f aca="false">Operations!AO956-Operations!AO958-Operations!AO959-Operations!AO960-Operations!AO961</f>
        <v>0</v>
      </c>
      <c r="AP962" s="20" t="n">
        <f aca="false">Operations!AP956-Operations!AP958-Operations!AP959-Operations!AP960-Operations!AP961</f>
        <v>0</v>
      </c>
      <c r="AQ962" s="20" t="n">
        <f aca="false">Operations!AQ956-Operations!AQ958-Operations!AQ959-Operations!AQ960-Operations!AQ961</f>
        <v>0</v>
      </c>
      <c r="AR962" s="20" t="n">
        <f aca="false">Operations!AR956-Operations!AR958-Operations!AR959-Operations!AR960-Operations!AR961</f>
        <v>0</v>
      </c>
      <c r="AS962" s="20" t="n">
        <f aca="false">Operations!AS956-Operations!AS958-Operations!AS959-Operations!AS960-Operations!AS961</f>
        <v>0</v>
      </c>
      <c r="AT962" s="20" t="n">
        <f aca="false">Operations!AT956-Operations!AT958-Operations!AT959-Operations!AT960-Operations!AT961</f>
        <v>0</v>
      </c>
      <c r="AU962" s="20" t="n">
        <f aca="false">Operations!AU956-Operations!AU958-Operations!AU959-Operations!AU960-Operations!AU961</f>
        <v>0</v>
      </c>
    </row>
    <row r="963" customFormat="false" ht="15" hidden="false" customHeight="false" outlineLevel="0" collapsed="false">
      <c r="D963" s="0" t="s">
        <v>569</v>
      </c>
      <c r="E963" s="0" t="s">
        <v>47</v>
      </c>
      <c r="J963" s="20" t="n">
        <f aca="false">0</f>
        <v>0</v>
      </c>
      <c r="K963" s="20" t="n">
        <f aca="false">0</f>
        <v>0</v>
      </c>
      <c r="L963" s="20" t="n">
        <f aca="false">0</f>
        <v>0</v>
      </c>
      <c r="M963" s="20" t="n">
        <f aca="false">0</f>
        <v>0</v>
      </c>
      <c r="N963" s="20" t="n">
        <f aca="false">0</f>
        <v>0</v>
      </c>
      <c r="O963" s="20" t="n">
        <f aca="false">0</f>
        <v>0</v>
      </c>
      <c r="P963" s="20" t="n">
        <f aca="false">0</f>
        <v>0</v>
      </c>
      <c r="Q963" s="20" t="n">
        <f aca="false">0</f>
        <v>0</v>
      </c>
      <c r="R963" s="20" t="n">
        <f aca="false">0</f>
        <v>0</v>
      </c>
      <c r="S963" s="20" t="n">
        <f aca="false">0</f>
        <v>0</v>
      </c>
      <c r="T963" s="20" t="n">
        <f aca="false">0</f>
        <v>0</v>
      </c>
      <c r="U963" s="20" t="n">
        <f aca="false">0</f>
        <v>0</v>
      </c>
      <c r="V963" s="20" t="n">
        <f aca="false">0</f>
        <v>0</v>
      </c>
      <c r="W963" s="20" t="n">
        <f aca="false">0</f>
        <v>0</v>
      </c>
      <c r="X963" s="20" t="n">
        <f aca="false">0</f>
        <v>0</v>
      </c>
      <c r="Y963" s="20" t="n">
        <f aca="false">0</f>
        <v>0</v>
      </c>
      <c r="Z963" s="20" t="n">
        <f aca="false">0</f>
        <v>0</v>
      </c>
      <c r="AA963" s="20" t="n">
        <f aca="false">0</f>
        <v>0</v>
      </c>
      <c r="AB963" s="20" t="n">
        <f aca="false">0</f>
        <v>0</v>
      </c>
      <c r="AC963" s="20" t="n">
        <f aca="false">0</f>
        <v>0</v>
      </c>
      <c r="AD963" s="20" t="n">
        <f aca="false">0</f>
        <v>0</v>
      </c>
      <c r="AE963" s="20" t="n">
        <f aca="false">0</f>
        <v>0</v>
      </c>
      <c r="AF963" s="20" t="n">
        <f aca="false">0</f>
        <v>0</v>
      </c>
      <c r="AG963" s="20" t="n">
        <f aca="false">0</f>
        <v>0</v>
      </c>
      <c r="AH963" s="20" t="n">
        <f aca="false">0</f>
        <v>0</v>
      </c>
      <c r="AI963" s="20" t="n">
        <f aca="false">0</f>
        <v>0</v>
      </c>
      <c r="AJ963" s="20" t="n">
        <f aca="false">0</f>
        <v>0</v>
      </c>
      <c r="AK963" s="20" t="n">
        <f aca="false">0</f>
        <v>0</v>
      </c>
      <c r="AL963" s="20" t="n">
        <f aca="false">0</f>
        <v>0</v>
      </c>
      <c r="AM963" s="20" t="n">
        <f aca="false">0</f>
        <v>0</v>
      </c>
      <c r="AN963" s="20" t="n">
        <f aca="false">0</f>
        <v>0</v>
      </c>
      <c r="AO963" s="20" t="n">
        <f aca="false">0</f>
        <v>0</v>
      </c>
      <c r="AP963" s="20" t="n">
        <f aca="false">0</f>
        <v>0</v>
      </c>
      <c r="AQ963" s="20" t="n">
        <f aca="false">0</f>
        <v>0</v>
      </c>
      <c r="AR963" s="20" t="n">
        <f aca="false">0</f>
        <v>0</v>
      </c>
      <c r="AS963" s="20" t="n">
        <f aca="false">0</f>
        <v>0</v>
      </c>
      <c r="AT963" s="20" t="n">
        <f aca="false">0</f>
        <v>0</v>
      </c>
      <c r="AU963" s="20" t="n">
        <f aca="false">0</f>
        <v>0</v>
      </c>
    </row>
    <row r="964" customFormat="false" ht="15" hidden="false" customHeight="false" outlineLevel="0" collapsed="false">
      <c r="D964" s="0" t="s">
        <v>570</v>
      </c>
      <c r="E964" s="0" t="s">
        <v>47</v>
      </c>
      <c r="J964" s="20" t="n">
        <f aca="false">IF(Time!J$4=YEAR(Inputs!$F$112),Inputs!$F$115*Inputs!$F$110/1000*Time!J$9,0)</f>
        <v>0</v>
      </c>
      <c r="K964" s="20" t="n">
        <f aca="false">IF(Time!K$4=YEAR(Inputs!$F$112),Inputs!$F$115*Inputs!$F$110/1000*Time!K$9,0)</f>
        <v>0</v>
      </c>
      <c r="L964" s="20" t="n">
        <f aca="false">IF(Time!L$4=YEAR(Inputs!$F$112),Inputs!$F$115*Inputs!$F$110/1000*Time!L$9,0)</f>
        <v>0</v>
      </c>
      <c r="M964" s="20" t="n">
        <f aca="false">IF(Time!M$4=YEAR(Inputs!$F$112),Inputs!$F$115*Inputs!$F$110/1000*Time!M$9,0)</f>
        <v>0</v>
      </c>
      <c r="N964" s="20" t="n">
        <f aca="false">IF(Time!N$4=YEAR(Inputs!$F$112),Inputs!$F$115*Inputs!$F$110/1000*Time!N$9,0)</f>
        <v>0</v>
      </c>
      <c r="O964" s="20" t="n">
        <f aca="false">IF(Time!O$4=YEAR(Inputs!$F$112),Inputs!$F$115*Inputs!$F$110/1000*Time!O$9,0)</f>
        <v>0</v>
      </c>
      <c r="P964" s="20" t="n">
        <f aca="false">IF(Time!P$4=YEAR(Inputs!$F$112),Inputs!$F$115*Inputs!$F$110/1000*Time!P$9,0)</f>
        <v>0</v>
      </c>
      <c r="Q964" s="20" t="n">
        <f aca="false">IF(Time!Q$4=YEAR(Inputs!$F$112),Inputs!$F$115*Inputs!$F$110/1000*Time!Q$9,0)</f>
        <v>0</v>
      </c>
      <c r="R964" s="20" t="n">
        <f aca="false">IF(Time!R$4=YEAR(Inputs!$F$112),Inputs!$F$115*Inputs!$F$110/1000*Time!R$9,0)</f>
        <v>0</v>
      </c>
      <c r="S964" s="20" t="n">
        <f aca="false">IF(Time!S$4=YEAR(Inputs!$F$112),Inputs!$F$115*Inputs!$F$110/1000*Time!S$9,0)</f>
        <v>0</v>
      </c>
      <c r="T964" s="20" t="n">
        <f aca="false">IF(Time!T$4=YEAR(Inputs!$F$112),Inputs!$F$115*Inputs!$F$110/1000*Time!T$9,0)</f>
        <v>0</v>
      </c>
      <c r="U964" s="20" t="n">
        <f aca="false">IF(Time!U$4=YEAR(Inputs!$F$112),Inputs!$F$115*Inputs!$F$110/1000*Time!U$9,0)</f>
        <v>0</v>
      </c>
      <c r="V964" s="20" t="n">
        <f aca="false">IF(Time!V$4=YEAR(Inputs!$F$112),Inputs!$F$115*Inputs!$F$110/1000*Time!V$9,0)</f>
        <v>0</v>
      </c>
      <c r="W964" s="20" t="n">
        <f aca="false">IF(Time!W$4=YEAR(Inputs!$F$112),Inputs!$F$115*Inputs!$F$110/1000*Time!W$9,0)</f>
        <v>0</v>
      </c>
      <c r="X964" s="20" t="n">
        <f aca="false">IF(Time!X$4=YEAR(Inputs!$F$112),Inputs!$F$115*Inputs!$F$110/1000*Time!X$9,0)</f>
        <v>0</v>
      </c>
      <c r="Y964" s="20" t="n">
        <f aca="false">IF(Time!Y$4=YEAR(Inputs!$F$112),Inputs!$F$115*Inputs!$F$110/1000*Time!Y$9,0)</f>
        <v>0</v>
      </c>
      <c r="Z964" s="20" t="n">
        <f aca="false">IF(Time!Z$4=YEAR(Inputs!$F$112),Inputs!$F$115*Inputs!$F$110/1000*Time!Z$9,0)</f>
        <v>0</v>
      </c>
      <c r="AA964" s="20" t="n">
        <f aca="false">IF(Time!AA$4=YEAR(Inputs!$F$112),Inputs!$F$115*Inputs!$F$110/1000*Time!AA$9,0)</f>
        <v>0</v>
      </c>
      <c r="AB964" s="20" t="n">
        <f aca="false">IF(Time!AB$4=YEAR(Inputs!$F$112),Inputs!$F$115*Inputs!$F$110/1000*Time!AB$9,0)</f>
        <v>0</v>
      </c>
      <c r="AC964" s="20" t="n">
        <f aca="false">IF(Time!AC$4=YEAR(Inputs!$F$112),Inputs!$F$115*Inputs!$F$110/1000*Time!AC$9,0)</f>
        <v>0</v>
      </c>
      <c r="AD964" s="20" t="n">
        <f aca="false">IF(Time!AD$4=YEAR(Inputs!$F$112),Inputs!$F$115*Inputs!$F$110/1000*Time!AD$9,0)</f>
        <v>0</v>
      </c>
      <c r="AE964" s="20" t="n">
        <f aca="false">IF(Time!AE$4=YEAR(Inputs!$F$112),Inputs!$F$115*Inputs!$F$110/1000*Time!AE$9,0)</f>
        <v>0</v>
      </c>
      <c r="AF964" s="20" t="n">
        <f aca="false">IF(Time!AF$4=YEAR(Inputs!$F$112),Inputs!$F$115*Inputs!$F$110/1000*Time!AF$9,0)</f>
        <v>0</v>
      </c>
      <c r="AG964" s="20" t="n">
        <f aca="false">IF(Time!AG$4=YEAR(Inputs!$F$112),Inputs!$F$115*Inputs!$F$110/1000*Time!AG$9,0)</f>
        <v>0</v>
      </c>
      <c r="AH964" s="20" t="n">
        <f aca="false">IF(Time!AH$4=YEAR(Inputs!$F$112),Inputs!$F$115*Inputs!$F$110/1000*Time!AH$9,0)</f>
        <v>0</v>
      </c>
      <c r="AI964" s="20" t="n">
        <f aca="false">IF(Time!AI$4=YEAR(Inputs!$F$112),Inputs!$F$115*Inputs!$F$110/1000*Time!AI$9,0)</f>
        <v>0</v>
      </c>
      <c r="AJ964" s="20" t="n">
        <f aca="false">IF(Time!AJ$4=YEAR(Inputs!$F$112),Inputs!$F$115*Inputs!$F$110/1000*Time!AJ$9,0)</f>
        <v>0</v>
      </c>
      <c r="AK964" s="20" t="n">
        <f aca="false">IF(Time!AK$4=YEAR(Inputs!$F$112),Inputs!$F$115*Inputs!$F$110/1000*Time!AK$9,0)</f>
        <v>18.4768309735911</v>
      </c>
      <c r="AL964" s="20" t="n">
        <f aca="false">IF(Time!AL$4=YEAR(Inputs!$F$112),Inputs!$F$115*Inputs!$F$110/1000*Time!AL$9,0)</f>
        <v>0</v>
      </c>
      <c r="AM964" s="20" t="n">
        <f aca="false">IF(Time!AM$4=YEAR(Inputs!$F$112),Inputs!$F$115*Inputs!$F$110/1000*Time!AM$9,0)</f>
        <v>0</v>
      </c>
      <c r="AN964" s="20" t="n">
        <f aca="false">IF(Time!AN$4=YEAR(Inputs!$F$112),Inputs!$F$115*Inputs!$F$110/1000*Time!AN$9,0)</f>
        <v>0</v>
      </c>
      <c r="AO964" s="20" t="n">
        <f aca="false">IF(Time!AO$4=YEAR(Inputs!$F$112),Inputs!$F$115*Inputs!$F$110/1000*Time!AO$9,0)</f>
        <v>0</v>
      </c>
      <c r="AP964" s="20" t="n">
        <f aca="false">IF(Time!AP$4=YEAR(Inputs!$F$112),Inputs!$F$115*Inputs!$F$110/1000*Time!AP$9,0)</f>
        <v>0</v>
      </c>
      <c r="AQ964" s="20" t="n">
        <f aca="false">IF(Time!AQ$4=YEAR(Inputs!$F$112),Inputs!$F$115*Inputs!$F$110/1000*Time!AQ$9,0)</f>
        <v>0</v>
      </c>
      <c r="AR964" s="20" t="n">
        <f aca="false">IF(Time!AR$4=YEAR(Inputs!$F$112),Inputs!$F$115*Inputs!$F$110/1000*Time!AR$9,0)</f>
        <v>0</v>
      </c>
      <c r="AS964" s="20" t="n">
        <f aca="false">IF(Time!AS$4=YEAR(Inputs!$F$112),Inputs!$F$115*Inputs!$F$110/1000*Time!AS$9,0)</f>
        <v>0</v>
      </c>
      <c r="AT964" s="20" t="n">
        <f aca="false">IF(Time!AT$4=YEAR(Inputs!$F$112),Inputs!$F$115*Inputs!$F$110/1000*Time!AT$9,0)</f>
        <v>0</v>
      </c>
      <c r="AU964" s="20" t="n">
        <f aca="false">IF(Time!AU$4=YEAR(Inputs!$F$112),Inputs!$F$115*Inputs!$F$110/1000*Time!AU$9,0)</f>
        <v>0</v>
      </c>
    </row>
    <row r="965" customFormat="false" ht="15" hidden="false" customHeight="false" outlineLevel="0" collapsed="false">
      <c r="D965" s="0" t="s">
        <v>571</v>
      </c>
      <c r="E965" s="0" t="s">
        <v>47</v>
      </c>
      <c r="G965" s="20" t="n">
        <f aca="false">SUM(J965:AU965)</f>
        <v>185.915053547164</v>
      </c>
      <c r="J965" s="20" t="n">
        <f aca="false">Operations!J962-Operations!J963-Operations!J964</f>
        <v>16.762895839828</v>
      </c>
      <c r="K965" s="20" t="n">
        <f aca="false">Operations!K962-Operations!K963-Operations!K964</f>
        <v>16.8292654319371</v>
      </c>
      <c r="L965" s="20" t="n">
        <f aca="false">Operations!L962-Operations!L963-Operations!L964</f>
        <v>17.5770830192147</v>
      </c>
      <c r="M965" s="20" t="n">
        <f aca="false">Operations!M962-Operations!M963-Operations!M964</f>
        <v>17.1545660866522</v>
      </c>
      <c r="N965" s="20" t="n">
        <f aca="false">Operations!N962-Operations!N963-Operations!N964</f>
        <v>16.8617803603985</v>
      </c>
      <c r="O965" s="20" t="n">
        <f aca="false">Operations!O962-Operations!O963-Operations!O964</f>
        <v>16.6245727922557</v>
      </c>
      <c r="P965" s="20" t="n">
        <f aca="false">Operations!P962-Operations!P963-Operations!P964</f>
        <v>16.4088195329744</v>
      </c>
      <c r="Q965" s="20" t="n">
        <f aca="false">Operations!Q962-Operations!Q963-Operations!Q964</f>
        <v>16.2030655279044</v>
      </c>
      <c r="R965" s="20" t="n">
        <f aca="false">Operations!R962-Operations!R963-Operations!R964</f>
        <v>4.14062245991151</v>
      </c>
      <c r="S965" s="20" t="n">
        <f aca="false">Operations!S962-Operations!S963-Operations!S964</f>
        <v>4.05968509009301</v>
      </c>
      <c r="T965" s="20" t="n">
        <f aca="false">Operations!T962-Operations!T963-Operations!T964</f>
        <v>3.97394120351874</v>
      </c>
      <c r="U965" s="20" t="n">
        <f aca="false">Operations!U962-Operations!U963-Operations!U964</f>
        <v>3.88315916750966</v>
      </c>
      <c r="V965" s="20" t="n">
        <f aca="false">Operations!V962-Operations!V963-Operations!V964</f>
        <v>3.78710547649408</v>
      </c>
      <c r="W965" s="20" t="n">
        <f aca="false">Operations!W962-Operations!W963-Operations!W964</f>
        <v>3.68554467660908</v>
      </c>
      <c r="X965" s="20" t="n">
        <f aca="false">Operations!X962-Operations!X963-Operations!X964</f>
        <v>3.57823928855542</v>
      </c>
      <c r="Y965" s="20" t="n">
        <f aca="false">Operations!Y962-Operations!Y963-Operations!Y964</f>
        <v>3.46697704602745</v>
      </c>
      <c r="Z965" s="20" t="n">
        <f aca="false">Operations!Z962-Operations!Z963-Operations!Z964</f>
        <v>3.34944146691778</v>
      </c>
      <c r="AA965" s="20" t="n">
        <f aca="false">Operations!AA962-Operations!AA963-Operations!AA964</f>
        <v>3.34675739146177</v>
      </c>
      <c r="AB965" s="20" t="n">
        <f aca="false">Operations!AB962-Operations!AB963-Operations!AB964</f>
        <v>3.34363316022256</v>
      </c>
      <c r="AC965" s="20" t="n">
        <f aca="false">Operations!AC962-Operations!AC963-Operations!AC964</f>
        <v>3.33790634083851</v>
      </c>
      <c r="AD965" s="20" t="n">
        <f aca="false">Operations!AD962-Operations!AD963-Operations!AD964</f>
        <v>3.33140240460698</v>
      </c>
      <c r="AE965" s="20" t="n">
        <f aca="false">Operations!AE962-Operations!AE963-Operations!AE964</f>
        <v>3.3219601547521</v>
      </c>
      <c r="AF965" s="20" t="n">
        <f aca="false">Operations!AF962-Operations!AF963-Operations!AF964</f>
        <v>3.31139017415619</v>
      </c>
      <c r="AG965" s="20" t="n">
        <f aca="false">Operations!AG962-Operations!AG963-Operations!AG964</f>
        <v>3.2995078517926</v>
      </c>
      <c r="AH965" s="20" t="n">
        <f aca="false">Operations!AH962-Operations!AH963-Operations!AH964</f>
        <v>3.28415312630408</v>
      </c>
      <c r="AI965" s="20" t="n">
        <f aca="false">Operations!AI962-Operations!AI963-Operations!AI964</f>
        <v>3.2671136327043</v>
      </c>
      <c r="AJ965" s="20" t="n">
        <f aca="false">Operations!AJ962-Operations!AJ963-Operations!AJ964</f>
        <v>3.24819345160398</v>
      </c>
      <c r="AK965" s="20" t="n">
        <f aca="false">Operations!AK962-Operations!AK963-Operations!AK964</f>
        <v>-15.5237286080811</v>
      </c>
      <c r="AL965" s="20" t="n">
        <f aca="false">Operations!AL962-Operations!AL963-Operations!AL964</f>
        <v>0</v>
      </c>
      <c r="AM965" s="20" t="n">
        <f aca="false">Operations!AM962-Operations!AM963-Operations!AM964</f>
        <v>0</v>
      </c>
      <c r="AN965" s="20" t="n">
        <f aca="false">Operations!AN962-Operations!AN963-Operations!AN964</f>
        <v>0</v>
      </c>
      <c r="AO965" s="20" t="n">
        <f aca="false">Operations!AO962-Operations!AO963-Operations!AO964</f>
        <v>0</v>
      </c>
      <c r="AP965" s="20" t="n">
        <f aca="false">Operations!AP962-Operations!AP963-Operations!AP964</f>
        <v>0</v>
      </c>
      <c r="AQ965" s="20" t="n">
        <f aca="false">Operations!AQ962-Operations!AQ963-Operations!AQ964</f>
        <v>0</v>
      </c>
      <c r="AR965" s="20" t="n">
        <f aca="false">Operations!AR962-Operations!AR963-Operations!AR964</f>
        <v>0</v>
      </c>
      <c r="AS965" s="20" t="n">
        <f aca="false">Operations!AS962-Operations!AS963-Operations!AS964</f>
        <v>0</v>
      </c>
      <c r="AT965" s="20" t="n">
        <f aca="false">Operations!AT962-Operations!AT963-Operations!AT964</f>
        <v>0</v>
      </c>
      <c r="AU965" s="20" t="n">
        <f aca="false">Operations!AU962-Operations!AU963-Operations!AU964</f>
        <v>0</v>
      </c>
    </row>
    <row r="966" customFormat="false" ht="15" hidden="false" customHeight="false" outlineLevel="0" collapsed="false">
      <c r="D966" s="0" t="s">
        <v>572</v>
      </c>
      <c r="E966" s="0" t="s">
        <v>458</v>
      </c>
      <c r="J966" s="14" t="n">
        <f aca="false">MAX(0,MIN(Inputs!$F$231,Time!J$6)-Time!J$5)/Time!J$7</f>
        <v>1</v>
      </c>
      <c r="K966" s="14" t="n">
        <f aca="false">MAX(0,MIN(Inputs!$F$231,Time!K$6)-Time!K$5)/Time!K$7</f>
        <v>1</v>
      </c>
      <c r="L966" s="14" t="n">
        <f aca="false">MAX(0,MIN(Inputs!$F$231,Time!L$6)-Time!L$5)/Time!L$7</f>
        <v>1</v>
      </c>
      <c r="M966" s="14" t="n">
        <f aca="false">MAX(0,MIN(Inputs!$F$231,Time!M$6)-Time!M$5)/Time!M$7</f>
        <v>1</v>
      </c>
      <c r="N966" s="14" t="n">
        <f aca="false">MAX(0,MIN(Inputs!$F$231,Time!N$6)-Time!N$5)/Time!N$7</f>
        <v>1</v>
      </c>
      <c r="O966" s="14" t="n">
        <f aca="false">MAX(0,MIN(Inputs!$F$231,Time!O$6)-Time!O$5)/Time!O$7</f>
        <v>1</v>
      </c>
      <c r="P966" s="14" t="n">
        <f aca="false">MAX(0,MIN(Inputs!$F$231,Time!P$6)-Time!P$5)/Time!P$7</f>
        <v>1</v>
      </c>
      <c r="Q966" s="14" t="n">
        <f aca="false">MAX(0,MIN(Inputs!$F$231,Time!Q$6)-Time!Q$5)/Time!Q$7</f>
        <v>1</v>
      </c>
      <c r="R966" s="14" t="n">
        <f aca="false">MAX(0,MIN(Inputs!$F$231,Time!R$6)-Time!R$5)/Time!R$7</f>
        <v>0</v>
      </c>
      <c r="S966" s="14" t="n">
        <f aca="false">MAX(0,MIN(Inputs!$F$231,Time!S$6)-Time!S$5)/Time!S$7</f>
        <v>0</v>
      </c>
      <c r="T966" s="14" t="n">
        <f aca="false">MAX(0,MIN(Inputs!$F$231,Time!T$6)-Time!T$5)/Time!T$7</f>
        <v>0</v>
      </c>
      <c r="U966" s="14" t="n">
        <f aca="false">MAX(0,MIN(Inputs!$F$231,Time!U$6)-Time!U$5)/Time!U$7</f>
        <v>0</v>
      </c>
      <c r="V966" s="14" t="n">
        <f aca="false">MAX(0,MIN(Inputs!$F$231,Time!V$6)-Time!V$5)/Time!V$7</f>
        <v>0</v>
      </c>
      <c r="W966" s="14" t="n">
        <f aca="false">MAX(0,MIN(Inputs!$F$231,Time!W$6)-Time!W$5)/Time!W$7</f>
        <v>0</v>
      </c>
      <c r="X966" s="14" t="n">
        <f aca="false">MAX(0,MIN(Inputs!$F$231,Time!X$6)-Time!X$5)/Time!X$7</f>
        <v>0</v>
      </c>
      <c r="Y966" s="14" t="n">
        <f aca="false">MAX(0,MIN(Inputs!$F$231,Time!Y$6)-Time!Y$5)/Time!Y$7</f>
        <v>0</v>
      </c>
      <c r="Z966" s="14" t="n">
        <f aca="false">MAX(0,MIN(Inputs!$F$231,Time!Z$6)-Time!Z$5)/Time!Z$7</f>
        <v>0</v>
      </c>
      <c r="AA966" s="14" t="n">
        <f aca="false">MAX(0,MIN(Inputs!$F$231,Time!AA$6)-Time!AA$5)/Time!AA$7</f>
        <v>0</v>
      </c>
      <c r="AB966" s="14" t="n">
        <f aca="false">MAX(0,MIN(Inputs!$F$231,Time!AB$6)-Time!AB$5)/Time!AB$7</f>
        <v>0</v>
      </c>
      <c r="AC966" s="14" t="n">
        <f aca="false">MAX(0,MIN(Inputs!$F$231,Time!AC$6)-Time!AC$5)/Time!AC$7</f>
        <v>0</v>
      </c>
      <c r="AD966" s="14" t="n">
        <f aca="false">MAX(0,MIN(Inputs!$F$231,Time!AD$6)-Time!AD$5)/Time!AD$7</f>
        <v>0</v>
      </c>
      <c r="AE966" s="14" t="n">
        <f aca="false">MAX(0,MIN(Inputs!$F$231,Time!AE$6)-Time!AE$5)/Time!AE$7</f>
        <v>0</v>
      </c>
      <c r="AF966" s="14" t="n">
        <f aca="false">MAX(0,MIN(Inputs!$F$231,Time!AF$6)-Time!AF$5)/Time!AF$7</f>
        <v>0</v>
      </c>
      <c r="AG966" s="14" t="n">
        <f aca="false">MAX(0,MIN(Inputs!$F$231,Time!AG$6)-Time!AG$5)/Time!AG$7</f>
        <v>0</v>
      </c>
      <c r="AH966" s="14" t="n">
        <f aca="false">MAX(0,MIN(Inputs!$F$231,Time!AH$6)-Time!AH$5)/Time!AH$7</f>
        <v>0</v>
      </c>
      <c r="AI966" s="14" t="n">
        <f aca="false">MAX(0,MIN(Inputs!$F$231,Time!AI$6)-Time!AI$5)/Time!AI$7</f>
        <v>0</v>
      </c>
      <c r="AJ966" s="14" t="n">
        <f aca="false">MAX(0,MIN(Inputs!$F$231,Time!AJ$6)-Time!AJ$5)/Time!AJ$7</f>
        <v>0</v>
      </c>
      <c r="AK966" s="14" t="n">
        <f aca="false">MAX(0,MIN(Inputs!$F$231,Time!AK$6)-Time!AK$5)/Time!AK$7</f>
        <v>0</v>
      </c>
      <c r="AL966" s="14" t="n">
        <f aca="false">MAX(0,MIN(Inputs!$F$231,Time!AL$6)-Time!AL$5)/Time!AL$7</f>
        <v>0</v>
      </c>
      <c r="AM966" s="14" t="n">
        <f aca="false">MAX(0,MIN(Inputs!$F$231,Time!AM$6)-Time!AM$5)/Time!AM$7</f>
        <v>0</v>
      </c>
      <c r="AN966" s="14" t="n">
        <f aca="false">MAX(0,MIN(Inputs!$F$231,Time!AN$6)-Time!AN$5)/Time!AN$7</f>
        <v>0</v>
      </c>
      <c r="AO966" s="14" t="n">
        <f aca="false">MAX(0,MIN(Inputs!$F$231,Time!AO$6)-Time!AO$5)/Time!AO$7</f>
        <v>0</v>
      </c>
      <c r="AP966" s="14" t="n">
        <f aca="false">MAX(0,MIN(Inputs!$F$231,Time!AP$6)-Time!AP$5)/Time!AP$7</f>
        <v>0</v>
      </c>
      <c r="AQ966" s="14" t="n">
        <f aca="false">MAX(0,MIN(Inputs!$F$231,Time!AQ$6)-Time!AQ$5)/Time!AQ$7</f>
        <v>0</v>
      </c>
      <c r="AR966" s="14" t="n">
        <f aca="false">MAX(0,MIN(Inputs!$F$231,Time!AR$6)-Time!AR$5)/Time!AR$7</f>
        <v>0</v>
      </c>
      <c r="AS966" s="14" t="n">
        <f aca="false">MAX(0,MIN(Inputs!$F$231,Time!AS$6)-Time!AS$5)/Time!AS$7</f>
        <v>0</v>
      </c>
      <c r="AT966" s="14" t="n">
        <f aca="false">MAX(0,MIN(Inputs!$F$231,Time!AT$6)-Time!AT$5)/Time!AT$7</f>
        <v>0</v>
      </c>
      <c r="AU966" s="14" t="n">
        <f aca="false">MAX(0,MIN(Inputs!$F$231,Time!AU$6)-Time!AU$5)/Time!AU$7</f>
        <v>0</v>
      </c>
    </row>
    <row r="967" customFormat="false" ht="15" hidden="false" customHeight="false" outlineLevel="0" collapsed="false">
      <c r="D967" s="0" t="s">
        <v>573</v>
      </c>
      <c r="E967" s="0" t="s">
        <v>458</v>
      </c>
      <c r="J967" s="14" t="n">
        <f aca="false">Inputs!$F$228/100*Operations!J966+Inputs!$F$230/100*(1-Operations!J966)</f>
        <v>0.4</v>
      </c>
      <c r="K967" s="14" t="n">
        <f aca="false">Inputs!$F$228/100*Operations!K966+Inputs!$F$230/100*(1-Operations!K966)</f>
        <v>0.4</v>
      </c>
      <c r="L967" s="14" t="n">
        <f aca="false">Inputs!$F$228/100*Operations!L966+Inputs!$F$230/100*(1-Operations!L966)</f>
        <v>0.4</v>
      </c>
      <c r="M967" s="14" t="n">
        <f aca="false">Inputs!$F$228/100*Operations!M966+Inputs!$F$230/100*(1-Operations!M966)</f>
        <v>0.4</v>
      </c>
      <c r="N967" s="14" t="n">
        <f aca="false">Inputs!$F$228/100*Operations!N966+Inputs!$F$230/100*(1-Operations!N966)</f>
        <v>0.4</v>
      </c>
      <c r="O967" s="14" t="n">
        <f aca="false">Inputs!$F$228/100*Operations!O966+Inputs!$F$230/100*(1-Operations!O966)</f>
        <v>0.4</v>
      </c>
      <c r="P967" s="14" t="n">
        <f aca="false">Inputs!$F$228/100*Operations!P966+Inputs!$F$230/100*(1-Operations!P966)</f>
        <v>0.4</v>
      </c>
      <c r="Q967" s="14" t="n">
        <f aca="false">Inputs!$F$228/100*Operations!Q966+Inputs!$F$230/100*(1-Operations!Q966)</f>
        <v>0.4</v>
      </c>
      <c r="R967" s="14" t="n">
        <f aca="false">Inputs!$F$228/100*Operations!R966+Inputs!$F$230/100*(1-Operations!R966)</f>
        <v>0.05</v>
      </c>
      <c r="S967" s="14" t="n">
        <f aca="false">Inputs!$F$228/100*Operations!S966+Inputs!$F$230/100*(1-Operations!S966)</f>
        <v>0.05</v>
      </c>
      <c r="T967" s="14" t="n">
        <f aca="false">Inputs!$F$228/100*Operations!T966+Inputs!$F$230/100*(1-Operations!T966)</f>
        <v>0.05</v>
      </c>
      <c r="U967" s="14" t="n">
        <f aca="false">Inputs!$F$228/100*Operations!U966+Inputs!$F$230/100*(1-Operations!U966)</f>
        <v>0.05</v>
      </c>
      <c r="V967" s="14" t="n">
        <f aca="false">Inputs!$F$228/100*Operations!V966+Inputs!$F$230/100*(1-Operations!V966)</f>
        <v>0.05</v>
      </c>
      <c r="W967" s="14" t="n">
        <f aca="false">Inputs!$F$228/100*Operations!W966+Inputs!$F$230/100*(1-Operations!W966)</f>
        <v>0.05</v>
      </c>
      <c r="X967" s="14" t="n">
        <f aca="false">Inputs!$F$228/100*Operations!X966+Inputs!$F$230/100*(1-Operations!X966)</f>
        <v>0.05</v>
      </c>
      <c r="Y967" s="14" t="n">
        <f aca="false">Inputs!$F$228/100*Operations!Y966+Inputs!$F$230/100*(1-Operations!Y966)</f>
        <v>0.05</v>
      </c>
      <c r="Z967" s="14" t="n">
        <f aca="false">Inputs!$F$228/100*Operations!Z966+Inputs!$F$230/100*(1-Operations!Z966)</f>
        <v>0.05</v>
      </c>
      <c r="AA967" s="14" t="n">
        <f aca="false">Inputs!$F$228/100*Operations!AA966+Inputs!$F$230/100*(1-Operations!AA966)</f>
        <v>0.05</v>
      </c>
      <c r="AB967" s="14" t="n">
        <f aca="false">Inputs!$F$228/100*Operations!AB966+Inputs!$F$230/100*(1-Operations!AB966)</f>
        <v>0.05</v>
      </c>
      <c r="AC967" s="14" t="n">
        <f aca="false">Inputs!$F$228/100*Operations!AC966+Inputs!$F$230/100*(1-Operations!AC966)</f>
        <v>0.05</v>
      </c>
      <c r="AD967" s="14" t="n">
        <f aca="false">Inputs!$F$228/100*Operations!AD966+Inputs!$F$230/100*(1-Operations!AD966)</f>
        <v>0.05</v>
      </c>
      <c r="AE967" s="14" t="n">
        <f aca="false">Inputs!$F$228/100*Operations!AE966+Inputs!$F$230/100*(1-Operations!AE966)</f>
        <v>0.05</v>
      </c>
      <c r="AF967" s="14" t="n">
        <f aca="false">Inputs!$F$228/100*Operations!AF966+Inputs!$F$230/100*(1-Operations!AF966)</f>
        <v>0.05</v>
      </c>
      <c r="AG967" s="14" t="n">
        <f aca="false">Inputs!$F$228/100*Operations!AG966+Inputs!$F$230/100*(1-Operations!AG966)</f>
        <v>0.05</v>
      </c>
      <c r="AH967" s="14" t="n">
        <f aca="false">Inputs!$F$228/100*Operations!AH966+Inputs!$F$230/100*(1-Operations!AH966)</f>
        <v>0.05</v>
      </c>
      <c r="AI967" s="14" t="n">
        <f aca="false">Inputs!$F$228/100*Operations!AI966+Inputs!$F$230/100*(1-Operations!AI966)</f>
        <v>0.05</v>
      </c>
      <c r="AJ967" s="14" t="n">
        <f aca="false">Inputs!$F$228/100*Operations!AJ966+Inputs!$F$230/100*(1-Operations!AJ966)</f>
        <v>0.05</v>
      </c>
      <c r="AK967" s="14" t="n">
        <f aca="false">Inputs!$F$228/100*Operations!AK966+Inputs!$F$230/100*(1-Operations!AK966)</f>
        <v>0.05</v>
      </c>
      <c r="AL967" s="14" t="n">
        <f aca="false">Inputs!$F$228/100*Operations!AL966+Inputs!$F$230/100*(1-Operations!AL966)</f>
        <v>0.05</v>
      </c>
      <c r="AM967" s="14" t="n">
        <f aca="false">Inputs!$F$228/100*Operations!AM966+Inputs!$F$230/100*(1-Operations!AM966)</f>
        <v>0.05</v>
      </c>
      <c r="AN967" s="14" t="n">
        <f aca="false">Inputs!$F$228/100*Operations!AN966+Inputs!$F$230/100*(1-Operations!AN966)</f>
        <v>0.05</v>
      </c>
      <c r="AO967" s="14" t="n">
        <f aca="false">Inputs!$F$228/100*Operations!AO966+Inputs!$F$230/100*(1-Operations!AO966)</f>
        <v>0.05</v>
      </c>
      <c r="AP967" s="14" t="n">
        <f aca="false">Inputs!$F$228/100*Operations!AP966+Inputs!$F$230/100*(1-Operations!AP966)</f>
        <v>0.05</v>
      </c>
      <c r="AQ967" s="14" t="n">
        <f aca="false">Inputs!$F$228/100*Operations!AQ966+Inputs!$F$230/100*(1-Operations!AQ966)</f>
        <v>0.05</v>
      </c>
      <c r="AR967" s="14" t="n">
        <f aca="false">Inputs!$F$228/100*Operations!AR966+Inputs!$F$230/100*(1-Operations!AR966)</f>
        <v>0.05</v>
      </c>
      <c r="AS967" s="14" t="n">
        <f aca="false">Inputs!$F$228/100*Operations!AS966+Inputs!$F$230/100*(1-Operations!AS966)</f>
        <v>0.05</v>
      </c>
      <c r="AT967" s="14" t="n">
        <f aca="false">Inputs!$F$228/100*Operations!AT966+Inputs!$F$230/100*(1-Operations!AT966)</f>
        <v>0.05</v>
      </c>
      <c r="AU967" s="14" t="n">
        <f aca="false">Inputs!$F$228/100*Operations!AU966+Inputs!$F$230/100*(1-Operations!AU966)</f>
        <v>0.05</v>
      </c>
    </row>
    <row r="968" customFormat="false" ht="15" hidden="false" customHeight="false" outlineLevel="0" collapsed="false">
      <c r="D968" s="0" t="s">
        <v>574</v>
      </c>
      <c r="E968" s="0" t="s">
        <v>458</v>
      </c>
      <c r="J968" s="14" t="n">
        <f aca="false">(1-Inputs!$F$229/100)*Operations!J966+(1-Inputs!$F$230/100)*(1-Operations!J966)</f>
        <v>0.01</v>
      </c>
      <c r="K968" s="14" t="n">
        <f aca="false">(1-Inputs!$F$229/100)*Operations!K966+(1-Inputs!$F$230/100)*(1-Operations!K966)</f>
        <v>0.01</v>
      </c>
      <c r="L968" s="14" t="n">
        <f aca="false">(1-Inputs!$F$229/100)*Operations!L966+(1-Inputs!$F$230/100)*(1-Operations!L966)</f>
        <v>0.01</v>
      </c>
      <c r="M968" s="14" t="n">
        <f aca="false">(1-Inputs!$F$229/100)*Operations!M966+(1-Inputs!$F$230/100)*(1-Operations!M966)</f>
        <v>0.01</v>
      </c>
      <c r="N968" s="14" t="n">
        <f aca="false">(1-Inputs!$F$229/100)*Operations!N966+(1-Inputs!$F$230/100)*(1-Operations!N966)</f>
        <v>0.01</v>
      </c>
      <c r="O968" s="14" t="n">
        <f aca="false">(1-Inputs!$F$229/100)*Operations!O966+(1-Inputs!$F$230/100)*(1-Operations!O966)</f>
        <v>0.01</v>
      </c>
      <c r="P968" s="14" t="n">
        <f aca="false">(1-Inputs!$F$229/100)*Operations!P966+(1-Inputs!$F$230/100)*(1-Operations!P966)</f>
        <v>0.01</v>
      </c>
      <c r="Q968" s="14" t="n">
        <f aca="false">(1-Inputs!$F$229/100)*Operations!Q966+(1-Inputs!$F$230/100)*(1-Operations!Q966)</f>
        <v>0.01</v>
      </c>
      <c r="R968" s="14" t="n">
        <f aca="false">(1-Inputs!$F$229/100)*Operations!R966+(1-Inputs!$F$230/100)*(1-Operations!R966)</f>
        <v>0.95</v>
      </c>
      <c r="S968" s="14" t="n">
        <f aca="false">(1-Inputs!$F$229/100)*Operations!S966+(1-Inputs!$F$230/100)*(1-Operations!S966)</f>
        <v>0.95</v>
      </c>
      <c r="T968" s="14" t="n">
        <f aca="false">(1-Inputs!$F$229/100)*Operations!T966+(1-Inputs!$F$230/100)*(1-Operations!T966)</f>
        <v>0.95</v>
      </c>
      <c r="U968" s="14" t="n">
        <f aca="false">(1-Inputs!$F$229/100)*Operations!U966+(1-Inputs!$F$230/100)*(1-Operations!U966)</f>
        <v>0.95</v>
      </c>
      <c r="V968" s="14" t="n">
        <f aca="false">(1-Inputs!$F$229/100)*Operations!V966+(1-Inputs!$F$230/100)*(1-Operations!V966)</f>
        <v>0.95</v>
      </c>
      <c r="W968" s="14" t="n">
        <f aca="false">(1-Inputs!$F$229/100)*Operations!W966+(1-Inputs!$F$230/100)*(1-Operations!W966)</f>
        <v>0.95</v>
      </c>
      <c r="X968" s="14" t="n">
        <f aca="false">(1-Inputs!$F$229/100)*Operations!X966+(1-Inputs!$F$230/100)*(1-Operations!X966)</f>
        <v>0.95</v>
      </c>
      <c r="Y968" s="14" t="n">
        <f aca="false">(1-Inputs!$F$229/100)*Operations!Y966+(1-Inputs!$F$230/100)*(1-Operations!Y966)</f>
        <v>0.95</v>
      </c>
      <c r="Z968" s="14" t="n">
        <f aca="false">(1-Inputs!$F$229/100)*Operations!Z966+(1-Inputs!$F$230/100)*(1-Operations!Z966)</f>
        <v>0.95</v>
      </c>
      <c r="AA968" s="14" t="n">
        <f aca="false">(1-Inputs!$F$229/100)*Operations!AA966+(1-Inputs!$F$230/100)*(1-Operations!AA966)</f>
        <v>0.95</v>
      </c>
      <c r="AB968" s="14" t="n">
        <f aca="false">(1-Inputs!$F$229/100)*Operations!AB966+(1-Inputs!$F$230/100)*(1-Operations!AB966)</f>
        <v>0.95</v>
      </c>
      <c r="AC968" s="14" t="n">
        <f aca="false">(1-Inputs!$F$229/100)*Operations!AC966+(1-Inputs!$F$230/100)*(1-Operations!AC966)</f>
        <v>0.95</v>
      </c>
      <c r="AD968" s="14" t="n">
        <f aca="false">(1-Inputs!$F$229/100)*Operations!AD966+(1-Inputs!$F$230/100)*(1-Operations!AD966)</f>
        <v>0.95</v>
      </c>
      <c r="AE968" s="14" t="n">
        <f aca="false">(1-Inputs!$F$229/100)*Operations!AE966+(1-Inputs!$F$230/100)*(1-Operations!AE966)</f>
        <v>0.95</v>
      </c>
      <c r="AF968" s="14" t="n">
        <f aca="false">(1-Inputs!$F$229/100)*Operations!AF966+(1-Inputs!$F$230/100)*(1-Operations!AF966)</f>
        <v>0.95</v>
      </c>
      <c r="AG968" s="14" t="n">
        <f aca="false">(1-Inputs!$F$229/100)*Operations!AG966+(1-Inputs!$F$230/100)*(1-Operations!AG966)</f>
        <v>0.95</v>
      </c>
      <c r="AH968" s="14" t="n">
        <f aca="false">(1-Inputs!$F$229/100)*Operations!AH966+(1-Inputs!$F$230/100)*(1-Operations!AH966)</f>
        <v>0.95</v>
      </c>
      <c r="AI968" s="14" t="n">
        <f aca="false">(1-Inputs!$F$229/100)*Operations!AI966+(1-Inputs!$F$230/100)*(1-Operations!AI966)</f>
        <v>0.95</v>
      </c>
      <c r="AJ968" s="14" t="n">
        <f aca="false">(1-Inputs!$F$229/100)*Operations!AJ966+(1-Inputs!$F$230/100)*(1-Operations!AJ966)</f>
        <v>0.95</v>
      </c>
      <c r="AK968" s="14" t="n">
        <f aca="false">(1-Inputs!$F$229/100)*Operations!AK966+(1-Inputs!$F$230/100)*(1-Operations!AK966)</f>
        <v>0.95</v>
      </c>
      <c r="AL968" s="14" t="n">
        <f aca="false">(1-Inputs!$F$229/100)*Operations!AL966+(1-Inputs!$F$230/100)*(1-Operations!AL966)</f>
        <v>0.95</v>
      </c>
      <c r="AM968" s="14" t="n">
        <f aca="false">(1-Inputs!$F$229/100)*Operations!AM966+(1-Inputs!$F$230/100)*(1-Operations!AM966)</f>
        <v>0.95</v>
      </c>
      <c r="AN968" s="14" t="n">
        <f aca="false">(1-Inputs!$F$229/100)*Operations!AN966+(1-Inputs!$F$230/100)*(1-Operations!AN966)</f>
        <v>0.95</v>
      </c>
      <c r="AO968" s="14" t="n">
        <f aca="false">(1-Inputs!$F$229/100)*Operations!AO966+(1-Inputs!$F$230/100)*(1-Operations!AO966)</f>
        <v>0.95</v>
      </c>
      <c r="AP968" s="14" t="n">
        <f aca="false">(1-Inputs!$F$229/100)*Operations!AP966+(1-Inputs!$F$230/100)*(1-Operations!AP966)</f>
        <v>0.95</v>
      </c>
      <c r="AQ968" s="14" t="n">
        <f aca="false">(1-Inputs!$F$229/100)*Operations!AQ966+(1-Inputs!$F$230/100)*(1-Operations!AQ966)</f>
        <v>0.95</v>
      </c>
      <c r="AR968" s="14" t="n">
        <f aca="false">(1-Inputs!$F$229/100)*Operations!AR966+(1-Inputs!$F$230/100)*(1-Operations!AR966)</f>
        <v>0.95</v>
      </c>
      <c r="AS968" s="14" t="n">
        <f aca="false">(1-Inputs!$F$229/100)*Operations!AS966+(1-Inputs!$F$230/100)*(1-Operations!AS966)</f>
        <v>0.95</v>
      </c>
      <c r="AT968" s="14" t="n">
        <f aca="false">(1-Inputs!$F$229/100)*Operations!AT966+(1-Inputs!$F$230/100)*(1-Operations!AT966)</f>
        <v>0.95</v>
      </c>
      <c r="AU968" s="14" t="n">
        <f aca="false">(1-Inputs!$F$229/100)*Operations!AU966+(1-Inputs!$F$230/100)*(1-Operations!AU966)</f>
        <v>0.95</v>
      </c>
    </row>
    <row r="969" customFormat="false" ht="15" hidden="false" customHeight="false" outlineLevel="0" collapsed="false">
      <c r="D969" s="0" t="s">
        <v>575</v>
      </c>
      <c r="E969" s="0" t="s">
        <v>47</v>
      </c>
      <c r="G969" s="20" t="n">
        <f aca="false">SUM(J969:AU969)</f>
        <v>127.339592800389</v>
      </c>
      <c r="J969" s="20" t="n">
        <f aca="false">Operations!J965*(1-Operations!J967)*Operations!J939</f>
        <v>7.8257464413882</v>
      </c>
      <c r="K969" s="20" t="n">
        <f aca="false">Operations!K965*(1-Operations!K967)*Operations!K939</f>
        <v>10.0975592591622</v>
      </c>
      <c r="L969" s="20" t="n">
        <f aca="false">Operations!L965*(1-Operations!L967)*Operations!L939</f>
        <v>10.5462498115288</v>
      </c>
      <c r="M969" s="20" t="n">
        <f aca="false">Operations!M965*(1-Operations!M967)*Operations!M939</f>
        <v>10.2927396519913</v>
      </c>
      <c r="N969" s="20" t="n">
        <f aca="false">Operations!N965*(1-Operations!N967)*Operations!N939</f>
        <v>10.1170682162391</v>
      </c>
      <c r="O969" s="20" t="n">
        <f aca="false">Operations!O965*(1-Operations!O967)*Operations!O939</f>
        <v>9.9747436753534</v>
      </c>
      <c r="P969" s="20" t="n">
        <f aca="false">Operations!P965*(1-Operations!P967)*Operations!P939</f>
        <v>9.84529171978466</v>
      </c>
      <c r="Q969" s="20" t="n">
        <f aca="false">Operations!Q965*(1-Operations!Q967)*Operations!Q939</f>
        <v>9.72183931674265</v>
      </c>
      <c r="R969" s="20" t="n">
        <f aca="false">Operations!R965*(1-Operations!R967)*Operations!R939</f>
        <v>3.93359133691593</v>
      </c>
      <c r="S969" s="20" t="n">
        <f aca="false">Operations!S965*(1-Operations!S967)*Operations!S939</f>
        <v>3.85670083558836</v>
      </c>
      <c r="T969" s="20" t="n">
        <f aca="false">Operations!T965*(1-Operations!T967)*Operations!T939</f>
        <v>3.7752441433428</v>
      </c>
      <c r="U969" s="20" t="n">
        <f aca="false">Operations!U965*(1-Operations!U967)*Operations!U939</f>
        <v>3.68900120913418</v>
      </c>
      <c r="V969" s="20" t="n">
        <f aca="false">Operations!V965*(1-Operations!V967)*Operations!V939</f>
        <v>3.59775020266937</v>
      </c>
      <c r="W969" s="20" t="n">
        <f aca="false">Operations!W965*(1-Operations!W967)*Operations!W939</f>
        <v>3.50126744277863</v>
      </c>
      <c r="X969" s="20" t="n">
        <f aca="false">Operations!X965*(1-Operations!X967)*Operations!X939</f>
        <v>3.39932732412765</v>
      </c>
      <c r="Y969" s="20" t="n">
        <f aca="false">Operations!Y965*(1-Operations!Y967)*Operations!Y939</f>
        <v>3.29362819372608</v>
      </c>
      <c r="Z969" s="20" t="n">
        <f aca="false">Operations!Z965*(1-Operations!Z967)*Operations!Z939</f>
        <v>3.18196939357189</v>
      </c>
      <c r="AA969" s="20" t="n">
        <f aca="false">Operations!AA965*(1-Operations!AA967)*Operations!AA939</f>
        <v>3.17941952188869</v>
      </c>
      <c r="AB969" s="20" t="n">
        <f aca="false">Operations!AB965*(1-Operations!AB967)*Operations!AB939</f>
        <v>3.17645150221144</v>
      </c>
      <c r="AC969" s="20" t="n">
        <f aca="false">Operations!AC965*(1-Operations!AC967)*Operations!AC939</f>
        <v>3.17101102379659</v>
      </c>
      <c r="AD969" s="20" t="n">
        <f aca="false">Operations!AD965*(1-Operations!AD967)*Operations!AD939</f>
        <v>3.16483228437663</v>
      </c>
      <c r="AE969" s="20" t="n">
        <f aca="false">Operations!AE965*(1-Operations!AE967)*Operations!AE939</f>
        <v>3.1558621470145</v>
      </c>
      <c r="AF969" s="20" t="n">
        <f aca="false">Operations!AF965*(1-Operations!AF967)*Operations!AF939</f>
        <v>3.14582066544838</v>
      </c>
      <c r="AG969" s="20" t="n">
        <f aca="false">Operations!AG965*(1-Operations!AG967)*Operations!AG939</f>
        <v>3.13453245920297</v>
      </c>
      <c r="AH969" s="20" t="n">
        <f aca="false">Operations!AH965*(1-Operations!AH967)*Operations!AH939</f>
        <v>3.11994546998887</v>
      </c>
      <c r="AI969" s="20" t="n">
        <f aca="false">Operations!AI965*(1-Operations!AI967)*Operations!AI939</f>
        <v>3.10375795106909</v>
      </c>
      <c r="AJ969" s="20" t="n">
        <f aca="false">Operations!AJ965*(1-Operations!AJ967)*Operations!AJ939</f>
        <v>3.08578377902378</v>
      </c>
      <c r="AK969" s="20" t="n">
        <f aca="false">Operations!AK965*(1-Operations!AK967)*Operations!AK939</f>
        <v>-14.7475421776771</v>
      </c>
      <c r="AL969" s="20" t="n">
        <f aca="false">Operations!AL965*(1-Operations!AL967)*Operations!AL939</f>
        <v>0</v>
      </c>
      <c r="AM969" s="20" t="n">
        <f aca="false">Operations!AM965*(1-Operations!AM967)*Operations!AM939</f>
        <v>0</v>
      </c>
      <c r="AN969" s="20" t="n">
        <f aca="false">Operations!AN965*(1-Operations!AN967)*Operations!AN939</f>
        <v>0</v>
      </c>
      <c r="AO969" s="20" t="n">
        <f aca="false">Operations!AO965*(1-Operations!AO967)*Operations!AO939</f>
        <v>0</v>
      </c>
      <c r="AP969" s="20" t="n">
        <f aca="false">Operations!AP965*(1-Operations!AP967)*Operations!AP939</f>
        <v>0</v>
      </c>
      <c r="AQ969" s="20" t="n">
        <f aca="false">Operations!AQ965*(1-Operations!AQ967)*Operations!AQ939</f>
        <v>0</v>
      </c>
      <c r="AR969" s="20" t="n">
        <f aca="false">Operations!AR965*(1-Operations!AR967)*Operations!AR939</f>
        <v>0</v>
      </c>
      <c r="AS969" s="20" t="n">
        <f aca="false">Operations!AS965*(1-Operations!AS967)*Operations!AS939</f>
        <v>0</v>
      </c>
      <c r="AT969" s="20" t="n">
        <f aca="false">Operations!AT965*(1-Operations!AT967)*Operations!AT939</f>
        <v>0</v>
      </c>
      <c r="AU969" s="20" t="n">
        <f aca="false">Operations!AU965*(1-Operations!AU967)*Operations!AU939</f>
        <v>0</v>
      </c>
    </row>
    <row r="970" customFormat="false" ht="15" hidden="false" customHeight="false" outlineLevel="0" collapsed="false">
      <c r="D970" s="0" t="s">
        <v>576</v>
      </c>
      <c r="E970" s="0" t="s">
        <v>47</v>
      </c>
      <c r="J970" s="20" t="n">
        <f aca="false">Operations!J965*Operations!J968*Operations!J939</f>
        <v>0.13042910735647</v>
      </c>
      <c r="K970" s="20" t="n">
        <f aca="false">Operations!K965*Operations!K968*Operations!K939</f>
        <v>0.168292654319371</v>
      </c>
      <c r="L970" s="20" t="n">
        <f aca="false">Operations!L965*Operations!L968*Operations!L939</f>
        <v>0.175770830192147</v>
      </c>
      <c r="M970" s="20" t="n">
        <f aca="false">Operations!M965*Operations!M968*Operations!M939</f>
        <v>0.171545660866523</v>
      </c>
      <c r="N970" s="20" t="n">
        <f aca="false">Operations!N965*Operations!N968*Operations!N939</f>
        <v>0.168617803603985</v>
      </c>
      <c r="O970" s="20" t="n">
        <f aca="false">Operations!O965*Operations!O968*Operations!O939</f>
        <v>0.166245727922557</v>
      </c>
      <c r="P970" s="20" t="n">
        <f aca="false">Operations!P965*Operations!P968*Operations!P939</f>
        <v>0.164088195329744</v>
      </c>
      <c r="Q970" s="20" t="n">
        <f aca="false">Operations!Q965*Operations!Q968*Operations!Q939</f>
        <v>0.162030655279044</v>
      </c>
      <c r="R970" s="20" t="n">
        <f aca="false">Operations!R965*Operations!R968*Operations!R939</f>
        <v>3.93359133691593</v>
      </c>
      <c r="S970" s="20" t="n">
        <f aca="false">Operations!S965*Operations!S968*Operations!S939</f>
        <v>3.85670083558836</v>
      </c>
      <c r="T970" s="20" t="n">
        <f aca="false">Operations!T965*Operations!T968*Operations!T939</f>
        <v>3.7752441433428</v>
      </c>
      <c r="U970" s="20" t="n">
        <f aca="false">Operations!U965*Operations!U968*Operations!U939</f>
        <v>3.68900120913418</v>
      </c>
      <c r="V970" s="20" t="n">
        <f aca="false">Operations!V965*Operations!V968*Operations!V939</f>
        <v>3.59775020266937</v>
      </c>
      <c r="W970" s="20" t="n">
        <f aca="false">Operations!W965*Operations!W968*Operations!W939</f>
        <v>3.50126744277863</v>
      </c>
      <c r="X970" s="20" t="n">
        <f aca="false">Operations!X965*Operations!X968*Operations!X939</f>
        <v>3.39932732412765</v>
      </c>
      <c r="Y970" s="20" t="n">
        <f aca="false">Operations!Y965*Operations!Y968*Operations!Y939</f>
        <v>3.29362819372608</v>
      </c>
      <c r="Z970" s="20" t="n">
        <f aca="false">Operations!Z965*Operations!Z968*Operations!Z939</f>
        <v>3.18196939357189</v>
      </c>
      <c r="AA970" s="20" t="n">
        <f aca="false">Operations!AA965*Operations!AA968*Operations!AA939</f>
        <v>3.17941952188869</v>
      </c>
      <c r="AB970" s="20" t="n">
        <f aca="false">Operations!AB965*Operations!AB968*Operations!AB939</f>
        <v>3.17645150221144</v>
      </c>
      <c r="AC970" s="20" t="n">
        <f aca="false">Operations!AC965*Operations!AC968*Operations!AC939</f>
        <v>3.17101102379659</v>
      </c>
      <c r="AD970" s="20" t="n">
        <f aca="false">Operations!AD965*Operations!AD968*Operations!AD939</f>
        <v>3.16483228437663</v>
      </c>
      <c r="AE970" s="20" t="n">
        <f aca="false">Operations!AE965*Operations!AE968*Operations!AE939</f>
        <v>3.1558621470145</v>
      </c>
      <c r="AF970" s="20" t="n">
        <f aca="false">Operations!AF965*Operations!AF968*Operations!AF939</f>
        <v>3.14582066544838</v>
      </c>
      <c r="AG970" s="20" t="n">
        <f aca="false">Operations!AG965*Operations!AG968*Operations!AG939</f>
        <v>3.13453245920297</v>
      </c>
      <c r="AH970" s="20" t="n">
        <f aca="false">Operations!AH965*Operations!AH968*Operations!AH939</f>
        <v>3.11994546998887</v>
      </c>
      <c r="AI970" s="20" t="n">
        <f aca="false">Operations!AI965*Operations!AI968*Operations!AI939</f>
        <v>3.10375795106909</v>
      </c>
      <c r="AJ970" s="20" t="n">
        <f aca="false">Operations!AJ965*Operations!AJ968*Operations!AJ939</f>
        <v>3.08578377902378</v>
      </c>
      <c r="AK970" s="20" t="n">
        <f aca="false">Operations!AK965*Operations!AK968*Operations!AK939</f>
        <v>-14.7475421776771</v>
      </c>
      <c r="AL970" s="20" t="n">
        <f aca="false">Operations!AL965*Operations!AL968*Operations!AL939</f>
        <v>0</v>
      </c>
      <c r="AM970" s="20" t="n">
        <f aca="false">Operations!AM965*Operations!AM968*Operations!AM939</f>
        <v>0</v>
      </c>
      <c r="AN970" s="20" t="n">
        <f aca="false">Operations!AN965*Operations!AN968*Operations!AN939</f>
        <v>0</v>
      </c>
      <c r="AO970" s="20" t="n">
        <f aca="false">Operations!AO965*Operations!AO968*Operations!AO939</f>
        <v>0</v>
      </c>
      <c r="AP970" s="20" t="n">
        <f aca="false">Operations!AP965*Operations!AP968*Operations!AP939</f>
        <v>0</v>
      </c>
      <c r="AQ970" s="20" t="n">
        <f aca="false">Operations!AQ965*Operations!AQ968*Operations!AQ939</f>
        <v>0</v>
      </c>
      <c r="AR970" s="20" t="n">
        <f aca="false">Operations!AR965*Operations!AR968*Operations!AR939</f>
        <v>0</v>
      </c>
      <c r="AS970" s="20" t="n">
        <f aca="false">Operations!AS965*Operations!AS968*Operations!AS939</f>
        <v>0</v>
      </c>
      <c r="AT970" s="20" t="n">
        <f aca="false">Operations!AT965*Operations!AT968*Operations!AT939</f>
        <v>0</v>
      </c>
      <c r="AU970" s="20" t="n">
        <f aca="false">Operations!AU965*Operations!AU968*Operations!AU939</f>
        <v>0</v>
      </c>
    </row>
    <row r="971" customFormat="false" ht="15" hidden="false" customHeight="false" outlineLevel="0" collapsed="false">
      <c r="D971" s="0" t="s">
        <v>577</v>
      </c>
      <c r="E971" s="0" t="s">
        <v>47</v>
      </c>
      <c r="J971" s="20" t="n">
        <f aca="false">Operations!J969-Inputs!$F$248/100*Operations!J970</f>
        <v>7.79835632884334</v>
      </c>
      <c r="K971" s="20" t="n">
        <f aca="false">Operations!K969-Inputs!$F$248/100*Operations!K970</f>
        <v>10.0622178017552</v>
      </c>
      <c r="L971" s="20" t="n">
        <f aca="false">Operations!L969-Inputs!$F$248/100*Operations!L970</f>
        <v>10.5093379371885</v>
      </c>
      <c r="M971" s="20" t="n">
        <f aca="false">Operations!M969-Inputs!$F$248/100*Operations!M970</f>
        <v>10.2567150632094</v>
      </c>
      <c r="N971" s="20" t="n">
        <f aca="false">Operations!N969-Inputs!$F$248/100*Operations!N970</f>
        <v>10.0816584774823</v>
      </c>
      <c r="O971" s="20" t="n">
        <f aca="false">Operations!O969-Inputs!$F$248/100*Operations!O970</f>
        <v>9.93983207248967</v>
      </c>
      <c r="P971" s="20" t="n">
        <f aca="false">Operations!P969-Inputs!$F$248/100*Operations!P970</f>
        <v>9.81083319876541</v>
      </c>
      <c r="Q971" s="20" t="n">
        <f aca="false">Operations!Q969-Inputs!$F$248/100*Operations!Q970</f>
        <v>9.68781287913405</v>
      </c>
      <c r="R971" s="20" t="n">
        <f aca="false">Operations!R969-Inputs!$F$248/100*Operations!R970</f>
        <v>3.10753715616359</v>
      </c>
      <c r="S971" s="20" t="n">
        <f aca="false">Operations!S969-Inputs!$F$248/100*Operations!S970</f>
        <v>3.04679366011481</v>
      </c>
      <c r="T971" s="20" t="n">
        <f aca="false">Operations!T969-Inputs!$F$248/100*Operations!T970</f>
        <v>2.98244287324081</v>
      </c>
      <c r="U971" s="20" t="n">
        <f aca="false">Operations!U969-Inputs!$F$248/100*Operations!U970</f>
        <v>2.914310955216</v>
      </c>
      <c r="V971" s="20" t="n">
        <f aca="false">Operations!V969-Inputs!$F$248/100*Operations!V970</f>
        <v>2.84222266010881</v>
      </c>
      <c r="W971" s="20" t="n">
        <f aca="false">Operations!W969-Inputs!$F$248/100*Operations!W970</f>
        <v>2.76600127979511</v>
      </c>
      <c r="X971" s="20" t="n">
        <f aca="false">Operations!X969-Inputs!$F$248/100*Operations!X970</f>
        <v>2.68546858606085</v>
      </c>
      <c r="Y971" s="20" t="n">
        <f aca="false">Operations!Y969-Inputs!$F$248/100*Operations!Y970</f>
        <v>2.6019662730436</v>
      </c>
      <c r="Z971" s="20" t="n">
        <f aca="false">Operations!Z969-Inputs!$F$248/100*Operations!Z970</f>
        <v>2.51375582092179</v>
      </c>
      <c r="AA971" s="20" t="n">
        <f aca="false">Operations!AA969-Inputs!$F$248/100*Operations!AA970</f>
        <v>2.51174142229206</v>
      </c>
      <c r="AB971" s="20" t="n">
        <f aca="false">Operations!AB969-Inputs!$F$248/100*Operations!AB970</f>
        <v>2.50939668674703</v>
      </c>
      <c r="AC971" s="20" t="n">
        <f aca="false">Operations!AC969-Inputs!$F$248/100*Operations!AC970</f>
        <v>2.50509870879931</v>
      </c>
      <c r="AD971" s="20" t="n">
        <f aca="false">Operations!AD969-Inputs!$F$248/100*Operations!AD970</f>
        <v>2.50021750465754</v>
      </c>
      <c r="AE971" s="20" t="n">
        <f aca="false">Operations!AE969-Inputs!$F$248/100*Operations!AE970</f>
        <v>2.49313109614145</v>
      </c>
      <c r="AF971" s="20" t="n">
        <f aca="false">Operations!AF969-Inputs!$F$248/100*Operations!AF970</f>
        <v>2.48519832570422</v>
      </c>
      <c r="AG971" s="20" t="n">
        <f aca="false">Operations!AG969-Inputs!$F$248/100*Operations!AG970</f>
        <v>2.47628064277034</v>
      </c>
      <c r="AH971" s="20" t="n">
        <f aca="false">Operations!AH969-Inputs!$F$248/100*Operations!AH970</f>
        <v>2.46475692129121</v>
      </c>
      <c r="AI971" s="20" t="n">
        <f aca="false">Operations!AI969-Inputs!$F$248/100*Operations!AI970</f>
        <v>2.45196878134458</v>
      </c>
      <c r="AJ971" s="20" t="n">
        <f aca="false">Operations!AJ969-Inputs!$F$248/100*Operations!AJ970</f>
        <v>2.43776918542879</v>
      </c>
      <c r="AK971" s="20" t="n">
        <f aca="false">Operations!AK969-Inputs!$F$248/100*Operations!AK970</f>
        <v>-11.6505583203649</v>
      </c>
      <c r="AL971" s="20" t="n">
        <f aca="false">Operations!AL969-Inputs!$F$248/100*Operations!AL970</f>
        <v>0</v>
      </c>
      <c r="AM971" s="20" t="n">
        <f aca="false">Operations!AM969-Inputs!$F$248/100*Operations!AM970</f>
        <v>0</v>
      </c>
      <c r="AN971" s="20" t="n">
        <f aca="false">Operations!AN969-Inputs!$F$248/100*Operations!AN970</f>
        <v>0</v>
      </c>
      <c r="AO971" s="20" t="n">
        <f aca="false">Operations!AO969-Inputs!$F$248/100*Operations!AO970</f>
        <v>0</v>
      </c>
      <c r="AP971" s="20" t="n">
        <f aca="false">Operations!AP969-Inputs!$F$248/100*Operations!AP970</f>
        <v>0</v>
      </c>
      <c r="AQ971" s="20" t="n">
        <f aca="false">Operations!AQ969-Inputs!$F$248/100*Operations!AQ970</f>
        <v>0</v>
      </c>
      <c r="AR971" s="20" t="n">
        <f aca="false">Operations!AR969-Inputs!$F$248/100*Operations!AR970</f>
        <v>0</v>
      </c>
      <c r="AS971" s="20" t="n">
        <f aca="false">Operations!AS969-Inputs!$F$248/100*Operations!AS970</f>
        <v>0</v>
      </c>
      <c r="AT971" s="20" t="n">
        <f aca="false">Operations!AT969-Inputs!$F$248/100*Operations!AT970</f>
        <v>0</v>
      </c>
      <c r="AU971" s="20" t="n">
        <f aca="false">Operations!AU969-Inputs!$F$248/100*Operations!AU970</f>
        <v>0</v>
      </c>
    </row>
    <row r="972" customFormat="false" ht="15" hidden="false" customHeight="false" outlineLevel="0" collapsed="false">
      <c r="D972" s="0" t="s">
        <v>578</v>
      </c>
      <c r="E972" s="0" t="s">
        <v>458</v>
      </c>
      <c r="J972" s="14" t="n">
        <f aca="false">IF(Operations!J956=0,0,Operations!J953/Operations!J956)</f>
        <v>1.09592148975533</v>
      </c>
      <c r="K972" s="14" t="n">
        <f aca="false">IF(Operations!K956=0,0,Operations!K953/Operations!K956)</f>
        <v>1.07666606983745</v>
      </c>
      <c r="L972" s="14" t="n">
        <f aca="false">IF(Operations!L956=0,0,Operations!L953/Operations!L956)</f>
        <v>1.03597853636455</v>
      </c>
      <c r="M972" s="14" t="n">
        <f aca="false">IF(Operations!M956=0,0,Operations!M953/Operations!M956)</f>
        <v>1.04770753978248</v>
      </c>
      <c r="N972" s="14" t="n">
        <f aca="false">IF(Operations!N956=0,0,Operations!N953/Operations!N956)</f>
        <v>1.05365727977912</v>
      </c>
      <c r="O972" s="14" t="n">
        <f aca="false">IF(Operations!O956=0,0,Operations!O953/Operations!O956)</f>
        <v>1.05697035279865</v>
      </c>
      <c r="P972" s="14" t="n">
        <f aca="false">IF(Operations!P956=0,0,Operations!P953/Operations!P956)</f>
        <v>1.0591413046553</v>
      </c>
      <c r="Q972" s="14" t="n">
        <f aca="false">IF(Operations!Q956=0,0,Operations!Q953/Operations!Q956)</f>
        <v>1.06067338909454</v>
      </c>
      <c r="R972" s="14" t="n">
        <f aca="false">IF(Operations!R956=0,0,Operations!R953/Operations!R956)</f>
        <v>0</v>
      </c>
      <c r="S972" s="14" t="n">
        <f aca="false">IF(Operations!S956=0,0,Operations!S953/Operations!S956)</f>
        <v>0</v>
      </c>
      <c r="T972" s="14" t="n">
        <f aca="false">IF(Operations!T956=0,0,Operations!T953/Operations!T956)</f>
        <v>0</v>
      </c>
      <c r="U972" s="14" t="n">
        <f aca="false">IF(Operations!U956=0,0,Operations!U953/Operations!U956)</f>
        <v>0</v>
      </c>
      <c r="V972" s="14" t="n">
        <f aca="false">IF(Operations!V956=0,0,Operations!V953/Operations!V956)</f>
        <v>0</v>
      </c>
      <c r="W972" s="14" t="n">
        <f aca="false">IF(Operations!W956=0,0,Operations!W953/Operations!W956)</f>
        <v>0</v>
      </c>
      <c r="X972" s="14" t="n">
        <f aca="false">IF(Operations!X956=0,0,Operations!X953/Operations!X956)</f>
        <v>0</v>
      </c>
      <c r="Y972" s="14" t="n">
        <f aca="false">IF(Operations!Y956=0,0,Operations!Y953/Operations!Y956)</f>
        <v>0</v>
      </c>
      <c r="Z972" s="14" t="n">
        <f aca="false">IF(Operations!Z956=0,0,Operations!Z953/Operations!Z956)</f>
        <v>0</v>
      </c>
      <c r="AA972" s="14" t="n">
        <f aca="false">IF(Operations!AA956=0,0,Operations!AA953/Operations!AA956)</f>
        <v>0</v>
      </c>
      <c r="AB972" s="14" t="n">
        <f aca="false">IF(Operations!AB956=0,0,Operations!AB953/Operations!AB956)</f>
        <v>0</v>
      </c>
      <c r="AC972" s="14" t="n">
        <f aca="false">IF(Operations!AC956=0,0,Operations!AC953/Operations!AC956)</f>
        <v>0</v>
      </c>
      <c r="AD972" s="14" t="n">
        <f aca="false">IF(Operations!AD956=0,0,Operations!AD953/Operations!AD956)</f>
        <v>0</v>
      </c>
      <c r="AE972" s="14" t="n">
        <f aca="false">IF(Operations!AE956=0,0,Operations!AE953/Operations!AE956)</f>
        <v>0</v>
      </c>
      <c r="AF972" s="14" t="n">
        <f aca="false">IF(Operations!AF956=0,0,Operations!AF953/Operations!AF956)</f>
        <v>0</v>
      </c>
      <c r="AG972" s="14" t="n">
        <f aca="false">IF(Operations!AG956=0,0,Operations!AG953/Operations!AG956)</f>
        <v>0</v>
      </c>
      <c r="AH972" s="14" t="n">
        <f aca="false">IF(Operations!AH956=0,0,Operations!AH953/Operations!AH956)</f>
        <v>0</v>
      </c>
      <c r="AI972" s="14" t="n">
        <f aca="false">IF(Operations!AI956=0,0,Operations!AI953/Operations!AI956)</f>
        <v>0</v>
      </c>
      <c r="AJ972" s="14" t="n">
        <f aca="false">IF(Operations!AJ956=0,0,Operations!AJ953/Operations!AJ956)</f>
        <v>0</v>
      </c>
      <c r="AK972" s="14" t="n">
        <f aca="false">IF(Operations!AK956=0,0,Operations!AK953/Operations!AK956)</f>
        <v>0</v>
      </c>
      <c r="AL972" s="14" t="n">
        <f aca="false">IF(Operations!AL956=0,0,Operations!AL953/Operations!AL956)</f>
        <v>0</v>
      </c>
      <c r="AM972" s="14" t="n">
        <f aca="false">IF(Operations!AM956=0,0,Operations!AM953/Operations!AM956)</f>
        <v>0</v>
      </c>
      <c r="AN972" s="14" t="n">
        <f aca="false">IF(Operations!AN956=0,0,Operations!AN953/Operations!AN956)</f>
        <v>0</v>
      </c>
      <c r="AO972" s="14" t="n">
        <f aca="false">IF(Operations!AO956=0,0,Operations!AO953/Operations!AO956)</f>
        <v>0</v>
      </c>
      <c r="AP972" s="14" t="n">
        <f aca="false">IF(Operations!AP956=0,0,Operations!AP953/Operations!AP956)</f>
        <v>0</v>
      </c>
      <c r="AQ972" s="14" t="n">
        <f aca="false">IF(Operations!AQ956=0,0,Operations!AQ953/Operations!AQ956)</f>
        <v>0</v>
      </c>
      <c r="AR972" s="14" t="n">
        <f aca="false">IF(Operations!AR956=0,0,Operations!AR953/Operations!AR956)</f>
        <v>0</v>
      </c>
      <c r="AS972" s="14" t="n">
        <f aca="false">IF(Operations!AS956=0,0,Operations!AS953/Operations!AS956)</f>
        <v>0</v>
      </c>
      <c r="AT972" s="14" t="n">
        <f aca="false">IF(Operations!AT956=0,0,Operations!AT953/Operations!AT956)</f>
        <v>0</v>
      </c>
      <c r="AU972" s="14" t="n">
        <f aca="false">IF(Operations!AU956=0,0,Operations!AU953/Operations!AU956)</f>
        <v>0</v>
      </c>
    </row>
    <row r="973" customFormat="false" ht="15" hidden="false" customHeight="false" outlineLevel="0" collapsed="false">
      <c r="D973" s="0" t="s">
        <v>579</v>
      </c>
      <c r="E973" s="0" t="s">
        <v>458</v>
      </c>
      <c r="J973" s="14" t="n">
        <f aca="false">IF(Operations!J956=0,0,Operations!J954/Operations!J956)</f>
        <v>0</v>
      </c>
      <c r="K973" s="14" t="n">
        <f aca="false">IF(Operations!K956=0,0,Operations!K954/Operations!K956)</f>
        <v>0</v>
      </c>
      <c r="L973" s="14" t="n">
        <f aca="false">IF(Operations!L956=0,0,Operations!L954/Operations!L956)</f>
        <v>0</v>
      </c>
      <c r="M973" s="14" t="n">
        <f aca="false">IF(Operations!M956=0,0,Operations!M954/Operations!M956)</f>
        <v>0</v>
      </c>
      <c r="N973" s="14" t="n">
        <f aca="false">IF(Operations!N956=0,0,Operations!N954/Operations!N956)</f>
        <v>0</v>
      </c>
      <c r="O973" s="14" t="n">
        <f aca="false">IF(Operations!O956=0,0,Operations!O954/Operations!O956)</f>
        <v>0</v>
      </c>
      <c r="P973" s="14" t="n">
        <f aca="false">IF(Operations!P956=0,0,Operations!P954/Operations!P956)</f>
        <v>0</v>
      </c>
      <c r="Q973" s="14" t="n">
        <f aca="false">IF(Operations!Q956=0,0,Operations!Q954/Operations!Q956)</f>
        <v>0</v>
      </c>
      <c r="R973" s="14" t="n">
        <f aca="false">IF(Operations!R956=0,0,Operations!R954/Operations!R956)</f>
        <v>0</v>
      </c>
      <c r="S973" s="14" t="n">
        <f aca="false">IF(Operations!S956=0,0,Operations!S954/Operations!S956)</f>
        <v>0</v>
      </c>
      <c r="T973" s="14" t="n">
        <f aca="false">IF(Operations!T956=0,0,Operations!T954/Operations!T956)</f>
        <v>0</v>
      </c>
      <c r="U973" s="14" t="n">
        <f aca="false">IF(Operations!U956=0,0,Operations!U954/Operations!U956)</f>
        <v>0</v>
      </c>
      <c r="V973" s="14" t="n">
        <f aca="false">IF(Operations!V956=0,0,Operations!V954/Operations!V956)</f>
        <v>0</v>
      </c>
      <c r="W973" s="14" t="n">
        <f aca="false">IF(Operations!W956=0,0,Operations!W954/Operations!W956)</f>
        <v>0</v>
      </c>
      <c r="X973" s="14" t="n">
        <f aca="false">IF(Operations!X956=0,0,Operations!X954/Operations!X956)</f>
        <v>0</v>
      </c>
      <c r="Y973" s="14" t="n">
        <f aca="false">IF(Operations!Y956=0,0,Operations!Y954/Operations!Y956)</f>
        <v>0</v>
      </c>
      <c r="Z973" s="14" t="n">
        <f aca="false">IF(Operations!Z956=0,0,Operations!Z954/Operations!Z956)</f>
        <v>0</v>
      </c>
      <c r="AA973" s="14" t="n">
        <f aca="false">IF(Operations!AA956=0,0,Operations!AA954/Operations!AA956)</f>
        <v>0</v>
      </c>
      <c r="AB973" s="14" t="n">
        <f aca="false">IF(Operations!AB956=0,0,Operations!AB954/Operations!AB956)</f>
        <v>0</v>
      </c>
      <c r="AC973" s="14" t="n">
        <f aca="false">IF(Operations!AC956=0,0,Operations!AC954/Operations!AC956)</f>
        <v>0</v>
      </c>
      <c r="AD973" s="14" t="n">
        <f aca="false">IF(Operations!AD956=0,0,Operations!AD954/Operations!AD956)</f>
        <v>0</v>
      </c>
      <c r="AE973" s="14" t="n">
        <f aca="false">IF(Operations!AE956=0,0,Operations!AE954/Operations!AE956)</f>
        <v>0</v>
      </c>
      <c r="AF973" s="14" t="n">
        <f aca="false">IF(Operations!AF956=0,0,Operations!AF954/Operations!AF956)</f>
        <v>0</v>
      </c>
      <c r="AG973" s="14" t="n">
        <f aca="false">IF(Operations!AG956=0,0,Operations!AG954/Operations!AG956)</f>
        <v>0</v>
      </c>
      <c r="AH973" s="14" t="n">
        <f aca="false">IF(Operations!AH956=0,0,Operations!AH954/Operations!AH956)</f>
        <v>0</v>
      </c>
      <c r="AI973" s="14" t="n">
        <f aca="false">IF(Operations!AI956=0,0,Operations!AI954/Operations!AI956)</f>
        <v>0</v>
      </c>
      <c r="AJ973" s="14" t="n">
        <f aca="false">IF(Operations!AJ956=0,0,Operations!AJ954/Operations!AJ956)</f>
        <v>0</v>
      </c>
      <c r="AK973" s="14" t="n">
        <f aca="false">IF(Operations!AK956=0,0,Operations!AK954/Operations!AK956)</f>
        <v>0</v>
      </c>
      <c r="AL973" s="14" t="n">
        <f aca="false">IF(Operations!AL956=0,0,Operations!AL954/Operations!AL956)</f>
        <v>0</v>
      </c>
      <c r="AM973" s="14" t="n">
        <f aca="false">IF(Operations!AM956=0,0,Operations!AM954/Operations!AM956)</f>
        <v>0</v>
      </c>
      <c r="AN973" s="14" t="n">
        <f aca="false">IF(Operations!AN956=0,0,Operations!AN954/Operations!AN956)</f>
        <v>0</v>
      </c>
      <c r="AO973" s="14" t="n">
        <f aca="false">IF(Operations!AO956=0,0,Operations!AO954/Operations!AO956)</f>
        <v>0</v>
      </c>
      <c r="AP973" s="14" t="n">
        <f aca="false">IF(Operations!AP956=0,0,Operations!AP954/Operations!AP956)</f>
        <v>0</v>
      </c>
      <c r="AQ973" s="14" t="n">
        <f aca="false">IF(Operations!AQ956=0,0,Operations!AQ954/Operations!AQ956)</f>
        <v>0</v>
      </c>
      <c r="AR973" s="14" t="n">
        <f aca="false">IF(Operations!AR956=0,0,Operations!AR954/Operations!AR956)</f>
        <v>0</v>
      </c>
      <c r="AS973" s="14" t="n">
        <f aca="false">IF(Operations!AS956=0,0,Operations!AS954/Operations!AS956)</f>
        <v>0</v>
      </c>
      <c r="AT973" s="14" t="n">
        <f aca="false">IF(Operations!AT956=0,0,Operations!AT954/Operations!AT956)</f>
        <v>0</v>
      </c>
      <c r="AU973" s="14" t="n">
        <f aca="false">IF(Operations!AU956=0,0,Operations!AU954/Operations!AU956)</f>
        <v>0</v>
      </c>
    </row>
    <row r="974" customFormat="false" ht="15" hidden="false" customHeight="false" outlineLevel="0" collapsed="false">
      <c r="D974" s="0" t="s">
        <v>580</v>
      </c>
      <c r="E974" s="0" t="s">
        <v>458</v>
      </c>
      <c r="J974" s="14" t="n">
        <f aca="false">1-Operations!J972-Operations!J973</f>
        <v>-0.0959214897553262</v>
      </c>
      <c r="K974" s="14" t="n">
        <f aca="false">1-Operations!K972-Operations!K973</f>
        <v>-0.0766660698374504</v>
      </c>
      <c r="L974" s="14" t="n">
        <f aca="false">1-Operations!L972-Operations!L973</f>
        <v>-0.0359785363645457</v>
      </c>
      <c r="M974" s="14" t="n">
        <f aca="false">1-Operations!M972-Operations!M973</f>
        <v>-0.0477075397824791</v>
      </c>
      <c r="N974" s="14" t="n">
        <f aca="false">1-Operations!N972-Operations!N973</f>
        <v>-0.0536572797791213</v>
      </c>
      <c r="O974" s="14" t="n">
        <f aca="false">1-Operations!O972-Operations!O973</f>
        <v>-0.0569703527986498</v>
      </c>
      <c r="P974" s="14" t="n">
        <f aca="false">1-Operations!P972-Operations!P973</f>
        <v>-0.0591413046552998</v>
      </c>
      <c r="Q974" s="14" t="n">
        <f aca="false">1-Operations!Q972-Operations!Q973</f>
        <v>-0.0606733890945386</v>
      </c>
      <c r="R974" s="14" t="n">
        <f aca="false">1-Operations!R972-Operations!R973</f>
        <v>1</v>
      </c>
      <c r="S974" s="14" t="n">
        <f aca="false">1-Operations!S972-Operations!S973</f>
        <v>1</v>
      </c>
      <c r="T974" s="14" t="n">
        <f aca="false">1-Operations!T972-Operations!T973</f>
        <v>1</v>
      </c>
      <c r="U974" s="14" t="n">
        <f aca="false">1-Operations!U972-Operations!U973</f>
        <v>1</v>
      </c>
      <c r="V974" s="14" t="n">
        <f aca="false">1-Operations!V972-Operations!V973</f>
        <v>1</v>
      </c>
      <c r="W974" s="14" t="n">
        <f aca="false">1-Operations!W972-Operations!W973</f>
        <v>1</v>
      </c>
      <c r="X974" s="14" t="n">
        <f aca="false">1-Operations!X972-Operations!X973</f>
        <v>1</v>
      </c>
      <c r="Y974" s="14" t="n">
        <f aca="false">1-Operations!Y972-Operations!Y973</f>
        <v>1</v>
      </c>
      <c r="Z974" s="14" t="n">
        <f aca="false">1-Operations!Z972-Operations!Z973</f>
        <v>1</v>
      </c>
      <c r="AA974" s="14" t="n">
        <f aca="false">1-Operations!AA972-Operations!AA973</f>
        <v>1</v>
      </c>
      <c r="AB974" s="14" t="n">
        <f aca="false">1-Operations!AB972-Operations!AB973</f>
        <v>1</v>
      </c>
      <c r="AC974" s="14" t="n">
        <f aca="false">1-Operations!AC972-Operations!AC973</f>
        <v>1</v>
      </c>
      <c r="AD974" s="14" t="n">
        <f aca="false">1-Operations!AD972-Operations!AD973</f>
        <v>1</v>
      </c>
      <c r="AE974" s="14" t="n">
        <f aca="false">1-Operations!AE972-Operations!AE973</f>
        <v>1</v>
      </c>
      <c r="AF974" s="14" t="n">
        <f aca="false">1-Operations!AF972-Operations!AF973</f>
        <v>1</v>
      </c>
      <c r="AG974" s="14" t="n">
        <f aca="false">1-Operations!AG972-Operations!AG973</f>
        <v>1</v>
      </c>
      <c r="AH974" s="14" t="n">
        <f aca="false">1-Operations!AH972-Operations!AH973</f>
        <v>1</v>
      </c>
      <c r="AI974" s="14" t="n">
        <f aca="false">1-Operations!AI972-Operations!AI973</f>
        <v>1</v>
      </c>
      <c r="AJ974" s="14" t="n">
        <f aca="false">1-Operations!AJ972-Operations!AJ973</f>
        <v>1</v>
      </c>
      <c r="AK974" s="14" t="n">
        <f aca="false">1-Operations!AK972-Operations!AK973</f>
        <v>1</v>
      </c>
      <c r="AL974" s="14" t="n">
        <f aca="false">1-Operations!AL972-Operations!AL973</f>
        <v>1</v>
      </c>
      <c r="AM974" s="14" t="n">
        <f aca="false">1-Operations!AM972-Operations!AM973</f>
        <v>1</v>
      </c>
      <c r="AN974" s="14" t="n">
        <f aca="false">1-Operations!AN972-Operations!AN973</f>
        <v>1</v>
      </c>
      <c r="AO974" s="14" t="n">
        <f aca="false">1-Operations!AO972-Operations!AO973</f>
        <v>1</v>
      </c>
      <c r="AP974" s="14" t="n">
        <f aca="false">1-Operations!AP972-Operations!AP973</f>
        <v>1</v>
      </c>
      <c r="AQ974" s="14" t="n">
        <f aca="false">1-Operations!AQ972-Operations!AQ973</f>
        <v>1</v>
      </c>
      <c r="AR974" s="14" t="n">
        <f aca="false">1-Operations!AR972-Operations!AR973</f>
        <v>1</v>
      </c>
      <c r="AS974" s="14" t="n">
        <f aca="false">1-Operations!AS972-Operations!AS973</f>
        <v>1</v>
      </c>
      <c r="AT974" s="14" t="n">
        <f aca="false">1-Operations!AT972-Operations!AT973</f>
        <v>1</v>
      </c>
      <c r="AU974" s="14" t="n">
        <f aca="false">1-Operations!AU972-Operations!AU973</f>
        <v>1</v>
      </c>
    </row>
    <row r="975" customFormat="false" ht="15" hidden="false" customHeight="false" outlineLevel="0" collapsed="false">
      <c r="D975" s="0" t="s">
        <v>581</v>
      </c>
      <c r="E975" s="0" t="s">
        <v>47</v>
      </c>
      <c r="J975" s="20" t="n">
        <f aca="false">Operations!J953*Operations!J939*(1-Operations!J967)</f>
        <v>12.0633863013699</v>
      </c>
      <c r="K975" s="20" t="n">
        <f aca="false">Operations!K953*Operations!K939*(1-Operations!K967)</f>
        <v>15.504</v>
      </c>
      <c r="L975" s="20" t="n">
        <f aca="false">Operations!L953*Operations!L939*(1-Operations!L967)</f>
        <v>15.504</v>
      </c>
      <c r="M975" s="20" t="n">
        <f aca="false">Operations!M953*Operations!M939*(1-Operations!M967)</f>
        <v>15.504</v>
      </c>
      <c r="N975" s="20" t="n">
        <f aca="false">Operations!N953*Operations!N939*(1-Operations!N967)</f>
        <v>15.504</v>
      </c>
      <c r="O975" s="20" t="n">
        <f aca="false">Operations!O953*Operations!O939*(1-Operations!O967)</f>
        <v>15.504</v>
      </c>
      <c r="P975" s="20" t="n">
        <f aca="false">Operations!P953*Operations!P939*(1-Operations!P967)</f>
        <v>15.504</v>
      </c>
      <c r="Q975" s="20" t="n">
        <f aca="false">Operations!Q953*Operations!Q939*(1-Operations!Q967)</f>
        <v>15.504</v>
      </c>
      <c r="R975" s="20" t="n">
        <f aca="false">Operations!R953*Operations!R939*(1-Operations!R967)</f>
        <v>0</v>
      </c>
      <c r="S975" s="20" t="n">
        <f aca="false">Operations!S953*Operations!S939*(1-Operations!S967)</f>
        <v>0</v>
      </c>
      <c r="T975" s="20" t="n">
        <f aca="false">Operations!T953*Operations!T939*(1-Operations!T967)</f>
        <v>0</v>
      </c>
      <c r="U975" s="20" t="n">
        <f aca="false">Operations!U953*Operations!U939*(1-Operations!U967)</f>
        <v>0</v>
      </c>
      <c r="V975" s="20" t="n">
        <f aca="false">Operations!V953*Operations!V939*(1-Operations!V967)</f>
        <v>0</v>
      </c>
      <c r="W975" s="20" t="n">
        <f aca="false">Operations!W953*Operations!W939*(1-Operations!W967)</f>
        <v>0</v>
      </c>
      <c r="X975" s="20" t="n">
        <f aca="false">Operations!X953*Operations!X939*(1-Operations!X967)</f>
        <v>0</v>
      </c>
      <c r="Y975" s="20" t="n">
        <f aca="false">Operations!Y953*Operations!Y939*(1-Operations!Y967)</f>
        <v>0</v>
      </c>
      <c r="Z975" s="20" t="n">
        <f aca="false">Operations!Z953*Operations!Z939*(1-Operations!Z967)</f>
        <v>0</v>
      </c>
      <c r="AA975" s="20" t="n">
        <f aca="false">Operations!AA953*Operations!AA939*(1-Operations!AA967)</f>
        <v>0</v>
      </c>
      <c r="AB975" s="20" t="n">
        <f aca="false">Operations!AB953*Operations!AB939*(1-Operations!AB967)</f>
        <v>0</v>
      </c>
      <c r="AC975" s="20" t="n">
        <f aca="false">Operations!AC953*Operations!AC939*(1-Operations!AC967)</f>
        <v>0</v>
      </c>
      <c r="AD975" s="20" t="n">
        <f aca="false">Operations!AD953*Operations!AD939*(1-Operations!AD967)</f>
        <v>0</v>
      </c>
      <c r="AE975" s="20" t="n">
        <f aca="false">Operations!AE953*Operations!AE939*(1-Operations!AE967)</f>
        <v>0</v>
      </c>
      <c r="AF975" s="20" t="n">
        <f aca="false">Operations!AF953*Operations!AF939*(1-Operations!AF967)</f>
        <v>0</v>
      </c>
      <c r="AG975" s="20" t="n">
        <f aca="false">Operations!AG953*Operations!AG939*(1-Operations!AG967)</f>
        <v>0</v>
      </c>
      <c r="AH975" s="20" t="n">
        <f aca="false">Operations!AH953*Operations!AH939*(1-Operations!AH967)</f>
        <v>0</v>
      </c>
      <c r="AI975" s="20" t="n">
        <f aca="false">Operations!AI953*Operations!AI939*(1-Operations!AI967)</f>
        <v>0</v>
      </c>
      <c r="AJ975" s="20" t="n">
        <f aca="false">Operations!AJ953*Operations!AJ939*(1-Operations!AJ967)</f>
        <v>0</v>
      </c>
      <c r="AK975" s="20" t="n">
        <f aca="false">Operations!AK953*Operations!AK939*(1-Operations!AK967)</f>
        <v>0</v>
      </c>
      <c r="AL975" s="20" t="n">
        <f aca="false">Operations!AL953*Operations!AL939*(1-Operations!AL967)</f>
        <v>0</v>
      </c>
      <c r="AM975" s="20" t="n">
        <f aca="false">Operations!AM953*Operations!AM939*(1-Operations!AM967)</f>
        <v>0</v>
      </c>
      <c r="AN975" s="20" t="n">
        <f aca="false">Operations!AN953*Operations!AN939*(1-Operations!AN967)</f>
        <v>0</v>
      </c>
      <c r="AO975" s="20" t="n">
        <f aca="false">Operations!AO953*Operations!AO939*(1-Operations!AO967)</f>
        <v>0</v>
      </c>
      <c r="AP975" s="20" t="n">
        <f aca="false">Operations!AP953*Operations!AP939*(1-Operations!AP967)</f>
        <v>0</v>
      </c>
      <c r="AQ975" s="20" t="n">
        <f aca="false">Operations!AQ953*Operations!AQ939*(1-Operations!AQ967)</f>
        <v>0</v>
      </c>
      <c r="AR975" s="20" t="n">
        <f aca="false">Operations!AR953*Operations!AR939*(1-Operations!AR967)</f>
        <v>0</v>
      </c>
      <c r="AS975" s="20" t="n">
        <f aca="false">Operations!AS953*Operations!AS939*(1-Operations!AS967)</f>
        <v>0</v>
      </c>
      <c r="AT975" s="20" t="n">
        <f aca="false">Operations!AT953*Operations!AT939*(1-Operations!AT967)</f>
        <v>0</v>
      </c>
      <c r="AU975" s="20" t="n">
        <f aca="false">Operations!AU953*Operations!AU939*(1-Operations!AU967)</f>
        <v>0</v>
      </c>
    </row>
    <row r="976" customFormat="false" ht="15" hidden="false" customHeight="false" outlineLevel="0" collapsed="false">
      <c r="D976" s="0" t="s">
        <v>582</v>
      </c>
      <c r="E976" s="0" t="s">
        <v>47</v>
      </c>
      <c r="J976" s="20" t="n">
        <f aca="false">Operations!J954*Operations!J939*(1-Operations!J967)</f>
        <v>0</v>
      </c>
      <c r="K976" s="20" t="n">
        <f aca="false">Operations!K954*Operations!K939*(1-Operations!K967)</f>
        <v>0</v>
      </c>
      <c r="L976" s="20" t="n">
        <f aca="false">Operations!L954*Operations!L939*(1-Operations!L967)</f>
        <v>0</v>
      </c>
      <c r="M976" s="20" t="n">
        <f aca="false">Operations!M954*Operations!M939*(1-Operations!M967)</f>
        <v>0</v>
      </c>
      <c r="N976" s="20" t="n">
        <f aca="false">Operations!N954*Operations!N939*(1-Operations!N967)</f>
        <v>0</v>
      </c>
      <c r="O976" s="20" t="n">
        <f aca="false">Operations!O954*Operations!O939*(1-Operations!O967)</f>
        <v>0</v>
      </c>
      <c r="P976" s="20" t="n">
        <f aca="false">Operations!P954*Operations!P939*(1-Operations!P967)</f>
        <v>0</v>
      </c>
      <c r="Q976" s="20" t="n">
        <f aca="false">Operations!Q954*Operations!Q939*(1-Operations!Q967)</f>
        <v>0</v>
      </c>
      <c r="R976" s="20" t="n">
        <f aca="false">Operations!R954*Operations!R939*(1-Operations!R967)</f>
        <v>0</v>
      </c>
      <c r="S976" s="20" t="n">
        <f aca="false">Operations!S954*Operations!S939*(1-Operations!S967)</f>
        <v>0</v>
      </c>
      <c r="T976" s="20" t="n">
        <f aca="false">Operations!T954*Operations!T939*(1-Operations!T967)</f>
        <v>0</v>
      </c>
      <c r="U976" s="20" t="n">
        <f aca="false">Operations!U954*Operations!U939*(1-Operations!U967)</f>
        <v>0</v>
      </c>
      <c r="V976" s="20" t="n">
        <f aca="false">Operations!V954*Operations!V939*(1-Operations!V967)</f>
        <v>0</v>
      </c>
      <c r="W976" s="20" t="n">
        <f aca="false">Operations!W954*Operations!W939*(1-Operations!W967)</f>
        <v>0</v>
      </c>
      <c r="X976" s="20" t="n">
        <f aca="false">Operations!X954*Operations!X939*(1-Operations!X967)</f>
        <v>0</v>
      </c>
      <c r="Y976" s="20" t="n">
        <f aca="false">Operations!Y954*Operations!Y939*(1-Operations!Y967)</f>
        <v>0</v>
      </c>
      <c r="Z976" s="20" t="n">
        <f aca="false">Operations!Z954*Operations!Z939*(1-Operations!Z967)</f>
        <v>0</v>
      </c>
      <c r="AA976" s="20" t="n">
        <f aca="false">Operations!AA954*Operations!AA939*(1-Operations!AA967)</f>
        <v>0</v>
      </c>
      <c r="AB976" s="20" t="n">
        <f aca="false">Operations!AB954*Operations!AB939*(1-Operations!AB967)</f>
        <v>0</v>
      </c>
      <c r="AC976" s="20" t="n">
        <f aca="false">Operations!AC954*Operations!AC939*(1-Operations!AC967)</f>
        <v>0</v>
      </c>
      <c r="AD976" s="20" t="n">
        <f aca="false">Operations!AD954*Operations!AD939*(1-Operations!AD967)</f>
        <v>0</v>
      </c>
      <c r="AE976" s="20" t="n">
        <f aca="false">Operations!AE954*Operations!AE939*(1-Operations!AE967)</f>
        <v>0</v>
      </c>
      <c r="AF976" s="20" t="n">
        <f aca="false">Operations!AF954*Operations!AF939*(1-Operations!AF967)</f>
        <v>0</v>
      </c>
      <c r="AG976" s="20" t="n">
        <f aca="false">Operations!AG954*Operations!AG939*(1-Operations!AG967)</f>
        <v>0</v>
      </c>
      <c r="AH976" s="20" t="n">
        <f aca="false">Operations!AH954*Operations!AH939*(1-Operations!AH967)</f>
        <v>0</v>
      </c>
      <c r="AI976" s="20" t="n">
        <f aca="false">Operations!AI954*Operations!AI939*(1-Operations!AI967)</f>
        <v>0</v>
      </c>
      <c r="AJ976" s="20" t="n">
        <f aca="false">Operations!AJ954*Operations!AJ939*(1-Operations!AJ967)</f>
        <v>0</v>
      </c>
      <c r="AK976" s="20" t="n">
        <f aca="false">Operations!AK954*Operations!AK939*(1-Operations!AK967)</f>
        <v>0</v>
      </c>
      <c r="AL976" s="20" t="n">
        <f aca="false">Operations!AL954*Operations!AL939*(1-Operations!AL967)</f>
        <v>0</v>
      </c>
      <c r="AM976" s="20" t="n">
        <f aca="false">Operations!AM954*Operations!AM939*(1-Operations!AM967)</f>
        <v>0</v>
      </c>
      <c r="AN976" s="20" t="n">
        <f aca="false">Operations!AN954*Operations!AN939*(1-Operations!AN967)</f>
        <v>0</v>
      </c>
      <c r="AO976" s="20" t="n">
        <f aca="false">Operations!AO954*Operations!AO939*(1-Operations!AO967)</f>
        <v>0</v>
      </c>
      <c r="AP976" s="20" t="n">
        <f aca="false">Operations!AP954*Operations!AP939*(1-Operations!AP967)</f>
        <v>0</v>
      </c>
      <c r="AQ976" s="20" t="n">
        <f aca="false">Operations!AQ954*Operations!AQ939*(1-Operations!AQ967)</f>
        <v>0</v>
      </c>
      <c r="AR976" s="20" t="n">
        <f aca="false">Operations!AR954*Operations!AR939*(1-Operations!AR967)</f>
        <v>0</v>
      </c>
      <c r="AS976" s="20" t="n">
        <f aca="false">Operations!AS954*Operations!AS939*(1-Operations!AS967)</f>
        <v>0</v>
      </c>
      <c r="AT976" s="20" t="n">
        <f aca="false">Operations!AT954*Operations!AT939*(1-Operations!AT967)</f>
        <v>0</v>
      </c>
      <c r="AU976" s="20" t="n">
        <f aca="false">Operations!AU954*Operations!AU939*(1-Operations!AU967)</f>
        <v>0</v>
      </c>
    </row>
    <row r="977" customFormat="false" ht="15" hidden="false" customHeight="false" outlineLevel="0" collapsed="false">
      <c r="D977" s="0" t="s">
        <v>583</v>
      </c>
      <c r="E977" s="0" t="s">
        <v>47</v>
      </c>
      <c r="J977" s="20" t="n">
        <f aca="false">Operations!J957*Operations!J939*(1-Operations!J967)</f>
        <v>-1.05585846827379</v>
      </c>
      <c r="K977" s="20" t="n">
        <f aca="false">Operations!K957*Operations!K939*(1-Operations!K967)</f>
        <v>-1.10399201763578</v>
      </c>
      <c r="L977" s="20" t="n">
        <f aca="false">Operations!L957*Operations!L939*(1-Operations!L967)</f>
        <v>-0.538438981326186</v>
      </c>
      <c r="M977" s="20" t="n">
        <f aca="false">Operations!M957*Operations!M939*(1-Operations!M967)</f>
        <v>-0.705977258635669</v>
      </c>
      <c r="N977" s="20" t="n">
        <f aca="false">Operations!N957*Operations!N939*(1-Operations!N967)</f>
        <v>-0.789538004112578</v>
      </c>
      <c r="O977" s="20" t="n">
        <f aca="false">Operations!O957*Operations!O939*(1-Operations!O967)</f>
        <v>-0.835660477563582</v>
      </c>
      <c r="P977" s="20" t="n">
        <f aca="false">Operations!P957*Operations!P939*(1-Operations!P967)</f>
        <v>-0.865726587515329</v>
      </c>
      <c r="Q977" s="20" t="n">
        <f aca="false">Operations!Q957*Operations!Q939*(1-Operations!Q967)</f>
        <v>-0.886870769261735</v>
      </c>
      <c r="R977" s="20" t="n">
        <f aca="false">Operations!R957*Operations!R939*(1-Operations!R967)</f>
        <v>11.31689040242</v>
      </c>
      <c r="S977" s="20" t="n">
        <f aca="false">Operations!S957*Operations!S939*(1-Operations!S967)</f>
        <v>11.4162774074394</v>
      </c>
      <c r="T977" s="20" t="n">
        <f aca="false">Operations!T957*Operations!T939*(1-Operations!T967)</f>
        <v>11.5153798512556</v>
      </c>
      <c r="U977" s="20" t="n">
        <f aca="false">Operations!U957*Operations!U939*(1-Operations!U967)</f>
        <v>11.6140797046544</v>
      </c>
      <c r="V977" s="20" t="n">
        <f aca="false">Operations!V957*Operations!V939*(1-Operations!V967)</f>
        <v>11.7122598861231</v>
      </c>
      <c r="W977" s="20" t="n">
        <f aca="false">Operations!W957*Operations!W939*(1-Operations!W967)</f>
        <v>11.8098042571097</v>
      </c>
      <c r="X977" s="20" t="n">
        <f aca="false">Operations!X957*Operations!X939*(1-Operations!X967)</f>
        <v>11.9065976172997</v>
      </c>
      <c r="Y977" s="20" t="n">
        <f aca="false">Operations!Y957*Operations!Y939*(1-Operations!Y967)</f>
        <v>12.0045429311234</v>
      </c>
      <c r="Z977" s="20" t="n">
        <f aca="false">Operations!Z957*Operations!Z939*(1-Operations!Z967)</f>
        <v>12.1014624693166</v>
      </c>
      <c r="AA977" s="20" t="n">
        <f aca="false">Operations!AA957*Operations!AA939*(1-Operations!AA967)</f>
        <v>12.3180088697271</v>
      </c>
      <c r="AB977" s="20" t="n">
        <f aca="false">Operations!AB957*Operations!AB939*(1-Operations!AB967)</f>
        <v>12.5395977322407</v>
      </c>
      <c r="AC977" s="20" t="n">
        <f aca="false">Operations!AC957*Operations!AC939*(1-Operations!AC967)</f>
        <v>12.764214393567</v>
      </c>
      <c r="AD977" s="20" t="n">
        <f aca="false">Operations!AD957*Operations!AD939*(1-Operations!AD967)</f>
        <v>12.9938156790256</v>
      </c>
      <c r="AE977" s="20" t="n">
        <f aca="false">Operations!AE957*Operations!AE939*(1-Operations!AE967)</f>
        <v>13.2263950909315</v>
      </c>
      <c r="AF977" s="20" t="n">
        <f aca="false">Operations!AF957*Operations!AF939*(1-Operations!AF967)</f>
        <v>13.463901749832</v>
      </c>
      <c r="AG977" s="20" t="n">
        <f aca="false">Operations!AG957*Operations!AG939*(1-Operations!AG967)</f>
        <v>13.7063031973415</v>
      </c>
      <c r="AH977" s="20" t="n">
        <f aca="false">Operations!AH957*Operations!AH939*(1-Operations!AH967)</f>
        <v>13.9516051337095</v>
      </c>
      <c r="AI977" s="20" t="n">
        <f aca="false">Operations!AI957*Operations!AI939*(1-Operations!AI967)</f>
        <v>14.2017451906518</v>
      </c>
      <c r="AJ977" s="20" t="n">
        <f aca="false">Operations!AJ957*Operations!AJ939*(1-Operations!AJ967)</f>
        <v>14.4566912861714</v>
      </c>
      <c r="AK977" s="20" t="n">
        <f aca="false">Operations!AK957*Operations!AK939*(1-Operations!AK967)</f>
        <v>13.4665244691185</v>
      </c>
      <c r="AL977" s="20" t="n">
        <f aca="false">Operations!AL957*Operations!AL939*(1-Operations!AL967)</f>
        <v>0</v>
      </c>
      <c r="AM977" s="20" t="n">
        <f aca="false">Operations!AM957*Operations!AM939*(1-Operations!AM967)</f>
        <v>0</v>
      </c>
      <c r="AN977" s="20" t="n">
        <f aca="false">Operations!AN957*Operations!AN939*(1-Operations!AN967)</f>
        <v>0</v>
      </c>
      <c r="AO977" s="20" t="n">
        <f aca="false">Operations!AO957*Operations!AO939*(1-Operations!AO967)</f>
        <v>0</v>
      </c>
      <c r="AP977" s="20" t="n">
        <f aca="false">Operations!AP957*Operations!AP939*(1-Operations!AP967)</f>
        <v>0</v>
      </c>
      <c r="AQ977" s="20" t="n">
        <f aca="false">Operations!AQ957*Operations!AQ939*(1-Operations!AQ967)</f>
        <v>0</v>
      </c>
      <c r="AR977" s="20" t="n">
        <f aca="false">Operations!AR957*Operations!AR939*(1-Operations!AR967)</f>
        <v>0</v>
      </c>
      <c r="AS977" s="20" t="n">
        <f aca="false">Operations!AS957*Operations!AS939*(1-Operations!AS967)</f>
        <v>0</v>
      </c>
      <c r="AT977" s="20" t="n">
        <f aca="false">Operations!AT957*Operations!AT939*(1-Operations!AT967)</f>
        <v>0</v>
      </c>
      <c r="AU977" s="20" t="n">
        <f aca="false">Operations!AU957*Operations!AU939*(1-Operations!AU967)</f>
        <v>0</v>
      </c>
    </row>
    <row r="978" customFormat="false" ht="15" hidden="false" customHeight="false" outlineLevel="0" collapsed="false">
      <c r="D978" s="0" t="s">
        <v>584</v>
      </c>
      <c r="E978" s="0" t="s">
        <v>47</v>
      </c>
      <c r="J978" s="20" t="n">
        <f aca="false">Operations!J956*Operations!J939*(1-Operations!J967)</f>
        <v>11.0075278330961</v>
      </c>
      <c r="K978" s="20" t="n">
        <f aca="false">Operations!K956*Operations!K939*(1-Operations!K967)</f>
        <v>14.4000079823642</v>
      </c>
      <c r="L978" s="20" t="n">
        <f aca="false">Operations!L956*Operations!L939*(1-Operations!L967)</f>
        <v>14.9655610186738</v>
      </c>
      <c r="M978" s="20" t="n">
        <f aca="false">Operations!M956*Operations!M939*(1-Operations!M967)</f>
        <v>14.7980227413643</v>
      </c>
      <c r="N978" s="20" t="n">
        <f aca="false">Operations!N956*Operations!N939*(1-Operations!N967)</f>
        <v>14.7144619958874</v>
      </c>
      <c r="O978" s="20" t="n">
        <f aca="false">Operations!O956*Operations!O939*(1-Operations!O967)</f>
        <v>14.6683395224364</v>
      </c>
      <c r="P978" s="20" t="n">
        <f aca="false">Operations!P956*Operations!P939*(1-Operations!P967)</f>
        <v>14.6382734124847</v>
      </c>
      <c r="Q978" s="20" t="n">
        <f aca="false">Operations!Q956*Operations!Q939*(1-Operations!Q967)</f>
        <v>14.6171292307383</v>
      </c>
      <c r="R978" s="20" t="n">
        <f aca="false">Operations!R956*Operations!R939*(1-Operations!R967)</f>
        <v>11.31689040242</v>
      </c>
      <c r="S978" s="20" t="n">
        <f aca="false">Operations!S956*Operations!S939*(1-Operations!S967)</f>
        <v>11.4162774074394</v>
      </c>
      <c r="T978" s="20" t="n">
        <f aca="false">Operations!T956*Operations!T939*(1-Operations!T967)</f>
        <v>11.5153798512556</v>
      </c>
      <c r="U978" s="20" t="n">
        <f aca="false">Operations!U956*Operations!U939*(1-Operations!U967)</f>
        <v>11.6140797046544</v>
      </c>
      <c r="V978" s="20" t="n">
        <f aca="false">Operations!V956*Operations!V939*(1-Operations!V967)</f>
        <v>11.7122598861231</v>
      </c>
      <c r="W978" s="20" t="n">
        <f aca="false">Operations!W956*Operations!W939*(1-Operations!W967)</f>
        <v>11.8098042571097</v>
      </c>
      <c r="X978" s="20" t="n">
        <f aca="false">Operations!X956*Operations!X939*(1-Operations!X967)</f>
        <v>11.9065976172997</v>
      </c>
      <c r="Y978" s="20" t="n">
        <f aca="false">Operations!Y956*Operations!Y939*(1-Operations!Y967)</f>
        <v>12.0045429311234</v>
      </c>
      <c r="Z978" s="20" t="n">
        <f aca="false">Operations!Z956*Operations!Z939*(1-Operations!Z967)</f>
        <v>12.1014624693166</v>
      </c>
      <c r="AA978" s="20" t="n">
        <f aca="false">Operations!AA956*Operations!AA939*(1-Operations!AA967)</f>
        <v>12.3180088697271</v>
      </c>
      <c r="AB978" s="20" t="n">
        <f aca="false">Operations!AB956*Operations!AB939*(1-Operations!AB967)</f>
        <v>12.5395977322407</v>
      </c>
      <c r="AC978" s="20" t="n">
        <f aca="false">Operations!AC956*Operations!AC939*(1-Operations!AC967)</f>
        <v>12.764214393567</v>
      </c>
      <c r="AD978" s="20" t="n">
        <f aca="false">Operations!AD956*Operations!AD939*(1-Operations!AD967)</f>
        <v>12.9938156790256</v>
      </c>
      <c r="AE978" s="20" t="n">
        <f aca="false">Operations!AE956*Operations!AE939*(1-Operations!AE967)</f>
        <v>13.2263950909315</v>
      </c>
      <c r="AF978" s="20" t="n">
        <f aca="false">Operations!AF956*Operations!AF939*(1-Operations!AF967)</f>
        <v>13.463901749832</v>
      </c>
      <c r="AG978" s="20" t="n">
        <f aca="false">Operations!AG956*Operations!AG939*(1-Operations!AG967)</f>
        <v>13.7063031973415</v>
      </c>
      <c r="AH978" s="20" t="n">
        <f aca="false">Operations!AH956*Operations!AH939*(1-Operations!AH967)</f>
        <v>13.9516051337095</v>
      </c>
      <c r="AI978" s="20" t="n">
        <f aca="false">Operations!AI956*Operations!AI939*(1-Operations!AI967)</f>
        <v>14.2017451906518</v>
      </c>
      <c r="AJ978" s="20" t="n">
        <f aca="false">Operations!AJ956*Operations!AJ939*(1-Operations!AJ967)</f>
        <v>14.4566912861714</v>
      </c>
      <c r="AK978" s="20" t="n">
        <f aca="false">Operations!AK956*Operations!AK939*(1-Operations!AK967)</f>
        <v>13.4665244691185</v>
      </c>
      <c r="AL978" s="20" t="n">
        <f aca="false">Operations!AL956*Operations!AL939*(1-Operations!AL967)</f>
        <v>0</v>
      </c>
      <c r="AM978" s="20" t="n">
        <f aca="false">Operations!AM956*Operations!AM939*(1-Operations!AM967)</f>
        <v>0</v>
      </c>
      <c r="AN978" s="20" t="n">
        <f aca="false">Operations!AN956*Operations!AN939*(1-Operations!AN967)</f>
        <v>0</v>
      </c>
      <c r="AO978" s="20" t="n">
        <f aca="false">Operations!AO956*Operations!AO939*(1-Operations!AO967)</f>
        <v>0</v>
      </c>
      <c r="AP978" s="20" t="n">
        <f aca="false">Operations!AP956*Operations!AP939*(1-Operations!AP967)</f>
        <v>0</v>
      </c>
      <c r="AQ978" s="20" t="n">
        <f aca="false">Operations!AQ956*Operations!AQ939*(1-Operations!AQ967)</f>
        <v>0</v>
      </c>
      <c r="AR978" s="20" t="n">
        <f aca="false">Operations!AR956*Operations!AR939*(1-Operations!AR967)</f>
        <v>0</v>
      </c>
      <c r="AS978" s="20" t="n">
        <f aca="false">Operations!AS956*Operations!AS939*(1-Operations!AS967)</f>
        <v>0</v>
      </c>
      <c r="AT978" s="20" t="n">
        <f aca="false">Operations!AT956*Operations!AT939*(1-Operations!AT967)</f>
        <v>0</v>
      </c>
      <c r="AU978" s="20" t="n">
        <f aca="false">Operations!AU956*Operations!AU939*(1-Operations!AU967)</f>
        <v>0</v>
      </c>
    </row>
    <row r="979" customFormat="false" ht="15" hidden="false" customHeight="false" outlineLevel="0" collapsed="false">
      <c r="D979" s="0" t="s">
        <v>585</v>
      </c>
      <c r="E979" s="0" t="s">
        <v>47</v>
      </c>
      <c r="J979" s="20" t="n">
        <f aca="false">Operations!J944*MAX(0,MIN(DATE(YEAR(Inputs!$F$111)+Inputs!$F$236,MONTH(Inputs!$F$111),DAY(Inputs!$F$111)),Time!J$6)-MAX(Inputs!$F$111,Time!J$5))/Time!J$7*Inputs!J81/1000</f>
        <v>11.6329565141663</v>
      </c>
      <c r="K979" s="20" t="n">
        <f aca="false">Operations!K944*MAX(0,MIN(DATE(YEAR(Inputs!$F$111)+Inputs!$F$236,MONTH(Inputs!$F$111),DAY(Inputs!$F$111)),Time!K$6)-MAX(Inputs!$F$111,Time!K$5))/Time!K$7*Inputs!K81/1000</f>
        <v>12.2017622128562</v>
      </c>
      <c r="L979" s="20" t="n">
        <f aca="false">Operations!L944*MAX(0,MIN(DATE(YEAR(Inputs!$F$111)+Inputs!$F$236,MONTH(Inputs!$F$111),DAY(Inputs!$F$111)),Time!L$6)-MAX(Inputs!$F$111,Time!L$5))/Time!L$7*Inputs!L81/1000</f>
        <v>13.1997773391672</v>
      </c>
      <c r="M979" s="20" t="n">
        <f aca="false">Operations!M944*MAX(0,MIN(DATE(YEAR(Inputs!$F$111)+Inputs!$F$236,MONTH(Inputs!$F$111),DAY(Inputs!$F$111)),Time!M$6)-MAX(Inputs!$F$111,Time!M$5))/Time!M$7*Inputs!M81/1000</f>
        <v>13.0889330551012</v>
      </c>
      <c r="N979" s="20" t="n">
        <f aca="false">Operations!N944*MAX(0,MIN(DATE(YEAR(Inputs!$F$111)+Inputs!$F$236,MONTH(Inputs!$F$111),DAY(Inputs!$F$111)),Time!N$6)-MAX(Inputs!$F$111,Time!N$5))/Time!N$7*Inputs!N81/1000</f>
        <v>13.062755188991</v>
      </c>
      <c r="O979" s="20" t="n">
        <f aca="false">Operations!O944*MAX(0,MIN(DATE(YEAR(Inputs!$F$111)+Inputs!$F$236,MONTH(Inputs!$F$111),DAY(Inputs!$F$111)),Time!O$6)-MAX(Inputs!$F$111,Time!O$5))/Time!O$7*Inputs!O81/1000</f>
        <v>13.036629678613</v>
      </c>
      <c r="P979" s="20" t="n">
        <f aca="false">Operations!P944*MAX(0,MIN(DATE(YEAR(Inputs!$F$111)+Inputs!$F$236,MONTH(Inputs!$F$111),DAY(Inputs!$F$111)),Time!P$6)-MAX(Inputs!$F$111,Time!P$5))/Time!P$7*Inputs!P81/1000</f>
        <v>13.0105564192557</v>
      </c>
      <c r="Q979" s="20" t="n">
        <f aca="false">Operations!Q944*MAX(0,MIN(DATE(YEAR(Inputs!$F$111)+Inputs!$F$236,MONTH(Inputs!$F$111),DAY(Inputs!$F$111)),Time!Q$6)-MAX(Inputs!$F$111,Time!Q$5))/Time!Q$7*Inputs!Q81/1000</f>
        <v>11.5259984637786</v>
      </c>
      <c r="R979" s="20" t="n">
        <f aca="false">Operations!R944*MAX(0,MIN(DATE(YEAR(Inputs!$F$111)+Inputs!$F$236,MONTH(Inputs!$F$111),DAY(Inputs!$F$111)),Time!R$6)-MAX(Inputs!$F$111,Time!R$5))/Time!R$7*Inputs!R81/1000</f>
        <v>0</v>
      </c>
      <c r="S979" s="20" t="n">
        <f aca="false">Operations!S944*MAX(0,MIN(DATE(YEAR(Inputs!$F$111)+Inputs!$F$236,MONTH(Inputs!$F$111),DAY(Inputs!$F$111)),Time!S$6)-MAX(Inputs!$F$111,Time!S$5))/Time!S$7*Inputs!S81/1000</f>
        <v>0</v>
      </c>
      <c r="T979" s="20" t="n">
        <f aca="false">Operations!T944*MAX(0,MIN(DATE(YEAR(Inputs!$F$111)+Inputs!$F$236,MONTH(Inputs!$F$111),DAY(Inputs!$F$111)),Time!T$6)-MAX(Inputs!$F$111,Time!T$5))/Time!T$7*Inputs!T81/1000</f>
        <v>0</v>
      </c>
      <c r="U979" s="20" t="n">
        <f aca="false">Operations!U944*MAX(0,MIN(DATE(YEAR(Inputs!$F$111)+Inputs!$F$236,MONTH(Inputs!$F$111),DAY(Inputs!$F$111)),Time!U$6)-MAX(Inputs!$F$111,Time!U$5))/Time!U$7*Inputs!U81/1000</f>
        <v>0</v>
      </c>
      <c r="V979" s="20" t="n">
        <f aca="false">Operations!V944*MAX(0,MIN(DATE(YEAR(Inputs!$F$111)+Inputs!$F$236,MONTH(Inputs!$F$111),DAY(Inputs!$F$111)),Time!V$6)-MAX(Inputs!$F$111,Time!V$5))/Time!V$7*Inputs!V81/1000</f>
        <v>0</v>
      </c>
      <c r="W979" s="20" t="n">
        <f aca="false">Operations!W944*MAX(0,MIN(DATE(YEAR(Inputs!$F$111)+Inputs!$F$236,MONTH(Inputs!$F$111),DAY(Inputs!$F$111)),Time!W$6)-MAX(Inputs!$F$111,Time!W$5))/Time!W$7*Inputs!W81/1000</f>
        <v>0</v>
      </c>
      <c r="X979" s="20" t="n">
        <f aca="false">Operations!X944*MAX(0,MIN(DATE(YEAR(Inputs!$F$111)+Inputs!$F$236,MONTH(Inputs!$F$111),DAY(Inputs!$F$111)),Time!X$6)-MAX(Inputs!$F$111,Time!X$5))/Time!X$7*Inputs!X81/1000</f>
        <v>0</v>
      </c>
      <c r="Y979" s="20" t="n">
        <f aca="false">Operations!Y944*MAX(0,MIN(DATE(YEAR(Inputs!$F$111)+Inputs!$F$236,MONTH(Inputs!$F$111),DAY(Inputs!$F$111)),Time!Y$6)-MAX(Inputs!$F$111,Time!Y$5))/Time!Y$7*Inputs!Y81/1000</f>
        <v>0</v>
      </c>
      <c r="Z979" s="20" t="n">
        <f aca="false">Operations!Z944*MAX(0,MIN(DATE(YEAR(Inputs!$F$111)+Inputs!$F$236,MONTH(Inputs!$F$111),DAY(Inputs!$F$111)),Time!Z$6)-MAX(Inputs!$F$111,Time!Z$5))/Time!Z$7*Inputs!Z81/1000</f>
        <v>0</v>
      </c>
      <c r="AA979" s="20" t="n">
        <f aca="false">Operations!AA944*MAX(0,MIN(DATE(YEAR(Inputs!$F$111)+Inputs!$F$236,MONTH(Inputs!$F$111),DAY(Inputs!$F$111)),Time!AA$6)-MAX(Inputs!$F$111,Time!AA$5))/Time!AA$7*Inputs!AA81/1000</f>
        <v>0</v>
      </c>
      <c r="AB979" s="20" t="n">
        <f aca="false">Operations!AB944*MAX(0,MIN(DATE(YEAR(Inputs!$F$111)+Inputs!$F$236,MONTH(Inputs!$F$111),DAY(Inputs!$F$111)),Time!AB$6)-MAX(Inputs!$F$111,Time!AB$5))/Time!AB$7*Inputs!AB81/1000</f>
        <v>0</v>
      </c>
      <c r="AC979" s="20" t="n">
        <f aca="false">Operations!AC944*MAX(0,MIN(DATE(YEAR(Inputs!$F$111)+Inputs!$F$236,MONTH(Inputs!$F$111),DAY(Inputs!$F$111)),Time!AC$6)-MAX(Inputs!$F$111,Time!AC$5))/Time!AC$7*Inputs!AC81/1000</f>
        <v>0</v>
      </c>
      <c r="AD979" s="20" t="n">
        <f aca="false">Operations!AD944*MAX(0,MIN(DATE(YEAR(Inputs!$F$111)+Inputs!$F$236,MONTH(Inputs!$F$111),DAY(Inputs!$F$111)),Time!AD$6)-MAX(Inputs!$F$111,Time!AD$5))/Time!AD$7*Inputs!AD81/1000</f>
        <v>0</v>
      </c>
      <c r="AE979" s="20" t="n">
        <f aca="false">Operations!AE944*MAX(0,MIN(DATE(YEAR(Inputs!$F$111)+Inputs!$F$236,MONTH(Inputs!$F$111),DAY(Inputs!$F$111)),Time!AE$6)-MAX(Inputs!$F$111,Time!AE$5))/Time!AE$7*Inputs!AE81/1000</f>
        <v>0</v>
      </c>
      <c r="AF979" s="20" t="n">
        <f aca="false">Operations!AF944*MAX(0,MIN(DATE(YEAR(Inputs!$F$111)+Inputs!$F$236,MONTH(Inputs!$F$111),DAY(Inputs!$F$111)),Time!AF$6)-MAX(Inputs!$F$111,Time!AF$5))/Time!AF$7*Inputs!AF81/1000</f>
        <v>0</v>
      </c>
      <c r="AG979" s="20" t="n">
        <f aca="false">Operations!AG944*MAX(0,MIN(DATE(YEAR(Inputs!$F$111)+Inputs!$F$236,MONTH(Inputs!$F$111),DAY(Inputs!$F$111)),Time!AG$6)-MAX(Inputs!$F$111,Time!AG$5))/Time!AG$7*Inputs!AG81/1000</f>
        <v>0</v>
      </c>
      <c r="AH979" s="20" t="n">
        <f aca="false">Operations!AH944*MAX(0,MIN(DATE(YEAR(Inputs!$F$111)+Inputs!$F$236,MONTH(Inputs!$F$111),DAY(Inputs!$F$111)),Time!AH$6)-MAX(Inputs!$F$111,Time!AH$5))/Time!AH$7*Inputs!AH81/1000</f>
        <v>0</v>
      </c>
      <c r="AI979" s="20" t="n">
        <f aca="false">Operations!AI944*MAX(0,MIN(DATE(YEAR(Inputs!$F$111)+Inputs!$F$236,MONTH(Inputs!$F$111),DAY(Inputs!$F$111)),Time!AI$6)-MAX(Inputs!$F$111,Time!AI$5))/Time!AI$7*Inputs!AI81/1000</f>
        <v>0</v>
      </c>
      <c r="AJ979" s="20" t="n">
        <f aca="false">Operations!AJ944*MAX(0,MIN(DATE(YEAR(Inputs!$F$111)+Inputs!$F$236,MONTH(Inputs!$F$111),DAY(Inputs!$F$111)),Time!AJ$6)-MAX(Inputs!$F$111,Time!AJ$5))/Time!AJ$7*Inputs!AJ81/1000</f>
        <v>0</v>
      </c>
      <c r="AK979" s="20" t="n">
        <f aca="false">Operations!AK944*MAX(0,MIN(DATE(YEAR(Inputs!$F$111)+Inputs!$F$236,MONTH(Inputs!$F$111),DAY(Inputs!$F$111)),Time!AK$6)-MAX(Inputs!$F$111,Time!AK$5))/Time!AK$7*Inputs!AK81/1000</f>
        <v>0</v>
      </c>
      <c r="AL979" s="20" t="n">
        <f aca="false">Operations!AL944*MAX(0,MIN(DATE(YEAR(Inputs!$F$111)+Inputs!$F$236,MONTH(Inputs!$F$111),DAY(Inputs!$F$111)),Time!AL$6)-MAX(Inputs!$F$111,Time!AL$5))/Time!AL$7*Inputs!AL81/1000</f>
        <v>0</v>
      </c>
      <c r="AM979" s="20" t="n">
        <f aca="false">Operations!AM944*MAX(0,MIN(DATE(YEAR(Inputs!$F$111)+Inputs!$F$236,MONTH(Inputs!$F$111),DAY(Inputs!$F$111)),Time!AM$6)-MAX(Inputs!$F$111,Time!AM$5))/Time!AM$7*Inputs!AM81/1000</f>
        <v>0</v>
      </c>
      <c r="AN979" s="20" t="n">
        <f aca="false">Operations!AN944*MAX(0,MIN(DATE(YEAR(Inputs!$F$111)+Inputs!$F$236,MONTH(Inputs!$F$111),DAY(Inputs!$F$111)),Time!AN$6)-MAX(Inputs!$F$111,Time!AN$5))/Time!AN$7*Inputs!AN81/1000</f>
        <v>0</v>
      </c>
      <c r="AO979" s="20" t="n">
        <f aca="false">Operations!AO944*MAX(0,MIN(DATE(YEAR(Inputs!$F$111)+Inputs!$F$236,MONTH(Inputs!$F$111),DAY(Inputs!$F$111)),Time!AO$6)-MAX(Inputs!$F$111,Time!AO$5))/Time!AO$7*Inputs!AO81/1000</f>
        <v>0</v>
      </c>
      <c r="AP979" s="20" t="n">
        <f aca="false">Operations!AP944*MAX(0,MIN(DATE(YEAR(Inputs!$F$111)+Inputs!$F$236,MONTH(Inputs!$F$111),DAY(Inputs!$F$111)),Time!AP$6)-MAX(Inputs!$F$111,Time!AP$5))/Time!AP$7*Inputs!AP81/1000</f>
        <v>0</v>
      </c>
      <c r="AQ979" s="20" t="n">
        <f aca="false">Operations!AQ944*MAX(0,MIN(DATE(YEAR(Inputs!$F$111)+Inputs!$F$236,MONTH(Inputs!$F$111),DAY(Inputs!$F$111)),Time!AQ$6)-MAX(Inputs!$F$111,Time!AQ$5))/Time!AQ$7*Inputs!AQ81/1000</f>
        <v>0</v>
      </c>
      <c r="AR979" s="20" t="n">
        <f aca="false">Operations!AR944*MAX(0,MIN(DATE(YEAR(Inputs!$F$111)+Inputs!$F$236,MONTH(Inputs!$F$111),DAY(Inputs!$F$111)),Time!AR$6)-MAX(Inputs!$F$111,Time!AR$5))/Time!AR$7*Inputs!AR81/1000</f>
        <v>0</v>
      </c>
      <c r="AS979" s="20" t="n">
        <f aca="false">Operations!AS944*MAX(0,MIN(DATE(YEAR(Inputs!$F$111)+Inputs!$F$236,MONTH(Inputs!$F$111),DAY(Inputs!$F$111)),Time!AS$6)-MAX(Inputs!$F$111,Time!AS$5))/Time!AS$7*Inputs!AS81/1000</f>
        <v>0</v>
      </c>
      <c r="AT979" s="20" t="n">
        <f aca="false">Operations!AT944*MAX(0,MIN(DATE(YEAR(Inputs!$F$111)+Inputs!$F$236,MONTH(Inputs!$F$111),DAY(Inputs!$F$111)),Time!AT$6)-MAX(Inputs!$F$111,Time!AT$5))/Time!AT$7*Inputs!AT81/1000</f>
        <v>0</v>
      </c>
      <c r="AU979" s="20" t="n">
        <f aca="false">Operations!AU944*MAX(0,MIN(DATE(YEAR(Inputs!$F$111)+Inputs!$F$236,MONTH(Inputs!$F$111),DAY(Inputs!$F$111)),Time!AU$6)-MAX(Inputs!$F$111,Time!AU$5))/Time!AU$7*Inputs!AU81/1000</f>
        <v>0</v>
      </c>
    </row>
    <row r="980" customFormat="false" ht="15" hidden="false" customHeight="false" outlineLevel="0" collapsed="false">
      <c r="D980" s="19" t="s">
        <v>586</v>
      </c>
    </row>
    <row r="981" customFormat="false" ht="15" hidden="false" customHeight="false" outlineLevel="0" collapsed="false">
      <c r="D981" s="0" t="s">
        <v>587</v>
      </c>
      <c r="E981" s="0" t="s">
        <v>458</v>
      </c>
      <c r="J981" s="14" t="n">
        <f aca="false">MAX(0,MIN(Inputs!$F$123,Time!J$6)-MAX(Inputs!$F$122,Time!J$5))/Time!J$7</f>
        <v>1</v>
      </c>
      <c r="K981" s="14" t="n">
        <f aca="false">MAX(0,MIN(Inputs!$F$123,Time!K$6)-MAX(Inputs!$F$122,Time!K$5))/Time!K$7</f>
        <v>1</v>
      </c>
      <c r="L981" s="14" t="n">
        <f aca="false">MAX(0,MIN(Inputs!$F$123,Time!L$6)-MAX(Inputs!$F$122,Time!L$5))/Time!L$7</f>
        <v>1</v>
      </c>
      <c r="M981" s="14" t="n">
        <f aca="false">MAX(0,MIN(Inputs!$F$123,Time!M$6)-MAX(Inputs!$F$122,Time!M$5))/Time!M$7</f>
        <v>1</v>
      </c>
      <c r="N981" s="14" t="n">
        <f aca="false">MAX(0,MIN(Inputs!$F$123,Time!N$6)-MAX(Inputs!$F$122,Time!N$5))/Time!N$7</f>
        <v>1</v>
      </c>
      <c r="O981" s="14" t="n">
        <f aca="false">MAX(0,MIN(Inputs!$F$123,Time!O$6)-MAX(Inputs!$F$122,Time!O$5))/Time!O$7</f>
        <v>1</v>
      </c>
      <c r="P981" s="14" t="n">
        <f aca="false">MAX(0,MIN(Inputs!$F$123,Time!P$6)-MAX(Inputs!$F$122,Time!P$5))/Time!P$7</f>
        <v>1</v>
      </c>
      <c r="Q981" s="14" t="n">
        <f aca="false">MAX(0,MIN(Inputs!$F$123,Time!Q$6)-MAX(Inputs!$F$122,Time!Q$5))/Time!Q$7</f>
        <v>1</v>
      </c>
      <c r="R981" s="14" t="n">
        <f aca="false">MAX(0,MIN(Inputs!$F$123,Time!R$6)-MAX(Inputs!$F$122,Time!R$5))/Time!R$7</f>
        <v>1</v>
      </c>
      <c r="S981" s="14" t="n">
        <f aca="false">MAX(0,MIN(Inputs!$F$123,Time!S$6)-MAX(Inputs!$F$122,Time!S$5))/Time!S$7</f>
        <v>1</v>
      </c>
      <c r="T981" s="14" t="n">
        <f aca="false">MAX(0,MIN(Inputs!$F$123,Time!T$6)-MAX(Inputs!$F$122,Time!T$5))/Time!T$7</f>
        <v>1</v>
      </c>
      <c r="U981" s="14" t="n">
        <f aca="false">MAX(0,MIN(Inputs!$F$123,Time!U$6)-MAX(Inputs!$F$122,Time!U$5))/Time!U$7</f>
        <v>1</v>
      </c>
      <c r="V981" s="14" t="n">
        <f aca="false">MAX(0,MIN(Inputs!$F$123,Time!V$6)-MAX(Inputs!$F$122,Time!V$5))/Time!V$7</f>
        <v>1</v>
      </c>
      <c r="W981" s="14" t="n">
        <f aca="false">MAX(0,MIN(Inputs!$F$123,Time!W$6)-MAX(Inputs!$F$122,Time!W$5))/Time!W$7</f>
        <v>1</v>
      </c>
      <c r="X981" s="14" t="n">
        <f aca="false">MAX(0,MIN(Inputs!$F$123,Time!X$6)-MAX(Inputs!$F$122,Time!X$5))/Time!X$7</f>
        <v>1</v>
      </c>
      <c r="Y981" s="14" t="n">
        <f aca="false">MAX(0,MIN(Inputs!$F$123,Time!Y$6)-MAX(Inputs!$F$122,Time!Y$5))/Time!Y$7</f>
        <v>1</v>
      </c>
      <c r="Z981" s="14" t="n">
        <f aca="false">MAX(0,MIN(Inputs!$F$123,Time!Z$6)-MAX(Inputs!$F$122,Time!Z$5))/Time!Z$7</f>
        <v>1</v>
      </c>
      <c r="AA981" s="14" t="n">
        <f aca="false">MAX(0,MIN(Inputs!$F$123,Time!AA$6)-MAX(Inputs!$F$122,Time!AA$5))/Time!AA$7</f>
        <v>1</v>
      </c>
      <c r="AB981" s="14" t="n">
        <f aca="false">MAX(0,MIN(Inputs!$F$123,Time!AB$6)-MAX(Inputs!$F$122,Time!AB$5))/Time!AB$7</f>
        <v>1</v>
      </c>
      <c r="AC981" s="14" t="n">
        <f aca="false">MAX(0,MIN(Inputs!$F$123,Time!AC$6)-MAX(Inputs!$F$122,Time!AC$5))/Time!AC$7</f>
        <v>1</v>
      </c>
      <c r="AD981" s="14" t="n">
        <f aca="false">MAX(0,MIN(Inputs!$F$123,Time!AD$6)-MAX(Inputs!$F$122,Time!AD$5))/Time!AD$7</f>
        <v>1</v>
      </c>
      <c r="AE981" s="14" t="n">
        <f aca="false">MAX(0,MIN(Inputs!$F$123,Time!AE$6)-MAX(Inputs!$F$122,Time!AE$5))/Time!AE$7</f>
        <v>1</v>
      </c>
      <c r="AF981" s="14" t="n">
        <f aca="false">MAX(0,MIN(Inputs!$F$123,Time!AF$6)-MAX(Inputs!$F$122,Time!AF$5))/Time!AF$7</f>
        <v>1</v>
      </c>
      <c r="AG981" s="14" t="n">
        <f aca="false">MAX(0,MIN(Inputs!$F$123,Time!AG$6)-MAX(Inputs!$F$122,Time!AG$5))/Time!AG$7</f>
        <v>1</v>
      </c>
      <c r="AH981" s="14" t="n">
        <f aca="false">MAX(0,MIN(Inputs!$F$123,Time!AH$6)-MAX(Inputs!$F$122,Time!AH$5))/Time!AH$7</f>
        <v>1</v>
      </c>
      <c r="AI981" s="14" t="n">
        <f aca="false">MAX(0,MIN(Inputs!$F$123,Time!AI$6)-MAX(Inputs!$F$122,Time!AI$5))/Time!AI$7</f>
        <v>1</v>
      </c>
      <c r="AJ981" s="14" t="n">
        <f aca="false">MAX(0,MIN(Inputs!$F$123,Time!AJ$6)-MAX(Inputs!$F$122,Time!AJ$5))/Time!AJ$7</f>
        <v>1</v>
      </c>
      <c r="AK981" s="14" t="n">
        <f aca="false">MAX(0,MIN(Inputs!$F$123,Time!AK$6)-MAX(Inputs!$F$122,Time!AK$5))/Time!AK$7</f>
        <v>1</v>
      </c>
      <c r="AL981" s="14" t="n">
        <f aca="false">MAX(0,MIN(Inputs!$F$123,Time!AL$6)-MAX(Inputs!$F$122,Time!AL$5))/Time!AL$7</f>
        <v>1</v>
      </c>
      <c r="AM981" s="14" t="n">
        <f aca="false">MAX(0,MIN(Inputs!$F$123,Time!AM$6)-MAX(Inputs!$F$122,Time!AM$5))/Time!AM$7</f>
        <v>1</v>
      </c>
      <c r="AN981" s="14" t="n">
        <f aca="false">MAX(0,MIN(Inputs!$F$123,Time!AN$6)-MAX(Inputs!$F$122,Time!AN$5))/Time!AN$7</f>
        <v>1</v>
      </c>
      <c r="AO981" s="14" t="n">
        <f aca="false">MAX(0,MIN(Inputs!$F$123,Time!AO$6)-MAX(Inputs!$F$122,Time!AO$5))/Time!AO$7</f>
        <v>1</v>
      </c>
      <c r="AP981" s="14" t="n">
        <f aca="false">MAX(0,MIN(Inputs!$F$123,Time!AP$6)-MAX(Inputs!$F$122,Time!AP$5))/Time!AP$7</f>
        <v>1</v>
      </c>
      <c r="AQ981" s="14" t="n">
        <f aca="false">MAX(0,MIN(Inputs!$F$123,Time!AQ$6)-MAX(Inputs!$F$122,Time!AQ$5))/Time!AQ$7</f>
        <v>0.832876712328767</v>
      </c>
      <c r="AR981" s="14" t="n">
        <f aca="false">MAX(0,MIN(Inputs!$F$123,Time!AR$6)-MAX(Inputs!$F$122,Time!AR$5))/Time!AR$7</f>
        <v>0</v>
      </c>
      <c r="AS981" s="14" t="n">
        <f aca="false">MAX(0,MIN(Inputs!$F$123,Time!AS$6)-MAX(Inputs!$F$122,Time!AS$5))/Time!AS$7</f>
        <v>0</v>
      </c>
      <c r="AT981" s="14" t="n">
        <f aca="false">MAX(0,MIN(Inputs!$F$123,Time!AT$6)-MAX(Inputs!$F$122,Time!AT$5))/Time!AT$7</f>
        <v>0</v>
      </c>
      <c r="AU981" s="14" t="n">
        <f aca="false">MAX(0,MIN(Inputs!$F$123,Time!AU$6)-MAX(Inputs!$F$122,Time!AU$5))/Time!AU$7</f>
        <v>0</v>
      </c>
    </row>
    <row r="982" customFormat="false" ht="15" hidden="false" customHeight="false" outlineLevel="0" collapsed="false">
      <c r="D982" s="0" t="s">
        <v>588</v>
      </c>
      <c r="E982" s="0" t="s">
        <v>458</v>
      </c>
      <c r="J982" s="14" t="n">
        <f aca="false">MAX(0,MIN(Inputs!$F$123,Time!J$6)-MAX(MAX(Inputs!$F$124,Inputs!$F$122),Time!J$5))/Time!J$7</f>
        <v>0.778082191780822</v>
      </c>
      <c r="K982" s="14" t="n">
        <f aca="false">MAX(0,MIN(Inputs!$F$123,Time!K$6)-MAX(MAX(Inputs!$F$124,Inputs!$F$122),Time!K$5))/Time!K$7</f>
        <v>1</v>
      </c>
      <c r="L982" s="14" t="n">
        <f aca="false">MAX(0,MIN(Inputs!$F$123,Time!L$6)-MAX(MAX(Inputs!$F$124,Inputs!$F$122),Time!L$5))/Time!L$7</f>
        <v>1</v>
      </c>
      <c r="M982" s="14" t="n">
        <f aca="false">MAX(0,MIN(Inputs!$F$123,Time!M$6)-MAX(MAX(Inputs!$F$124,Inputs!$F$122),Time!M$5))/Time!M$7</f>
        <v>1</v>
      </c>
      <c r="N982" s="14" t="n">
        <f aca="false">MAX(0,MIN(Inputs!$F$123,Time!N$6)-MAX(MAX(Inputs!$F$124,Inputs!$F$122),Time!N$5))/Time!N$7</f>
        <v>1</v>
      </c>
      <c r="O982" s="14" t="n">
        <f aca="false">MAX(0,MIN(Inputs!$F$123,Time!O$6)-MAX(MAX(Inputs!$F$124,Inputs!$F$122),Time!O$5))/Time!O$7</f>
        <v>1</v>
      </c>
      <c r="P982" s="14" t="n">
        <f aca="false">MAX(0,MIN(Inputs!$F$123,Time!P$6)-MAX(MAX(Inputs!$F$124,Inputs!$F$122),Time!P$5))/Time!P$7</f>
        <v>1</v>
      </c>
      <c r="Q982" s="14" t="n">
        <f aca="false">MAX(0,MIN(Inputs!$F$123,Time!Q$6)-MAX(MAX(Inputs!$F$124,Inputs!$F$122),Time!Q$5))/Time!Q$7</f>
        <v>1</v>
      </c>
      <c r="R982" s="14" t="n">
        <f aca="false">MAX(0,MIN(Inputs!$F$123,Time!R$6)-MAX(MAX(Inputs!$F$124,Inputs!$F$122),Time!R$5))/Time!R$7</f>
        <v>1</v>
      </c>
      <c r="S982" s="14" t="n">
        <f aca="false">MAX(0,MIN(Inputs!$F$123,Time!S$6)-MAX(MAX(Inputs!$F$124,Inputs!$F$122),Time!S$5))/Time!S$7</f>
        <v>1</v>
      </c>
      <c r="T982" s="14" t="n">
        <f aca="false">MAX(0,MIN(Inputs!$F$123,Time!T$6)-MAX(MAX(Inputs!$F$124,Inputs!$F$122),Time!T$5))/Time!T$7</f>
        <v>1</v>
      </c>
      <c r="U982" s="14" t="n">
        <f aca="false">MAX(0,MIN(Inputs!$F$123,Time!U$6)-MAX(MAX(Inputs!$F$124,Inputs!$F$122),Time!U$5))/Time!U$7</f>
        <v>1</v>
      </c>
      <c r="V982" s="14" t="n">
        <f aca="false">MAX(0,MIN(Inputs!$F$123,Time!V$6)-MAX(MAX(Inputs!$F$124,Inputs!$F$122),Time!V$5))/Time!V$7</f>
        <v>1</v>
      </c>
      <c r="W982" s="14" t="n">
        <f aca="false">MAX(0,MIN(Inputs!$F$123,Time!W$6)-MAX(MAX(Inputs!$F$124,Inputs!$F$122),Time!W$5))/Time!W$7</f>
        <v>1</v>
      </c>
      <c r="X982" s="14" t="n">
        <f aca="false">MAX(0,MIN(Inputs!$F$123,Time!X$6)-MAX(MAX(Inputs!$F$124,Inputs!$F$122),Time!X$5))/Time!X$7</f>
        <v>1</v>
      </c>
      <c r="Y982" s="14" t="n">
        <f aca="false">MAX(0,MIN(Inputs!$F$123,Time!Y$6)-MAX(MAX(Inputs!$F$124,Inputs!$F$122),Time!Y$5))/Time!Y$7</f>
        <v>1</v>
      </c>
      <c r="Z982" s="14" t="n">
        <f aca="false">MAX(0,MIN(Inputs!$F$123,Time!Z$6)-MAX(MAX(Inputs!$F$124,Inputs!$F$122),Time!Z$5))/Time!Z$7</f>
        <v>1</v>
      </c>
      <c r="AA982" s="14" t="n">
        <f aca="false">MAX(0,MIN(Inputs!$F$123,Time!AA$6)-MAX(MAX(Inputs!$F$124,Inputs!$F$122),Time!AA$5))/Time!AA$7</f>
        <v>1</v>
      </c>
      <c r="AB982" s="14" t="n">
        <f aca="false">MAX(0,MIN(Inputs!$F$123,Time!AB$6)-MAX(MAX(Inputs!$F$124,Inputs!$F$122),Time!AB$5))/Time!AB$7</f>
        <v>1</v>
      </c>
      <c r="AC982" s="14" t="n">
        <f aca="false">MAX(0,MIN(Inputs!$F$123,Time!AC$6)-MAX(MAX(Inputs!$F$124,Inputs!$F$122),Time!AC$5))/Time!AC$7</f>
        <v>1</v>
      </c>
      <c r="AD982" s="14" t="n">
        <f aca="false">MAX(0,MIN(Inputs!$F$123,Time!AD$6)-MAX(MAX(Inputs!$F$124,Inputs!$F$122),Time!AD$5))/Time!AD$7</f>
        <v>1</v>
      </c>
      <c r="AE982" s="14" t="n">
        <f aca="false">MAX(0,MIN(Inputs!$F$123,Time!AE$6)-MAX(MAX(Inputs!$F$124,Inputs!$F$122),Time!AE$5))/Time!AE$7</f>
        <v>1</v>
      </c>
      <c r="AF982" s="14" t="n">
        <f aca="false">MAX(0,MIN(Inputs!$F$123,Time!AF$6)-MAX(MAX(Inputs!$F$124,Inputs!$F$122),Time!AF$5))/Time!AF$7</f>
        <v>1</v>
      </c>
      <c r="AG982" s="14" t="n">
        <f aca="false">MAX(0,MIN(Inputs!$F$123,Time!AG$6)-MAX(MAX(Inputs!$F$124,Inputs!$F$122),Time!AG$5))/Time!AG$7</f>
        <v>1</v>
      </c>
      <c r="AH982" s="14" t="n">
        <f aca="false">MAX(0,MIN(Inputs!$F$123,Time!AH$6)-MAX(MAX(Inputs!$F$124,Inputs!$F$122),Time!AH$5))/Time!AH$7</f>
        <v>1</v>
      </c>
      <c r="AI982" s="14" t="n">
        <f aca="false">MAX(0,MIN(Inputs!$F$123,Time!AI$6)-MAX(MAX(Inputs!$F$124,Inputs!$F$122),Time!AI$5))/Time!AI$7</f>
        <v>1</v>
      </c>
      <c r="AJ982" s="14" t="n">
        <f aca="false">MAX(0,MIN(Inputs!$F$123,Time!AJ$6)-MAX(MAX(Inputs!$F$124,Inputs!$F$122),Time!AJ$5))/Time!AJ$7</f>
        <v>1</v>
      </c>
      <c r="AK982" s="14" t="n">
        <f aca="false">MAX(0,MIN(Inputs!$F$123,Time!AK$6)-MAX(MAX(Inputs!$F$124,Inputs!$F$122),Time!AK$5))/Time!AK$7</f>
        <v>1</v>
      </c>
      <c r="AL982" s="14" t="n">
        <f aca="false">MAX(0,MIN(Inputs!$F$123,Time!AL$6)-MAX(MAX(Inputs!$F$124,Inputs!$F$122),Time!AL$5))/Time!AL$7</f>
        <v>1</v>
      </c>
      <c r="AM982" s="14" t="n">
        <f aca="false">MAX(0,MIN(Inputs!$F$123,Time!AM$6)-MAX(MAX(Inputs!$F$124,Inputs!$F$122),Time!AM$5))/Time!AM$7</f>
        <v>1</v>
      </c>
      <c r="AN982" s="14" t="n">
        <f aca="false">MAX(0,MIN(Inputs!$F$123,Time!AN$6)-MAX(MAX(Inputs!$F$124,Inputs!$F$122),Time!AN$5))/Time!AN$7</f>
        <v>1</v>
      </c>
      <c r="AO982" s="14" t="n">
        <f aca="false">MAX(0,MIN(Inputs!$F$123,Time!AO$6)-MAX(MAX(Inputs!$F$124,Inputs!$F$122),Time!AO$5))/Time!AO$7</f>
        <v>1</v>
      </c>
      <c r="AP982" s="14" t="n">
        <f aca="false">MAX(0,MIN(Inputs!$F$123,Time!AP$6)-MAX(MAX(Inputs!$F$124,Inputs!$F$122),Time!AP$5))/Time!AP$7</f>
        <v>1</v>
      </c>
      <c r="AQ982" s="14" t="n">
        <f aca="false">MAX(0,MIN(Inputs!$F$123,Time!AQ$6)-MAX(MAX(Inputs!$F$124,Inputs!$F$122),Time!AQ$5))/Time!AQ$7</f>
        <v>0.832876712328767</v>
      </c>
      <c r="AR982" s="14" t="n">
        <f aca="false">MAX(0,MIN(Inputs!$F$123,Time!AR$6)-MAX(MAX(Inputs!$F$124,Inputs!$F$122),Time!AR$5))/Time!AR$7</f>
        <v>0</v>
      </c>
      <c r="AS982" s="14" t="n">
        <f aca="false">MAX(0,MIN(Inputs!$F$123,Time!AS$6)-MAX(MAX(Inputs!$F$124,Inputs!$F$122),Time!AS$5))/Time!AS$7</f>
        <v>0</v>
      </c>
      <c r="AT982" s="14" t="n">
        <f aca="false">MAX(0,MIN(Inputs!$F$123,Time!AT$6)-MAX(MAX(Inputs!$F$124,Inputs!$F$122),Time!AT$5))/Time!AT$7</f>
        <v>0</v>
      </c>
      <c r="AU982" s="14" t="n">
        <f aca="false">MAX(0,MIN(Inputs!$F$123,Time!AU$6)-MAX(MAX(Inputs!$F$124,Inputs!$F$122),Time!AU$5))/Time!AU$7</f>
        <v>0</v>
      </c>
    </row>
    <row r="983" customFormat="false" ht="15" hidden="false" customHeight="false" outlineLevel="0" collapsed="false">
      <c r="D983" s="0" t="s">
        <v>589</v>
      </c>
      <c r="E983" s="0" t="s">
        <v>458</v>
      </c>
      <c r="J983" s="14" t="n">
        <f aca="false">IF(Operations!J981&gt;0,Operations!J982/Operations!J981,0)</f>
        <v>0.778082191780822</v>
      </c>
      <c r="K983" s="14" t="n">
        <f aca="false">IF(Operations!K981&gt;0,Operations!K982/Operations!K981,0)</f>
        <v>1</v>
      </c>
      <c r="L983" s="14" t="n">
        <f aca="false">IF(Operations!L981&gt;0,Operations!L982/Operations!L981,0)</f>
        <v>1</v>
      </c>
      <c r="M983" s="14" t="n">
        <f aca="false">IF(Operations!M981&gt;0,Operations!M982/Operations!M981,0)</f>
        <v>1</v>
      </c>
      <c r="N983" s="14" t="n">
        <f aca="false">IF(Operations!N981&gt;0,Operations!N982/Operations!N981,0)</f>
        <v>1</v>
      </c>
      <c r="O983" s="14" t="n">
        <f aca="false">IF(Operations!O981&gt;0,Operations!O982/Operations!O981,0)</f>
        <v>1</v>
      </c>
      <c r="P983" s="14" t="n">
        <f aca="false">IF(Operations!P981&gt;0,Operations!P982/Operations!P981,0)</f>
        <v>1</v>
      </c>
      <c r="Q983" s="14" t="n">
        <f aca="false">IF(Operations!Q981&gt;0,Operations!Q982/Operations!Q981,0)</f>
        <v>1</v>
      </c>
      <c r="R983" s="14" t="n">
        <f aca="false">IF(Operations!R981&gt;0,Operations!R982/Operations!R981,0)</f>
        <v>1</v>
      </c>
      <c r="S983" s="14" t="n">
        <f aca="false">IF(Operations!S981&gt;0,Operations!S982/Operations!S981,0)</f>
        <v>1</v>
      </c>
      <c r="T983" s="14" t="n">
        <f aca="false">IF(Operations!T981&gt;0,Operations!T982/Operations!T981,0)</f>
        <v>1</v>
      </c>
      <c r="U983" s="14" t="n">
        <f aca="false">IF(Operations!U981&gt;0,Operations!U982/Operations!U981,0)</f>
        <v>1</v>
      </c>
      <c r="V983" s="14" t="n">
        <f aca="false">IF(Operations!V981&gt;0,Operations!V982/Operations!V981,0)</f>
        <v>1</v>
      </c>
      <c r="W983" s="14" t="n">
        <f aca="false">IF(Operations!W981&gt;0,Operations!W982/Operations!W981,0)</f>
        <v>1</v>
      </c>
      <c r="X983" s="14" t="n">
        <f aca="false">IF(Operations!X981&gt;0,Operations!X982/Operations!X981,0)</f>
        <v>1</v>
      </c>
      <c r="Y983" s="14" t="n">
        <f aca="false">IF(Operations!Y981&gt;0,Operations!Y982/Operations!Y981,0)</f>
        <v>1</v>
      </c>
      <c r="Z983" s="14" t="n">
        <f aca="false">IF(Operations!Z981&gt;0,Operations!Z982/Operations!Z981,0)</f>
        <v>1</v>
      </c>
      <c r="AA983" s="14" t="n">
        <f aca="false">IF(Operations!AA981&gt;0,Operations!AA982/Operations!AA981,0)</f>
        <v>1</v>
      </c>
      <c r="AB983" s="14" t="n">
        <f aca="false">IF(Operations!AB981&gt;0,Operations!AB982/Operations!AB981,0)</f>
        <v>1</v>
      </c>
      <c r="AC983" s="14" t="n">
        <f aca="false">IF(Operations!AC981&gt;0,Operations!AC982/Operations!AC981,0)</f>
        <v>1</v>
      </c>
      <c r="AD983" s="14" t="n">
        <f aca="false">IF(Operations!AD981&gt;0,Operations!AD982/Operations!AD981,0)</f>
        <v>1</v>
      </c>
      <c r="AE983" s="14" t="n">
        <f aca="false">IF(Operations!AE981&gt;0,Operations!AE982/Operations!AE981,0)</f>
        <v>1</v>
      </c>
      <c r="AF983" s="14" t="n">
        <f aca="false">IF(Operations!AF981&gt;0,Operations!AF982/Operations!AF981,0)</f>
        <v>1</v>
      </c>
      <c r="AG983" s="14" t="n">
        <f aca="false">IF(Operations!AG981&gt;0,Operations!AG982/Operations!AG981,0)</f>
        <v>1</v>
      </c>
      <c r="AH983" s="14" t="n">
        <f aca="false">IF(Operations!AH981&gt;0,Operations!AH982/Operations!AH981,0)</f>
        <v>1</v>
      </c>
      <c r="AI983" s="14" t="n">
        <f aca="false">IF(Operations!AI981&gt;0,Operations!AI982/Operations!AI981,0)</f>
        <v>1</v>
      </c>
      <c r="AJ983" s="14" t="n">
        <f aca="false">IF(Operations!AJ981&gt;0,Operations!AJ982/Operations!AJ981,0)</f>
        <v>1</v>
      </c>
      <c r="AK983" s="14" t="n">
        <f aca="false">IF(Operations!AK981&gt;0,Operations!AK982/Operations!AK981,0)</f>
        <v>1</v>
      </c>
      <c r="AL983" s="14" t="n">
        <f aca="false">IF(Operations!AL981&gt;0,Operations!AL982/Operations!AL981,0)</f>
        <v>1</v>
      </c>
      <c r="AM983" s="14" t="n">
        <f aca="false">IF(Operations!AM981&gt;0,Operations!AM982/Operations!AM981,0)</f>
        <v>1</v>
      </c>
      <c r="AN983" s="14" t="n">
        <f aca="false">IF(Operations!AN981&gt;0,Operations!AN982/Operations!AN981,0)</f>
        <v>1</v>
      </c>
      <c r="AO983" s="14" t="n">
        <f aca="false">IF(Operations!AO981&gt;0,Operations!AO982/Operations!AO981,0)</f>
        <v>1</v>
      </c>
      <c r="AP983" s="14" t="n">
        <f aca="false">IF(Operations!AP981&gt;0,Operations!AP982/Operations!AP981,0)</f>
        <v>1</v>
      </c>
      <c r="AQ983" s="14" t="n">
        <f aca="false">IF(Operations!AQ981&gt;0,Operations!AQ982/Operations!AQ981,0)</f>
        <v>1</v>
      </c>
      <c r="AR983" s="14" t="n">
        <f aca="false">IF(Operations!AR981&gt;0,Operations!AR982/Operations!AR981,0)</f>
        <v>0</v>
      </c>
      <c r="AS983" s="14" t="n">
        <f aca="false">IF(Operations!AS981&gt;0,Operations!AS982/Operations!AS981,0)</f>
        <v>0</v>
      </c>
      <c r="AT983" s="14" t="n">
        <f aca="false">IF(Operations!AT981&gt;0,Operations!AT982/Operations!AT981,0)</f>
        <v>0</v>
      </c>
      <c r="AU983" s="14" t="n">
        <f aca="false">IF(Operations!AU981&gt;0,Operations!AU982/Operations!AU981,0)</f>
        <v>0</v>
      </c>
    </row>
    <row r="984" customFormat="false" ht="15" hidden="false" customHeight="false" outlineLevel="0" collapsed="false">
      <c r="D984" s="0" t="s">
        <v>590</v>
      </c>
      <c r="E984" s="0" t="s">
        <v>96</v>
      </c>
      <c r="J984" s="18" t="n">
        <f aca="false">Operations!J843</f>
        <v>72.2128</v>
      </c>
      <c r="K984" s="18" t="n">
        <f aca="false">Operations!K843</f>
        <v>59.2416</v>
      </c>
      <c r="L984" s="18" t="n">
        <f aca="false">Operations!L843</f>
        <v>29.1368</v>
      </c>
      <c r="M984" s="18" t="n">
        <f aca="false">Operations!M843</f>
        <v>38.5264</v>
      </c>
      <c r="N984" s="18" t="n">
        <f aca="false">Operations!N843</f>
        <v>43.1728</v>
      </c>
      <c r="O984" s="18" t="n">
        <f aca="false">Operations!O843</f>
        <v>45.7864</v>
      </c>
      <c r="P984" s="18" t="n">
        <f aca="false">Operations!P843</f>
        <v>47.5288</v>
      </c>
      <c r="Q984" s="18" t="n">
        <f aca="false">Operations!Q843</f>
        <v>48.7872</v>
      </c>
      <c r="R984" s="18" t="n">
        <f aca="false">Operations!R843</f>
        <v>50.1424</v>
      </c>
      <c r="S984" s="18" t="n">
        <f aca="false">Operations!S843</f>
        <v>51.14912</v>
      </c>
      <c r="T984" s="18" t="n">
        <f aca="false">Operations!T843</f>
        <v>52.1752</v>
      </c>
      <c r="U984" s="18" t="n">
        <f aca="false">Operations!U843</f>
        <v>53.22064</v>
      </c>
      <c r="V984" s="18" t="n">
        <f aca="false">Operations!V843</f>
        <v>54.28544</v>
      </c>
      <c r="W984" s="18" t="n">
        <f aca="false">Operations!W843</f>
        <v>55.3696</v>
      </c>
      <c r="X984" s="18" t="n">
        <f aca="false">Operations!X843</f>
        <v>56.47312</v>
      </c>
      <c r="Y984" s="18" t="n">
        <f aca="false">Operations!Y843</f>
        <v>57.60568</v>
      </c>
      <c r="Z984" s="18" t="n">
        <f aca="false">Operations!Z843</f>
        <v>58.7576</v>
      </c>
      <c r="AA984" s="18" t="n">
        <f aca="false">Operations!AA843</f>
        <v>59.92888</v>
      </c>
      <c r="AB984" s="18" t="n">
        <f aca="false">Operations!AB843</f>
        <v>61.1292</v>
      </c>
      <c r="AC984" s="18" t="n">
        <f aca="false">Operations!AC843</f>
        <v>62.34888</v>
      </c>
      <c r="AD984" s="18" t="n">
        <f aca="false">Operations!AD843</f>
        <v>63.5976</v>
      </c>
      <c r="AE984" s="18" t="n">
        <f aca="false">Operations!AE843</f>
        <v>64.86568</v>
      </c>
      <c r="AF984" s="18" t="n">
        <f aca="false">Operations!AF843</f>
        <v>66.1628</v>
      </c>
      <c r="AG984" s="18" t="n">
        <f aca="false">Operations!AG843</f>
        <v>67.48896</v>
      </c>
      <c r="AH984" s="18" t="n">
        <f aca="false">Operations!AH843</f>
        <v>68.83448</v>
      </c>
      <c r="AI984" s="18" t="n">
        <f aca="false">Operations!AI843</f>
        <v>70.20904</v>
      </c>
      <c r="AJ984" s="18" t="n">
        <f aca="false">Operations!AJ843</f>
        <v>71.61264</v>
      </c>
      <c r="AK984" s="18" t="n">
        <f aca="false">Operations!AK843</f>
        <v>73.04528</v>
      </c>
      <c r="AL984" s="18" t="n">
        <f aca="false">Operations!AL843</f>
        <v>74.50696</v>
      </c>
      <c r="AM984" s="18" t="n">
        <f aca="false">Operations!AM843</f>
        <v>75.99768</v>
      </c>
      <c r="AN984" s="18" t="n">
        <f aca="false">Operations!AN843</f>
        <v>77.51744</v>
      </c>
      <c r="AO984" s="18" t="n">
        <f aca="false">Operations!AO843</f>
        <v>79.06624</v>
      </c>
      <c r="AP984" s="18" t="n">
        <f aca="false">Operations!AP843</f>
        <v>80.64408</v>
      </c>
      <c r="AQ984" s="18" t="n">
        <f aca="false">Operations!AQ843</f>
        <v>82.26064</v>
      </c>
      <c r="AR984" s="18" t="n">
        <f aca="false">Operations!AR843</f>
        <v>83.90624</v>
      </c>
      <c r="AS984" s="18" t="n">
        <f aca="false">Operations!AS843</f>
        <v>85.58088</v>
      </c>
      <c r="AT984" s="18" t="n">
        <f aca="false">Operations!AT843</f>
        <v>87.29424</v>
      </c>
      <c r="AU984" s="18" t="n">
        <f aca="false">Operations!AU843</f>
        <v>89.03664</v>
      </c>
    </row>
    <row r="985" customFormat="false" ht="15" hidden="false" customHeight="false" outlineLevel="0" collapsed="false">
      <c r="D985" s="0" t="s">
        <v>591</v>
      </c>
      <c r="E985" s="0" t="s">
        <v>27</v>
      </c>
      <c r="J985" s="14" t="n">
        <f aca="false">CHOOSE(Operations!$F$837,1,Inputs!$F$128/100,Inputs!$F$129/100,Operations!$F$30/100)</f>
        <v>0.901981741573034</v>
      </c>
      <c r="K985" s="14" t="n">
        <f aca="false">CHOOSE(Operations!$F$837,1,Inputs!$F$128/100,Inputs!$F$129/100,Operations!$F$30/100)</f>
        <v>0.901981741573034</v>
      </c>
      <c r="L985" s="14" t="n">
        <f aca="false">CHOOSE(Operations!$F$837,1,Inputs!$F$128/100,Inputs!$F$129/100,Operations!$F$30/100)</f>
        <v>0.901981741573034</v>
      </c>
      <c r="M985" s="14" t="n">
        <f aca="false">CHOOSE(Operations!$F$837,1,Inputs!$F$128/100,Inputs!$F$129/100,Operations!$F$30/100)</f>
        <v>0.901981741573034</v>
      </c>
      <c r="N985" s="14" t="n">
        <f aca="false">CHOOSE(Operations!$F$837,1,Inputs!$F$128/100,Inputs!$F$129/100,Operations!$F$30/100)</f>
        <v>0.901981741573034</v>
      </c>
      <c r="O985" s="14" t="n">
        <f aca="false">CHOOSE(Operations!$F$837,1,Inputs!$F$128/100,Inputs!$F$129/100,Operations!$F$30/100)</f>
        <v>0.901981741573034</v>
      </c>
      <c r="P985" s="14" t="n">
        <f aca="false">CHOOSE(Operations!$F$837,1,Inputs!$F$128/100,Inputs!$F$129/100,Operations!$F$30/100)</f>
        <v>0.901981741573034</v>
      </c>
      <c r="Q985" s="14" t="n">
        <f aca="false">CHOOSE(Operations!$F$837,1,Inputs!$F$128/100,Inputs!$F$129/100,Operations!$F$30/100)</f>
        <v>0.901981741573034</v>
      </c>
      <c r="R985" s="14" t="n">
        <f aca="false">CHOOSE(Operations!$F$837,1,Inputs!$F$128/100,Inputs!$F$129/100,Operations!$F$30/100)</f>
        <v>0.901981741573034</v>
      </c>
      <c r="S985" s="14" t="n">
        <f aca="false">CHOOSE(Operations!$F$837,1,Inputs!$F$128/100,Inputs!$F$129/100,Operations!$F$30/100)</f>
        <v>0.901981741573034</v>
      </c>
      <c r="T985" s="14" t="n">
        <f aca="false">CHOOSE(Operations!$F$837,1,Inputs!$F$128/100,Inputs!$F$129/100,Operations!$F$30/100)</f>
        <v>0.901981741573034</v>
      </c>
      <c r="U985" s="14" t="n">
        <f aca="false">CHOOSE(Operations!$F$837,1,Inputs!$F$128/100,Inputs!$F$129/100,Operations!$F$30/100)</f>
        <v>0.901981741573034</v>
      </c>
      <c r="V985" s="14" t="n">
        <f aca="false">CHOOSE(Operations!$F$837,1,Inputs!$F$128/100,Inputs!$F$129/100,Operations!$F$30/100)</f>
        <v>0.901981741573034</v>
      </c>
      <c r="W985" s="14" t="n">
        <f aca="false">CHOOSE(Operations!$F$837,1,Inputs!$F$128/100,Inputs!$F$129/100,Operations!$F$30/100)</f>
        <v>0.901981741573034</v>
      </c>
      <c r="X985" s="14" t="n">
        <f aca="false">CHOOSE(Operations!$F$837,1,Inputs!$F$128/100,Inputs!$F$129/100,Operations!$F$30/100)</f>
        <v>0.901981741573034</v>
      </c>
      <c r="Y985" s="14" t="n">
        <f aca="false">CHOOSE(Operations!$F$837,1,Inputs!$F$128/100,Inputs!$F$129/100,Operations!$F$30/100)</f>
        <v>0.901981741573034</v>
      </c>
      <c r="Z985" s="14" t="n">
        <f aca="false">CHOOSE(Operations!$F$837,1,Inputs!$F$128/100,Inputs!$F$129/100,Operations!$F$30/100)</f>
        <v>0.901981741573034</v>
      </c>
      <c r="AA985" s="14" t="n">
        <f aca="false">CHOOSE(Operations!$F$837,1,Inputs!$F$128/100,Inputs!$F$129/100,Operations!$F$30/100)</f>
        <v>0.901981741573034</v>
      </c>
      <c r="AB985" s="14" t="n">
        <f aca="false">CHOOSE(Operations!$F$837,1,Inputs!$F$128/100,Inputs!$F$129/100,Operations!$F$30/100)</f>
        <v>0.901981741573034</v>
      </c>
      <c r="AC985" s="14" t="n">
        <f aca="false">CHOOSE(Operations!$F$837,1,Inputs!$F$128/100,Inputs!$F$129/100,Operations!$F$30/100)</f>
        <v>0.901981741573034</v>
      </c>
      <c r="AD985" s="14" t="n">
        <f aca="false">CHOOSE(Operations!$F$837,1,Inputs!$F$128/100,Inputs!$F$129/100,Operations!$F$30/100)</f>
        <v>0.901981741573034</v>
      </c>
      <c r="AE985" s="14" t="n">
        <f aca="false">CHOOSE(Operations!$F$837,1,Inputs!$F$128/100,Inputs!$F$129/100,Operations!$F$30/100)</f>
        <v>0.901981741573034</v>
      </c>
      <c r="AF985" s="14" t="n">
        <f aca="false">CHOOSE(Operations!$F$837,1,Inputs!$F$128/100,Inputs!$F$129/100,Operations!$F$30/100)</f>
        <v>0.901981741573034</v>
      </c>
      <c r="AG985" s="14" t="n">
        <f aca="false">CHOOSE(Operations!$F$837,1,Inputs!$F$128/100,Inputs!$F$129/100,Operations!$F$30/100)</f>
        <v>0.901981741573034</v>
      </c>
      <c r="AH985" s="14" t="n">
        <f aca="false">CHOOSE(Operations!$F$837,1,Inputs!$F$128/100,Inputs!$F$129/100,Operations!$F$30/100)</f>
        <v>0.901981741573034</v>
      </c>
      <c r="AI985" s="14" t="n">
        <f aca="false">CHOOSE(Operations!$F$837,1,Inputs!$F$128/100,Inputs!$F$129/100,Operations!$F$30/100)</f>
        <v>0.901981741573034</v>
      </c>
      <c r="AJ985" s="14" t="n">
        <f aca="false">CHOOSE(Operations!$F$837,1,Inputs!$F$128/100,Inputs!$F$129/100,Operations!$F$30/100)</f>
        <v>0.901981741573034</v>
      </c>
      <c r="AK985" s="14" t="n">
        <f aca="false">CHOOSE(Operations!$F$837,1,Inputs!$F$128/100,Inputs!$F$129/100,Operations!$F$30/100)</f>
        <v>0.901981741573034</v>
      </c>
      <c r="AL985" s="14" t="n">
        <f aca="false">CHOOSE(Operations!$F$837,1,Inputs!$F$128/100,Inputs!$F$129/100,Operations!$F$30/100)</f>
        <v>0.901981741573034</v>
      </c>
      <c r="AM985" s="14" t="n">
        <f aca="false">CHOOSE(Operations!$F$837,1,Inputs!$F$128/100,Inputs!$F$129/100,Operations!$F$30/100)</f>
        <v>0.901981741573034</v>
      </c>
      <c r="AN985" s="14" t="n">
        <f aca="false">CHOOSE(Operations!$F$837,1,Inputs!$F$128/100,Inputs!$F$129/100,Operations!$F$30/100)</f>
        <v>0.901981741573034</v>
      </c>
      <c r="AO985" s="14" t="n">
        <f aca="false">CHOOSE(Operations!$F$837,1,Inputs!$F$128/100,Inputs!$F$129/100,Operations!$F$30/100)</f>
        <v>0.901981741573034</v>
      </c>
      <c r="AP985" s="14" t="n">
        <f aca="false">CHOOSE(Operations!$F$837,1,Inputs!$F$128/100,Inputs!$F$129/100,Operations!$F$30/100)</f>
        <v>0.901981741573034</v>
      </c>
      <c r="AQ985" s="14" t="n">
        <f aca="false">CHOOSE(Operations!$F$837,1,Inputs!$F$128/100,Inputs!$F$129/100,Operations!$F$30/100)</f>
        <v>0.901981741573034</v>
      </c>
      <c r="AR985" s="14" t="n">
        <f aca="false">CHOOSE(Operations!$F$837,1,Inputs!$F$128/100,Inputs!$F$129/100,Operations!$F$30/100)</f>
        <v>0.901981741573034</v>
      </c>
      <c r="AS985" s="14" t="n">
        <f aca="false">CHOOSE(Operations!$F$837,1,Inputs!$F$128/100,Inputs!$F$129/100,Operations!$F$30/100)</f>
        <v>0.901981741573034</v>
      </c>
      <c r="AT985" s="14" t="n">
        <f aca="false">CHOOSE(Operations!$F$837,1,Inputs!$F$128/100,Inputs!$F$129/100,Operations!$F$30/100)</f>
        <v>0.901981741573034</v>
      </c>
      <c r="AU985" s="14" t="n">
        <f aca="false">CHOOSE(Operations!$F$837,1,Inputs!$F$128/100,Inputs!$F$129/100,Operations!$F$30/100)</f>
        <v>0.901981741573034</v>
      </c>
    </row>
    <row r="986" customFormat="false" ht="15" hidden="false" customHeight="false" outlineLevel="0" collapsed="false">
      <c r="D986" s="0" t="s">
        <v>592</v>
      </c>
      <c r="E986" s="0" t="s">
        <v>27</v>
      </c>
      <c r="J986" s="14" t="n">
        <f aca="false">(1-Inputs!$F$130/100)^MAX(0,Time!J$4-Inputs!$F$131)</f>
        <v>1</v>
      </c>
      <c r="K986" s="14" t="n">
        <f aca="false">(1-Inputs!$F$130/100)^MAX(0,Time!K$4-Inputs!$F$131)</f>
        <v>0.9955</v>
      </c>
      <c r="L986" s="14" t="n">
        <f aca="false">(1-Inputs!$F$130/100)^MAX(0,Time!L$4-Inputs!$F$131)</f>
        <v>0.99102025</v>
      </c>
      <c r="M986" s="14" t="n">
        <f aca="false">(1-Inputs!$F$130/100)^MAX(0,Time!M$4-Inputs!$F$131)</f>
        <v>0.986560658875</v>
      </c>
      <c r="N986" s="14" t="n">
        <f aca="false">(1-Inputs!$F$130/100)^MAX(0,Time!N$4-Inputs!$F$131)</f>
        <v>0.982121135910063</v>
      </c>
      <c r="O986" s="14" t="n">
        <f aca="false">(1-Inputs!$F$130/100)^MAX(0,Time!O$4-Inputs!$F$131)</f>
        <v>0.977701590798468</v>
      </c>
      <c r="P986" s="14" t="n">
        <f aca="false">(1-Inputs!$F$130/100)^MAX(0,Time!P$4-Inputs!$F$131)</f>
        <v>0.973301933639874</v>
      </c>
      <c r="Q986" s="14" t="n">
        <f aca="false">(1-Inputs!$F$130/100)^MAX(0,Time!Q$4-Inputs!$F$131)</f>
        <v>0.968922074938495</v>
      </c>
      <c r="R986" s="14" t="n">
        <f aca="false">(1-Inputs!$F$130/100)^MAX(0,Time!R$4-Inputs!$F$131)</f>
        <v>0.964561925601272</v>
      </c>
      <c r="S986" s="14" t="n">
        <f aca="false">(1-Inputs!$F$130/100)^MAX(0,Time!S$4-Inputs!$F$131)</f>
        <v>0.960221396936066</v>
      </c>
      <c r="T986" s="14" t="n">
        <f aca="false">(1-Inputs!$F$130/100)^MAX(0,Time!T$4-Inputs!$F$131)</f>
        <v>0.955900400649854</v>
      </c>
      <c r="U986" s="14" t="n">
        <f aca="false">(1-Inputs!$F$130/100)^MAX(0,Time!U$4-Inputs!$F$131)</f>
        <v>0.95159884884693</v>
      </c>
      <c r="V986" s="14" t="n">
        <f aca="false">(1-Inputs!$F$130/100)^MAX(0,Time!V$4-Inputs!$F$131)</f>
        <v>0.947316654027119</v>
      </c>
      <c r="W986" s="14" t="n">
        <f aca="false">(1-Inputs!$F$130/100)^MAX(0,Time!W$4-Inputs!$F$131)</f>
        <v>0.943053729083997</v>
      </c>
      <c r="X986" s="14" t="n">
        <f aca="false">(1-Inputs!$F$130/100)^MAX(0,Time!X$4-Inputs!$F$131)</f>
        <v>0.938809987303119</v>
      </c>
      <c r="Y986" s="14" t="n">
        <f aca="false">(1-Inputs!$F$130/100)^MAX(0,Time!Y$4-Inputs!$F$131)</f>
        <v>0.934585342360255</v>
      </c>
      <c r="Z986" s="14" t="n">
        <f aca="false">(1-Inputs!$F$130/100)^MAX(0,Time!Z$4-Inputs!$F$131)</f>
        <v>0.930379708319634</v>
      </c>
      <c r="AA986" s="14" t="n">
        <f aca="false">(1-Inputs!$F$130/100)^MAX(0,Time!AA$4-Inputs!$F$131)</f>
        <v>0.926192999632195</v>
      </c>
      <c r="AB986" s="14" t="n">
        <f aca="false">(1-Inputs!$F$130/100)^MAX(0,Time!AB$4-Inputs!$F$131)</f>
        <v>0.92202513113385</v>
      </c>
      <c r="AC986" s="14" t="n">
        <f aca="false">(1-Inputs!$F$130/100)^MAX(0,Time!AC$4-Inputs!$F$131)</f>
        <v>0.917876018043748</v>
      </c>
      <c r="AD986" s="14" t="n">
        <f aca="false">(1-Inputs!$F$130/100)^MAX(0,Time!AD$4-Inputs!$F$131)</f>
        <v>0.913745575962551</v>
      </c>
      <c r="AE986" s="14" t="n">
        <f aca="false">(1-Inputs!$F$130/100)^MAX(0,Time!AE$4-Inputs!$F$131)</f>
        <v>0.90963372087072</v>
      </c>
      <c r="AF986" s="14" t="n">
        <f aca="false">(1-Inputs!$F$130/100)^MAX(0,Time!AF$4-Inputs!$F$131)</f>
        <v>0.905540369126802</v>
      </c>
      <c r="AG986" s="14" t="n">
        <f aca="false">(1-Inputs!$F$130/100)^MAX(0,Time!AG$4-Inputs!$F$131)</f>
        <v>0.901465437465731</v>
      </c>
      <c r="AH986" s="14" t="n">
        <f aca="false">(1-Inputs!$F$130/100)^MAX(0,Time!AH$4-Inputs!$F$131)</f>
        <v>0.897408842997135</v>
      </c>
      <c r="AI986" s="14" t="n">
        <f aca="false">(1-Inputs!$F$130/100)^MAX(0,Time!AI$4-Inputs!$F$131)</f>
        <v>0.893370503203648</v>
      </c>
      <c r="AJ986" s="14" t="n">
        <f aca="false">(1-Inputs!$F$130/100)^MAX(0,Time!AJ$4-Inputs!$F$131)</f>
        <v>0.889350335939232</v>
      </c>
      <c r="AK986" s="14" t="n">
        <f aca="false">(1-Inputs!$F$130/100)^MAX(0,Time!AK$4-Inputs!$F$131)</f>
        <v>0.885348259427505</v>
      </c>
      <c r="AL986" s="14" t="n">
        <f aca="false">(1-Inputs!$F$130/100)^MAX(0,Time!AL$4-Inputs!$F$131)</f>
        <v>0.881364192260082</v>
      </c>
      <c r="AM986" s="14" t="n">
        <f aca="false">(1-Inputs!$F$130/100)^MAX(0,Time!AM$4-Inputs!$F$131)</f>
        <v>0.877398053394911</v>
      </c>
      <c r="AN986" s="14" t="n">
        <f aca="false">(1-Inputs!$F$130/100)^MAX(0,Time!AN$4-Inputs!$F$131)</f>
        <v>0.873449762154634</v>
      </c>
      <c r="AO986" s="14" t="n">
        <f aca="false">(1-Inputs!$F$130/100)^MAX(0,Time!AO$4-Inputs!$F$131)</f>
        <v>0.869519238224939</v>
      </c>
      <c r="AP986" s="14" t="n">
        <f aca="false">(1-Inputs!$F$130/100)^MAX(0,Time!AP$4-Inputs!$F$131)</f>
        <v>0.865606401652926</v>
      </c>
      <c r="AQ986" s="14" t="n">
        <f aca="false">(1-Inputs!$F$130/100)^MAX(0,Time!AQ$4-Inputs!$F$131)</f>
        <v>0.861711172845488</v>
      </c>
      <c r="AR986" s="14" t="n">
        <f aca="false">(1-Inputs!$F$130/100)^MAX(0,Time!AR$4-Inputs!$F$131)</f>
        <v>0.857833472567684</v>
      </c>
      <c r="AS986" s="14" t="n">
        <f aca="false">(1-Inputs!$F$130/100)^MAX(0,Time!AS$4-Inputs!$F$131)</f>
        <v>0.853973221941129</v>
      </c>
      <c r="AT986" s="14" t="n">
        <f aca="false">(1-Inputs!$F$130/100)^MAX(0,Time!AT$4-Inputs!$F$131)</f>
        <v>0.850130342442394</v>
      </c>
      <c r="AU986" s="14" t="n">
        <f aca="false">(1-Inputs!$F$130/100)^MAX(0,Time!AU$4-Inputs!$F$131)</f>
        <v>0.846304755901403</v>
      </c>
    </row>
    <row r="987" customFormat="false" ht="15" hidden="false" customHeight="false" outlineLevel="0" collapsed="false">
      <c r="D987" s="0" t="s">
        <v>593</v>
      </c>
      <c r="E987" s="0" t="s">
        <v>458</v>
      </c>
      <c r="J987" s="14" t="n">
        <f aca="false">(IF(Time!J$4&gt;=Inputs!$F$61,Inputs!$F$67,Inputs!$F$66+(Inputs!$F$67-Inputs!$F$66)*(Time!J$4-Inputs!$F$23)/(Inputs!$F$61-Inputs!$F$23))+Operations!$F$839)/100</f>
        <v>0.02</v>
      </c>
      <c r="K987" s="14" t="n">
        <f aca="false">(IF(Time!K$4&gt;=Inputs!$F$61,Inputs!$F$67,Inputs!$F$66+(Inputs!$F$67-Inputs!$F$66)*(Time!K$4-Inputs!$F$23)/(Inputs!$F$61-Inputs!$F$23))+Operations!$F$839)/100</f>
        <v>0.025</v>
      </c>
      <c r="L987" s="14" t="n">
        <f aca="false">(IF(Time!L$4&gt;=Inputs!$F$61,Inputs!$F$67,Inputs!$F$66+(Inputs!$F$67-Inputs!$F$66)*(Time!L$4-Inputs!$F$23)/(Inputs!$F$61-Inputs!$F$23))+Operations!$F$839)/100</f>
        <v>0.03</v>
      </c>
      <c r="M987" s="14" t="n">
        <f aca="false">(IF(Time!M$4&gt;=Inputs!$F$61,Inputs!$F$67,Inputs!$F$66+(Inputs!$F$67-Inputs!$F$66)*(Time!M$4-Inputs!$F$23)/(Inputs!$F$61-Inputs!$F$23))+Operations!$F$839)/100</f>
        <v>0.035</v>
      </c>
      <c r="N987" s="14" t="n">
        <f aca="false">(IF(Time!N$4&gt;=Inputs!$F$61,Inputs!$F$67,Inputs!$F$66+(Inputs!$F$67-Inputs!$F$66)*(Time!N$4-Inputs!$F$23)/(Inputs!$F$61-Inputs!$F$23))+Operations!$F$839)/100</f>
        <v>0.035</v>
      </c>
      <c r="O987" s="14" t="n">
        <f aca="false">(IF(Time!O$4&gt;=Inputs!$F$61,Inputs!$F$67,Inputs!$F$66+(Inputs!$F$67-Inputs!$F$66)*(Time!O$4-Inputs!$F$23)/(Inputs!$F$61-Inputs!$F$23))+Operations!$F$839)/100</f>
        <v>0.035</v>
      </c>
      <c r="P987" s="14" t="n">
        <f aca="false">(IF(Time!P$4&gt;=Inputs!$F$61,Inputs!$F$67,Inputs!$F$66+(Inputs!$F$67-Inputs!$F$66)*(Time!P$4-Inputs!$F$23)/(Inputs!$F$61-Inputs!$F$23))+Operations!$F$839)/100</f>
        <v>0.035</v>
      </c>
      <c r="Q987" s="14" t="n">
        <f aca="false">(IF(Time!Q$4&gt;=Inputs!$F$61,Inputs!$F$67,Inputs!$F$66+(Inputs!$F$67-Inputs!$F$66)*(Time!Q$4-Inputs!$F$23)/(Inputs!$F$61-Inputs!$F$23))+Operations!$F$839)/100</f>
        <v>0.035</v>
      </c>
      <c r="R987" s="14" t="n">
        <f aca="false">(IF(Time!R$4&gt;=Inputs!$F$61,Inputs!$F$67,Inputs!$F$66+(Inputs!$F$67-Inputs!$F$66)*(Time!R$4-Inputs!$F$23)/(Inputs!$F$61-Inputs!$F$23))+Operations!$F$839)/100</f>
        <v>0.035</v>
      </c>
      <c r="S987" s="14" t="n">
        <f aca="false">(IF(Time!S$4&gt;=Inputs!$F$61,Inputs!$F$67,Inputs!$F$66+(Inputs!$F$67-Inputs!$F$66)*(Time!S$4-Inputs!$F$23)/(Inputs!$F$61-Inputs!$F$23))+Operations!$F$839)/100</f>
        <v>0.035</v>
      </c>
      <c r="T987" s="14" t="n">
        <f aca="false">(IF(Time!T$4&gt;=Inputs!$F$61,Inputs!$F$67,Inputs!$F$66+(Inputs!$F$67-Inputs!$F$66)*(Time!T$4-Inputs!$F$23)/(Inputs!$F$61-Inputs!$F$23))+Operations!$F$839)/100</f>
        <v>0.035</v>
      </c>
      <c r="U987" s="14" t="n">
        <f aca="false">(IF(Time!U$4&gt;=Inputs!$F$61,Inputs!$F$67,Inputs!$F$66+(Inputs!$F$67-Inputs!$F$66)*(Time!U$4-Inputs!$F$23)/(Inputs!$F$61-Inputs!$F$23))+Operations!$F$839)/100</f>
        <v>0.035</v>
      </c>
      <c r="V987" s="14" t="n">
        <f aca="false">(IF(Time!V$4&gt;=Inputs!$F$61,Inputs!$F$67,Inputs!$F$66+(Inputs!$F$67-Inputs!$F$66)*(Time!V$4-Inputs!$F$23)/(Inputs!$F$61-Inputs!$F$23))+Operations!$F$839)/100</f>
        <v>0.035</v>
      </c>
      <c r="W987" s="14" t="n">
        <f aca="false">(IF(Time!W$4&gt;=Inputs!$F$61,Inputs!$F$67,Inputs!$F$66+(Inputs!$F$67-Inputs!$F$66)*(Time!W$4-Inputs!$F$23)/(Inputs!$F$61-Inputs!$F$23))+Operations!$F$839)/100</f>
        <v>0.035</v>
      </c>
      <c r="X987" s="14" t="n">
        <f aca="false">(IF(Time!X$4&gt;=Inputs!$F$61,Inputs!$F$67,Inputs!$F$66+(Inputs!$F$67-Inputs!$F$66)*(Time!X$4-Inputs!$F$23)/(Inputs!$F$61-Inputs!$F$23))+Operations!$F$839)/100</f>
        <v>0.035</v>
      </c>
      <c r="Y987" s="14" t="n">
        <f aca="false">(IF(Time!Y$4&gt;=Inputs!$F$61,Inputs!$F$67,Inputs!$F$66+(Inputs!$F$67-Inputs!$F$66)*(Time!Y$4-Inputs!$F$23)/(Inputs!$F$61-Inputs!$F$23))+Operations!$F$839)/100</f>
        <v>0.035</v>
      </c>
      <c r="Z987" s="14" t="n">
        <f aca="false">(IF(Time!Z$4&gt;=Inputs!$F$61,Inputs!$F$67,Inputs!$F$66+(Inputs!$F$67-Inputs!$F$66)*(Time!Z$4-Inputs!$F$23)/(Inputs!$F$61-Inputs!$F$23))+Operations!$F$839)/100</f>
        <v>0.035</v>
      </c>
      <c r="AA987" s="14" t="n">
        <f aca="false">(IF(Time!AA$4&gt;=Inputs!$F$61,Inputs!$F$67,Inputs!$F$66+(Inputs!$F$67-Inputs!$F$66)*(Time!AA$4-Inputs!$F$23)/(Inputs!$F$61-Inputs!$F$23))+Operations!$F$839)/100</f>
        <v>0.035</v>
      </c>
      <c r="AB987" s="14" t="n">
        <f aca="false">(IF(Time!AB$4&gt;=Inputs!$F$61,Inputs!$F$67,Inputs!$F$66+(Inputs!$F$67-Inputs!$F$66)*(Time!AB$4-Inputs!$F$23)/(Inputs!$F$61-Inputs!$F$23))+Operations!$F$839)/100</f>
        <v>0.035</v>
      </c>
      <c r="AC987" s="14" t="n">
        <f aca="false">(IF(Time!AC$4&gt;=Inputs!$F$61,Inputs!$F$67,Inputs!$F$66+(Inputs!$F$67-Inputs!$F$66)*(Time!AC$4-Inputs!$F$23)/(Inputs!$F$61-Inputs!$F$23))+Operations!$F$839)/100</f>
        <v>0.035</v>
      </c>
      <c r="AD987" s="14" t="n">
        <f aca="false">(IF(Time!AD$4&gt;=Inputs!$F$61,Inputs!$F$67,Inputs!$F$66+(Inputs!$F$67-Inputs!$F$66)*(Time!AD$4-Inputs!$F$23)/(Inputs!$F$61-Inputs!$F$23))+Operations!$F$839)/100</f>
        <v>0.035</v>
      </c>
      <c r="AE987" s="14" t="n">
        <f aca="false">(IF(Time!AE$4&gt;=Inputs!$F$61,Inputs!$F$67,Inputs!$F$66+(Inputs!$F$67-Inputs!$F$66)*(Time!AE$4-Inputs!$F$23)/(Inputs!$F$61-Inputs!$F$23))+Operations!$F$839)/100</f>
        <v>0.035</v>
      </c>
      <c r="AF987" s="14" t="n">
        <f aca="false">(IF(Time!AF$4&gt;=Inputs!$F$61,Inputs!$F$67,Inputs!$F$66+(Inputs!$F$67-Inputs!$F$66)*(Time!AF$4-Inputs!$F$23)/(Inputs!$F$61-Inputs!$F$23))+Operations!$F$839)/100</f>
        <v>0.035</v>
      </c>
      <c r="AG987" s="14" t="n">
        <f aca="false">(IF(Time!AG$4&gt;=Inputs!$F$61,Inputs!$F$67,Inputs!$F$66+(Inputs!$F$67-Inputs!$F$66)*(Time!AG$4-Inputs!$F$23)/(Inputs!$F$61-Inputs!$F$23))+Operations!$F$839)/100</f>
        <v>0.035</v>
      </c>
      <c r="AH987" s="14" t="n">
        <f aca="false">(IF(Time!AH$4&gt;=Inputs!$F$61,Inputs!$F$67,Inputs!$F$66+(Inputs!$F$67-Inputs!$F$66)*(Time!AH$4-Inputs!$F$23)/(Inputs!$F$61-Inputs!$F$23))+Operations!$F$839)/100</f>
        <v>0.035</v>
      </c>
      <c r="AI987" s="14" t="n">
        <f aca="false">(IF(Time!AI$4&gt;=Inputs!$F$61,Inputs!$F$67,Inputs!$F$66+(Inputs!$F$67-Inputs!$F$66)*(Time!AI$4-Inputs!$F$23)/(Inputs!$F$61-Inputs!$F$23))+Operations!$F$839)/100</f>
        <v>0.035</v>
      </c>
      <c r="AJ987" s="14" t="n">
        <f aca="false">(IF(Time!AJ$4&gt;=Inputs!$F$61,Inputs!$F$67,Inputs!$F$66+(Inputs!$F$67-Inputs!$F$66)*(Time!AJ$4-Inputs!$F$23)/(Inputs!$F$61-Inputs!$F$23))+Operations!$F$839)/100</f>
        <v>0.035</v>
      </c>
      <c r="AK987" s="14" t="n">
        <f aca="false">(IF(Time!AK$4&gt;=Inputs!$F$61,Inputs!$F$67,Inputs!$F$66+(Inputs!$F$67-Inputs!$F$66)*(Time!AK$4-Inputs!$F$23)/(Inputs!$F$61-Inputs!$F$23))+Operations!$F$839)/100</f>
        <v>0.035</v>
      </c>
      <c r="AL987" s="14" t="n">
        <f aca="false">(IF(Time!AL$4&gt;=Inputs!$F$61,Inputs!$F$67,Inputs!$F$66+(Inputs!$F$67-Inputs!$F$66)*(Time!AL$4-Inputs!$F$23)/(Inputs!$F$61-Inputs!$F$23))+Operations!$F$839)/100</f>
        <v>0.035</v>
      </c>
      <c r="AM987" s="14" t="n">
        <f aca="false">(IF(Time!AM$4&gt;=Inputs!$F$61,Inputs!$F$67,Inputs!$F$66+(Inputs!$F$67-Inputs!$F$66)*(Time!AM$4-Inputs!$F$23)/(Inputs!$F$61-Inputs!$F$23))+Operations!$F$839)/100</f>
        <v>0.035</v>
      </c>
      <c r="AN987" s="14" t="n">
        <f aca="false">(IF(Time!AN$4&gt;=Inputs!$F$61,Inputs!$F$67,Inputs!$F$66+(Inputs!$F$67-Inputs!$F$66)*(Time!AN$4-Inputs!$F$23)/(Inputs!$F$61-Inputs!$F$23))+Operations!$F$839)/100</f>
        <v>0.035</v>
      </c>
      <c r="AO987" s="14" t="n">
        <f aca="false">(IF(Time!AO$4&gt;=Inputs!$F$61,Inputs!$F$67,Inputs!$F$66+(Inputs!$F$67-Inputs!$F$66)*(Time!AO$4-Inputs!$F$23)/(Inputs!$F$61-Inputs!$F$23))+Operations!$F$839)/100</f>
        <v>0.035</v>
      </c>
      <c r="AP987" s="14" t="n">
        <f aca="false">(IF(Time!AP$4&gt;=Inputs!$F$61,Inputs!$F$67,Inputs!$F$66+(Inputs!$F$67-Inputs!$F$66)*(Time!AP$4-Inputs!$F$23)/(Inputs!$F$61-Inputs!$F$23))+Operations!$F$839)/100</f>
        <v>0.035</v>
      </c>
      <c r="AQ987" s="14" t="n">
        <f aca="false">(IF(Time!AQ$4&gt;=Inputs!$F$61,Inputs!$F$67,Inputs!$F$66+(Inputs!$F$67-Inputs!$F$66)*(Time!AQ$4-Inputs!$F$23)/(Inputs!$F$61-Inputs!$F$23))+Operations!$F$839)/100</f>
        <v>0.035</v>
      </c>
      <c r="AR987" s="14" t="n">
        <f aca="false">(IF(Time!AR$4&gt;=Inputs!$F$61,Inputs!$F$67,Inputs!$F$66+(Inputs!$F$67-Inputs!$F$66)*(Time!AR$4-Inputs!$F$23)/(Inputs!$F$61-Inputs!$F$23))+Operations!$F$839)/100</f>
        <v>0.035</v>
      </c>
      <c r="AS987" s="14" t="n">
        <f aca="false">(IF(Time!AS$4&gt;=Inputs!$F$61,Inputs!$F$67,Inputs!$F$66+(Inputs!$F$67-Inputs!$F$66)*(Time!AS$4-Inputs!$F$23)/(Inputs!$F$61-Inputs!$F$23))+Operations!$F$839)/100</f>
        <v>0.035</v>
      </c>
      <c r="AT987" s="14" t="n">
        <f aca="false">(IF(Time!AT$4&gt;=Inputs!$F$61,Inputs!$F$67,Inputs!$F$66+(Inputs!$F$67-Inputs!$F$66)*(Time!AT$4-Inputs!$F$23)/(Inputs!$F$61-Inputs!$F$23))+Operations!$F$839)/100</f>
        <v>0.035</v>
      </c>
      <c r="AU987" s="14" t="n">
        <f aca="false">(IF(Time!AU$4&gt;=Inputs!$F$61,Inputs!$F$67,Inputs!$F$66+(Inputs!$F$67-Inputs!$F$66)*(Time!AU$4-Inputs!$F$23)/(Inputs!$F$61-Inputs!$F$23))+Operations!$F$839)/100</f>
        <v>0.035</v>
      </c>
    </row>
    <row r="988" customFormat="false" ht="15" hidden="false" customHeight="false" outlineLevel="0" collapsed="false">
      <c r="D988" s="0" t="s">
        <v>594</v>
      </c>
      <c r="E988" s="0" t="s">
        <v>466</v>
      </c>
      <c r="J988" s="20" t="n">
        <f aca="false">Inputs!$F$127*Operations!J985*Inputs!$F$192/100*Operations!J986*(1-Operations!J987)</f>
        <v>207.107635609551</v>
      </c>
      <c r="K988" s="20" t="n">
        <f aca="false">Inputs!$F$127*Operations!K985*Inputs!$F$192/100*Operations!K986*(1-Operations!K987)</f>
        <v>205.123734661301</v>
      </c>
      <c r="L988" s="20" t="n">
        <f aca="false">Inputs!$F$127*Operations!L985*Inputs!$F$192/100*Operations!L986*(1-Operations!L987)</f>
        <v>203.153494891964</v>
      </c>
      <c r="M988" s="20" t="n">
        <f aca="false">Inputs!$F$127*Operations!M985*Inputs!$F$192/100*Operations!M986*(1-Operations!M987)</f>
        <v>201.196833524925</v>
      </c>
      <c r="N988" s="20" t="n">
        <f aca="false">Inputs!$F$127*Operations!N985*Inputs!$F$192/100*Operations!N986*(1-Operations!N987)</f>
        <v>200.291447774063</v>
      </c>
      <c r="O988" s="20" t="n">
        <f aca="false">Inputs!$F$127*Operations!O985*Inputs!$F$192/100*Operations!O986*(1-Operations!O987)</f>
        <v>199.39013625908</v>
      </c>
      <c r="P988" s="20" t="n">
        <f aca="false">Inputs!$F$127*Operations!P985*Inputs!$F$192/100*Operations!P986*(1-Operations!P987)</f>
        <v>198.492880645914</v>
      </c>
      <c r="Q988" s="20" t="n">
        <f aca="false">Inputs!$F$127*Operations!Q985*Inputs!$F$192/100*Operations!Q986*(1-Operations!Q987)</f>
        <v>197.599662683007</v>
      </c>
      <c r="R988" s="20" t="n">
        <f aca="false">Inputs!$F$127*Operations!R985*Inputs!$F$192/100*Operations!R986*(1-Operations!R987)</f>
        <v>196.710464200934</v>
      </c>
      <c r="S988" s="20" t="n">
        <f aca="false">Inputs!$F$127*Operations!S985*Inputs!$F$192/100*Operations!S986*(1-Operations!S987)</f>
        <v>195.82526711203</v>
      </c>
      <c r="T988" s="20" t="n">
        <f aca="false">Inputs!$F$127*Operations!T985*Inputs!$F$192/100*Operations!T986*(1-Operations!T987)</f>
        <v>194.944053410025</v>
      </c>
      <c r="U988" s="20" t="n">
        <f aca="false">Inputs!$F$127*Operations!U985*Inputs!$F$192/100*Operations!U986*(1-Operations!U987)</f>
        <v>194.06680516968</v>
      </c>
      <c r="V988" s="20" t="n">
        <f aca="false">Inputs!$F$127*Operations!V985*Inputs!$F$192/100*Operations!V986*(1-Operations!V987)</f>
        <v>193.193504546417</v>
      </c>
      <c r="W988" s="20" t="n">
        <f aca="false">Inputs!$F$127*Operations!W985*Inputs!$F$192/100*Operations!W986*(1-Operations!W987)</f>
        <v>192.324133775958</v>
      </c>
      <c r="X988" s="20" t="n">
        <f aca="false">Inputs!$F$127*Operations!X985*Inputs!$F$192/100*Operations!X986*(1-Operations!X987)</f>
        <v>191.458675173966</v>
      </c>
      <c r="Y988" s="20" t="n">
        <f aca="false">Inputs!$F$127*Operations!Y985*Inputs!$F$192/100*Operations!Y986*(1-Operations!Y987)</f>
        <v>190.597111135683</v>
      </c>
      <c r="Z988" s="20" t="n">
        <f aca="false">Inputs!$F$127*Operations!Z985*Inputs!$F$192/100*Operations!Z986*(1-Operations!Z987)</f>
        <v>189.739424135573</v>
      </c>
      <c r="AA988" s="20" t="n">
        <f aca="false">Inputs!$F$127*Operations!AA985*Inputs!$F$192/100*Operations!AA986*(1-Operations!AA987)</f>
        <v>188.885596726963</v>
      </c>
      <c r="AB988" s="20" t="n">
        <f aca="false">Inputs!$F$127*Operations!AB985*Inputs!$F$192/100*Operations!AB986*(1-Operations!AB987)</f>
        <v>188.035611541691</v>
      </c>
      <c r="AC988" s="20" t="n">
        <f aca="false">Inputs!$F$127*Operations!AC985*Inputs!$F$192/100*Operations!AC986*(1-Operations!AC987)</f>
        <v>187.189451289754</v>
      </c>
      <c r="AD988" s="20" t="n">
        <f aca="false">Inputs!$F$127*Operations!AD985*Inputs!$F$192/100*Operations!AD986*(1-Operations!AD987)</f>
        <v>186.34709875895</v>
      </c>
      <c r="AE988" s="20" t="n">
        <f aca="false">Inputs!$F$127*Operations!AE985*Inputs!$F$192/100*Operations!AE986*(1-Operations!AE987)</f>
        <v>185.508536814535</v>
      </c>
      <c r="AF988" s="20" t="n">
        <f aca="false">Inputs!$F$127*Operations!AF985*Inputs!$F$192/100*Operations!AF986*(1-Operations!AF987)</f>
        <v>184.673748398869</v>
      </c>
      <c r="AG988" s="20" t="n">
        <f aca="false">Inputs!$F$127*Operations!AG985*Inputs!$F$192/100*Operations!AG986*(1-Operations!AG987)</f>
        <v>183.842716531074</v>
      </c>
      <c r="AH988" s="20" t="n">
        <f aca="false">Inputs!$F$127*Operations!AH985*Inputs!$F$192/100*Operations!AH986*(1-Operations!AH987)</f>
        <v>183.015424306684</v>
      </c>
      <c r="AI988" s="20" t="n">
        <f aca="false">Inputs!$F$127*Operations!AI985*Inputs!$F$192/100*Operations!AI986*(1-Operations!AI987)</f>
        <v>182.191854897304</v>
      </c>
      <c r="AJ988" s="20" t="n">
        <f aca="false">Inputs!$F$127*Operations!AJ985*Inputs!$F$192/100*Operations!AJ986*(1-Operations!AJ987)</f>
        <v>181.371991550267</v>
      </c>
      <c r="AK988" s="20" t="n">
        <f aca="false">Inputs!$F$127*Operations!AK985*Inputs!$F$192/100*Operations!AK986*(1-Operations!AK987)</f>
        <v>180.55581758829</v>
      </c>
      <c r="AL988" s="20" t="n">
        <f aca="false">Inputs!$F$127*Operations!AL985*Inputs!$F$192/100*Operations!AL986*(1-Operations!AL987)</f>
        <v>179.743316409143</v>
      </c>
      <c r="AM988" s="20" t="n">
        <f aca="false">Inputs!$F$127*Operations!AM985*Inputs!$F$192/100*Operations!AM986*(1-Operations!AM987)</f>
        <v>178.934471485302</v>
      </c>
      <c r="AN988" s="20" t="n">
        <f aca="false">Inputs!$F$127*Operations!AN985*Inputs!$F$192/100*Operations!AN986*(1-Operations!AN987)</f>
        <v>178.129266363618</v>
      </c>
      <c r="AO988" s="20" t="n">
        <f aca="false">Inputs!$F$127*Operations!AO985*Inputs!$F$192/100*Operations!AO986*(1-Operations!AO987)</f>
        <v>177.327684664982</v>
      </c>
      <c r="AP988" s="20" t="n">
        <f aca="false">Inputs!$F$127*Operations!AP985*Inputs!$F$192/100*Operations!AP986*(1-Operations!AP987)</f>
        <v>176.529710083989</v>
      </c>
      <c r="AQ988" s="20" t="n">
        <f aca="false">Inputs!$F$127*Operations!AQ985*Inputs!$F$192/100*Operations!AQ986*(1-Operations!AQ987)</f>
        <v>175.735326388611</v>
      </c>
      <c r="AR988" s="20" t="n">
        <f aca="false">Inputs!$F$127*Operations!AR985*Inputs!$F$192/100*Operations!AR986*(1-Operations!AR987)</f>
        <v>174.944517419863</v>
      </c>
      <c r="AS988" s="20" t="n">
        <f aca="false">Inputs!$F$127*Operations!AS985*Inputs!$F$192/100*Operations!AS986*(1-Operations!AS987)</f>
        <v>174.157267091473</v>
      </c>
      <c r="AT988" s="20" t="n">
        <f aca="false">Inputs!$F$127*Operations!AT985*Inputs!$F$192/100*Operations!AT986*(1-Operations!AT987)</f>
        <v>173.373559389562</v>
      </c>
      <c r="AU988" s="20" t="n">
        <f aca="false">Inputs!$F$127*Operations!AU985*Inputs!$F$192/100*Operations!AU986*(1-Operations!AU987)</f>
        <v>172.593378372309</v>
      </c>
    </row>
    <row r="989" customFormat="false" ht="15" hidden="false" customHeight="false" outlineLevel="0" collapsed="false">
      <c r="D989" s="0" t="s">
        <v>595</v>
      </c>
      <c r="E989" s="0" t="s">
        <v>466</v>
      </c>
      <c r="G989" s="20" t="n">
        <f aca="false">SUM(J989:AU989)</f>
        <v>6419.86342300405</v>
      </c>
      <c r="J989" s="20" t="n">
        <f aca="false">Operations!J988*Operations!J981</f>
        <v>207.107635609551</v>
      </c>
      <c r="K989" s="20" t="n">
        <f aca="false">Operations!K988*Operations!K981</f>
        <v>205.123734661301</v>
      </c>
      <c r="L989" s="20" t="n">
        <f aca="false">Operations!L988*Operations!L981</f>
        <v>203.153494891964</v>
      </c>
      <c r="M989" s="20" t="n">
        <f aca="false">Operations!M988*Operations!M981</f>
        <v>201.196833524925</v>
      </c>
      <c r="N989" s="20" t="n">
        <f aca="false">Operations!N988*Operations!N981</f>
        <v>200.291447774063</v>
      </c>
      <c r="O989" s="20" t="n">
        <f aca="false">Operations!O988*Operations!O981</f>
        <v>199.39013625908</v>
      </c>
      <c r="P989" s="20" t="n">
        <f aca="false">Operations!P988*Operations!P981</f>
        <v>198.492880645914</v>
      </c>
      <c r="Q989" s="20" t="n">
        <f aca="false">Operations!Q988*Operations!Q981</f>
        <v>197.599662683007</v>
      </c>
      <c r="R989" s="20" t="n">
        <f aca="false">Operations!R988*Operations!R981</f>
        <v>196.710464200934</v>
      </c>
      <c r="S989" s="20" t="n">
        <f aca="false">Operations!S988*Operations!S981</f>
        <v>195.82526711203</v>
      </c>
      <c r="T989" s="20" t="n">
        <f aca="false">Operations!T988*Operations!T981</f>
        <v>194.944053410025</v>
      </c>
      <c r="U989" s="20" t="n">
        <f aca="false">Operations!U988*Operations!U981</f>
        <v>194.06680516968</v>
      </c>
      <c r="V989" s="20" t="n">
        <f aca="false">Operations!V988*Operations!V981</f>
        <v>193.193504546417</v>
      </c>
      <c r="W989" s="20" t="n">
        <f aca="false">Operations!W988*Operations!W981</f>
        <v>192.324133775958</v>
      </c>
      <c r="X989" s="20" t="n">
        <f aca="false">Operations!X988*Operations!X981</f>
        <v>191.458675173966</v>
      </c>
      <c r="Y989" s="20" t="n">
        <f aca="false">Operations!Y988*Operations!Y981</f>
        <v>190.597111135683</v>
      </c>
      <c r="Z989" s="20" t="n">
        <f aca="false">Operations!Z988*Operations!Z981</f>
        <v>189.739424135573</v>
      </c>
      <c r="AA989" s="20" t="n">
        <f aca="false">Operations!AA988*Operations!AA981</f>
        <v>188.885596726963</v>
      </c>
      <c r="AB989" s="20" t="n">
        <f aca="false">Operations!AB988*Operations!AB981</f>
        <v>188.035611541691</v>
      </c>
      <c r="AC989" s="20" t="n">
        <f aca="false">Operations!AC988*Operations!AC981</f>
        <v>187.189451289754</v>
      </c>
      <c r="AD989" s="20" t="n">
        <f aca="false">Operations!AD988*Operations!AD981</f>
        <v>186.34709875895</v>
      </c>
      <c r="AE989" s="20" t="n">
        <f aca="false">Operations!AE988*Operations!AE981</f>
        <v>185.508536814535</v>
      </c>
      <c r="AF989" s="20" t="n">
        <f aca="false">Operations!AF988*Operations!AF981</f>
        <v>184.673748398869</v>
      </c>
      <c r="AG989" s="20" t="n">
        <f aca="false">Operations!AG988*Operations!AG981</f>
        <v>183.842716531074</v>
      </c>
      <c r="AH989" s="20" t="n">
        <f aca="false">Operations!AH988*Operations!AH981</f>
        <v>183.015424306684</v>
      </c>
      <c r="AI989" s="20" t="n">
        <f aca="false">Operations!AI988*Operations!AI981</f>
        <v>182.191854897304</v>
      </c>
      <c r="AJ989" s="20" t="n">
        <f aca="false">Operations!AJ988*Operations!AJ981</f>
        <v>181.371991550267</v>
      </c>
      <c r="AK989" s="20" t="n">
        <f aca="false">Operations!AK988*Operations!AK981</f>
        <v>180.55581758829</v>
      </c>
      <c r="AL989" s="20" t="n">
        <f aca="false">Operations!AL988*Operations!AL981</f>
        <v>179.743316409143</v>
      </c>
      <c r="AM989" s="20" t="n">
        <f aca="false">Operations!AM988*Operations!AM981</f>
        <v>178.934471485302</v>
      </c>
      <c r="AN989" s="20" t="n">
        <f aca="false">Operations!AN988*Operations!AN981</f>
        <v>178.129266363618</v>
      </c>
      <c r="AO989" s="20" t="n">
        <f aca="false">Operations!AO988*Operations!AO981</f>
        <v>177.327684664982</v>
      </c>
      <c r="AP989" s="20" t="n">
        <f aca="false">Operations!AP988*Operations!AP981</f>
        <v>176.529710083989</v>
      </c>
      <c r="AQ989" s="20" t="n">
        <f aca="false">Operations!AQ988*Operations!AQ981</f>
        <v>146.365860882569</v>
      </c>
      <c r="AR989" s="20" t="n">
        <f aca="false">Operations!AR988*Operations!AR981</f>
        <v>0</v>
      </c>
      <c r="AS989" s="20" t="n">
        <f aca="false">Operations!AS988*Operations!AS981</f>
        <v>0</v>
      </c>
      <c r="AT989" s="20" t="n">
        <f aca="false">Operations!AT988*Operations!AT981</f>
        <v>0</v>
      </c>
      <c r="AU989" s="20" t="n">
        <f aca="false">Operations!AU988*Operations!AU981</f>
        <v>0</v>
      </c>
    </row>
    <row r="990" customFormat="false" ht="15" hidden="false" customHeight="false" outlineLevel="0" collapsed="false">
      <c r="D990" s="0" t="s">
        <v>596</v>
      </c>
      <c r="E990" s="0" t="s">
        <v>54</v>
      </c>
      <c r="J990" s="14" t="n">
        <f aca="false">Operations!J849</f>
        <v>0.86</v>
      </c>
      <c r="K990" s="14" t="n">
        <f aca="false">Operations!K849</f>
        <v>0.84</v>
      </c>
      <c r="L990" s="14" t="n">
        <f aca="false">Operations!L849</f>
        <v>0.82</v>
      </c>
      <c r="M990" s="14" t="n">
        <f aca="false">Operations!M849</f>
        <v>0.8</v>
      </c>
      <c r="N990" s="14" t="n">
        <f aca="false">Operations!N849</f>
        <v>0.78</v>
      </c>
      <c r="O990" s="14" t="n">
        <f aca="false">Operations!O849</f>
        <v>0.76</v>
      </c>
      <c r="P990" s="14" t="n">
        <f aca="false">Operations!P849</f>
        <v>0.74</v>
      </c>
      <c r="Q990" s="14" t="n">
        <f aca="false">Operations!Q849</f>
        <v>0.72</v>
      </c>
      <c r="R990" s="14" t="n">
        <f aca="false">Operations!R849</f>
        <v>0.7</v>
      </c>
      <c r="S990" s="14" t="n">
        <f aca="false">Operations!S849</f>
        <v>0.68</v>
      </c>
      <c r="T990" s="14" t="n">
        <f aca="false">Operations!T849</f>
        <v>0.66</v>
      </c>
      <c r="U990" s="14" t="n">
        <f aca="false">Operations!U849</f>
        <v>0.64</v>
      </c>
      <c r="V990" s="14" t="n">
        <f aca="false">Operations!V849</f>
        <v>0.62</v>
      </c>
      <c r="W990" s="14" t="n">
        <f aca="false">Operations!W849</f>
        <v>0.6</v>
      </c>
      <c r="X990" s="14" t="n">
        <f aca="false">Operations!X849</f>
        <v>0.6</v>
      </c>
      <c r="Y990" s="14" t="n">
        <f aca="false">Operations!Y849</f>
        <v>0.6</v>
      </c>
      <c r="Z990" s="14" t="n">
        <f aca="false">Operations!Z849</f>
        <v>0.6</v>
      </c>
      <c r="AA990" s="14" t="n">
        <f aca="false">Operations!AA849</f>
        <v>0.6</v>
      </c>
      <c r="AB990" s="14" t="n">
        <f aca="false">Operations!AB849</f>
        <v>0.6</v>
      </c>
      <c r="AC990" s="14" t="n">
        <f aca="false">Operations!AC849</f>
        <v>0.6</v>
      </c>
      <c r="AD990" s="14" t="n">
        <f aca="false">Operations!AD849</f>
        <v>0.6</v>
      </c>
      <c r="AE990" s="14" t="n">
        <f aca="false">Operations!AE849</f>
        <v>0.6</v>
      </c>
      <c r="AF990" s="14" t="n">
        <f aca="false">Operations!AF849</f>
        <v>0.6</v>
      </c>
      <c r="AG990" s="14" t="n">
        <f aca="false">Operations!AG849</f>
        <v>0.6</v>
      </c>
      <c r="AH990" s="14" t="n">
        <f aca="false">Operations!AH849</f>
        <v>0.6</v>
      </c>
      <c r="AI990" s="14" t="n">
        <f aca="false">Operations!AI849</f>
        <v>0.6</v>
      </c>
      <c r="AJ990" s="14" t="n">
        <f aca="false">Operations!AJ849</f>
        <v>0.6</v>
      </c>
      <c r="AK990" s="14" t="n">
        <f aca="false">Operations!AK849</f>
        <v>0.6</v>
      </c>
      <c r="AL990" s="14" t="n">
        <f aca="false">Operations!AL849</f>
        <v>0.6</v>
      </c>
      <c r="AM990" s="14" t="n">
        <f aca="false">Operations!AM849</f>
        <v>0.6</v>
      </c>
      <c r="AN990" s="14" t="n">
        <f aca="false">Operations!AN849</f>
        <v>0.6</v>
      </c>
      <c r="AO990" s="14" t="n">
        <f aca="false">Operations!AO849</f>
        <v>0.6</v>
      </c>
      <c r="AP990" s="14" t="n">
        <f aca="false">Operations!AP849</f>
        <v>0.6</v>
      </c>
      <c r="AQ990" s="14" t="n">
        <f aca="false">Operations!AQ849</f>
        <v>0.6</v>
      </c>
      <c r="AR990" s="14" t="n">
        <f aca="false">Operations!AR849</f>
        <v>0.6</v>
      </c>
      <c r="AS990" s="14" t="n">
        <f aca="false">Operations!AS849</f>
        <v>0.6</v>
      </c>
      <c r="AT990" s="14" t="n">
        <f aca="false">Operations!AT849</f>
        <v>0.6</v>
      </c>
      <c r="AU990" s="14" t="n">
        <f aca="false">Operations!AU849</f>
        <v>0.6</v>
      </c>
    </row>
    <row r="991" customFormat="false" ht="15" hidden="false" customHeight="false" outlineLevel="0" collapsed="false">
      <c r="D991" s="0" t="s">
        <v>597</v>
      </c>
      <c r="E991" s="0" t="s">
        <v>54</v>
      </c>
      <c r="J991" s="14" t="n">
        <f aca="false">Operations!J990-Inputs!$F$52</f>
        <v>0.83</v>
      </c>
      <c r="K991" s="14" t="n">
        <f aca="false">Operations!K990-Inputs!$F$52</f>
        <v>0.81</v>
      </c>
      <c r="L991" s="14" t="n">
        <f aca="false">Operations!L990-Inputs!$F$52</f>
        <v>0.79</v>
      </c>
      <c r="M991" s="14" t="n">
        <f aca="false">Operations!M990-Inputs!$F$52</f>
        <v>0.77</v>
      </c>
      <c r="N991" s="14" t="n">
        <f aca="false">Operations!N990-Inputs!$F$52</f>
        <v>0.75</v>
      </c>
      <c r="O991" s="14" t="n">
        <f aca="false">Operations!O990-Inputs!$F$52</f>
        <v>0.73</v>
      </c>
      <c r="P991" s="14" t="n">
        <f aca="false">Operations!P990-Inputs!$F$52</f>
        <v>0.71</v>
      </c>
      <c r="Q991" s="14" t="n">
        <f aca="false">Operations!Q990-Inputs!$F$52</f>
        <v>0.69</v>
      </c>
      <c r="R991" s="14" t="n">
        <f aca="false">Operations!R990-Inputs!$F$52</f>
        <v>0.67</v>
      </c>
      <c r="S991" s="14" t="n">
        <f aca="false">Operations!S990-Inputs!$F$52</f>
        <v>0.65</v>
      </c>
      <c r="T991" s="14" t="n">
        <f aca="false">Operations!T990-Inputs!$F$52</f>
        <v>0.63</v>
      </c>
      <c r="U991" s="14" t="n">
        <f aca="false">Operations!U990-Inputs!$F$52</f>
        <v>0.61</v>
      </c>
      <c r="V991" s="14" t="n">
        <f aca="false">Operations!V990-Inputs!$F$52</f>
        <v>0.59</v>
      </c>
      <c r="W991" s="14" t="n">
        <f aca="false">Operations!W990-Inputs!$F$52</f>
        <v>0.57</v>
      </c>
      <c r="X991" s="14" t="n">
        <f aca="false">Operations!X990-Inputs!$F$52</f>
        <v>0.57</v>
      </c>
      <c r="Y991" s="14" t="n">
        <f aca="false">Operations!Y990-Inputs!$F$52</f>
        <v>0.57</v>
      </c>
      <c r="Z991" s="14" t="n">
        <f aca="false">Operations!Z990-Inputs!$F$52</f>
        <v>0.57</v>
      </c>
      <c r="AA991" s="14" t="n">
        <f aca="false">Operations!AA990-Inputs!$F$52</f>
        <v>0.57</v>
      </c>
      <c r="AB991" s="14" t="n">
        <f aca="false">Operations!AB990-Inputs!$F$52</f>
        <v>0.57</v>
      </c>
      <c r="AC991" s="14" t="n">
        <f aca="false">Operations!AC990-Inputs!$F$52</f>
        <v>0.57</v>
      </c>
      <c r="AD991" s="14" t="n">
        <f aca="false">Operations!AD990-Inputs!$F$52</f>
        <v>0.57</v>
      </c>
      <c r="AE991" s="14" t="n">
        <f aca="false">Operations!AE990-Inputs!$F$52</f>
        <v>0.57</v>
      </c>
      <c r="AF991" s="14" t="n">
        <f aca="false">Operations!AF990-Inputs!$F$52</f>
        <v>0.57</v>
      </c>
      <c r="AG991" s="14" t="n">
        <f aca="false">Operations!AG990-Inputs!$F$52</f>
        <v>0.57</v>
      </c>
      <c r="AH991" s="14" t="n">
        <f aca="false">Operations!AH990-Inputs!$F$52</f>
        <v>0.57</v>
      </c>
      <c r="AI991" s="14" t="n">
        <f aca="false">Operations!AI990-Inputs!$F$52</f>
        <v>0.57</v>
      </c>
      <c r="AJ991" s="14" t="n">
        <f aca="false">Operations!AJ990-Inputs!$F$52</f>
        <v>0.57</v>
      </c>
      <c r="AK991" s="14" t="n">
        <f aca="false">Operations!AK990-Inputs!$F$52</f>
        <v>0.57</v>
      </c>
      <c r="AL991" s="14" t="n">
        <f aca="false">Operations!AL990-Inputs!$F$52</f>
        <v>0.57</v>
      </c>
      <c r="AM991" s="14" t="n">
        <f aca="false">Operations!AM990-Inputs!$F$52</f>
        <v>0.57</v>
      </c>
      <c r="AN991" s="14" t="n">
        <f aca="false">Operations!AN990-Inputs!$F$52</f>
        <v>0.57</v>
      </c>
      <c r="AO991" s="14" t="n">
        <f aca="false">Operations!AO990-Inputs!$F$52</f>
        <v>0.57</v>
      </c>
      <c r="AP991" s="14" t="n">
        <f aca="false">Operations!AP990-Inputs!$F$52</f>
        <v>0.57</v>
      </c>
      <c r="AQ991" s="14" t="n">
        <f aca="false">Operations!AQ990-Inputs!$F$52</f>
        <v>0.57</v>
      </c>
      <c r="AR991" s="14" t="n">
        <f aca="false">Operations!AR990-Inputs!$F$52</f>
        <v>0.57</v>
      </c>
      <c r="AS991" s="14" t="n">
        <f aca="false">Operations!AS990-Inputs!$F$52</f>
        <v>0.57</v>
      </c>
      <c r="AT991" s="14" t="n">
        <f aca="false">Operations!AT990-Inputs!$F$52</f>
        <v>0.57</v>
      </c>
      <c r="AU991" s="14" t="n">
        <f aca="false">Operations!AU990-Inputs!$F$52</f>
        <v>0.57</v>
      </c>
    </row>
    <row r="992" customFormat="false" ht="15" hidden="false" customHeight="false" outlineLevel="0" collapsed="false">
      <c r="D992" s="0" t="s">
        <v>598</v>
      </c>
      <c r="E992" s="0" t="s">
        <v>96</v>
      </c>
      <c r="J992" s="18" t="n">
        <f aca="false">Operations!J984*Operations!J991</f>
        <v>59.936624</v>
      </c>
      <c r="K992" s="18" t="n">
        <f aca="false">Operations!K984*Operations!K991</f>
        <v>47.985696</v>
      </c>
      <c r="L992" s="18" t="n">
        <f aca="false">Operations!L984*Operations!L991</f>
        <v>23.018072</v>
      </c>
      <c r="M992" s="18" t="n">
        <f aca="false">Operations!M984*Operations!M991</f>
        <v>29.665328</v>
      </c>
      <c r="N992" s="18" t="n">
        <f aca="false">Operations!N984*Operations!N991</f>
        <v>32.3796</v>
      </c>
      <c r="O992" s="18" t="n">
        <f aca="false">Operations!O984*Operations!O991</f>
        <v>33.424072</v>
      </c>
      <c r="P992" s="18" t="n">
        <f aca="false">Operations!P984*Operations!P991</f>
        <v>33.745448</v>
      </c>
      <c r="Q992" s="18" t="n">
        <f aca="false">Operations!Q984*Operations!Q991</f>
        <v>33.663168</v>
      </c>
      <c r="R992" s="18" t="n">
        <f aca="false">Operations!R984*Operations!R991</f>
        <v>33.595408</v>
      </c>
      <c r="S992" s="18" t="n">
        <f aca="false">Operations!S984*Operations!S991</f>
        <v>33.246928</v>
      </c>
      <c r="T992" s="18" t="n">
        <f aca="false">Operations!T984*Operations!T991</f>
        <v>32.870376</v>
      </c>
      <c r="U992" s="18" t="n">
        <f aca="false">Operations!U984*Operations!U991</f>
        <v>32.4645904</v>
      </c>
      <c r="V992" s="18" t="n">
        <f aca="false">Operations!V984*Operations!V991</f>
        <v>32.0284096</v>
      </c>
      <c r="W992" s="18" t="n">
        <f aca="false">Operations!W984*Operations!W991</f>
        <v>31.560672</v>
      </c>
      <c r="X992" s="18" t="n">
        <f aca="false">Operations!X984*Operations!X991</f>
        <v>32.1896784</v>
      </c>
      <c r="Y992" s="18" t="n">
        <f aca="false">Operations!Y984*Operations!Y991</f>
        <v>32.8352376</v>
      </c>
      <c r="Z992" s="18" t="n">
        <f aca="false">Operations!Z984*Operations!Z991</f>
        <v>33.491832</v>
      </c>
      <c r="AA992" s="18" t="n">
        <f aca="false">Operations!AA984*Operations!AA991</f>
        <v>34.1594616</v>
      </c>
      <c r="AB992" s="18" t="n">
        <f aca="false">Operations!AB984*Operations!AB991</f>
        <v>34.843644</v>
      </c>
      <c r="AC992" s="18" t="n">
        <f aca="false">Operations!AC984*Operations!AC991</f>
        <v>35.5388616</v>
      </c>
      <c r="AD992" s="18" t="n">
        <f aca="false">Operations!AD984*Operations!AD991</f>
        <v>36.250632</v>
      </c>
      <c r="AE992" s="18" t="n">
        <f aca="false">Operations!AE984*Operations!AE991</f>
        <v>36.9734376</v>
      </c>
      <c r="AF992" s="18" t="n">
        <f aca="false">Operations!AF984*Operations!AF991</f>
        <v>37.712796</v>
      </c>
      <c r="AG992" s="18" t="n">
        <f aca="false">Operations!AG984*Operations!AG991</f>
        <v>38.4687072</v>
      </c>
      <c r="AH992" s="18" t="n">
        <f aca="false">Operations!AH984*Operations!AH991</f>
        <v>39.2356536</v>
      </c>
      <c r="AI992" s="18" t="n">
        <f aca="false">Operations!AI984*Operations!AI991</f>
        <v>40.0191528</v>
      </c>
      <c r="AJ992" s="18" t="n">
        <f aca="false">Operations!AJ984*Operations!AJ991</f>
        <v>40.8192048</v>
      </c>
      <c r="AK992" s="18" t="n">
        <f aca="false">Operations!AK984*Operations!AK991</f>
        <v>41.6358096</v>
      </c>
      <c r="AL992" s="18" t="n">
        <f aca="false">Operations!AL984*Operations!AL991</f>
        <v>42.4689672</v>
      </c>
      <c r="AM992" s="18" t="n">
        <f aca="false">Operations!AM984*Operations!AM991</f>
        <v>43.3186776</v>
      </c>
      <c r="AN992" s="18" t="n">
        <f aca="false">Operations!AN984*Operations!AN991</f>
        <v>44.1849408</v>
      </c>
      <c r="AO992" s="18" t="n">
        <f aca="false">Operations!AO984*Operations!AO991</f>
        <v>45.0677568</v>
      </c>
      <c r="AP992" s="18" t="n">
        <f aca="false">Operations!AP984*Operations!AP991</f>
        <v>45.9671256</v>
      </c>
      <c r="AQ992" s="18" t="n">
        <f aca="false">Operations!AQ984*Operations!AQ991</f>
        <v>46.8885648</v>
      </c>
      <c r="AR992" s="18" t="n">
        <f aca="false">Operations!AR984*Operations!AR991</f>
        <v>47.8265568</v>
      </c>
      <c r="AS992" s="18" t="n">
        <f aca="false">Operations!AS984*Operations!AS991</f>
        <v>48.7811016</v>
      </c>
      <c r="AT992" s="18" t="n">
        <f aca="false">Operations!AT984*Operations!AT991</f>
        <v>49.7577168</v>
      </c>
      <c r="AU992" s="18" t="n">
        <f aca="false">Operations!AU984*Operations!AU991</f>
        <v>50.7508848</v>
      </c>
    </row>
    <row r="993" customFormat="false" ht="15" hidden="false" customHeight="false" outlineLevel="0" collapsed="false">
      <c r="D993" s="0" t="s">
        <v>599</v>
      </c>
      <c r="E993" s="0" t="s">
        <v>458</v>
      </c>
      <c r="J993" s="14" t="n">
        <f aca="false">MAX(0,MIN(Inputs!$F$210,Time!J$6)-MAX(Inputs!$F$209-1,Time!J$5))/Time!J$7</f>
        <v>1</v>
      </c>
      <c r="K993" s="14" t="n">
        <f aca="false">MAX(0,MIN(Inputs!$F$210,Time!K$6)-MAX(Inputs!$F$209-1,Time!K$5))/Time!K$7</f>
        <v>1</v>
      </c>
      <c r="L993" s="14" t="n">
        <f aca="false">MAX(0,MIN(Inputs!$F$210,Time!L$6)-MAX(Inputs!$F$209-1,Time!L$5))/Time!L$7</f>
        <v>1</v>
      </c>
      <c r="M993" s="14" t="n">
        <f aca="false">MAX(0,MIN(Inputs!$F$210,Time!M$6)-MAX(Inputs!$F$209-1,Time!M$5))/Time!M$7</f>
        <v>1</v>
      </c>
      <c r="N993" s="14" t="n">
        <f aca="false">MAX(0,MIN(Inputs!$F$210,Time!N$6)-MAX(Inputs!$F$209-1,Time!N$5))/Time!N$7</f>
        <v>1</v>
      </c>
      <c r="O993" s="14" t="n">
        <f aca="false">MAX(0,MIN(Inputs!$F$210,Time!O$6)-MAX(Inputs!$F$209-1,Time!O$5))/Time!O$7</f>
        <v>0</v>
      </c>
      <c r="P993" s="14" t="n">
        <f aca="false">MAX(0,MIN(Inputs!$F$210,Time!P$6)-MAX(Inputs!$F$209-1,Time!P$5))/Time!P$7</f>
        <v>0</v>
      </c>
      <c r="Q993" s="14" t="n">
        <f aca="false">MAX(0,MIN(Inputs!$F$210,Time!Q$6)-MAX(Inputs!$F$209-1,Time!Q$5))/Time!Q$7</f>
        <v>0</v>
      </c>
      <c r="R993" s="14" t="n">
        <f aca="false">MAX(0,MIN(Inputs!$F$210,Time!R$6)-MAX(Inputs!$F$209-1,Time!R$5))/Time!R$7</f>
        <v>0</v>
      </c>
      <c r="S993" s="14" t="n">
        <f aca="false">MAX(0,MIN(Inputs!$F$210,Time!S$6)-MAX(Inputs!$F$209-1,Time!S$5))/Time!S$7</f>
        <v>0</v>
      </c>
      <c r="T993" s="14" t="n">
        <f aca="false">MAX(0,MIN(Inputs!$F$210,Time!T$6)-MAX(Inputs!$F$209-1,Time!T$5))/Time!T$7</f>
        <v>0</v>
      </c>
      <c r="U993" s="14" t="n">
        <f aca="false">MAX(0,MIN(Inputs!$F$210,Time!U$6)-MAX(Inputs!$F$209-1,Time!U$5))/Time!U$7</f>
        <v>0</v>
      </c>
      <c r="V993" s="14" t="n">
        <f aca="false">MAX(0,MIN(Inputs!$F$210,Time!V$6)-MAX(Inputs!$F$209-1,Time!V$5))/Time!V$7</f>
        <v>0</v>
      </c>
      <c r="W993" s="14" t="n">
        <f aca="false">MAX(0,MIN(Inputs!$F$210,Time!W$6)-MAX(Inputs!$F$209-1,Time!W$5))/Time!W$7</f>
        <v>0</v>
      </c>
      <c r="X993" s="14" t="n">
        <f aca="false">MAX(0,MIN(Inputs!$F$210,Time!X$6)-MAX(Inputs!$F$209-1,Time!X$5))/Time!X$7</f>
        <v>0</v>
      </c>
      <c r="Y993" s="14" t="n">
        <f aca="false">MAX(0,MIN(Inputs!$F$210,Time!Y$6)-MAX(Inputs!$F$209-1,Time!Y$5))/Time!Y$7</f>
        <v>0</v>
      </c>
      <c r="Z993" s="14" t="n">
        <f aca="false">MAX(0,MIN(Inputs!$F$210,Time!Z$6)-MAX(Inputs!$F$209-1,Time!Z$5))/Time!Z$7</f>
        <v>0</v>
      </c>
      <c r="AA993" s="14" t="n">
        <f aca="false">MAX(0,MIN(Inputs!$F$210,Time!AA$6)-MAX(Inputs!$F$209-1,Time!AA$5))/Time!AA$7</f>
        <v>0</v>
      </c>
      <c r="AB993" s="14" t="n">
        <f aca="false">MAX(0,MIN(Inputs!$F$210,Time!AB$6)-MAX(Inputs!$F$209-1,Time!AB$5))/Time!AB$7</f>
        <v>0</v>
      </c>
      <c r="AC993" s="14" t="n">
        <f aca="false">MAX(0,MIN(Inputs!$F$210,Time!AC$6)-MAX(Inputs!$F$209-1,Time!AC$5))/Time!AC$7</f>
        <v>0</v>
      </c>
      <c r="AD993" s="14" t="n">
        <f aca="false">MAX(0,MIN(Inputs!$F$210,Time!AD$6)-MAX(Inputs!$F$209-1,Time!AD$5))/Time!AD$7</f>
        <v>0</v>
      </c>
      <c r="AE993" s="14" t="n">
        <f aca="false">MAX(0,MIN(Inputs!$F$210,Time!AE$6)-MAX(Inputs!$F$209-1,Time!AE$5))/Time!AE$7</f>
        <v>0</v>
      </c>
      <c r="AF993" s="14" t="n">
        <f aca="false">MAX(0,MIN(Inputs!$F$210,Time!AF$6)-MAX(Inputs!$F$209-1,Time!AF$5))/Time!AF$7</f>
        <v>0</v>
      </c>
      <c r="AG993" s="14" t="n">
        <f aca="false">MAX(0,MIN(Inputs!$F$210,Time!AG$6)-MAX(Inputs!$F$209-1,Time!AG$5))/Time!AG$7</f>
        <v>0</v>
      </c>
      <c r="AH993" s="14" t="n">
        <f aca="false">MAX(0,MIN(Inputs!$F$210,Time!AH$6)-MAX(Inputs!$F$209-1,Time!AH$5))/Time!AH$7</f>
        <v>0</v>
      </c>
      <c r="AI993" s="14" t="n">
        <f aca="false">MAX(0,MIN(Inputs!$F$210,Time!AI$6)-MAX(Inputs!$F$209-1,Time!AI$5))/Time!AI$7</f>
        <v>0</v>
      </c>
      <c r="AJ993" s="14" t="n">
        <f aca="false">MAX(0,MIN(Inputs!$F$210,Time!AJ$6)-MAX(Inputs!$F$209-1,Time!AJ$5))/Time!AJ$7</f>
        <v>0</v>
      </c>
      <c r="AK993" s="14" t="n">
        <f aca="false">MAX(0,MIN(Inputs!$F$210,Time!AK$6)-MAX(Inputs!$F$209-1,Time!AK$5))/Time!AK$7</f>
        <v>0</v>
      </c>
      <c r="AL993" s="14" t="n">
        <f aca="false">MAX(0,MIN(Inputs!$F$210,Time!AL$6)-MAX(Inputs!$F$209-1,Time!AL$5))/Time!AL$7</f>
        <v>0</v>
      </c>
      <c r="AM993" s="14" t="n">
        <f aca="false">MAX(0,MIN(Inputs!$F$210,Time!AM$6)-MAX(Inputs!$F$209-1,Time!AM$5))/Time!AM$7</f>
        <v>0</v>
      </c>
      <c r="AN993" s="14" t="n">
        <f aca="false">MAX(0,MIN(Inputs!$F$210,Time!AN$6)-MAX(Inputs!$F$209-1,Time!AN$5))/Time!AN$7</f>
        <v>0</v>
      </c>
      <c r="AO993" s="14" t="n">
        <f aca="false">MAX(0,MIN(Inputs!$F$210,Time!AO$6)-MAX(Inputs!$F$209-1,Time!AO$5))/Time!AO$7</f>
        <v>0</v>
      </c>
      <c r="AP993" s="14" t="n">
        <f aca="false">MAX(0,MIN(Inputs!$F$210,Time!AP$6)-MAX(Inputs!$F$209-1,Time!AP$5))/Time!AP$7</f>
        <v>0</v>
      </c>
      <c r="AQ993" s="14" t="n">
        <f aca="false">MAX(0,MIN(Inputs!$F$210,Time!AQ$6)-MAX(Inputs!$F$209-1,Time!AQ$5))/Time!AQ$7</f>
        <v>0</v>
      </c>
      <c r="AR993" s="14" t="n">
        <f aca="false">MAX(0,MIN(Inputs!$F$210,Time!AR$6)-MAX(Inputs!$F$209-1,Time!AR$5))/Time!AR$7</f>
        <v>0</v>
      </c>
      <c r="AS993" s="14" t="n">
        <f aca="false">MAX(0,MIN(Inputs!$F$210,Time!AS$6)-MAX(Inputs!$F$209-1,Time!AS$5))/Time!AS$7</f>
        <v>0</v>
      </c>
      <c r="AT993" s="14" t="n">
        <f aca="false">MAX(0,MIN(Inputs!$F$210,Time!AT$6)-MAX(Inputs!$F$209-1,Time!AT$5))/Time!AT$7</f>
        <v>0</v>
      </c>
      <c r="AU993" s="14" t="n">
        <f aca="false">MAX(0,MIN(Inputs!$F$210,Time!AU$6)-MAX(Inputs!$F$209-1,Time!AU$5))/Time!AU$7</f>
        <v>0</v>
      </c>
    </row>
    <row r="994" customFormat="false" ht="15" hidden="false" customHeight="false" outlineLevel="0" collapsed="false">
      <c r="D994" s="0" t="s">
        <v>240</v>
      </c>
      <c r="E994" s="0" t="s">
        <v>466</v>
      </c>
      <c r="J994" s="20" t="n">
        <f aca="false">Inputs!$F$207*Operations!J993</f>
        <v>168.4</v>
      </c>
      <c r="K994" s="20" t="n">
        <f aca="false">Inputs!$F$207*Operations!K993</f>
        <v>168.4</v>
      </c>
      <c r="L994" s="20" t="n">
        <f aca="false">Inputs!$F$207*Operations!L993</f>
        <v>168.4</v>
      </c>
      <c r="M994" s="20" t="n">
        <f aca="false">Inputs!$F$207*Operations!M993</f>
        <v>168.4</v>
      </c>
      <c r="N994" s="20" t="n">
        <f aca="false">Inputs!$F$207*Operations!N993</f>
        <v>168.4</v>
      </c>
      <c r="O994" s="20" t="n">
        <f aca="false">Inputs!$F$207*Operations!O993</f>
        <v>0</v>
      </c>
      <c r="P994" s="20" t="n">
        <f aca="false">Inputs!$F$207*Operations!P993</f>
        <v>0</v>
      </c>
      <c r="Q994" s="20" t="n">
        <f aca="false">Inputs!$F$207*Operations!Q993</f>
        <v>0</v>
      </c>
      <c r="R994" s="20" t="n">
        <f aca="false">Inputs!$F$207*Operations!R993</f>
        <v>0</v>
      </c>
      <c r="S994" s="20" t="n">
        <f aca="false">Inputs!$F$207*Operations!S993</f>
        <v>0</v>
      </c>
      <c r="T994" s="20" t="n">
        <f aca="false">Inputs!$F$207*Operations!T993</f>
        <v>0</v>
      </c>
      <c r="U994" s="20" t="n">
        <f aca="false">Inputs!$F$207*Operations!U993</f>
        <v>0</v>
      </c>
      <c r="V994" s="20" t="n">
        <f aca="false">Inputs!$F$207*Operations!V993</f>
        <v>0</v>
      </c>
      <c r="W994" s="20" t="n">
        <f aca="false">Inputs!$F$207*Operations!W993</f>
        <v>0</v>
      </c>
      <c r="X994" s="20" t="n">
        <f aca="false">Inputs!$F$207*Operations!X993</f>
        <v>0</v>
      </c>
      <c r="Y994" s="20" t="n">
        <f aca="false">Inputs!$F$207*Operations!Y993</f>
        <v>0</v>
      </c>
      <c r="Z994" s="20" t="n">
        <f aca="false">Inputs!$F$207*Operations!Z993</f>
        <v>0</v>
      </c>
      <c r="AA994" s="20" t="n">
        <f aca="false">Inputs!$F$207*Operations!AA993</f>
        <v>0</v>
      </c>
      <c r="AB994" s="20" t="n">
        <f aca="false">Inputs!$F$207*Operations!AB993</f>
        <v>0</v>
      </c>
      <c r="AC994" s="20" t="n">
        <f aca="false">Inputs!$F$207*Operations!AC993</f>
        <v>0</v>
      </c>
      <c r="AD994" s="20" t="n">
        <f aca="false">Inputs!$F$207*Operations!AD993</f>
        <v>0</v>
      </c>
      <c r="AE994" s="20" t="n">
        <f aca="false">Inputs!$F$207*Operations!AE993</f>
        <v>0</v>
      </c>
      <c r="AF994" s="20" t="n">
        <f aca="false">Inputs!$F$207*Operations!AF993</f>
        <v>0</v>
      </c>
      <c r="AG994" s="20" t="n">
        <f aca="false">Inputs!$F$207*Operations!AG993</f>
        <v>0</v>
      </c>
      <c r="AH994" s="20" t="n">
        <f aca="false">Inputs!$F$207*Operations!AH993</f>
        <v>0</v>
      </c>
      <c r="AI994" s="20" t="n">
        <f aca="false">Inputs!$F$207*Operations!AI993</f>
        <v>0</v>
      </c>
      <c r="AJ994" s="20" t="n">
        <f aca="false">Inputs!$F$207*Operations!AJ993</f>
        <v>0</v>
      </c>
      <c r="AK994" s="20" t="n">
        <f aca="false">Inputs!$F$207*Operations!AK993</f>
        <v>0</v>
      </c>
      <c r="AL994" s="20" t="n">
        <f aca="false">Inputs!$F$207*Operations!AL993</f>
        <v>0</v>
      </c>
      <c r="AM994" s="20" t="n">
        <f aca="false">Inputs!$F$207*Operations!AM993</f>
        <v>0</v>
      </c>
      <c r="AN994" s="20" t="n">
        <f aca="false">Inputs!$F$207*Operations!AN993</f>
        <v>0</v>
      </c>
      <c r="AO994" s="20" t="n">
        <f aca="false">Inputs!$F$207*Operations!AO993</f>
        <v>0</v>
      </c>
      <c r="AP994" s="20" t="n">
        <f aca="false">Inputs!$F$207*Operations!AP993</f>
        <v>0</v>
      </c>
      <c r="AQ994" s="20" t="n">
        <f aca="false">Inputs!$F$207*Operations!AQ993</f>
        <v>0</v>
      </c>
      <c r="AR994" s="20" t="n">
        <f aca="false">Inputs!$F$207*Operations!AR993</f>
        <v>0</v>
      </c>
      <c r="AS994" s="20" t="n">
        <f aca="false">Inputs!$F$207*Operations!AS993</f>
        <v>0</v>
      </c>
      <c r="AT994" s="20" t="n">
        <f aca="false">Inputs!$F$207*Operations!AT993</f>
        <v>0</v>
      </c>
      <c r="AU994" s="20" t="n">
        <f aca="false">Inputs!$F$207*Operations!AU993</f>
        <v>0</v>
      </c>
    </row>
    <row r="995" customFormat="false" ht="15" hidden="false" customHeight="false" outlineLevel="0" collapsed="false">
      <c r="D995" s="0" t="s">
        <v>600</v>
      </c>
      <c r="E995" s="0" t="s">
        <v>47</v>
      </c>
      <c r="G995" s="20" t="n">
        <f aca="false">SUM(J995:AU995)</f>
        <v>3.4094210112</v>
      </c>
      <c r="J995" s="20" t="n">
        <f aca="false">Operations!J994*(Inputs!$F$208-Operations!J984*Operations!J990)/1000</f>
        <v>-3.0317065472</v>
      </c>
      <c r="K995" s="20" t="n">
        <f aca="false">Operations!K994*(Inputs!$F$208-Operations!K984*Operations!K990)/1000</f>
        <v>-0.953639769599999</v>
      </c>
      <c r="L995" s="20" t="n">
        <f aca="false">Operations!L994*(Inputs!$F$208-Operations!L984*Operations!L990)/1000</f>
        <v>3.4029975616</v>
      </c>
      <c r="M995" s="20" t="n">
        <f aca="false">Operations!M994*(Inputs!$F$208-Operations!M984*Operations!M990)/1000</f>
        <v>2.236163392</v>
      </c>
      <c r="N995" s="20" t="n">
        <f aca="false">Operations!N994*(Inputs!$F$208-Operations!N984*Operations!N990)/1000</f>
        <v>1.7556063744</v>
      </c>
      <c r="O995" s="20" t="n">
        <f aca="false">Operations!O994*(Inputs!$F$208-Operations!O984*Operations!O990)/1000</f>
        <v>0</v>
      </c>
      <c r="P995" s="20" t="n">
        <f aca="false">Operations!P994*(Inputs!$F$208-Operations!P984*Operations!P990)/1000</f>
        <v>0</v>
      </c>
      <c r="Q995" s="20" t="n">
        <f aca="false">Operations!Q994*(Inputs!$F$208-Operations!Q984*Operations!Q990)/1000</f>
        <v>0</v>
      </c>
      <c r="R995" s="20" t="n">
        <f aca="false">Operations!R994*(Inputs!$F$208-Operations!R984*Operations!R990)/1000</f>
        <v>0</v>
      </c>
      <c r="S995" s="20" t="n">
        <f aca="false">Operations!S994*(Inputs!$F$208-Operations!S984*Operations!S990)/1000</f>
        <v>0</v>
      </c>
      <c r="T995" s="20" t="n">
        <f aca="false">Operations!T994*(Inputs!$F$208-Operations!T984*Operations!T990)/1000</f>
        <v>0</v>
      </c>
      <c r="U995" s="20" t="n">
        <f aca="false">Operations!U994*(Inputs!$F$208-Operations!U984*Operations!U990)/1000</f>
        <v>0</v>
      </c>
      <c r="V995" s="20" t="n">
        <f aca="false">Operations!V994*(Inputs!$F$208-Operations!V984*Operations!V990)/1000</f>
        <v>0</v>
      </c>
      <c r="W995" s="20" t="n">
        <f aca="false">Operations!W994*(Inputs!$F$208-Operations!W984*Operations!W990)/1000</f>
        <v>0</v>
      </c>
      <c r="X995" s="20" t="n">
        <f aca="false">Operations!X994*(Inputs!$F$208-Operations!X984*Operations!X990)/1000</f>
        <v>0</v>
      </c>
      <c r="Y995" s="20" t="n">
        <f aca="false">Operations!Y994*(Inputs!$F$208-Operations!Y984*Operations!Y990)/1000</f>
        <v>0</v>
      </c>
      <c r="Z995" s="20" t="n">
        <f aca="false">Operations!Z994*(Inputs!$F$208-Operations!Z984*Operations!Z990)/1000</f>
        <v>0</v>
      </c>
      <c r="AA995" s="20" t="n">
        <f aca="false">Operations!AA994*(Inputs!$F$208-Operations!AA984*Operations!AA990)/1000</f>
        <v>0</v>
      </c>
      <c r="AB995" s="20" t="n">
        <f aca="false">Operations!AB994*(Inputs!$F$208-Operations!AB984*Operations!AB990)/1000</f>
        <v>0</v>
      </c>
      <c r="AC995" s="20" t="n">
        <f aca="false">Operations!AC994*(Inputs!$F$208-Operations!AC984*Operations!AC990)/1000</f>
        <v>0</v>
      </c>
      <c r="AD995" s="20" t="n">
        <f aca="false">Operations!AD994*(Inputs!$F$208-Operations!AD984*Operations!AD990)/1000</f>
        <v>0</v>
      </c>
      <c r="AE995" s="20" t="n">
        <f aca="false">Operations!AE994*(Inputs!$F$208-Operations!AE984*Operations!AE990)/1000</f>
        <v>0</v>
      </c>
      <c r="AF995" s="20" t="n">
        <f aca="false">Operations!AF994*(Inputs!$F$208-Operations!AF984*Operations!AF990)/1000</f>
        <v>0</v>
      </c>
      <c r="AG995" s="20" t="n">
        <f aca="false">Operations!AG994*(Inputs!$F$208-Operations!AG984*Operations!AG990)/1000</f>
        <v>0</v>
      </c>
      <c r="AH995" s="20" t="n">
        <f aca="false">Operations!AH994*(Inputs!$F$208-Operations!AH984*Operations!AH990)/1000</f>
        <v>0</v>
      </c>
      <c r="AI995" s="20" t="n">
        <f aca="false">Operations!AI994*(Inputs!$F$208-Operations!AI984*Operations!AI990)/1000</f>
        <v>0</v>
      </c>
      <c r="AJ995" s="20" t="n">
        <f aca="false">Operations!AJ994*(Inputs!$F$208-Operations!AJ984*Operations!AJ990)/1000</f>
        <v>0</v>
      </c>
      <c r="AK995" s="20" t="n">
        <f aca="false">Operations!AK994*(Inputs!$F$208-Operations!AK984*Operations!AK990)/1000</f>
        <v>0</v>
      </c>
      <c r="AL995" s="20" t="n">
        <f aca="false">Operations!AL994*(Inputs!$F$208-Operations!AL984*Operations!AL990)/1000</f>
        <v>-0</v>
      </c>
      <c r="AM995" s="20" t="n">
        <f aca="false">Operations!AM994*(Inputs!$F$208-Operations!AM984*Operations!AM990)/1000</f>
        <v>-0</v>
      </c>
      <c r="AN995" s="20" t="n">
        <f aca="false">Operations!AN994*(Inputs!$F$208-Operations!AN984*Operations!AN990)/1000</f>
        <v>-0</v>
      </c>
      <c r="AO995" s="20" t="n">
        <f aca="false">Operations!AO994*(Inputs!$F$208-Operations!AO984*Operations!AO990)/1000</f>
        <v>-0</v>
      </c>
      <c r="AP995" s="20" t="n">
        <f aca="false">Operations!AP994*(Inputs!$F$208-Operations!AP984*Operations!AP990)/1000</f>
        <v>-0</v>
      </c>
      <c r="AQ995" s="20" t="n">
        <f aca="false">Operations!AQ994*(Inputs!$F$208-Operations!AQ984*Operations!AQ990)/1000</f>
        <v>-0</v>
      </c>
      <c r="AR995" s="20" t="n">
        <f aca="false">Operations!AR994*(Inputs!$F$208-Operations!AR984*Operations!AR990)/1000</f>
        <v>-0</v>
      </c>
      <c r="AS995" s="20" t="n">
        <f aca="false">Operations!AS994*(Inputs!$F$208-Operations!AS984*Operations!AS990)/1000</f>
        <v>-0</v>
      </c>
      <c r="AT995" s="20" t="n">
        <f aca="false">Operations!AT994*(Inputs!$F$208-Operations!AT984*Operations!AT990)/1000</f>
        <v>-0</v>
      </c>
      <c r="AU995" s="20" t="n">
        <f aca="false">Operations!AU994*(Inputs!$F$208-Operations!AU984*Operations!AU990)/1000</f>
        <v>-0</v>
      </c>
    </row>
    <row r="996" customFormat="false" ht="15" hidden="false" customHeight="false" outlineLevel="0" collapsed="false">
      <c r="D996" s="0" t="s">
        <v>601</v>
      </c>
      <c r="E996" s="0" t="s">
        <v>466</v>
      </c>
      <c r="J996" s="20" t="n">
        <f aca="false">Operations!J989</f>
        <v>207.107635609551</v>
      </c>
      <c r="K996" s="20" t="n">
        <f aca="false">Operations!K989</f>
        <v>205.123734661301</v>
      </c>
      <c r="L996" s="20" t="n">
        <f aca="false">Operations!L989</f>
        <v>203.153494891964</v>
      </c>
      <c r="M996" s="20" t="n">
        <f aca="false">Operations!M989</f>
        <v>201.196833524925</v>
      </c>
      <c r="N996" s="20" t="n">
        <f aca="false">Operations!N989</f>
        <v>200.291447774063</v>
      </c>
      <c r="O996" s="20" t="n">
        <f aca="false">Operations!O989</f>
        <v>199.39013625908</v>
      </c>
      <c r="P996" s="20" t="n">
        <f aca="false">Operations!P989</f>
        <v>198.492880645914</v>
      </c>
      <c r="Q996" s="20" t="n">
        <f aca="false">Operations!Q989</f>
        <v>197.599662683007</v>
      </c>
      <c r="R996" s="20" t="n">
        <f aca="false">Operations!R989</f>
        <v>196.710464200934</v>
      </c>
      <c r="S996" s="20" t="n">
        <f aca="false">Operations!S989</f>
        <v>195.82526711203</v>
      </c>
      <c r="T996" s="20" t="n">
        <f aca="false">Operations!T989</f>
        <v>194.944053410025</v>
      </c>
      <c r="U996" s="20" t="n">
        <f aca="false">Operations!U989</f>
        <v>194.06680516968</v>
      </c>
      <c r="V996" s="20" t="n">
        <f aca="false">Operations!V989</f>
        <v>193.193504546417</v>
      </c>
      <c r="W996" s="20" t="n">
        <f aca="false">Operations!W989</f>
        <v>192.324133775958</v>
      </c>
      <c r="X996" s="20" t="n">
        <f aca="false">Operations!X989</f>
        <v>191.458675173966</v>
      </c>
      <c r="Y996" s="20" t="n">
        <f aca="false">Operations!Y989</f>
        <v>190.597111135683</v>
      </c>
      <c r="Z996" s="20" t="n">
        <f aca="false">Operations!Z989</f>
        <v>189.739424135573</v>
      </c>
      <c r="AA996" s="20" t="n">
        <f aca="false">Operations!AA989</f>
        <v>188.885596726963</v>
      </c>
      <c r="AB996" s="20" t="n">
        <f aca="false">Operations!AB989</f>
        <v>188.035611541691</v>
      </c>
      <c r="AC996" s="20" t="n">
        <f aca="false">Operations!AC989</f>
        <v>187.189451289754</v>
      </c>
      <c r="AD996" s="20" t="n">
        <f aca="false">Operations!AD989</f>
        <v>186.34709875895</v>
      </c>
      <c r="AE996" s="20" t="n">
        <f aca="false">Operations!AE989</f>
        <v>185.508536814535</v>
      </c>
      <c r="AF996" s="20" t="n">
        <f aca="false">Operations!AF989</f>
        <v>184.673748398869</v>
      </c>
      <c r="AG996" s="20" t="n">
        <f aca="false">Operations!AG989</f>
        <v>183.842716531074</v>
      </c>
      <c r="AH996" s="20" t="n">
        <f aca="false">Operations!AH989</f>
        <v>183.015424306684</v>
      </c>
      <c r="AI996" s="20" t="n">
        <f aca="false">Operations!AI989</f>
        <v>182.191854897304</v>
      </c>
      <c r="AJ996" s="20" t="n">
        <f aca="false">Operations!AJ989</f>
        <v>181.371991550267</v>
      </c>
      <c r="AK996" s="20" t="n">
        <f aca="false">Operations!AK989</f>
        <v>180.55581758829</v>
      </c>
      <c r="AL996" s="20" t="n">
        <f aca="false">Operations!AL989</f>
        <v>179.743316409143</v>
      </c>
      <c r="AM996" s="20" t="n">
        <f aca="false">Operations!AM989</f>
        <v>178.934471485302</v>
      </c>
      <c r="AN996" s="20" t="n">
        <f aca="false">Operations!AN989</f>
        <v>178.129266363618</v>
      </c>
      <c r="AO996" s="20" t="n">
        <f aca="false">Operations!AO989</f>
        <v>177.327684664982</v>
      </c>
      <c r="AP996" s="20" t="n">
        <f aca="false">Operations!AP989</f>
        <v>176.529710083989</v>
      </c>
      <c r="AQ996" s="20" t="n">
        <f aca="false">Operations!AQ989</f>
        <v>146.365860882569</v>
      </c>
      <c r="AR996" s="20" t="n">
        <f aca="false">Operations!AR989</f>
        <v>0</v>
      </c>
      <c r="AS996" s="20" t="n">
        <f aca="false">Operations!AS989</f>
        <v>0</v>
      </c>
      <c r="AT996" s="20" t="n">
        <f aca="false">Operations!AT989</f>
        <v>0</v>
      </c>
      <c r="AU996" s="20" t="n">
        <f aca="false">Operations!AU989</f>
        <v>0</v>
      </c>
    </row>
    <row r="997" customFormat="false" ht="15" hidden="false" customHeight="false" outlineLevel="0" collapsed="false">
      <c r="D997" s="0" t="s">
        <v>602</v>
      </c>
      <c r="E997" s="0" t="s">
        <v>47</v>
      </c>
      <c r="J997" s="20" t="n">
        <f aca="false">0</f>
        <v>0</v>
      </c>
      <c r="K997" s="20" t="n">
        <f aca="false">0</f>
        <v>0</v>
      </c>
      <c r="L997" s="20" t="n">
        <f aca="false">0</f>
        <v>0</v>
      </c>
      <c r="M997" s="20" t="n">
        <f aca="false">0</f>
        <v>0</v>
      </c>
      <c r="N997" s="20" t="n">
        <f aca="false">0</f>
        <v>0</v>
      </c>
      <c r="O997" s="20" t="n">
        <f aca="false">0</f>
        <v>0</v>
      </c>
      <c r="P997" s="20" t="n">
        <f aca="false">0</f>
        <v>0</v>
      </c>
      <c r="Q997" s="20" t="n">
        <f aca="false">0</f>
        <v>0</v>
      </c>
      <c r="R997" s="20" t="n">
        <f aca="false">0</f>
        <v>0</v>
      </c>
      <c r="S997" s="20" t="n">
        <f aca="false">0</f>
        <v>0</v>
      </c>
      <c r="T997" s="20" t="n">
        <f aca="false">0</f>
        <v>0</v>
      </c>
      <c r="U997" s="20" t="n">
        <f aca="false">0</f>
        <v>0</v>
      </c>
      <c r="V997" s="20" t="n">
        <f aca="false">0</f>
        <v>0</v>
      </c>
      <c r="W997" s="20" t="n">
        <f aca="false">0</f>
        <v>0</v>
      </c>
      <c r="X997" s="20" t="n">
        <f aca="false">0</f>
        <v>0</v>
      </c>
      <c r="Y997" s="20" t="n">
        <f aca="false">0</f>
        <v>0</v>
      </c>
      <c r="Z997" s="20" t="n">
        <f aca="false">0</f>
        <v>0</v>
      </c>
      <c r="AA997" s="20" t="n">
        <f aca="false">0</f>
        <v>0</v>
      </c>
      <c r="AB997" s="20" t="n">
        <f aca="false">0</f>
        <v>0</v>
      </c>
      <c r="AC997" s="20" t="n">
        <f aca="false">0</f>
        <v>0</v>
      </c>
      <c r="AD997" s="20" t="n">
        <f aca="false">0</f>
        <v>0</v>
      </c>
      <c r="AE997" s="20" t="n">
        <f aca="false">0</f>
        <v>0</v>
      </c>
      <c r="AF997" s="20" t="n">
        <f aca="false">0</f>
        <v>0</v>
      </c>
      <c r="AG997" s="20" t="n">
        <f aca="false">0</f>
        <v>0</v>
      </c>
      <c r="AH997" s="20" t="n">
        <f aca="false">0</f>
        <v>0</v>
      </c>
      <c r="AI997" s="20" t="n">
        <f aca="false">0</f>
        <v>0</v>
      </c>
      <c r="AJ997" s="20" t="n">
        <f aca="false">0</f>
        <v>0</v>
      </c>
      <c r="AK997" s="20" t="n">
        <f aca="false">0</f>
        <v>0</v>
      </c>
      <c r="AL997" s="20" t="n">
        <f aca="false">0</f>
        <v>0</v>
      </c>
      <c r="AM997" s="20" t="n">
        <f aca="false">0</f>
        <v>0</v>
      </c>
      <c r="AN997" s="20" t="n">
        <f aca="false">0</f>
        <v>0</v>
      </c>
      <c r="AO997" s="20" t="n">
        <f aca="false">0</f>
        <v>0</v>
      </c>
      <c r="AP997" s="20" t="n">
        <f aca="false">0</f>
        <v>0</v>
      </c>
      <c r="AQ997" s="20" t="n">
        <f aca="false">0</f>
        <v>0</v>
      </c>
      <c r="AR997" s="20" t="n">
        <f aca="false">0</f>
        <v>0</v>
      </c>
      <c r="AS997" s="20" t="n">
        <f aca="false">0</f>
        <v>0</v>
      </c>
      <c r="AT997" s="20" t="n">
        <f aca="false">0</f>
        <v>0</v>
      </c>
      <c r="AU997" s="20" t="n">
        <f aca="false">0</f>
        <v>0</v>
      </c>
    </row>
    <row r="998" customFormat="false" ht="15" hidden="false" customHeight="false" outlineLevel="0" collapsed="false">
      <c r="D998" s="0" t="s">
        <v>603</v>
      </c>
      <c r="E998" s="0" t="s">
        <v>47</v>
      </c>
      <c r="J998" s="20" t="n">
        <f aca="false">Operations!J994*Inputs!$F$208/1000</f>
        <v>7.42644</v>
      </c>
      <c r="K998" s="20" t="n">
        <f aca="false">Operations!K994*Inputs!$F$208/1000</f>
        <v>7.42644</v>
      </c>
      <c r="L998" s="20" t="n">
        <f aca="false">Operations!L994*Inputs!$F$208/1000</f>
        <v>7.42644</v>
      </c>
      <c r="M998" s="20" t="n">
        <f aca="false">Operations!M994*Inputs!$F$208/1000</f>
        <v>7.42644</v>
      </c>
      <c r="N998" s="20" t="n">
        <f aca="false">Operations!N994*Inputs!$F$208/1000</f>
        <v>7.42644</v>
      </c>
      <c r="O998" s="20" t="n">
        <f aca="false">Operations!O994*Inputs!$F$208/1000</f>
        <v>0</v>
      </c>
      <c r="P998" s="20" t="n">
        <f aca="false">Operations!P994*Inputs!$F$208/1000</f>
        <v>0</v>
      </c>
      <c r="Q998" s="20" t="n">
        <f aca="false">Operations!Q994*Inputs!$F$208/1000</f>
        <v>0</v>
      </c>
      <c r="R998" s="20" t="n">
        <f aca="false">Operations!R994*Inputs!$F$208/1000</f>
        <v>0</v>
      </c>
      <c r="S998" s="20" t="n">
        <f aca="false">Operations!S994*Inputs!$F$208/1000</f>
        <v>0</v>
      </c>
      <c r="T998" s="20" t="n">
        <f aca="false">Operations!T994*Inputs!$F$208/1000</f>
        <v>0</v>
      </c>
      <c r="U998" s="20" t="n">
        <f aca="false">Operations!U994*Inputs!$F$208/1000</f>
        <v>0</v>
      </c>
      <c r="V998" s="20" t="n">
        <f aca="false">Operations!V994*Inputs!$F$208/1000</f>
        <v>0</v>
      </c>
      <c r="W998" s="20" t="n">
        <f aca="false">Operations!W994*Inputs!$F$208/1000</f>
        <v>0</v>
      </c>
      <c r="X998" s="20" t="n">
        <f aca="false">Operations!X994*Inputs!$F$208/1000</f>
        <v>0</v>
      </c>
      <c r="Y998" s="20" t="n">
        <f aca="false">Operations!Y994*Inputs!$F$208/1000</f>
        <v>0</v>
      </c>
      <c r="Z998" s="20" t="n">
        <f aca="false">Operations!Z994*Inputs!$F$208/1000</f>
        <v>0</v>
      </c>
      <c r="AA998" s="20" t="n">
        <f aca="false">Operations!AA994*Inputs!$F$208/1000</f>
        <v>0</v>
      </c>
      <c r="AB998" s="20" t="n">
        <f aca="false">Operations!AB994*Inputs!$F$208/1000</f>
        <v>0</v>
      </c>
      <c r="AC998" s="20" t="n">
        <f aca="false">Operations!AC994*Inputs!$F$208/1000</f>
        <v>0</v>
      </c>
      <c r="AD998" s="20" t="n">
        <f aca="false">Operations!AD994*Inputs!$F$208/1000</f>
        <v>0</v>
      </c>
      <c r="AE998" s="20" t="n">
        <f aca="false">Operations!AE994*Inputs!$F$208/1000</f>
        <v>0</v>
      </c>
      <c r="AF998" s="20" t="n">
        <f aca="false">Operations!AF994*Inputs!$F$208/1000</f>
        <v>0</v>
      </c>
      <c r="AG998" s="20" t="n">
        <f aca="false">Operations!AG994*Inputs!$F$208/1000</f>
        <v>0</v>
      </c>
      <c r="AH998" s="20" t="n">
        <f aca="false">Operations!AH994*Inputs!$F$208/1000</f>
        <v>0</v>
      </c>
      <c r="AI998" s="20" t="n">
        <f aca="false">Operations!AI994*Inputs!$F$208/1000</f>
        <v>0</v>
      </c>
      <c r="AJ998" s="20" t="n">
        <f aca="false">Operations!AJ994*Inputs!$F$208/1000</f>
        <v>0</v>
      </c>
      <c r="AK998" s="20" t="n">
        <f aca="false">Operations!AK994*Inputs!$F$208/1000</f>
        <v>0</v>
      </c>
      <c r="AL998" s="20" t="n">
        <f aca="false">Operations!AL994*Inputs!$F$208/1000</f>
        <v>0</v>
      </c>
      <c r="AM998" s="20" t="n">
        <f aca="false">Operations!AM994*Inputs!$F$208/1000</f>
        <v>0</v>
      </c>
      <c r="AN998" s="20" t="n">
        <f aca="false">Operations!AN994*Inputs!$F$208/1000</f>
        <v>0</v>
      </c>
      <c r="AO998" s="20" t="n">
        <f aca="false">Operations!AO994*Inputs!$F$208/1000</f>
        <v>0</v>
      </c>
      <c r="AP998" s="20" t="n">
        <f aca="false">Operations!AP994*Inputs!$F$208/1000</f>
        <v>0</v>
      </c>
      <c r="AQ998" s="20" t="n">
        <f aca="false">Operations!AQ994*Inputs!$F$208/1000</f>
        <v>0</v>
      </c>
      <c r="AR998" s="20" t="n">
        <f aca="false">Operations!AR994*Inputs!$F$208/1000</f>
        <v>0</v>
      </c>
      <c r="AS998" s="20" t="n">
        <f aca="false">Operations!AS994*Inputs!$F$208/1000</f>
        <v>0</v>
      </c>
      <c r="AT998" s="20" t="n">
        <f aca="false">Operations!AT994*Inputs!$F$208/1000</f>
        <v>0</v>
      </c>
      <c r="AU998" s="20" t="n">
        <f aca="false">Operations!AU994*Inputs!$F$208/1000</f>
        <v>0</v>
      </c>
    </row>
    <row r="999" customFormat="false" ht="15" hidden="false" customHeight="false" outlineLevel="0" collapsed="false">
      <c r="D999" s="0" t="s">
        <v>604</v>
      </c>
      <c r="E999" s="0" t="s">
        <v>47</v>
      </c>
      <c r="G999" s="20" t="n">
        <f aca="false">SUM(J999:AU999)</f>
        <v>239.186793686006</v>
      </c>
      <c r="J999" s="20" t="n">
        <f aca="false">Operations!J996*Operations!J992/1000</f>
        <v>12.4133324830586</v>
      </c>
      <c r="K999" s="20" t="n">
        <f aca="false">Operations!K996*Operations!K992/1000</f>
        <v>9.84300517384185</v>
      </c>
      <c r="L999" s="20" t="n">
        <f aca="false">Operations!L996*Operations!L992/1000</f>
        <v>4.67620177247487</v>
      </c>
      <c r="M999" s="20" t="n">
        <f aca="false">Operations!M996*Operations!M992/1000</f>
        <v>5.9685700590783</v>
      </c>
      <c r="N999" s="20" t="n">
        <f aca="false">Operations!N996*Operations!N992/1000</f>
        <v>6.48535696234505</v>
      </c>
      <c r="O999" s="20" t="n">
        <f aca="false">Operations!O996*Operations!O992/1000</f>
        <v>6.66443027041329</v>
      </c>
      <c r="P999" s="20" t="n">
        <f aca="false">Operations!P996*Operations!P992/1000</f>
        <v>6.69823118220689</v>
      </c>
      <c r="Q999" s="20" t="n">
        <f aca="false">Operations!Q996*Operations!Q992/1000</f>
        <v>6.6518306416414</v>
      </c>
      <c r="R999" s="20" t="n">
        <f aca="false">Operations!R996*Operations!R992/1000</f>
        <v>6.60856830269976</v>
      </c>
      <c r="S999" s="20" t="n">
        <f aca="false">Operations!S996*Operations!S992/1000</f>
        <v>6.51058855625441</v>
      </c>
      <c r="T999" s="20" t="n">
        <f aca="false">Operations!T996*Operations!T992/1000</f>
        <v>6.40788433455162</v>
      </c>
      <c r="U999" s="20" t="n">
        <f aca="false">Operations!U996*Operations!U992/1000</f>
        <v>6.30029934007027</v>
      </c>
      <c r="V999" s="20" t="n">
        <f aca="false">Operations!V996*Operations!V992/1000</f>
        <v>6.1876806956721</v>
      </c>
      <c r="W999" s="20" t="n">
        <f aca="false">Operations!W996*Operations!W992/1000</f>
        <v>6.06987890378713</v>
      </c>
      <c r="X999" s="20" t="n">
        <f aca="false">Operations!X996*Operations!X992/1000</f>
        <v>6.16299318074003</v>
      </c>
      <c r="Y999" s="20" t="n">
        <f aca="false">Operations!Y996*Operations!Y992/1000</f>
        <v>6.25830143001376</v>
      </c>
      <c r="Z999" s="20" t="n">
        <f aca="false">Operations!Z996*Operations!Z992/1000</f>
        <v>6.35472091692535</v>
      </c>
      <c r="AA999" s="20" t="n">
        <f aca="false">Operations!AA996*Operations!AA992/1000</f>
        <v>6.45223028818776</v>
      </c>
      <c r="AB999" s="20" t="n">
        <f aca="false">Operations!AB996*Operations!AB992/1000</f>
        <v>6.55184590788098</v>
      </c>
      <c r="AC999" s="20" t="n">
        <f aca="false">Operations!AC996*Operations!AC992/1000</f>
        <v>6.6525000023665</v>
      </c>
      <c r="AD999" s="20" t="n">
        <f aca="false">Operations!AD996*Operations!AD992/1000</f>
        <v>6.75520010137834</v>
      </c>
      <c r="AE999" s="20" t="n">
        <f aca="false">Operations!AE996*Operations!AE992/1000</f>
        <v>6.8588883101795</v>
      </c>
      <c r="AF999" s="20" t="n">
        <f aca="false">Operations!AF996*Operations!AF992/1000</f>
        <v>6.96456339992188</v>
      </c>
      <c r="AG999" s="20" t="n">
        <f aca="false">Operations!AG996*Operations!AG992/1000</f>
        <v>7.07219163308649</v>
      </c>
      <c r="AH999" s="20" t="n">
        <f aca="false">Operations!AH996*Operations!AH992/1000</f>
        <v>7.18072979155409</v>
      </c>
      <c r="AI999" s="20" t="n">
        <f aca="false">Operations!AI996*Operations!AI992/1000</f>
        <v>7.29116368005065</v>
      </c>
      <c r="AJ999" s="20" t="n">
        <f aca="false">Operations!AJ996*Operations!AJ992/1000</f>
        <v>7.4034604680742</v>
      </c>
      <c r="AK999" s="20" t="n">
        <f aca="false">Operations!AK996*Operations!AK992/1000</f>
        <v>7.51758764327839</v>
      </c>
      <c r="AL999" s="20" t="n">
        <f aca="false">Operations!AL996*Operations!AL992/1000</f>
        <v>7.63351300899911</v>
      </c>
      <c r="AM999" s="20" t="n">
        <f aca="false">Operations!AM996*Operations!AM992/1000</f>
        <v>7.75120468179819</v>
      </c>
      <c r="AN999" s="20" t="n">
        <f aca="false">Operations!AN996*Operations!AN992/1000</f>
        <v>7.87063108902389</v>
      </c>
      <c r="AO999" s="20" t="n">
        <f aca="false">Operations!AO996*Operations!AO992/1000</f>
        <v>7.99176096638849</v>
      </c>
      <c r="AP999" s="20" t="n">
        <f aca="false">Operations!AP996*Operations!AP992/1000</f>
        <v>8.11456335556232</v>
      </c>
      <c r="AQ999" s="20" t="n">
        <f aca="false">Operations!AQ996*Operations!AQ992/1000</f>
        <v>6.86288515250014</v>
      </c>
      <c r="AR999" s="20" t="n">
        <f aca="false">Operations!AR996*Operations!AR992/1000</f>
        <v>0</v>
      </c>
      <c r="AS999" s="20" t="n">
        <f aca="false">Operations!AS996*Operations!AS992/1000</f>
        <v>0</v>
      </c>
      <c r="AT999" s="20" t="n">
        <f aca="false">Operations!AT996*Operations!AT992/1000</f>
        <v>0</v>
      </c>
      <c r="AU999" s="20" t="n">
        <f aca="false">Operations!AU996*Operations!AU992/1000</f>
        <v>0</v>
      </c>
    </row>
    <row r="1000" customFormat="false" ht="15" hidden="false" customHeight="false" outlineLevel="0" collapsed="false">
      <c r="D1000" s="0" t="s">
        <v>605</v>
      </c>
      <c r="E1000" s="0" t="s">
        <v>47</v>
      </c>
      <c r="G1000" s="20" t="n">
        <f aca="false">SUM(J1000:AU1000)</f>
        <v>242.596214697206</v>
      </c>
      <c r="J1000" s="20" t="n">
        <f aca="false">Operations!J999+Operations!J995</f>
        <v>9.38162593585864</v>
      </c>
      <c r="K1000" s="20" t="n">
        <f aca="false">Operations!K999+Operations!K995</f>
        <v>8.88936540424185</v>
      </c>
      <c r="L1000" s="20" t="n">
        <f aca="false">Operations!L999+Operations!L995</f>
        <v>8.07919933407487</v>
      </c>
      <c r="M1000" s="20" t="n">
        <f aca="false">Operations!M999+Operations!M995</f>
        <v>8.2047334510783</v>
      </c>
      <c r="N1000" s="20" t="n">
        <f aca="false">Operations!N999+Operations!N995</f>
        <v>8.24096333674505</v>
      </c>
      <c r="O1000" s="20" t="n">
        <f aca="false">Operations!O999+Operations!O995</f>
        <v>6.66443027041329</v>
      </c>
      <c r="P1000" s="20" t="n">
        <f aca="false">Operations!P999+Operations!P995</f>
        <v>6.69823118220689</v>
      </c>
      <c r="Q1000" s="20" t="n">
        <f aca="false">Operations!Q999+Operations!Q995</f>
        <v>6.6518306416414</v>
      </c>
      <c r="R1000" s="20" t="n">
        <f aca="false">Operations!R999+Operations!R995</f>
        <v>6.60856830269976</v>
      </c>
      <c r="S1000" s="20" t="n">
        <f aca="false">Operations!S999+Operations!S995</f>
        <v>6.51058855625441</v>
      </c>
      <c r="T1000" s="20" t="n">
        <f aca="false">Operations!T999+Operations!T995</f>
        <v>6.40788433455162</v>
      </c>
      <c r="U1000" s="20" t="n">
        <f aca="false">Operations!U999+Operations!U995</f>
        <v>6.30029934007027</v>
      </c>
      <c r="V1000" s="20" t="n">
        <f aca="false">Operations!V999+Operations!V995</f>
        <v>6.1876806956721</v>
      </c>
      <c r="W1000" s="20" t="n">
        <f aca="false">Operations!W999+Operations!W995</f>
        <v>6.06987890378713</v>
      </c>
      <c r="X1000" s="20" t="n">
        <f aca="false">Operations!X999+Operations!X995</f>
        <v>6.16299318074003</v>
      </c>
      <c r="Y1000" s="20" t="n">
        <f aca="false">Operations!Y999+Operations!Y995</f>
        <v>6.25830143001376</v>
      </c>
      <c r="Z1000" s="20" t="n">
        <f aca="false">Operations!Z999+Operations!Z995</f>
        <v>6.35472091692535</v>
      </c>
      <c r="AA1000" s="20" t="n">
        <f aca="false">Operations!AA999+Operations!AA995</f>
        <v>6.45223028818776</v>
      </c>
      <c r="AB1000" s="20" t="n">
        <f aca="false">Operations!AB999+Operations!AB995</f>
        <v>6.55184590788098</v>
      </c>
      <c r="AC1000" s="20" t="n">
        <f aca="false">Operations!AC999+Operations!AC995</f>
        <v>6.6525000023665</v>
      </c>
      <c r="AD1000" s="20" t="n">
        <f aca="false">Operations!AD999+Operations!AD995</f>
        <v>6.75520010137834</v>
      </c>
      <c r="AE1000" s="20" t="n">
        <f aca="false">Operations!AE999+Operations!AE995</f>
        <v>6.8588883101795</v>
      </c>
      <c r="AF1000" s="20" t="n">
        <f aca="false">Operations!AF999+Operations!AF995</f>
        <v>6.96456339992188</v>
      </c>
      <c r="AG1000" s="20" t="n">
        <f aca="false">Operations!AG999+Operations!AG995</f>
        <v>7.07219163308649</v>
      </c>
      <c r="AH1000" s="20" t="n">
        <f aca="false">Operations!AH999+Operations!AH995</f>
        <v>7.18072979155409</v>
      </c>
      <c r="AI1000" s="20" t="n">
        <f aca="false">Operations!AI999+Operations!AI995</f>
        <v>7.29116368005065</v>
      </c>
      <c r="AJ1000" s="20" t="n">
        <f aca="false">Operations!AJ999+Operations!AJ995</f>
        <v>7.4034604680742</v>
      </c>
      <c r="AK1000" s="20" t="n">
        <f aca="false">Operations!AK999+Operations!AK995</f>
        <v>7.51758764327839</v>
      </c>
      <c r="AL1000" s="20" t="n">
        <f aca="false">Operations!AL999+Operations!AL995</f>
        <v>7.63351300899911</v>
      </c>
      <c r="AM1000" s="20" t="n">
        <f aca="false">Operations!AM999+Operations!AM995</f>
        <v>7.75120468179819</v>
      </c>
      <c r="AN1000" s="20" t="n">
        <f aca="false">Operations!AN999+Operations!AN995</f>
        <v>7.87063108902389</v>
      </c>
      <c r="AO1000" s="20" t="n">
        <f aca="false">Operations!AO999+Operations!AO995</f>
        <v>7.99176096638849</v>
      </c>
      <c r="AP1000" s="20" t="n">
        <f aca="false">Operations!AP999+Operations!AP995</f>
        <v>8.11456335556232</v>
      </c>
      <c r="AQ1000" s="20" t="n">
        <f aca="false">Operations!AQ999+Operations!AQ995</f>
        <v>6.86288515250014</v>
      </c>
      <c r="AR1000" s="20" t="n">
        <f aca="false">Operations!AR999+Operations!AR995</f>
        <v>0</v>
      </c>
      <c r="AS1000" s="20" t="n">
        <f aca="false">Operations!AS999+Operations!AS995</f>
        <v>0</v>
      </c>
      <c r="AT1000" s="20" t="n">
        <f aca="false">Operations!AT999+Operations!AT995</f>
        <v>0</v>
      </c>
      <c r="AU1000" s="20" t="n">
        <f aca="false">Operations!AU999+Operations!AU995</f>
        <v>0</v>
      </c>
    </row>
    <row r="1001" customFormat="false" ht="15" hidden="false" customHeight="false" outlineLevel="0" collapsed="false">
      <c r="D1001" s="0" t="s">
        <v>606</v>
      </c>
      <c r="E1001" s="0" t="s">
        <v>47</v>
      </c>
      <c r="J1001" s="20" t="n">
        <f aca="false">Operations!J1000-Operations!J997-Operations!J998</f>
        <v>1.95518593585864</v>
      </c>
      <c r="K1001" s="20" t="n">
        <f aca="false">Operations!K1000-Operations!K997-Operations!K998</f>
        <v>1.46292540424185</v>
      </c>
      <c r="L1001" s="20" t="n">
        <f aca="false">Operations!L1000-Operations!L997-Operations!L998</f>
        <v>0.652759334074871</v>
      </c>
      <c r="M1001" s="20" t="n">
        <f aca="false">Operations!M1000-Operations!M997-Operations!M998</f>
        <v>0.778293451078301</v>
      </c>
      <c r="N1001" s="20" t="n">
        <f aca="false">Operations!N1000-Operations!N997-Operations!N998</f>
        <v>0.814523336745048</v>
      </c>
      <c r="O1001" s="20" t="n">
        <f aca="false">Operations!O1000-Operations!O997-Operations!O998</f>
        <v>6.66443027041329</v>
      </c>
      <c r="P1001" s="20" t="n">
        <f aca="false">Operations!P1000-Operations!P997-Operations!P998</f>
        <v>6.69823118220689</v>
      </c>
      <c r="Q1001" s="20" t="n">
        <f aca="false">Operations!Q1000-Operations!Q997-Operations!Q998</f>
        <v>6.6518306416414</v>
      </c>
      <c r="R1001" s="20" t="n">
        <f aca="false">Operations!R1000-Operations!R997-Operations!R998</f>
        <v>6.60856830269976</v>
      </c>
      <c r="S1001" s="20" t="n">
        <f aca="false">Operations!S1000-Operations!S997-Operations!S998</f>
        <v>6.51058855625441</v>
      </c>
      <c r="T1001" s="20" t="n">
        <f aca="false">Operations!T1000-Operations!T997-Operations!T998</f>
        <v>6.40788433455162</v>
      </c>
      <c r="U1001" s="20" t="n">
        <f aca="false">Operations!U1000-Operations!U997-Operations!U998</f>
        <v>6.30029934007027</v>
      </c>
      <c r="V1001" s="20" t="n">
        <f aca="false">Operations!V1000-Operations!V997-Operations!V998</f>
        <v>6.1876806956721</v>
      </c>
      <c r="W1001" s="20" t="n">
        <f aca="false">Operations!W1000-Operations!W997-Operations!W998</f>
        <v>6.06987890378713</v>
      </c>
      <c r="X1001" s="20" t="n">
        <f aca="false">Operations!X1000-Operations!X997-Operations!X998</f>
        <v>6.16299318074003</v>
      </c>
      <c r="Y1001" s="20" t="n">
        <f aca="false">Operations!Y1000-Operations!Y997-Operations!Y998</f>
        <v>6.25830143001376</v>
      </c>
      <c r="Z1001" s="20" t="n">
        <f aca="false">Operations!Z1000-Operations!Z997-Operations!Z998</f>
        <v>6.35472091692535</v>
      </c>
      <c r="AA1001" s="20" t="n">
        <f aca="false">Operations!AA1000-Operations!AA997-Operations!AA998</f>
        <v>6.45223028818776</v>
      </c>
      <c r="AB1001" s="20" t="n">
        <f aca="false">Operations!AB1000-Operations!AB997-Operations!AB998</f>
        <v>6.55184590788098</v>
      </c>
      <c r="AC1001" s="20" t="n">
        <f aca="false">Operations!AC1000-Operations!AC997-Operations!AC998</f>
        <v>6.6525000023665</v>
      </c>
      <c r="AD1001" s="20" t="n">
        <f aca="false">Operations!AD1000-Operations!AD997-Operations!AD998</f>
        <v>6.75520010137834</v>
      </c>
      <c r="AE1001" s="20" t="n">
        <f aca="false">Operations!AE1000-Operations!AE997-Operations!AE998</f>
        <v>6.8588883101795</v>
      </c>
      <c r="AF1001" s="20" t="n">
        <f aca="false">Operations!AF1000-Operations!AF997-Operations!AF998</f>
        <v>6.96456339992188</v>
      </c>
      <c r="AG1001" s="20" t="n">
        <f aca="false">Operations!AG1000-Operations!AG997-Operations!AG998</f>
        <v>7.07219163308649</v>
      </c>
      <c r="AH1001" s="20" t="n">
        <f aca="false">Operations!AH1000-Operations!AH997-Operations!AH998</f>
        <v>7.18072979155409</v>
      </c>
      <c r="AI1001" s="20" t="n">
        <f aca="false">Operations!AI1000-Operations!AI997-Operations!AI998</f>
        <v>7.29116368005065</v>
      </c>
      <c r="AJ1001" s="20" t="n">
        <f aca="false">Operations!AJ1000-Operations!AJ997-Operations!AJ998</f>
        <v>7.4034604680742</v>
      </c>
      <c r="AK1001" s="20" t="n">
        <f aca="false">Operations!AK1000-Operations!AK997-Operations!AK998</f>
        <v>7.51758764327839</v>
      </c>
      <c r="AL1001" s="20" t="n">
        <f aca="false">Operations!AL1000-Operations!AL997-Operations!AL998</f>
        <v>7.63351300899911</v>
      </c>
      <c r="AM1001" s="20" t="n">
        <f aca="false">Operations!AM1000-Operations!AM997-Operations!AM998</f>
        <v>7.75120468179819</v>
      </c>
      <c r="AN1001" s="20" t="n">
        <f aca="false">Operations!AN1000-Operations!AN997-Operations!AN998</f>
        <v>7.87063108902389</v>
      </c>
      <c r="AO1001" s="20" t="n">
        <f aca="false">Operations!AO1000-Operations!AO997-Operations!AO998</f>
        <v>7.99176096638849</v>
      </c>
      <c r="AP1001" s="20" t="n">
        <f aca="false">Operations!AP1000-Operations!AP997-Operations!AP998</f>
        <v>8.11456335556232</v>
      </c>
      <c r="AQ1001" s="20" t="n">
        <f aca="false">Operations!AQ1000-Operations!AQ997-Operations!AQ998</f>
        <v>6.86288515250014</v>
      </c>
      <c r="AR1001" s="20" t="n">
        <f aca="false">Operations!AR1000-Operations!AR997-Operations!AR998</f>
        <v>0</v>
      </c>
      <c r="AS1001" s="20" t="n">
        <f aca="false">Operations!AS1000-Operations!AS997-Operations!AS998</f>
        <v>0</v>
      </c>
      <c r="AT1001" s="20" t="n">
        <f aca="false">Operations!AT1000-Operations!AT997-Operations!AT998</f>
        <v>0</v>
      </c>
      <c r="AU1001" s="20" t="n">
        <f aca="false">Operations!AU1000-Operations!AU997-Operations!AU998</f>
        <v>0</v>
      </c>
    </row>
    <row r="1002" customFormat="false" ht="15" hidden="false" customHeight="false" outlineLevel="0" collapsed="false">
      <c r="D1002" s="0" t="s">
        <v>607</v>
      </c>
      <c r="E1002" s="0" t="s">
        <v>47</v>
      </c>
      <c r="J1002" s="20" t="n">
        <f aca="false">Inputs!$F$125*Inputs!$F$121/1000*Time!J$9*Time!J$10*Operations!J981*Operations!$F$840</f>
        <v>1.81608</v>
      </c>
      <c r="K1002" s="20" t="n">
        <f aca="false">Inputs!$F$125*Inputs!$F$121/1000*Time!K$9*Time!K$10*Operations!K981*Operations!$F$840</f>
        <v>1.922910906</v>
      </c>
      <c r="L1002" s="20" t="n">
        <f aca="false">Inputs!$F$125*Inputs!$F$121/1000*Time!L$9*Time!L$10*Operations!L981*Operations!$F$840</f>
        <v>1.97098367865</v>
      </c>
      <c r="M1002" s="20" t="n">
        <f aca="false">Inputs!$F$125*Inputs!$F$121/1000*Time!M$9*Time!M$10*Operations!M981*Operations!$F$840</f>
        <v>2.02025827061625</v>
      </c>
      <c r="N1002" s="20" t="n">
        <f aca="false">Inputs!$F$125*Inputs!$F$121/1000*Time!N$9*Time!N$10*Operations!N981*Operations!$F$840</f>
        <v>2.07076472738166</v>
      </c>
      <c r="O1002" s="20" t="n">
        <f aca="false">Inputs!$F$125*Inputs!$F$121/1000*Time!O$9*Time!O$10*Operations!O981*Operations!$F$840</f>
        <v>2.1225338455662</v>
      </c>
      <c r="P1002" s="20" t="n">
        <f aca="false">Inputs!$F$125*Inputs!$F$121/1000*Time!P$9*Time!P$10*Operations!P981*Operations!$F$840</f>
        <v>2.17559719170535</v>
      </c>
      <c r="Q1002" s="20" t="n">
        <f aca="false">Inputs!$F$125*Inputs!$F$121/1000*Time!Q$9*Time!Q$10*Operations!Q981*Operations!$F$840</f>
        <v>2.22998712149799</v>
      </c>
      <c r="R1002" s="20" t="n">
        <f aca="false">Inputs!$F$125*Inputs!$F$121/1000*Time!R$9*Time!R$10*Operations!R981*Operations!$F$840</f>
        <v>2.28573679953543</v>
      </c>
      <c r="S1002" s="20" t="n">
        <f aca="false">Inputs!$F$125*Inputs!$F$121/1000*Time!S$9*Time!S$10*Operations!S981*Operations!$F$840</f>
        <v>2.34288021952382</v>
      </c>
      <c r="T1002" s="20" t="n">
        <f aca="false">Inputs!$F$125*Inputs!$F$121/1000*Time!T$9*Time!T$10*Operations!T981*Operations!$F$840</f>
        <v>2.40145222501192</v>
      </c>
      <c r="U1002" s="20" t="n">
        <f aca="false">Inputs!$F$125*Inputs!$F$121/1000*Time!U$9*Time!U$10*Operations!U981*Operations!$F$840</f>
        <v>2.46148853063721</v>
      </c>
      <c r="V1002" s="20" t="n">
        <f aca="false">Inputs!$F$125*Inputs!$F$121/1000*Time!V$9*Time!V$10*Operations!V981*Operations!$F$840</f>
        <v>2.52302574390314</v>
      </c>
      <c r="W1002" s="20" t="n">
        <f aca="false">Inputs!$F$125*Inputs!$F$121/1000*Time!W$9*Time!W$10*Operations!W981*Operations!$F$840</f>
        <v>2.58610138750072</v>
      </c>
      <c r="X1002" s="20" t="n">
        <f aca="false">Inputs!$F$125*Inputs!$F$121/1000*Time!X$9*Time!X$10*Operations!X981*Operations!$F$840</f>
        <v>2.65075392218824</v>
      </c>
      <c r="Y1002" s="20" t="n">
        <f aca="false">Inputs!$F$125*Inputs!$F$121/1000*Time!Y$9*Time!Y$10*Operations!Y981*Operations!$F$840</f>
        <v>2.71702277024294</v>
      </c>
      <c r="Z1002" s="20" t="n">
        <f aca="false">Inputs!$F$125*Inputs!$F$121/1000*Time!Z$9*Time!Z$10*Operations!Z981*Operations!$F$840</f>
        <v>2.78494833949902</v>
      </c>
      <c r="AA1002" s="20" t="n">
        <f aca="false">Inputs!$F$125*Inputs!$F$121/1000*Time!AA$9*Time!AA$10*Operations!AA981*Operations!$F$840</f>
        <v>2.85457204798649</v>
      </c>
      <c r="AB1002" s="20" t="n">
        <f aca="false">Inputs!$F$125*Inputs!$F$121/1000*Time!AB$9*Time!AB$10*Operations!AB981*Operations!$F$840</f>
        <v>2.92593634918616</v>
      </c>
      <c r="AC1002" s="20" t="n">
        <f aca="false">Inputs!$F$125*Inputs!$F$121/1000*Time!AC$9*Time!AC$10*Operations!AC981*Operations!$F$840</f>
        <v>2.99908475791581</v>
      </c>
      <c r="AD1002" s="20" t="n">
        <f aca="false">Inputs!$F$125*Inputs!$F$121/1000*Time!AD$9*Time!AD$10*Operations!AD981*Operations!$F$840</f>
        <v>3.0740618768637</v>
      </c>
      <c r="AE1002" s="20" t="n">
        <f aca="false">Inputs!$F$125*Inputs!$F$121/1000*Time!AE$9*Time!AE$10*Operations!AE981*Operations!$F$840</f>
        <v>3.1509134237853</v>
      </c>
      <c r="AF1002" s="20" t="n">
        <f aca="false">Inputs!$F$125*Inputs!$F$121/1000*Time!AF$9*Time!AF$10*Operations!AF981*Operations!$F$840</f>
        <v>3.22968625937993</v>
      </c>
      <c r="AG1002" s="20" t="n">
        <f aca="false">Inputs!$F$125*Inputs!$F$121/1000*Time!AG$9*Time!AG$10*Operations!AG981*Operations!$F$840</f>
        <v>3.31042841586443</v>
      </c>
      <c r="AH1002" s="20" t="n">
        <f aca="false">Inputs!$F$125*Inputs!$F$121/1000*Time!AH$9*Time!AH$10*Operations!AH981*Operations!$F$840</f>
        <v>3.39318912626104</v>
      </c>
      <c r="AI1002" s="20" t="n">
        <f aca="false">Inputs!$F$125*Inputs!$F$121/1000*Time!AI$9*Time!AI$10*Operations!AI981*Operations!$F$840</f>
        <v>3.47801885441756</v>
      </c>
      <c r="AJ1002" s="20" t="n">
        <f aca="false">Inputs!$F$125*Inputs!$F$121/1000*Time!AJ$9*Time!AJ$10*Operations!AJ981*Operations!$F$840</f>
        <v>3.564969325778</v>
      </c>
      <c r="AK1002" s="20" t="n">
        <f aca="false">Inputs!$F$125*Inputs!$F$121/1000*Time!AK$9*Time!AK$10*Operations!AK981*Operations!$F$840</f>
        <v>3.65409355892245</v>
      </c>
      <c r="AL1002" s="20" t="n">
        <f aca="false">Inputs!$F$125*Inputs!$F$121/1000*Time!AL$9*Time!AL$10*Operations!AL981*Operations!$F$840</f>
        <v>3.74544589789551</v>
      </c>
      <c r="AM1002" s="20" t="n">
        <f aca="false">Inputs!$F$125*Inputs!$F$121/1000*Time!AM$9*Time!AM$10*Operations!AM981*Operations!$F$840</f>
        <v>3.8390820453429</v>
      </c>
      <c r="AN1002" s="20" t="n">
        <f aca="false">Inputs!$F$125*Inputs!$F$121/1000*Time!AN$9*Time!AN$10*Operations!AN981*Operations!$F$840</f>
        <v>3.93505909647647</v>
      </c>
      <c r="AO1002" s="20" t="n">
        <f aca="false">Inputs!$F$125*Inputs!$F$121/1000*Time!AO$9*Time!AO$10*Operations!AO981*Operations!$F$840</f>
        <v>4.03343557388838</v>
      </c>
      <c r="AP1002" s="20" t="n">
        <f aca="false">Inputs!$F$125*Inputs!$F$121/1000*Time!AP$9*Time!AP$10*Operations!AP981*Operations!$F$840</f>
        <v>4.13427146323559</v>
      </c>
      <c r="AQ1002" s="20" t="n">
        <f aca="false">Inputs!$F$125*Inputs!$F$121/1000*Time!AQ$9*Time!AQ$10*Operations!AQ981*Operations!$F$840</f>
        <v>3.52942188477866</v>
      </c>
      <c r="AR1002" s="20" t="n">
        <f aca="false">Inputs!$F$125*Inputs!$F$121/1000*Time!AR$9*Time!AR$10*Operations!AR981*Operations!$F$840</f>
        <v>0</v>
      </c>
      <c r="AS1002" s="20" t="n">
        <f aca="false">Inputs!$F$125*Inputs!$F$121/1000*Time!AS$9*Time!AS$10*Operations!AS981*Operations!$F$840</f>
        <v>0</v>
      </c>
      <c r="AT1002" s="20" t="n">
        <f aca="false">Inputs!$F$125*Inputs!$F$121/1000*Time!AT$9*Time!AT$10*Operations!AT981*Operations!$F$840</f>
        <v>0</v>
      </c>
      <c r="AU1002" s="20" t="n">
        <f aca="false">Inputs!$F$125*Inputs!$F$121/1000*Time!AU$9*Time!AU$10*Operations!AU981*Operations!$F$840</f>
        <v>0</v>
      </c>
    </row>
    <row r="1003" customFormat="false" ht="15" hidden="false" customHeight="false" outlineLevel="0" collapsed="false">
      <c r="D1003" s="0" t="s">
        <v>608</v>
      </c>
      <c r="E1003" s="0" t="s">
        <v>47</v>
      </c>
      <c r="J1003" s="20" t="n">
        <f aca="false">0</f>
        <v>0</v>
      </c>
      <c r="K1003" s="20" t="n">
        <f aca="false">0</f>
        <v>0</v>
      </c>
      <c r="L1003" s="20" t="n">
        <f aca="false">0</f>
        <v>0</v>
      </c>
      <c r="M1003" s="20" t="n">
        <f aca="false">0</f>
        <v>0</v>
      </c>
      <c r="N1003" s="20" t="n">
        <f aca="false">0</f>
        <v>0</v>
      </c>
      <c r="O1003" s="20" t="n">
        <f aca="false">0</f>
        <v>0</v>
      </c>
      <c r="P1003" s="20" t="n">
        <f aca="false">0</f>
        <v>0</v>
      </c>
      <c r="Q1003" s="20" t="n">
        <f aca="false">0</f>
        <v>0</v>
      </c>
      <c r="R1003" s="20" t="n">
        <f aca="false">0</f>
        <v>0</v>
      </c>
      <c r="S1003" s="20" t="n">
        <f aca="false">0</f>
        <v>0</v>
      </c>
      <c r="T1003" s="20" t="n">
        <f aca="false">0</f>
        <v>0</v>
      </c>
      <c r="U1003" s="20" t="n">
        <f aca="false">0</f>
        <v>0</v>
      </c>
      <c r="V1003" s="20" t="n">
        <f aca="false">0</f>
        <v>0</v>
      </c>
      <c r="W1003" s="20" t="n">
        <f aca="false">0</f>
        <v>0</v>
      </c>
      <c r="X1003" s="20" t="n">
        <f aca="false">0</f>
        <v>0</v>
      </c>
      <c r="Y1003" s="20" t="n">
        <f aca="false">0</f>
        <v>0</v>
      </c>
      <c r="Z1003" s="20" t="n">
        <f aca="false">0</f>
        <v>0</v>
      </c>
      <c r="AA1003" s="20" t="n">
        <f aca="false">0</f>
        <v>0</v>
      </c>
      <c r="AB1003" s="20" t="n">
        <f aca="false">0</f>
        <v>0</v>
      </c>
      <c r="AC1003" s="20" t="n">
        <f aca="false">0</f>
        <v>0</v>
      </c>
      <c r="AD1003" s="20" t="n">
        <f aca="false">0</f>
        <v>0</v>
      </c>
      <c r="AE1003" s="20" t="n">
        <f aca="false">0</f>
        <v>0</v>
      </c>
      <c r="AF1003" s="20" t="n">
        <f aca="false">0</f>
        <v>0</v>
      </c>
      <c r="AG1003" s="20" t="n">
        <f aca="false">0</f>
        <v>0</v>
      </c>
      <c r="AH1003" s="20" t="n">
        <f aca="false">0</f>
        <v>0</v>
      </c>
      <c r="AI1003" s="20" t="n">
        <f aca="false">0</f>
        <v>0</v>
      </c>
      <c r="AJ1003" s="20" t="n">
        <f aca="false">0</f>
        <v>0</v>
      </c>
      <c r="AK1003" s="20" t="n">
        <f aca="false">0</f>
        <v>0</v>
      </c>
      <c r="AL1003" s="20" t="n">
        <f aca="false">0</f>
        <v>0</v>
      </c>
      <c r="AM1003" s="20" t="n">
        <f aca="false">0</f>
        <v>0</v>
      </c>
      <c r="AN1003" s="20" t="n">
        <f aca="false">0</f>
        <v>0</v>
      </c>
      <c r="AO1003" s="20" t="n">
        <f aca="false">0</f>
        <v>0</v>
      </c>
      <c r="AP1003" s="20" t="n">
        <f aca="false">0</f>
        <v>0</v>
      </c>
      <c r="AQ1003" s="20" t="n">
        <f aca="false">0</f>
        <v>0</v>
      </c>
      <c r="AR1003" s="20" t="n">
        <f aca="false">0</f>
        <v>0</v>
      </c>
      <c r="AS1003" s="20" t="n">
        <f aca="false">0</f>
        <v>0</v>
      </c>
      <c r="AT1003" s="20" t="n">
        <f aca="false">0</f>
        <v>0</v>
      </c>
      <c r="AU1003" s="20" t="n">
        <f aca="false">0</f>
        <v>0</v>
      </c>
    </row>
    <row r="1004" customFormat="false" ht="15" hidden="false" customHeight="false" outlineLevel="0" collapsed="false">
      <c r="D1004" s="0" t="s">
        <v>609</v>
      </c>
      <c r="E1004" s="0" t="s">
        <v>47</v>
      </c>
      <c r="J1004" s="20" t="n">
        <f aca="false">Inputs!$F$243/100*Inputs!$F$126*Inputs!$F$121/1000*Time!J$9*Operations!J981</f>
        <v>0.0225036</v>
      </c>
      <c r="K1004" s="20" t="n">
        <f aca="false">Inputs!$F$243/100*Inputs!$F$126*Inputs!$F$121/1000*Time!K$9*Operations!K981</f>
        <v>0.02306619</v>
      </c>
      <c r="L1004" s="20" t="n">
        <f aca="false">Inputs!$F$243/100*Inputs!$F$126*Inputs!$F$121/1000*Time!L$9*Operations!L981</f>
        <v>0.02364284475</v>
      </c>
      <c r="M1004" s="20" t="n">
        <f aca="false">Inputs!$F$243/100*Inputs!$F$126*Inputs!$F$121/1000*Time!M$9*Operations!M981</f>
        <v>0.02423391586875</v>
      </c>
      <c r="N1004" s="20" t="n">
        <f aca="false">Inputs!$F$243/100*Inputs!$F$126*Inputs!$F$121/1000*Time!N$9*Operations!N981</f>
        <v>0.0248397637654687</v>
      </c>
      <c r="O1004" s="20" t="n">
        <f aca="false">Inputs!$F$243/100*Inputs!$F$126*Inputs!$F$121/1000*Time!O$9*Operations!O981</f>
        <v>0.0254607578596055</v>
      </c>
      <c r="P1004" s="20" t="n">
        <f aca="false">Inputs!$F$243/100*Inputs!$F$126*Inputs!$F$121/1000*Time!P$9*Operations!P981</f>
        <v>0.0260972768060956</v>
      </c>
      <c r="Q1004" s="20" t="n">
        <f aca="false">Inputs!$F$243/100*Inputs!$F$126*Inputs!$F$121/1000*Time!Q$9*Operations!Q981</f>
        <v>0.026749708726248</v>
      </c>
      <c r="R1004" s="20" t="n">
        <f aca="false">Inputs!$F$243/100*Inputs!$F$126*Inputs!$F$121/1000*Time!R$9*Operations!R981</f>
        <v>0.0274184514444042</v>
      </c>
      <c r="S1004" s="20" t="n">
        <f aca="false">Inputs!$F$243/100*Inputs!$F$126*Inputs!$F$121/1000*Time!S$9*Operations!S981</f>
        <v>0.0281039127305143</v>
      </c>
      <c r="T1004" s="20" t="n">
        <f aca="false">Inputs!$F$243/100*Inputs!$F$126*Inputs!$F$121/1000*Time!T$9*Operations!T981</f>
        <v>0.0288065105487771</v>
      </c>
      <c r="U1004" s="20" t="n">
        <f aca="false">Inputs!$F$243/100*Inputs!$F$126*Inputs!$F$121/1000*Time!U$9*Operations!U981</f>
        <v>0.0295266733124966</v>
      </c>
      <c r="V1004" s="20" t="n">
        <f aca="false">Inputs!$F$243/100*Inputs!$F$126*Inputs!$F$121/1000*Time!V$9*Operations!V981</f>
        <v>0.030264840145309</v>
      </c>
      <c r="W1004" s="20" t="n">
        <f aca="false">Inputs!$F$243/100*Inputs!$F$126*Inputs!$F$121/1000*Time!W$9*Operations!W981</f>
        <v>0.0310214611489417</v>
      </c>
      <c r="X1004" s="20" t="n">
        <f aca="false">Inputs!$F$243/100*Inputs!$F$126*Inputs!$F$121/1000*Time!X$9*Operations!X981</f>
        <v>0.0317969976776652</v>
      </c>
      <c r="Y1004" s="20" t="n">
        <f aca="false">Inputs!$F$243/100*Inputs!$F$126*Inputs!$F$121/1000*Time!Y$9*Operations!Y981</f>
        <v>0.0325919226196069</v>
      </c>
      <c r="Z1004" s="20" t="n">
        <f aca="false">Inputs!$F$243/100*Inputs!$F$126*Inputs!$F$121/1000*Time!Z$9*Operations!Z981</f>
        <v>0.033406720685097</v>
      </c>
      <c r="AA1004" s="20" t="n">
        <f aca="false">Inputs!$F$243/100*Inputs!$F$126*Inputs!$F$121/1000*Time!AA$9*Operations!AA981</f>
        <v>0.0342418887022245</v>
      </c>
      <c r="AB1004" s="20" t="n">
        <f aca="false">Inputs!$F$243/100*Inputs!$F$126*Inputs!$F$121/1000*Time!AB$9*Operations!AB981</f>
        <v>0.0350979359197801</v>
      </c>
      <c r="AC1004" s="20" t="n">
        <f aca="false">Inputs!$F$243/100*Inputs!$F$126*Inputs!$F$121/1000*Time!AC$9*Operations!AC981</f>
        <v>0.0359753843177746</v>
      </c>
      <c r="AD1004" s="20" t="n">
        <f aca="false">Inputs!$F$243/100*Inputs!$F$126*Inputs!$F$121/1000*Time!AD$9*Operations!AD981</f>
        <v>0.0368747689257189</v>
      </c>
      <c r="AE1004" s="20" t="n">
        <f aca="false">Inputs!$F$243/100*Inputs!$F$126*Inputs!$F$121/1000*Time!AE$9*Operations!AE981</f>
        <v>0.0377966381488619</v>
      </c>
      <c r="AF1004" s="20" t="n">
        <f aca="false">Inputs!$F$243/100*Inputs!$F$126*Inputs!$F$121/1000*Time!AF$9*Operations!AF981</f>
        <v>0.0387415541025834</v>
      </c>
      <c r="AG1004" s="20" t="n">
        <f aca="false">Inputs!$F$243/100*Inputs!$F$126*Inputs!$F$121/1000*Time!AG$9*Operations!AG981</f>
        <v>0.039710092955148</v>
      </c>
      <c r="AH1004" s="20" t="n">
        <f aca="false">Inputs!$F$243/100*Inputs!$F$126*Inputs!$F$121/1000*Time!AH$9*Operations!AH981</f>
        <v>0.0407028452790267</v>
      </c>
      <c r="AI1004" s="20" t="n">
        <f aca="false">Inputs!$F$243/100*Inputs!$F$126*Inputs!$F$121/1000*Time!AI$9*Operations!AI981</f>
        <v>0.0417204164110024</v>
      </c>
      <c r="AJ1004" s="20" t="n">
        <f aca="false">Inputs!$F$243/100*Inputs!$F$126*Inputs!$F$121/1000*Time!AJ$9*Operations!AJ981</f>
        <v>0.0427634268212774</v>
      </c>
      <c r="AK1004" s="20" t="n">
        <f aca="false">Inputs!$F$243/100*Inputs!$F$126*Inputs!$F$121/1000*Time!AK$9*Operations!AK981</f>
        <v>0.0438325124918094</v>
      </c>
      <c r="AL1004" s="20" t="n">
        <f aca="false">Inputs!$F$243/100*Inputs!$F$126*Inputs!$F$121/1000*Time!AL$9*Operations!AL981</f>
        <v>0.0449283253041046</v>
      </c>
      <c r="AM1004" s="20" t="n">
        <f aca="false">Inputs!$F$243/100*Inputs!$F$126*Inputs!$F$121/1000*Time!AM$9*Operations!AM981</f>
        <v>0.0460515334367072</v>
      </c>
      <c r="AN1004" s="20" t="n">
        <f aca="false">Inputs!$F$243/100*Inputs!$F$126*Inputs!$F$121/1000*Time!AN$9*Operations!AN981</f>
        <v>0.0472028217726249</v>
      </c>
      <c r="AO1004" s="20" t="n">
        <f aca="false">Inputs!$F$243/100*Inputs!$F$126*Inputs!$F$121/1000*Time!AO$9*Operations!AO981</f>
        <v>0.0483828923169405</v>
      </c>
      <c r="AP1004" s="20" t="n">
        <f aca="false">Inputs!$F$243/100*Inputs!$F$126*Inputs!$F$121/1000*Time!AP$9*Operations!AP981</f>
        <v>0.049592464624864</v>
      </c>
      <c r="AQ1004" s="20" t="n">
        <f aca="false">Inputs!$F$243/100*Inputs!$F$126*Inputs!$F$121/1000*Time!AQ$9*Operations!AQ981</f>
        <v>0.0423370191153634</v>
      </c>
      <c r="AR1004" s="20" t="n">
        <f aca="false">Inputs!$F$243/100*Inputs!$F$126*Inputs!$F$121/1000*Time!AR$9*Operations!AR981</f>
        <v>0</v>
      </c>
      <c r="AS1004" s="20" t="n">
        <f aca="false">Inputs!$F$243/100*Inputs!$F$126*Inputs!$F$121/1000*Time!AS$9*Operations!AS981</f>
        <v>0</v>
      </c>
      <c r="AT1004" s="20" t="n">
        <f aca="false">Inputs!$F$243/100*Inputs!$F$126*Inputs!$F$121/1000*Time!AT$9*Operations!AT981</f>
        <v>0</v>
      </c>
      <c r="AU1004" s="20" t="n">
        <f aca="false">Inputs!$F$243/100*Inputs!$F$126*Inputs!$F$121/1000*Time!AU$9*Operations!AU981</f>
        <v>0</v>
      </c>
    </row>
    <row r="1005" customFormat="false" ht="15" hidden="false" customHeight="false" outlineLevel="0" collapsed="false">
      <c r="D1005" s="0" t="s">
        <v>610</v>
      </c>
      <c r="E1005" s="0" t="s">
        <v>47</v>
      </c>
      <c r="J1005" s="20" t="n">
        <f aca="false">Inputs!$F$244/100*Inputs!$F$245/100*Operations!J1000</f>
        <v>0.0492535361632579</v>
      </c>
      <c r="K1005" s="20" t="n">
        <f aca="false">Inputs!$F$244/100*Inputs!$F$245/100*Operations!K1000</f>
        <v>0.0466691683722697</v>
      </c>
      <c r="L1005" s="20" t="n">
        <f aca="false">Inputs!$F$244/100*Inputs!$F$245/100*Operations!L1000</f>
        <v>0.0424157965038931</v>
      </c>
      <c r="M1005" s="20" t="n">
        <f aca="false">Inputs!$F$244/100*Inputs!$F$245/100*Operations!M1000</f>
        <v>0.0430748506181611</v>
      </c>
      <c r="N1005" s="20" t="n">
        <f aca="false">Inputs!$F$244/100*Inputs!$F$245/100*Operations!N1000</f>
        <v>0.0432650575179115</v>
      </c>
      <c r="O1005" s="20" t="n">
        <f aca="false">Inputs!$F$244/100*Inputs!$F$245/100*Operations!O1000</f>
        <v>0.0349882589196698</v>
      </c>
      <c r="P1005" s="20" t="n">
        <f aca="false">Inputs!$F$244/100*Inputs!$F$245/100*Operations!P1000</f>
        <v>0.0351657137065862</v>
      </c>
      <c r="Q1005" s="20" t="n">
        <f aca="false">Inputs!$F$244/100*Inputs!$F$245/100*Operations!Q1000</f>
        <v>0.0349221108686174</v>
      </c>
      <c r="R1005" s="20" t="n">
        <f aca="false">Inputs!$F$244/100*Inputs!$F$245/100*Operations!R1000</f>
        <v>0.0346949835891737</v>
      </c>
      <c r="S1005" s="20" t="n">
        <f aca="false">Inputs!$F$244/100*Inputs!$F$245/100*Operations!S1000</f>
        <v>0.0341805899203357</v>
      </c>
      <c r="T1005" s="20" t="n">
        <f aca="false">Inputs!$F$244/100*Inputs!$F$245/100*Operations!T1000</f>
        <v>0.033641392756396</v>
      </c>
      <c r="U1005" s="20" t="n">
        <f aca="false">Inputs!$F$244/100*Inputs!$F$245/100*Operations!U1000</f>
        <v>0.0330765715353689</v>
      </c>
      <c r="V1005" s="20" t="n">
        <f aca="false">Inputs!$F$244/100*Inputs!$F$245/100*Operations!V1000</f>
        <v>0.0324853236522785</v>
      </c>
      <c r="W1005" s="20" t="n">
        <f aca="false">Inputs!$F$244/100*Inputs!$F$245/100*Operations!W1000</f>
        <v>0.0318668642448824</v>
      </c>
      <c r="X1005" s="20" t="n">
        <f aca="false">Inputs!$F$244/100*Inputs!$F$245/100*Operations!X1000</f>
        <v>0.0323557141988852</v>
      </c>
      <c r="Y1005" s="20" t="n">
        <f aca="false">Inputs!$F$244/100*Inputs!$F$245/100*Operations!Y1000</f>
        <v>0.0328560825075723</v>
      </c>
      <c r="Z1005" s="20" t="n">
        <f aca="false">Inputs!$F$244/100*Inputs!$F$245/100*Operations!Z1000</f>
        <v>0.0333622848138581</v>
      </c>
      <c r="AA1005" s="20" t="n">
        <f aca="false">Inputs!$F$244/100*Inputs!$F$245/100*Operations!AA1000</f>
        <v>0.0338742090129858</v>
      </c>
      <c r="AB1005" s="20" t="n">
        <f aca="false">Inputs!$F$244/100*Inputs!$F$245/100*Operations!AB1000</f>
        <v>0.0343971910163752</v>
      </c>
      <c r="AC1005" s="20" t="n">
        <f aca="false">Inputs!$F$244/100*Inputs!$F$245/100*Operations!AC1000</f>
        <v>0.0349256250124241</v>
      </c>
      <c r="AD1005" s="20" t="n">
        <f aca="false">Inputs!$F$244/100*Inputs!$F$245/100*Operations!AD1000</f>
        <v>0.0354648005322363</v>
      </c>
      <c r="AE1005" s="20" t="n">
        <f aca="false">Inputs!$F$244/100*Inputs!$F$245/100*Operations!AE1000</f>
        <v>0.0360091636284424</v>
      </c>
      <c r="AF1005" s="20" t="n">
        <f aca="false">Inputs!$F$244/100*Inputs!$F$245/100*Operations!AF1000</f>
        <v>0.0365639578495899</v>
      </c>
      <c r="AG1005" s="20" t="n">
        <f aca="false">Inputs!$F$244/100*Inputs!$F$245/100*Operations!AG1000</f>
        <v>0.0371290060737041</v>
      </c>
      <c r="AH1005" s="20" t="n">
        <f aca="false">Inputs!$F$244/100*Inputs!$F$245/100*Operations!AH1000</f>
        <v>0.037698831405659</v>
      </c>
      <c r="AI1005" s="20" t="n">
        <f aca="false">Inputs!$F$244/100*Inputs!$F$245/100*Operations!AI1000</f>
        <v>0.0382786093202659</v>
      </c>
      <c r="AJ1005" s="20" t="n">
        <f aca="false">Inputs!$F$244/100*Inputs!$F$245/100*Operations!AJ1000</f>
        <v>0.0388681674573895</v>
      </c>
      <c r="AK1005" s="20" t="n">
        <f aca="false">Inputs!$F$244/100*Inputs!$F$245/100*Operations!AK1000</f>
        <v>0.0394673351272115</v>
      </c>
      <c r="AL1005" s="20" t="n">
        <f aca="false">Inputs!$F$244/100*Inputs!$F$245/100*Operations!AL1000</f>
        <v>0.0400759432972454</v>
      </c>
      <c r="AM1005" s="20" t="n">
        <f aca="false">Inputs!$F$244/100*Inputs!$F$245/100*Operations!AM1000</f>
        <v>0.0406938245794405</v>
      </c>
      <c r="AN1005" s="20" t="n">
        <f aca="false">Inputs!$F$244/100*Inputs!$F$245/100*Operations!AN1000</f>
        <v>0.0413208132173754</v>
      </c>
      <c r="AO1005" s="20" t="n">
        <f aca="false">Inputs!$F$244/100*Inputs!$F$245/100*Operations!AO1000</f>
        <v>0.0419567450735395</v>
      </c>
      <c r="AP1005" s="20" t="n">
        <f aca="false">Inputs!$F$244/100*Inputs!$F$245/100*Operations!AP1000</f>
        <v>0.0426014576167022</v>
      </c>
      <c r="AQ1005" s="20" t="n">
        <f aca="false">Inputs!$F$244/100*Inputs!$F$245/100*Operations!AQ1000</f>
        <v>0.0360301470506257</v>
      </c>
      <c r="AR1005" s="20" t="n">
        <f aca="false">Inputs!$F$244/100*Inputs!$F$245/100*Operations!AR1000</f>
        <v>0</v>
      </c>
      <c r="AS1005" s="20" t="n">
        <f aca="false">Inputs!$F$244/100*Inputs!$F$245/100*Operations!AS1000</f>
        <v>0</v>
      </c>
      <c r="AT1005" s="20" t="n">
        <f aca="false">Inputs!$F$244/100*Inputs!$F$245/100*Operations!AT1000</f>
        <v>0</v>
      </c>
      <c r="AU1005" s="20" t="n">
        <f aca="false">Inputs!$F$244/100*Inputs!$F$245/100*Operations!AU1000</f>
        <v>0</v>
      </c>
    </row>
    <row r="1006" customFormat="false" ht="15" hidden="false" customHeight="false" outlineLevel="0" collapsed="false">
      <c r="D1006" s="0" t="s">
        <v>611</v>
      </c>
      <c r="E1006" s="0" t="s">
        <v>47</v>
      </c>
      <c r="G1006" s="20" t="n">
        <f aca="false">SUM(J1006:AU1006)</f>
        <v>142.212904863872</v>
      </c>
      <c r="J1006" s="20" t="n">
        <f aca="false">Operations!J1000-Operations!J1002-Operations!J1003-Operations!J1004-Operations!J1005</f>
        <v>7.49378879969539</v>
      </c>
      <c r="K1006" s="20" t="n">
        <f aca="false">Operations!K1000-Operations!K1002-Operations!K1003-Operations!K1004-Operations!K1005</f>
        <v>6.89671913986958</v>
      </c>
      <c r="L1006" s="20" t="n">
        <f aca="false">Operations!L1000-Operations!L1002-Operations!L1003-Operations!L1004-Operations!L1005</f>
        <v>6.04215701417098</v>
      </c>
      <c r="M1006" s="20" t="n">
        <f aca="false">Operations!M1000-Operations!M1002-Operations!M1003-Operations!M1004-Operations!M1005</f>
        <v>6.11716641397514</v>
      </c>
      <c r="N1006" s="20" t="n">
        <f aca="false">Operations!N1000-Operations!N1002-Operations!N1003-Operations!N1004-Operations!N1005</f>
        <v>6.10209378808001</v>
      </c>
      <c r="O1006" s="20" t="n">
        <f aca="false">Operations!O1000-Operations!O1002-Operations!O1003-Operations!O1004-Operations!O1005</f>
        <v>4.48144740806782</v>
      </c>
      <c r="P1006" s="20" t="n">
        <f aca="false">Operations!P1000-Operations!P1002-Operations!P1003-Operations!P1004-Operations!P1005</f>
        <v>4.46137099998886</v>
      </c>
      <c r="Q1006" s="20" t="n">
        <f aca="false">Operations!Q1000-Operations!Q1002-Operations!Q1003-Operations!Q1004-Operations!Q1005</f>
        <v>4.36017170054855</v>
      </c>
      <c r="R1006" s="20" t="n">
        <f aca="false">Operations!R1000-Operations!R1002-Operations!R1003-Operations!R1004-Operations!R1005</f>
        <v>4.26071806813075</v>
      </c>
      <c r="S1006" s="20" t="n">
        <f aca="false">Operations!S1000-Operations!S1002-Operations!S1003-Operations!S1004-Operations!S1005</f>
        <v>4.10542383407974</v>
      </c>
      <c r="T1006" s="20" t="n">
        <f aca="false">Operations!T1000-Operations!T1002-Operations!T1003-Operations!T1004-Operations!T1005</f>
        <v>3.94398420623453</v>
      </c>
      <c r="U1006" s="20" t="n">
        <f aca="false">Operations!U1000-Operations!U1002-Operations!U1003-Operations!U1004-Operations!U1005</f>
        <v>3.77620756458519</v>
      </c>
      <c r="V1006" s="20" t="n">
        <f aca="false">Operations!V1000-Operations!V1002-Operations!V1003-Operations!V1004-Operations!V1005</f>
        <v>3.60190478797137</v>
      </c>
      <c r="W1006" s="20" t="n">
        <f aca="false">Operations!W1000-Operations!W1002-Operations!W1003-Operations!W1004-Operations!W1005</f>
        <v>3.42088919089258</v>
      </c>
      <c r="X1006" s="20" t="n">
        <f aca="false">Operations!X1000-Operations!X1002-Operations!X1003-Operations!X1004-Operations!X1005</f>
        <v>3.44808654667524</v>
      </c>
      <c r="Y1006" s="20" t="n">
        <f aca="false">Operations!Y1000-Operations!Y1002-Operations!Y1003-Operations!Y1004-Operations!Y1005</f>
        <v>3.47583065464364</v>
      </c>
      <c r="Z1006" s="20" t="n">
        <f aca="false">Operations!Z1000-Operations!Z1002-Operations!Z1003-Operations!Z1004-Operations!Z1005</f>
        <v>3.50300357192737</v>
      </c>
      <c r="AA1006" s="20" t="n">
        <f aca="false">Operations!AA1000-Operations!AA1002-Operations!AA1003-Operations!AA1004-Operations!AA1005</f>
        <v>3.52954214248606</v>
      </c>
      <c r="AB1006" s="20" t="n">
        <f aca="false">Operations!AB1000-Operations!AB1002-Operations!AB1003-Operations!AB1004-Operations!AB1005</f>
        <v>3.55641443175867</v>
      </c>
      <c r="AC1006" s="20" t="n">
        <f aca="false">Operations!AC1000-Operations!AC1002-Operations!AC1003-Operations!AC1004-Operations!AC1005</f>
        <v>3.58251423512049</v>
      </c>
      <c r="AD1006" s="20" t="n">
        <f aca="false">Operations!AD1000-Operations!AD1002-Operations!AD1003-Operations!AD1004-Operations!AD1005</f>
        <v>3.60879865505669</v>
      </c>
      <c r="AE1006" s="20" t="n">
        <f aca="false">Operations!AE1000-Operations!AE1002-Operations!AE1003-Operations!AE1004-Operations!AE1005</f>
        <v>3.63416908461689</v>
      </c>
      <c r="AF1006" s="20" t="n">
        <f aca="false">Operations!AF1000-Operations!AF1002-Operations!AF1003-Operations!AF1004-Operations!AF1005</f>
        <v>3.65957162858978</v>
      </c>
      <c r="AG1006" s="20" t="n">
        <f aca="false">Operations!AG1000-Operations!AG1002-Operations!AG1003-Operations!AG1004-Operations!AG1005</f>
        <v>3.68492411819321</v>
      </c>
      <c r="AH1006" s="20" t="n">
        <f aca="false">Operations!AH1000-Operations!AH1002-Operations!AH1003-Operations!AH1004-Operations!AH1005</f>
        <v>3.70913898860837</v>
      </c>
      <c r="AI1006" s="20" t="n">
        <f aca="false">Operations!AI1000-Operations!AI1002-Operations!AI1003-Operations!AI1004-Operations!AI1005</f>
        <v>3.73314579990182</v>
      </c>
      <c r="AJ1006" s="20" t="n">
        <f aca="false">Operations!AJ1000-Operations!AJ1002-Operations!AJ1003-Operations!AJ1004-Operations!AJ1005</f>
        <v>3.75685954801753</v>
      </c>
      <c r="AK1006" s="20" t="n">
        <f aca="false">Operations!AK1000-Operations!AK1002-Operations!AK1003-Operations!AK1004-Operations!AK1005</f>
        <v>3.78019423673691</v>
      </c>
      <c r="AL1006" s="20" t="n">
        <f aca="false">Operations!AL1000-Operations!AL1002-Operations!AL1003-Operations!AL1004-Operations!AL1005</f>
        <v>3.80306284250225</v>
      </c>
      <c r="AM1006" s="20" t="n">
        <f aca="false">Operations!AM1000-Operations!AM1002-Operations!AM1003-Operations!AM1004-Operations!AM1005</f>
        <v>3.82537727843914</v>
      </c>
      <c r="AN1006" s="20" t="n">
        <f aca="false">Operations!AN1000-Operations!AN1002-Operations!AN1003-Operations!AN1004-Operations!AN1005</f>
        <v>3.84704835755742</v>
      </c>
      <c r="AO1006" s="20" t="n">
        <f aca="false">Operations!AO1000-Operations!AO1002-Operations!AO1003-Operations!AO1004-Operations!AO1005</f>
        <v>3.86798575510962</v>
      </c>
      <c r="AP1006" s="20" t="n">
        <f aca="false">Operations!AP1000-Operations!AP1002-Operations!AP1003-Operations!AP1004-Operations!AP1005</f>
        <v>3.88809797008517</v>
      </c>
      <c r="AQ1006" s="20" t="n">
        <f aca="false">Operations!AQ1000-Operations!AQ1002-Operations!AQ1003-Operations!AQ1004-Operations!AQ1005</f>
        <v>3.25509610155549</v>
      </c>
      <c r="AR1006" s="20" t="n">
        <f aca="false">Operations!AR1000-Operations!AR1002-Operations!AR1003-Operations!AR1004-Operations!AR1005</f>
        <v>0</v>
      </c>
      <c r="AS1006" s="20" t="n">
        <f aca="false">Operations!AS1000-Operations!AS1002-Operations!AS1003-Operations!AS1004-Operations!AS1005</f>
        <v>0</v>
      </c>
      <c r="AT1006" s="20" t="n">
        <f aca="false">Operations!AT1000-Operations!AT1002-Operations!AT1003-Operations!AT1004-Operations!AT1005</f>
        <v>0</v>
      </c>
      <c r="AU1006" s="20" t="n">
        <f aca="false">Operations!AU1000-Operations!AU1002-Operations!AU1003-Operations!AU1004-Operations!AU1005</f>
        <v>0</v>
      </c>
    </row>
    <row r="1007" customFormat="false" ht="15" hidden="false" customHeight="false" outlineLevel="0" collapsed="false">
      <c r="D1007" s="0" t="s">
        <v>612</v>
      </c>
      <c r="E1007" s="0" t="s">
        <v>47</v>
      </c>
      <c r="J1007" s="20" t="n">
        <f aca="false">0</f>
        <v>0</v>
      </c>
      <c r="K1007" s="20" t="n">
        <f aca="false">0</f>
        <v>0</v>
      </c>
      <c r="L1007" s="20" t="n">
        <f aca="false">0</f>
        <v>0</v>
      </c>
      <c r="M1007" s="20" t="n">
        <f aca="false">0</f>
        <v>0</v>
      </c>
      <c r="N1007" s="20" t="n">
        <f aca="false">0</f>
        <v>0</v>
      </c>
      <c r="O1007" s="20" t="n">
        <f aca="false">0</f>
        <v>0</v>
      </c>
      <c r="P1007" s="20" t="n">
        <f aca="false">0</f>
        <v>0</v>
      </c>
      <c r="Q1007" s="20" t="n">
        <f aca="false">0</f>
        <v>0</v>
      </c>
      <c r="R1007" s="20" t="n">
        <f aca="false">0</f>
        <v>0</v>
      </c>
      <c r="S1007" s="20" t="n">
        <f aca="false">0</f>
        <v>0</v>
      </c>
      <c r="T1007" s="20" t="n">
        <f aca="false">0</f>
        <v>0</v>
      </c>
      <c r="U1007" s="20" t="n">
        <f aca="false">0</f>
        <v>0</v>
      </c>
      <c r="V1007" s="20" t="n">
        <f aca="false">0</f>
        <v>0</v>
      </c>
      <c r="W1007" s="20" t="n">
        <f aca="false">0</f>
        <v>0</v>
      </c>
      <c r="X1007" s="20" t="n">
        <f aca="false">0</f>
        <v>0</v>
      </c>
      <c r="Y1007" s="20" t="n">
        <f aca="false">0</f>
        <v>0</v>
      </c>
      <c r="Z1007" s="20" t="n">
        <f aca="false">0</f>
        <v>0</v>
      </c>
      <c r="AA1007" s="20" t="n">
        <f aca="false">0</f>
        <v>0</v>
      </c>
      <c r="AB1007" s="20" t="n">
        <f aca="false">0</f>
        <v>0</v>
      </c>
      <c r="AC1007" s="20" t="n">
        <f aca="false">0</f>
        <v>0</v>
      </c>
      <c r="AD1007" s="20" t="n">
        <f aca="false">0</f>
        <v>0</v>
      </c>
      <c r="AE1007" s="20" t="n">
        <f aca="false">0</f>
        <v>0</v>
      </c>
      <c r="AF1007" s="20" t="n">
        <f aca="false">0</f>
        <v>0</v>
      </c>
      <c r="AG1007" s="20" t="n">
        <f aca="false">0</f>
        <v>0</v>
      </c>
      <c r="AH1007" s="20" t="n">
        <f aca="false">0</f>
        <v>0</v>
      </c>
      <c r="AI1007" s="20" t="n">
        <f aca="false">0</f>
        <v>0</v>
      </c>
      <c r="AJ1007" s="20" t="n">
        <f aca="false">0</f>
        <v>0</v>
      </c>
      <c r="AK1007" s="20" t="n">
        <f aca="false">0</f>
        <v>0</v>
      </c>
      <c r="AL1007" s="20" t="n">
        <f aca="false">0</f>
        <v>0</v>
      </c>
      <c r="AM1007" s="20" t="n">
        <f aca="false">0</f>
        <v>0</v>
      </c>
      <c r="AN1007" s="20" t="n">
        <f aca="false">0</f>
        <v>0</v>
      </c>
      <c r="AO1007" s="20" t="n">
        <f aca="false">0</f>
        <v>0</v>
      </c>
      <c r="AP1007" s="20" t="n">
        <f aca="false">0</f>
        <v>0</v>
      </c>
      <c r="AQ1007" s="20" t="n">
        <f aca="false">0</f>
        <v>0</v>
      </c>
      <c r="AR1007" s="20" t="n">
        <f aca="false">0</f>
        <v>0</v>
      </c>
      <c r="AS1007" s="20" t="n">
        <f aca="false">0</f>
        <v>0</v>
      </c>
      <c r="AT1007" s="20" t="n">
        <f aca="false">0</f>
        <v>0</v>
      </c>
      <c r="AU1007" s="20" t="n">
        <f aca="false">0</f>
        <v>0</v>
      </c>
    </row>
    <row r="1008" customFormat="false" ht="15" hidden="false" customHeight="false" outlineLevel="0" collapsed="false">
      <c r="D1008" s="0" t="s">
        <v>613</v>
      </c>
      <c r="E1008" s="0" t="s">
        <v>47</v>
      </c>
      <c r="J1008" s="20" t="n">
        <f aca="false">IF(Time!J$4=YEAR(Inputs!$F$123),Inputs!$F$126*Inputs!$F$121/1000*Time!J$9,0)</f>
        <v>0</v>
      </c>
      <c r="K1008" s="20" t="n">
        <f aca="false">IF(Time!K$4=YEAR(Inputs!$F$123),Inputs!$F$126*Inputs!$F$121/1000*Time!K$9,0)</f>
        <v>0</v>
      </c>
      <c r="L1008" s="20" t="n">
        <f aca="false">IF(Time!L$4=YEAR(Inputs!$F$123),Inputs!$F$126*Inputs!$F$121/1000*Time!L$9,0)</f>
        <v>0</v>
      </c>
      <c r="M1008" s="20" t="n">
        <f aca="false">IF(Time!M$4=YEAR(Inputs!$F$123),Inputs!$F$126*Inputs!$F$121/1000*Time!M$9,0)</f>
        <v>0</v>
      </c>
      <c r="N1008" s="20" t="n">
        <f aca="false">IF(Time!N$4=YEAR(Inputs!$F$123),Inputs!$F$126*Inputs!$F$121/1000*Time!N$9,0)</f>
        <v>0</v>
      </c>
      <c r="O1008" s="20" t="n">
        <f aca="false">IF(Time!O$4=YEAR(Inputs!$F$123),Inputs!$F$126*Inputs!$F$121/1000*Time!O$9,0)</f>
        <v>0</v>
      </c>
      <c r="P1008" s="20" t="n">
        <f aca="false">IF(Time!P$4=YEAR(Inputs!$F$123),Inputs!$F$126*Inputs!$F$121/1000*Time!P$9,0)</f>
        <v>0</v>
      </c>
      <c r="Q1008" s="20" t="n">
        <f aca="false">IF(Time!Q$4=YEAR(Inputs!$F$123),Inputs!$F$126*Inputs!$F$121/1000*Time!Q$9,0)</f>
        <v>0</v>
      </c>
      <c r="R1008" s="20" t="n">
        <f aca="false">IF(Time!R$4=YEAR(Inputs!$F$123),Inputs!$F$126*Inputs!$F$121/1000*Time!R$9,0)</f>
        <v>0</v>
      </c>
      <c r="S1008" s="20" t="n">
        <f aca="false">IF(Time!S$4=YEAR(Inputs!$F$123),Inputs!$F$126*Inputs!$F$121/1000*Time!S$9,0)</f>
        <v>0</v>
      </c>
      <c r="T1008" s="20" t="n">
        <f aca="false">IF(Time!T$4=YEAR(Inputs!$F$123),Inputs!$F$126*Inputs!$F$121/1000*Time!T$9,0)</f>
        <v>0</v>
      </c>
      <c r="U1008" s="20" t="n">
        <f aca="false">IF(Time!U$4=YEAR(Inputs!$F$123),Inputs!$F$126*Inputs!$F$121/1000*Time!U$9,0)</f>
        <v>0</v>
      </c>
      <c r="V1008" s="20" t="n">
        <f aca="false">IF(Time!V$4=YEAR(Inputs!$F$123),Inputs!$F$126*Inputs!$F$121/1000*Time!V$9,0)</f>
        <v>0</v>
      </c>
      <c r="W1008" s="20" t="n">
        <f aca="false">IF(Time!W$4=YEAR(Inputs!$F$123),Inputs!$F$126*Inputs!$F$121/1000*Time!W$9,0)</f>
        <v>0</v>
      </c>
      <c r="X1008" s="20" t="n">
        <f aca="false">IF(Time!X$4=YEAR(Inputs!$F$123),Inputs!$F$126*Inputs!$F$121/1000*Time!X$9,0)</f>
        <v>0</v>
      </c>
      <c r="Y1008" s="20" t="n">
        <f aca="false">IF(Time!Y$4=YEAR(Inputs!$F$123),Inputs!$F$126*Inputs!$F$121/1000*Time!Y$9,0)</f>
        <v>0</v>
      </c>
      <c r="Z1008" s="20" t="n">
        <f aca="false">IF(Time!Z$4=YEAR(Inputs!$F$123),Inputs!$F$126*Inputs!$F$121/1000*Time!Z$9,0)</f>
        <v>0</v>
      </c>
      <c r="AA1008" s="20" t="n">
        <f aca="false">IF(Time!AA$4=YEAR(Inputs!$F$123),Inputs!$F$126*Inputs!$F$121/1000*Time!AA$9,0)</f>
        <v>0</v>
      </c>
      <c r="AB1008" s="20" t="n">
        <f aca="false">IF(Time!AB$4=YEAR(Inputs!$F$123),Inputs!$F$126*Inputs!$F$121/1000*Time!AB$9,0)</f>
        <v>0</v>
      </c>
      <c r="AC1008" s="20" t="n">
        <f aca="false">IF(Time!AC$4=YEAR(Inputs!$F$123),Inputs!$F$126*Inputs!$F$121/1000*Time!AC$9,0)</f>
        <v>0</v>
      </c>
      <c r="AD1008" s="20" t="n">
        <f aca="false">IF(Time!AD$4=YEAR(Inputs!$F$123),Inputs!$F$126*Inputs!$F$121/1000*Time!AD$9,0)</f>
        <v>0</v>
      </c>
      <c r="AE1008" s="20" t="n">
        <f aca="false">IF(Time!AE$4=YEAR(Inputs!$F$123),Inputs!$F$126*Inputs!$F$121/1000*Time!AE$9,0)</f>
        <v>0</v>
      </c>
      <c r="AF1008" s="20" t="n">
        <f aca="false">IF(Time!AF$4=YEAR(Inputs!$F$123),Inputs!$F$126*Inputs!$F$121/1000*Time!AF$9,0)</f>
        <v>0</v>
      </c>
      <c r="AG1008" s="20" t="n">
        <f aca="false">IF(Time!AG$4=YEAR(Inputs!$F$123),Inputs!$F$126*Inputs!$F$121/1000*Time!AG$9,0)</f>
        <v>0</v>
      </c>
      <c r="AH1008" s="20" t="n">
        <f aca="false">IF(Time!AH$4=YEAR(Inputs!$F$123),Inputs!$F$126*Inputs!$F$121/1000*Time!AH$9,0)</f>
        <v>0</v>
      </c>
      <c r="AI1008" s="20" t="n">
        <f aca="false">IF(Time!AI$4=YEAR(Inputs!$F$123),Inputs!$F$126*Inputs!$F$121/1000*Time!AI$9,0)</f>
        <v>0</v>
      </c>
      <c r="AJ1008" s="20" t="n">
        <f aca="false">IF(Time!AJ$4=YEAR(Inputs!$F$123),Inputs!$F$126*Inputs!$F$121/1000*Time!AJ$9,0)</f>
        <v>0</v>
      </c>
      <c r="AK1008" s="20" t="n">
        <f aca="false">IF(Time!AK$4=YEAR(Inputs!$F$123),Inputs!$F$126*Inputs!$F$121/1000*Time!AK$9,0)</f>
        <v>0</v>
      </c>
      <c r="AL1008" s="20" t="n">
        <f aca="false">IF(Time!AL$4=YEAR(Inputs!$F$123),Inputs!$F$126*Inputs!$F$121/1000*Time!AL$9,0)</f>
        <v>0</v>
      </c>
      <c r="AM1008" s="20" t="n">
        <f aca="false">IF(Time!AM$4=YEAR(Inputs!$F$123),Inputs!$F$126*Inputs!$F$121/1000*Time!AM$9,0)</f>
        <v>0</v>
      </c>
      <c r="AN1008" s="20" t="n">
        <f aca="false">IF(Time!AN$4=YEAR(Inputs!$F$123),Inputs!$F$126*Inputs!$F$121/1000*Time!AN$9,0)</f>
        <v>0</v>
      </c>
      <c r="AO1008" s="20" t="n">
        <f aca="false">IF(Time!AO$4=YEAR(Inputs!$F$123),Inputs!$F$126*Inputs!$F$121/1000*Time!AO$9,0)</f>
        <v>0</v>
      </c>
      <c r="AP1008" s="20" t="n">
        <f aca="false">IF(Time!AP$4=YEAR(Inputs!$F$123),Inputs!$F$126*Inputs!$F$121/1000*Time!AP$9,0)</f>
        <v>0</v>
      </c>
      <c r="AQ1008" s="20" t="n">
        <f aca="false">IF(Time!AQ$4=YEAR(Inputs!$F$123),Inputs!$F$126*Inputs!$F$121/1000*Time!AQ$9,0)</f>
        <v>8.47204604008093</v>
      </c>
      <c r="AR1008" s="20" t="n">
        <f aca="false">IF(Time!AR$4=YEAR(Inputs!$F$123),Inputs!$F$126*Inputs!$F$121/1000*Time!AR$9,0)</f>
        <v>0</v>
      </c>
      <c r="AS1008" s="20" t="n">
        <f aca="false">IF(Time!AS$4=YEAR(Inputs!$F$123),Inputs!$F$126*Inputs!$F$121/1000*Time!AS$9,0)</f>
        <v>0</v>
      </c>
      <c r="AT1008" s="20" t="n">
        <f aca="false">IF(Time!AT$4=YEAR(Inputs!$F$123),Inputs!$F$126*Inputs!$F$121/1000*Time!AT$9,0)</f>
        <v>0</v>
      </c>
      <c r="AU1008" s="20" t="n">
        <f aca="false">IF(Time!AU$4=YEAR(Inputs!$F$123),Inputs!$F$126*Inputs!$F$121/1000*Time!AU$9,0)</f>
        <v>0</v>
      </c>
    </row>
    <row r="1009" customFormat="false" ht="15" hidden="false" customHeight="false" outlineLevel="0" collapsed="false">
      <c r="D1009" s="0" t="s">
        <v>614</v>
      </c>
      <c r="E1009" s="0" t="s">
        <v>47</v>
      </c>
      <c r="G1009" s="20" t="n">
        <f aca="false">SUM(J1009:AU1009)</f>
        <v>133.740858823791</v>
      </c>
      <c r="J1009" s="20" t="n">
        <f aca="false">Operations!J1006-Operations!J1007-Operations!J1008</f>
        <v>7.49378879969539</v>
      </c>
      <c r="K1009" s="20" t="n">
        <f aca="false">Operations!K1006-Operations!K1007-Operations!K1008</f>
        <v>6.89671913986958</v>
      </c>
      <c r="L1009" s="20" t="n">
        <f aca="false">Operations!L1006-Operations!L1007-Operations!L1008</f>
        <v>6.04215701417098</v>
      </c>
      <c r="M1009" s="20" t="n">
        <f aca="false">Operations!M1006-Operations!M1007-Operations!M1008</f>
        <v>6.11716641397514</v>
      </c>
      <c r="N1009" s="20" t="n">
        <f aca="false">Operations!N1006-Operations!N1007-Operations!N1008</f>
        <v>6.10209378808001</v>
      </c>
      <c r="O1009" s="20" t="n">
        <f aca="false">Operations!O1006-Operations!O1007-Operations!O1008</f>
        <v>4.48144740806782</v>
      </c>
      <c r="P1009" s="20" t="n">
        <f aca="false">Operations!P1006-Operations!P1007-Operations!P1008</f>
        <v>4.46137099998886</v>
      </c>
      <c r="Q1009" s="20" t="n">
        <f aca="false">Operations!Q1006-Operations!Q1007-Operations!Q1008</f>
        <v>4.36017170054855</v>
      </c>
      <c r="R1009" s="20" t="n">
        <f aca="false">Operations!R1006-Operations!R1007-Operations!R1008</f>
        <v>4.26071806813075</v>
      </c>
      <c r="S1009" s="20" t="n">
        <f aca="false">Operations!S1006-Operations!S1007-Operations!S1008</f>
        <v>4.10542383407974</v>
      </c>
      <c r="T1009" s="20" t="n">
        <f aca="false">Operations!T1006-Operations!T1007-Operations!T1008</f>
        <v>3.94398420623453</v>
      </c>
      <c r="U1009" s="20" t="n">
        <f aca="false">Operations!U1006-Operations!U1007-Operations!U1008</f>
        <v>3.77620756458519</v>
      </c>
      <c r="V1009" s="20" t="n">
        <f aca="false">Operations!V1006-Operations!V1007-Operations!V1008</f>
        <v>3.60190478797137</v>
      </c>
      <c r="W1009" s="20" t="n">
        <f aca="false">Operations!W1006-Operations!W1007-Operations!W1008</f>
        <v>3.42088919089258</v>
      </c>
      <c r="X1009" s="20" t="n">
        <f aca="false">Operations!X1006-Operations!X1007-Operations!X1008</f>
        <v>3.44808654667524</v>
      </c>
      <c r="Y1009" s="20" t="n">
        <f aca="false">Operations!Y1006-Operations!Y1007-Operations!Y1008</f>
        <v>3.47583065464364</v>
      </c>
      <c r="Z1009" s="20" t="n">
        <f aca="false">Operations!Z1006-Operations!Z1007-Operations!Z1008</f>
        <v>3.50300357192737</v>
      </c>
      <c r="AA1009" s="20" t="n">
        <f aca="false">Operations!AA1006-Operations!AA1007-Operations!AA1008</f>
        <v>3.52954214248606</v>
      </c>
      <c r="AB1009" s="20" t="n">
        <f aca="false">Operations!AB1006-Operations!AB1007-Operations!AB1008</f>
        <v>3.55641443175867</v>
      </c>
      <c r="AC1009" s="20" t="n">
        <f aca="false">Operations!AC1006-Operations!AC1007-Operations!AC1008</f>
        <v>3.58251423512049</v>
      </c>
      <c r="AD1009" s="20" t="n">
        <f aca="false">Operations!AD1006-Operations!AD1007-Operations!AD1008</f>
        <v>3.60879865505669</v>
      </c>
      <c r="AE1009" s="20" t="n">
        <f aca="false">Operations!AE1006-Operations!AE1007-Operations!AE1008</f>
        <v>3.63416908461689</v>
      </c>
      <c r="AF1009" s="20" t="n">
        <f aca="false">Operations!AF1006-Operations!AF1007-Operations!AF1008</f>
        <v>3.65957162858978</v>
      </c>
      <c r="AG1009" s="20" t="n">
        <f aca="false">Operations!AG1006-Operations!AG1007-Operations!AG1008</f>
        <v>3.68492411819321</v>
      </c>
      <c r="AH1009" s="20" t="n">
        <f aca="false">Operations!AH1006-Operations!AH1007-Operations!AH1008</f>
        <v>3.70913898860837</v>
      </c>
      <c r="AI1009" s="20" t="n">
        <f aca="false">Operations!AI1006-Operations!AI1007-Operations!AI1008</f>
        <v>3.73314579990182</v>
      </c>
      <c r="AJ1009" s="20" t="n">
        <f aca="false">Operations!AJ1006-Operations!AJ1007-Operations!AJ1008</f>
        <v>3.75685954801753</v>
      </c>
      <c r="AK1009" s="20" t="n">
        <f aca="false">Operations!AK1006-Operations!AK1007-Operations!AK1008</f>
        <v>3.78019423673691</v>
      </c>
      <c r="AL1009" s="20" t="n">
        <f aca="false">Operations!AL1006-Operations!AL1007-Operations!AL1008</f>
        <v>3.80306284250225</v>
      </c>
      <c r="AM1009" s="20" t="n">
        <f aca="false">Operations!AM1006-Operations!AM1007-Operations!AM1008</f>
        <v>3.82537727843914</v>
      </c>
      <c r="AN1009" s="20" t="n">
        <f aca="false">Operations!AN1006-Operations!AN1007-Operations!AN1008</f>
        <v>3.84704835755742</v>
      </c>
      <c r="AO1009" s="20" t="n">
        <f aca="false">Operations!AO1006-Operations!AO1007-Operations!AO1008</f>
        <v>3.86798575510962</v>
      </c>
      <c r="AP1009" s="20" t="n">
        <f aca="false">Operations!AP1006-Operations!AP1007-Operations!AP1008</f>
        <v>3.88809797008517</v>
      </c>
      <c r="AQ1009" s="20" t="n">
        <f aca="false">Operations!AQ1006-Operations!AQ1007-Operations!AQ1008</f>
        <v>-5.21694993852544</v>
      </c>
      <c r="AR1009" s="20" t="n">
        <f aca="false">Operations!AR1006-Operations!AR1007-Operations!AR1008</f>
        <v>0</v>
      </c>
      <c r="AS1009" s="20" t="n">
        <f aca="false">Operations!AS1006-Operations!AS1007-Operations!AS1008</f>
        <v>0</v>
      </c>
      <c r="AT1009" s="20" t="n">
        <f aca="false">Operations!AT1006-Operations!AT1007-Operations!AT1008</f>
        <v>0</v>
      </c>
      <c r="AU1009" s="20" t="n">
        <f aca="false">Operations!AU1006-Operations!AU1007-Operations!AU1008</f>
        <v>0</v>
      </c>
    </row>
    <row r="1010" customFormat="false" ht="15" hidden="false" customHeight="false" outlineLevel="0" collapsed="false">
      <c r="D1010" s="0" t="s">
        <v>615</v>
      </c>
      <c r="E1010" s="0" t="s">
        <v>458</v>
      </c>
      <c r="J1010" s="14" t="n">
        <f aca="false">0</f>
        <v>0</v>
      </c>
      <c r="K1010" s="14" t="n">
        <f aca="false">0</f>
        <v>0</v>
      </c>
      <c r="L1010" s="14" t="n">
        <f aca="false">0</f>
        <v>0</v>
      </c>
      <c r="M1010" s="14" t="n">
        <f aca="false">0</f>
        <v>0</v>
      </c>
      <c r="N1010" s="14" t="n">
        <f aca="false">0</f>
        <v>0</v>
      </c>
      <c r="O1010" s="14" t="n">
        <f aca="false">0</f>
        <v>0</v>
      </c>
      <c r="P1010" s="14" t="n">
        <f aca="false">0</f>
        <v>0</v>
      </c>
      <c r="Q1010" s="14" t="n">
        <f aca="false">0</f>
        <v>0</v>
      </c>
      <c r="R1010" s="14" t="n">
        <f aca="false">0</f>
        <v>0</v>
      </c>
      <c r="S1010" s="14" t="n">
        <f aca="false">0</f>
        <v>0</v>
      </c>
      <c r="T1010" s="14" t="n">
        <f aca="false">0</f>
        <v>0</v>
      </c>
      <c r="U1010" s="14" t="n">
        <f aca="false">0</f>
        <v>0</v>
      </c>
      <c r="V1010" s="14" t="n">
        <f aca="false">0</f>
        <v>0</v>
      </c>
      <c r="W1010" s="14" t="n">
        <f aca="false">0</f>
        <v>0</v>
      </c>
      <c r="X1010" s="14" t="n">
        <f aca="false">0</f>
        <v>0</v>
      </c>
      <c r="Y1010" s="14" t="n">
        <f aca="false">0</f>
        <v>0</v>
      </c>
      <c r="Z1010" s="14" t="n">
        <f aca="false">0</f>
        <v>0</v>
      </c>
      <c r="AA1010" s="14" t="n">
        <f aca="false">0</f>
        <v>0</v>
      </c>
      <c r="AB1010" s="14" t="n">
        <f aca="false">0</f>
        <v>0</v>
      </c>
      <c r="AC1010" s="14" t="n">
        <f aca="false">0</f>
        <v>0</v>
      </c>
      <c r="AD1010" s="14" t="n">
        <f aca="false">0</f>
        <v>0</v>
      </c>
      <c r="AE1010" s="14" t="n">
        <f aca="false">0</f>
        <v>0</v>
      </c>
      <c r="AF1010" s="14" t="n">
        <f aca="false">0</f>
        <v>0</v>
      </c>
      <c r="AG1010" s="14" t="n">
        <f aca="false">0</f>
        <v>0</v>
      </c>
      <c r="AH1010" s="14" t="n">
        <f aca="false">0</f>
        <v>0</v>
      </c>
      <c r="AI1010" s="14" t="n">
        <f aca="false">0</f>
        <v>0</v>
      </c>
      <c r="AJ1010" s="14" t="n">
        <f aca="false">0</f>
        <v>0</v>
      </c>
      <c r="AK1010" s="14" t="n">
        <f aca="false">0</f>
        <v>0</v>
      </c>
      <c r="AL1010" s="14" t="n">
        <f aca="false">0</f>
        <v>0</v>
      </c>
      <c r="AM1010" s="14" t="n">
        <f aca="false">0</f>
        <v>0</v>
      </c>
      <c r="AN1010" s="14" t="n">
        <f aca="false">0</f>
        <v>0</v>
      </c>
      <c r="AO1010" s="14" t="n">
        <f aca="false">0</f>
        <v>0</v>
      </c>
      <c r="AP1010" s="14" t="n">
        <f aca="false">0</f>
        <v>0</v>
      </c>
      <c r="AQ1010" s="14" t="n">
        <f aca="false">0</f>
        <v>0</v>
      </c>
      <c r="AR1010" s="14" t="n">
        <f aca="false">0</f>
        <v>0</v>
      </c>
      <c r="AS1010" s="14" t="n">
        <f aca="false">0</f>
        <v>0</v>
      </c>
      <c r="AT1010" s="14" t="n">
        <f aca="false">0</f>
        <v>0</v>
      </c>
      <c r="AU1010" s="14" t="n">
        <f aca="false">0</f>
        <v>0</v>
      </c>
    </row>
    <row r="1011" customFormat="false" ht="15" hidden="false" customHeight="false" outlineLevel="0" collapsed="false">
      <c r="D1011" s="0" t="s">
        <v>616</v>
      </c>
      <c r="E1011" s="0" t="s">
        <v>458</v>
      </c>
      <c r="J1011" s="14" t="n">
        <f aca="false">1</f>
        <v>1</v>
      </c>
      <c r="K1011" s="14" t="n">
        <f aca="false">1</f>
        <v>1</v>
      </c>
      <c r="L1011" s="14" t="n">
        <f aca="false">1</f>
        <v>1</v>
      </c>
      <c r="M1011" s="14" t="n">
        <f aca="false">1</f>
        <v>1</v>
      </c>
      <c r="N1011" s="14" t="n">
        <f aca="false">1</f>
        <v>1</v>
      </c>
      <c r="O1011" s="14" t="n">
        <f aca="false">1</f>
        <v>1</v>
      </c>
      <c r="P1011" s="14" t="n">
        <f aca="false">1</f>
        <v>1</v>
      </c>
      <c r="Q1011" s="14" t="n">
        <f aca="false">1</f>
        <v>1</v>
      </c>
      <c r="R1011" s="14" t="n">
        <f aca="false">1</f>
        <v>1</v>
      </c>
      <c r="S1011" s="14" t="n">
        <f aca="false">1</f>
        <v>1</v>
      </c>
      <c r="T1011" s="14" t="n">
        <f aca="false">1</f>
        <v>1</v>
      </c>
      <c r="U1011" s="14" t="n">
        <f aca="false">1</f>
        <v>1</v>
      </c>
      <c r="V1011" s="14" t="n">
        <f aca="false">1</f>
        <v>1</v>
      </c>
      <c r="W1011" s="14" t="n">
        <f aca="false">1</f>
        <v>1</v>
      </c>
      <c r="X1011" s="14" t="n">
        <f aca="false">1</f>
        <v>1</v>
      </c>
      <c r="Y1011" s="14" t="n">
        <f aca="false">1</f>
        <v>1</v>
      </c>
      <c r="Z1011" s="14" t="n">
        <f aca="false">1</f>
        <v>1</v>
      </c>
      <c r="AA1011" s="14" t="n">
        <f aca="false">1</f>
        <v>1</v>
      </c>
      <c r="AB1011" s="14" t="n">
        <f aca="false">1</f>
        <v>1</v>
      </c>
      <c r="AC1011" s="14" t="n">
        <f aca="false">1</f>
        <v>1</v>
      </c>
      <c r="AD1011" s="14" t="n">
        <f aca="false">1</f>
        <v>1</v>
      </c>
      <c r="AE1011" s="14" t="n">
        <f aca="false">1</f>
        <v>1</v>
      </c>
      <c r="AF1011" s="14" t="n">
        <f aca="false">1</f>
        <v>1</v>
      </c>
      <c r="AG1011" s="14" t="n">
        <f aca="false">1</f>
        <v>1</v>
      </c>
      <c r="AH1011" s="14" t="n">
        <f aca="false">1</f>
        <v>1</v>
      </c>
      <c r="AI1011" s="14" t="n">
        <f aca="false">1</f>
        <v>1</v>
      </c>
      <c r="AJ1011" s="14" t="n">
        <f aca="false">1</f>
        <v>1</v>
      </c>
      <c r="AK1011" s="14" t="n">
        <f aca="false">1</f>
        <v>1</v>
      </c>
      <c r="AL1011" s="14" t="n">
        <f aca="false">1</f>
        <v>1</v>
      </c>
      <c r="AM1011" s="14" t="n">
        <f aca="false">1</f>
        <v>1</v>
      </c>
      <c r="AN1011" s="14" t="n">
        <f aca="false">1</f>
        <v>1</v>
      </c>
      <c r="AO1011" s="14" t="n">
        <f aca="false">1</f>
        <v>1</v>
      </c>
      <c r="AP1011" s="14" t="n">
        <f aca="false">1</f>
        <v>1</v>
      </c>
      <c r="AQ1011" s="14" t="n">
        <f aca="false">1</f>
        <v>1</v>
      </c>
      <c r="AR1011" s="14" t="n">
        <f aca="false">1</f>
        <v>1</v>
      </c>
      <c r="AS1011" s="14" t="n">
        <f aca="false">1</f>
        <v>1</v>
      </c>
      <c r="AT1011" s="14" t="n">
        <f aca="false">1</f>
        <v>1</v>
      </c>
      <c r="AU1011" s="14" t="n">
        <f aca="false">1</f>
        <v>1</v>
      </c>
    </row>
    <row r="1012" customFormat="false" ht="15" hidden="false" customHeight="false" outlineLevel="0" collapsed="false">
      <c r="D1012" s="0" t="s">
        <v>617</v>
      </c>
      <c r="E1012" s="0" t="s">
        <v>47</v>
      </c>
      <c r="G1012" s="20" t="n">
        <f aca="false">SUM(J1012:AU1012)</f>
        <v>132.077853638106</v>
      </c>
      <c r="J1012" s="20" t="n">
        <f aca="false">Operations!J1009*(1-Operations!J1010)*Operations!J983</f>
        <v>5.83078361400956</v>
      </c>
      <c r="K1012" s="20" t="n">
        <f aca="false">Operations!K1009*(1-Operations!K1010)*Operations!K983</f>
        <v>6.89671913986958</v>
      </c>
      <c r="L1012" s="20" t="n">
        <f aca="false">Operations!L1009*(1-Operations!L1010)*Operations!L983</f>
        <v>6.04215701417098</v>
      </c>
      <c r="M1012" s="20" t="n">
        <f aca="false">Operations!M1009*(1-Operations!M1010)*Operations!M983</f>
        <v>6.11716641397514</v>
      </c>
      <c r="N1012" s="20" t="n">
        <f aca="false">Operations!N1009*(1-Operations!N1010)*Operations!N983</f>
        <v>6.10209378808001</v>
      </c>
      <c r="O1012" s="20" t="n">
        <f aca="false">Operations!O1009*(1-Operations!O1010)*Operations!O983</f>
        <v>4.48144740806782</v>
      </c>
      <c r="P1012" s="20" t="n">
        <f aca="false">Operations!P1009*(1-Operations!P1010)*Operations!P983</f>
        <v>4.46137099998886</v>
      </c>
      <c r="Q1012" s="20" t="n">
        <f aca="false">Operations!Q1009*(1-Operations!Q1010)*Operations!Q983</f>
        <v>4.36017170054855</v>
      </c>
      <c r="R1012" s="20" t="n">
        <f aca="false">Operations!R1009*(1-Operations!R1010)*Operations!R983</f>
        <v>4.26071806813075</v>
      </c>
      <c r="S1012" s="20" t="n">
        <f aca="false">Operations!S1009*(1-Operations!S1010)*Operations!S983</f>
        <v>4.10542383407974</v>
      </c>
      <c r="T1012" s="20" t="n">
        <f aca="false">Operations!T1009*(1-Operations!T1010)*Operations!T983</f>
        <v>3.94398420623453</v>
      </c>
      <c r="U1012" s="20" t="n">
        <f aca="false">Operations!U1009*(1-Operations!U1010)*Operations!U983</f>
        <v>3.77620756458519</v>
      </c>
      <c r="V1012" s="20" t="n">
        <f aca="false">Operations!V1009*(1-Operations!V1010)*Operations!V983</f>
        <v>3.60190478797137</v>
      </c>
      <c r="W1012" s="20" t="n">
        <f aca="false">Operations!W1009*(1-Operations!W1010)*Operations!W983</f>
        <v>3.42088919089258</v>
      </c>
      <c r="X1012" s="20" t="n">
        <f aca="false">Operations!X1009*(1-Operations!X1010)*Operations!X983</f>
        <v>3.44808654667524</v>
      </c>
      <c r="Y1012" s="20" t="n">
        <f aca="false">Operations!Y1009*(1-Operations!Y1010)*Operations!Y983</f>
        <v>3.47583065464364</v>
      </c>
      <c r="Z1012" s="20" t="n">
        <f aca="false">Operations!Z1009*(1-Operations!Z1010)*Operations!Z983</f>
        <v>3.50300357192737</v>
      </c>
      <c r="AA1012" s="20" t="n">
        <f aca="false">Operations!AA1009*(1-Operations!AA1010)*Operations!AA983</f>
        <v>3.52954214248606</v>
      </c>
      <c r="AB1012" s="20" t="n">
        <f aca="false">Operations!AB1009*(1-Operations!AB1010)*Operations!AB983</f>
        <v>3.55641443175867</v>
      </c>
      <c r="AC1012" s="20" t="n">
        <f aca="false">Operations!AC1009*(1-Operations!AC1010)*Operations!AC983</f>
        <v>3.58251423512049</v>
      </c>
      <c r="AD1012" s="20" t="n">
        <f aca="false">Operations!AD1009*(1-Operations!AD1010)*Operations!AD983</f>
        <v>3.60879865505669</v>
      </c>
      <c r="AE1012" s="20" t="n">
        <f aca="false">Operations!AE1009*(1-Operations!AE1010)*Operations!AE983</f>
        <v>3.63416908461689</v>
      </c>
      <c r="AF1012" s="20" t="n">
        <f aca="false">Operations!AF1009*(1-Operations!AF1010)*Operations!AF983</f>
        <v>3.65957162858978</v>
      </c>
      <c r="AG1012" s="20" t="n">
        <f aca="false">Operations!AG1009*(1-Operations!AG1010)*Operations!AG983</f>
        <v>3.68492411819321</v>
      </c>
      <c r="AH1012" s="20" t="n">
        <f aca="false">Operations!AH1009*(1-Operations!AH1010)*Operations!AH983</f>
        <v>3.70913898860837</v>
      </c>
      <c r="AI1012" s="20" t="n">
        <f aca="false">Operations!AI1009*(1-Operations!AI1010)*Operations!AI983</f>
        <v>3.73314579990182</v>
      </c>
      <c r="AJ1012" s="20" t="n">
        <f aca="false">Operations!AJ1009*(1-Operations!AJ1010)*Operations!AJ983</f>
        <v>3.75685954801753</v>
      </c>
      <c r="AK1012" s="20" t="n">
        <f aca="false">Operations!AK1009*(1-Operations!AK1010)*Operations!AK983</f>
        <v>3.78019423673691</v>
      </c>
      <c r="AL1012" s="20" t="n">
        <f aca="false">Operations!AL1009*(1-Operations!AL1010)*Operations!AL983</f>
        <v>3.80306284250225</v>
      </c>
      <c r="AM1012" s="20" t="n">
        <f aca="false">Operations!AM1009*(1-Operations!AM1010)*Operations!AM983</f>
        <v>3.82537727843914</v>
      </c>
      <c r="AN1012" s="20" t="n">
        <f aca="false">Operations!AN1009*(1-Operations!AN1010)*Operations!AN983</f>
        <v>3.84704835755742</v>
      </c>
      <c r="AO1012" s="20" t="n">
        <f aca="false">Operations!AO1009*(1-Operations!AO1010)*Operations!AO983</f>
        <v>3.86798575510962</v>
      </c>
      <c r="AP1012" s="20" t="n">
        <f aca="false">Operations!AP1009*(1-Operations!AP1010)*Operations!AP983</f>
        <v>3.88809797008517</v>
      </c>
      <c r="AQ1012" s="20" t="n">
        <f aca="false">Operations!AQ1009*(1-Operations!AQ1010)*Operations!AQ983</f>
        <v>-5.21694993852544</v>
      </c>
      <c r="AR1012" s="20" t="n">
        <f aca="false">Operations!AR1009*(1-Operations!AR1010)*Operations!AR983</f>
        <v>0</v>
      </c>
      <c r="AS1012" s="20" t="n">
        <f aca="false">Operations!AS1009*(1-Operations!AS1010)*Operations!AS983</f>
        <v>0</v>
      </c>
      <c r="AT1012" s="20" t="n">
        <f aca="false">Operations!AT1009*(1-Operations!AT1010)*Operations!AT983</f>
        <v>0</v>
      </c>
      <c r="AU1012" s="20" t="n">
        <f aca="false">Operations!AU1009*(1-Operations!AU1010)*Operations!AU983</f>
        <v>0</v>
      </c>
    </row>
    <row r="1013" customFormat="false" ht="15" hidden="false" customHeight="false" outlineLevel="0" collapsed="false">
      <c r="D1013" s="0" t="s">
        <v>618</v>
      </c>
      <c r="E1013" s="0" t="s">
        <v>47</v>
      </c>
      <c r="J1013" s="20" t="n">
        <f aca="false">Operations!J1009*Operations!J1011*Operations!J983</f>
        <v>5.83078361400956</v>
      </c>
      <c r="K1013" s="20" t="n">
        <f aca="false">Operations!K1009*Operations!K1011*Operations!K983</f>
        <v>6.89671913986958</v>
      </c>
      <c r="L1013" s="20" t="n">
        <f aca="false">Operations!L1009*Operations!L1011*Operations!L983</f>
        <v>6.04215701417098</v>
      </c>
      <c r="M1013" s="20" t="n">
        <f aca="false">Operations!M1009*Operations!M1011*Operations!M983</f>
        <v>6.11716641397514</v>
      </c>
      <c r="N1013" s="20" t="n">
        <f aca="false">Operations!N1009*Operations!N1011*Operations!N983</f>
        <v>6.10209378808001</v>
      </c>
      <c r="O1013" s="20" t="n">
        <f aca="false">Operations!O1009*Operations!O1011*Operations!O983</f>
        <v>4.48144740806782</v>
      </c>
      <c r="P1013" s="20" t="n">
        <f aca="false">Operations!P1009*Operations!P1011*Operations!P983</f>
        <v>4.46137099998886</v>
      </c>
      <c r="Q1013" s="20" t="n">
        <f aca="false">Operations!Q1009*Operations!Q1011*Operations!Q983</f>
        <v>4.36017170054855</v>
      </c>
      <c r="R1013" s="20" t="n">
        <f aca="false">Operations!R1009*Operations!R1011*Operations!R983</f>
        <v>4.26071806813075</v>
      </c>
      <c r="S1013" s="20" t="n">
        <f aca="false">Operations!S1009*Operations!S1011*Operations!S983</f>
        <v>4.10542383407974</v>
      </c>
      <c r="T1013" s="20" t="n">
        <f aca="false">Operations!T1009*Operations!T1011*Operations!T983</f>
        <v>3.94398420623453</v>
      </c>
      <c r="U1013" s="20" t="n">
        <f aca="false">Operations!U1009*Operations!U1011*Operations!U983</f>
        <v>3.77620756458519</v>
      </c>
      <c r="V1013" s="20" t="n">
        <f aca="false">Operations!V1009*Operations!V1011*Operations!V983</f>
        <v>3.60190478797137</v>
      </c>
      <c r="W1013" s="20" t="n">
        <f aca="false">Operations!W1009*Operations!W1011*Operations!W983</f>
        <v>3.42088919089258</v>
      </c>
      <c r="X1013" s="20" t="n">
        <f aca="false">Operations!X1009*Operations!X1011*Operations!X983</f>
        <v>3.44808654667524</v>
      </c>
      <c r="Y1013" s="20" t="n">
        <f aca="false">Operations!Y1009*Operations!Y1011*Operations!Y983</f>
        <v>3.47583065464364</v>
      </c>
      <c r="Z1013" s="20" t="n">
        <f aca="false">Operations!Z1009*Operations!Z1011*Operations!Z983</f>
        <v>3.50300357192737</v>
      </c>
      <c r="AA1013" s="20" t="n">
        <f aca="false">Operations!AA1009*Operations!AA1011*Operations!AA983</f>
        <v>3.52954214248606</v>
      </c>
      <c r="AB1013" s="20" t="n">
        <f aca="false">Operations!AB1009*Operations!AB1011*Operations!AB983</f>
        <v>3.55641443175867</v>
      </c>
      <c r="AC1013" s="20" t="n">
        <f aca="false">Operations!AC1009*Operations!AC1011*Operations!AC983</f>
        <v>3.58251423512049</v>
      </c>
      <c r="AD1013" s="20" t="n">
        <f aca="false">Operations!AD1009*Operations!AD1011*Operations!AD983</f>
        <v>3.60879865505669</v>
      </c>
      <c r="AE1013" s="20" t="n">
        <f aca="false">Operations!AE1009*Operations!AE1011*Operations!AE983</f>
        <v>3.63416908461689</v>
      </c>
      <c r="AF1013" s="20" t="n">
        <f aca="false">Operations!AF1009*Operations!AF1011*Operations!AF983</f>
        <v>3.65957162858978</v>
      </c>
      <c r="AG1013" s="20" t="n">
        <f aca="false">Operations!AG1009*Operations!AG1011*Operations!AG983</f>
        <v>3.68492411819321</v>
      </c>
      <c r="AH1013" s="20" t="n">
        <f aca="false">Operations!AH1009*Operations!AH1011*Operations!AH983</f>
        <v>3.70913898860837</v>
      </c>
      <c r="AI1013" s="20" t="n">
        <f aca="false">Operations!AI1009*Operations!AI1011*Operations!AI983</f>
        <v>3.73314579990182</v>
      </c>
      <c r="AJ1013" s="20" t="n">
        <f aca="false">Operations!AJ1009*Operations!AJ1011*Operations!AJ983</f>
        <v>3.75685954801753</v>
      </c>
      <c r="AK1013" s="20" t="n">
        <f aca="false">Operations!AK1009*Operations!AK1011*Operations!AK983</f>
        <v>3.78019423673691</v>
      </c>
      <c r="AL1013" s="20" t="n">
        <f aca="false">Operations!AL1009*Operations!AL1011*Operations!AL983</f>
        <v>3.80306284250225</v>
      </c>
      <c r="AM1013" s="20" t="n">
        <f aca="false">Operations!AM1009*Operations!AM1011*Operations!AM983</f>
        <v>3.82537727843914</v>
      </c>
      <c r="AN1013" s="20" t="n">
        <f aca="false">Operations!AN1009*Operations!AN1011*Operations!AN983</f>
        <v>3.84704835755742</v>
      </c>
      <c r="AO1013" s="20" t="n">
        <f aca="false">Operations!AO1009*Operations!AO1011*Operations!AO983</f>
        <v>3.86798575510962</v>
      </c>
      <c r="AP1013" s="20" t="n">
        <f aca="false">Operations!AP1009*Operations!AP1011*Operations!AP983</f>
        <v>3.88809797008517</v>
      </c>
      <c r="AQ1013" s="20" t="n">
        <f aca="false">Operations!AQ1009*Operations!AQ1011*Operations!AQ983</f>
        <v>-5.21694993852544</v>
      </c>
      <c r="AR1013" s="20" t="n">
        <f aca="false">Operations!AR1009*Operations!AR1011*Operations!AR983</f>
        <v>0</v>
      </c>
      <c r="AS1013" s="20" t="n">
        <f aca="false">Operations!AS1009*Operations!AS1011*Operations!AS983</f>
        <v>0</v>
      </c>
      <c r="AT1013" s="20" t="n">
        <f aca="false">Operations!AT1009*Operations!AT1011*Operations!AT983</f>
        <v>0</v>
      </c>
      <c r="AU1013" s="20" t="n">
        <f aca="false">Operations!AU1009*Operations!AU1011*Operations!AU983</f>
        <v>0</v>
      </c>
    </row>
    <row r="1014" customFormat="false" ht="15" hidden="false" customHeight="false" outlineLevel="0" collapsed="false">
      <c r="D1014" s="0" t="s">
        <v>619</v>
      </c>
      <c r="E1014" s="0" t="s">
        <v>47</v>
      </c>
      <c r="J1014" s="20" t="n">
        <f aca="false">Operations!J1012-Inputs!$F$248/100*Operations!J1013</f>
        <v>4.60631905506755</v>
      </c>
      <c r="K1014" s="20" t="n">
        <f aca="false">Operations!K1012-Inputs!$F$248/100*Operations!K1013</f>
        <v>5.44840812049697</v>
      </c>
      <c r="L1014" s="20" t="n">
        <f aca="false">Operations!L1012-Inputs!$F$248/100*Operations!L1013</f>
        <v>4.77330404119507</v>
      </c>
      <c r="M1014" s="20" t="n">
        <f aca="false">Operations!M1012-Inputs!$F$248/100*Operations!M1013</f>
        <v>4.83256146704036</v>
      </c>
      <c r="N1014" s="20" t="n">
        <f aca="false">Operations!N1012-Inputs!$F$248/100*Operations!N1013</f>
        <v>4.82065409258321</v>
      </c>
      <c r="O1014" s="20" t="n">
        <f aca="false">Operations!O1012-Inputs!$F$248/100*Operations!O1013</f>
        <v>3.54034345237358</v>
      </c>
      <c r="P1014" s="20" t="n">
        <f aca="false">Operations!P1012-Inputs!$F$248/100*Operations!P1013</f>
        <v>3.5244830899912</v>
      </c>
      <c r="Q1014" s="20" t="n">
        <f aca="false">Operations!Q1012-Inputs!$F$248/100*Operations!Q1013</f>
        <v>3.44453564343336</v>
      </c>
      <c r="R1014" s="20" t="n">
        <f aca="false">Operations!R1012-Inputs!$F$248/100*Operations!R1013</f>
        <v>3.36596727382329</v>
      </c>
      <c r="S1014" s="20" t="n">
        <f aca="false">Operations!S1012-Inputs!$F$248/100*Operations!S1013</f>
        <v>3.243284828923</v>
      </c>
      <c r="T1014" s="20" t="n">
        <f aca="false">Operations!T1012-Inputs!$F$248/100*Operations!T1013</f>
        <v>3.11574752292528</v>
      </c>
      <c r="U1014" s="20" t="n">
        <f aca="false">Operations!U1012-Inputs!$F$248/100*Operations!U1013</f>
        <v>2.9832039760223</v>
      </c>
      <c r="V1014" s="20" t="n">
        <f aca="false">Operations!V1012-Inputs!$F$248/100*Operations!V1013</f>
        <v>2.84550478249738</v>
      </c>
      <c r="W1014" s="20" t="n">
        <f aca="false">Operations!W1012-Inputs!$F$248/100*Operations!W1013</f>
        <v>2.70250246080514</v>
      </c>
      <c r="X1014" s="20" t="n">
        <f aca="false">Operations!X1012-Inputs!$F$248/100*Operations!X1013</f>
        <v>2.72398837187344</v>
      </c>
      <c r="Y1014" s="20" t="n">
        <f aca="false">Operations!Y1012-Inputs!$F$248/100*Operations!Y1013</f>
        <v>2.74590621716848</v>
      </c>
      <c r="Z1014" s="20" t="n">
        <f aca="false">Operations!Z1012-Inputs!$F$248/100*Operations!Z1013</f>
        <v>2.76737282182262</v>
      </c>
      <c r="AA1014" s="20" t="n">
        <f aca="false">Operations!AA1012-Inputs!$F$248/100*Operations!AA1013</f>
        <v>2.78833829256399</v>
      </c>
      <c r="AB1014" s="20" t="n">
        <f aca="false">Operations!AB1012-Inputs!$F$248/100*Operations!AB1013</f>
        <v>2.80956740108935</v>
      </c>
      <c r="AC1014" s="20" t="n">
        <f aca="false">Operations!AC1012-Inputs!$F$248/100*Operations!AC1013</f>
        <v>2.83018624574519</v>
      </c>
      <c r="AD1014" s="20" t="n">
        <f aca="false">Operations!AD1012-Inputs!$F$248/100*Operations!AD1013</f>
        <v>2.85095093749478</v>
      </c>
      <c r="AE1014" s="20" t="n">
        <f aca="false">Operations!AE1012-Inputs!$F$248/100*Operations!AE1013</f>
        <v>2.87099357684735</v>
      </c>
      <c r="AF1014" s="20" t="n">
        <f aca="false">Operations!AF1012-Inputs!$F$248/100*Operations!AF1013</f>
        <v>2.89106158658592</v>
      </c>
      <c r="AG1014" s="20" t="n">
        <f aca="false">Operations!AG1012-Inputs!$F$248/100*Operations!AG1013</f>
        <v>2.91109005337264</v>
      </c>
      <c r="AH1014" s="20" t="n">
        <f aca="false">Operations!AH1012-Inputs!$F$248/100*Operations!AH1013</f>
        <v>2.93021980100061</v>
      </c>
      <c r="AI1014" s="20" t="n">
        <f aca="false">Operations!AI1012-Inputs!$F$248/100*Operations!AI1013</f>
        <v>2.94918518192244</v>
      </c>
      <c r="AJ1014" s="20" t="n">
        <f aca="false">Operations!AJ1012-Inputs!$F$248/100*Operations!AJ1013</f>
        <v>2.96791904293385</v>
      </c>
      <c r="AK1014" s="20" t="n">
        <f aca="false">Operations!AK1012-Inputs!$F$248/100*Operations!AK1013</f>
        <v>2.98635344702216</v>
      </c>
      <c r="AL1014" s="20" t="n">
        <f aca="false">Operations!AL1012-Inputs!$F$248/100*Operations!AL1013</f>
        <v>3.00441964557678</v>
      </c>
      <c r="AM1014" s="20" t="n">
        <f aca="false">Operations!AM1012-Inputs!$F$248/100*Operations!AM1013</f>
        <v>3.02204804996692</v>
      </c>
      <c r="AN1014" s="20" t="n">
        <f aca="false">Operations!AN1012-Inputs!$F$248/100*Operations!AN1013</f>
        <v>3.03916820247036</v>
      </c>
      <c r="AO1014" s="20" t="n">
        <f aca="false">Operations!AO1012-Inputs!$F$248/100*Operations!AO1013</f>
        <v>3.0557087465366</v>
      </c>
      <c r="AP1014" s="20" t="n">
        <f aca="false">Operations!AP1012-Inputs!$F$248/100*Operations!AP1013</f>
        <v>3.07159739636728</v>
      </c>
      <c r="AQ1014" s="20" t="n">
        <f aca="false">Operations!AQ1012-Inputs!$F$248/100*Operations!AQ1013</f>
        <v>-4.1213904514351</v>
      </c>
      <c r="AR1014" s="20" t="n">
        <f aca="false">Operations!AR1012-Inputs!$F$248/100*Operations!AR1013</f>
        <v>0</v>
      </c>
      <c r="AS1014" s="20" t="n">
        <f aca="false">Operations!AS1012-Inputs!$F$248/100*Operations!AS1013</f>
        <v>0</v>
      </c>
      <c r="AT1014" s="20" t="n">
        <f aca="false">Operations!AT1012-Inputs!$F$248/100*Operations!AT1013</f>
        <v>0</v>
      </c>
      <c r="AU1014" s="20" t="n">
        <f aca="false">Operations!AU1012-Inputs!$F$248/100*Operations!AU1013</f>
        <v>0</v>
      </c>
    </row>
    <row r="1015" customFormat="false" ht="15" hidden="false" customHeight="false" outlineLevel="0" collapsed="false">
      <c r="D1015" s="0" t="s">
        <v>620</v>
      </c>
      <c r="E1015" s="0" t="s">
        <v>458</v>
      </c>
      <c r="J1015" s="14" t="n">
        <f aca="false">IF(Operations!J1000=0,0,Operations!J997/Operations!J1000)</f>
        <v>0</v>
      </c>
      <c r="K1015" s="14" t="n">
        <f aca="false">IF(Operations!K1000=0,0,Operations!K997/Operations!K1000)</f>
        <v>0</v>
      </c>
      <c r="L1015" s="14" t="n">
        <f aca="false">IF(Operations!L1000=0,0,Operations!L997/Operations!L1000)</f>
        <v>0</v>
      </c>
      <c r="M1015" s="14" t="n">
        <f aca="false">IF(Operations!M1000=0,0,Operations!M997/Operations!M1000)</f>
        <v>0</v>
      </c>
      <c r="N1015" s="14" t="n">
        <f aca="false">IF(Operations!N1000=0,0,Operations!N997/Operations!N1000)</f>
        <v>0</v>
      </c>
      <c r="O1015" s="14" t="n">
        <f aca="false">IF(Operations!O1000=0,0,Operations!O997/Operations!O1000)</f>
        <v>0</v>
      </c>
      <c r="P1015" s="14" t="n">
        <f aca="false">IF(Operations!P1000=0,0,Operations!P997/Operations!P1000)</f>
        <v>0</v>
      </c>
      <c r="Q1015" s="14" t="n">
        <f aca="false">IF(Operations!Q1000=0,0,Operations!Q997/Operations!Q1000)</f>
        <v>0</v>
      </c>
      <c r="R1015" s="14" t="n">
        <f aca="false">IF(Operations!R1000=0,0,Operations!R997/Operations!R1000)</f>
        <v>0</v>
      </c>
      <c r="S1015" s="14" t="n">
        <f aca="false">IF(Operations!S1000=0,0,Operations!S997/Operations!S1000)</f>
        <v>0</v>
      </c>
      <c r="T1015" s="14" t="n">
        <f aca="false">IF(Operations!T1000=0,0,Operations!T997/Operations!T1000)</f>
        <v>0</v>
      </c>
      <c r="U1015" s="14" t="n">
        <f aca="false">IF(Operations!U1000=0,0,Operations!U997/Operations!U1000)</f>
        <v>0</v>
      </c>
      <c r="V1015" s="14" t="n">
        <f aca="false">IF(Operations!V1000=0,0,Operations!V997/Operations!V1000)</f>
        <v>0</v>
      </c>
      <c r="W1015" s="14" t="n">
        <f aca="false">IF(Operations!W1000=0,0,Operations!W997/Operations!W1000)</f>
        <v>0</v>
      </c>
      <c r="X1015" s="14" t="n">
        <f aca="false">IF(Operations!X1000=0,0,Operations!X997/Operations!X1000)</f>
        <v>0</v>
      </c>
      <c r="Y1015" s="14" t="n">
        <f aca="false">IF(Operations!Y1000=0,0,Operations!Y997/Operations!Y1000)</f>
        <v>0</v>
      </c>
      <c r="Z1015" s="14" t="n">
        <f aca="false">IF(Operations!Z1000=0,0,Operations!Z997/Operations!Z1000)</f>
        <v>0</v>
      </c>
      <c r="AA1015" s="14" t="n">
        <f aca="false">IF(Operations!AA1000=0,0,Operations!AA997/Operations!AA1000)</f>
        <v>0</v>
      </c>
      <c r="AB1015" s="14" t="n">
        <f aca="false">IF(Operations!AB1000=0,0,Operations!AB997/Operations!AB1000)</f>
        <v>0</v>
      </c>
      <c r="AC1015" s="14" t="n">
        <f aca="false">IF(Operations!AC1000=0,0,Operations!AC997/Operations!AC1000)</f>
        <v>0</v>
      </c>
      <c r="AD1015" s="14" t="n">
        <f aca="false">IF(Operations!AD1000=0,0,Operations!AD997/Operations!AD1000)</f>
        <v>0</v>
      </c>
      <c r="AE1015" s="14" t="n">
        <f aca="false">IF(Operations!AE1000=0,0,Operations!AE997/Operations!AE1000)</f>
        <v>0</v>
      </c>
      <c r="AF1015" s="14" t="n">
        <f aca="false">IF(Operations!AF1000=0,0,Operations!AF997/Operations!AF1000)</f>
        <v>0</v>
      </c>
      <c r="AG1015" s="14" t="n">
        <f aca="false">IF(Operations!AG1000=0,0,Operations!AG997/Operations!AG1000)</f>
        <v>0</v>
      </c>
      <c r="AH1015" s="14" t="n">
        <f aca="false">IF(Operations!AH1000=0,0,Operations!AH997/Operations!AH1000)</f>
        <v>0</v>
      </c>
      <c r="AI1015" s="14" t="n">
        <f aca="false">IF(Operations!AI1000=0,0,Operations!AI997/Operations!AI1000)</f>
        <v>0</v>
      </c>
      <c r="AJ1015" s="14" t="n">
        <f aca="false">IF(Operations!AJ1000=0,0,Operations!AJ997/Operations!AJ1000)</f>
        <v>0</v>
      </c>
      <c r="AK1015" s="14" t="n">
        <f aca="false">IF(Operations!AK1000=0,0,Operations!AK997/Operations!AK1000)</f>
        <v>0</v>
      </c>
      <c r="AL1015" s="14" t="n">
        <f aca="false">IF(Operations!AL1000=0,0,Operations!AL997/Operations!AL1000)</f>
        <v>0</v>
      </c>
      <c r="AM1015" s="14" t="n">
        <f aca="false">IF(Operations!AM1000=0,0,Operations!AM997/Operations!AM1000)</f>
        <v>0</v>
      </c>
      <c r="AN1015" s="14" t="n">
        <f aca="false">IF(Operations!AN1000=0,0,Operations!AN997/Operations!AN1000)</f>
        <v>0</v>
      </c>
      <c r="AO1015" s="14" t="n">
        <f aca="false">IF(Operations!AO1000=0,0,Operations!AO997/Operations!AO1000)</f>
        <v>0</v>
      </c>
      <c r="AP1015" s="14" t="n">
        <f aca="false">IF(Operations!AP1000=0,0,Operations!AP997/Operations!AP1000)</f>
        <v>0</v>
      </c>
      <c r="AQ1015" s="14" t="n">
        <f aca="false">IF(Operations!AQ1000=0,0,Operations!AQ997/Operations!AQ1000)</f>
        <v>0</v>
      </c>
      <c r="AR1015" s="14" t="n">
        <f aca="false">IF(Operations!AR1000=0,0,Operations!AR997/Operations!AR1000)</f>
        <v>0</v>
      </c>
      <c r="AS1015" s="14" t="n">
        <f aca="false">IF(Operations!AS1000=0,0,Operations!AS997/Operations!AS1000)</f>
        <v>0</v>
      </c>
      <c r="AT1015" s="14" t="n">
        <f aca="false">IF(Operations!AT1000=0,0,Operations!AT997/Operations!AT1000)</f>
        <v>0</v>
      </c>
      <c r="AU1015" s="14" t="n">
        <f aca="false">IF(Operations!AU1000=0,0,Operations!AU997/Operations!AU1000)</f>
        <v>0</v>
      </c>
    </row>
    <row r="1016" customFormat="false" ht="15" hidden="false" customHeight="false" outlineLevel="0" collapsed="false">
      <c r="D1016" s="0" t="s">
        <v>621</v>
      </c>
      <c r="E1016" s="0" t="s">
        <v>458</v>
      </c>
      <c r="J1016" s="14" t="n">
        <f aca="false">IF(Operations!J1000=0,0,Operations!J998/Operations!J1000)</f>
        <v>0.791594127795536</v>
      </c>
      <c r="K1016" s="14" t="n">
        <f aca="false">IF(Operations!K1000=0,0,Operations!K998/Operations!K1000)</f>
        <v>0.835429714302917</v>
      </c>
      <c r="L1016" s="14" t="n">
        <f aca="false">IF(Operations!L1000=0,0,Operations!L998/Operations!L1000)</f>
        <v>0.919204947534617</v>
      </c>
      <c r="M1016" s="14" t="n">
        <f aca="false">IF(Operations!M1000=0,0,Operations!M998/Operations!M1000)</f>
        <v>0.905140921917943</v>
      </c>
      <c r="N1016" s="14" t="n">
        <f aca="false">IF(Operations!N1000=0,0,Operations!N998/Operations!N1000)</f>
        <v>0.901161635665429</v>
      </c>
      <c r="O1016" s="14" t="n">
        <f aca="false">IF(Operations!O1000=0,0,Operations!O998/Operations!O1000)</f>
        <v>0</v>
      </c>
      <c r="P1016" s="14" t="n">
        <f aca="false">IF(Operations!P1000=0,0,Operations!P998/Operations!P1000)</f>
        <v>0</v>
      </c>
      <c r="Q1016" s="14" t="n">
        <f aca="false">IF(Operations!Q1000=0,0,Operations!Q998/Operations!Q1000)</f>
        <v>0</v>
      </c>
      <c r="R1016" s="14" t="n">
        <f aca="false">IF(Operations!R1000=0,0,Operations!R998/Operations!R1000)</f>
        <v>0</v>
      </c>
      <c r="S1016" s="14" t="n">
        <f aca="false">IF(Operations!S1000=0,0,Operations!S998/Operations!S1000)</f>
        <v>0</v>
      </c>
      <c r="T1016" s="14" t="n">
        <f aca="false">IF(Operations!T1000=0,0,Operations!T998/Operations!T1000)</f>
        <v>0</v>
      </c>
      <c r="U1016" s="14" t="n">
        <f aca="false">IF(Operations!U1000=0,0,Operations!U998/Operations!U1000)</f>
        <v>0</v>
      </c>
      <c r="V1016" s="14" t="n">
        <f aca="false">IF(Operations!V1000=0,0,Operations!V998/Operations!V1000)</f>
        <v>0</v>
      </c>
      <c r="W1016" s="14" t="n">
        <f aca="false">IF(Operations!W1000=0,0,Operations!W998/Operations!W1000)</f>
        <v>0</v>
      </c>
      <c r="X1016" s="14" t="n">
        <f aca="false">IF(Operations!X1000=0,0,Operations!X998/Operations!X1000)</f>
        <v>0</v>
      </c>
      <c r="Y1016" s="14" t="n">
        <f aca="false">IF(Operations!Y1000=0,0,Operations!Y998/Operations!Y1000)</f>
        <v>0</v>
      </c>
      <c r="Z1016" s="14" t="n">
        <f aca="false">IF(Operations!Z1000=0,0,Operations!Z998/Operations!Z1000)</f>
        <v>0</v>
      </c>
      <c r="AA1016" s="14" t="n">
        <f aca="false">IF(Operations!AA1000=0,0,Operations!AA998/Operations!AA1000)</f>
        <v>0</v>
      </c>
      <c r="AB1016" s="14" t="n">
        <f aca="false">IF(Operations!AB1000=0,0,Operations!AB998/Operations!AB1000)</f>
        <v>0</v>
      </c>
      <c r="AC1016" s="14" t="n">
        <f aca="false">IF(Operations!AC1000=0,0,Operations!AC998/Operations!AC1000)</f>
        <v>0</v>
      </c>
      <c r="AD1016" s="14" t="n">
        <f aca="false">IF(Operations!AD1000=0,0,Operations!AD998/Operations!AD1000)</f>
        <v>0</v>
      </c>
      <c r="AE1016" s="14" t="n">
        <f aca="false">IF(Operations!AE1000=0,0,Operations!AE998/Operations!AE1000)</f>
        <v>0</v>
      </c>
      <c r="AF1016" s="14" t="n">
        <f aca="false">IF(Operations!AF1000=0,0,Operations!AF998/Operations!AF1000)</f>
        <v>0</v>
      </c>
      <c r="AG1016" s="14" t="n">
        <f aca="false">IF(Operations!AG1000=0,0,Operations!AG998/Operations!AG1000)</f>
        <v>0</v>
      </c>
      <c r="AH1016" s="14" t="n">
        <f aca="false">IF(Operations!AH1000=0,0,Operations!AH998/Operations!AH1000)</f>
        <v>0</v>
      </c>
      <c r="AI1016" s="14" t="n">
        <f aca="false">IF(Operations!AI1000=0,0,Operations!AI998/Operations!AI1000)</f>
        <v>0</v>
      </c>
      <c r="AJ1016" s="14" t="n">
        <f aca="false">IF(Operations!AJ1000=0,0,Operations!AJ998/Operations!AJ1000)</f>
        <v>0</v>
      </c>
      <c r="AK1016" s="14" t="n">
        <f aca="false">IF(Operations!AK1000=0,0,Operations!AK998/Operations!AK1000)</f>
        <v>0</v>
      </c>
      <c r="AL1016" s="14" t="n">
        <f aca="false">IF(Operations!AL1000=0,0,Operations!AL998/Operations!AL1000)</f>
        <v>0</v>
      </c>
      <c r="AM1016" s="14" t="n">
        <f aca="false">IF(Operations!AM1000=0,0,Operations!AM998/Operations!AM1000)</f>
        <v>0</v>
      </c>
      <c r="AN1016" s="14" t="n">
        <f aca="false">IF(Operations!AN1000=0,0,Operations!AN998/Operations!AN1000)</f>
        <v>0</v>
      </c>
      <c r="AO1016" s="14" t="n">
        <f aca="false">IF(Operations!AO1000=0,0,Operations!AO998/Operations!AO1000)</f>
        <v>0</v>
      </c>
      <c r="AP1016" s="14" t="n">
        <f aca="false">IF(Operations!AP1000=0,0,Operations!AP998/Operations!AP1000)</f>
        <v>0</v>
      </c>
      <c r="AQ1016" s="14" t="n">
        <f aca="false">IF(Operations!AQ1000=0,0,Operations!AQ998/Operations!AQ1000)</f>
        <v>0</v>
      </c>
      <c r="AR1016" s="14" t="n">
        <f aca="false">IF(Operations!AR1000=0,0,Operations!AR998/Operations!AR1000)</f>
        <v>0</v>
      </c>
      <c r="AS1016" s="14" t="n">
        <f aca="false">IF(Operations!AS1000=0,0,Operations!AS998/Operations!AS1000)</f>
        <v>0</v>
      </c>
      <c r="AT1016" s="14" t="n">
        <f aca="false">IF(Operations!AT1000=0,0,Operations!AT998/Operations!AT1000)</f>
        <v>0</v>
      </c>
      <c r="AU1016" s="14" t="n">
        <f aca="false">IF(Operations!AU1000=0,0,Operations!AU998/Operations!AU1000)</f>
        <v>0</v>
      </c>
    </row>
    <row r="1017" customFormat="false" ht="15" hidden="false" customHeight="false" outlineLevel="0" collapsed="false">
      <c r="D1017" s="0" t="s">
        <v>622</v>
      </c>
      <c r="E1017" s="0" t="s">
        <v>458</v>
      </c>
      <c r="J1017" s="14" t="n">
        <f aca="false">1-Operations!J1015-Operations!J1016</f>
        <v>0.208405872204464</v>
      </c>
      <c r="K1017" s="14" t="n">
        <f aca="false">1-Operations!K1015-Operations!K1016</f>
        <v>0.164570285697083</v>
      </c>
      <c r="L1017" s="14" t="n">
        <f aca="false">1-Operations!L1015-Operations!L1016</f>
        <v>0.0807950524653835</v>
      </c>
      <c r="M1017" s="14" t="n">
        <f aca="false">1-Operations!M1015-Operations!M1016</f>
        <v>0.0948590780820569</v>
      </c>
      <c r="N1017" s="14" t="n">
        <f aca="false">1-Operations!N1015-Operations!N1016</f>
        <v>0.0988383643345709</v>
      </c>
      <c r="O1017" s="14" t="n">
        <f aca="false">1-Operations!O1015-Operations!O1016</f>
        <v>1</v>
      </c>
      <c r="P1017" s="14" t="n">
        <f aca="false">1-Operations!P1015-Operations!P1016</f>
        <v>1</v>
      </c>
      <c r="Q1017" s="14" t="n">
        <f aca="false">1-Operations!Q1015-Operations!Q1016</f>
        <v>1</v>
      </c>
      <c r="R1017" s="14" t="n">
        <f aca="false">1-Operations!R1015-Operations!R1016</f>
        <v>1</v>
      </c>
      <c r="S1017" s="14" t="n">
        <f aca="false">1-Operations!S1015-Operations!S1016</f>
        <v>1</v>
      </c>
      <c r="T1017" s="14" t="n">
        <f aca="false">1-Operations!T1015-Operations!T1016</f>
        <v>1</v>
      </c>
      <c r="U1017" s="14" t="n">
        <f aca="false">1-Operations!U1015-Operations!U1016</f>
        <v>1</v>
      </c>
      <c r="V1017" s="14" t="n">
        <f aca="false">1-Operations!V1015-Operations!V1016</f>
        <v>1</v>
      </c>
      <c r="W1017" s="14" t="n">
        <f aca="false">1-Operations!W1015-Operations!W1016</f>
        <v>1</v>
      </c>
      <c r="X1017" s="14" t="n">
        <f aca="false">1-Operations!X1015-Operations!X1016</f>
        <v>1</v>
      </c>
      <c r="Y1017" s="14" t="n">
        <f aca="false">1-Operations!Y1015-Operations!Y1016</f>
        <v>1</v>
      </c>
      <c r="Z1017" s="14" t="n">
        <f aca="false">1-Operations!Z1015-Operations!Z1016</f>
        <v>1</v>
      </c>
      <c r="AA1017" s="14" t="n">
        <f aca="false">1-Operations!AA1015-Operations!AA1016</f>
        <v>1</v>
      </c>
      <c r="AB1017" s="14" t="n">
        <f aca="false">1-Operations!AB1015-Operations!AB1016</f>
        <v>1</v>
      </c>
      <c r="AC1017" s="14" t="n">
        <f aca="false">1-Operations!AC1015-Operations!AC1016</f>
        <v>1</v>
      </c>
      <c r="AD1017" s="14" t="n">
        <f aca="false">1-Operations!AD1015-Operations!AD1016</f>
        <v>1</v>
      </c>
      <c r="AE1017" s="14" t="n">
        <f aca="false">1-Operations!AE1015-Operations!AE1016</f>
        <v>1</v>
      </c>
      <c r="AF1017" s="14" t="n">
        <f aca="false">1-Operations!AF1015-Operations!AF1016</f>
        <v>1</v>
      </c>
      <c r="AG1017" s="14" t="n">
        <f aca="false">1-Operations!AG1015-Operations!AG1016</f>
        <v>1</v>
      </c>
      <c r="AH1017" s="14" t="n">
        <f aca="false">1-Operations!AH1015-Operations!AH1016</f>
        <v>1</v>
      </c>
      <c r="AI1017" s="14" t="n">
        <f aca="false">1-Operations!AI1015-Operations!AI1016</f>
        <v>1</v>
      </c>
      <c r="AJ1017" s="14" t="n">
        <f aca="false">1-Operations!AJ1015-Operations!AJ1016</f>
        <v>1</v>
      </c>
      <c r="AK1017" s="14" t="n">
        <f aca="false">1-Operations!AK1015-Operations!AK1016</f>
        <v>1</v>
      </c>
      <c r="AL1017" s="14" t="n">
        <f aca="false">1-Operations!AL1015-Operations!AL1016</f>
        <v>1</v>
      </c>
      <c r="AM1017" s="14" t="n">
        <f aca="false">1-Operations!AM1015-Operations!AM1016</f>
        <v>1</v>
      </c>
      <c r="AN1017" s="14" t="n">
        <f aca="false">1-Operations!AN1015-Operations!AN1016</f>
        <v>1</v>
      </c>
      <c r="AO1017" s="14" t="n">
        <f aca="false">1-Operations!AO1015-Operations!AO1016</f>
        <v>1</v>
      </c>
      <c r="AP1017" s="14" t="n">
        <f aca="false">1-Operations!AP1015-Operations!AP1016</f>
        <v>1</v>
      </c>
      <c r="AQ1017" s="14" t="n">
        <f aca="false">1-Operations!AQ1015-Operations!AQ1016</f>
        <v>1</v>
      </c>
      <c r="AR1017" s="14" t="n">
        <f aca="false">1-Operations!AR1015-Operations!AR1016</f>
        <v>1</v>
      </c>
      <c r="AS1017" s="14" t="n">
        <f aca="false">1-Operations!AS1015-Operations!AS1016</f>
        <v>1</v>
      </c>
      <c r="AT1017" s="14" t="n">
        <f aca="false">1-Operations!AT1015-Operations!AT1016</f>
        <v>1</v>
      </c>
      <c r="AU1017" s="14" t="n">
        <f aca="false">1-Operations!AU1015-Operations!AU1016</f>
        <v>1</v>
      </c>
    </row>
    <row r="1018" customFormat="false" ht="15" hidden="false" customHeight="false" outlineLevel="0" collapsed="false">
      <c r="D1018" s="0" t="s">
        <v>623</v>
      </c>
      <c r="E1018" s="0" t="s">
        <v>47</v>
      </c>
      <c r="J1018" s="20" t="n">
        <f aca="false">Operations!J997*Operations!J983*(1-Operations!J1010)</f>
        <v>0</v>
      </c>
      <c r="K1018" s="20" t="n">
        <f aca="false">Operations!K997*Operations!K983*(1-Operations!K1010)</f>
        <v>0</v>
      </c>
      <c r="L1018" s="20" t="n">
        <f aca="false">Operations!L997*Operations!L983*(1-Operations!L1010)</f>
        <v>0</v>
      </c>
      <c r="M1018" s="20" t="n">
        <f aca="false">Operations!M997*Operations!M983*(1-Operations!M1010)</f>
        <v>0</v>
      </c>
      <c r="N1018" s="20" t="n">
        <f aca="false">Operations!N997*Operations!N983*(1-Operations!N1010)</f>
        <v>0</v>
      </c>
      <c r="O1018" s="20" t="n">
        <f aca="false">Operations!O997*Operations!O983*(1-Operations!O1010)</f>
        <v>0</v>
      </c>
      <c r="P1018" s="20" t="n">
        <f aca="false">Operations!P997*Operations!P983*(1-Operations!P1010)</f>
        <v>0</v>
      </c>
      <c r="Q1018" s="20" t="n">
        <f aca="false">Operations!Q997*Operations!Q983*(1-Operations!Q1010)</f>
        <v>0</v>
      </c>
      <c r="R1018" s="20" t="n">
        <f aca="false">Operations!R997*Operations!R983*(1-Operations!R1010)</f>
        <v>0</v>
      </c>
      <c r="S1018" s="20" t="n">
        <f aca="false">Operations!S997*Operations!S983*(1-Operations!S1010)</f>
        <v>0</v>
      </c>
      <c r="T1018" s="20" t="n">
        <f aca="false">Operations!T997*Operations!T983*(1-Operations!T1010)</f>
        <v>0</v>
      </c>
      <c r="U1018" s="20" t="n">
        <f aca="false">Operations!U997*Operations!U983*(1-Operations!U1010)</f>
        <v>0</v>
      </c>
      <c r="V1018" s="20" t="n">
        <f aca="false">Operations!V997*Operations!V983*(1-Operations!V1010)</f>
        <v>0</v>
      </c>
      <c r="W1018" s="20" t="n">
        <f aca="false">Operations!W997*Operations!W983*(1-Operations!W1010)</f>
        <v>0</v>
      </c>
      <c r="X1018" s="20" t="n">
        <f aca="false">Operations!X997*Operations!X983*(1-Operations!X1010)</f>
        <v>0</v>
      </c>
      <c r="Y1018" s="20" t="n">
        <f aca="false">Operations!Y997*Operations!Y983*(1-Operations!Y1010)</f>
        <v>0</v>
      </c>
      <c r="Z1018" s="20" t="n">
        <f aca="false">Operations!Z997*Operations!Z983*(1-Operations!Z1010)</f>
        <v>0</v>
      </c>
      <c r="AA1018" s="20" t="n">
        <f aca="false">Operations!AA997*Operations!AA983*(1-Operations!AA1010)</f>
        <v>0</v>
      </c>
      <c r="AB1018" s="20" t="n">
        <f aca="false">Operations!AB997*Operations!AB983*(1-Operations!AB1010)</f>
        <v>0</v>
      </c>
      <c r="AC1018" s="20" t="n">
        <f aca="false">Operations!AC997*Operations!AC983*(1-Operations!AC1010)</f>
        <v>0</v>
      </c>
      <c r="AD1018" s="20" t="n">
        <f aca="false">Operations!AD997*Operations!AD983*(1-Operations!AD1010)</f>
        <v>0</v>
      </c>
      <c r="AE1018" s="20" t="n">
        <f aca="false">Operations!AE997*Operations!AE983*(1-Operations!AE1010)</f>
        <v>0</v>
      </c>
      <c r="AF1018" s="20" t="n">
        <f aca="false">Operations!AF997*Operations!AF983*(1-Operations!AF1010)</f>
        <v>0</v>
      </c>
      <c r="AG1018" s="20" t="n">
        <f aca="false">Operations!AG997*Operations!AG983*(1-Operations!AG1010)</f>
        <v>0</v>
      </c>
      <c r="AH1018" s="20" t="n">
        <f aca="false">Operations!AH997*Operations!AH983*(1-Operations!AH1010)</f>
        <v>0</v>
      </c>
      <c r="AI1018" s="20" t="n">
        <f aca="false">Operations!AI997*Operations!AI983*(1-Operations!AI1010)</f>
        <v>0</v>
      </c>
      <c r="AJ1018" s="20" t="n">
        <f aca="false">Operations!AJ997*Operations!AJ983*(1-Operations!AJ1010)</f>
        <v>0</v>
      </c>
      <c r="AK1018" s="20" t="n">
        <f aca="false">Operations!AK997*Operations!AK983*(1-Operations!AK1010)</f>
        <v>0</v>
      </c>
      <c r="AL1018" s="20" t="n">
        <f aca="false">Operations!AL997*Operations!AL983*(1-Operations!AL1010)</f>
        <v>0</v>
      </c>
      <c r="AM1018" s="20" t="n">
        <f aca="false">Operations!AM997*Operations!AM983*(1-Operations!AM1010)</f>
        <v>0</v>
      </c>
      <c r="AN1018" s="20" t="n">
        <f aca="false">Operations!AN997*Operations!AN983*(1-Operations!AN1010)</f>
        <v>0</v>
      </c>
      <c r="AO1018" s="20" t="n">
        <f aca="false">Operations!AO997*Operations!AO983*(1-Operations!AO1010)</f>
        <v>0</v>
      </c>
      <c r="AP1018" s="20" t="n">
        <f aca="false">Operations!AP997*Operations!AP983*(1-Operations!AP1010)</f>
        <v>0</v>
      </c>
      <c r="AQ1018" s="20" t="n">
        <f aca="false">Operations!AQ997*Operations!AQ983*(1-Operations!AQ1010)</f>
        <v>0</v>
      </c>
      <c r="AR1018" s="20" t="n">
        <f aca="false">Operations!AR997*Operations!AR983*(1-Operations!AR1010)</f>
        <v>0</v>
      </c>
      <c r="AS1018" s="20" t="n">
        <f aca="false">Operations!AS997*Operations!AS983*(1-Operations!AS1010)</f>
        <v>0</v>
      </c>
      <c r="AT1018" s="20" t="n">
        <f aca="false">Operations!AT997*Operations!AT983*(1-Operations!AT1010)</f>
        <v>0</v>
      </c>
      <c r="AU1018" s="20" t="n">
        <f aca="false">Operations!AU997*Operations!AU983*(1-Operations!AU1010)</f>
        <v>0</v>
      </c>
    </row>
    <row r="1019" customFormat="false" ht="15" hidden="false" customHeight="false" outlineLevel="0" collapsed="false">
      <c r="D1019" s="0" t="s">
        <v>624</v>
      </c>
      <c r="E1019" s="0" t="s">
        <v>47</v>
      </c>
      <c r="J1019" s="20" t="n">
        <f aca="false">Operations!J998*Operations!J983*(1-Operations!J1010)</f>
        <v>5.77838071232877</v>
      </c>
      <c r="K1019" s="20" t="n">
        <f aca="false">Operations!K998*Operations!K983*(1-Operations!K1010)</f>
        <v>7.42644</v>
      </c>
      <c r="L1019" s="20" t="n">
        <f aca="false">Operations!L998*Operations!L983*(1-Operations!L1010)</f>
        <v>7.42644</v>
      </c>
      <c r="M1019" s="20" t="n">
        <f aca="false">Operations!M998*Operations!M983*(1-Operations!M1010)</f>
        <v>7.42644</v>
      </c>
      <c r="N1019" s="20" t="n">
        <f aca="false">Operations!N998*Operations!N983*(1-Operations!N1010)</f>
        <v>7.42644</v>
      </c>
      <c r="O1019" s="20" t="n">
        <f aca="false">Operations!O998*Operations!O983*(1-Operations!O1010)</f>
        <v>0</v>
      </c>
      <c r="P1019" s="20" t="n">
        <f aca="false">Operations!P998*Operations!P983*(1-Operations!P1010)</f>
        <v>0</v>
      </c>
      <c r="Q1019" s="20" t="n">
        <f aca="false">Operations!Q998*Operations!Q983*(1-Operations!Q1010)</f>
        <v>0</v>
      </c>
      <c r="R1019" s="20" t="n">
        <f aca="false">Operations!R998*Operations!R983*(1-Operations!R1010)</f>
        <v>0</v>
      </c>
      <c r="S1019" s="20" t="n">
        <f aca="false">Operations!S998*Operations!S983*(1-Operations!S1010)</f>
        <v>0</v>
      </c>
      <c r="T1019" s="20" t="n">
        <f aca="false">Operations!T998*Operations!T983*(1-Operations!T1010)</f>
        <v>0</v>
      </c>
      <c r="U1019" s="20" t="n">
        <f aca="false">Operations!U998*Operations!U983*(1-Operations!U1010)</f>
        <v>0</v>
      </c>
      <c r="V1019" s="20" t="n">
        <f aca="false">Operations!V998*Operations!V983*(1-Operations!V1010)</f>
        <v>0</v>
      </c>
      <c r="W1019" s="20" t="n">
        <f aca="false">Operations!W998*Operations!W983*(1-Operations!W1010)</f>
        <v>0</v>
      </c>
      <c r="X1019" s="20" t="n">
        <f aca="false">Operations!X998*Operations!X983*(1-Operations!X1010)</f>
        <v>0</v>
      </c>
      <c r="Y1019" s="20" t="n">
        <f aca="false">Operations!Y998*Operations!Y983*(1-Operations!Y1010)</f>
        <v>0</v>
      </c>
      <c r="Z1019" s="20" t="n">
        <f aca="false">Operations!Z998*Operations!Z983*(1-Operations!Z1010)</f>
        <v>0</v>
      </c>
      <c r="AA1019" s="20" t="n">
        <f aca="false">Operations!AA998*Operations!AA983*(1-Operations!AA1010)</f>
        <v>0</v>
      </c>
      <c r="AB1019" s="20" t="n">
        <f aca="false">Operations!AB998*Operations!AB983*(1-Operations!AB1010)</f>
        <v>0</v>
      </c>
      <c r="AC1019" s="20" t="n">
        <f aca="false">Operations!AC998*Operations!AC983*(1-Operations!AC1010)</f>
        <v>0</v>
      </c>
      <c r="AD1019" s="20" t="n">
        <f aca="false">Operations!AD998*Operations!AD983*(1-Operations!AD1010)</f>
        <v>0</v>
      </c>
      <c r="AE1019" s="20" t="n">
        <f aca="false">Operations!AE998*Operations!AE983*(1-Operations!AE1010)</f>
        <v>0</v>
      </c>
      <c r="AF1019" s="20" t="n">
        <f aca="false">Operations!AF998*Operations!AF983*(1-Operations!AF1010)</f>
        <v>0</v>
      </c>
      <c r="AG1019" s="20" t="n">
        <f aca="false">Operations!AG998*Operations!AG983*(1-Operations!AG1010)</f>
        <v>0</v>
      </c>
      <c r="AH1019" s="20" t="n">
        <f aca="false">Operations!AH998*Operations!AH983*(1-Operations!AH1010)</f>
        <v>0</v>
      </c>
      <c r="AI1019" s="20" t="n">
        <f aca="false">Operations!AI998*Operations!AI983*(1-Operations!AI1010)</f>
        <v>0</v>
      </c>
      <c r="AJ1019" s="20" t="n">
        <f aca="false">Operations!AJ998*Operations!AJ983*(1-Operations!AJ1010)</f>
        <v>0</v>
      </c>
      <c r="AK1019" s="20" t="n">
        <f aca="false">Operations!AK998*Operations!AK983*(1-Operations!AK1010)</f>
        <v>0</v>
      </c>
      <c r="AL1019" s="20" t="n">
        <f aca="false">Operations!AL998*Operations!AL983*(1-Operations!AL1010)</f>
        <v>0</v>
      </c>
      <c r="AM1019" s="20" t="n">
        <f aca="false">Operations!AM998*Operations!AM983*(1-Operations!AM1010)</f>
        <v>0</v>
      </c>
      <c r="AN1019" s="20" t="n">
        <f aca="false">Operations!AN998*Operations!AN983*(1-Operations!AN1010)</f>
        <v>0</v>
      </c>
      <c r="AO1019" s="20" t="n">
        <f aca="false">Operations!AO998*Operations!AO983*(1-Operations!AO1010)</f>
        <v>0</v>
      </c>
      <c r="AP1019" s="20" t="n">
        <f aca="false">Operations!AP998*Operations!AP983*(1-Operations!AP1010)</f>
        <v>0</v>
      </c>
      <c r="AQ1019" s="20" t="n">
        <f aca="false">Operations!AQ998*Operations!AQ983*(1-Operations!AQ1010)</f>
        <v>0</v>
      </c>
      <c r="AR1019" s="20" t="n">
        <f aca="false">Operations!AR998*Operations!AR983*(1-Operations!AR1010)</f>
        <v>0</v>
      </c>
      <c r="AS1019" s="20" t="n">
        <f aca="false">Operations!AS998*Operations!AS983*(1-Operations!AS1010)</f>
        <v>0</v>
      </c>
      <c r="AT1019" s="20" t="n">
        <f aca="false">Operations!AT998*Operations!AT983*(1-Operations!AT1010)</f>
        <v>0</v>
      </c>
      <c r="AU1019" s="20" t="n">
        <f aca="false">Operations!AU998*Operations!AU983*(1-Operations!AU1010)</f>
        <v>0</v>
      </c>
    </row>
    <row r="1020" customFormat="false" ht="15" hidden="false" customHeight="false" outlineLevel="0" collapsed="false">
      <c r="D1020" s="0" t="s">
        <v>625</v>
      </c>
      <c r="E1020" s="0" t="s">
        <v>47</v>
      </c>
      <c r="J1020" s="20" t="n">
        <f aca="false">Operations!J1001*Operations!J983*(1-Operations!J1010)</f>
        <v>1.52129535831193</v>
      </c>
      <c r="K1020" s="20" t="n">
        <f aca="false">Operations!K1001*Operations!K983*(1-Operations!K1010)</f>
        <v>1.46292540424185</v>
      </c>
      <c r="L1020" s="20" t="n">
        <f aca="false">Operations!L1001*Operations!L983*(1-Operations!L1010)</f>
        <v>0.652759334074871</v>
      </c>
      <c r="M1020" s="20" t="n">
        <f aca="false">Operations!M1001*Operations!M983*(1-Operations!M1010)</f>
        <v>0.778293451078301</v>
      </c>
      <c r="N1020" s="20" t="n">
        <f aca="false">Operations!N1001*Operations!N983*(1-Operations!N1010)</f>
        <v>0.814523336745048</v>
      </c>
      <c r="O1020" s="20" t="n">
        <f aca="false">Operations!O1001*Operations!O983*(1-Operations!O1010)</f>
        <v>6.66443027041329</v>
      </c>
      <c r="P1020" s="20" t="n">
        <f aca="false">Operations!P1001*Operations!P983*(1-Operations!P1010)</f>
        <v>6.69823118220689</v>
      </c>
      <c r="Q1020" s="20" t="n">
        <f aca="false">Operations!Q1001*Operations!Q983*(1-Operations!Q1010)</f>
        <v>6.6518306416414</v>
      </c>
      <c r="R1020" s="20" t="n">
        <f aca="false">Operations!R1001*Operations!R983*(1-Operations!R1010)</f>
        <v>6.60856830269976</v>
      </c>
      <c r="S1020" s="20" t="n">
        <f aca="false">Operations!S1001*Operations!S983*(1-Operations!S1010)</f>
        <v>6.51058855625441</v>
      </c>
      <c r="T1020" s="20" t="n">
        <f aca="false">Operations!T1001*Operations!T983*(1-Operations!T1010)</f>
        <v>6.40788433455162</v>
      </c>
      <c r="U1020" s="20" t="n">
        <f aca="false">Operations!U1001*Operations!U983*(1-Operations!U1010)</f>
        <v>6.30029934007027</v>
      </c>
      <c r="V1020" s="20" t="n">
        <f aca="false">Operations!V1001*Operations!V983*(1-Operations!V1010)</f>
        <v>6.1876806956721</v>
      </c>
      <c r="W1020" s="20" t="n">
        <f aca="false">Operations!W1001*Operations!W983*(1-Operations!W1010)</f>
        <v>6.06987890378713</v>
      </c>
      <c r="X1020" s="20" t="n">
        <f aca="false">Operations!X1001*Operations!X983*(1-Operations!X1010)</f>
        <v>6.16299318074003</v>
      </c>
      <c r="Y1020" s="20" t="n">
        <f aca="false">Operations!Y1001*Operations!Y983*(1-Operations!Y1010)</f>
        <v>6.25830143001376</v>
      </c>
      <c r="Z1020" s="20" t="n">
        <f aca="false">Operations!Z1001*Operations!Z983*(1-Operations!Z1010)</f>
        <v>6.35472091692535</v>
      </c>
      <c r="AA1020" s="20" t="n">
        <f aca="false">Operations!AA1001*Operations!AA983*(1-Operations!AA1010)</f>
        <v>6.45223028818776</v>
      </c>
      <c r="AB1020" s="20" t="n">
        <f aca="false">Operations!AB1001*Operations!AB983*(1-Operations!AB1010)</f>
        <v>6.55184590788098</v>
      </c>
      <c r="AC1020" s="20" t="n">
        <f aca="false">Operations!AC1001*Operations!AC983*(1-Operations!AC1010)</f>
        <v>6.6525000023665</v>
      </c>
      <c r="AD1020" s="20" t="n">
        <f aca="false">Operations!AD1001*Operations!AD983*(1-Operations!AD1010)</f>
        <v>6.75520010137834</v>
      </c>
      <c r="AE1020" s="20" t="n">
        <f aca="false">Operations!AE1001*Operations!AE983*(1-Operations!AE1010)</f>
        <v>6.8588883101795</v>
      </c>
      <c r="AF1020" s="20" t="n">
        <f aca="false">Operations!AF1001*Operations!AF983*(1-Operations!AF1010)</f>
        <v>6.96456339992188</v>
      </c>
      <c r="AG1020" s="20" t="n">
        <f aca="false">Operations!AG1001*Operations!AG983*(1-Operations!AG1010)</f>
        <v>7.07219163308649</v>
      </c>
      <c r="AH1020" s="20" t="n">
        <f aca="false">Operations!AH1001*Operations!AH983*(1-Operations!AH1010)</f>
        <v>7.18072979155409</v>
      </c>
      <c r="AI1020" s="20" t="n">
        <f aca="false">Operations!AI1001*Operations!AI983*(1-Operations!AI1010)</f>
        <v>7.29116368005065</v>
      </c>
      <c r="AJ1020" s="20" t="n">
        <f aca="false">Operations!AJ1001*Operations!AJ983*(1-Operations!AJ1010)</f>
        <v>7.4034604680742</v>
      </c>
      <c r="AK1020" s="20" t="n">
        <f aca="false">Operations!AK1001*Operations!AK983*(1-Operations!AK1010)</f>
        <v>7.51758764327839</v>
      </c>
      <c r="AL1020" s="20" t="n">
        <f aca="false">Operations!AL1001*Operations!AL983*(1-Operations!AL1010)</f>
        <v>7.63351300899911</v>
      </c>
      <c r="AM1020" s="20" t="n">
        <f aca="false">Operations!AM1001*Operations!AM983*(1-Operations!AM1010)</f>
        <v>7.75120468179819</v>
      </c>
      <c r="AN1020" s="20" t="n">
        <f aca="false">Operations!AN1001*Operations!AN983*(1-Operations!AN1010)</f>
        <v>7.87063108902389</v>
      </c>
      <c r="AO1020" s="20" t="n">
        <f aca="false">Operations!AO1001*Operations!AO983*(1-Operations!AO1010)</f>
        <v>7.99176096638849</v>
      </c>
      <c r="AP1020" s="20" t="n">
        <f aca="false">Operations!AP1001*Operations!AP983*(1-Operations!AP1010)</f>
        <v>8.11456335556232</v>
      </c>
      <c r="AQ1020" s="20" t="n">
        <f aca="false">Operations!AQ1001*Operations!AQ983*(1-Operations!AQ1010)</f>
        <v>6.86288515250014</v>
      </c>
      <c r="AR1020" s="20" t="n">
        <f aca="false">Operations!AR1001*Operations!AR983*(1-Operations!AR1010)</f>
        <v>0</v>
      </c>
      <c r="AS1020" s="20" t="n">
        <f aca="false">Operations!AS1001*Operations!AS983*(1-Operations!AS1010)</f>
        <v>0</v>
      </c>
      <c r="AT1020" s="20" t="n">
        <f aca="false">Operations!AT1001*Operations!AT983*(1-Operations!AT1010)</f>
        <v>0</v>
      </c>
      <c r="AU1020" s="20" t="n">
        <f aca="false">Operations!AU1001*Operations!AU983*(1-Operations!AU1010)</f>
        <v>0</v>
      </c>
    </row>
    <row r="1021" customFormat="false" ht="15" hidden="false" customHeight="false" outlineLevel="0" collapsed="false">
      <c r="D1021" s="0" t="s">
        <v>626</v>
      </c>
      <c r="E1021" s="0" t="s">
        <v>47</v>
      </c>
      <c r="J1021" s="20" t="n">
        <f aca="false">Operations!J1000*Operations!J983*(1-Operations!J1010)</f>
        <v>7.2996760706407</v>
      </c>
      <c r="K1021" s="20" t="n">
        <f aca="false">Operations!K1000*Operations!K983*(1-Operations!K1010)</f>
        <v>8.88936540424185</v>
      </c>
      <c r="L1021" s="20" t="n">
        <f aca="false">Operations!L1000*Operations!L983*(1-Operations!L1010)</f>
        <v>8.07919933407487</v>
      </c>
      <c r="M1021" s="20" t="n">
        <f aca="false">Operations!M1000*Operations!M983*(1-Operations!M1010)</f>
        <v>8.2047334510783</v>
      </c>
      <c r="N1021" s="20" t="n">
        <f aca="false">Operations!N1000*Operations!N983*(1-Operations!N1010)</f>
        <v>8.24096333674505</v>
      </c>
      <c r="O1021" s="20" t="n">
        <f aca="false">Operations!O1000*Operations!O983*(1-Operations!O1010)</f>
        <v>6.66443027041329</v>
      </c>
      <c r="P1021" s="20" t="n">
        <f aca="false">Operations!P1000*Operations!P983*(1-Operations!P1010)</f>
        <v>6.69823118220689</v>
      </c>
      <c r="Q1021" s="20" t="n">
        <f aca="false">Operations!Q1000*Operations!Q983*(1-Operations!Q1010)</f>
        <v>6.6518306416414</v>
      </c>
      <c r="R1021" s="20" t="n">
        <f aca="false">Operations!R1000*Operations!R983*(1-Operations!R1010)</f>
        <v>6.60856830269976</v>
      </c>
      <c r="S1021" s="20" t="n">
        <f aca="false">Operations!S1000*Operations!S983*(1-Operations!S1010)</f>
        <v>6.51058855625441</v>
      </c>
      <c r="T1021" s="20" t="n">
        <f aca="false">Operations!T1000*Operations!T983*(1-Operations!T1010)</f>
        <v>6.40788433455162</v>
      </c>
      <c r="U1021" s="20" t="n">
        <f aca="false">Operations!U1000*Operations!U983*(1-Operations!U1010)</f>
        <v>6.30029934007027</v>
      </c>
      <c r="V1021" s="20" t="n">
        <f aca="false">Operations!V1000*Operations!V983*(1-Operations!V1010)</f>
        <v>6.1876806956721</v>
      </c>
      <c r="W1021" s="20" t="n">
        <f aca="false">Operations!W1000*Operations!W983*(1-Operations!W1010)</f>
        <v>6.06987890378713</v>
      </c>
      <c r="X1021" s="20" t="n">
        <f aca="false">Operations!X1000*Operations!X983*(1-Operations!X1010)</f>
        <v>6.16299318074003</v>
      </c>
      <c r="Y1021" s="20" t="n">
        <f aca="false">Operations!Y1000*Operations!Y983*(1-Operations!Y1010)</f>
        <v>6.25830143001376</v>
      </c>
      <c r="Z1021" s="20" t="n">
        <f aca="false">Operations!Z1000*Operations!Z983*(1-Operations!Z1010)</f>
        <v>6.35472091692535</v>
      </c>
      <c r="AA1021" s="20" t="n">
        <f aca="false">Operations!AA1000*Operations!AA983*(1-Operations!AA1010)</f>
        <v>6.45223028818776</v>
      </c>
      <c r="AB1021" s="20" t="n">
        <f aca="false">Operations!AB1000*Operations!AB983*(1-Operations!AB1010)</f>
        <v>6.55184590788098</v>
      </c>
      <c r="AC1021" s="20" t="n">
        <f aca="false">Operations!AC1000*Operations!AC983*(1-Operations!AC1010)</f>
        <v>6.6525000023665</v>
      </c>
      <c r="AD1021" s="20" t="n">
        <f aca="false">Operations!AD1000*Operations!AD983*(1-Operations!AD1010)</f>
        <v>6.75520010137834</v>
      </c>
      <c r="AE1021" s="20" t="n">
        <f aca="false">Operations!AE1000*Operations!AE983*(1-Operations!AE1010)</f>
        <v>6.8588883101795</v>
      </c>
      <c r="AF1021" s="20" t="n">
        <f aca="false">Operations!AF1000*Operations!AF983*(1-Operations!AF1010)</f>
        <v>6.96456339992188</v>
      </c>
      <c r="AG1021" s="20" t="n">
        <f aca="false">Operations!AG1000*Operations!AG983*(1-Operations!AG1010)</f>
        <v>7.07219163308649</v>
      </c>
      <c r="AH1021" s="20" t="n">
        <f aca="false">Operations!AH1000*Operations!AH983*(1-Operations!AH1010)</f>
        <v>7.18072979155409</v>
      </c>
      <c r="AI1021" s="20" t="n">
        <f aca="false">Operations!AI1000*Operations!AI983*(1-Operations!AI1010)</f>
        <v>7.29116368005065</v>
      </c>
      <c r="AJ1021" s="20" t="n">
        <f aca="false">Operations!AJ1000*Operations!AJ983*(1-Operations!AJ1010)</f>
        <v>7.4034604680742</v>
      </c>
      <c r="AK1021" s="20" t="n">
        <f aca="false">Operations!AK1000*Operations!AK983*(1-Operations!AK1010)</f>
        <v>7.51758764327839</v>
      </c>
      <c r="AL1021" s="20" t="n">
        <f aca="false">Operations!AL1000*Operations!AL983*(1-Operations!AL1010)</f>
        <v>7.63351300899911</v>
      </c>
      <c r="AM1021" s="20" t="n">
        <f aca="false">Operations!AM1000*Operations!AM983*(1-Operations!AM1010)</f>
        <v>7.75120468179819</v>
      </c>
      <c r="AN1021" s="20" t="n">
        <f aca="false">Operations!AN1000*Operations!AN983*(1-Operations!AN1010)</f>
        <v>7.87063108902389</v>
      </c>
      <c r="AO1021" s="20" t="n">
        <f aca="false">Operations!AO1000*Operations!AO983*(1-Operations!AO1010)</f>
        <v>7.99176096638849</v>
      </c>
      <c r="AP1021" s="20" t="n">
        <f aca="false">Operations!AP1000*Operations!AP983*(1-Operations!AP1010)</f>
        <v>8.11456335556232</v>
      </c>
      <c r="AQ1021" s="20" t="n">
        <f aca="false">Operations!AQ1000*Operations!AQ983*(1-Operations!AQ1010)</f>
        <v>6.86288515250014</v>
      </c>
      <c r="AR1021" s="20" t="n">
        <f aca="false">Operations!AR1000*Operations!AR983*(1-Operations!AR1010)</f>
        <v>0</v>
      </c>
      <c r="AS1021" s="20" t="n">
        <f aca="false">Operations!AS1000*Operations!AS983*(1-Operations!AS1010)</f>
        <v>0</v>
      </c>
      <c r="AT1021" s="20" t="n">
        <f aca="false">Operations!AT1000*Operations!AT983*(1-Operations!AT1010)</f>
        <v>0</v>
      </c>
      <c r="AU1021" s="20" t="n">
        <f aca="false">Operations!AU1000*Operations!AU983*(1-Operations!AU1010)</f>
        <v>0</v>
      </c>
    </row>
    <row r="1022" customFormat="false" ht="15" hidden="false" customHeight="false" outlineLevel="0" collapsed="false">
      <c r="D1022" s="19" t="s">
        <v>627</v>
      </c>
    </row>
    <row r="1023" customFormat="false" ht="15" hidden="false" customHeight="false" outlineLevel="0" collapsed="false">
      <c r="D1023" s="0" t="s">
        <v>628</v>
      </c>
      <c r="E1023" s="0" t="s">
        <v>458</v>
      </c>
      <c r="J1023" s="14" t="n">
        <f aca="false">MAX(0,MIN(Inputs!$F$134,Time!J$6)-MAX(Inputs!$F$133,Time!J$5))/Time!J$7</f>
        <v>1</v>
      </c>
      <c r="K1023" s="14" t="n">
        <f aca="false">MAX(0,MIN(Inputs!$F$134,Time!K$6)-MAX(Inputs!$F$133,Time!K$5))/Time!K$7</f>
        <v>1</v>
      </c>
      <c r="L1023" s="14" t="n">
        <f aca="false">MAX(0,MIN(Inputs!$F$134,Time!L$6)-MAX(Inputs!$F$133,Time!L$5))/Time!L$7</f>
        <v>1</v>
      </c>
      <c r="M1023" s="14" t="n">
        <f aca="false">MAX(0,MIN(Inputs!$F$134,Time!M$6)-MAX(Inputs!$F$133,Time!M$5))/Time!M$7</f>
        <v>1</v>
      </c>
      <c r="N1023" s="14" t="n">
        <f aca="false">MAX(0,MIN(Inputs!$F$134,Time!N$6)-MAX(Inputs!$F$133,Time!N$5))/Time!N$7</f>
        <v>1</v>
      </c>
      <c r="O1023" s="14" t="n">
        <f aca="false">MAX(0,MIN(Inputs!$F$134,Time!O$6)-MAX(Inputs!$F$133,Time!O$5))/Time!O$7</f>
        <v>1</v>
      </c>
      <c r="P1023" s="14" t="n">
        <f aca="false">MAX(0,MIN(Inputs!$F$134,Time!P$6)-MAX(Inputs!$F$133,Time!P$5))/Time!P$7</f>
        <v>1</v>
      </c>
      <c r="Q1023" s="14" t="n">
        <f aca="false">MAX(0,MIN(Inputs!$F$134,Time!Q$6)-MAX(Inputs!$F$133,Time!Q$5))/Time!Q$7</f>
        <v>1</v>
      </c>
      <c r="R1023" s="14" t="n">
        <f aca="false">MAX(0,MIN(Inputs!$F$134,Time!R$6)-MAX(Inputs!$F$133,Time!R$5))/Time!R$7</f>
        <v>1</v>
      </c>
      <c r="S1023" s="14" t="n">
        <f aca="false">MAX(0,MIN(Inputs!$F$134,Time!S$6)-MAX(Inputs!$F$133,Time!S$5))/Time!S$7</f>
        <v>1</v>
      </c>
      <c r="T1023" s="14" t="n">
        <f aca="false">MAX(0,MIN(Inputs!$F$134,Time!T$6)-MAX(Inputs!$F$133,Time!T$5))/Time!T$7</f>
        <v>1</v>
      </c>
      <c r="U1023" s="14" t="n">
        <f aca="false">MAX(0,MIN(Inputs!$F$134,Time!U$6)-MAX(Inputs!$F$133,Time!U$5))/Time!U$7</f>
        <v>1</v>
      </c>
      <c r="V1023" s="14" t="n">
        <f aca="false">MAX(0,MIN(Inputs!$F$134,Time!V$6)-MAX(Inputs!$F$133,Time!V$5))/Time!V$7</f>
        <v>1</v>
      </c>
      <c r="W1023" s="14" t="n">
        <f aca="false">MAX(0,MIN(Inputs!$F$134,Time!W$6)-MAX(Inputs!$F$133,Time!W$5))/Time!W$7</f>
        <v>1</v>
      </c>
      <c r="X1023" s="14" t="n">
        <f aca="false">MAX(0,MIN(Inputs!$F$134,Time!X$6)-MAX(Inputs!$F$133,Time!X$5))/Time!X$7</f>
        <v>1</v>
      </c>
      <c r="Y1023" s="14" t="n">
        <f aca="false">MAX(0,MIN(Inputs!$F$134,Time!Y$6)-MAX(Inputs!$F$133,Time!Y$5))/Time!Y$7</f>
        <v>1</v>
      </c>
      <c r="Z1023" s="14" t="n">
        <f aca="false">MAX(0,MIN(Inputs!$F$134,Time!Z$6)-MAX(Inputs!$F$133,Time!Z$5))/Time!Z$7</f>
        <v>1</v>
      </c>
      <c r="AA1023" s="14" t="n">
        <f aca="false">MAX(0,MIN(Inputs!$F$134,Time!AA$6)-MAX(Inputs!$F$133,Time!AA$5))/Time!AA$7</f>
        <v>1</v>
      </c>
      <c r="AB1023" s="14" t="n">
        <f aca="false">MAX(0,MIN(Inputs!$F$134,Time!AB$6)-MAX(Inputs!$F$133,Time!AB$5))/Time!AB$7</f>
        <v>1</v>
      </c>
      <c r="AC1023" s="14" t="n">
        <f aca="false">MAX(0,MIN(Inputs!$F$134,Time!AC$6)-MAX(Inputs!$F$133,Time!AC$5))/Time!AC$7</f>
        <v>1</v>
      </c>
      <c r="AD1023" s="14" t="n">
        <f aca="false">MAX(0,MIN(Inputs!$F$134,Time!AD$6)-MAX(Inputs!$F$133,Time!AD$5))/Time!AD$7</f>
        <v>1</v>
      </c>
      <c r="AE1023" s="14" t="n">
        <f aca="false">MAX(0,MIN(Inputs!$F$134,Time!AE$6)-MAX(Inputs!$F$133,Time!AE$5))/Time!AE$7</f>
        <v>1</v>
      </c>
      <c r="AF1023" s="14" t="n">
        <f aca="false">MAX(0,MIN(Inputs!$F$134,Time!AF$6)-MAX(Inputs!$F$133,Time!AF$5))/Time!AF$7</f>
        <v>1</v>
      </c>
      <c r="AG1023" s="14" t="n">
        <f aca="false">MAX(0,MIN(Inputs!$F$134,Time!AG$6)-MAX(Inputs!$F$133,Time!AG$5))/Time!AG$7</f>
        <v>1</v>
      </c>
      <c r="AH1023" s="14" t="n">
        <f aca="false">MAX(0,MIN(Inputs!$F$134,Time!AH$6)-MAX(Inputs!$F$133,Time!AH$5))/Time!AH$7</f>
        <v>1</v>
      </c>
      <c r="AI1023" s="14" t="n">
        <f aca="false">MAX(0,MIN(Inputs!$F$134,Time!AI$6)-MAX(Inputs!$F$133,Time!AI$5))/Time!AI$7</f>
        <v>1</v>
      </c>
      <c r="AJ1023" s="14" t="n">
        <f aca="false">MAX(0,MIN(Inputs!$F$134,Time!AJ$6)-MAX(Inputs!$F$133,Time!AJ$5))/Time!AJ$7</f>
        <v>1</v>
      </c>
      <c r="AK1023" s="14" t="n">
        <f aca="false">MAX(0,MIN(Inputs!$F$134,Time!AK$6)-MAX(Inputs!$F$133,Time!AK$5))/Time!AK$7</f>
        <v>1</v>
      </c>
      <c r="AL1023" s="14" t="n">
        <f aca="false">MAX(0,MIN(Inputs!$F$134,Time!AL$6)-MAX(Inputs!$F$133,Time!AL$5))/Time!AL$7</f>
        <v>1</v>
      </c>
      <c r="AM1023" s="14" t="n">
        <f aca="false">MAX(0,MIN(Inputs!$F$134,Time!AM$6)-MAX(Inputs!$F$133,Time!AM$5))/Time!AM$7</f>
        <v>1</v>
      </c>
      <c r="AN1023" s="14" t="n">
        <f aca="false">MAX(0,MIN(Inputs!$F$134,Time!AN$6)-MAX(Inputs!$F$133,Time!AN$5))/Time!AN$7</f>
        <v>1</v>
      </c>
      <c r="AO1023" s="14" t="n">
        <f aca="false">MAX(0,MIN(Inputs!$F$134,Time!AO$6)-MAX(Inputs!$F$133,Time!AO$5))/Time!AO$7</f>
        <v>1</v>
      </c>
      <c r="AP1023" s="14" t="n">
        <f aca="false">MAX(0,MIN(Inputs!$F$134,Time!AP$6)-MAX(Inputs!$F$133,Time!AP$5))/Time!AP$7</f>
        <v>1</v>
      </c>
      <c r="AQ1023" s="14" t="n">
        <f aca="false">MAX(0,MIN(Inputs!$F$134,Time!AQ$6)-MAX(Inputs!$F$133,Time!AQ$5))/Time!AQ$7</f>
        <v>1</v>
      </c>
      <c r="AR1023" s="14" t="n">
        <f aca="false">MAX(0,MIN(Inputs!$F$134,Time!AR$6)-MAX(Inputs!$F$133,Time!AR$5))/Time!AR$7</f>
        <v>0.497267759562842</v>
      </c>
      <c r="AS1023" s="14" t="n">
        <f aca="false">MAX(0,MIN(Inputs!$F$134,Time!AS$6)-MAX(Inputs!$F$133,Time!AS$5))/Time!AS$7</f>
        <v>0</v>
      </c>
      <c r="AT1023" s="14" t="n">
        <f aca="false">MAX(0,MIN(Inputs!$F$134,Time!AT$6)-MAX(Inputs!$F$133,Time!AT$5))/Time!AT$7</f>
        <v>0</v>
      </c>
      <c r="AU1023" s="14" t="n">
        <f aca="false">MAX(0,MIN(Inputs!$F$134,Time!AU$6)-MAX(Inputs!$F$133,Time!AU$5))/Time!AU$7</f>
        <v>0</v>
      </c>
    </row>
    <row r="1024" customFormat="false" ht="15" hidden="false" customHeight="false" outlineLevel="0" collapsed="false">
      <c r="D1024" s="0" t="s">
        <v>629</v>
      </c>
      <c r="E1024" s="0" t="s">
        <v>458</v>
      </c>
      <c r="J1024" s="14" t="n">
        <f aca="false">MAX(0,MIN(Inputs!$F$134,Time!J$6)-MAX(MAX(Inputs!$F$135,Inputs!$F$133),Time!J$5))/Time!J$7</f>
        <v>0.778082191780822</v>
      </c>
      <c r="K1024" s="14" t="n">
        <f aca="false">MAX(0,MIN(Inputs!$F$134,Time!K$6)-MAX(MAX(Inputs!$F$135,Inputs!$F$133),Time!K$5))/Time!K$7</f>
        <v>1</v>
      </c>
      <c r="L1024" s="14" t="n">
        <f aca="false">MAX(0,MIN(Inputs!$F$134,Time!L$6)-MAX(MAX(Inputs!$F$135,Inputs!$F$133),Time!L$5))/Time!L$7</f>
        <v>1</v>
      </c>
      <c r="M1024" s="14" t="n">
        <f aca="false">MAX(0,MIN(Inputs!$F$134,Time!M$6)-MAX(MAX(Inputs!$F$135,Inputs!$F$133),Time!M$5))/Time!M$7</f>
        <v>1</v>
      </c>
      <c r="N1024" s="14" t="n">
        <f aca="false">MAX(0,MIN(Inputs!$F$134,Time!N$6)-MAX(MAX(Inputs!$F$135,Inputs!$F$133),Time!N$5))/Time!N$7</f>
        <v>1</v>
      </c>
      <c r="O1024" s="14" t="n">
        <f aca="false">MAX(0,MIN(Inputs!$F$134,Time!O$6)-MAX(MAX(Inputs!$F$135,Inputs!$F$133),Time!O$5))/Time!O$7</f>
        <v>1</v>
      </c>
      <c r="P1024" s="14" t="n">
        <f aca="false">MAX(0,MIN(Inputs!$F$134,Time!P$6)-MAX(MAX(Inputs!$F$135,Inputs!$F$133),Time!P$5))/Time!P$7</f>
        <v>1</v>
      </c>
      <c r="Q1024" s="14" t="n">
        <f aca="false">MAX(0,MIN(Inputs!$F$134,Time!Q$6)-MAX(MAX(Inputs!$F$135,Inputs!$F$133),Time!Q$5))/Time!Q$7</f>
        <v>1</v>
      </c>
      <c r="R1024" s="14" t="n">
        <f aca="false">MAX(0,MIN(Inputs!$F$134,Time!R$6)-MAX(MAX(Inputs!$F$135,Inputs!$F$133),Time!R$5))/Time!R$7</f>
        <v>1</v>
      </c>
      <c r="S1024" s="14" t="n">
        <f aca="false">MAX(0,MIN(Inputs!$F$134,Time!S$6)-MAX(MAX(Inputs!$F$135,Inputs!$F$133),Time!S$5))/Time!S$7</f>
        <v>1</v>
      </c>
      <c r="T1024" s="14" t="n">
        <f aca="false">MAX(0,MIN(Inputs!$F$134,Time!T$6)-MAX(MAX(Inputs!$F$135,Inputs!$F$133),Time!T$5))/Time!T$7</f>
        <v>1</v>
      </c>
      <c r="U1024" s="14" t="n">
        <f aca="false">MAX(0,MIN(Inputs!$F$134,Time!U$6)-MAX(MAX(Inputs!$F$135,Inputs!$F$133),Time!U$5))/Time!U$7</f>
        <v>1</v>
      </c>
      <c r="V1024" s="14" t="n">
        <f aca="false">MAX(0,MIN(Inputs!$F$134,Time!V$6)-MAX(MAX(Inputs!$F$135,Inputs!$F$133),Time!V$5))/Time!V$7</f>
        <v>1</v>
      </c>
      <c r="W1024" s="14" t="n">
        <f aca="false">MAX(0,MIN(Inputs!$F$134,Time!W$6)-MAX(MAX(Inputs!$F$135,Inputs!$F$133),Time!W$5))/Time!W$7</f>
        <v>1</v>
      </c>
      <c r="X1024" s="14" t="n">
        <f aca="false">MAX(0,MIN(Inputs!$F$134,Time!X$6)-MAX(MAX(Inputs!$F$135,Inputs!$F$133),Time!X$5))/Time!X$7</f>
        <v>1</v>
      </c>
      <c r="Y1024" s="14" t="n">
        <f aca="false">MAX(0,MIN(Inputs!$F$134,Time!Y$6)-MAX(MAX(Inputs!$F$135,Inputs!$F$133),Time!Y$5))/Time!Y$7</f>
        <v>1</v>
      </c>
      <c r="Z1024" s="14" t="n">
        <f aca="false">MAX(0,MIN(Inputs!$F$134,Time!Z$6)-MAX(MAX(Inputs!$F$135,Inputs!$F$133),Time!Z$5))/Time!Z$7</f>
        <v>1</v>
      </c>
      <c r="AA1024" s="14" t="n">
        <f aca="false">MAX(0,MIN(Inputs!$F$134,Time!AA$6)-MAX(MAX(Inputs!$F$135,Inputs!$F$133),Time!AA$5))/Time!AA$7</f>
        <v>1</v>
      </c>
      <c r="AB1024" s="14" t="n">
        <f aca="false">MAX(0,MIN(Inputs!$F$134,Time!AB$6)-MAX(MAX(Inputs!$F$135,Inputs!$F$133),Time!AB$5))/Time!AB$7</f>
        <v>1</v>
      </c>
      <c r="AC1024" s="14" t="n">
        <f aca="false">MAX(0,MIN(Inputs!$F$134,Time!AC$6)-MAX(MAX(Inputs!$F$135,Inputs!$F$133),Time!AC$5))/Time!AC$7</f>
        <v>1</v>
      </c>
      <c r="AD1024" s="14" t="n">
        <f aca="false">MAX(0,MIN(Inputs!$F$134,Time!AD$6)-MAX(MAX(Inputs!$F$135,Inputs!$F$133),Time!AD$5))/Time!AD$7</f>
        <v>1</v>
      </c>
      <c r="AE1024" s="14" t="n">
        <f aca="false">MAX(0,MIN(Inputs!$F$134,Time!AE$6)-MAX(MAX(Inputs!$F$135,Inputs!$F$133),Time!AE$5))/Time!AE$7</f>
        <v>1</v>
      </c>
      <c r="AF1024" s="14" t="n">
        <f aca="false">MAX(0,MIN(Inputs!$F$134,Time!AF$6)-MAX(MAX(Inputs!$F$135,Inputs!$F$133),Time!AF$5))/Time!AF$7</f>
        <v>1</v>
      </c>
      <c r="AG1024" s="14" t="n">
        <f aca="false">MAX(0,MIN(Inputs!$F$134,Time!AG$6)-MAX(MAX(Inputs!$F$135,Inputs!$F$133),Time!AG$5))/Time!AG$7</f>
        <v>1</v>
      </c>
      <c r="AH1024" s="14" t="n">
        <f aca="false">MAX(0,MIN(Inputs!$F$134,Time!AH$6)-MAX(MAX(Inputs!$F$135,Inputs!$F$133),Time!AH$5))/Time!AH$7</f>
        <v>1</v>
      </c>
      <c r="AI1024" s="14" t="n">
        <f aca="false">MAX(0,MIN(Inputs!$F$134,Time!AI$6)-MAX(MAX(Inputs!$F$135,Inputs!$F$133),Time!AI$5))/Time!AI$7</f>
        <v>1</v>
      </c>
      <c r="AJ1024" s="14" t="n">
        <f aca="false">MAX(0,MIN(Inputs!$F$134,Time!AJ$6)-MAX(MAX(Inputs!$F$135,Inputs!$F$133),Time!AJ$5))/Time!AJ$7</f>
        <v>1</v>
      </c>
      <c r="AK1024" s="14" t="n">
        <f aca="false">MAX(0,MIN(Inputs!$F$134,Time!AK$6)-MAX(MAX(Inputs!$F$135,Inputs!$F$133),Time!AK$5))/Time!AK$7</f>
        <v>1</v>
      </c>
      <c r="AL1024" s="14" t="n">
        <f aca="false">MAX(0,MIN(Inputs!$F$134,Time!AL$6)-MAX(MAX(Inputs!$F$135,Inputs!$F$133),Time!AL$5))/Time!AL$7</f>
        <v>1</v>
      </c>
      <c r="AM1024" s="14" t="n">
        <f aca="false">MAX(0,MIN(Inputs!$F$134,Time!AM$6)-MAX(MAX(Inputs!$F$135,Inputs!$F$133),Time!AM$5))/Time!AM$7</f>
        <v>1</v>
      </c>
      <c r="AN1024" s="14" t="n">
        <f aca="false">MAX(0,MIN(Inputs!$F$134,Time!AN$6)-MAX(MAX(Inputs!$F$135,Inputs!$F$133),Time!AN$5))/Time!AN$7</f>
        <v>1</v>
      </c>
      <c r="AO1024" s="14" t="n">
        <f aca="false">MAX(0,MIN(Inputs!$F$134,Time!AO$6)-MAX(MAX(Inputs!$F$135,Inputs!$F$133),Time!AO$5))/Time!AO$7</f>
        <v>1</v>
      </c>
      <c r="AP1024" s="14" t="n">
        <f aca="false">MAX(0,MIN(Inputs!$F$134,Time!AP$6)-MAX(MAX(Inputs!$F$135,Inputs!$F$133),Time!AP$5))/Time!AP$7</f>
        <v>1</v>
      </c>
      <c r="AQ1024" s="14" t="n">
        <f aca="false">MAX(0,MIN(Inputs!$F$134,Time!AQ$6)-MAX(MAX(Inputs!$F$135,Inputs!$F$133),Time!AQ$5))/Time!AQ$7</f>
        <v>1</v>
      </c>
      <c r="AR1024" s="14" t="n">
        <f aca="false">MAX(0,MIN(Inputs!$F$134,Time!AR$6)-MAX(MAX(Inputs!$F$135,Inputs!$F$133),Time!AR$5))/Time!AR$7</f>
        <v>0.497267759562842</v>
      </c>
      <c r="AS1024" s="14" t="n">
        <f aca="false">MAX(0,MIN(Inputs!$F$134,Time!AS$6)-MAX(MAX(Inputs!$F$135,Inputs!$F$133),Time!AS$5))/Time!AS$7</f>
        <v>0</v>
      </c>
      <c r="AT1024" s="14" t="n">
        <f aca="false">MAX(0,MIN(Inputs!$F$134,Time!AT$6)-MAX(MAX(Inputs!$F$135,Inputs!$F$133),Time!AT$5))/Time!AT$7</f>
        <v>0</v>
      </c>
      <c r="AU1024" s="14" t="n">
        <f aca="false">MAX(0,MIN(Inputs!$F$134,Time!AU$6)-MAX(MAX(Inputs!$F$135,Inputs!$F$133),Time!AU$5))/Time!AU$7</f>
        <v>0</v>
      </c>
    </row>
    <row r="1025" customFormat="false" ht="15" hidden="false" customHeight="false" outlineLevel="0" collapsed="false">
      <c r="D1025" s="0" t="s">
        <v>630</v>
      </c>
      <c r="E1025" s="0" t="s">
        <v>458</v>
      </c>
      <c r="J1025" s="14" t="n">
        <f aca="false">IF(Operations!J1023&gt;0,Operations!J1024/Operations!J1023,0)</f>
        <v>0.778082191780822</v>
      </c>
      <c r="K1025" s="14" t="n">
        <f aca="false">IF(Operations!K1023&gt;0,Operations!K1024/Operations!K1023,0)</f>
        <v>1</v>
      </c>
      <c r="L1025" s="14" t="n">
        <f aca="false">IF(Operations!L1023&gt;0,Operations!L1024/Operations!L1023,0)</f>
        <v>1</v>
      </c>
      <c r="M1025" s="14" t="n">
        <f aca="false">IF(Operations!M1023&gt;0,Operations!M1024/Operations!M1023,0)</f>
        <v>1</v>
      </c>
      <c r="N1025" s="14" t="n">
        <f aca="false">IF(Operations!N1023&gt;0,Operations!N1024/Operations!N1023,0)</f>
        <v>1</v>
      </c>
      <c r="O1025" s="14" t="n">
        <f aca="false">IF(Operations!O1023&gt;0,Operations!O1024/Operations!O1023,0)</f>
        <v>1</v>
      </c>
      <c r="P1025" s="14" t="n">
        <f aca="false">IF(Operations!P1023&gt;0,Operations!P1024/Operations!P1023,0)</f>
        <v>1</v>
      </c>
      <c r="Q1025" s="14" t="n">
        <f aca="false">IF(Operations!Q1023&gt;0,Operations!Q1024/Operations!Q1023,0)</f>
        <v>1</v>
      </c>
      <c r="R1025" s="14" t="n">
        <f aca="false">IF(Operations!R1023&gt;0,Operations!R1024/Operations!R1023,0)</f>
        <v>1</v>
      </c>
      <c r="S1025" s="14" t="n">
        <f aca="false">IF(Operations!S1023&gt;0,Operations!S1024/Operations!S1023,0)</f>
        <v>1</v>
      </c>
      <c r="T1025" s="14" t="n">
        <f aca="false">IF(Operations!T1023&gt;0,Operations!T1024/Operations!T1023,0)</f>
        <v>1</v>
      </c>
      <c r="U1025" s="14" t="n">
        <f aca="false">IF(Operations!U1023&gt;0,Operations!U1024/Operations!U1023,0)</f>
        <v>1</v>
      </c>
      <c r="V1025" s="14" t="n">
        <f aca="false">IF(Operations!V1023&gt;0,Operations!V1024/Operations!V1023,0)</f>
        <v>1</v>
      </c>
      <c r="W1025" s="14" t="n">
        <f aca="false">IF(Operations!W1023&gt;0,Operations!W1024/Operations!W1023,0)</f>
        <v>1</v>
      </c>
      <c r="X1025" s="14" t="n">
        <f aca="false">IF(Operations!X1023&gt;0,Operations!X1024/Operations!X1023,0)</f>
        <v>1</v>
      </c>
      <c r="Y1025" s="14" t="n">
        <f aca="false">IF(Operations!Y1023&gt;0,Operations!Y1024/Operations!Y1023,0)</f>
        <v>1</v>
      </c>
      <c r="Z1025" s="14" t="n">
        <f aca="false">IF(Operations!Z1023&gt;0,Operations!Z1024/Operations!Z1023,0)</f>
        <v>1</v>
      </c>
      <c r="AA1025" s="14" t="n">
        <f aca="false">IF(Operations!AA1023&gt;0,Operations!AA1024/Operations!AA1023,0)</f>
        <v>1</v>
      </c>
      <c r="AB1025" s="14" t="n">
        <f aca="false">IF(Operations!AB1023&gt;0,Operations!AB1024/Operations!AB1023,0)</f>
        <v>1</v>
      </c>
      <c r="AC1025" s="14" t="n">
        <f aca="false">IF(Operations!AC1023&gt;0,Operations!AC1024/Operations!AC1023,0)</f>
        <v>1</v>
      </c>
      <c r="AD1025" s="14" t="n">
        <f aca="false">IF(Operations!AD1023&gt;0,Operations!AD1024/Operations!AD1023,0)</f>
        <v>1</v>
      </c>
      <c r="AE1025" s="14" t="n">
        <f aca="false">IF(Operations!AE1023&gt;0,Operations!AE1024/Operations!AE1023,0)</f>
        <v>1</v>
      </c>
      <c r="AF1025" s="14" t="n">
        <f aca="false">IF(Operations!AF1023&gt;0,Operations!AF1024/Operations!AF1023,0)</f>
        <v>1</v>
      </c>
      <c r="AG1025" s="14" t="n">
        <f aca="false">IF(Operations!AG1023&gt;0,Operations!AG1024/Operations!AG1023,0)</f>
        <v>1</v>
      </c>
      <c r="AH1025" s="14" t="n">
        <f aca="false">IF(Operations!AH1023&gt;0,Operations!AH1024/Operations!AH1023,0)</f>
        <v>1</v>
      </c>
      <c r="AI1025" s="14" t="n">
        <f aca="false">IF(Operations!AI1023&gt;0,Operations!AI1024/Operations!AI1023,0)</f>
        <v>1</v>
      </c>
      <c r="AJ1025" s="14" t="n">
        <f aca="false">IF(Operations!AJ1023&gt;0,Operations!AJ1024/Operations!AJ1023,0)</f>
        <v>1</v>
      </c>
      <c r="AK1025" s="14" t="n">
        <f aca="false">IF(Operations!AK1023&gt;0,Operations!AK1024/Operations!AK1023,0)</f>
        <v>1</v>
      </c>
      <c r="AL1025" s="14" t="n">
        <f aca="false">IF(Operations!AL1023&gt;0,Operations!AL1024/Operations!AL1023,0)</f>
        <v>1</v>
      </c>
      <c r="AM1025" s="14" t="n">
        <f aca="false">IF(Operations!AM1023&gt;0,Operations!AM1024/Operations!AM1023,0)</f>
        <v>1</v>
      </c>
      <c r="AN1025" s="14" t="n">
        <f aca="false">IF(Operations!AN1023&gt;0,Operations!AN1024/Operations!AN1023,0)</f>
        <v>1</v>
      </c>
      <c r="AO1025" s="14" t="n">
        <f aca="false">IF(Operations!AO1023&gt;0,Operations!AO1024/Operations!AO1023,0)</f>
        <v>1</v>
      </c>
      <c r="AP1025" s="14" t="n">
        <f aca="false">IF(Operations!AP1023&gt;0,Operations!AP1024/Operations!AP1023,0)</f>
        <v>1</v>
      </c>
      <c r="AQ1025" s="14" t="n">
        <f aca="false">IF(Operations!AQ1023&gt;0,Operations!AQ1024/Operations!AQ1023,0)</f>
        <v>1</v>
      </c>
      <c r="AR1025" s="14" t="n">
        <f aca="false">IF(Operations!AR1023&gt;0,Operations!AR1024/Operations!AR1023,0)</f>
        <v>1</v>
      </c>
      <c r="AS1025" s="14" t="n">
        <f aca="false">IF(Operations!AS1023&gt;0,Operations!AS1024/Operations!AS1023,0)</f>
        <v>0</v>
      </c>
      <c r="AT1025" s="14" t="n">
        <f aca="false">IF(Operations!AT1023&gt;0,Operations!AT1024/Operations!AT1023,0)</f>
        <v>0</v>
      </c>
      <c r="AU1025" s="14" t="n">
        <f aca="false">IF(Operations!AU1023&gt;0,Operations!AU1024/Operations!AU1023,0)</f>
        <v>0</v>
      </c>
    </row>
    <row r="1026" customFormat="false" ht="15" hidden="false" customHeight="false" outlineLevel="0" collapsed="false">
      <c r="D1026" s="0" t="s">
        <v>631</v>
      </c>
      <c r="E1026" s="0" t="s">
        <v>96</v>
      </c>
      <c r="J1026" s="18" t="n">
        <f aca="false">Operations!J843</f>
        <v>72.2128</v>
      </c>
      <c r="K1026" s="18" t="n">
        <f aca="false">Operations!K843</f>
        <v>59.2416</v>
      </c>
      <c r="L1026" s="18" t="n">
        <f aca="false">Operations!L843</f>
        <v>29.1368</v>
      </c>
      <c r="M1026" s="18" t="n">
        <f aca="false">Operations!M843</f>
        <v>38.5264</v>
      </c>
      <c r="N1026" s="18" t="n">
        <f aca="false">Operations!N843</f>
        <v>43.1728</v>
      </c>
      <c r="O1026" s="18" t="n">
        <f aca="false">Operations!O843</f>
        <v>45.7864</v>
      </c>
      <c r="P1026" s="18" t="n">
        <f aca="false">Operations!P843</f>
        <v>47.5288</v>
      </c>
      <c r="Q1026" s="18" t="n">
        <f aca="false">Operations!Q843</f>
        <v>48.7872</v>
      </c>
      <c r="R1026" s="18" t="n">
        <f aca="false">Operations!R843</f>
        <v>50.1424</v>
      </c>
      <c r="S1026" s="18" t="n">
        <f aca="false">Operations!S843</f>
        <v>51.14912</v>
      </c>
      <c r="T1026" s="18" t="n">
        <f aca="false">Operations!T843</f>
        <v>52.1752</v>
      </c>
      <c r="U1026" s="18" t="n">
        <f aca="false">Operations!U843</f>
        <v>53.22064</v>
      </c>
      <c r="V1026" s="18" t="n">
        <f aca="false">Operations!V843</f>
        <v>54.28544</v>
      </c>
      <c r="W1026" s="18" t="n">
        <f aca="false">Operations!W843</f>
        <v>55.3696</v>
      </c>
      <c r="X1026" s="18" t="n">
        <f aca="false">Operations!X843</f>
        <v>56.47312</v>
      </c>
      <c r="Y1026" s="18" t="n">
        <f aca="false">Operations!Y843</f>
        <v>57.60568</v>
      </c>
      <c r="Z1026" s="18" t="n">
        <f aca="false">Operations!Z843</f>
        <v>58.7576</v>
      </c>
      <c r="AA1026" s="18" t="n">
        <f aca="false">Operations!AA843</f>
        <v>59.92888</v>
      </c>
      <c r="AB1026" s="18" t="n">
        <f aca="false">Operations!AB843</f>
        <v>61.1292</v>
      </c>
      <c r="AC1026" s="18" t="n">
        <f aca="false">Operations!AC843</f>
        <v>62.34888</v>
      </c>
      <c r="AD1026" s="18" t="n">
        <f aca="false">Operations!AD843</f>
        <v>63.5976</v>
      </c>
      <c r="AE1026" s="18" t="n">
        <f aca="false">Operations!AE843</f>
        <v>64.86568</v>
      </c>
      <c r="AF1026" s="18" t="n">
        <f aca="false">Operations!AF843</f>
        <v>66.1628</v>
      </c>
      <c r="AG1026" s="18" t="n">
        <f aca="false">Operations!AG843</f>
        <v>67.48896</v>
      </c>
      <c r="AH1026" s="18" t="n">
        <f aca="false">Operations!AH843</f>
        <v>68.83448</v>
      </c>
      <c r="AI1026" s="18" t="n">
        <f aca="false">Operations!AI843</f>
        <v>70.20904</v>
      </c>
      <c r="AJ1026" s="18" t="n">
        <f aca="false">Operations!AJ843</f>
        <v>71.61264</v>
      </c>
      <c r="AK1026" s="18" t="n">
        <f aca="false">Operations!AK843</f>
        <v>73.04528</v>
      </c>
      <c r="AL1026" s="18" t="n">
        <f aca="false">Operations!AL843</f>
        <v>74.50696</v>
      </c>
      <c r="AM1026" s="18" t="n">
        <f aca="false">Operations!AM843</f>
        <v>75.99768</v>
      </c>
      <c r="AN1026" s="18" t="n">
        <f aca="false">Operations!AN843</f>
        <v>77.51744</v>
      </c>
      <c r="AO1026" s="18" t="n">
        <f aca="false">Operations!AO843</f>
        <v>79.06624</v>
      </c>
      <c r="AP1026" s="18" t="n">
        <f aca="false">Operations!AP843</f>
        <v>80.64408</v>
      </c>
      <c r="AQ1026" s="18" t="n">
        <f aca="false">Operations!AQ843</f>
        <v>82.26064</v>
      </c>
      <c r="AR1026" s="18" t="n">
        <f aca="false">Operations!AR843</f>
        <v>83.90624</v>
      </c>
      <c r="AS1026" s="18" t="n">
        <f aca="false">Operations!AS843</f>
        <v>85.58088</v>
      </c>
      <c r="AT1026" s="18" t="n">
        <f aca="false">Operations!AT843</f>
        <v>87.29424</v>
      </c>
      <c r="AU1026" s="18" t="n">
        <f aca="false">Operations!AU843</f>
        <v>89.03664</v>
      </c>
    </row>
    <row r="1027" customFormat="false" ht="15" hidden="false" customHeight="false" outlineLevel="0" collapsed="false">
      <c r="D1027" s="0" t="s">
        <v>632</v>
      </c>
      <c r="E1027" s="0" t="s">
        <v>27</v>
      </c>
      <c r="J1027" s="14" t="n">
        <f aca="false">CHOOSE(Operations!$F$837,1,Inputs!$F$139/100,Inputs!$F$140/100,Operations!$F$36/100)</f>
        <v>0.894721129837703</v>
      </c>
      <c r="K1027" s="14" t="n">
        <f aca="false">CHOOSE(Operations!$F$837,1,Inputs!$F$139/100,Inputs!$F$140/100,Operations!$F$36/100)</f>
        <v>0.894721129837703</v>
      </c>
      <c r="L1027" s="14" t="n">
        <f aca="false">CHOOSE(Operations!$F$837,1,Inputs!$F$139/100,Inputs!$F$140/100,Operations!$F$36/100)</f>
        <v>0.894721129837703</v>
      </c>
      <c r="M1027" s="14" t="n">
        <f aca="false">CHOOSE(Operations!$F$837,1,Inputs!$F$139/100,Inputs!$F$140/100,Operations!$F$36/100)</f>
        <v>0.894721129837703</v>
      </c>
      <c r="N1027" s="14" t="n">
        <f aca="false">CHOOSE(Operations!$F$837,1,Inputs!$F$139/100,Inputs!$F$140/100,Operations!$F$36/100)</f>
        <v>0.894721129837703</v>
      </c>
      <c r="O1027" s="14" t="n">
        <f aca="false">CHOOSE(Operations!$F$837,1,Inputs!$F$139/100,Inputs!$F$140/100,Operations!$F$36/100)</f>
        <v>0.894721129837703</v>
      </c>
      <c r="P1027" s="14" t="n">
        <f aca="false">CHOOSE(Operations!$F$837,1,Inputs!$F$139/100,Inputs!$F$140/100,Operations!$F$36/100)</f>
        <v>0.894721129837703</v>
      </c>
      <c r="Q1027" s="14" t="n">
        <f aca="false">CHOOSE(Operations!$F$837,1,Inputs!$F$139/100,Inputs!$F$140/100,Operations!$F$36/100)</f>
        <v>0.894721129837703</v>
      </c>
      <c r="R1027" s="14" t="n">
        <f aca="false">CHOOSE(Operations!$F$837,1,Inputs!$F$139/100,Inputs!$F$140/100,Operations!$F$36/100)</f>
        <v>0.894721129837703</v>
      </c>
      <c r="S1027" s="14" t="n">
        <f aca="false">CHOOSE(Operations!$F$837,1,Inputs!$F$139/100,Inputs!$F$140/100,Operations!$F$36/100)</f>
        <v>0.894721129837703</v>
      </c>
      <c r="T1027" s="14" t="n">
        <f aca="false">CHOOSE(Operations!$F$837,1,Inputs!$F$139/100,Inputs!$F$140/100,Operations!$F$36/100)</f>
        <v>0.894721129837703</v>
      </c>
      <c r="U1027" s="14" t="n">
        <f aca="false">CHOOSE(Operations!$F$837,1,Inputs!$F$139/100,Inputs!$F$140/100,Operations!$F$36/100)</f>
        <v>0.894721129837703</v>
      </c>
      <c r="V1027" s="14" t="n">
        <f aca="false">CHOOSE(Operations!$F$837,1,Inputs!$F$139/100,Inputs!$F$140/100,Operations!$F$36/100)</f>
        <v>0.894721129837703</v>
      </c>
      <c r="W1027" s="14" t="n">
        <f aca="false">CHOOSE(Operations!$F$837,1,Inputs!$F$139/100,Inputs!$F$140/100,Operations!$F$36/100)</f>
        <v>0.894721129837703</v>
      </c>
      <c r="X1027" s="14" t="n">
        <f aca="false">CHOOSE(Operations!$F$837,1,Inputs!$F$139/100,Inputs!$F$140/100,Operations!$F$36/100)</f>
        <v>0.894721129837703</v>
      </c>
      <c r="Y1027" s="14" t="n">
        <f aca="false">CHOOSE(Operations!$F$837,1,Inputs!$F$139/100,Inputs!$F$140/100,Operations!$F$36/100)</f>
        <v>0.894721129837703</v>
      </c>
      <c r="Z1027" s="14" t="n">
        <f aca="false">CHOOSE(Operations!$F$837,1,Inputs!$F$139/100,Inputs!$F$140/100,Operations!$F$36/100)</f>
        <v>0.894721129837703</v>
      </c>
      <c r="AA1027" s="14" t="n">
        <f aca="false">CHOOSE(Operations!$F$837,1,Inputs!$F$139/100,Inputs!$F$140/100,Operations!$F$36/100)</f>
        <v>0.894721129837703</v>
      </c>
      <c r="AB1027" s="14" t="n">
        <f aca="false">CHOOSE(Operations!$F$837,1,Inputs!$F$139/100,Inputs!$F$140/100,Operations!$F$36/100)</f>
        <v>0.894721129837703</v>
      </c>
      <c r="AC1027" s="14" t="n">
        <f aca="false">CHOOSE(Operations!$F$837,1,Inputs!$F$139/100,Inputs!$F$140/100,Operations!$F$36/100)</f>
        <v>0.894721129837703</v>
      </c>
      <c r="AD1027" s="14" t="n">
        <f aca="false">CHOOSE(Operations!$F$837,1,Inputs!$F$139/100,Inputs!$F$140/100,Operations!$F$36/100)</f>
        <v>0.894721129837703</v>
      </c>
      <c r="AE1027" s="14" t="n">
        <f aca="false">CHOOSE(Operations!$F$837,1,Inputs!$F$139/100,Inputs!$F$140/100,Operations!$F$36/100)</f>
        <v>0.894721129837703</v>
      </c>
      <c r="AF1027" s="14" t="n">
        <f aca="false">CHOOSE(Operations!$F$837,1,Inputs!$F$139/100,Inputs!$F$140/100,Operations!$F$36/100)</f>
        <v>0.894721129837703</v>
      </c>
      <c r="AG1027" s="14" t="n">
        <f aca="false">CHOOSE(Operations!$F$837,1,Inputs!$F$139/100,Inputs!$F$140/100,Operations!$F$36/100)</f>
        <v>0.894721129837703</v>
      </c>
      <c r="AH1027" s="14" t="n">
        <f aca="false">CHOOSE(Operations!$F$837,1,Inputs!$F$139/100,Inputs!$F$140/100,Operations!$F$36/100)</f>
        <v>0.894721129837703</v>
      </c>
      <c r="AI1027" s="14" t="n">
        <f aca="false">CHOOSE(Operations!$F$837,1,Inputs!$F$139/100,Inputs!$F$140/100,Operations!$F$36/100)</f>
        <v>0.894721129837703</v>
      </c>
      <c r="AJ1027" s="14" t="n">
        <f aca="false">CHOOSE(Operations!$F$837,1,Inputs!$F$139/100,Inputs!$F$140/100,Operations!$F$36/100)</f>
        <v>0.894721129837703</v>
      </c>
      <c r="AK1027" s="14" t="n">
        <f aca="false">CHOOSE(Operations!$F$837,1,Inputs!$F$139/100,Inputs!$F$140/100,Operations!$F$36/100)</f>
        <v>0.894721129837703</v>
      </c>
      <c r="AL1027" s="14" t="n">
        <f aca="false">CHOOSE(Operations!$F$837,1,Inputs!$F$139/100,Inputs!$F$140/100,Operations!$F$36/100)</f>
        <v>0.894721129837703</v>
      </c>
      <c r="AM1027" s="14" t="n">
        <f aca="false">CHOOSE(Operations!$F$837,1,Inputs!$F$139/100,Inputs!$F$140/100,Operations!$F$36/100)</f>
        <v>0.894721129837703</v>
      </c>
      <c r="AN1027" s="14" t="n">
        <f aca="false">CHOOSE(Operations!$F$837,1,Inputs!$F$139/100,Inputs!$F$140/100,Operations!$F$36/100)</f>
        <v>0.894721129837703</v>
      </c>
      <c r="AO1027" s="14" t="n">
        <f aca="false">CHOOSE(Operations!$F$837,1,Inputs!$F$139/100,Inputs!$F$140/100,Operations!$F$36/100)</f>
        <v>0.894721129837703</v>
      </c>
      <c r="AP1027" s="14" t="n">
        <f aca="false">CHOOSE(Operations!$F$837,1,Inputs!$F$139/100,Inputs!$F$140/100,Operations!$F$36/100)</f>
        <v>0.894721129837703</v>
      </c>
      <c r="AQ1027" s="14" t="n">
        <f aca="false">CHOOSE(Operations!$F$837,1,Inputs!$F$139/100,Inputs!$F$140/100,Operations!$F$36/100)</f>
        <v>0.894721129837703</v>
      </c>
      <c r="AR1027" s="14" t="n">
        <f aca="false">CHOOSE(Operations!$F$837,1,Inputs!$F$139/100,Inputs!$F$140/100,Operations!$F$36/100)</f>
        <v>0.894721129837703</v>
      </c>
      <c r="AS1027" s="14" t="n">
        <f aca="false">CHOOSE(Operations!$F$837,1,Inputs!$F$139/100,Inputs!$F$140/100,Operations!$F$36/100)</f>
        <v>0.894721129837703</v>
      </c>
      <c r="AT1027" s="14" t="n">
        <f aca="false">CHOOSE(Operations!$F$837,1,Inputs!$F$139/100,Inputs!$F$140/100,Operations!$F$36/100)</f>
        <v>0.894721129837703</v>
      </c>
      <c r="AU1027" s="14" t="n">
        <f aca="false">CHOOSE(Operations!$F$837,1,Inputs!$F$139/100,Inputs!$F$140/100,Operations!$F$36/100)</f>
        <v>0.894721129837703</v>
      </c>
    </row>
    <row r="1028" customFormat="false" ht="15" hidden="false" customHeight="false" outlineLevel="0" collapsed="false">
      <c r="D1028" s="0" t="s">
        <v>633</v>
      </c>
      <c r="E1028" s="0" t="s">
        <v>27</v>
      </c>
      <c r="J1028" s="14" t="n">
        <f aca="false">(1-Inputs!$F$141/100)^MAX(0,Time!J$4-Inputs!$F$142)</f>
        <v>1</v>
      </c>
      <c r="K1028" s="14" t="n">
        <f aca="false">(1-Inputs!$F$141/100)^MAX(0,Time!K$4-Inputs!$F$142)</f>
        <v>0.9955</v>
      </c>
      <c r="L1028" s="14" t="n">
        <f aca="false">(1-Inputs!$F$141/100)^MAX(0,Time!L$4-Inputs!$F$142)</f>
        <v>0.99102025</v>
      </c>
      <c r="M1028" s="14" t="n">
        <f aca="false">(1-Inputs!$F$141/100)^MAX(0,Time!M$4-Inputs!$F$142)</f>
        <v>0.986560658875</v>
      </c>
      <c r="N1028" s="14" t="n">
        <f aca="false">(1-Inputs!$F$141/100)^MAX(0,Time!N$4-Inputs!$F$142)</f>
        <v>0.982121135910063</v>
      </c>
      <c r="O1028" s="14" t="n">
        <f aca="false">(1-Inputs!$F$141/100)^MAX(0,Time!O$4-Inputs!$F$142)</f>
        <v>0.977701590798468</v>
      </c>
      <c r="P1028" s="14" t="n">
        <f aca="false">(1-Inputs!$F$141/100)^MAX(0,Time!P$4-Inputs!$F$142)</f>
        <v>0.973301933639874</v>
      </c>
      <c r="Q1028" s="14" t="n">
        <f aca="false">(1-Inputs!$F$141/100)^MAX(0,Time!Q$4-Inputs!$F$142)</f>
        <v>0.968922074938495</v>
      </c>
      <c r="R1028" s="14" t="n">
        <f aca="false">(1-Inputs!$F$141/100)^MAX(0,Time!R$4-Inputs!$F$142)</f>
        <v>0.964561925601272</v>
      </c>
      <c r="S1028" s="14" t="n">
        <f aca="false">(1-Inputs!$F$141/100)^MAX(0,Time!S$4-Inputs!$F$142)</f>
        <v>0.960221396936066</v>
      </c>
      <c r="T1028" s="14" t="n">
        <f aca="false">(1-Inputs!$F$141/100)^MAX(0,Time!T$4-Inputs!$F$142)</f>
        <v>0.955900400649854</v>
      </c>
      <c r="U1028" s="14" t="n">
        <f aca="false">(1-Inputs!$F$141/100)^MAX(0,Time!U$4-Inputs!$F$142)</f>
        <v>0.95159884884693</v>
      </c>
      <c r="V1028" s="14" t="n">
        <f aca="false">(1-Inputs!$F$141/100)^MAX(0,Time!V$4-Inputs!$F$142)</f>
        <v>0.947316654027119</v>
      </c>
      <c r="W1028" s="14" t="n">
        <f aca="false">(1-Inputs!$F$141/100)^MAX(0,Time!W$4-Inputs!$F$142)</f>
        <v>0.943053729083997</v>
      </c>
      <c r="X1028" s="14" t="n">
        <f aca="false">(1-Inputs!$F$141/100)^MAX(0,Time!X$4-Inputs!$F$142)</f>
        <v>0.938809987303119</v>
      </c>
      <c r="Y1028" s="14" t="n">
        <f aca="false">(1-Inputs!$F$141/100)^MAX(0,Time!Y$4-Inputs!$F$142)</f>
        <v>0.934585342360255</v>
      </c>
      <c r="Z1028" s="14" t="n">
        <f aca="false">(1-Inputs!$F$141/100)^MAX(0,Time!Z$4-Inputs!$F$142)</f>
        <v>0.930379708319634</v>
      </c>
      <c r="AA1028" s="14" t="n">
        <f aca="false">(1-Inputs!$F$141/100)^MAX(0,Time!AA$4-Inputs!$F$142)</f>
        <v>0.926192999632195</v>
      </c>
      <c r="AB1028" s="14" t="n">
        <f aca="false">(1-Inputs!$F$141/100)^MAX(0,Time!AB$4-Inputs!$F$142)</f>
        <v>0.92202513113385</v>
      </c>
      <c r="AC1028" s="14" t="n">
        <f aca="false">(1-Inputs!$F$141/100)^MAX(0,Time!AC$4-Inputs!$F$142)</f>
        <v>0.917876018043748</v>
      </c>
      <c r="AD1028" s="14" t="n">
        <f aca="false">(1-Inputs!$F$141/100)^MAX(0,Time!AD$4-Inputs!$F$142)</f>
        <v>0.913745575962551</v>
      </c>
      <c r="AE1028" s="14" t="n">
        <f aca="false">(1-Inputs!$F$141/100)^MAX(0,Time!AE$4-Inputs!$F$142)</f>
        <v>0.90963372087072</v>
      </c>
      <c r="AF1028" s="14" t="n">
        <f aca="false">(1-Inputs!$F$141/100)^MAX(0,Time!AF$4-Inputs!$F$142)</f>
        <v>0.905540369126802</v>
      </c>
      <c r="AG1028" s="14" t="n">
        <f aca="false">(1-Inputs!$F$141/100)^MAX(0,Time!AG$4-Inputs!$F$142)</f>
        <v>0.901465437465731</v>
      </c>
      <c r="AH1028" s="14" t="n">
        <f aca="false">(1-Inputs!$F$141/100)^MAX(0,Time!AH$4-Inputs!$F$142)</f>
        <v>0.897408842997135</v>
      </c>
      <c r="AI1028" s="14" t="n">
        <f aca="false">(1-Inputs!$F$141/100)^MAX(0,Time!AI$4-Inputs!$F$142)</f>
        <v>0.893370503203648</v>
      </c>
      <c r="AJ1028" s="14" t="n">
        <f aca="false">(1-Inputs!$F$141/100)^MAX(0,Time!AJ$4-Inputs!$F$142)</f>
        <v>0.889350335939232</v>
      </c>
      <c r="AK1028" s="14" t="n">
        <f aca="false">(1-Inputs!$F$141/100)^MAX(0,Time!AK$4-Inputs!$F$142)</f>
        <v>0.885348259427505</v>
      </c>
      <c r="AL1028" s="14" t="n">
        <f aca="false">(1-Inputs!$F$141/100)^MAX(0,Time!AL$4-Inputs!$F$142)</f>
        <v>0.881364192260082</v>
      </c>
      <c r="AM1028" s="14" t="n">
        <f aca="false">(1-Inputs!$F$141/100)^MAX(0,Time!AM$4-Inputs!$F$142)</f>
        <v>0.877398053394911</v>
      </c>
      <c r="AN1028" s="14" t="n">
        <f aca="false">(1-Inputs!$F$141/100)^MAX(0,Time!AN$4-Inputs!$F$142)</f>
        <v>0.873449762154634</v>
      </c>
      <c r="AO1028" s="14" t="n">
        <f aca="false">(1-Inputs!$F$141/100)^MAX(0,Time!AO$4-Inputs!$F$142)</f>
        <v>0.869519238224939</v>
      </c>
      <c r="AP1028" s="14" t="n">
        <f aca="false">(1-Inputs!$F$141/100)^MAX(0,Time!AP$4-Inputs!$F$142)</f>
        <v>0.865606401652926</v>
      </c>
      <c r="AQ1028" s="14" t="n">
        <f aca="false">(1-Inputs!$F$141/100)^MAX(0,Time!AQ$4-Inputs!$F$142)</f>
        <v>0.861711172845488</v>
      </c>
      <c r="AR1028" s="14" t="n">
        <f aca="false">(1-Inputs!$F$141/100)^MAX(0,Time!AR$4-Inputs!$F$142)</f>
        <v>0.857833472567684</v>
      </c>
      <c r="AS1028" s="14" t="n">
        <f aca="false">(1-Inputs!$F$141/100)^MAX(0,Time!AS$4-Inputs!$F$142)</f>
        <v>0.853973221941129</v>
      </c>
      <c r="AT1028" s="14" t="n">
        <f aca="false">(1-Inputs!$F$141/100)^MAX(0,Time!AT$4-Inputs!$F$142)</f>
        <v>0.850130342442394</v>
      </c>
      <c r="AU1028" s="14" t="n">
        <f aca="false">(1-Inputs!$F$141/100)^MAX(0,Time!AU$4-Inputs!$F$142)</f>
        <v>0.846304755901403</v>
      </c>
    </row>
    <row r="1029" customFormat="false" ht="15" hidden="false" customHeight="false" outlineLevel="0" collapsed="false">
      <c r="D1029" s="0" t="s">
        <v>634</v>
      </c>
      <c r="E1029" s="0" t="s">
        <v>458</v>
      </c>
      <c r="J1029" s="14" t="n">
        <f aca="false">(IF(Time!J$4&gt;=Inputs!$F$61,Inputs!$F$67,Inputs!$F$66+(Inputs!$F$67-Inputs!$F$66)*(Time!J$4-Inputs!$F$23)/(Inputs!$F$61-Inputs!$F$23))+Operations!$F$839)/100</f>
        <v>0.02</v>
      </c>
      <c r="K1029" s="14" t="n">
        <f aca="false">(IF(Time!K$4&gt;=Inputs!$F$61,Inputs!$F$67,Inputs!$F$66+(Inputs!$F$67-Inputs!$F$66)*(Time!K$4-Inputs!$F$23)/(Inputs!$F$61-Inputs!$F$23))+Operations!$F$839)/100</f>
        <v>0.025</v>
      </c>
      <c r="L1029" s="14" t="n">
        <f aca="false">(IF(Time!L$4&gt;=Inputs!$F$61,Inputs!$F$67,Inputs!$F$66+(Inputs!$F$67-Inputs!$F$66)*(Time!L$4-Inputs!$F$23)/(Inputs!$F$61-Inputs!$F$23))+Operations!$F$839)/100</f>
        <v>0.03</v>
      </c>
      <c r="M1029" s="14" t="n">
        <f aca="false">(IF(Time!M$4&gt;=Inputs!$F$61,Inputs!$F$67,Inputs!$F$66+(Inputs!$F$67-Inputs!$F$66)*(Time!M$4-Inputs!$F$23)/(Inputs!$F$61-Inputs!$F$23))+Operations!$F$839)/100</f>
        <v>0.035</v>
      </c>
      <c r="N1029" s="14" t="n">
        <f aca="false">(IF(Time!N$4&gt;=Inputs!$F$61,Inputs!$F$67,Inputs!$F$66+(Inputs!$F$67-Inputs!$F$66)*(Time!N$4-Inputs!$F$23)/(Inputs!$F$61-Inputs!$F$23))+Operations!$F$839)/100</f>
        <v>0.035</v>
      </c>
      <c r="O1029" s="14" t="n">
        <f aca="false">(IF(Time!O$4&gt;=Inputs!$F$61,Inputs!$F$67,Inputs!$F$66+(Inputs!$F$67-Inputs!$F$66)*(Time!O$4-Inputs!$F$23)/(Inputs!$F$61-Inputs!$F$23))+Operations!$F$839)/100</f>
        <v>0.035</v>
      </c>
      <c r="P1029" s="14" t="n">
        <f aca="false">(IF(Time!P$4&gt;=Inputs!$F$61,Inputs!$F$67,Inputs!$F$66+(Inputs!$F$67-Inputs!$F$66)*(Time!P$4-Inputs!$F$23)/(Inputs!$F$61-Inputs!$F$23))+Operations!$F$839)/100</f>
        <v>0.035</v>
      </c>
      <c r="Q1029" s="14" t="n">
        <f aca="false">(IF(Time!Q$4&gt;=Inputs!$F$61,Inputs!$F$67,Inputs!$F$66+(Inputs!$F$67-Inputs!$F$66)*(Time!Q$4-Inputs!$F$23)/(Inputs!$F$61-Inputs!$F$23))+Operations!$F$839)/100</f>
        <v>0.035</v>
      </c>
      <c r="R1029" s="14" t="n">
        <f aca="false">(IF(Time!R$4&gt;=Inputs!$F$61,Inputs!$F$67,Inputs!$F$66+(Inputs!$F$67-Inputs!$F$66)*(Time!R$4-Inputs!$F$23)/(Inputs!$F$61-Inputs!$F$23))+Operations!$F$839)/100</f>
        <v>0.035</v>
      </c>
      <c r="S1029" s="14" t="n">
        <f aca="false">(IF(Time!S$4&gt;=Inputs!$F$61,Inputs!$F$67,Inputs!$F$66+(Inputs!$F$67-Inputs!$F$66)*(Time!S$4-Inputs!$F$23)/(Inputs!$F$61-Inputs!$F$23))+Operations!$F$839)/100</f>
        <v>0.035</v>
      </c>
      <c r="T1029" s="14" t="n">
        <f aca="false">(IF(Time!T$4&gt;=Inputs!$F$61,Inputs!$F$67,Inputs!$F$66+(Inputs!$F$67-Inputs!$F$66)*(Time!T$4-Inputs!$F$23)/(Inputs!$F$61-Inputs!$F$23))+Operations!$F$839)/100</f>
        <v>0.035</v>
      </c>
      <c r="U1029" s="14" t="n">
        <f aca="false">(IF(Time!U$4&gt;=Inputs!$F$61,Inputs!$F$67,Inputs!$F$66+(Inputs!$F$67-Inputs!$F$66)*(Time!U$4-Inputs!$F$23)/(Inputs!$F$61-Inputs!$F$23))+Operations!$F$839)/100</f>
        <v>0.035</v>
      </c>
      <c r="V1029" s="14" t="n">
        <f aca="false">(IF(Time!V$4&gt;=Inputs!$F$61,Inputs!$F$67,Inputs!$F$66+(Inputs!$F$67-Inputs!$F$66)*(Time!V$4-Inputs!$F$23)/(Inputs!$F$61-Inputs!$F$23))+Operations!$F$839)/100</f>
        <v>0.035</v>
      </c>
      <c r="W1029" s="14" t="n">
        <f aca="false">(IF(Time!W$4&gt;=Inputs!$F$61,Inputs!$F$67,Inputs!$F$66+(Inputs!$F$67-Inputs!$F$66)*(Time!W$4-Inputs!$F$23)/(Inputs!$F$61-Inputs!$F$23))+Operations!$F$839)/100</f>
        <v>0.035</v>
      </c>
      <c r="X1029" s="14" t="n">
        <f aca="false">(IF(Time!X$4&gt;=Inputs!$F$61,Inputs!$F$67,Inputs!$F$66+(Inputs!$F$67-Inputs!$F$66)*(Time!X$4-Inputs!$F$23)/(Inputs!$F$61-Inputs!$F$23))+Operations!$F$839)/100</f>
        <v>0.035</v>
      </c>
      <c r="Y1029" s="14" t="n">
        <f aca="false">(IF(Time!Y$4&gt;=Inputs!$F$61,Inputs!$F$67,Inputs!$F$66+(Inputs!$F$67-Inputs!$F$66)*(Time!Y$4-Inputs!$F$23)/(Inputs!$F$61-Inputs!$F$23))+Operations!$F$839)/100</f>
        <v>0.035</v>
      </c>
      <c r="Z1029" s="14" t="n">
        <f aca="false">(IF(Time!Z$4&gt;=Inputs!$F$61,Inputs!$F$67,Inputs!$F$66+(Inputs!$F$67-Inputs!$F$66)*(Time!Z$4-Inputs!$F$23)/(Inputs!$F$61-Inputs!$F$23))+Operations!$F$839)/100</f>
        <v>0.035</v>
      </c>
      <c r="AA1029" s="14" t="n">
        <f aca="false">(IF(Time!AA$4&gt;=Inputs!$F$61,Inputs!$F$67,Inputs!$F$66+(Inputs!$F$67-Inputs!$F$66)*(Time!AA$4-Inputs!$F$23)/(Inputs!$F$61-Inputs!$F$23))+Operations!$F$839)/100</f>
        <v>0.035</v>
      </c>
      <c r="AB1029" s="14" t="n">
        <f aca="false">(IF(Time!AB$4&gt;=Inputs!$F$61,Inputs!$F$67,Inputs!$F$66+(Inputs!$F$67-Inputs!$F$66)*(Time!AB$4-Inputs!$F$23)/(Inputs!$F$61-Inputs!$F$23))+Operations!$F$839)/100</f>
        <v>0.035</v>
      </c>
      <c r="AC1029" s="14" t="n">
        <f aca="false">(IF(Time!AC$4&gt;=Inputs!$F$61,Inputs!$F$67,Inputs!$F$66+(Inputs!$F$67-Inputs!$F$66)*(Time!AC$4-Inputs!$F$23)/(Inputs!$F$61-Inputs!$F$23))+Operations!$F$839)/100</f>
        <v>0.035</v>
      </c>
      <c r="AD1029" s="14" t="n">
        <f aca="false">(IF(Time!AD$4&gt;=Inputs!$F$61,Inputs!$F$67,Inputs!$F$66+(Inputs!$F$67-Inputs!$F$66)*(Time!AD$4-Inputs!$F$23)/(Inputs!$F$61-Inputs!$F$23))+Operations!$F$839)/100</f>
        <v>0.035</v>
      </c>
      <c r="AE1029" s="14" t="n">
        <f aca="false">(IF(Time!AE$4&gt;=Inputs!$F$61,Inputs!$F$67,Inputs!$F$66+(Inputs!$F$67-Inputs!$F$66)*(Time!AE$4-Inputs!$F$23)/(Inputs!$F$61-Inputs!$F$23))+Operations!$F$839)/100</f>
        <v>0.035</v>
      </c>
      <c r="AF1029" s="14" t="n">
        <f aca="false">(IF(Time!AF$4&gt;=Inputs!$F$61,Inputs!$F$67,Inputs!$F$66+(Inputs!$F$67-Inputs!$F$66)*(Time!AF$4-Inputs!$F$23)/(Inputs!$F$61-Inputs!$F$23))+Operations!$F$839)/100</f>
        <v>0.035</v>
      </c>
      <c r="AG1029" s="14" t="n">
        <f aca="false">(IF(Time!AG$4&gt;=Inputs!$F$61,Inputs!$F$67,Inputs!$F$66+(Inputs!$F$67-Inputs!$F$66)*(Time!AG$4-Inputs!$F$23)/(Inputs!$F$61-Inputs!$F$23))+Operations!$F$839)/100</f>
        <v>0.035</v>
      </c>
      <c r="AH1029" s="14" t="n">
        <f aca="false">(IF(Time!AH$4&gt;=Inputs!$F$61,Inputs!$F$67,Inputs!$F$66+(Inputs!$F$67-Inputs!$F$66)*(Time!AH$4-Inputs!$F$23)/(Inputs!$F$61-Inputs!$F$23))+Operations!$F$839)/100</f>
        <v>0.035</v>
      </c>
      <c r="AI1029" s="14" t="n">
        <f aca="false">(IF(Time!AI$4&gt;=Inputs!$F$61,Inputs!$F$67,Inputs!$F$66+(Inputs!$F$67-Inputs!$F$66)*(Time!AI$4-Inputs!$F$23)/(Inputs!$F$61-Inputs!$F$23))+Operations!$F$839)/100</f>
        <v>0.035</v>
      </c>
      <c r="AJ1029" s="14" t="n">
        <f aca="false">(IF(Time!AJ$4&gt;=Inputs!$F$61,Inputs!$F$67,Inputs!$F$66+(Inputs!$F$67-Inputs!$F$66)*(Time!AJ$4-Inputs!$F$23)/(Inputs!$F$61-Inputs!$F$23))+Operations!$F$839)/100</f>
        <v>0.035</v>
      </c>
      <c r="AK1029" s="14" t="n">
        <f aca="false">(IF(Time!AK$4&gt;=Inputs!$F$61,Inputs!$F$67,Inputs!$F$66+(Inputs!$F$67-Inputs!$F$66)*(Time!AK$4-Inputs!$F$23)/(Inputs!$F$61-Inputs!$F$23))+Operations!$F$839)/100</f>
        <v>0.035</v>
      </c>
      <c r="AL1029" s="14" t="n">
        <f aca="false">(IF(Time!AL$4&gt;=Inputs!$F$61,Inputs!$F$67,Inputs!$F$66+(Inputs!$F$67-Inputs!$F$66)*(Time!AL$4-Inputs!$F$23)/(Inputs!$F$61-Inputs!$F$23))+Operations!$F$839)/100</f>
        <v>0.035</v>
      </c>
      <c r="AM1029" s="14" t="n">
        <f aca="false">(IF(Time!AM$4&gt;=Inputs!$F$61,Inputs!$F$67,Inputs!$F$66+(Inputs!$F$67-Inputs!$F$66)*(Time!AM$4-Inputs!$F$23)/(Inputs!$F$61-Inputs!$F$23))+Operations!$F$839)/100</f>
        <v>0.035</v>
      </c>
      <c r="AN1029" s="14" t="n">
        <f aca="false">(IF(Time!AN$4&gt;=Inputs!$F$61,Inputs!$F$67,Inputs!$F$66+(Inputs!$F$67-Inputs!$F$66)*(Time!AN$4-Inputs!$F$23)/(Inputs!$F$61-Inputs!$F$23))+Operations!$F$839)/100</f>
        <v>0.035</v>
      </c>
      <c r="AO1029" s="14" t="n">
        <f aca="false">(IF(Time!AO$4&gt;=Inputs!$F$61,Inputs!$F$67,Inputs!$F$66+(Inputs!$F$67-Inputs!$F$66)*(Time!AO$4-Inputs!$F$23)/(Inputs!$F$61-Inputs!$F$23))+Operations!$F$839)/100</f>
        <v>0.035</v>
      </c>
      <c r="AP1029" s="14" t="n">
        <f aca="false">(IF(Time!AP$4&gt;=Inputs!$F$61,Inputs!$F$67,Inputs!$F$66+(Inputs!$F$67-Inputs!$F$66)*(Time!AP$4-Inputs!$F$23)/(Inputs!$F$61-Inputs!$F$23))+Operations!$F$839)/100</f>
        <v>0.035</v>
      </c>
      <c r="AQ1029" s="14" t="n">
        <f aca="false">(IF(Time!AQ$4&gt;=Inputs!$F$61,Inputs!$F$67,Inputs!$F$66+(Inputs!$F$67-Inputs!$F$66)*(Time!AQ$4-Inputs!$F$23)/(Inputs!$F$61-Inputs!$F$23))+Operations!$F$839)/100</f>
        <v>0.035</v>
      </c>
      <c r="AR1029" s="14" t="n">
        <f aca="false">(IF(Time!AR$4&gt;=Inputs!$F$61,Inputs!$F$67,Inputs!$F$66+(Inputs!$F$67-Inputs!$F$66)*(Time!AR$4-Inputs!$F$23)/(Inputs!$F$61-Inputs!$F$23))+Operations!$F$839)/100</f>
        <v>0.035</v>
      </c>
      <c r="AS1029" s="14" t="n">
        <f aca="false">(IF(Time!AS$4&gt;=Inputs!$F$61,Inputs!$F$67,Inputs!$F$66+(Inputs!$F$67-Inputs!$F$66)*(Time!AS$4-Inputs!$F$23)/(Inputs!$F$61-Inputs!$F$23))+Operations!$F$839)/100</f>
        <v>0.035</v>
      </c>
      <c r="AT1029" s="14" t="n">
        <f aca="false">(IF(Time!AT$4&gt;=Inputs!$F$61,Inputs!$F$67,Inputs!$F$66+(Inputs!$F$67-Inputs!$F$66)*(Time!AT$4-Inputs!$F$23)/(Inputs!$F$61-Inputs!$F$23))+Operations!$F$839)/100</f>
        <v>0.035</v>
      </c>
      <c r="AU1029" s="14" t="n">
        <f aca="false">(IF(Time!AU$4&gt;=Inputs!$F$61,Inputs!$F$67,Inputs!$F$66+(Inputs!$F$67-Inputs!$F$66)*(Time!AU$4-Inputs!$F$23)/(Inputs!$F$61-Inputs!$F$23))+Operations!$F$839)/100</f>
        <v>0.035</v>
      </c>
    </row>
    <row r="1030" customFormat="false" ht="15" hidden="false" customHeight="false" outlineLevel="0" collapsed="false">
      <c r="D1030" s="0" t="s">
        <v>635</v>
      </c>
      <c r="E1030" s="0" t="s">
        <v>466</v>
      </c>
      <c r="J1030" s="20" t="n">
        <f aca="false">Inputs!$F$138*Operations!J1027*Inputs!$F$192/100*Operations!J1028*(1-Operations!J1029)</f>
        <v>396.501037014357</v>
      </c>
      <c r="K1030" s="20" t="n">
        <f aca="false">Inputs!$F$138*Operations!K1027*Inputs!$F$192/100*Operations!K1028*(1-Operations!K1029)</f>
        <v>392.702921213365</v>
      </c>
      <c r="L1030" s="20" t="n">
        <f aca="false">Inputs!$F$138*Operations!L1027*Inputs!$F$192/100*Operations!L1028*(1-Operations!L1029)</f>
        <v>388.930959308582</v>
      </c>
      <c r="M1030" s="20" t="n">
        <f aca="false">Inputs!$F$138*Operations!M1027*Inputs!$F$192/100*Operations!M1028*(1-Operations!M1029)</f>
        <v>385.184992826788</v>
      </c>
      <c r="N1030" s="20" t="n">
        <f aca="false">Inputs!$F$138*Operations!N1027*Inputs!$F$192/100*Operations!N1028*(1-Operations!N1029)</f>
        <v>383.451660359068</v>
      </c>
      <c r="O1030" s="20" t="n">
        <f aca="false">Inputs!$F$138*Operations!O1027*Inputs!$F$192/100*Operations!O1028*(1-Operations!O1029)</f>
        <v>381.726127887452</v>
      </c>
      <c r="P1030" s="20" t="n">
        <f aca="false">Inputs!$F$138*Operations!P1027*Inputs!$F$192/100*Operations!P1028*(1-Operations!P1029)</f>
        <v>380.008360311958</v>
      </c>
      <c r="Q1030" s="20" t="n">
        <f aca="false">Inputs!$F$138*Operations!Q1027*Inputs!$F$192/100*Operations!Q1028*(1-Operations!Q1029)</f>
        <v>378.298322690554</v>
      </c>
      <c r="R1030" s="20" t="n">
        <f aca="false">Inputs!$F$138*Operations!R1027*Inputs!$F$192/100*Operations!R1028*(1-Operations!R1029)</f>
        <v>376.595980238447</v>
      </c>
      <c r="S1030" s="20" t="n">
        <f aca="false">Inputs!$F$138*Operations!S1027*Inputs!$F$192/100*Operations!S1028*(1-Operations!S1029)</f>
        <v>374.901298327374</v>
      </c>
      <c r="T1030" s="20" t="n">
        <f aca="false">Inputs!$F$138*Operations!T1027*Inputs!$F$192/100*Operations!T1028*(1-Operations!T1029)</f>
        <v>373.214242484901</v>
      </c>
      <c r="U1030" s="20" t="n">
        <f aca="false">Inputs!$F$138*Operations!U1027*Inputs!$F$192/100*Operations!U1028*(1-Operations!U1029)</f>
        <v>371.534778393719</v>
      </c>
      <c r="V1030" s="20" t="n">
        <f aca="false">Inputs!$F$138*Operations!V1027*Inputs!$F$192/100*Operations!V1028*(1-Operations!V1029)</f>
        <v>369.862871890947</v>
      </c>
      <c r="W1030" s="20" t="n">
        <f aca="false">Inputs!$F$138*Operations!W1027*Inputs!$F$192/100*Operations!W1028*(1-Operations!W1029)</f>
        <v>368.198488967438</v>
      </c>
      <c r="X1030" s="20" t="n">
        <f aca="false">Inputs!$F$138*Operations!X1027*Inputs!$F$192/100*Operations!X1028*(1-Operations!X1029)</f>
        <v>366.541595767084</v>
      </c>
      <c r="Y1030" s="20" t="n">
        <f aca="false">Inputs!$F$138*Operations!Y1027*Inputs!$F$192/100*Operations!Y1028*(1-Operations!Y1029)</f>
        <v>364.892158586133</v>
      </c>
      <c r="Z1030" s="20" t="n">
        <f aca="false">Inputs!$F$138*Operations!Z1027*Inputs!$F$192/100*Operations!Z1028*(1-Operations!Z1029)</f>
        <v>363.250143872495</v>
      </c>
      <c r="AA1030" s="20" t="n">
        <f aca="false">Inputs!$F$138*Operations!AA1027*Inputs!$F$192/100*Operations!AA1028*(1-Operations!AA1029)</f>
        <v>361.615518225069</v>
      </c>
      <c r="AB1030" s="20" t="n">
        <f aca="false">Inputs!$F$138*Operations!AB1027*Inputs!$F$192/100*Operations!AB1028*(1-Operations!AB1029)</f>
        <v>359.988248393056</v>
      </c>
      <c r="AC1030" s="20" t="n">
        <f aca="false">Inputs!$F$138*Operations!AC1027*Inputs!$F$192/100*Operations!AC1028*(1-Operations!AC1029)</f>
        <v>358.368301275287</v>
      </c>
      <c r="AD1030" s="20" t="n">
        <f aca="false">Inputs!$F$138*Operations!AD1027*Inputs!$F$192/100*Operations!AD1028*(1-Operations!AD1029)</f>
        <v>356.755643919548</v>
      </c>
      <c r="AE1030" s="20" t="n">
        <f aca="false">Inputs!$F$138*Operations!AE1027*Inputs!$F$192/100*Operations!AE1028*(1-Operations!AE1029)</f>
        <v>355.15024352191</v>
      </c>
      <c r="AF1030" s="20" t="n">
        <f aca="false">Inputs!$F$138*Operations!AF1027*Inputs!$F$192/100*Operations!AF1028*(1-Operations!AF1029)</f>
        <v>353.552067426062</v>
      </c>
      <c r="AG1030" s="20" t="n">
        <f aca="false">Inputs!$F$138*Operations!AG1027*Inputs!$F$192/100*Operations!AG1028*(1-Operations!AG1029)</f>
        <v>351.961083122645</v>
      </c>
      <c r="AH1030" s="20" t="n">
        <f aca="false">Inputs!$F$138*Operations!AH1027*Inputs!$F$192/100*Operations!AH1028*(1-Operations!AH1029)</f>
        <v>350.377258248593</v>
      </c>
      <c r="AI1030" s="20" t="n">
        <f aca="false">Inputs!$F$138*Operations!AI1027*Inputs!$F$192/100*Operations!AI1028*(1-Operations!AI1029)</f>
        <v>348.800560586474</v>
      </c>
      <c r="AJ1030" s="20" t="n">
        <f aca="false">Inputs!$F$138*Operations!AJ1027*Inputs!$F$192/100*Operations!AJ1028*(1-Operations!AJ1029)</f>
        <v>347.230958063835</v>
      </c>
      <c r="AK1030" s="20" t="n">
        <f aca="false">Inputs!$F$138*Operations!AK1027*Inputs!$F$192/100*Operations!AK1028*(1-Operations!AK1029)</f>
        <v>345.668418752548</v>
      </c>
      <c r="AL1030" s="20" t="n">
        <f aca="false">Inputs!$F$138*Operations!AL1027*Inputs!$F$192/100*Operations!AL1028*(1-Operations!AL1029)</f>
        <v>344.112910868161</v>
      </c>
      <c r="AM1030" s="20" t="n">
        <f aca="false">Inputs!$F$138*Operations!AM1027*Inputs!$F$192/100*Operations!AM1028*(1-Operations!AM1029)</f>
        <v>342.564402769255</v>
      </c>
      <c r="AN1030" s="20" t="n">
        <f aca="false">Inputs!$F$138*Operations!AN1027*Inputs!$F$192/100*Operations!AN1028*(1-Operations!AN1029)</f>
        <v>341.022862956793</v>
      </c>
      <c r="AO1030" s="20" t="n">
        <f aca="false">Inputs!$F$138*Operations!AO1027*Inputs!$F$192/100*Operations!AO1028*(1-Operations!AO1029)</f>
        <v>339.488260073487</v>
      </c>
      <c r="AP1030" s="20" t="n">
        <f aca="false">Inputs!$F$138*Operations!AP1027*Inputs!$F$192/100*Operations!AP1028*(1-Operations!AP1029)</f>
        <v>337.960562903157</v>
      </c>
      <c r="AQ1030" s="20" t="n">
        <f aca="false">Inputs!$F$138*Operations!AQ1027*Inputs!$F$192/100*Operations!AQ1028*(1-Operations!AQ1029)</f>
        <v>336.439740370093</v>
      </c>
      <c r="AR1030" s="20" t="n">
        <f aca="false">Inputs!$F$138*Operations!AR1027*Inputs!$F$192/100*Operations!AR1028*(1-Operations!AR1029)</f>
        <v>334.925761538427</v>
      </c>
      <c r="AS1030" s="20" t="n">
        <f aca="false">Inputs!$F$138*Operations!AS1027*Inputs!$F$192/100*Operations!AS1028*(1-Operations!AS1029)</f>
        <v>333.418595611504</v>
      </c>
      <c r="AT1030" s="20" t="n">
        <f aca="false">Inputs!$F$138*Operations!AT1027*Inputs!$F$192/100*Operations!AT1028*(1-Operations!AT1029)</f>
        <v>331.918211931253</v>
      </c>
      <c r="AU1030" s="20" t="n">
        <f aca="false">Inputs!$F$138*Operations!AU1027*Inputs!$F$192/100*Operations!AU1028*(1-Operations!AU1029)</f>
        <v>330.424579977562</v>
      </c>
    </row>
    <row r="1031" customFormat="false" ht="15" hidden="false" customHeight="false" outlineLevel="0" collapsed="false">
      <c r="D1031" s="0" t="s">
        <v>636</v>
      </c>
      <c r="E1031" s="0" t="s">
        <v>466</v>
      </c>
      <c r="G1031" s="20" t="n">
        <f aca="false">SUM(J1031:AU1031)</f>
        <v>12513.4007646767</v>
      </c>
      <c r="J1031" s="20" t="n">
        <f aca="false">Operations!J1030*Operations!J1023</f>
        <v>396.501037014357</v>
      </c>
      <c r="K1031" s="20" t="n">
        <f aca="false">Operations!K1030*Operations!K1023</f>
        <v>392.702921213365</v>
      </c>
      <c r="L1031" s="20" t="n">
        <f aca="false">Operations!L1030*Operations!L1023</f>
        <v>388.930959308582</v>
      </c>
      <c r="M1031" s="20" t="n">
        <f aca="false">Operations!M1030*Operations!M1023</f>
        <v>385.184992826788</v>
      </c>
      <c r="N1031" s="20" t="n">
        <f aca="false">Operations!N1030*Operations!N1023</f>
        <v>383.451660359068</v>
      </c>
      <c r="O1031" s="20" t="n">
        <f aca="false">Operations!O1030*Operations!O1023</f>
        <v>381.726127887452</v>
      </c>
      <c r="P1031" s="20" t="n">
        <f aca="false">Operations!P1030*Operations!P1023</f>
        <v>380.008360311958</v>
      </c>
      <c r="Q1031" s="20" t="n">
        <f aca="false">Operations!Q1030*Operations!Q1023</f>
        <v>378.298322690554</v>
      </c>
      <c r="R1031" s="20" t="n">
        <f aca="false">Operations!R1030*Operations!R1023</f>
        <v>376.595980238447</v>
      </c>
      <c r="S1031" s="20" t="n">
        <f aca="false">Operations!S1030*Operations!S1023</f>
        <v>374.901298327374</v>
      </c>
      <c r="T1031" s="20" t="n">
        <f aca="false">Operations!T1030*Operations!T1023</f>
        <v>373.214242484901</v>
      </c>
      <c r="U1031" s="20" t="n">
        <f aca="false">Operations!U1030*Operations!U1023</f>
        <v>371.534778393719</v>
      </c>
      <c r="V1031" s="20" t="n">
        <f aca="false">Operations!V1030*Operations!V1023</f>
        <v>369.862871890947</v>
      </c>
      <c r="W1031" s="20" t="n">
        <f aca="false">Operations!W1030*Operations!W1023</f>
        <v>368.198488967438</v>
      </c>
      <c r="X1031" s="20" t="n">
        <f aca="false">Operations!X1030*Operations!X1023</f>
        <v>366.541595767084</v>
      </c>
      <c r="Y1031" s="20" t="n">
        <f aca="false">Operations!Y1030*Operations!Y1023</f>
        <v>364.892158586133</v>
      </c>
      <c r="Z1031" s="20" t="n">
        <f aca="false">Operations!Z1030*Operations!Z1023</f>
        <v>363.250143872495</v>
      </c>
      <c r="AA1031" s="20" t="n">
        <f aca="false">Operations!AA1030*Operations!AA1023</f>
        <v>361.615518225069</v>
      </c>
      <c r="AB1031" s="20" t="n">
        <f aca="false">Operations!AB1030*Operations!AB1023</f>
        <v>359.988248393056</v>
      </c>
      <c r="AC1031" s="20" t="n">
        <f aca="false">Operations!AC1030*Operations!AC1023</f>
        <v>358.368301275287</v>
      </c>
      <c r="AD1031" s="20" t="n">
        <f aca="false">Operations!AD1030*Operations!AD1023</f>
        <v>356.755643919548</v>
      </c>
      <c r="AE1031" s="20" t="n">
        <f aca="false">Operations!AE1030*Operations!AE1023</f>
        <v>355.15024352191</v>
      </c>
      <c r="AF1031" s="20" t="n">
        <f aca="false">Operations!AF1030*Operations!AF1023</f>
        <v>353.552067426062</v>
      </c>
      <c r="AG1031" s="20" t="n">
        <f aca="false">Operations!AG1030*Operations!AG1023</f>
        <v>351.961083122645</v>
      </c>
      <c r="AH1031" s="20" t="n">
        <f aca="false">Operations!AH1030*Operations!AH1023</f>
        <v>350.377258248593</v>
      </c>
      <c r="AI1031" s="20" t="n">
        <f aca="false">Operations!AI1030*Operations!AI1023</f>
        <v>348.800560586474</v>
      </c>
      <c r="AJ1031" s="20" t="n">
        <f aca="false">Operations!AJ1030*Operations!AJ1023</f>
        <v>347.230958063835</v>
      </c>
      <c r="AK1031" s="20" t="n">
        <f aca="false">Operations!AK1030*Operations!AK1023</f>
        <v>345.668418752548</v>
      </c>
      <c r="AL1031" s="20" t="n">
        <f aca="false">Operations!AL1030*Operations!AL1023</f>
        <v>344.112910868161</v>
      </c>
      <c r="AM1031" s="20" t="n">
        <f aca="false">Operations!AM1030*Operations!AM1023</f>
        <v>342.564402769255</v>
      </c>
      <c r="AN1031" s="20" t="n">
        <f aca="false">Operations!AN1030*Operations!AN1023</f>
        <v>341.022862956793</v>
      </c>
      <c r="AO1031" s="20" t="n">
        <f aca="false">Operations!AO1030*Operations!AO1023</f>
        <v>339.488260073487</v>
      </c>
      <c r="AP1031" s="20" t="n">
        <f aca="false">Operations!AP1030*Operations!AP1023</f>
        <v>337.960562903157</v>
      </c>
      <c r="AQ1031" s="20" t="n">
        <f aca="false">Operations!AQ1030*Operations!AQ1023</f>
        <v>336.439740370093</v>
      </c>
      <c r="AR1031" s="20" t="n">
        <f aca="false">Operations!AR1030*Operations!AR1023</f>
        <v>166.547783060092</v>
      </c>
      <c r="AS1031" s="20" t="n">
        <f aca="false">Operations!AS1030*Operations!AS1023</f>
        <v>0</v>
      </c>
      <c r="AT1031" s="20" t="n">
        <f aca="false">Operations!AT1030*Operations!AT1023</f>
        <v>0</v>
      </c>
      <c r="AU1031" s="20" t="n">
        <f aca="false">Operations!AU1030*Operations!AU1023</f>
        <v>0</v>
      </c>
    </row>
    <row r="1032" customFormat="false" ht="15" hidden="false" customHeight="false" outlineLevel="0" collapsed="false">
      <c r="D1032" s="0" t="s">
        <v>637</v>
      </c>
      <c r="E1032" s="0" t="s">
        <v>54</v>
      </c>
      <c r="J1032" s="14" t="n">
        <f aca="false">Operations!J849</f>
        <v>0.86</v>
      </c>
      <c r="K1032" s="14" t="n">
        <f aca="false">Operations!K849</f>
        <v>0.84</v>
      </c>
      <c r="L1032" s="14" t="n">
        <f aca="false">Operations!L849</f>
        <v>0.82</v>
      </c>
      <c r="M1032" s="14" t="n">
        <f aca="false">Operations!M849</f>
        <v>0.8</v>
      </c>
      <c r="N1032" s="14" t="n">
        <f aca="false">Operations!N849</f>
        <v>0.78</v>
      </c>
      <c r="O1032" s="14" t="n">
        <f aca="false">Operations!O849</f>
        <v>0.76</v>
      </c>
      <c r="P1032" s="14" t="n">
        <f aca="false">Operations!P849</f>
        <v>0.74</v>
      </c>
      <c r="Q1032" s="14" t="n">
        <f aca="false">Operations!Q849</f>
        <v>0.72</v>
      </c>
      <c r="R1032" s="14" t="n">
        <f aca="false">Operations!R849</f>
        <v>0.7</v>
      </c>
      <c r="S1032" s="14" t="n">
        <f aca="false">Operations!S849</f>
        <v>0.68</v>
      </c>
      <c r="T1032" s="14" t="n">
        <f aca="false">Operations!T849</f>
        <v>0.66</v>
      </c>
      <c r="U1032" s="14" t="n">
        <f aca="false">Operations!U849</f>
        <v>0.64</v>
      </c>
      <c r="V1032" s="14" t="n">
        <f aca="false">Operations!V849</f>
        <v>0.62</v>
      </c>
      <c r="W1032" s="14" t="n">
        <f aca="false">Operations!W849</f>
        <v>0.6</v>
      </c>
      <c r="X1032" s="14" t="n">
        <f aca="false">Operations!X849</f>
        <v>0.6</v>
      </c>
      <c r="Y1032" s="14" t="n">
        <f aca="false">Operations!Y849</f>
        <v>0.6</v>
      </c>
      <c r="Z1032" s="14" t="n">
        <f aca="false">Operations!Z849</f>
        <v>0.6</v>
      </c>
      <c r="AA1032" s="14" t="n">
        <f aca="false">Operations!AA849</f>
        <v>0.6</v>
      </c>
      <c r="AB1032" s="14" t="n">
        <f aca="false">Operations!AB849</f>
        <v>0.6</v>
      </c>
      <c r="AC1032" s="14" t="n">
        <f aca="false">Operations!AC849</f>
        <v>0.6</v>
      </c>
      <c r="AD1032" s="14" t="n">
        <f aca="false">Operations!AD849</f>
        <v>0.6</v>
      </c>
      <c r="AE1032" s="14" t="n">
        <f aca="false">Operations!AE849</f>
        <v>0.6</v>
      </c>
      <c r="AF1032" s="14" t="n">
        <f aca="false">Operations!AF849</f>
        <v>0.6</v>
      </c>
      <c r="AG1032" s="14" t="n">
        <f aca="false">Operations!AG849</f>
        <v>0.6</v>
      </c>
      <c r="AH1032" s="14" t="n">
        <f aca="false">Operations!AH849</f>
        <v>0.6</v>
      </c>
      <c r="AI1032" s="14" t="n">
        <f aca="false">Operations!AI849</f>
        <v>0.6</v>
      </c>
      <c r="AJ1032" s="14" t="n">
        <f aca="false">Operations!AJ849</f>
        <v>0.6</v>
      </c>
      <c r="AK1032" s="14" t="n">
        <f aca="false">Operations!AK849</f>
        <v>0.6</v>
      </c>
      <c r="AL1032" s="14" t="n">
        <f aca="false">Operations!AL849</f>
        <v>0.6</v>
      </c>
      <c r="AM1032" s="14" t="n">
        <f aca="false">Operations!AM849</f>
        <v>0.6</v>
      </c>
      <c r="AN1032" s="14" t="n">
        <f aca="false">Operations!AN849</f>
        <v>0.6</v>
      </c>
      <c r="AO1032" s="14" t="n">
        <f aca="false">Operations!AO849</f>
        <v>0.6</v>
      </c>
      <c r="AP1032" s="14" t="n">
        <f aca="false">Operations!AP849</f>
        <v>0.6</v>
      </c>
      <c r="AQ1032" s="14" t="n">
        <f aca="false">Operations!AQ849</f>
        <v>0.6</v>
      </c>
      <c r="AR1032" s="14" t="n">
        <f aca="false">Operations!AR849</f>
        <v>0.6</v>
      </c>
      <c r="AS1032" s="14" t="n">
        <f aca="false">Operations!AS849</f>
        <v>0.6</v>
      </c>
      <c r="AT1032" s="14" t="n">
        <f aca="false">Operations!AT849</f>
        <v>0.6</v>
      </c>
      <c r="AU1032" s="14" t="n">
        <f aca="false">Operations!AU849</f>
        <v>0.6</v>
      </c>
    </row>
    <row r="1033" customFormat="false" ht="15" hidden="false" customHeight="false" outlineLevel="0" collapsed="false">
      <c r="D1033" s="0" t="s">
        <v>638</v>
      </c>
      <c r="E1033" s="0" t="s">
        <v>54</v>
      </c>
      <c r="J1033" s="14" t="n">
        <f aca="false">Operations!J1032-Inputs!$F$52</f>
        <v>0.83</v>
      </c>
      <c r="K1033" s="14" t="n">
        <f aca="false">Operations!K1032-Inputs!$F$52</f>
        <v>0.81</v>
      </c>
      <c r="L1033" s="14" t="n">
        <f aca="false">Operations!L1032-Inputs!$F$52</f>
        <v>0.79</v>
      </c>
      <c r="M1033" s="14" t="n">
        <f aca="false">Operations!M1032-Inputs!$F$52</f>
        <v>0.77</v>
      </c>
      <c r="N1033" s="14" t="n">
        <f aca="false">Operations!N1032-Inputs!$F$52</f>
        <v>0.75</v>
      </c>
      <c r="O1033" s="14" t="n">
        <f aca="false">Operations!O1032-Inputs!$F$52</f>
        <v>0.73</v>
      </c>
      <c r="P1033" s="14" t="n">
        <f aca="false">Operations!P1032-Inputs!$F$52</f>
        <v>0.71</v>
      </c>
      <c r="Q1033" s="14" t="n">
        <f aca="false">Operations!Q1032-Inputs!$F$52</f>
        <v>0.69</v>
      </c>
      <c r="R1033" s="14" t="n">
        <f aca="false">Operations!R1032-Inputs!$F$52</f>
        <v>0.67</v>
      </c>
      <c r="S1033" s="14" t="n">
        <f aca="false">Operations!S1032-Inputs!$F$52</f>
        <v>0.65</v>
      </c>
      <c r="T1033" s="14" t="n">
        <f aca="false">Operations!T1032-Inputs!$F$52</f>
        <v>0.63</v>
      </c>
      <c r="U1033" s="14" t="n">
        <f aca="false">Operations!U1032-Inputs!$F$52</f>
        <v>0.61</v>
      </c>
      <c r="V1033" s="14" t="n">
        <f aca="false">Operations!V1032-Inputs!$F$52</f>
        <v>0.59</v>
      </c>
      <c r="W1033" s="14" t="n">
        <f aca="false">Operations!W1032-Inputs!$F$52</f>
        <v>0.57</v>
      </c>
      <c r="X1033" s="14" t="n">
        <f aca="false">Operations!X1032-Inputs!$F$52</f>
        <v>0.57</v>
      </c>
      <c r="Y1033" s="14" t="n">
        <f aca="false">Operations!Y1032-Inputs!$F$52</f>
        <v>0.57</v>
      </c>
      <c r="Z1033" s="14" t="n">
        <f aca="false">Operations!Z1032-Inputs!$F$52</f>
        <v>0.57</v>
      </c>
      <c r="AA1033" s="14" t="n">
        <f aca="false">Operations!AA1032-Inputs!$F$52</f>
        <v>0.57</v>
      </c>
      <c r="AB1033" s="14" t="n">
        <f aca="false">Operations!AB1032-Inputs!$F$52</f>
        <v>0.57</v>
      </c>
      <c r="AC1033" s="14" t="n">
        <f aca="false">Operations!AC1032-Inputs!$F$52</f>
        <v>0.57</v>
      </c>
      <c r="AD1033" s="14" t="n">
        <f aca="false">Operations!AD1032-Inputs!$F$52</f>
        <v>0.57</v>
      </c>
      <c r="AE1033" s="14" t="n">
        <f aca="false">Operations!AE1032-Inputs!$F$52</f>
        <v>0.57</v>
      </c>
      <c r="AF1033" s="14" t="n">
        <f aca="false">Operations!AF1032-Inputs!$F$52</f>
        <v>0.57</v>
      </c>
      <c r="AG1033" s="14" t="n">
        <f aca="false">Operations!AG1032-Inputs!$F$52</f>
        <v>0.57</v>
      </c>
      <c r="AH1033" s="14" t="n">
        <f aca="false">Operations!AH1032-Inputs!$F$52</f>
        <v>0.57</v>
      </c>
      <c r="AI1033" s="14" t="n">
        <f aca="false">Operations!AI1032-Inputs!$F$52</f>
        <v>0.57</v>
      </c>
      <c r="AJ1033" s="14" t="n">
        <f aca="false">Operations!AJ1032-Inputs!$F$52</f>
        <v>0.57</v>
      </c>
      <c r="AK1033" s="14" t="n">
        <f aca="false">Operations!AK1032-Inputs!$F$52</f>
        <v>0.57</v>
      </c>
      <c r="AL1033" s="14" t="n">
        <f aca="false">Operations!AL1032-Inputs!$F$52</f>
        <v>0.57</v>
      </c>
      <c r="AM1033" s="14" t="n">
        <f aca="false">Operations!AM1032-Inputs!$F$52</f>
        <v>0.57</v>
      </c>
      <c r="AN1033" s="14" t="n">
        <f aca="false">Operations!AN1032-Inputs!$F$52</f>
        <v>0.57</v>
      </c>
      <c r="AO1033" s="14" t="n">
        <f aca="false">Operations!AO1032-Inputs!$F$52</f>
        <v>0.57</v>
      </c>
      <c r="AP1033" s="14" t="n">
        <f aca="false">Operations!AP1032-Inputs!$F$52</f>
        <v>0.57</v>
      </c>
      <c r="AQ1033" s="14" t="n">
        <f aca="false">Operations!AQ1032-Inputs!$F$52</f>
        <v>0.57</v>
      </c>
      <c r="AR1033" s="14" t="n">
        <f aca="false">Operations!AR1032-Inputs!$F$52</f>
        <v>0.57</v>
      </c>
      <c r="AS1033" s="14" t="n">
        <f aca="false">Operations!AS1032-Inputs!$F$52</f>
        <v>0.57</v>
      </c>
      <c r="AT1033" s="14" t="n">
        <f aca="false">Operations!AT1032-Inputs!$F$52</f>
        <v>0.57</v>
      </c>
      <c r="AU1033" s="14" t="n">
        <f aca="false">Operations!AU1032-Inputs!$F$52</f>
        <v>0.57</v>
      </c>
    </row>
    <row r="1034" customFormat="false" ht="15" hidden="false" customHeight="false" outlineLevel="0" collapsed="false">
      <c r="D1034" s="0" t="s">
        <v>639</v>
      </c>
      <c r="E1034" s="0" t="s">
        <v>96</v>
      </c>
      <c r="J1034" s="18" t="n">
        <f aca="false">Operations!J1026*Operations!J1033</f>
        <v>59.936624</v>
      </c>
      <c r="K1034" s="18" t="n">
        <f aca="false">Operations!K1026*Operations!K1033</f>
        <v>47.985696</v>
      </c>
      <c r="L1034" s="18" t="n">
        <f aca="false">Operations!L1026*Operations!L1033</f>
        <v>23.018072</v>
      </c>
      <c r="M1034" s="18" t="n">
        <f aca="false">Operations!M1026*Operations!M1033</f>
        <v>29.665328</v>
      </c>
      <c r="N1034" s="18" t="n">
        <f aca="false">Operations!N1026*Operations!N1033</f>
        <v>32.3796</v>
      </c>
      <c r="O1034" s="18" t="n">
        <f aca="false">Operations!O1026*Operations!O1033</f>
        <v>33.424072</v>
      </c>
      <c r="P1034" s="18" t="n">
        <f aca="false">Operations!P1026*Operations!P1033</f>
        <v>33.745448</v>
      </c>
      <c r="Q1034" s="18" t="n">
        <f aca="false">Operations!Q1026*Operations!Q1033</f>
        <v>33.663168</v>
      </c>
      <c r="R1034" s="18" t="n">
        <f aca="false">Operations!R1026*Operations!R1033</f>
        <v>33.595408</v>
      </c>
      <c r="S1034" s="18" t="n">
        <f aca="false">Operations!S1026*Operations!S1033</f>
        <v>33.246928</v>
      </c>
      <c r="T1034" s="18" t="n">
        <f aca="false">Operations!T1026*Operations!T1033</f>
        <v>32.870376</v>
      </c>
      <c r="U1034" s="18" t="n">
        <f aca="false">Operations!U1026*Operations!U1033</f>
        <v>32.4645904</v>
      </c>
      <c r="V1034" s="18" t="n">
        <f aca="false">Operations!V1026*Operations!V1033</f>
        <v>32.0284096</v>
      </c>
      <c r="W1034" s="18" t="n">
        <f aca="false">Operations!W1026*Operations!W1033</f>
        <v>31.560672</v>
      </c>
      <c r="X1034" s="18" t="n">
        <f aca="false">Operations!X1026*Operations!X1033</f>
        <v>32.1896784</v>
      </c>
      <c r="Y1034" s="18" t="n">
        <f aca="false">Operations!Y1026*Operations!Y1033</f>
        <v>32.8352376</v>
      </c>
      <c r="Z1034" s="18" t="n">
        <f aca="false">Operations!Z1026*Operations!Z1033</f>
        <v>33.491832</v>
      </c>
      <c r="AA1034" s="18" t="n">
        <f aca="false">Operations!AA1026*Operations!AA1033</f>
        <v>34.1594616</v>
      </c>
      <c r="AB1034" s="18" t="n">
        <f aca="false">Operations!AB1026*Operations!AB1033</f>
        <v>34.843644</v>
      </c>
      <c r="AC1034" s="18" t="n">
        <f aca="false">Operations!AC1026*Operations!AC1033</f>
        <v>35.5388616</v>
      </c>
      <c r="AD1034" s="18" t="n">
        <f aca="false">Operations!AD1026*Operations!AD1033</f>
        <v>36.250632</v>
      </c>
      <c r="AE1034" s="18" t="n">
        <f aca="false">Operations!AE1026*Operations!AE1033</f>
        <v>36.9734376</v>
      </c>
      <c r="AF1034" s="18" t="n">
        <f aca="false">Operations!AF1026*Operations!AF1033</f>
        <v>37.712796</v>
      </c>
      <c r="AG1034" s="18" t="n">
        <f aca="false">Operations!AG1026*Operations!AG1033</f>
        <v>38.4687072</v>
      </c>
      <c r="AH1034" s="18" t="n">
        <f aca="false">Operations!AH1026*Operations!AH1033</f>
        <v>39.2356536</v>
      </c>
      <c r="AI1034" s="18" t="n">
        <f aca="false">Operations!AI1026*Operations!AI1033</f>
        <v>40.0191528</v>
      </c>
      <c r="AJ1034" s="18" t="n">
        <f aca="false">Operations!AJ1026*Operations!AJ1033</f>
        <v>40.8192048</v>
      </c>
      <c r="AK1034" s="18" t="n">
        <f aca="false">Operations!AK1026*Operations!AK1033</f>
        <v>41.6358096</v>
      </c>
      <c r="AL1034" s="18" t="n">
        <f aca="false">Operations!AL1026*Operations!AL1033</f>
        <v>42.4689672</v>
      </c>
      <c r="AM1034" s="18" t="n">
        <f aca="false">Operations!AM1026*Operations!AM1033</f>
        <v>43.3186776</v>
      </c>
      <c r="AN1034" s="18" t="n">
        <f aca="false">Operations!AN1026*Operations!AN1033</f>
        <v>44.1849408</v>
      </c>
      <c r="AO1034" s="18" t="n">
        <f aca="false">Operations!AO1026*Operations!AO1033</f>
        <v>45.0677568</v>
      </c>
      <c r="AP1034" s="18" t="n">
        <f aca="false">Operations!AP1026*Operations!AP1033</f>
        <v>45.9671256</v>
      </c>
      <c r="AQ1034" s="18" t="n">
        <f aca="false">Operations!AQ1026*Operations!AQ1033</f>
        <v>46.8885648</v>
      </c>
      <c r="AR1034" s="18" t="n">
        <f aca="false">Operations!AR1026*Operations!AR1033</f>
        <v>47.8265568</v>
      </c>
      <c r="AS1034" s="18" t="n">
        <f aca="false">Operations!AS1026*Operations!AS1033</f>
        <v>48.7811016</v>
      </c>
      <c r="AT1034" s="18" t="n">
        <f aca="false">Operations!AT1026*Operations!AT1033</f>
        <v>49.7577168</v>
      </c>
      <c r="AU1034" s="18" t="n">
        <f aca="false">Operations!AU1026*Operations!AU1033</f>
        <v>50.7508848</v>
      </c>
    </row>
    <row r="1035" customFormat="false" ht="15" hidden="false" customHeight="false" outlineLevel="0" collapsed="false">
      <c r="D1035" s="0" t="s">
        <v>640</v>
      </c>
      <c r="E1035" s="0" t="s">
        <v>458</v>
      </c>
      <c r="J1035" s="14" t="n">
        <f aca="false">MAX(0,MIN(Inputs!$F$212,Time!J$6)-MAX(Inputs!$F$133,Time!J$5))/Time!J$7</f>
        <v>1</v>
      </c>
      <c r="K1035" s="14" t="n">
        <f aca="false">MAX(0,MIN(Inputs!$F$212,Time!K$6)-MAX(Inputs!$F$133,Time!K$5))/Time!K$7</f>
        <v>1</v>
      </c>
      <c r="L1035" s="14" t="n">
        <f aca="false">MAX(0,MIN(Inputs!$F$212,Time!L$6)-MAX(Inputs!$F$133,Time!L$5))/Time!L$7</f>
        <v>1</v>
      </c>
      <c r="M1035" s="14" t="n">
        <f aca="false">MAX(0,MIN(Inputs!$F$212,Time!M$6)-MAX(Inputs!$F$133,Time!M$5))/Time!M$7</f>
        <v>1</v>
      </c>
      <c r="N1035" s="14" t="n">
        <f aca="false">MAX(0,MIN(Inputs!$F$212,Time!N$6)-MAX(Inputs!$F$133,Time!N$5))/Time!N$7</f>
        <v>1</v>
      </c>
      <c r="O1035" s="14" t="n">
        <f aca="false">MAX(0,MIN(Inputs!$F$212,Time!O$6)-MAX(Inputs!$F$133,Time!O$5))/Time!O$7</f>
        <v>1</v>
      </c>
      <c r="P1035" s="14" t="n">
        <f aca="false">MAX(0,MIN(Inputs!$F$212,Time!P$6)-MAX(Inputs!$F$133,Time!P$5))/Time!P$7</f>
        <v>1</v>
      </c>
      <c r="Q1035" s="14" t="n">
        <f aca="false">MAX(0,MIN(Inputs!$F$212,Time!Q$6)-MAX(Inputs!$F$133,Time!Q$5))/Time!Q$7</f>
        <v>1</v>
      </c>
      <c r="R1035" s="14" t="n">
        <f aca="false">MAX(0,MIN(Inputs!$F$212,Time!R$6)-MAX(Inputs!$F$133,Time!R$5))/Time!R$7</f>
        <v>1</v>
      </c>
      <c r="S1035" s="14" t="n">
        <f aca="false">MAX(0,MIN(Inputs!$F$212,Time!S$6)-MAX(Inputs!$F$133,Time!S$5))/Time!S$7</f>
        <v>1</v>
      </c>
      <c r="T1035" s="14" t="n">
        <f aca="false">MAX(0,MIN(Inputs!$F$212,Time!T$6)-MAX(Inputs!$F$133,Time!T$5))/Time!T$7</f>
        <v>1</v>
      </c>
      <c r="U1035" s="14" t="n">
        <f aca="false">MAX(0,MIN(Inputs!$F$212,Time!U$6)-MAX(Inputs!$F$133,Time!U$5))/Time!U$7</f>
        <v>0.495890410958904</v>
      </c>
      <c r="V1035" s="14" t="n">
        <f aca="false">MAX(0,MIN(Inputs!$F$212,Time!V$6)-MAX(Inputs!$F$133,Time!V$5))/Time!V$7</f>
        <v>0</v>
      </c>
      <c r="W1035" s="14" t="n">
        <f aca="false">MAX(0,MIN(Inputs!$F$212,Time!W$6)-MAX(Inputs!$F$133,Time!W$5))/Time!W$7</f>
        <v>0</v>
      </c>
      <c r="X1035" s="14" t="n">
        <f aca="false">MAX(0,MIN(Inputs!$F$212,Time!X$6)-MAX(Inputs!$F$133,Time!X$5))/Time!X$7</f>
        <v>0</v>
      </c>
      <c r="Y1035" s="14" t="n">
        <f aca="false">MAX(0,MIN(Inputs!$F$212,Time!Y$6)-MAX(Inputs!$F$133,Time!Y$5))/Time!Y$7</f>
        <v>0</v>
      </c>
      <c r="Z1035" s="14" t="n">
        <f aca="false">MAX(0,MIN(Inputs!$F$212,Time!Z$6)-MAX(Inputs!$F$133,Time!Z$5))/Time!Z$7</f>
        <v>0</v>
      </c>
      <c r="AA1035" s="14" t="n">
        <f aca="false">MAX(0,MIN(Inputs!$F$212,Time!AA$6)-MAX(Inputs!$F$133,Time!AA$5))/Time!AA$7</f>
        <v>0</v>
      </c>
      <c r="AB1035" s="14" t="n">
        <f aca="false">MAX(0,MIN(Inputs!$F$212,Time!AB$6)-MAX(Inputs!$F$133,Time!AB$5))/Time!AB$7</f>
        <v>0</v>
      </c>
      <c r="AC1035" s="14" t="n">
        <f aca="false">MAX(0,MIN(Inputs!$F$212,Time!AC$6)-MAX(Inputs!$F$133,Time!AC$5))/Time!AC$7</f>
        <v>0</v>
      </c>
      <c r="AD1035" s="14" t="n">
        <f aca="false">MAX(0,MIN(Inputs!$F$212,Time!AD$6)-MAX(Inputs!$F$133,Time!AD$5))/Time!AD$7</f>
        <v>0</v>
      </c>
      <c r="AE1035" s="14" t="n">
        <f aca="false">MAX(0,MIN(Inputs!$F$212,Time!AE$6)-MAX(Inputs!$F$133,Time!AE$5))/Time!AE$7</f>
        <v>0</v>
      </c>
      <c r="AF1035" s="14" t="n">
        <f aca="false">MAX(0,MIN(Inputs!$F$212,Time!AF$6)-MAX(Inputs!$F$133,Time!AF$5))/Time!AF$7</f>
        <v>0</v>
      </c>
      <c r="AG1035" s="14" t="n">
        <f aca="false">MAX(0,MIN(Inputs!$F$212,Time!AG$6)-MAX(Inputs!$F$133,Time!AG$5))/Time!AG$7</f>
        <v>0</v>
      </c>
      <c r="AH1035" s="14" t="n">
        <f aca="false">MAX(0,MIN(Inputs!$F$212,Time!AH$6)-MAX(Inputs!$F$133,Time!AH$5))/Time!AH$7</f>
        <v>0</v>
      </c>
      <c r="AI1035" s="14" t="n">
        <f aca="false">MAX(0,MIN(Inputs!$F$212,Time!AI$6)-MAX(Inputs!$F$133,Time!AI$5))/Time!AI$7</f>
        <v>0</v>
      </c>
      <c r="AJ1035" s="14" t="n">
        <f aca="false">MAX(0,MIN(Inputs!$F$212,Time!AJ$6)-MAX(Inputs!$F$133,Time!AJ$5))/Time!AJ$7</f>
        <v>0</v>
      </c>
      <c r="AK1035" s="14" t="n">
        <f aca="false">MAX(0,MIN(Inputs!$F$212,Time!AK$6)-MAX(Inputs!$F$133,Time!AK$5))/Time!AK$7</f>
        <v>0</v>
      </c>
      <c r="AL1035" s="14" t="n">
        <f aca="false">MAX(0,MIN(Inputs!$F$212,Time!AL$6)-MAX(Inputs!$F$133,Time!AL$5))/Time!AL$7</f>
        <v>0</v>
      </c>
      <c r="AM1035" s="14" t="n">
        <f aca="false">MAX(0,MIN(Inputs!$F$212,Time!AM$6)-MAX(Inputs!$F$133,Time!AM$5))/Time!AM$7</f>
        <v>0</v>
      </c>
      <c r="AN1035" s="14" t="n">
        <f aca="false">MAX(0,MIN(Inputs!$F$212,Time!AN$6)-MAX(Inputs!$F$133,Time!AN$5))/Time!AN$7</f>
        <v>0</v>
      </c>
      <c r="AO1035" s="14" t="n">
        <f aca="false">MAX(0,MIN(Inputs!$F$212,Time!AO$6)-MAX(Inputs!$F$133,Time!AO$5))/Time!AO$7</f>
        <v>0</v>
      </c>
      <c r="AP1035" s="14" t="n">
        <f aca="false">MAX(0,MIN(Inputs!$F$212,Time!AP$6)-MAX(Inputs!$F$133,Time!AP$5))/Time!AP$7</f>
        <v>0</v>
      </c>
      <c r="AQ1035" s="14" t="n">
        <f aca="false">MAX(0,MIN(Inputs!$F$212,Time!AQ$6)-MAX(Inputs!$F$133,Time!AQ$5))/Time!AQ$7</f>
        <v>0</v>
      </c>
      <c r="AR1035" s="14" t="n">
        <f aca="false">MAX(0,MIN(Inputs!$F$212,Time!AR$6)-MAX(Inputs!$F$133,Time!AR$5))/Time!AR$7</f>
        <v>0</v>
      </c>
      <c r="AS1035" s="14" t="n">
        <f aca="false">MAX(0,MIN(Inputs!$F$212,Time!AS$6)-MAX(Inputs!$F$133,Time!AS$5))/Time!AS$7</f>
        <v>0</v>
      </c>
      <c r="AT1035" s="14" t="n">
        <f aca="false">MAX(0,MIN(Inputs!$F$212,Time!AT$6)-MAX(Inputs!$F$133,Time!AT$5))/Time!AT$7</f>
        <v>0</v>
      </c>
      <c r="AU1035" s="14" t="n">
        <f aca="false">MAX(0,MIN(Inputs!$F$212,Time!AU$6)-MAX(Inputs!$F$133,Time!AU$5))/Time!AU$7</f>
        <v>0</v>
      </c>
    </row>
    <row r="1036" customFormat="false" ht="15" hidden="false" customHeight="false" outlineLevel="0" collapsed="false">
      <c r="D1036" s="0" t="s">
        <v>641</v>
      </c>
      <c r="E1036" s="0" t="s">
        <v>466</v>
      </c>
      <c r="J1036" s="20" t="n">
        <f aca="false">Operations!J1030*Operations!J1035</f>
        <v>396.501037014357</v>
      </c>
      <c r="K1036" s="20" t="n">
        <f aca="false">Operations!K1030*Operations!K1035</f>
        <v>392.702921213365</v>
      </c>
      <c r="L1036" s="20" t="n">
        <f aca="false">Operations!L1030*Operations!L1035</f>
        <v>388.930959308582</v>
      </c>
      <c r="M1036" s="20" t="n">
        <f aca="false">Operations!M1030*Operations!M1035</f>
        <v>385.184992826788</v>
      </c>
      <c r="N1036" s="20" t="n">
        <f aca="false">Operations!N1030*Operations!N1035</f>
        <v>383.451660359068</v>
      </c>
      <c r="O1036" s="20" t="n">
        <f aca="false">Operations!O1030*Operations!O1035</f>
        <v>381.726127887452</v>
      </c>
      <c r="P1036" s="20" t="n">
        <f aca="false">Operations!P1030*Operations!P1035</f>
        <v>380.008360311958</v>
      </c>
      <c r="Q1036" s="20" t="n">
        <f aca="false">Operations!Q1030*Operations!Q1035</f>
        <v>378.298322690554</v>
      </c>
      <c r="R1036" s="20" t="n">
        <f aca="false">Operations!R1030*Operations!R1035</f>
        <v>376.595980238447</v>
      </c>
      <c r="S1036" s="20" t="n">
        <f aca="false">Operations!S1030*Operations!S1035</f>
        <v>374.901298327374</v>
      </c>
      <c r="T1036" s="20" t="n">
        <f aca="false">Operations!T1030*Operations!T1035</f>
        <v>373.214242484901</v>
      </c>
      <c r="U1036" s="20" t="n">
        <f aca="false">Operations!U1030*Operations!U1035</f>
        <v>184.240533943187</v>
      </c>
      <c r="V1036" s="20" t="n">
        <f aca="false">Operations!V1030*Operations!V1035</f>
        <v>0</v>
      </c>
      <c r="W1036" s="20" t="n">
        <f aca="false">Operations!W1030*Operations!W1035</f>
        <v>0</v>
      </c>
      <c r="X1036" s="20" t="n">
        <f aca="false">Operations!X1030*Operations!X1035</f>
        <v>0</v>
      </c>
      <c r="Y1036" s="20" t="n">
        <f aca="false">Operations!Y1030*Operations!Y1035</f>
        <v>0</v>
      </c>
      <c r="Z1036" s="20" t="n">
        <f aca="false">Operations!Z1030*Operations!Z1035</f>
        <v>0</v>
      </c>
      <c r="AA1036" s="20" t="n">
        <f aca="false">Operations!AA1030*Operations!AA1035</f>
        <v>0</v>
      </c>
      <c r="AB1036" s="20" t="n">
        <f aca="false">Operations!AB1030*Operations!AB1035</f>
        <v>0</v>
      </c>
      <c r="AC1036" s="20" t="n">
        <f aca="false">Operations!AC1030*Operations!AC1035</f>
        <v>0</v>
      </c>
      <c r="AD1036" s="20" t="n">
        <f aca="false">Operations!AD1030*Operations!AD1035</f>
        <v>0</v>
      </c>
      <c r="AE1036" s="20" t="n">
        <f aca="false">Operations!AE1030*Operations!AE1035</f>
        <v>0</v>
      </c>
      <c r="AF1036" s="20" t="n">
        <f aca="false">Operations!AF1030*Operations!AF1035</f>
        <v>0</v>
      </c>
      <c r="AG1036" s="20" t="n">
        <f aca="false">Operations!AG1030*Operations!AG1035</f>
        <v>0</v>
      </c>
      <c r="AH1036" s="20" t="n">
        <f aca="false">Operations!AH1030*Operations!AH1035</f>
        <v>0</v>
      </c>
      <c r="AI1036" s="20" t="n">
        <f aca="false">Operations!AI1030*Operations!AI1035</f>
        <v>0</v>
      </c>
      <c r="AJ1036" s="20" t="n">
        <f aca="false">Operations!AJ1030*Operations!AJ1035</f>
        <v>0</v>
      </c>
      <c r="AK1036" s="20" t="n">
        <f aca="false">Operations!AK1030*Operations!AK1035</f>
        <v>0</v>
      </c>
      <c r="AL1036" s="20" t="n">
        <f aca="false">Operations!AL1030*Operations!AL1035</f>
        <v>0</v>
      </c>
      <c r="AM1036" s="20" t="n">
        <f aca="false">Operations!AM1030*Operations!AM1035</f>
        <v>0</v>
      </c>
      <c r="AN1036" s="20" t="n">
        <f aca="false">Operations!AN1030*Operations!AN1035</f>
        <v>0</v>
      </c>
      <c r="AO1036" s="20" t="n">
        <f aca="false">Operations!AO1030*Operations!AO1035</f>
        <v>0</v>
      </c>
      <c r="AP1036" s="20" t="n">
        <f aca="false">Operations!AP1030*Operations!AP1035</f>
        <v>0</v>
      </c>
      <c r="AQ1036" s="20" t="n">
        <f aca="false">Operations!AQ1030*Operations!AQ1035</f>
        <v>0</v>
      </c>
      <c r="AR1036" s="20" t="n">
        <f aca="false">Operations!AR1030*Operations!AR1035</f>
        <v>0</v>
      </c>
      <c r="AS1036" s="20" t="n">
        <f aca="false">Operations!AS1030*Operations!AS1035</f>
        <v>0</v>
      </c>
      <c r="AT1036" s="20" t="n">
        <f aca="false">Operations!AT1030*Operations!AT1035</f>
        <v>0</v>
      </c>
      <c r="AU1036" s="20" t="n">
        <f aca="false">Operations!AU1030*Operations!AU1035</f>
        <v>0</v>
      </c>
    </row>
    <row r="1037" customFormat="false" ht="15" hidden="false" customHeight="false" outlineLevel="0" collapsed="false">
      <c r="D1037" s="0" t="s">
        <v>642</v>
      </c>
      <c r="E1037" s="0" t="s">
        <v>47</v>
      </c>
      <c r="G1037" s="20" t="n">
        <f aca="false">SUM(J1037:AU1037)</f>
        <v>-41.1433238240735</v>
      </c>
      <c r="J1037" s="20" t="n">
        <f aca="false">Operations!J1036*(Inputs!$F$211-Operations!J1026*Operations!J1032)/1000</f>
        <v>-13.5813531928611</v>
      </c>
      <c r="K1037" s="20" t="n">
        <f aca="false">Operations!K1036*(Inputs!$F$211-Operations!K1026*Operations!K1032)/1000</f>
        <v>-8.60527712118488</v>
      </c>
      <c r="L1037" s="20" t="n">
        <f aca="false">Operations!L1036*(Inputs!$F$211-Operations!L1026*Operations!L1032)/1000</f>
        <v>1.53932028509453</v>
      </c>
      <c r="M1037" s="20" t="n">
        <f aca="false">Operations!M1036*(Inputs!$F$211-Operations!M1026*Operations!M1032)/1000</f>
        <v>-1.14443083588752</v>
      </c>
      <c r="N1037" s="20" t="n">
        <f aca="false">Operations!N1036*(Inputs!$F$211-Operations!N1026*Operations!N1032)/1000</f>
        <v>-2.23352309603293</v>
      </c>
      <c r="O1037" s="20" t="n">
        <f aca="false">Operations!O1036*(Inputs!$F$211-Operations!O1026*Operations!O1032)/1000</f>
        <v>-2.65210487658304</v>
      </c>
      <c r="P1037" s="20" t="n">
        <f aca="false">Operations!P1036*(Inputs!$F$211-Operations!P1026*Operations!P1032)/1000</f>
        <v>-2.78215976845226</v>
      </c>
      <c r="Q1037" s="20" t="n">
        <f aca="false">Operations!Q1036*(Inputs!$F$211-Operations!Q1026*Operations!Q1032)/1000</f>
        <v>-2.75279518178146</v>
      </c>
      <c r="R1037" s="20" t="n">
        <f aca="false">Operations!R1036*(Inputs!$F$211-Operations!R1026*Operations!R1032)/1000</f>
        <v>-2.73020034601506</v>
      </c>
      <c r="S1037" s="20" t="n">
        <f aca="false">Operations!S1036*(Inputs!$F$211-Operations!S1026*Operations!S1032)/1000</f>
        <v>-2.59859145906844</v>
      </c>
      <c r="T1037" s="20" t="n">
        <f aca="false">Operations!T1036*(Inputs!$F$211-Operations!T1026*Operations!T1032)/1000</f>
        <v>-2.45785165816432</v>
      </c>
      <c r="U1037" s="20" t="n">
        <f aca="false">Operations!U1036*(Inputs!$F$211-Operations!U1026*Operations!U1032)/1000</f>
        <v>-1.14435657313705</v>
      </c>
      <c r="V1037" s="20" t="n">
        <f aca="false">Operations!V1036*(Inputs!$F$211-Operations!V1026*Operations!V1032)/1000</f>
        <v>-0</v>
      </c>
      <c r="W1037" s="20" t="n">
        <f aca="false">Operations!W1036*(Inputs!$F$211-Operations!W1026*Operations!W1032)/1000</f>
        <v>-0</v>
      </c>
      <c r="X1037" s="20" t="n">
        <f aca="false">Operations!X1036*(Inputs!$F$211-Operations!X1026*Operations!X1032)/1000</f>
        <v>-0</v>
      </c>
      <c r="Y1037" s="20" t="n">
        <f aca="false">Operations!Y1036*(Inputs!$F$211-Operations!Y1026*Operations!Y1032)/1000</f>
        <v>-0</v>
      </c>
      <c r="Z1037" s="20" t="n">
        <f aca="false">Operations!Z1036*(Inputs!$F$211-Operations!Z1026*Operations!Z1032)/1000</f>
        <v>-0</v>
      </c>
      <c r="AA1037" s="20" t="n">
        <f aca="false">Operations!AA1036*(Inputs!$F$211-Operations!AA1026*Operations!AA1032)/1000</f>
        <v>-0</v>
      </c>
      <c r="AB1037" s="20" t="n">
        <f aca="false">Operations!AB1036*(Inputs!$F$211-Operations!AB1026*Operations!AB1032)/1000</f>
        <v>-0</v>
      </c>
      <c r="AC1037" s="20" t="n">
        <f aca="false">Operations!AC1036*(Inputs!$F$211-Operations!AC1026*Operations!AC1032)/1000</f>
        <v>-0</v>
      </c>
      <c r="AD1037" s="20" t="n">
        <f aca="false">Operations!AD1036*(Inputs!$F$211-Operations!AD1026*Operations!AD1032)/1000</f>
        <v>-0</v>
      </c>
      <c r="AE1037" s="20" t="n">
        <f aca="false">Operations!AE1036*(Inputs!$F$211-Operations!AE1026*Operations!AE1032)/1000</f>
        <v>-0</v>
      </c>
      <c r="AF1037" s="20" t="n">
        <f aca="false">Operations!AF1036*(Inputs!$F$211-Operations!AF1026*Operations!AF1032)/1000</f>
        <v>-0</v>
      </c>
      <c r="AG1037" s="20" t="n">
        <f aca="false">Operations!AG1036*(Inputs!$F$211-Operations!AG1026*Operations!AG1032)/1000</f>
        <v>-0</v>
      </c>
      <c r="AH1037" s="20" t="n">
        <f aca="false">Operations!AH1036*(Inputs!$F$211-Operations!AH1026*Operations!AH1032)/1000</f>
        <v>-0</v>
      </c>
      <c r="AI1037" s="20" t="n">
        <f aca="false">Operations!AI1036*(Inputs!$F$211-Operations!AI1026*Operations!AI1032)/1000</f>
        <v>-0</v>
      </c>
      <c r="AJ1037" s="20" t="n">
        <f aca="false">Operations!AJ1036*(Inputs!$F$211-Operations!AJ1026*Operations!AJ1032)/1000</f>
        <v>-0</v>
      </c>
      <c r="AK1037" s="20" t="n">
        <f aca="false">Operations!AK1036*(Inputs!$F$211-Operations!AK1026*Operations!AK1032)/1000</f>
        <v>-0</v>
      </c>
      <c r="AL1037" s="20" t="n">
        <f aca="false">Operations!AL1036*(Inputs!$F$211-Operations!AL1026*Operations!AL1032)/1000</f>
        <v>-0</v>
      </c>
      <c r="AM1037" s="20" t="n">
        <f aca="false">Operations!AM1036*(Inputs!$F$211-Operations!AM1026*Operations!AM1032)/1000</f>
        <v>-0</v>
      </c>
      <c r="AN1037" s="20" t="n">
        <f aca="false">Operations!AN1036*(Inputs!$F$211-Operations!AN1026*Operations!AN1032)/1000</f>
        <v>-0</v>
      </c>
      <c r="AO1037" s="20" t="n">
        <f aca="false">Operations!AO1036*(Inputs!$F$211-Operations!AO1026*Operations!AO1032)/1000</f>
        <v>-0</v>
      </c>
      <c r="AP1037" s="20" t="n">
        <f aca="false">Operations!AP1036*(Inputs!$F$211-Operations!AP1026*Operations!AP1032)/1000</f>
        <v>-0</v>
      </c>
      <c r="AQ1037" s="20" t="n">
        <f aca="false">Operations!AQ1036*(Inputs!$F$211-Operations!AQ1026*Operations!AQ1032)/1000</f>
        <v>-0</v>
      </c>
      <c r="AR1037" s="20" t="n">
        <f aca="false">Operations!AR1036*(Inputs!$F$211-Operations!AR1026*Operations!AR1032)/1000</f>
        <v>-0</v>
      </c>
      <c r="AS1037" s="20" t="n">
        <f aca="false">Operations!AS1036*(Inputs!$F$211-Operations!AS1026*Operations!AS1032)/1000</f>
        <v>-0</v>
      </c>
      <c r="AT1037" s="20" t="n">
        <f aca="false">Operations!AT1036*(Inputs!$F$211-Operations!AT1026*Operations!AT1032)/1000</f>
        <v>-0</v>
      </c>
      <c r="AU1037" s="20" t="n">
        <f aca="false">Operations!AU1036*(Inputs!$F$211-Operations!AU1026*Operations!AU1032)/1000</f>
        <v>-0</v>
      </c>
    </row>
    <row r="1038" customFormat="false" ht="15" hidden="false" customHeight="false" outlineLevel="0" collapsed="false">
      <c r="D1038" s="0" t="s">
        <v>643</v>
      </c>
      <c r="E1038" s="0" t="s">
        <v>466</v>
      </c>
      <c r="J1038" s="20" t="n">
        <f aca="false">Operations!J1031</f>
        <v>396.501037014357</v>
      </c>
      <c r="K1038" s="20" t="n">
        <f aca="false">Operations!K1031</f>
        <v>392.702921213365</v>
      </c>
      <c r="L1038" s="20" t="n">
        <f aca="false">Operations!L1031</f>
        <v>388.930959308582</v>
      </c>
      <c r="M1038" s="20" t="n">
        <f aca="false">Operations!M1031</f>
        <v>385.184992826788</v>
      </c>
      <c r="N1038" s="20" t="n">
        <f aca="false">Operations!N1031</f>
        <v>383.451660359068</v>
      </c>
      <c r="O1038" s="20" t="n">
        <f aca="false">Operations!O1031</f>
        <v>381.726127887452</v>
      </c>
      <c r="P1038" s="20" t="n">
        <f aca="false">Operations!P1031</f>
        <v>380.008360311958</v>
      </c>
      <c r="Q1038" s="20" t="n">
        <f aca="false">Operations!Q1031</f>
        <v>378.298322690554</v>
      </c>
      <c r="R1038" s="20" t="n">
        <f aca="false">Operations!R1031</f>
        <v>376.595980238447</v>
      </c>
      <c r="S1038" s="20" t="n">
        <f aca="false">Operations!S1031</f>
        <v>374.901298327374</v>
      </c>
      <c r="T1038" s="20" t="n">
        <f aca="false">Operations!T1031</f>
        <v>373.214242484901</v>
      </c>
      <c r="U1038" s="20" t="n">
        <f aca="false">Operations!U1031</f>
        <v>371.534778393719</v>
      </c>
      <c r="V1038" s="20" t="n">
        <f aca="false">Operations!V1031</f>
        <v>369.862871890947</v>
      </c>
      <c r="W1038" s="20" t="n">
        <f aca="false">Operations!W1031</f>
        <v>368.198488967438</v>
      </c>
      <c r="X1038" s="20" t="n">
        <f aca="false">Operations!X1031</f>
        <v>366.541595767084</v>
      </c>
      <c r="Y1038" s="20" t="n">
        <f aca="false">Operations!Y1031</f>
        <v>364.892158586133</v>
      </c>
      <c r="Z1038" s="20" t="n">
        <f aca="false">Operations!Z1031</f>
        <v>363.250143872495</v>
      </c>
      <c r="AA1038" s="20" t="n">
        <f aca="false">Operations!AA1031</f>
        <v>361.615518225069</v>
      </c>
      <c r="AB1038" s="20" t="n">
        <f aca="false">Operations!AB1031</f>
        <v>359.988248393056</v>
      </c>
      <c r="AC1038" s="20" t="n">
        <f aca="false">Operations!AC1031</f>
        <v>358.368301275287</v>
      </c>
      <c r="AD1038" s="20" t="n">
        <f aca="false">Operations!AD1031</f>
        <v>356.755643919548</v>
      </c>
      <c r="AE1038" s="20" t="n">
        <f aca="false">Operations!AE1031</f>
        <v>355.15024352191</v>
      </c>
      <c r="AF1038" s="20" t="n">
        <f aca="false">Operations!AF1031</f>
        <v>353.552067426062</v>
      </c>
      <c r="AG1038" s="20" t="n">
        <f aca="false">Operations!AG1031</f>
        <v>351.961083122645</v>
      </c>
      <c r="AH1038" s="20" t="n">
        <f aca="false">Operations!AH1031</f>
        <v>350.377258248593</v>
      </c>
      <c r="AI1038" s="20" t="n">
        <f aca="false">Operations!AI1031</f>
        <v>348.800560586474</v>
      </c>
      <c r="AJ1038" s="20" t="n">
        <f aca="false">Operations!AJ1031</f>
        <v>347.230958063835</v>
      </c>
      <c r="AK1038" s="20" t="n">
        <f aca="false">Operations!AK1031</f>
        <v>345.668418752548</v>
      </c>
      <c r="AL1038" s="20" t="n">
        <f aca="false">Operations!AL1031</f>
        <v>344.112910868161</v>
      </c>
      <c r="AM1038" s="20" t="n">
        <f aca="false">Operations!AM1031</f>
        <v>342.564402769255</v>
      </c>
      <c r="AN1038" s="20" t="n">
        <f aca="false">Operations!AN1031</f>
        <v>341.022862956793</v>
      </c>
      <c r="AO1038" s="20" t="n">
        <f aca="false">Operations!AO1031</f>
        <v>339.488260073487</v>
      </c>
      <c r="AP1038" s="20" t="n">
        <f aca="false">Operations!AP1031</f>
        <v>337.960562903157</v>
      </c>
      <c r="AQ1038" s="20" t="n">
        <f aca="false">Operations!AQ1031</f>
        <v>336.439740370093</v>
      </c>
      <c r="AR1038" s="20" t="n">
        <f aca="false">Operations!AR1031</f>
        <v>166.547783060092</v>
      </c>
      <c r="AS1038" s="20" t="n">
        <f aca="false">Operations!AS1031</f>
        <v>0</v>
      </c>
      <c r="AT1038" s="20" t="n">
        <f aca="false">Operations!AT1031</f>
        <v>0</v>
      </c>
      <c r="AU1038" s="20" t="n">
        <f aca="false">Operations!AU1031</f>
        <v>0</v>
      </c>
    </row>
    <row r="1039" customFormat="false" ht="15" hidden="false" customHeight="false" outlineLevel="0" collapsed="false">
      <c r="D1039" s="0" t="s">
        <v>644</v>
      </c>
      <c r="E1039" s="0" t="s">
        <v>47</v>
      </c>
      <c r="J1039" s="20" t="n">
        <f aca="false">Operations!J1036*Inputs!$F$211/1000</f>
        <v>11.0425538808498</v>
      </c>
      <c r="K1039" s="20" t="n">
        <f aca="false">Operations!K1036*Inputs!$F$211/1000</f>
        <v>10.9367763557922</v>
      </c>
      <c r="L1039" s="20" t="n">
        <f aca="false">Operations!L1036*Inputs!$F$211/1000</f>
        <v>10.831727216744</v>
      </c>
      <c r="M1039" s="20" t="n">
        <f aca="false">Operations!M1036*Inputs!$F$211/1000</f>
        <v>10.727402050226</v>
      </c>
      <c r="N1039" s="20" t="n">
        <f aca="false">Operations!N1036*Inputs!$F$211/1000</f>
        <v>10.679128741</v>
      </c>
      <c r="O1039" s="20" t="n">
        <f aca="false">Operations!O1036*Inputs!$F$211/1000</f>
        <v>10.6310726616655</v>
      </c>
      <c r="P1039" s="20" t="n">
        <f aca="false">Operations!P1036*Inputs!$F$211/1000</f>
        <v>10.583232834688</v>
      </c>
      <c r="Q1039" s="20" t="n">
        <f aca="false">Operations!Q1036*Inputs!$F$211/1000</f>
        <v>10.5356082869319</v>
      </c>
      <c r="R1039" s="20" t="n">
        <f aca="false">Operations!R1036*Inputs!$F$211/1000</f>
        <v>10.4881980496407</v>
      </c>
      <c r="S1039" s="20" t="n">
        <f aca="false">Operations!S1036*Inputs!$F$211/1000</f>
        <v>10.4410011584174</v>
      </c>
      <c r="T1039" s="20" t="n">
        <f aca="false">Operations!T1036*Inputs!$F$211/1000</f>
        <v>10.3940166532045</v>
      </c>
      <c r="U1039" s="20" t="n">
        <f aca="false">Operations!U1036*Inputs!$F$211/1000</f>
        <v>5.13109887031775</v>
      </c>
      <c r="V1039" s="20" t="n">
        <f aca="false">Operations!V1036*Inputs!$F$211/1000</f>
        <v>0</v>
      </c>
      <c r="W1039" s="20" t="n">
        <f aca="false">Operations!W1036*Inputs!$F$211/1000</f>
        <v>0</v>
      </c>
      <c r="X1039" s="20" t="n">
        <f aca="false">Operations!X1036*Inputs!$F$211/1000</f>
        <v>0</v>
      </c>
      <c r="Y1039" s="20" t="n">
        <f aca="false">Operations!Y1036*Inputs!$F$211/1000</f>
        <v>0</v>
      </c>
      <c r="Z1039" s="20" t="n">
        <f aca="false">Operations!Z1036*Inputs!$F$211/1000</f>
        <v>0</v>
      </c>
      <c r="AA1039" s="20" t="n">
        <f aca="false">Operations!AA1036*Inputs!$F$211/1000</f>
        <v>0</v>
      </c>
      <c r="AB1039" s="20" t="n">
        <f aca="false">Operations!AB1036*Inputs!$F$211/1000</f>
        <v>0</v>
      </c>
      <c r="AC1039" s="20" t="n">
        <f aca="false">Operations!AC1036*Inputs!$F$211/1000</f>
        <v>0</v>
      </c>
      <c r="AD1039" s="20" t="n">
        <f aca="false">Operations!AD1036*Inputs!$F$211/1000</f>
        <v>0</v>
      </c>
      <c r="AE1039" s="20" t="n">
        <f aca="false">Operations!AE1036*Inputs!$F$211/1000</f>
        <v>0</v>
      </c>
      <c r="AF1039" s="20" t="n">
        <f aca="false">Operations!AF1036*Inputs!$F$211/1000</f>
        <v>0</v>
      </c>
      <c r="AG1039" s="20" t="n">
        <f aca="false">Operations!AG1036*Inputs!$F$211/1000</f>
        <v>0</v>
      </c>
      <c r="AH1039" s="20" t="n">
        <f aca="false">Operations!AH1036*Inputs!$F$211/1000</f>
        <v>0</v>
      </c>
      <c r="AI1039" s="20" t="n">
        <f aca="false">Operations!AI1036*Inputs!$F$211/1000</f>
        <v>0</v>
      </c>
      <c r="AJ1039" s="20" t="n">
        <f aca="false">Operations!AJ1036*Inputs!$F$211/1000</f>
        <v>0</v>
      </c>
      <c r="AK1039" s="20" t="n">
        <f aca="false">Operations!AK1036*Inputs!$F$211/1000</f>
        <v>0</v>
      </c>
      <c r="AL1039" s="20" t="n">
        <f aca="false">Operations!AL1036*Inputs!$F$211/1000</f>
        <v>0</v>
      </c>
      <c r="AM1039" s="20" t="n">
        <f aca="false">Operations!AM1036*Inputs!$F$211/1000</f>
        <v>0</v>
      </c>
      <c r="AN1039" s="20" t="n">
        <f aca="false">Operations!AN1036*Inputs!$F$211/1000</f>
        <v>0</v>
      </c>
      <c r="AO1039" s="20" t="n">
        <f aca="false">Operations!AO1036*Inputs!$F$211/1000</f>
        <v>0</v>
      </c>
      <c r="AP1039" s="20" t="n">
        <f aca="false">Operations!AP1036*Inputs!$F$211/1000</f>
        <v>0</v>
      </c>
      <c r="AQ1039" s="20" t="n">
        <f aca="false">Operations!AQ1036*Inputs!$F$211/1000</f>
        <v>0</v>
      </c>
      <c r="AR1039" s="20" t="n">
        <f aca="false">Operations!AR1036*Inputs!$F$211/1000</f>
        <v>0</v>
      </c>
      <c r="AS1039" s="20" t="n">
        <f aca="false">Operations!AS1036*Inputs!$F$211/1000</f>
        <v>0</v>
      </c>
      <c r="AT1039" s="20" t="n">
        <f aca="false">Operations!AT1036*Inputs!$F$211/1000</f>
        <v>0</v>
      </c>
      <c r="AU1039" s="20" t="n">
        <f aca="false">Operations!AU1036*Inputs!$F$211/1000</f>
        <v>0</v>
      </c>
    </row>
    <row r="1040" customFormat="false" ht="15" hidden="false" customHeight="false" outlineLevel="0" collapsed="false">
      <c r="D1040" s="0" t="s">
        <v>645</v>
      </c>
      <c r="E1040" s="0" t="s">
        <v>47</v>
      </c>
      <c r="J1040" s="20" t="n">
        <f aca="false">0</f>
        <v>0</v>
      </c>
      <c r="K1040" s="20" t="n">
        <f aca="false">0</f>
        <v>0</v>
      </c>
      <c r="L1040" s="20" t="n">
        <f aca="false">0</f>
        <v>0</v>
      </c>
      <c r="M1040" s="20" t="n">
        <f aca="false">0</f>
        <v>0</v>
      </c>
      <c r="N1040" s="20" t="n">
        <f aca="false">0</f>
        <v>0</v>
      </c>
      <c r="O1040" s="20" t="n">
        <f aca="false">0</f>
        <v>0</v>
      </c>
      <c r="P1040" s="20" t="n">
        <f aca="false">0</f>
        <v>0</v>
      </c>
      <c r="Q1040" s="20" t="n">
        <f aca="false">0</f>
        <v>0</v>
      </c>
      <c r="R1040" s="20" t="n">
        <f aca="false">0</f>
        <v>0</v>
      </c>
      <c r="S1040" s="20" t="n">
        <f aca="false">0</f>
        <v>0</v>
      </c>
      <c r="T1040" s="20" t="n">
        <f aca="false">0</f>
        <v>0</v>
      </c>
      <c r="U1040" s="20" t="n">
        <f aca="false">0</f>
        <v>0</v>
      </c>
      <c r="V1040" s="20" t="n">
        <f aca="false">0</f>
        <v>0</v>
      </c>
      <c r="W1040" s="20" t="n">
        <f aca="false">0</f>
        <v>0</v>
      </c>
      <c r="X1040" s="20" t="n">
        <f aca="false">0</f>
        <v>0</v>
      </c>
      <c r="Y1040" s="20" t="n">
        <f aca="false">0</f>
        <v>0</v>
      </c>
      <c r="Z1040" s="20" t="n">
        <f aca="false">0</f>
        <v>0</v>
      </c>
      <c r="AA1040" s="20" t="n">
        <f aca="false">0</f>
        <v>0</v>
      </c>
      <c r="AB1040" s="20" t="n">
        <f aca="false">0</f>
        <v>0</v>
      </c>
      <c r="AC1040" s="20" t="n">
        <f aca="false">0</f>
        <v>0</v>
      </c>
      <c r="AD1040" s="20" t="n">
        <f aca="false">0</f>
        <v>0</v>
      </c>
      <c r="AE1040" s="20" t="n">
        <f aca="false">0</f>
        <v>0</v>
      </c>
      <c r="AF1040" s="20" t="n">
        <f aca="false">0</f>
        <v>0</v>
      </c>
      <c r="AG1040" s="20" t="n">
        <f aca="false">0</f>
        <v>0</v>
      </c>
      <c r="AH1040" s="20" t="n">
        <f aca="false">0</f>
        <v>0</v>
      </c>
      <c r="AI1040" s="20" t="n">
        <f aca="false">0</f>
        <v>0</v>
      </c>
      <c r="AJ1040" s="20" t="n">
        <f aca="false">0</f>
        <v>0</v>
      </c>
      <c r="AK1040" s="20" t="n">
        <f aca="false">0</f>
        <v>0</v>
      </c>
      <c r="AL1040" s="20" t="n">
        <f aca="false">0</f>
        <v>0</v>
      </c>
      <c r="AM1040" s="20" t="n">
        <f aca="false">0</f>
        <v>0</v>
      </c>
      <c r="AN1040" s="20" t="n">
        <f aca="false">0</f>
        <v>0</v>
      </c>
      <c r="AO1040" s="20" t="n">
        <f aca="false">0</f>
        <v>0</v>
      </c>
      <c r="AP1040" s="20" t="n">
        <f aca="false">0</f>
        <v>0</v>
      </c>
      <c r="AQ1040" s="20" t="n">
        <f aca="false">0</f>
        <v>0</v>
      </c>
      <c r="AR1040" s="20" t="n">
        <f aca="false">0</f>
        <v>0</v>
      </c>
      <c r="AS1040" s="20" t="n">
        <f aca="false">0</f>
        <v>0</v>
      </c>
      <c r="AT1040" s="20" t="n">
        <f aca="false">0</f>
        <v>0</v>
      </c>
      <c r="AU1040" s="20" t="n">
        <f aca="false">0</f>
        <v>0</v>
      </c>
    </row>
    <row r="1041" customFormat="false" ht="15" hidden="false" customHeight="false" outlineLevel="0" collapsed="false">
      <c r="D1041" s="0" t="s">
        <v>646</v>
      </c>
      <c r="E1041" s="0" t="s">
        <v>47</v>
      </c>
      <c r="G1041" s="20" t="n">
        <f aca="false">SUM(J1041:AU1041)</f>
        <v>468.51737987929</v>
      </c>
      <c r="J1041" s="20" t="n">
        <f aca="false">Operations!J1038*Operations!J1034/1000</f>
        <v>23.7649335711396</v>
      </c>
      <c r="K1041" s="20" t="n">
        <f aca="false">Operations!K1038*Operations!K1034/1000</f>
        <v>18.8441229956565</v>
      </c>
      <c r="L1041" s="20" t="n">
        <f aca="false">Operations!L1038*Operations!L1034/1000</f>
        <v>8.95244082439402</v>
      </c>
      <c r="M1041" s="20" t="n">
        <f aca="false">Operations!M1038*Operations!M1034/1000</f>
        <v>11.4266391528843</v>
      </c>
      <c r="N1041" s="20" t="n">
        <f aca="false">Operations!N1038*Operations!N1034/1000</f>
        <v>12.4160113817625</v>
      </c>
      <c r="O1041" s="20" t="n">
        <f aca="false">Operations!O1038*Operations!O1034/1000</f>
        <v>12.7588415827914</v>
      </c>
      <c r="P1041" s="20" t="n">
        <f aca="false">Operations!P1038*Operations!P1034/1000</f>
        <v>12.8235523624725</v>
      </c>
      <c r="Q1041" s="20" t="n">
        <f aca="false">Operations!Q1038*Operations!Q1034/1000</f>
        <v>12.7347199908503</v>
      </c>
      <c r="R1041" s="20" t="n">
        <f aca="false">Operations!R1038*Operations!R1034/1000</f>
        <v>12.6518956072706</v>
      </c>
      <c r="S1041" s="20" t="n">
        <f aca="false">Operations!S1038*Operations!S1034/1000</f>
        <v>12.4643164725967</v>
      </c>
      <c r="T1041" s="20" t="n">
        <f aca="false">Operations!T1038*Operations!T1034/1000</f>
        <v>12.2676924790339</v>
      </c>
      <c r="U1041" s="20" t="n">
        <f aca="false">Operations!U1038*Operations!U1034/1000</f>
        <v>12.0617243999069</v>
      </c>
      <c r="V1041" s="20" t="n">
        <f aca="false">Operations!V1038*Operations!V1034/1000</f>
        <v>11.8461195567556</v>
      </c>
      <c r="W1041" s="20" t="n">
        <f aca="false">Operations!W1038*Operations!W1034/1000</f>
        <v>11.6205917411969</v>
      </c>
      <c r="X1041" s="20" t="n">
        <f aca="false">Operations!X1038*Operations!X1034/1000</f>
        <v>11.7988560879652</v>
      </c>
      <c r="Y1041" s="20" t="n">
        <f aca="false">Operations!Y1038*Operations!Y1034/1000</f>
        <v>11.9813207255525</v>
      </c>
      <c r="Z1041" s="20" t="n">
        <f aca="false">Operations!Z1038*Operations!Z1034/1000</f>
        <v>12.1659127925534</v>
      </c>
      <c r="AA1041" s="20" t="n">
        <f aca="false">Operations!AA1038*Operations!AA1034/1000</f>
        <v>12.3525914087733</v>
      </c>
      <c r="AB1041" s="20" t="n">
        <f aca="false">Operations!AB1038*Operations!AB1034/1000</f>
        <v>12.5433023711912</v>
      </c>
      <c r="AC1041" s="20" t="n">
        <f aca="false">Operations!AC1038*Operations!AC1034/1000</f>
        <v>12.7360014608495</v>
      </c>
      <c r="AD1041" s="20" t="n">
        <f aca="false">Operations!AD1038*Operations!AD1034/1000</f>
        <v>12.9326175616506</v>
      </c>
      <c r="AE1041" s="20" t="n">
        <f aca="false">Operations!AE1038*Operations!AE1034/1000</f>
        <v>13.1311253674822</v>
      </c>
      <c r="AF1041" s="20" t="n">
        <f aca="false">Operations!AF1038*Operations!AF1034/1000</f>
        <v>13.3334369942173</v>
      </c>
      <c r="AG1041" s="20" t="n">
        <f aca="false">Operations!AG1038*Operations!AG1034/1000</f>
        <v>13.5394878524399</v>
      </c>
      <c r="AH1041" s="20" t="n">
        <f aca="false">Operations!AH1038*Operations!AH1034/1000</f>
        <v>13.7472807339595</v>
      </c>
      <c r="AI1041" s="20" t="n">
        <f aca="false">Operations!AI1038*Operations!AI1034/1000</f>
        <v>13.9587029308358</v>
      </c>
      <c r="AJ1041" s="20" t="n">
        <f aca="false">Operations!AJ1038*Operations!AJ1034/1000</f>
        <v>14.1736915901079</v>
      </c>
      <c r="AK1041" s="20" t="n">
        <f aca="false">Operations!AK1038*Operations!AK1034/1000</f>
        <v>14.3921844679141</v>
      </c>
      <c r="AL1041" s="20" t="n">
        <f aca="false">Operations!AL1038*Operations!AL1034/1000</f>
        <v>14.6141199247565</v>
      </c>
      <c r="AM1041" s="20" t="n">
        <f aca="false">Operations!AM1038*Operations!AM1034/1000</f>
        <v>14.8394369207979</v>
      </c>
      <c r="AN1041" s="20" t="n">
        <f aca="false">Operations!AN1038*Operations!AN1034/1000</f>
        <v>15.0680750111924</v>
      </c>
      <c r="AO1041" s="20" t="n">
        <f aca="false">Operations!AO1038*Operations!AO1034/1000</f>
        <v>15.2999743414471</v>
      </c>
      <c r="AP1041" s="20" t="n">
        <f aca="false">Operations!AP1038*Operations!AP1034/1000</f>
        <v>15.5350756428161</v>
      </c>
      <c r="AQ1041" s="20" t="n">
        <f aca="false">Operations!AQ1038*Operations!AQ1034/1000</f>
        <v>15.7751765676383</v>
      </c>
      <c r="AR1041" s="20" t="n">
        <f aca="false">Operations!AR1038*Operations!AR1034/1000</f>
        <v>7.96540700643758</v>
      </c>
      <c r="AS1041" s="20" t="n">
        <f aca="false">Operations!AS1038*Operations!AS1034/1000</f>
        <v>0</v>
      </c>
      <c r="AT1041" s="20" t="n">
        <f aca="false">Operations!AT1038*Operations!AT1034/1000</f>
        <v>0</v>
      </c>
      <c r="AU1041" s="20" t="n">
        <f aca="false">Operations!AU1038*Operations!AU1034/1000</f>
        <v>0</v>
      </c>
    </row>
    <row r="1042" customFormat="false" ht="15" hidden="false" customHeight="false" outlineLevel="0" collapsed="false">
      <c r="D1042" s="0" t="s">
        <v>647</v>
      </c>
      <c r="E1042" s="0" t="s">
        <v>47</v>
      </c>
      <c r="G1042" s="20" t="n">
        <f aca="false">SUM(J1042:AU1042)</f>
        <v>427.374056055216</v>
      </c>
      <c r="J1042" s="20" t="n">
        <f aca="false">Operations!J1041+Operations!J1037</f>
        <v>10.1835803782785</v>
      </c>
      <c r="K1042" s="20" t="n">
        <f aca="false">Operations!K1041+Operations!K1037</f>
        <v>10.2388458744716</v>
      </c>
      <c r="L1042" s="20" t="n">
        <f aca="false">Operations!L1041+Operations!L1037</f>
        <v>10.4917611094886</v>
      </c>
      <c r="M1042" s="20" t="n">
        <f aca="false">Operations!M1041+Operations!M1037</f>
        <v>10.2822083169968</v>
      </c>
      <c r="N1042" s="20" t="n">
        <f aca="false">Operations!N1041+Operations!N1037</f>
        <v>10.1824882857295</v>
      </c>
      <c r="O1042" s="20" t="n">
        <f aca="false">Operations!O1041+Operations!O1037</f>
        <v>10.1067367062084</v>
      </c>
      <c r="P1042" s="20" t="n">
        <f aca="false">Operations!P1041+Operations!P1037</f>
        <v>10.0413925940202</v>
      </c>
      <c r="Q1042" s="20" t="n">
        <f aca="false">Operations!Q1041+Operations!Q1037</f>
        <v>9.98192480906888</v>
      </c>
      <c r="R1042" s="20" t="n">
        <f aca="false">Operations!R1041+Operations!R1037</f>
        <v>9.9216952612555</v>
      </c>
      <c r="S1042" s="20" t="n">
        <f aca="false">Operations!S1041+Operations!S1037</f>
        <v>9.86572501352829</v>
      </c>
      <c r="T1042" s="20" t="n">
        <f aca="false">Operations!T1041+Operations!T1037</f>
        <v>9.80984082086954</v>
      </c>
      <c r="U1042" s="20" t="n">
        <f aca="false">Operations!U1041+Operations!U1037</f>
        <v>10.9173678267698</v>
      </c>
      <c r="V1042" s="20" t="n">
        <f aca="false">Operations!V1041+Operations!V1037</f>
        <v>11.8461195567556</v>
      </c>
      <c r="W1042" s="20" t="n">
        <f aca="false">Operations!W1041+Operations!W1037</f>
        <v>11.6205917411969</v>
      </c>
      <c r="X1042" s="20" t="n">
        <f aca="false">Operations!X1041+Operations!X1037</f>
        <v>11.7988560879652</v>
      </c>
      <c r="Y1042" s="20" t="n">
        <f aca="false">Operations!Y1041+Operations!Y1037</f>
        <v>11.9813207255525</v>
      </c>
      <c r="Z1042" s="20" t="n">
        <f aca="false">Operations!Z1041+Operations!Z1037</f>
        <v>12.1659127925534</v>
      </c>
      <c r="AA1042" s="20" t="n">
        <f aca="false">Operations!AA1041+Operations!AA1037</f>
        <v>12.3525914087733</v>
      </c>
      <c r="AB1042" s="20" t="n">
        <f aca="false">Operations!AB1041+Operations!AB1037</f>
        <v>12.5433023711912</v>
      </c>
      <c r="AC1042" s="20" t="n">
        <f aca="false">Operations!AC1041+Operations!AC1037</f>
        <v>12.7360014608495</v>
      </c>
      <c r="AD1042" s="20" t="n">
        <f aca="false">Operations!AD1041+Operations!AD1037</f>
        <v>12.9326175616506</v>
      </c>
      <c r="AE1042" s="20" t="n">
        <f aca="false">Operations!AE1041+Operations!AE1037</f>
        <v>13.1311253674822</v>
      </c>
      <c r="AF1042" s="20" t="n">
        <f aca="false">Operations!AF1041+Operations!AF1037</f>
        <v>13.3334369942173</v>
      </c>
      <c r="AG1042" s="20" t="n">
        <f aca="false">Operations!AG1041+Operations!AG1037</f>
        <v>13.5394878524399</v>
      </c>
      <c r="AH1042" s="20" t="n">
        <f aca="false">Operations!AH1041+Operations!AH1037</f>
        <v>13.7472807339595</v>
      </c>
      <c r="AI1042" s="20" t="n">
        <f aca="false">Operations!AI1041+Operations!AI1037</f>
        <v>13.9587029308358</v>
      </c>
      <c r="AJ1042" s="20" t="n">
        <f aca="false">Operations!AJ1041+Operations!AJ1037</f>
        <v>14.1736915901079</v>
      </c>
      <c r="AK1042" s="20" t="n">
        <f aca="false">Operations!AK1041+Operations!AK1037</f>
        <v>14.3921844679141</v>
      </c>
      <c r="AL1042" s="20" t="n">
        <f aca="false">Operations!AL1041+Operations!AL1037</f>
        <v>14.6141199247565</v>
      </c>
      <c r="AM1042" s="20" t="n">
        <f aca="false">Operations!AM1041+Operations!AM1037</f>
        <v>14.8394369207979</v>
      </c>
      <c r="AN1042" s="20" t="n">
        <f aca="false">Operations!AN1041+Operations!AN1037</f>
        <v>15.0680750111924</v>
      </c>
      <c r="AO1042" s="20" t="n">
        <f aca="false">Operations!AO1041+Operations!AO1037</f>
        <v>15.2999743414471</v>
      </c>
      <c r="AP1042" s="20" t="n">
        <f aca="false">Operations!AP1041+Operations!AP1037</f>
        <v>15.5350756428161</v>
      </c>
      <c r="AQ1042" s="20" t="n">
        <f aca="false">Operations!AQ1041+Operations!AQ1037</f>
        <v>15.7751765676383</v>
      </c>
      <c r="AR1042" s="20" t="n">
        <f aca="false">Operations!AR1041+Operations!AR1037</f>
        <v>7.96540700643758</v>
      </c>
      <c r="AS1042" s="20" t="n">
        <f aca="false">Operations!AS1041+Operations!AS1037</f>
        <v>0</v>
      </c>
      <c r="AT1042" s="20" t="n">
        <f aca="false">Operations!AT1041+Operations!AT1037</f>
        <v>0</v>
      </c>
      <c r="AU1042" s="20" t="n">
        <f aca="false">Operations!AU1041+Operations!AU1037</f>
        <v>0</v>
      </c>
    </row>
    <row r="1043" customFormat="false" ht="15" hidden="false" customHeight="false" outlineLevel="0" collapsed="false">
      <c r="D1043" s="0" t="s">
        <v>648</v>
      </c>
      <c r="E1043" s="0" t="s">
        <v>47</v>
      </c>
      <c r="J1043" s="20" t="n">
        <f aca="false">Operations!J1042-Operations!J1039-Operations!J1040</f>
        <v>-0.85897350257131</v>
      </c>
      <c r="K1043" s="20" t="n">
        <f aca="false">Operations!K1042-Operations!K1039-Operations!K1040</f>
        <v>-0.697930481320615</v>
      </c>
      <c r="L1043" s="20" t="n">
        <f aca="false">Operations!L1042-Operations!L1039-Operations!L1040</f>
        <v>-0.339966107255471</v>
      </c>
      <c r="M1043" s="20" t="n">
        <f aca="false">Operations!M1042-Operations!M1039-Operations!M1040</f>
        <v>-0.445193733229258</v>
      </c>
      <c r="N1043" s="20" t="n">
        <f aca="false">Operations!N1042-Operations!N1039-Operations!N1040</f>
        <v>-0.496640455270498</v>
      </c>
      <c r="O1043" s="20" t="n">
        <f aca="false">Operations!O1042-Operations!O1039-Operations!O1040</f>
        <v>-0.524335955457183</v>
      </c>
      <c r="P1043" s="20" t="n">
        <f aca="false">Operations!P1042-Operations!P1039-Operations!P1040</f>
        <v>-0.541840240667852</v>
      </c>
      <c r="Q1043" s="20" t="n">
        <f aca="false">Operations!Q1042-Operations!Q1039-Operations!Q1040</f>
        <v>-0.553683477863061</v>
      </c>
      <c r="R1043" s="20" t="n">
        <f aca="false">Operations!R1042-Operations!R1039-Operations!R1040</f>
        <v>-0.566502788385249</v>
      </c>
      <c r="S1043" s="20" t="n">
        <f aca="false">Operations!S1042-Operations!S1039-Operations!S1040</f>
        <v>-0.575276144889083</v>
      </c>
      <c r="T1043" s="20" t="n">
        <f aca="false">Operations!T1042-Operations!T1039-Operations!T1040</f>
        <v>-0.584175832334946</v>
      </c>
      <c r="U1043" s="20" t="n">
        <f aca="false">Operations!U1042-Operations!U1039-Operations!U1040</f>
        <v>5.78626895645206</v>
      </c>
      <c r="V1043" s="20" t="n">
        <f aca="false">Operations!V1042-Operations!V1039-Operations!V1040</f>
        <v>11.8461195567556</v>
      </c>
      <c r="W1043" s="20" t="n">
        <f aca="false">Operations!W1042-Operations!W1039-Operations!W1040</f>
        <v>11.6205917411969</v>
      </c>
      <c r="X1043" s="20" t="n">
        <f aca="false">Operations!X1042-Operations!X1039-Operations!X1040</f>
        <v>11.7988560879652</v>
      </c>
      <c r="Y1043" s="20" t="n">
        <f aca="false">Operations!Y1042-Operations!Y1039-Operations!Y1040</f>
        <v>11.9813207255525</v>
      </c>
      <c r="Z1043" s="20" t="n">
        <f aca="false">Operations!Z1042-Operations!Z1039-Operations!Z1040</f>
        <v>12.1659127925534</v>
      </c>
      <c r="AA1043" s="20" t="n">
        <f aca="false">Operations!AA1042-Operations!AA1039-Operations!AA1040</f>
        <v>12.3525914087733</v>
      </c>
      <c r="AB1043" s="20" t="n">
        <f aca="false">Operations!AB1042-Operations!AB1039-Operations!AB1040</f>
        <v>12.5433023711912</v>
      </c>
      <c r="AC1043" s="20" t="n">
        <f aca="false">Operations!AC1042-Operations!AC1039-Operations!AC1040</f>
        <v>12.7360014608495</v>
      </c>
      <c r="AD1043" s="20" t="n">
        <f aca="false">Operations!AD1042-Operations!AD1039-Operations!AD1040</f>
        <v>12.9326175616506</v>
      </c>
      <c r="AE1043" s="20" t="n">
        <f aca="false">Operations!AE1042-Operations!AE1039-Operations!AE1040</f>
        <v>13.1311253674822</v>
      </c>
      <c r="AF1043" s="20" t="n">
        <f aca="false">Operations!AF1042-Operations!AF1039-Operations!AF1040</f>
        <v>13.3334369942173</v>
      </c>
      <c r="AG1043" s="20" t="n">
        <f aca="false">Operations!AG1042-Operations!AG1039-Operations!AG1040</f>
        <v>13.5394878524399</v>
      </c>
      <c r="AH1043" s="20" t="n">
        <f aca="false">Operations!AH1042-Operations!AH1039-Operations!AH1040</f>
        <v>13.7472807339595</v>
      </c>
      <c r="AI1043" s="20" t="n">
        <f aca="false">Operations!AI1042-Operations!AI1039-Operations!AI1040</f>
        <v>13.9587029308358</v>
      </c>
      <c r="AJ1043" s="20" t="n">
        <f aca="false">Operations!AJ1042-Operations!AJ1039-Operations!AJ1040</f>
        <v>14.1736915901079</v>
      </c>
      <c r="AK1043" s="20" t="n">
        <f aca="false">Operations!AK1042-Operations!AK1039-Operations!AK1040</f>
        <v>14.3921844679141</v>
      </c>
      <c r="AL1043" s="20" t="n">
        <f aca="false">Operations!AL1042-Operations!AL1039-Operations!AL1040</f>
        <v>14.6141199247565</v>
      </c>
      <c r="AM1043" s="20" t="n">
        <f aca="false">Operations!AM1042-Operations!AM1039-Operations!AM1040</f>
        <v>14.8394369207979</v>
      </c>
      <c r="AN1043" s="20" t="n">
        <f aca="false">Operations!AN1042-Operations!AN1039-Operations!AN1040</f>
        <v>15.0680750111924</v>
      </c>
      <c r="AO1043" s="20" t="n">
        <f aca="false">Operations!AO1042-Operations!AO1039-Operations!AO1040</f>
        <v>15.2999743414471</v>
      </c>
      <c r="AP1043" s="20" t="n">
        <f aca="false">Operations!AP1042-Operations!AP1039-Operations!AP1040</f>
        <v>15.5350756428161</v>
      </c>
      <c r="AQ1043" s="20" t="n">
        <f aca="false">Operations!AQ1042-Operations!AQ1039-Operations!AQ1040</f>
        <v>15.7751765676383</v>
      </c>
      <c r="AR1043" s="20" t="n">
        <f aca="false">Operations!AR1042-Operations!AR1039-Operations!AR1040</f>
        <v>7.96540700643758</v>
      </c>
      <c r="AS1043" s="20" t="n">
        <f aca="false">Operations!AS1042-Operations!AS1039-Operations!AS1040</f>
        <v>0</v>
      </c>
      <c r="AT1043" s="20" t="n">
        <f aca="false">Operations!AT1042-Operations!AT1039-Operations!AT1040</f>
        <v>0</v>
      </c>
      <c r="AU1043" s="20" t="n">
        <f aca="false">Operations!AU1042-Operations!AU1039-Operations!AU1040</f>
        <v>0</v>
      </c>
    </row>
    <row r="1044" customFormat="false" ht="15" hidden="false" customHeight="false" outlineLevel="0" collapsed="false">
      <c r="D1044" s="0" t="s">
        <v>649</v>
      </c>
      <c r="E1044" s="0" t="s">
        <v>47</v>
      </c>
      <c r="J1044" s="20" t="n">
        <f aca="false">Inputs!$F$136*Inputs!$F$132/1000*Time!J$9*Time!J$10*Operations!J1023*Operations!$F$840</f>
        <v>3.35616</v>
      </c>
      <c r="K1044" s="20" t="n">
        <f aca="false">Inputs!$F$136*Inputs!$F$132/1000*Time!K$9*Time!K$10*Operations!K1023*Operations!$F$840</f>
        <v>3.553586112</v>
      </c>
      <c r="L1044" s="20" t="n">
        <f aca="false">Inputs!$F$136*Inputs!$F$132/1000*Time!L$9*Time!L$10*Operations!L1023*Operations!$F$840</f>
        <v>3.6424257648</v>
      </c>
      <c r="M1044" s="20" t="n">
        <f aca="false">Inputs!$F$136*Inputs!$F$132/1000*Time!M$9*Time!M$10*Operations!M1023*Operations!$F$840</f>
        <v>3.73348640892</v>
      </c>
      <c r="N1044" s="20" t="n">
        <f aca="false">Inputs!$F$136*Inputs!$F$132/1000*Time!N$9*Time!N$10*Operations!N1023*Operations!$F$840</f>
        <v>3.826823569143</v>
      </c>
      <c r="O1044" s="20" t="n">
        <f aca="false">Inputs!$F$136*Inputs!$F$132/1000*Time!O$9*Time!O$10*Operations!O1023*Operations!$F$840</f>
        <v>3.92249415837157</v>
      </c>
      <c r="P1044" s="20" t="n">
        <f aca="false">Inputs!$F$136*Inputs!$F$132/1000*Time!P$9*Time!P$10*Operations!P1023*Operations!$F$840</f>
        <v>4.02055651233086</v>
      </c>
      <c r="Q1044" s="20" t="n">
        <f aca="false">Inputs!$F$136*Inputs!$F$132/1000*Time!Q$9*Time!Q$10*Operations!Q1023*Operations!$F$840</f>
        <v>4.12107042513913</v>
      </c>
      <c r="R1044" s="20" t="n">
        <f aca="false">Inputs!$F$136*Inputs!$F$132/1000*Time!R$9*Time!R$10*Operations!R1023*Operations!$F$840</f>
        <v>4.22409718576761</v>
      </c>
      <c r="S1044" s="20" t="n">
        <f aca="false">Inputs!$F$136*Inputs!$F$132/1000*Time!S$9*Time!S$10*Operations!S1023*Operations!$F$840</f>
        <v>4.3296996154118</v>
      </c>
      <c r="T1044" s="20" t="n">
        <f aca="false">Inputs!$F$136*Inputs!$F$132/1000*Time!T$9*Time!T$10*Operations!T1023*Operations!$F$840</f>
        <v>4.4379421057971</v>
      </c>
      <c r="U1044" s="20" t="n">
        <f aca="false">Inputs!$F$136*Inputs!$F$132/1000*Time!U$9*Time!U$10*Operations!U1023*Operations!$F$840</f>
        <v>4.54889065844202</v>
      </c>
      <c r="V1044" s="20" t="n">
        <f aca="false">Inputs!$F$136*Inputs!$F$132/1000*Time!V$9*Time!V$10*Operations!V1023*Operations!$F$840</f>
        <v>4.66261292490307</v>
      </c>
      <c r="W1044" s="20" t="n">
        <f aca="false">Inputs!$F$136*Inputs!$F$132/1000*Time!W$9*Time!W$10*Operations!W1023*Operations!$F$840</f>
        <v>4.77917824802565</v>
      </c>
      <c r="X1044" s="20" t="n">
        <f aca="false">Inputs!$F$136*Inputs!$F$132/1000*Time!X$9*Time!X$10*Operations!X1023*Operations!$F$840</f>
        <v>4.89865770422629</v>
      </c>
      <c r="Y1044" s="20" t="n">
        <f aca="false">Inputs!$F$136*Inputs!$F$132/1000*Time!Y$9*Time!Y$10*Operations!Y1023*Operations!$F$840</f>
        <v>5.02112414683195</v>
      </c>
      <c r="Z1044" s="20" t="n">
        <f aca="false">Inputs!$F$136*Inputs!$F$132/1000*Time!Z$9*Time!Z$10*Operations!Z1023*Operations!$F$840</f>
        <v>5.14665225050275</v>
      </c>
      <c r="AA1044" s="20" t="n">
        <f aca="false">Inputs!$F$136*Inputs!$F$132/1000*Time!AA$9*Time!AA$10*Operations!AA1023*Operations!$F$840</f>
        <v>5.27531855676531</v>
      </c>
      <c r="AB1044" s="20" t="n">
        <f aca="false">Inputs!$F$136*Inputs!$F$132/1000*Time!AB$9*Time!AB$10*Operations!AB1023*Operations!$F$840</f>
        <v>5.40720152068445</v>
      </c>
      <c r="AC1044" s="20" t="n">
        <f aca="false">Inputs!$F$136*Inputs!$F$132/1000*Time!AC$9*Time!AC$10*Operations!AC1023*Operations!$F$840</f>
        <v>5.54238155870156</v>
      </c>
      <c r="AD1044" s="20" t="n">
        <f aca="false">Inputs!$F$136*Inputs!$F$132/1000*Time!AD$9*Time!AD$10*Operations!AD1023*Operations!$F$840</f>
        <v>5.6809410976691</v>
      </c>
      <c r="AE1044" s="20" t="n">
        <f aca="false">Inputs!$F$136*Inputs!$F$132/1000*Time!AE$9*Time!AE$10*Operations!AE1023*Operations!$F$840</f>
        <v>5.82296462511082</v>
      </c>
      <c r="AF1044" s="20" t="n">
        <f aca="false">Inputs!$F$136*Inputs!$F$132/1000*Time!AF$9*Time!AF$10*Operations!AF1023*Operations!$F$840</f>
        <v>5.96853874073859</v>
      </c>
      <c r="AG1044" s="20" t="n">
        <f aca="false">Inputs!$F$136*Inputs!$F$132/1000*Time!AG$9*Time!AG$10*Operations!AG1023*Operations!$F$840</f>
        <v>6.11775220925706</v>
      </c>
      <c r="AH1044" s="20" t="n">
        <f aca="false">Inputs!$F$136*Inputs!$F$132/1000*Time!AH$9*Time!AH$10*Operations!AH1023*Operations!$F$840</f>
        <v>6.27069601448848</v>
      </c>
      <c r="AI1044" s="20" t="n">
        <f aca="false">Inputs!$F$136*Inputs!$F$132/1000*Time!AI$9*Time!AI$10*Operations!AI1023*Operations!$F$840</f>
        <v>6.42746341485069</v>
      </c>
      <c r="AJ1044" s="20" t="n">
        <f aca="false">Inputs!$F$136*Inputs!$F$132/1000*Time!AJ$9*Time!AJ$10*Operations!AJ1023*Operations!$F$840</f>
        <v>6.58815000022196</v>
      </c>
      <c r="AK1044" s="20" t="n">
        <f aca="false">Inputs!$F$136*Inputs!$F$132/1000*Time!AK$9*Time!AK$10*Operations!AK1023*Operations!$F$840</f>
        <v>6.75285375022751</v>
      </c>
      <c r="AL1044" s="20" t="n">
        <f aca="false">Inputs!$F$136*Inputs!$F$132/1000*Time!AL$9*Time!AL$10*Operations!AL1023*Operations!$F$840</f>
        <v>6.9216750939832</v>
      </c>
      <c r="AM1044" s="20" t="n">
        <f aca="false">Inputs!$F$136*Inputs!$F$132/1000*Time!AM$9*Time!AM$10*Operations!AM1023*Operations!$F$840</f>
        <v>7.09471697133278</v>
      </c>
      <c r="AN1044" s="20" t="n">
        <f aca="false">Inputs!$F$136*Inputs!$F$132/1000*Time!AN$9*Time!AN$10*Operations!AN1023*Operations!$F$840</f>
        <v>7.27208489561609</v>
      </c>
      <c r="AO1044" s="20" t="n">
        <f aca="false">Inputs!$F$136*Inputs!$F$132/1000*Time!AO$9*Time!AO$10*Operations!AO1023*Operations!$F$840</f>
        <v>7.4538870180065</v>
      </c>
      <c r="AP1044" s="20" t="n">
        <f aca="false">Inputs!$F$136*Inputs!$F$132/1000*Time!AP$9*Time!AP$10*Operations!AP1023*Operations!$F$840</f>
        <v>7.64023419345666</v>
      </c>
      <c r="AQ1044" s="20" t="n">
        <f aca="false">Inputs!$F$136*Inputs!$F$132/1000*Time!AQ$9*Time!AQ$10*Operations!AQ1023*Operations!$F$840</f>
        <v>7.83124004829307</v>
      </c>
      <c r="AR1044" s="20" t="n">
        <f aca="false">Inputs!$F$136*Inputs!$F$132/1000*Time!AR$9*Time!AR$10*Operations!AR1023*Operations!$F$840</f>
        <v>3.99157877324883</v>
      </c>
      <c r="AS1044" s="20" t="n">
        <f aca="false">Inputs!$F$136*Inputs!$F$132/1000*Time!AS$9*Time!AS$10*Operations!AS1023*Operations!$F$840</f>
        <v>0</v>
      </c>
      <c r="AT1044" s="20" t="n">
        <f aca="false">Inputs!$F$136*Inputs!$F$132/1000*Time!AT$9*Time!AT$10*Operations!AT1023*Operations!$F$840</f>
        <v>0</v>
      </c>
      <c r="AU1044" s="20" t="n">
        <f aca="false">Inputs!$F$136*Inputs!$F$132/1000*Time!AU$9*Time!AU$10*Operations!AU1023*Operations!$F$840</f>
        <v>0</v>
      </c>
    </row>
    <row r="1045" customFormat="false" ht="15" hidden="false" customHeight="false" outlineLevel="0" collapsed="false">
      <c r="D1045" s="0" t="s">
        <v>650</v>
      </c>
      <c r="E1045" s="0" t="s">
        <v>47</v>
      </c>
      <c r="J1045" s="20" t="n">
        <f aca="false">0</f>
        <v>0</v>
      </c>
      <c r="K1045" s="20" t="n">
        <f aca="false">0</f>
        <v>0</v>
      </c>
      <c r="L1045" s="20" t="n">
        <f aca="false">0</f>
        <v>0</v>
      </c>
      <c r="M1045" s="20" t="n">
        <f aca="false">0</f>
        <v>0</v>
      </c>
      <c r="N1045" s="20" t="n">
        <f aca="false">0</f>
        <v>0</v>
      </c>
      <c r="O1045" s="20" t="n">
        <f aca="false">0</f>
        <v>0</v>
      </c>
      <c r="P1045" s="20" t="n">
        <f aca="false">0</f>
        <v>0</v>
      </c>
      <c r="Q1045" s="20" t="n">
        <f aca="false">0</f>
        <v>0</v>
      </c>
      <c r="R1045" s="20" t="n">
        <f aca="false">0</f>
        <v>0</v>
      </c>
      <c r="S1045" s="20" t="n">
        <f aca="false">0</f>
        <v>0</v>
      </c>
      <c r="T1045" s="20" t="n">
        <f aca="false">0</f>
        <v>0</v>
      </c>
      <c r="U1045" s="20" t="n">
        <f aca="false">0</f>
        <v>0</v>
      </c>
      <c r="V1045" s="20" t="n">
        <f aca="false">0</f>
        <v>0</v>
      </c>
      <c r="W1045" s="20" t="n">
        <f aca="false">0</f>
        <v>0</v>
      </c>
      <c r="X1045" s="20" t="n">
        <f aca="false">0</f>
        <v>0</v>
      </c>
      <c r="Y1045" s="20" t="n">
        <f aca="false">0</f>
        <v>0</v>
      </c>
      <c r="Z1045" s="20" t="n">
        <f aca="false">0</f>
        <v>0</v>
      </c>
      <c r="AA1045" s="20" t="n">
        <f aca="false">0</f>
        <v>0</v>
      </c>
      <c r="AB1045" s="20" t="n">
        <f aca="false">0</f>
        <v>0</v>
      </c>
      <c r="AC1045" s="20" t="n">
        <f aca="false">0</f>
        <v>0</v>
      </c>
      <c r="AD1045" s="20" t="n">
        <f aca="false">0</f>
        <v>0</v>
      </c>
      <c r="AE1045" s="20" t="n">
        <f aca="false">0</f>
        <v>0</v>
      </c>
      <c r="AF1045" s="20" t="n">
        <f aca="false">0</f>
        <v>0</v>
      </c>
      <c r="AG1045" s="20" t="n">
        <f aca="false">0</f>
        <v>0</v>
      </c>
      <c r="AH1045" s="20" t="n">
        <f aca="false">0</f>
        <v>0</v>
      </c>
      <c r="AI1045" s="20" t="n">
        <f aca="false">0</f>
        <v>0</v>
      </c>
      <c r="AJ1045" s="20" t="n">
        <f aca="false">0</f>
        <v>0</v>
      </c>
      <c r="AK1045" s="20" t="n">
        <f aca="false">0</f>
        <v>0</v>
      </c>
      <c r="AL1045" s="20" t="n">
        <f aca="false">0</f>
        <v>0</v>
      </c>
      <c r="AM1045" s="20" t="n">
        <f aca="false">0</f>
        <v>0</v>
      </c>
      <c r="AN1045" s="20" t="n">
        <f aca="false">0</f>
        <v>0</v>
      </c>
      <c r="AO1045" s="20" t="n">
        <f aca="false">0</f>
        <v>0</v>
      </c>
      <c r="AP1045" s="20" t="n">
        <f aca="false">0</f>
        <v>0</v>
      </c>
      <c r="AQ1045" s="20" t="n">
        <f aca="false">0</f>
        <v>0</v>
      </c>
      <c r="AR1045" s="20" t="n">
        <f aca="false">0</f>
        <v>0</v>
      </c>
      <c r="AS1045" s="20" t="n">
        <f aca="false">0</f>
        <v>0</v>
      </c>
      <c r="AT1045" s="20" t="n">
        <f aca="false">0</f>
        <v>0</v>
      </c>
      <c r="AU1045" s="20" t="n">
        <f aca="false">0</f>
        <v>0</v>
      </c>
    </row>
    <row r="1046" customFormat="false" ht="15" hidden="false" customHeight="false" outlineLevel="0" collapsed="false">
      <c r="D1046" s="0" t="s">
        <v>651</v>
      </c>
      <c r="E1046" s="0" t="s">
        <v>47</v>
      </c>
      <c r="J1046" s="20" t="n">
        <f aca="false">Inputs!$F$243/100*Inputs!$F$137*Inputs!$F$132/1000*Time!J$9*Operations!J1023</f>
        <v>0.0415872</v>
      </c>
      <c r="K1046" s="20" t="n">
        <f aca="false">Inputs!$F$243/100*Inputs!$F$137*Inputs!$F$132/1000*Time!K$9*Operations!K1023</f>
        <v>0.04262688</v>
      </c>
      <c r="L1046" s="20" t="n">
        <f aca="false">Inputs!$F$243/100*Inputs!$F$137*Inputs!$F$132/1000*Time!L$9*Operations!L1023</f>
        <v>0.043692552</v>
      </c>
      <c r="M1046" s="20" t="n">
        <f aca="false">Inputs!$F$243/100*Inputs!$F$137*Inputs!$F$132/1000*Time!M$9*Operations!M1023</f>
        <v>0.0447848658</v>
      </c>
      <c r="N1046" s="20" t="n">
        <f aca="false">Inputs!$F$243/100*Inputs!$F$137*Inputs!$F$132/1000*Time!N$9*Operations!N1023</f>
        <v>0.045904487445</v>
      </c>
      <c r="O1046" s="20" t="n">
        <f aca="false">Inputs!$F$243/100*Inputs!$F$137*Inputs!$F$132/1000*Time!O$9*Operations!O1023</f>
        <v>0.047052099631125</v>
      </c>
      <c r="P1046" s="20" t="n">
        <f aca="false">Inputs!$F$243/100*Inputs!$F$137*Inputs!$F$132/1000*Time!P$9*Operations!P1023</f>
        <v>0.0482284021219031</v>
      </c>
      <c r="Q1046" s="20" t="n">
        <f aca="false">Inputs!$F$243/100*Inputs!$F$137*Inputs!$F$132/1000*Time!Q$9*Operations!Q1023</f>
        <v>0.0494341121749507</v>
      </c>
      <c r="R1046" s="20" t="n">
        <f aca="false">Inputs!$F$243/100*Inputs!$F$137*Inputs!$F$132/1000*Time!R$9*Operations!R1023</f>
        <v>0.0506699649793244</v>
      </c>
      <c r="S1046" s="20" t="n">
        <f aca="false">Inputs!$F$243/100*Inputs!$F$137*Inputs!$F$132/1000*Time!S$9*Operations!S1023</f>
        <v>0.0519367141038076</v>
      </c>
      <c r="T1046" s="20" t="n">
        <f aca="false">Inputs!$F$243/100*Inputs!$F$137*Inputs!$F$132/1000*Time!T$9*Operations!T1023</f>
        <v>0.0532351319564027</v>
      </c>
      <c r="U1046" s="20" t="n">
        <f aca="false">Inputs!$F$243/100*Inputs!$F$137*Inputs!$F$132/1000*Time!U$9*Operations!U1023</f>
        <v>0.0545660102553128</v>
      </c>
      <c r="V1046" s="20" t="n">
        <f aca="false">Inputs!$F$243/100*Inputs!$F$137*Inputs!$F$132/1000*Time!V$9*Operations!V1023</f>
        <v>0.0559301605116956</v>
      </c>
      <c r="W1046" s="20" t="n">
        <f aca="false">Inputs!$F$243/100*Inputs!$F$137*Inputs!$F$132/1000*Time!W$9*Operations!W1023</f>
        <v>0.057328414524488</v>
      </c>
      <c r="X1046" s="20" t="n">
        <f aca="false">Inputs!$F$243/100*Inputs!$F$137*Inputs!$F$132/1000*Time!X$9*Operations!X1023</f>
        <v>0.0587616248876002</v>
      </c>
      <c r="Y1046" s="20" t="n">
        <f aca="false">Inputs!$F$243/100*Inputs!$F$137*Inputs!$F$132/1000*Time!Y$9*Operations!Y1023</f>
        <v>0.0602306655097902</v>
      </c>
      <c r="Z1046" s="20" t="n">
        <f aca="false">Inputs!$F$243/100*Inputs!$F$137*Inputs!$F$132/1000*Time!Z$9*Operations!Z1023</f>
        <v>0.0617364321475349</v>
      </c>
      <c r="AA1046" s="20" t="n">
        <f aca="false">Inputs!$F$243/100*Inputs!$F$137*Inputs!$F$132/1000*Time!AA$9*Operations!AA1023</f>
        <v>0.0632798429512233</v>
      </c>
      <c r="AB1046" s="20" t="n">
        <f aca="false">Inputs!$F$243/100*Inputs!$F$137*Inputs!$F$132/1000*Time!AB$9*Operations!AB1023</f>
        <v>0.0648618390250039</v>
      </c>
      <c r="AC1046" s="20" t="n">
        <f aca="false">Inputs!$F$243/100*Inputs!$F$137*Inputs!$F$132/1000*Time!AC$9*Operations!AC1023</f>
        <v>0.066483385000629</v>
      </c>
      <c r="AD1046" s="20" t="n">
        <f aca="false">Inputs!$F$243/100*Inputs!$F$137*Inputs!$F$132/1000*Time!AD$9*Operations!AD1023</f>
        <v>0.0681454696256447</v>
      </c>
      <c r="AE1046" s="20" t="n">
        <f aca="false">Inputs!$F$243/100*Inputs!$F$137*Inputs!$F$132/1000*Time!AE$9*Operations!AE1023</f>
        <v>0.0698491063662858</v>
      </c>
      <c r="AF1046" s="20" t="n">
        <f aca="false">Inputs!$F$243/100*Inputs!$F$137*Inputs!$F$132/1000*Time!AF$9*Operations!AF1023</f>
        <v>0.071595334025443</v>
      </c>
      <c r="AG1046" s="20" t="n">
        <f aca="false">Inputs!$F$243/100*Inputs!$F$137*Inputs!$F$132/1000*Time!AG$9*Operations!AG1023</f>
        <v>0.073385217376079</v>
      </c>
      <c r="AH1046" s="20" t="n">
        <f aca="false">Inputs!$F$243/100*Inputs!$F$137*Inputs!$F$132/1000*Time!AH$9*Operations!AH1023</f>
        <v>0.075219847810481</v>
      </c>
      <c r="AI1046" s="20" t="n">
        <f aca="false">Inputs!$F$243/100*Inputs!$F$137*Inputs!$F$132/1000*Time!AI$9*Operations!AI1023</f>
        <v>0.077100344005743</v>
      </c>
      <c r="AJ1046" s="20" t="n">
        <f aca="false">Inputs!$F$243/100*Inputs!$F$137*Inputs!$F$132/1000*Time!AJ$9*Operations!AJ1023</f>
        <v>0.0790278526058866</v>
      </c>
      <c r="AK1046" s="20" t="n">
        <f aca="false">Inputs!$F$243/100*Inputs!$F$137*Inputs!$F$132/1000*Time!AK$9*Operations!AK1023</f>
        <v>0.0810035489210337</v>
      </c>
      <c r="AL1046" s="20" t="n">
        <f aca="false">Inputs!$F$243/100*Inputs!$F$137*Inputs!$F$132/1000*Time!AL$9*Operations!AL1023</f>
        <v>0.0830286376440596</v>
      </c>
      <c r="AM1046" s="20" t="n">
        <f aca="false">Inputs!$F$243/100*Inputs!$F$137*Inputs!$F$132/1000*Time!AM$9*Operations!AM1023</f>
        <v>0.0851043535851611</v>
      </c>
      <c r="AN1046" s="20" t="n">
        <f aca="false">Inputs!$F$243/100*Inputs!$F$137*Inputs!$F$132/1000*Time!AN$9*Operations!AN1023</f>
        <v>0.0872319624247901</v>
      </c>
      <c r="AO1046" s="20" t="n">
        <f aca="false">Inputs!$F$243/100*Inputs!$F$137*Inputs!$F$132/1000*Time!AO$9*Operations!AO1023</f>
        <v>0.0894127614854098</v>
      </c>
      <c r="AP1046" s="20" t="n">
        <f aca="false">Inputs!$F$243/100*Inputs!$F$137*Inputs!$F$132/1000*Time!AP$9*Operations!AP1023</f>
        <v>0.091648080522545</v>
      </c>
      <c r="AQ1046" s="20" t="n">
        <f aca="false">Inputs!$F$243/100*Inputs!$F$137*Inputs!$F$132/1000*Time!AQ$9*Operations!AQ1023</f>
        <v>0.0939392825356087</v>
      </c>
      <c r="AR1046" s="20" t="n">
        <f aca="false">Inputs!$F$243/100*Inputs!$F$137*Inputs!$F$132/1000*Time!AR$9*Operations!AR1023</f>
        <v>0.0478808009754585</v>
      </c>
      <c r="AS1046" s="20" t="n">
        <f aca="false">Inputs!$F$243/100*Inputs!$F$137*Inputs!$F$132/1000*Time!AS$9*Operations!AS1023</f>
        <v>0</v>
      </c>
      <c r="AT1046" s="20" t="n">
        <f aca="false">Inputs!$F$243/100*Inputs!$F$137*Inputs!$F$132/1000*Time!AT$9*Operations!AT1023</f>
        <v>0</v>
      </c>
      <c r="AU1046" s="20" t="n">
        <f aca="false">Inputs!$F$243/100*Inputs!$F$137*Inputs!$F$132/1000*Time!AU$9*Operations!AU1023</f>
        <v>0</v>
      </c>
    </row>
    <row r="1047" customFormat="false" ht="15" hidden="false" customHeight="false" outlineLevel="0" collapsed="false">
      <c r="D1047" s="0" t="s">
        <v>652</v>
      </c>
      <c r="E1047" s="0" t="s">
        <v>47</v>
      </c>
      <c r="J1047" s="20" t="n">
        <f aca="false">Inputs!$F$244/100*Inputs!$F$245/100*Operations!J1042</f>
        <v>0.0534637969859623</v>
      </c>
      <c r="K1047" s="20" t="n">
        <f aca="false">Inputs!$F$244/100*Inputs!$F$245/100*Operations!K1042</f>
        <v>0.0537539408409759</v>
      </c>
      <c r="L1047" s="20" t="n">
        <f aca="false">Inputs!$F$244/100*Inputs!$F$245/100*Operations!L1042</f>
        <v>0.0550817458248149</v>
      </c>
      <c r="M1047" s="20" t="n">
        <f aca="false">Inputs!$F$244/100*Inputs!$F$245/100*Operations!M1042</f>
        <v>0.0539815936642332</v>
      </c>
      <c r="N1047" s="20" t="n">
        <f aca="false">Inputs!$F$244/100*Inputs!$F$245/100*Operations!N1042</f>
        <v>0.0534580635000801</v>
      </c>
      <c r="O1047" s="20" t="n">
        <f aca="false">Inputs!$F$244/100*Inputs!$F$245/100*Operations!O1042</f>
        <v>0.0530603677075939</v>
      </c>
      <c r="P1047" s="20" t="n">
        <f aca="false">Inputs!$F$244/100*Inputs!$F$245/100*Operations!P1042</f>
        <v>0.052717311118606</v>
      </c>
      <c r="Q1047" s="20" t="n">
        <f aca="false">Inputs!$F$244/100*Inputs!$F$245/100*Operations!Q1042</f>
        <v>0.0524051052476116</v>
      </c>
      <c r="R1047" s="20" t="n">
        <f aca="false">Inputs!$F$244/100*Inputs!$F$245/100*Operations!R1042</f>
        <v>0.0520889001215914</v>
      </c>
      <c r="S1047" s="20" t="n">
        <f aca="false">Inputs!$F$244/100*Inputs!$F$245/100*Operations!S1042</f>
        <v>0.0517950563210235</v>
      </c>
      <c r="T1047" s="20" t="n">
        <f aca="false">Inputs!$F$244/100*Inputs!$F$245/100*Operations!T1042</f>
        <v>0.0515016643095651</v>
      </c>
      <c r="U1047" s="20" t="n">
        <f aca="false">Inputs!$F$244/100*Inputs!$F$245/100*Operations!U1042</f>
        <v>0.0573161810905415</v>
      </c>
      <c r="V1047" s="20" t="n">
        <f aca="false">Inputs!$F$244/100*Inputs!$F$245/100*Operations!V1042</f>
        <v>0.0621921276729668</v>
      </c>
      <c r="W1047" s="20" t="n">
        <f aca="false">Inputs!$F$244/100*Inputs!$F$245/100*Operations!W1042</f>
        <v>0.0610081066412839</v>
      </c>
      <c r="X1047" s="20" t="n">
        <f aca="false">Inputs!$F$244/100*Inputs!$F$245/100*Operations!X1042</f>
        <v>0.0619439944618175</v>
      </c>
      <c r="Y1047" s="20" t="n">
        <f aca="false">Inputs!$F$244/100*Inputs!$F$245/100*Operations!Y1042</f>
        <v>0.0629019338091508</v>
      </c>
      <c r="Z1047" s="20" t="n">
        <f aca="false">Inputs!$F$244/100*Inputs!$F$245/100*Operations!Z1042</f>
        <v>0.0638710421609055</v>
      </c>
      <c r="AA1047" s="20" t="n">
        <f aca="false">Inputs!$F$244/100*Inputs!$F$245/100*Operations!AA1042</f>
        <v>0.06485110489606</v>
      </c>
      <c r="AB1047" s="20" t="n">
        <f aca="false">Inputs!$F$244/100*Inputs!$F$245/100*Operations!AB1042</f>
        <v>0.0658523374487539</v>
      </c>
      <c r="AC1047" s="20" t="n">
        <f aca="false">Inputs!$F$244/100*Inputs!$F$245/100*Operations!AC1042</f>
        <v>0.0668640076694601</v>
      </c>
      <c r="AD1047" s="20" t="n">
        <f aca="false">Inputs!$F$244/100*Inputs!$F$245/100*Operations!AD1042</f>
        <v>0.0678962421986656</v>
      </c>
      <c r="AE1047" s="20" t="n">
        <f aca="false">Inputs!$F$244/100*Inputs!$F$245/100*Operations!AE1042</f>
        <v>0.0689384081792814</v>
      </c>
      <c r="AF1047" s="20" t="n">
        <f aca="false">Inputs!$F$244/100*Inputs!$F$245/100*Operations!AF1042</f>
        <v>0.0700005442196409</v>
      </c>
      <c r="AG1047" s="20" t="n">
        <f aca="false">Inputs!$F$244/100*Inputs!$F$245/100*Operations!AG1042</f>
        <v>0.0710823112253094</v>
      </c>
      <c r="AH1047" s="20" t="n">
        <f aca="false">Inputs!$F$244/100*Inputs!$F$245/100*Operations!AH1042</f>
        <v>0.0721732238532875</v>
      </c>
      <c r="AI1047" s="20" t="n">
        <f aca="false">Inputs!$F$244/100*Inputs!$F$245/100*Operations!AI1042</f>
        <v>0.0732831903868878</v>
      </c>
      <c r="AJ1047" s="20" t="n">
        <f aca="false">Inputs!$F$244/100*Inputs!$F$245/100*Operations!AJ1042</f>
        <v>0.0744118808480664</v>
      </c>
      <c r="AK1047" s="20" t="n">
        <f aca="false">Inputs!$F$244/100*Inputs!$F$245/100*Operations!AK1042</f>
        <v>0.0755589684565493</v>
      </c>
      <c r="AL1047" s="20" t="n">
        <f aca="false">Inputs!$F$244/100*Inputs!$F$245/100*Operations!AL1042</f>
        <v>0.0767241296049715</v>
      </c>
      <c r="AM1047" s="20" t="n">
        <f aca="false">Inputs!$F$244/100*Inputs!$F$245/100*Operations!AM1042</f>
        <v>0.0779070438341889</v>
      </c>
      <c r="AN1047" s="20" t="n">
        <f aca="false">Inputs!$F$244/100*Inputs!$F$245/100*Operations!AN1042</f>
        <v>0.0791073938087601</v>
      </c>
      <c r="AO1047" s="20" t="n">
        <f aca="false">Inputs!$F$244/100*Inputs!$F$245/100*Operations!AO1042</f>
        <v>0.0803248652925972</v>
      </c>
      <c r="AP1047" s="20" t="n">
        <f aca="false">Inputs!$F$244/100*Inputs!$F$245/100*Operations!AP1042</f>
        <v>0.0815591471247846</v>
      </c>
      <c r="AQ1047" s="20" t="n">
        <f aca="false">Inputs!$F$244/100*Inputs!$F$245/100*Operations!AQ1042</f>
        <v>0.0828196769801009</v>
      </c>
      <c r="AR1047" s="20" t="n">
        <f aca="false">Inputs!$F$244/100*Inputs!$F$245/100*Operations!AR1042</f>
        <v>0.0418183867837973</v>
      </c>
      <c r="AS1047" s="20" t="n">
        <f aca="false">Inputs!$F$244/100*Inputs!$F$245/100*Operations!AS1042</f>
        <v>0</v>
      </c>
      <c r="AT1047" s="20" t="n">
        <f aca="false">Inputs!$F$244/100*Inputs!$F$245/100*Operations!AT1042</f>
        <v>0</v>
      </c>
      <c r="AU1047" s="20" t="n">
        <f aca="false">Inputs!$F$244/100*Inputs!$F$245/100*Operations!AU1042</f>
        <v>0</v>
      </c>
    </row>
    <row r="1048" customFormat="false" ht="15" hidden="false" customHeight="false" outlineLevel="0" collapsed="false">
      <c r="D1048" s="0" t="s">
        <v>653</v>
      </c>
      <c r="E1048" s="0" t="s">
        <v>47</v>
      </c>
      <c r="G1048" s="20" t="n">
        <f aca="false">SUM(J1048:AU1048)</f>
        <v>236.609302602726</v>
      </c>
      <c r="J1048" s="20" t="n">
        <f aca="false">Operations!J1042-Operations!J1044-Operations!J1045-Operations!J1046-Operations!J1047</f>
        <v>6.73236938129257</v>
      </c>
      <c r="K1048" s="20" t="n">
        <f aca="false">Operations!K1042-Operations!K1044-Operations!K1045-Operations!K1046-Operations!K1047</f>
        <v>6.58887894163063</v>
      </c>
      <c r="L1048" s="20" t="n">
        <f aca="false">Operations!L1042-Operations!L1044-Operations!L1045-Operations!L1046-Operations!L1047</f>
        <v>6.75056104686374</v>
      </c>
      <c r="M1048" s="20" t="n">
        <f aca="false">Operations!M1042-Operations!M1044-Operations!M1045-Operations!M1046-Operations!M1047</f>
        <v>6.44995544861256</v>
      </c>
      <c r="N1048" s="20" t="n">
        <f aca="false">Operations!N1042-Operations!N1044-Operations!N1045-Operations!N1046-Operations!N1047</f>
        <v>6.25630216564146</v>
      </c>
      <c r="O1048" s="20" t="n">
        <f aca="false">Operations!O1042-Operations!O1044-Operations!O1045-Operations!O1046-Operations!O1047</f>
        <v>6.08413008049806</v>
      </c>
      <c r="P1048" s="20" t="n">
        <f aca="false">Operations!P1042-Operations!P1044-Operations!P1045-Operations!P1046-Operations!P1047</f>
        <v>5.91989036844882</v>
      </c>
      <c r="Q1048" s="20" t="n">
        <f aca="false">Operations!Q1042-Operations!Q1044-Operations!Q1045-Operations!Q1046-Operations!Q1047</f>
        <v>5.75901516650719</v>
      </c>
      <c r="R1048" s="20" t="n">
        <f aca="false">Operations!R1042-Operations!R1044-Operations!R1045-Operations!R1046-Operations!R1047</f>
        <v>5.59483921038698</v>
      </c>
      <c r="S1048" s="20" t="n">
        <f aca="false">Operations!S1042-Operations!S1044-Operations!S1045-Operations!S1046-Operations!S1047</f>
        <v>5.43229362769165</v>
      </c>
      <c r="T1048" s="20" t="n">
        <f aca="false">Operations!T1042-Operations!T1044-Operations!T1045-Operations!T1046-Operations!T1047</f>
        <v>5.26716191880648</v>
      </c>
      <c r="U1048" s="20" t="n">
        <f aca="false">Operations!U1042-Operations!U1044-Operations!U1045-Operations!U1046-Operations!U1047</f>
        <v>6.25659497698193</v>
      </c>
      <c r="V1048" s="20" t="n">
        <f aca="false">Operations!V1042-Operations!V1044-Operations!V1045-Operations!V1046-Operations!V1047</f>
        <v>7.06538434366784</v>
      </c>
      <c r="W1048" s="20" t="n">
        <f aca="false">Operations!W1042-Operations!W1044-Operations!W1045-Operations!W1046-Operations!W1047</f>
        <v>6.7230769720055</v>
      </c>
      <c r="X1048" s="20" t="n">
        <f aca="false">Operations!X1042-Operations!X1044-Operations!X1045-Operations!X1046-Operations!X1047</f>
        <v>6.77949276438954</v>
      </c>
      <c r="Y1048" s="20" t="n">
        <f aca="false">Operations!Y1042-Operations!Y1044-Operations!Y1045-Operations!Y1046-Operations!Y1047</f>
        <v>6.83706397940165</v>
      </c>
      <c r="Z1048" s="20" t="n">
        <f aca="false">Operations!Z1042-Operations!Z1044-Operations!Z1045-Operations!Z1046-Operations!Z1047</f>
        <v>6.89365306774225</v>
      </c>
      <c r="AA1048" s="20" t="n">
        <f aca="false">Operations!AA1042-Operations!AA1044-Operations!AA1045-Operations!AA1046-Operations!AA1047</f>
        <v>6.94914190416073</v>
      </c>
      <c r="AB1048" s="20" t="n">
        <f aca="false">Operations!AB1042-Operations!AB1044-Operations!AB1045-Operations!AB1046-Operations!AB1047</f>
        <v>7.00538667403301</v>
      </c>
      <c r="AC1048" s="20" t="n">
        <f aca="false">Operations!AC1042-Operations!AC1044-Operations!AC1045-Operations!AC1046-Operations!AC1047</f>
        <v>7.06027250947789</v>
      </c>
      <c r="AD1048" s="20" t="n">
        <f aca="false">Operations!AD1042-Operations!AD1044-Operations!AD1045-Operations!AD1046-Operations!AD1047</f>
        <v>7.11563475215718</v>
      </c>
      <c r="AE1048" s="20" t="n">
        <f aca="false">Operations!AE1042-Operations!AE1044-Operations!AE1045-Operations!AE1046-Operations!AE1047</f>
        <v>7.16937322782577</v>
      </c>
      <c r="AF1048" s="20" t="n">
        <f aca="false">Operations!AF1042-Operations!AF1044-Operations!AF1045-Operations!AF1046-Operations!AF1047</f>
        <v>7.22330237523364</v>
      </c>
      <c r="AG1048" s="20" t="n">
        <f aca="false">Operations!AG1042-Operations!AG1044-Operations!AG1045-Operations!AG1046-Operations!AG1047</f>
        <v>7.27726811458143</v>
      </c>
      <c r="AH1048" s="20" t="n">
        <f aca="false">Operations!AH1042-Operations!AH1044-Operations!AH1045-Operations!AH1046-Operations!AH1047</f>
        <v>7.32919164780728</v>
      </c>
      <c r="AI1048" s="20" t="n">
        <f aca="false">Operations!AI1042-Operations!AI1044-Operations!AI1045-Operations!AI1046-Operations!AI1047</f>
        <v>7.38085598159244</v>
      </c>
      <c r="AJ1048" s="20" t="n">
        <f aca="false">Operations!AJ1042-Operations!AJ1044-Operations!AJ1045-Operations!AJ1046-Operations!AJ1047</f>
        <v>7.43210185643198</v>
      </c>
      <c r="AK1048" s="20" t="n">
        <f aca="false">Operations!AK1042-Operations!AK1044-Operations!AK1045-Operations!AK1046-Operations!AK1047</f>
        <v>7.48276820030905</v>
      </c>
      <c r="AL1048" s="20" t="n">
        <f aca="false">Operations!AL1042-Operations!AL1044-Operations!AL1045-Operations!AL1046-Operations!AL1047</f>
        <v>7.53269206352424</v>
      </c>
      <c r="AM1048" s="20" t="n">
        <f aca="false">Operations!AM1042-Operations!AM1044-Operations!AM1045-Operations!AM1046-Operations!AM1047</f>
        <v>7.58170855204576</v>
      </c>
      <c r="AN1048" s="20" t="n">
        <f aca="false">Operations!AN1042-Operations!AN1044-Operations!AN1045-Operations!AN1046-Operations!AN1047</f>
        <v>7.62965075934276</v>
      </c>
      <c r="AO1048" s="20" t="n">
        <f aca="false">Operations!AO1042-Operations!AO1044-Operations!AO1045-Operations!AO1046-Operations!AO1047</f>
        <v>7.67634969666258</v>
      </c>
      <c r="AP1048" s="20" t="n">
        <f aca="false">Operations!AP1042-Operations!AP1044-Operations!AP1045-Operations!AP1046-Operations!AP1047</f>
        <v>7.72163422171212</v>
      </c>
      <c r="AQ1048" s="20" t="n">
        <f aca="false">Operations!AQ1042-Operations!AQ1044-Operations!AQ1045-Operations!AQ1046-Operations!AQ1047</f>
        <v>7.76717755982947</v>
      </c>
      <c r="AR1048" s="20" t="n">
        <f aca="false">Operations!AR1042-Operations!AR1044-Operations!AR1045-Operations!AR1046-Operations!AR1047</f>
        <v>3.88412904542949</v>
      </c>
      <c r="AS1048" s="20" t="n">
        <f aca="false">Operations!AS1042-Operations!AS1044-Operations!AS1045-Operations!AS1046-Operations!AS1047</f>
        <v>0</v>
      </c>
      <c r="AT1048" s="20" t="n">
        <f aca="false">Operations!AT1042-Operations!AT1044-Operations!AT1045-Operations!AT1046-Operations!AT1047</f>
        <v>0</v>
      </c>
      <c r="AU1048" s="20" t="n">
        <f aca="false">Operations!AU1042-Operations!AU1044-Operations!AU1045-Operations!AU1046-Operations!AU1047</f>
        <v>0</v>
      </c>
    </row>
    <row r="1049" customFormat="false" ht="15" hidden="false" customHeight="false" outlineLevel="0" collapsed="false">
      <c r="D1049" s="0" t="s">
        <v>654</v>
      </c>
      <c r="E1049" s="0" t="s">
        <v>47</v>
      </c>
      <c r="J1049" s="20" t="n">
        <f aca="false">0</f>
        <v>0</v>
      </c>
      <c r="K1049" s="20" t="n">
        <f aca="false">0</f>
        <v>0</v>
      </c>
      <c r="L1049" s="20" t="n">
        <f aca="false">0</f>
        <v>0</v>
      </c>
      <c r="M1049" s="20" t="n">
        <f aca="false">0</f>
        <v>0</v>
      </c>
      <c r="N1049" s="20" t="n">
        <f aca="false">0</f>
        <v>0</v>
      </c>
      <c r="O1049" s="20" t="n">
        <f aca="false">0</f>
        <v>0</v>
      </c>
      <c r="P1049" s="20" t="n">
        <f aca="false">0</f>
        <v>0</v>
      </c>
      <c r="Q1049" s="20" t="n">
        <f aca="false">0</f>
        <v>0</v>
      </c>
      <c r="R1049" s="20" t="n">
        <f aca="false">0</f>
        <v>0</v>
      </c>
      <c r="S1049" s="20" t="n">
        <f aca="false">0</f>
        <v>0</v>
      </c>
      <c r="T1049" s="20" t="n">
        <f aca="false">0</f>
        <v>0</v>
      </c>
      <c r="U1049" s="20" t="n">
        <f aca="false">0</f>
        <v>0</v>
      </c>
      <c r="V1049" s="20" t="n">
        <f aca="false">0</f>
        <v>0</v>
      </c>
      <c r="W1049" s="20" t="n">
        <f aca="false">0</f>
        <v>0</v>
      </c>
      <c r="X1049" s="20" t="n">
        <f aca="false">0</f>
        <v>0</v>
      </c>
      <c r="Y1049" s="20" t="n">
        <f aca="false">0</f>
        <v>0</v>
      </c>
      <c r="Z1049" s="20" t="n">
        <f aca="false">0</f>
        <v>0</v>
      </c>
      <c r="AA1049" s="20" t="n">
        <f aca="false">0</f>
        <v>0</v>
      </c>
      <c r="AB1049" s="20" t="n">
        <f aca="false">0</f>
        <v>0</v>
      </c>
      <c r="AC1049" s="20" t="n">
        <f aca="false">0</f>
        <v>0</v>
      </c>
      <c r="AD1049" s="20" t="n">
        <f aca="false">0</f>
        <v>0</v>
      </c>
      <c r="AE1049" s="20" t="n">
        <f aca="false">0</f>
        <v>0</v>
      </c>
      <c r="AF1049" s="20" t="n">
        <f aca="false">0</f>
        <v>0</v>
      </c>
      <c r="AG1049" s="20" t="n">
        <f aca="false">0</f>
        <v>0</v>
      </c>
      <c r="AH1049" s="20" t="n">
        <f aca="false">0</f>
        <v>0</v>
      </c>
      <c r="AI1049" s="20" t="n">
        <f aca="false">0</f>
        <v>0</v>
      </c>
      <c r="AJ1049" s="20" t="n">
        <f aca="false">0</f>
        <v>0</v>
      </c>
      <c r="AK1049" s="20" t="n">
        <f aca="false">0</f>
        <v>0</v>
      </c>
      <c r="AL1049" s="20" t="n">
        <f aca="false">0</f>
        <v>0</v>
      </c>
      <c r="AM1049" s="20" t="n">
        <f aca="false">0</f>
        <v>0</v>
      </c>
      <c r="AN1049" s="20" t="n">
        <f aca="false">0</f>
        <v>0</v>
      </c>
      <c r="AO1049" s="20" t="n">
        <f aca="false">0</f>
        <v>0</v>
      </c>
      <c r="AP1049" s="20" t="n">
        <f aca="false">0</f>
        <v>0</v>
      </c>
      <c r="AQ1049" s="20" t="n">
        <f aca="false">0</f>
        <v>0</v>
      </c>
      <c r="AR1049" s="20" t="n">
        <f aca="false">0</f>
        <v>0</v>
      </c>
      <c r="AS1049" s="20" t="n">
        <f aca="false">0</f>
        <v>0</v>
      </c>
      <c r="AT1049" s="20" t="n">
        <f aca="false">0</f>
        <v>0</v>
      </c>
      <c r="AU1049" s="20" t="n">
        <f aca="false">0</f>
        <v>0</v>
      </c>
    </row>
    <row r="1050" customFormat="false" ht="15" hidden="false" customHeight="false" outlineLevel="0" collapsed="false">
      <c r="D1050" s="0" t="s">
        <v>655</v>
      </c>
      <c r="E1050" s="0" t="s">
        <v>47</v>
      </c>
      <c r="J1050" s="20" t="n">
        <f aca="false">IF(Time!J$4=YEAR(Inputs!$F$134),Inputs!$F$137*Inputs!$F$132/1000*Time!J$9,0)</f>
        <v>0</v>
      </c>
      <c r="K1050" s="20" t="n">
        <f aca="false">IF(Time!K$4=YEAR(Inputs!$F$134),Inputs!$F$137*Inputs!$F$132/1000*Time!K$9,0)</f>
        <v>0</v>
      </c>
      <c r="L1050" s="20" t="n">
        <f aca="false">IF(Time!L$4=YEAR(Inputs!$F$134),Inputs!$F$137*Inputs!$F$132/1000*Time!L$9,0)</f>
        <v>0</v>
      </c>
      <c r="M1050" s="20" t="n">
        <f aca="false">IF(Time!M$4=YEAR(Inputs!$F$134),Inputs!$F$137*Inputs!$F$132/1000*Time!M$9,0)</f>
        <v>0</v>
      </c>
      <c r="N1050" s="20" t="n">
        <f aca="false">IF(Time!N$4=YEAR(Inputs!$F$134),Inputs!$F$137*Inputs!$F$132/1000*Time!N$9,0)</f>
        <v>0</v>
      </c>
      <c r="O1050" s="20" t="n">
        <f aca="false">IF(Time!O$4=YEAR(Inputs!$F$134),Inputs!$F$137*Inputs!$F$132/1000*Time!O$9,0)</f>
        <v>0</v>
      </c>
      <c r="P1050" s="20" t="n">
        <f aca="false">IF(Time!P$4=YEAR(Inputs!$F$134),Inputs!$F$137*Inputs!$F$132/1000*Time!P$9,0)</f>
        <v>0</v>
      </c>
      <c r="Q1050" s="20" t="n">
        <f aca="false">IF(Time!Q$4=YEAR(Inputs!$F$134),Inputs!$F$137*Inputs!$F$132/1000*Time!Q$9,0)</f>
        <v>0</v>
      </c>
      <c r="R1050" s="20" t="n">
        <f aca="false">IF(Time!R$4=YEAR(Inputs!$F$134),Inputs!$F$137*Inputs!$F$132/1000*Time!R$9,0)</f>
        <v>0</v>
      </c>
      <c r="S1050" s="20" t="n">
        <f aca="false">IF(Time!S$4=YEAR(Inputs!$F$134),Inputs!$F$137*Inputs!$F$132/1000*Time!S$9,0)</f>
        <v>0</v>
      </c>
      <c r="T1050" s="20" t="n">
        <f aca="false">IF(Time!T$4=YEAR(Inputs!$F$134),Inputs!$F$137*Inputs!$F$132/1000*Time!T$9,0)</f>
        <v>0</v>
      </c>
      <c r="U1050" s="20" t="n">
        <f aca="false">IF(Time!U$4=YEAR(Inputs!$F$134),Inputs!$F$137*Inputs!$F$132/1000*Time!U$9,0)</f>
        <v>0</v>
      </c>
      <c r="V1050" s="20" t="n">
        <f aca="false">IF(Time!V$4=YEAR(Inputs!$F$134),Inputs!$F$137*Inputs!$F$132/1000*Time!V$9,0)</f>
        <v>0</v>
      </c>
      <c r="W1050" s="20" t="n">
        <f aca="false">IF(Time!W$4=YEAR(Inputs!$F$134),Inputs!$F$137*Inputs!$F$132/1000*Time!W$9,0)</f>
        <v>0</v>
      </c>
      <c r="X1050" s="20" t="n">
        <f aca="false">IF(Time!X$4=YEAR(Inputs!$F$134),Inputs!$F$137*Inputs!$F$132/1000*Time!X$9,0)</f>
        <v>0</v>
      </c>
      <c r="Y1050" s="20" t="n">
        <f aca="false">IF(Time!Y$4=YEAR(Inputs!$F$134),Inputs!$F$137*Inputs!$F$132/1000*Time!Y$9,0)</f>
        <v>0</v>
      </c>
      <c r="Z1050" s="20" t="n">
        <f aca="false">IF(Time!Z$4=YEAR(Inputs!$F$134),Inputs!$F$137*Inputs!$F$132/1000*Time!Z$9,0)</f>
        <v>0</v>
      </c>
      <c r="AA1050" s="20" t="n">
        <f aca="false">IF(Time!AA$4=YEAR(Inputs!$F$134),Inputs!$F$137*Inputs!$F$132/1000*Time!AA$9,0)</f>
        <v>0</v>
      </c>
      <c r="AB1050" s="20" t="n">
        <f aca="false">IF(Time!AB$4=YEAR(Inputs!$F$134),Inputs!$F$137*Inputs!$F$132/1000*Time!AB$9,0)</f>
        <v>0</v>
      </c>
      <c r="AC1050" s="20" t="n">
        <f aca="false">IF(Time!AC$4=YEAR(Inputs!$F$134),Inputs!$F$137*Inputs!$F$132/1000*Time!AC$9,0)</f>
        <v>0</v>
      </c>
      <c r="AD1050" s="20" t="n">
        <f aca="false">IF(Time!AD$4=YEAR(Inputs!$F$134),Inputs!$F$137*Inputs!$F$132/1000*Time!AD$9,0)</f>
        <v>0</v>
      </c>
      <c r="AE1050" s="20" t="n">
        <f aca="false">IF(Time!AE$4=YEAR(Inputs!$F$134),Inputs!$F$137*Inputs!$F$132/1000*Time!AE$9,0)</f>
        <v>0</v>
      </c>
      <c r="AF1050" s="20" t="n">
        <f aca="false">IF(Time!AF$4=YEAR(Inputs!$F$134),Inputs!$F$137*Inputs!$F$132/1000*Time!AF$9,0)</f>
        <v>0</v>
      </c>
      <c r="AG1050" s="20" t="n">
        <f aca="false">IF(Time!AG$4=YEAR(Inputs!$F$134),Inputs!$F$137*Inputs!$F$132/1000*Time!AG$9,0)</f>
        <v>0</v>
      </c>
      <c r="AH1050" s="20" t="n">
        <f aca="false">IF(Time!AH$4=YEAR(Inputs!$F$134),Inputs!$F$137*Inputs!$F$132/1000*Time!AH$9,0)</f>
        <v>0</v>
      </c>
      <c r="AI1050" s="20" t="n">
        <f aca="false">IF(Time!AI$4=YEAR(Inputs!$F$134),Inputs!$F$137*Inputs!$F$132/1000*Time!AI$9,0)</f>
        <v>0</v>
      </c>
      <c r="AJ1050" s="20" t="n">
        <f aca="false">IF(Time!AJ$4=YEAR(Inputs!$F$134),Inputs!$F$137*Inputs!$F$132/1000*Time!AJ$9,0)</f>
        <v>0</v>
      </c>
      <c r="AK1050" s="20" t="n">
        <f aca="false">IF(Time!AK$4=YEAR(Inputs!$F$134),Inputs!$F$137*Inputs!$F$132/1000*Time!AK$9,0)</f>
        <v>0</v>
      </c>
      <c r="AL1050" s="20" t="n">
        <f aca="false">IF(Time!AL$4=YEAR(Inputs!$F$134),Inputs!$F$137*Inputs!$F$132/1000*Time!AL$9,0)</f>
        <v>0</v>
      </c>
      <c r="AM1050" s="20" t="n">
        <f aca="false">IF(Time!AM$4=YEAR(Inputs!$F$134),Inputs!$F$137*Inputs!$F$132/1000*Time!AM$9,0)</f>
        <v>0</v>
      </c>
      <c r="AN1050" s="20" t="n">
        <f aca="false">IF(Time!AN$4=YEAR(Inputs!$F$134),Inputs!$F$137*Inputs!$F$132/1000*Time!AN$9,0)</f>
        <v>0</v>
      </c>
      <c r="AO1050" s="20" t="n">
        <f aca="false">IF(Time!AO$4=YEAR(Inputs!$F$134),Inputs!$F$137*Inputs!$F$132/1000*Time!AO$9,0)</f>
        <v>0</v>
      </c>
      <c r="AP1050" s="20" t="n">
        <f aca="false">IF(Time!AP$4=YEAR(Inputs!$F$134),Inputs!$F$137*Inputs!$F$132/1000*Time!AP$9,0)</f>
        <v>0</v>
      </c>
      <c r="AQ1050" s="20" t="n">
        <f aca="false">IF(Time!AQ$4=YEAR(Inputs!$F$134),Inputs!$F$137*Inputs!$F$132/1000*Time!AQ$9,0)</f>
        <v>0</v>
      </c>
      <c r="AR1050" s="20" t="n">
        <f aca="false">IF(Time!AR$4=YEAR(Inputs!$F$134),Inputs!$F$137*Inputs!$F$132/1000*Time!AR$9,0)</f>
        <v>16.0479607664998</v>
      </c>
      <c r="AS1050" s="20" t="n">
        <f aca="false">IF(Time!AS$4=YEAR(Inputs!$F$134),Inputs!$F$137*Inputs!$F$132/1000*Time!AS$9,0)</f>
        <v>0</v>
      </c>
      <c r="AT1050" s="20" t="n">
        <f aca="false">IF(Time!AT$4=YEAR(Inputs!$F$134),Inputs!$F$137*Inputs!$F$132/1000*Time!AT$9,0)</f>
        <v>0</v>
      </c>
      <c r="AU1050" s="20" t="n">
        <f aca="false">IF(Time!AU$4=YEAR(Inputs!$F$134),Inputs!$F$137*Inputs!$F$132/1000*Time!AU$9,0)</f>
        <v>0</v>
      </c>
    </row>
    <row r="1051" customFormat="false" ht="15" hidden="false" customHeight="false" outlineLevel="0" collapsed="false">
      <c r="D1051" s="0" t="s">
        <v>656</v>
      </c>
      <c r="E1051" s="0" t="s">
        <v>47</v>
      </c>
      <c r="G1051" s="20" t="n">
        <f aca="false">SUM(J1051:AU1051)</f>
        <v>220.561341836226</v>
      </c>
      <c r="J1051" s="20" t="n">
        <f aca="false">Operations!J1048-Operations!J1049-Operations!J1050</f>
        <v>6.73236938129257</v>
      </c>
      <c r="K1051" s="20" t="n">
        <f aca="false">Operations!K1048-Operations!K1049-Operations!K1050</f>
        <v>6.58887894163063</v>
      </c>
      <c r="L1051" s="20" t="n">
        <f aca="false">Operations!L1048-Operations!L1049-Operations!L1050</f>
        <v>6.75056104686374</v>
      </c>
      <c r="M1051" s="20" t="n">
        <f aca="false">Operations!M1048-Operations!M1049-Operations!M1050</f>
        <v>6.44995544861256</v>
      </c>
      <c r="N1051" s="20" t="n">
        <f aca="false">Operations!N1048-Operations!N1049-Operations!N1050</f>
        <v>6.25630216564146</v>
      </c>
      <c r="O1051" s="20" t="n">
        <f aca="false">Operations!O1048-Operations!O1049-Operations!O1050</f>
        <v>6.08413008049806</v>
      </c>
      <c r="P1051" s="20" t="n">
        <f aca="false">Operations!P1048-Operations!P1049-Operations!P1050</f>
        <v>5.91989036844882</v>
      </c>
      <c r="Q1051" s="20" t="n">
        <f aca="false">Operations!Q1048-Operations!Q1049-Operations!Q1050</f>
        <v>5.75901516650719</v>
      </c>
      <c r="R1051" s="20" t="n">
        <f aca="false">Operations!R1048-Operations!R1049-Operations!R1050</f>
        <v>5.59483921038698</v>
      </c>
      <c r="S1051" s="20" t="n">
        <f aca="false">Operations!S1048-Operations!S1049-Operations!S1050</f>
        <v>5.43229362769165</v>
      </c>
      <c r="T1051" s="20" t="n">
        <f aca="false">Operations!T1048-Operations!T1049-Operations!T1050</f>
        <v>5.26716191880648</v>
      </c>
      <c r="U1051" s="20" t="n">
        <f aca="false">Operations!U1048-Operations!U1049-Operations!U1050</f>
        <v>6.25659497698193</v>
      </c>
      <c r="V1051" s="20" t="n">
        <f aca="false">Operations!V1048-Operations!V1049-Operations!V1050</f>
        <v>7.06538434366784</v>
      </c>
      <c r="W1051" s="20" t="n">
        <f aca="false">Operations!W1048-Operations!W1049-Operations!W1050</f>
        <v>6.7230769720055</v>
      </c>
      <c r="X1051" s="20" t="n">
        <f aca="false">Operations!X1048-Operations!X1049-Operations!X1050</f>
        <v>6.77949276438954</v>
      </c>
      <c r="Y1051" s="20" t="n">
        <f aca="false">Operations!Y1048-Operations!Y1049-Operations!Y1050</f>
        <v>6.83706397940165</v>
      </c>
      <c r="Z1051" s="20" t="n">
        <f aca="false">Operations!Z1048-Operations!Z1049-Operations!Z1050</f>
        <v>6.89365306774225</v>
      </c>
      <c r="AA1051" s="20" t="n">
        <f aca="false">Operations!AA1048-Operations!AA1049-Operations!AA1050</f>
        <v>6.94914190416073</v>
      </c>
      <c r="AB1051" s="20" t="n">
        <f aca="false">Operations!AB1048-Operations!AB1049-Operations!AB1050</f>
        <v>7.00538667403301</v>
      </c>
      <c r="AC1051" s="20" t="n">
        <f aca="false">Operations!AC1048-Operations!AC1049-Operations!AC1050</f>
        <v>7.06027250947789</v>
      </c>
      <c r="AD1051" s="20" t="n">
        <f aca="false">Operations!AD1048-Operations!AD1049-Operations!AD1050</f>
        <v>7.11563475215718</v>
      </c>
      <c r="AE1051" s="20" t="n">
        <f aca="false">Operations!AE1048-Operations!AE1049-Operations!AE1050</f>
        <v>7.16937322782577</v>
      </c>
      <c r="AF1051" s="20" t="n">
        <f aca="false">Operations!AF1048-Operations!AF1049-Operations!AF1050</f>
        <v>7.22330237523364</v>
      </c>
      <c r="AG1051" s="20" t="n">
        <f aca="false">Operations!AG1048-Operations!AG1049-Operations!AG1050</f>
        <v>7.27726811458143</v>
      </c>
      <c r="AH1051" s="20" t="n">
        <f aca="false">Operations!AH1048-Operations!AH1049-Operations!AH1050</f>
        <v>7.32919164780728</v>
      </c>
      <c r="AI1051" s="20" t="n">
        <f aca="false">Operations!AI1048-Operations!AI1049-Operations!AI1050</f>
        <v>7.38085598159244</v>
      </c>
      <c r="AJ1051" s="20" t="n">
        <f aca="false">Operations!AJ1048-Operations!AJ1049-Operations!AJ1050</f>
        <v>7.43210185643198</v>
      </c>
      <c r="AK1051" s="20" t="n">
        <f aca="false">Operations!AK1048-Operations!AK1049-Operations!AK1050</f>
        <v>7.48276820030905</v>
      </c>
      <c r="AL1051" s="20" t="n">
        <f aca="false">Operations!AL1048-Operations!AL1049-Operations!AL1050</f>
        <v>7.53269206352424</v>
      </c>
      <c r="AM1051" s="20" t="n">
        <f aca="false">Operations!AM1048-Operations!AM1049-Operations!AM1050</f>
        <v>7.58170855204576</v>
      </c>
      <c r="AN1051" s="20" t="n">
        <f aca="false">Operations!AN1048-Operations!AN1049-Operations!AN1050</f>
        <v>7.62965075934276</v>
      </c>
      <c r="AO1051" s="20" t="n">
        <f aca="false">Operations!AO1048-Operations!AO1049-Operations!AO1050</f>
        <v>7.67634969666258</v>
      </c>
      <c r="AP1051" s="20" t="n">
        <f aca="false">Operations!AP1048-Operations!AP1049-Operations!AP1050</f>
        <v>7.72163422171212</v>
      </c>
      <c r="AQ1051" s="20" t="n">
        <f aca="false">Operations!AQ1048-Operations!AQ1049-Operations!AQ1050</f>
        <v>7.76717755982947</v>
      </c>
      <c r="AR1051" s="20" t="n">
        <f aca="false">Operations!AR1048-Operations!AR1049-Operations!AR1050</f>
        <v>-12.1638317210703</v>
      </c>
      <c r="AS1051" s="20" t="n">
        <f aca="false">Operations!AS1048-Operations!AS1049-Operations!AS1050</f>
        <v>0</v>
      </c>
      <c r="AT1051" s="20" t="n">
        <f aca="false">Operations!AT1048-Operations!AT1049-Operations!AT1050</f>
        <v>0</v>
      </c>
      <c r="AU1051" s="20" t="n">
        <f aca="false">Operations!AU1048-Operations!AU1049-Operations!AU1050</f>
        <v>0</v>
      </c>
    </row>
    <row r="1052" customFormat="false" ht="15" hidden="false" customHeight="false" outlineLevel="0" collapsed="false">
      <c r="D1052" s="0" t="s">
        <v>657</v>
      </c>
      <c r="E1052" s="0" t="s">
        <v>458</v>
      </c>
      <c r="J1052" s="14" t="n">
        <f aca="false">MAX(0,MIN(Inputs!$F$235,Time!J$6)-Time!J$5)/Time!J$7</f>
        <v>1</v>
      </c>
      <c r="K1052" s="14" t="n">
        <f aca="false">MAX(0,MIN(Inputs!$F$235,Time!K$6)-Time!K$5)/Time!K$7</f>
        <v>1</v>
      </c>
      <c r="L1052" s="14" t="n">
        <f aca="false">MAX(0,MIN(Inputs!$F$235,Time!L$6)-Time!L$5)/Time!L$7</f>
        <v>1</v>
      </c>
      <c r="M1052" s="14" t="n">
        <f aca="false">MAX(0,MIN(Inputs!$F$235,Time!M$6)-Time!M$5)/Time!M$7</f>
        <v>1</v>
      </c>
      <c r="N1052" s="14" t="n">
        <f aca="false">MAX(0,MIN(Inputs!$F$235,Time!N$6)-Time!N$5)/Time!N$7</f>
        <v>1</v>
      </c>
      <c r="O1052" s="14" t="n">
        <f aca="false">MAX(0,MIN(Inputs!$F$235,Time!O$6)-Time!O$5)/Time!O$7</f>
        <v>0.495890410958904</v>
      </c>
      <c r="P1052" s="14" t="n">
        <f aca="false">MAX(0,MIN(Inputs!$F$235,Time!P$6)-Time!P$5)/Time!P$7</f>
        <v>0</v>
      </c>
      <c r="Q1052" s="14" t="n">
        <f aca="false">MAX(0,MIN(Inputs!$F$235,Time!Q$6)-Time!Q$5)/Time!Q$7</f>
        <v>0</v>
      </c>
      <c r="R1052" s="14" t="n">
        <f aca="false">MAX(0,MIN(Inputs!$F$235,Time!R$6)-Time!R$5)/Time!R$7</f>
        <v>0</v>
      </c>
      <c r="S1052" s="14" t="n">
        <f aca="false">MAX(0,MIN(Inputs!$F$235,Time!S$6)-Time!S$5)/Time!S$7</f>
        <v>0</v>
      </c>
      <c r="T1052" s="14" t="n">
        <f aca="false">MAX(0,MIN(Inputs!$F$235,Time!T$6)-Time!T$5)/Time!T$7</f>
        <v>0</v>
      </c>
      <c r="U1052" s="14" t="n">
        <f aca="false">MAX(0,MIN(Inputs!$F$235,Time!U$6)-Time!U$5)/Time!U$7</f>
        <v>0</v>
      </c>
      <c r="V1052" s="14" t="n">
        <f aca="false">MAX(0,MIN(Inputs!$F$235,Time!V$6)-Time!V$5)/Time!V$7</f>
        <v>0</v>
      </c>
      <c r="W1052" s="14" t="n">
        <f aca="false">MAX(0,MIN(Inputs!$F$235,Time!W$6)-Time!W$5)/Time!W$7</f>
        <v>0</v>
      </c>
      <c r="X1052" s="14" t="n">
        <f aca="false">MAX(0,MIN(Inputs!$F$235,Time!X$6)-Time!X$5)/Time!X$7</f>
        <v>0</v>
      </c>
      <c r="Y1052" s="14" t="n">
        <f aca="false">MAX(0,MIN(Inputs!$F$235,Time!Y$6)-Time!Y$5)/Time!Y$7</f>
        <v>0</v>
      </c>
      <c r="Z1052" s="14" t="n">
        <f aca="false">MAX(0,MIN(Inputs!$F$235,Time!Z$6)-Time!Z$5)/Time!Z$7</f>
        <v>0</v>
      </c>
      <c r="AA1052" s="14" t="n">
        <f aca="false">MAX(0,MIN(Inputs!$F$235,Time!AA$6)-Time!AA$5)/Time!AA$7</f>
        <v>0</v>
      </c>
      <c r="AB1052" s="14" t="n">
        <f aca="false">MAX(0,MIN(Inputs!$F$235,Time!AB$6)-Time!AB$5)/Time!AB$7</f>
        <v>0</v>
      </c>
      <c r="AC1052" s="14" t="n">
        <f aca="false">MAX(0,MIN(Inputs!$F$235,Time!AC$6)-Time!AC$5)/Time!AC$7</f>
        <v>0</v>
      </c>
      <c r="AD1052" s="14" t="n">
        <f aca="false">MAX(0,MIN(Inputs!$F$235,Time!AD$6)-Time!AD$5)/Time!AD$7</f>
        <v>0</v>
      </c>
      <c r="AE1052" s="14" t="n">
        <f aca="false">MAX(0,MIN(Inputs!$F$235,Time!AE$6)-Time!AE$5)/Time!AE$7</f>
        <v>0</v>
      </c>
      <c r="AF1052" s="14" t="n">
        <f aca="false">MAX(0,MIN(Inputs!$F$235,Time!AF$6)-Time!AF$5)/Time!AF$7</f>
        <v>0</v>
      </c>
      <c r="AG1052" s="14" t="n">
        <f aca="false">MAX(0,MIN(Inputs!$F$235,Time!AG$6)-Time!AG$5)/Time!AG$7</f>
        <v>0</v>
      </c>
      <c r="AH1052" s="14" t="n">
        <f aca="false">MAX(0,MIN(Inputs!$F$235,Time!AH$6)-Time!AH$5)/Time!AH$7</f>
        <v>0</v>
      </c>
      <c r="AI1052" s="14" t="n">
        <f aca="false">MAX(0,MIN(Inputs!$F$235,Time!AI$6)-Time!AI$5)/Time!AI$7</f>
        <v>0</v>
      </c>
      <c r="AJ1052" s="14" t="n">
        <f aca="false">MAX(0,MIN(Inputs!$F$235,Time!AJ$6)-Time!AJ$5)/Time!AJ$7</f>
        <v>0</v>
      </c>
      <c r="AK1052" s="14" t="n">
        <f aca="false">MAX(0,MIN(Inputs!$F$235,Time!AK$6)-Time!AK$5)/Time!AK$7</f>
        <v>0</v>
      </c>
      <c r="AL1052" s="14" t="n">
        <f aca="false">MAX(0,MIN(Inputs!$F$235,Time!AL$6)-Time!AL$5)/Time!AL$7</f>
        <v>0</v>
      </c>
      <c r="AM1052" s="14" t="n">
        <f aca="false">MAX(0,MIN(Inputs!$F$235,Time!AM$6)-Time!AM$5)/Time!AM$7</f>
        <v>0</v>
      </c>
      <c r="AN1052" s="14" t="n">
        <f aca="false">MAX(0,MIN(Inputs!$F$235,Time!AN$6)-Time!AN$5)/Time!AN$7</f>
        <v>0</v>
      </c>
      <c r="AO1052" s="14" t="n">
        <f aca="false">MAX(0,MIN(Inputs!$F$235,Time!AO$6)-Time!AO$5)/Time!AO$7</f>
        <v>0</v>
      </c>
      <c r="AP1052" s="14" t="n">
        <f aca="false">MAX(0,MIN(Inputs!$F$235,Time!AP$6)-Time!AP$5)/Time!AP$7</f>
        <v>0</v>
      </c>
      <c r="AQ1052" s="14" t="n">
        <f aca="false">MAX(0,MIN(Inputs!$F$235,Time!AQ$6)-Time!AQ$5)/Time!AQ$7</f>
        <v>0</v>
      </c>
      <c r="AR1052" s="14" t="n">
        <f aca="false">MAX(0,MIN(Inputs!$F$235,Time!AR$6)-Time!AR$5)/Time!AR$7</f>
        <v>0</v>
      </c>
      <c r="AS1052" s="14" t="n">
        <f aca="false">MAX(0,MIN(Inputs!$F$235,Time!AS$6)-Time!AS$5)/Time!AS$7</f>
        <v>0</v>
      </c>
      <c r="AT1052" s="14" t="n">
        <f aca="false">MAX(0,MIN(Inputs!$F$235,Time!AT$6)-Time!AT$5)/Time!AT$7</f>
        <v>0</v>
      </c>
      <c r="AU1052" s="14" t="n">
        <f aca="false">MAX(0,MIN(Inputs!$F$235,Time!AU$6)-Time!AU$5)/Time!AU$7</f>
        <v>0</v>
      </c>
    </row>
    <row r="1053" customFormat="false" ht="15" hidden="false" customHeight="false" outlineLevel="0" collapsed="false">
      <c r="D1053" s="0" t="s">
        <v>658</v>
      </c>
      <c r="E1053" s="0" t="s">
        <v>458</v>
      </c>
      <c r="J1053" s="14" t="n">
        <f aca="false">Inputs!$F$232/100*Operations!J1052+Inputs!$F$234/100*(1-Operations!J1052)</f>
        <v>0.2</v>
      </c>
      <c r="K1053" s="14" t="n">
        <f aca="false">Inputs!$F$232/100*Operations!K1052+Inputs!$F$234/100*(1-Operations!K1052)</f>
        <v>0.2</v>
      </c>
      <c r="L1053" s="14" t="n">
        <f aca="false">Inputs!$F$232/100*Operations!L1052+Inputs!$F$234/100*(1-Operations!L1052)</f>
        <v>0.2</v>
      </c>
      <c r="M1053" s="14" t="n">
        <f aca="false">Inputs!$F$232/100*Operations!M1052+Inputs!$F$234/100*(1-Operations!M1052)</f>
        <v>0.2</v>
      </c>
      <c r="N1053" s="14" t="n">
        <f aca="false">Inputs!$F$232/100*Operations!N1052+Inputs!$F$234/100*(1-Operations!N1052)</f>
        <v>0.2</v>
      </c>
      <c r="O1053" s="14" t="n">
        <f aca="false">Inputs!$F$232/100*Operations!O1052+Inputs!$F$234/100*(1-Operations!O1052)</f>
        <v>0.124383561643836</v>
      </c>
      <c r="P1053" s="14" t="n">
        <f aca="false">Inputs!$F$232/100*Operations!P1052+Inputs!$F$234/100*(1-Operations!P1052)</f>
        <v>0.05</v>
      </c>
      <c r="Q1053" s="14" t="n">
        <f aca="false">Inputs!$F$232/100*Operations!Q1052+Inputs!$F$234/100*(1-Operations!Q1052)</f>
        <v>0.05</v>
      </c>
      <c r="R1053" s="14" t="n">
        <f aca="false">Inputs!$F$232/100*Operations!R1052+Inputs!$F$234/100*(1-Operations!R1052)</f>
        <v>0.05</v>
      </c>
      <c r="S1053" s="14" t="n">
        <f aca="false">Inputs!$F$232/100*Operations!S1052+Inputs!$F$234/100*(1-Operations!S1052)</f>
        <v>0.05</v>
      </c>
      <c r="T1053" s="14" t="n">
        <f aca="false">Inputs!$F$232/100*Operations!T1052+Inputs!$F$234/100*(1-Operations!T1052)</f>
        <v>0.05</v>
      </c>
      <c r="U1053" s="14" t="n">
        <f aca="false">Inputs!$F$232/100*Operations!U1052+Inputs!$F$234/100*(1-Operations!U1052)</f>
        <v>0.05</v>
      </c>
      <c r="V1053" s="14" t="n">
        <f aca="false">Inputs!$F$232/100*Operations!V1052+Inputs!$F$234/100*(1-Operations!V1052)</f>
        <v>0.05</v>
      </c>
      <c r="W1053" s="14" t="n">
        <f aca="false">Inputs!$F$232/100*Operations!W1052+Inputs!$F$234/100*(1-Operations!W1052)</f>
        <v>0.05</v>
      </c>
      <c r="X1053" s="14" t="n">
        <f aca="false">Inputs!$F$232/100*Operations!X1052+Inputs!$F$234/100*(1-Operations!X1052)</f>
        <v>0.05</v>
      </c>
      <c r="Y1053" s="14" t="n">
        <f aca="false">Inputs!$F$232/100*Operations!Y1052+Inputs!$F$234/100*(1-Operations!Y1052)</f>
        <v>0.05</v>
      </c>
      <c r="Z1053" s="14" t="n">
        <f aca="false">Inputs!$F$232/100*Operations!Z1052+Inputs!$F$234/100*(1-Operations!Z1052)</f>
        <v>0.05</v>
      </c>
      <c r="AA1053" s="14" t="n">
        <f aca="false">Inputs!$F$232/100*Operations!AA1052+Inputs!$F$234/100*(1-Operations!AA1052)</f>
        <v>0.05</v>
      </c>
      <c r="AB1053" s="14" t="n">
        <f aca="false">Inputs!$F$232/100*Operations!AB1052+Inputs!$F$234/100*(1-Operations!AB1052)</f>
        <v>0.05</v>
      </c>
      <c r="AC1053" s="14" t="n">
        <f aca="false">Inputs!$F$232/100*Operations!AC1052+Inputs!$F$234/100*(1-Operations!AC1052)</f>
        <v>0.05</v>
      </c>
      <c r="AD1053" s="14" t="n">
        <f aca="false">Inputs!$F$232/100*Operations!AD1052+Inputs!$F$234/100*(1-Operations!AD1052)</f>
        <v>0.05</v>
      </c>
      <c r="AE1053" s="14" t="n">
        <f aca="false">Inputs!$F$232/100*Operations!AE1052+Inputs!$F$234/100*(1-Operations!AE1052)</f>
        <v>0.05</v>
      </c>
      <c r="AF1053" s="14" t="n">
        <f aca="false">Inputs!$F$232/100*Operations!AF1052+Inputs!$F$234/100*(1-Operations!AF1052)</f>
        <v>0.05</v>
      </c>
      <c r="AG1053" s="14" t="n">
        <f aca="false">Inputs!$F$232/100*Operations!AG1052+Inputs!$F$234/100*(1-Operations!AG1052)</f>
        <v>0.05</v>
      </c>
      <c r="AH1053" s="14" t="n">
        <f aca="false">Inputs!$F$232/100*Operations!AH1052+Inputs!$F$234/100*(1-Operations!AH1052)</f>
        <v>0.05</v>
      </c>
      <c r="AI1053" s="14" t="n">
        <f aca="false">Inputs!$F$232/100*Operations!AI1052+Inputs!$F$234/100*(1-Operations!AI1052)</f>
        <v>0.05</v>
      </c>
      <c r="AJ1053" s="14" t="n">
        <f aca="false">Inputs!$F$232/100*Operations!AJ1052+Inputs!$F$234/100*(1-Operations!AJ1052)</f>
        <v>0.05</v>
      </c>
      <c r="AK1053" s="14" t="n">
        <f aca="false">Inputs!$F$232/100*Operations!AK1052+Inputs!$F$234/100*(1-Operations!AK1052)</f>
        <v>0.05</v>
      </c>
      <c r="AL1053" s="14" t="n">
        <f aca="false">Inputs!$F$232/100*Operations!AL1052+Inputs!$F$234/100*(1-Operations!AL1052)</f>
        <v>0.05</v>
      </c>
      <c r="AM1053" s="14" t="n">
        <f aca="false">Inputs!$F$232/100*Operations!AM1052+Inputs!$F$234/100*(1-Operations!AM1052)</f>
        <v>0.05</v>
      </c>
      <c r="AN1053" s="14" t="n">
        <f aca="false">Inputs!$F$232/100*Operations!AN1052+Inputs!$F$234/100*(1-Operations!AN1052)</f>
        <v>0.05</v>
      </c>
      <c r="AO1053" s="14" t="n">
        <f aca="false">Inputs!$F$232/100*Operations!AO1052+Inputs!$F$234/100*(1-Operations!AO1052)</f>
        <v>0.05</v>
      </c>
      <c r="AP1053" s="14" t="n">
        <f aca="false">Inputs!$F$232/100*Operations!AP1052+Inputs!$F$234/100*(1-Operations!AP1052)</f>
        <v>0.05</v>
      </c>
      <c r="AQ1053" s="14" t="n">
        <f aca="false">Inputs!$F$232/100*Operations!AQ1052+Inputs!$F$234/100*(1-Operations!AQ1052)</f>
        <v>0.05</v>
      </c>
      <c r="AR1053" s="14" t="n">
        <f aca="false">Inputs!$F$232/100*Operations!AR1052+Inputs!$F$234/100*(1-Operations!AR1052)</f>
        <v>0.05</v>
      </c>
      <c r="AS1053" s="14" t="n">
        <f aca="false">Inputs!$F$232/100*Operations!AS1052+Inputs!$F$234/100*(1-Operations!AS1052)</f>
        <v>0.05</v>
      </c>
      <c r="AT1053" s="14" t="n">
        <f aca="false">Inputs!$F$232/100*Operations!AT1052+Inputs!$F$234/100*(1-Operations!AT1052)</f>
        <v>0.05</v>
      </c>
      <c r="AU1053" s="14" t="n">
        <f aca="false">Inputs!$F$232/100*Operations!AU1052+Inputs!$F$234/100*(1-Operations!AU1052)</f>
        <v>0.05</v>
      </c>
    </row>
    <row r="1054" customFormat="false" ht="15" hidden="false" customHeight="false" outlineLevel="0" collapsed="false">
      <c r="D1054" s="0" t="s">
        <v>659</v>
      </c>
      <c r="E1054" s="0" t="s">
        <v>458</v>
      </c>
      <c r="J1054" s="14" t="n">
        <f aca="false">(1-Inputs!$F$233/100)*Operations!J1052+(1-Inputs!$F$234/100)*(1-Operations!J1052)</f>
        <v>0.01</v>
      </c>
      <c r="K1054" s="14" t="n">
        <f aca="false">(1-Inputs!$F$233/100)*Operations!K1052+(1-Inputs!$F$234/100)*(1-Operations!K1052)</f>
        <v>0.01</v>
      </c>
      <c r="L1054" s="14" t="n">
        <f aca="false">(1-Inputs!$F$233/100)*Operations!L1052+(1-Inputs!$F$234/100)*(1-Operations!L1052)</f>
        <v>0.01</v>
      </c>
      <c r="M1054" s="14" t="n">
        <f aca="false">(1-Inputs!$F$233/100)*Operations!M1052+(1-Inputs!$F$234/100)*(1-Operations!M1052)</f>
        <v>0.01</v>
      </c>
      <c r="N1054" s="14" t="n">
        <f aca="false">(1-Inputs!$F$233/100)*Operations!N1052+(1-Inputs!$F$234/100)*(1-Operations!N1052)</f>
        <v>0.01</v>
      </c>
      <c r="O1054" s="14" t="n">
        <f aca="false">(1-Inputs!$F$233/100)*Operations!O1052+(1-Inputs!$F$234/100)*(1-Operations!O1052)</f>
        <v>0.48386301369863</v>
      </c>
      <c r="P1054" s="14" t="n">
        <f aca="false">(1-Inputs!$F$233/100)*Operations!P1052+(1-Inputs!$F$234/100)*(1-Operations!P1052)</f>
        <v>0.95</v>
      </c>
      <c r="Q1054" s="14" t="n">
        <f aca="false">(1-Inputs!$F$233/100)*Operations!Q1052+(1-Inputs!$F$234/100)*(1-Operations!Q1052)</f>
        <v>0.95</v>
      </c>
      <c r="R1054" s="14" t="n">
        <f aca="false">(1-Inputs!$F$233/100)*Operations!R1052+(1-Inputs!$F$234/100)*(1-Operations!R1052)</f>
        <v>0.95</v>
      </c>
      <c r="S1054" s="14" t="n">
        <f aca="false">(1-Inputs!$F$233/100)*Operations!S1052+(1-Inputs!$F$234/100)*(1-Operations!S1052)</f>
        <v>0.95</v>
      </c>
      <c r="T1054" s="14" t="n">
        <f aca="false">(1-Inputs!$F$233/100)*Operations!T1052+(1-Inputs!$F$234/100)*(1-Operations!T1052)</f>
        <v>0.95</v>
      </c>
      <c r="U1054" s="14" t="n">
        <f aca="false">(1-Inputs!$F$233/100)*Operations!U1052+(1-Inputs!$F$234/100)*(1-Operations!U1052)</f>
        <v>0.95</v>
      </c>
      <c r="V1054" s="14" t="n">
        <f aca="false">(1-Inputs!$F$233/100)*Operations!V1052+(1-Inputs!$F$234/100)*(1-Operations!V1052)</f>
        <v>0.95</v>
      </c>
      <c r="W1054" s="14" t="n">
        <f aca="false">(1-Inputs!$F$233/100)*Operations!W1052+(1-Inputs!$F$234/100)*(1-Operations!W1052)</f>
        <v>0.95</v>
      </c>
      <c r="X1054" s="14" t="n">
        <f aca="false">(1-Inputs!$F$233/100)*Operations!X1052+(1-Inputs!$F$234/100)*(1-Operations!X1052)</f>
        <v>0.95</v>
      </c>
      <c r="Y1054" s="14" t="n">
        <f aca="false">(1-Inputs!$F$233/100)*Operations!Y1052+(1-Inputs!$F$234/100)*(1-Operations!Y1052)</f>
        <v>0.95</v>
      </c>
      <c r="Z1054" s="14" t="n">
        <f aca="false">(1-Inputs!$F$233/100)*Operations!Z1052+(1-Inputs!$F$234/100)*(1-Operations!Z1052)</f>
        <v>0.95</v>
      </c>
      <c r="AA1054" s="14" t="n">
        <f aca="false">(1-Inputs!$F$233/100)*Operations!AA1052+(1-Inputs!$F$234/100)*(1-Operations!AA1052)</f>
        <v>0.95</v>
      </c>
      <c r="AB1054" s="14" t="n">
        <f aca="false">(1-Inputs!$F$233/100)*Operations!AB1052+(1-Inputs!$F$234/100)*(1-Operations!AB1052)</f>
        <v>0.95</v>
      </c>
      <c r="AC1054" s="14" t="n">
        <f aca="false">(1-Inputs!$F$233/100)*Operations!AC1052+(1-Inputs!$F$234/100)*(1-Operations!AC1052)</f>
        <v>0.95</v>
      </c>
      <c r="AD1054" s="14" t="n">
        <f aca="false">(1-Inputs!$F$233/100)*Operations!AD1052+(1-Inputs!$F$234/100)*(1-Operations!AD1052)</f>
        <v>0.95</v>
      </c>
      <c r="AE1054" s="14" t="n">
        <f aca="false">(1-Inputs!$F$233/100)*Operations!AE1052+(1-Inputs!$F$234/100)*(1-Operations!AE1052)</f>
        <v>0.95</v>
      </c>
      <c r="AF1054" s="14" t="n">
        <f aca="false">(1-Inputs!$F$233/100)*Operations!AF1052+(1-Inputs!$F$234/100)*(1-Operations!AF1052)</f>
        <v>0.95</v>
      </c>
      <c r="AG1054" s="14" t="n">
        <f aca="false">(1-Inputs!$F$233/100)*Operations!AG1052+(1-Inputs!$F$234/100)*(1-Operations!AG1052)</f>
        <v>0.95</v>
      </c>
      <c r="AH1054" s="14" t="n">
        <f aca="false">(1-Inputs!$F$233/100)*Operations!AH1052+(1-Inputs!$F$234/100)*(1-Operations!AH1052)</f>
        <v>0.95</v>
      </c>
      <c r="AI1054" s="14" t="n">
        <f aca="false">(1-Inputs!$F$233/100)*Operations!AI1052+(1-Inputs!$F$234/100)*(1-Operations!AI1052)</f>
        <v>0.95</v>
      </c>
      <c r="AJ1054" s="14" t="n">
        <f aca="false">(1-Inputs!$F$233/100)*Operations!AJ1052+(1-Inputs!$F$234/100)*(1-Operations!AJ1052)</f>
        <v>0.95</v>
      </c>
      <c r="AK1054" s="14" t="n">
        <f aca="false">(1-Inputs!$F$233/100)*Operations!AK1052+(1-Inputs!$F$234/100)*(1-Operations!AK1052)</f>
        <v>0.95</v>
      </c>
      <c r="AL1054" s="14" t="n">
        <f aca="false">(1-Inputs!$F$233/100)*Operations!AL1052+(1-Inputs!$F$234/100)*(1-Operations!AL1052)</f>
        <v>0.95</v>
      </c>
      <c r="AM1054" s="14" t="n">
        <f aca="false">(1-Inputs!$F$233/100)*Operations!AM1052+(1-Inputs!$F$234/100)*(1-Operations!AM1052)</f>
        <v>0.95</v>
      </c>
      <c r="AN1054" s="14" t="n">
        <f aca="false">(1-Inputs!$F$233/100)*Operations!AN1052+(1-Inputs!$F$234/100)*(1-Operations!AN1052)</f>
        <v>0.95</v>
      </c>
      <c r="AO1054" s="14" t="n">
        <f aca="false">(1-Inputs!$F$233/100)*Operations!AO1052+(1-Inputs!$F$234/100)*(1-Operations!AO1052)</f>
        <v>0.95</v>
      </c>
      <c r="AP1054" s="14" t="n">
        <f aca="false">(1-Inputs!$F$233/100)*Operations!AP1052+(1-Inputs!$F$234/100)*(1-Operations!AP1052)</f>
        <v>0.95</v>
      </c>
      <c r="AQ1054" s="14" t="n">
        <f aca="false">(1-Inputs!$F$233/100)*Operations!AQ1052+(1-Inputs!$F$234/100)*(1-Operations!AQ1052)</f>
        <v>0.95</v>
      </c>
      <c r="AR1054" s="14" t="n">
        <f aca="false">(1-Inputs!$F$233/100)*Operations!AR1052+(1-Inputs!$F$234/100)*(1-Operations!AR1052)</f>
        <v>0.95</v>
      </c>
      <c r="AS1054" s="14" t="n">
        <f aca="false">(1-Inputs!$F$233/100)*Operations!AS1052+(1-Inputs!$F$234/100)*(1-Operations!AS1052)</f>
        <v>0.95</v>
      </c>
      <c r="AT1054" s="14" t="n">
        <f aca="false">(1-Inputs!$F$233/100)*Operations!AT1052+(1-Inputs!$F$234/100)*(1-Operations!AT1052)</f>
        <v>0.95</v>
      </c>
      <c r="AU1054" s="14" t="n">
        <f aca="false">(1-Inputs!$F$233/100)*Operations!AU1052+(1-Inputs!$F$234/100)*(1-Operations!AU1052)</f>
        <v>0.95</v>
      </c>
    </row>
    <row r="1055" customFormat="false" ht="15" hidden="false" customHeight="false" outlineLevel="0" collapsed="false">
      <c r="D1055" s="0" t="s">
        <v>660</v>
      </c>
      <c r="E1055" s="0" t="s">
        <v>47</v>
      </c>
      <c r="G1055" s="20" t="n">
        <f aca="false">SUM(J1055:AU1055)</f>
        <v>202.968779306142</v>
      </c>
      <c r="J1055" s="20" t="n">
        <f aca="false">Operations!J1051*(1-Operations!J1053)*Operations!J1025</f>
        <v>4.19066937925938</v>
      </c>
      <c r="K1055" s="20" t="n">
        <f aca="false">Operations!K1051*(1-Operations!K1053)*Operations!K1025</f>
        <v>5.2711031533045</v>
      </c>
      <c r="L1055" s="20" t="n">
        <f aca="false">Operations!L1051*(1-Operations!L1053)*Operations!L1025</f>
        <v>5.40044883749099</v>
      </c>
      <c r="M1055" s="20" t="n">
        <f aca="false">Operations!M1051*(1-Operations!M1053)*Operations!M1025</f>
        <v>5.15996435889005</v>
      </c>
      <c r="N1055" s="20" t="n">
        <f aca="false">Operations!N1051*(1-Operations!N1053)*Operations!N1025</f>
        <v>5.00504173251316</v>
      </c>
      <c r="O1055" s="20" t="n">
        <f aca="false">Operations!O1051*(1-Operations!O1053)*Operations!O1025</f>
        <v>5.32736431158132</v>
      </c>
      <c r="P1055" s="20" t="n">
        <f aca="false">Operations!P1051*(1-Operations!P1053)*Operations!P1025</f>
        <v>5.62389585002637</v>
      </c>
      <c r="Q1055" s="20" t="n">
        <f aca="false">Operations!Q1051*(1-Operations!Q1053)*Operations!Q1025</f>
        <v>5.47106440818183</v>
      </c>
      <c r="R1055" s="20" t="n">
        <f aca="false">Operations!R1051*(1-Operations!R1053)*Operations!R1025</f>
        <v>5.31509724986763</v>
      </c>
      <c r="S1055" s="20" t="n">
        <f aca="false">Operations!S1051*(1-Operations!S1053)*Operations!S1025</f>
        <v>5.16067894630707</v>
      </c>
      <c r="T1055" s="20" t="n">
        <f aca="false">Operations!T1051*(1-Operations!T1053)*Operations!T1025</f>
        <v>5.00380382286615</v>
      </c>
      <c r="U1055" s="20" t="n">
        <f aca="false">Operations!U1051*(1-Operations!U1053)*Operations!U1025</f>
        <v>5.94376522813283</v>
      </c>
      <c r="V1055" s="20" t="n">
        <f aca="false">Operations!V1051*(1-Operations!V1053)*Operations!V1025</f>
        <v>6.71211512648445</v>
      </c>
      <c r="W1055" s="20" t="n">
        <f aca="false">Operations!W1051*(1-Operations!W1053)*Operations!W1025</f>
        <v>6.38692312340523</v>
      </c>
      <c r="X1055" s="20" t="n">
        <f aca="false">Operations!X1051*(1-Operations!X1053)*Operations!X1025</f>
        <v>6.44051812617006</v>
      </c>
      <c r="Y1055" s="20" t="n">
        <f aca="false">Operations!Y1051*(1-Operations!Y1053)*Operations!Y1025</f>
        <v>6.49521078043157</v>
      </c>
      <c r="Z1055" s="20" t="n">
        <f aca="false">Operations!Z1051*(1-Operations!Z1053)*Operations!Z1025</f>
        <v>6.54897041435513</v>
      </c>
      <c r="AA1055" s="20" t="n">
        <f aca="false">Operations!AA1051*(1-Operations!AA1053)*Operations!AA1025</f>
        <v>6.6016848089527</v>
      </c>
      <c r="AB1055" s="20" t="n">
        <f aca="false">Operations!AB1051*(1-Operations!AB1053)*Operations!AB1025</f>
        <v>6.65511734033136</v>
      </c>
      <c r="AC1055" s="20" t="n">
        <f aca="false">Operations!AC1051*(1-Operations!AC1053)*Operations!AC1025</f>
        <v>6.707258884004</v>
      </c>
      <c r="AD1055" s="20" t="n">
        <f aca="false">Operations!AD1051*(1-Operations!AD1053)*Operations!AD1025</f>
        <v>6.75985301454932</v>
      </c>
      <c r="AE1055" s="20" t="n">
        <f aca="false">Operations!AE1051*(1-Operations!AE1053)*Operations!AE1025</f>
        <v>6.81090456643448</v>
      </c>
      <c r="AF1055" s="20" t="n">
        <f aca="false">Operations!AF1051*(1-Operations!AF1053)*Operations!AF1025</f>
        <v>6.86213725647196</v>
      </c>
      <c r="AG1055" s="20" t="n">
        <f aca="false">Operations!AG1051*(1-Operations!AG1053)*Operations!AG1025</f>
        <v>6.91340470885236</v>
      </c>
      <c r="AH1055" s="20" t="n">
        <f aca="false">Operations!AH1051*(1-Operations!AH1053)*Operations!AH1025</f>
        <v>6.96273206541691</v>
      </c>
      <c r="AI1055" s="20" t="n">
        <f aca="false">Operations!AI1051*(1-Operations!AI1053)*Operations!AI1025</f>
        <v>7.01181318251282</v>
      </c>
      <c r="AJ1055" s="20" t="n">
        <f aca="false">Operations!AJ1051*(1-Operations!AJ1053)*Operations!AJ1025</f>
        <v>7.06049676361038</v>
      </c>
      <c r="AK1055" s="20" t="n">
        <f aca="false">Operations!AK1051*(1-Operations!AK1053)*Operations!AK1025</f>
        <v>7.1086297902936</v>
      </c>
      <c r="AL1055" s="20" t="n">
        <f aca="false">Operations!AL1051*(1-Operations!AL1053)*Operations!AL1025</f>
        <v>7.15605746034803</v>
      </c>
      <c r="AM1055" s="20" t="n">
        <f aca="false">Operations!AM1051*(1-Operations!AM1053)*Operations!AM1025</f>
        <v>7.20262312444347</v>
      </c>
      <c r="AN1055" s="20" t="n">
        <f aca="false">Operations!AN1051*(1-Operations!AN1053)*Operations!AN1025</f>
        <v>7.24816822137562</v>
      </c>
      <c r="AO1055" s="20" t="n">
        <f aca="false">Operations!AO1051*(1-Operations!AO1053)*Operations!AO1025</f>
        <v>7.29253221182945</v>
      </c>
      <c r="AP1055" s="20" t="n">
        <f aca="false">Operations!AP1051*(1-Operations!AP1053)*Operations!AP1025</f>
        <v>7.33555251062651</v>
      </c>
      <c r="AQ1055" s="20" t="n">
        <f aca="false">Operations!AQ1051*(1-Operations!AQ1053)*Operations!AQ1025</f>
        <v>7.378818681838</v>
      </c>
      <c r="AR1055" s="20" t="n">
        <f aca="false">Operations!AR1051*(1-Operations!AR1053)*Operations!AR1025</f>
        <v>-11.5556401350168</v>
      </c>
      <c r="AS1055" s="20" t="n">
        <f aca="false">Operations!AS1051*(1-Operations!AS1053)*Operations!AS1025</f>
        <v>0</v>
      </c>
      <c r="AT1055" s="20" t="n">
        <f aca="false">Operations!AT1051*(1-Operations!AT1053)*Operations!AT1025</f>
        <v>0</v>
      </c>
      <c r="AU1055" s="20" t="n">
        <f aca="false">Operations!AU1051*(1-Operations!AU1053)*Operations!AU1025</f>
        <v>0</v>
      </c>
    </row>
    <row r="1056" customFormat="false" ht="15" hidden="false" customHeight="false" outlineLevel="0" collapsed="false">
      <c r="D1056" s="0" t="s">
        <v>661</v>
      </c>
      <c r="E1056" s="0" t="s">
        <v>47</v>
      </c>
      <c r="J1056" s="20" t="n">
        <f aca="false">Operations!J1051*Operations!J1054*Operations!J1025</f>
        <v>0.0523833672407423</v>
      </c>
      <c r="K1056" s="20" t="n">
        <f aca="false">Operations!K1051*Operations!K1054*Operations!K1025</f>
        <v>0.0658887894163063</v>
      </c>
      <c r="L1056" s="20" t="n">
        <f aca="false">Operations!L1051*Operations!L1054*Operations!L1025</f>
        <v>0.0675056104686374</v>
      </c>
      <c r="M1056" s="20" t="n">
        <f aca="false">Operations!M1051*Operations!M1054*Operations!M1025</f>
        <v>0.0644995544861256</v>
      </c>
      <c r="N1056" s="20" t="n">
        <f aca="false">Operations!N1051*Operations!N1054*Operations!N1025</f>
        <v>0.0625630216564146</v>
      </c>
      <c r="O1056" s="20" t="n">
        <f aca="false">Operations!O1051*Operations!O1054*Operations!O1025</f>
        <v>2.94388551648428</v>
      </c>
      <c r="P1056" s="20" t="n">
        <f aca="false">Operations!P1051*Operations!P1054*Operations!P1025</f>
        <v>5.62389585002637</v>
      </c>
      <c r="Q1056" s="20" t="n">
        <f aca="false">Operations!Q1051*Operations!Q1054*Operations!Q1025</f>
        <v>5.47106440818183</v>
      </c>
      <c r="R1056" s="20" t="n">
        <f aca="false">Operations!R1051*Operations!R1054*Operations!R1025</f>
        <v>5.31509724986763</v>
      </c>
      <c r="S1056" s="20" t="n">
        <f aca="false">Operations!S1051*Operations!S1054*Operations!S1025</f>
        <v>5.16067894630707</v>
      </c>
      <c r="T1056" s="20" t="n">
        <f aca="false">Operations!T1051*Operations!T1054*Operations!T1025</f>
        <v>5.00380382286615</v>
      </c>
      <c r="U1056" s="20" t="n">
        <f aca="false">Operations!U1051*Operations!U1054*Operations!U1025</f>
        <v>5.94376522813283</v>
      </c>
      <c r="V1056" s="20" t="n">
        <f aca="false">Operations!V1051*Operations!V1054*Operations!V1025</f>
        <v>6.71211512648445</v>
      </c>
      <c r="W1056" s="20" t="n">
        <f aca="false">Operations!W1051*Operations!W1054*Operations!W1025</f>
        <v>6.38692312340523</v>
      </c>
      <c r="X1056" s="20" t="n">
        <f aca="false">Operations!X1051*Operations!X1054*Operations!X1025</f>
        <v>6.44051812617006</v>
      </c>
      <c r="Y1056" s="20" t="n">
        <f aca="false">Operations!Y1051*Operations!Y1054*Operations!Y1025</f>
        <v>6.49521078043157</v>
      </c>
      <c r="Z1056" s="20" t="n">
        <f aca="false">Operations!Z1051*Operations!Z1054*Operations!Z1025</f>
        <v>6.54897041435513</v>
      </c>
      <c r="AA1056" s="20" t="n">
        <f aca="false">Operations!AA1051*Operations!AA1054*Operations!AA1025</f>
        <v>6.6016848089527</v>
      </c>
      <c r="AB1056" s="20" t="n">
        <f aca="false">Operations!AB1051*Operations!AB1054*Operations!AB1025</f>
        <v>6.65511734033136</v>
      </c>
      <c r="AC1056" s="20" t="n">
        <f aca="false">Operations!AC1051*Operations!AC1054*Operations!AC1025</f>
        <v>6.707258884004</v>
      </c>
      <c r="AD1056" s="20" t="n">
        <f aca="false">Operations!AD1051*Operations!AD1054*Operations!AD1025</f>
        <v>6.75985301454932</v>
      </c>
      <c r="AE1056" s="20" t="n">
        <f aca="false">Operations!AE1051*Operations!AE1054*Operations!AE1025</f>
        <v>6.81090456643448</v>
      </c>
      <c r="AF1056" s="20" t="n">
        <f aca="false">Operations!AF1051*Operations!AF1054*Operations!AF1025</f>
        <v>6.86213725647196</v>
      </c>
      <c r="AG1056" s="20" t="n">
        <f aca="false">Operations!AG1051*Operations!AG1054*Operations!AG1025</f>
        <v>6.91340470885236</v>
      </c>
      <c r="AH1056" s="20" t="n">
        <f aca="false">Operations!AH1051*Operations!AH1054*Operations!AH1025</f>
        <v>6.96273206541691</v>
      </c>
      <c r="AI1056" s="20" t="n">
        <f aca="false">Operations!AI1051*Operations!AI1054*Operations!AI1025</f>
        <v>7.01181318251282</v>
      </c>
      <c r="AJ1056" s="20" t="n">
        <f aca="false">Operations!AJ1051*Operations!AJ1054*Operations!AJ1025</f>
        <v>7.06049676361038</v>
      </c>
      <c r="AK1056" s="20" t="n">
        <f aca="false">Operations!AK1051*Operations!AK1054*Operations!AK1025</f>
        <v>7.1086297902936</v>
      </c>
      <c r="AL1056" s="20" t="n">
        <f aca="false">Operations!AL1051*Operations!AL1054*Operations!AL1025</f>
        <v>7.15605746034803</v>
      </c>
      <c r="AM1056" s="20" t="n">
        <f aca="false">Operations!AM1051*Operations!AM1054*Operations!AM1025</f>
        <v>7.20262312444347</v>
      </c>
      <c r="AN1056" s="20" t="n">
        <f aca="false">Operations!AN1051*Operations!AN1054*Operations!AN1025</f>
        <v>7.24816822137562</v>
      </c>
      <c r="AO1056" s="20" t="n">
        <f aca="false">Operations!AO1051*Operations!AO1054*Operations!AO1025</f>
        <v>7.29253221182945</v>
      </c>
      <c r="AP1056" s="20" t="n">
        <f aca="false">Operations!AP1051*Operations!AP1054*Operations!AP1025</f>
        <v>7.33555251062651</v>
      </c>
      <c r="AQ1056" s="20" t="n">
        <f aca="false">Operations!AQ1051*Operations!AQ1054*Operations!AQ1025</f>
        <v>7.378818681838</v>
      </c>
      <c r="AR1056" s="20" t="n">
        <f aca="false">Operations!AR1051*Operations!AR1054*Operations!AR1025</f>
        <v>-11.5556401350168</v>
      </c>
      <c r="AS1056" s="20" t="n">
        <f aca="false">Operations!AS1051*Operations!AS1054*Operations!AS1025</f>
        <v>0</v>
      </c>
      <c r="AT1056" s="20" t="n">
        <f aca="false">Operations!AT1051*Operations!AT1054*Operations!AT1025</f>
        <v>0</v>
      </c>
      <c r="AU1056" s="20" t="n">
        <f aca="false">Operations!AU1051*Operations!AU1054*Operations!AU1025</f>
        <v>0</v>
      </c>
    </row>
    <row r="1057" customFormat="false" ht="15" hidden="false" customHeight="false" outlineLevel="0" collapsed="false">
      <c r="D1057" s="0" t="s">
        <v>662</v>
      </c>
      <c r="E1057" s="0" t="s">
        <v>47</v>
      </c>
      <c r="J1057" s="20" t="n">
        <f aca="false">Operations!J1055-Inputs!$F$248/100*Operations!J1056</f>
        <v>4.17966887213882</v>
      </c>
      <c r="K1057" s="20" t="n">
        <f aca="false">Operations!K1055-Inputs!$F$248/100*Operations!K1056</f>
        <v>5.25726650752708</v>
      </c>
      <c r="L1057" s="20" t="n">
        <f aca="false">Operations!L1055-Inputs!$F$248/100*Operations!L1056</f>
        <v>5.38627265929257</v>
      </c>
      <c r="M1057" s="20" t="n">
        <f aca="false">Operations!M1055-Inputs!$F$248/100*Operations!M1056</f>
        <v>5.14641945244796</v>
      </c>
      <c r="N1057" s="20" t="n">
        <f aca="false">Operations!N1055-Inputs!$F$248/100*Operations!N1056</f>
        <v>4.99190349796532</v>
      </c>
      <c r="O1057" s="20" t="n">
        <f aca="false">Operations!O1055-Inputs!$F$248/100*Operations!O1056</f>
        <v>4.70914835311962</v>
      </c>
      <c r="P1057" s="20" t="n">
        <f aca="false">Operations!P1055-Inputs!$F$248/100*Operations!P1056</f>
        <v>4.44287772152084</v>
      </c>
      <c r="Q1057" s="20" t="n">
        <f aca="false">Operations!Q1055-Inputs!$F$248/100*Operations!Q1056</f>
        <v>4.32214088246364</v>
      </c>
      <c r="R1057" s="20" t="n">
        <f aca="false">Operations!R1055-Inputs!$F$248/100*Operations!R1056</f>
        <v>4.19892682739542</v>
      </c>
      <c r="S1057" s="20" t="n">
        <f aca="false">Operations!S1055-Inputs!$F$248/100*Operations!S1056</f>
        <v>4.07693636758259</v>
      </c>
      <c r="T1057" s="20" t="n">
        <f aca="false">Operations!T1055-Inputs!$F$248/100*Operations!T1056</f>
        <v>3.95300502006426</v>
      </c>
      <c r="U1057" s="20" t="n">
        <f aca="false">Operations!U1055-Inputs!$F$248/100*Operations!U1056</f>
        <v>4.69557453022494</v>
      </c>
      <c r="V1057" s="20" t="n">
        <f aca="false">Operations!V1055-Inputs!$F$248/100*Operations!V1056</f>
        <v>5.30257094992272</v>
      </c>
      <c r="W1057" s="20" t="n">
        <f aca="false">Operations!W1055-Inputs!$F$248/100*Operations!W1056</f>
        <v>5.04566926749013</v>
      </c>
      <c r="X1057" s="20" t="n">
        <f aca="false">Operations!X1055-Inputs!$F$248/100*Operations!X1056</f>
        <v>5.08800931967435</v>
      </c>
      <c r="Y1057" s="20" t="n">
        <f aca="false">Operations!Y1055-Inputs!$F$248/100*Operations!Y1056</f>
        <v>5.13121651654094</v>
      </c>
      <c r="Z1057" s="20" t="n">
        <f aca="false">Operations!Z1055-Inputs!$F$248/100*Operations!Z1056</f>
        <v>5.17368662734056</v>
      </c>
      <c r="AA1057" s="20" t="n">
        <f aca="false">Operations!AA1055-Inputs!$F$248/100*Operations!AA1056</f>
        <v>5.21533099907263</v>
      </c>
      <c r="AB1057" s="20" t="n">
        <f aca="false">Operations!AB1055-Inputs!$F$248/100*Operations!AB1056</f>
        <v>5.25754269886177</v>
      </c>
      <c r="AC1057" s="20" t="n">
        <f aca="false">Operations!AC1055-Inputs!$F$248/100*Operations!AC1056</f>
        <v>5.29873451836316</v>
      </c>
      <c r="AD1057" s="20" t="n">
        <f aca="false">Operations!AD1055-Inputs!$F$248/100*Operations!AD1056</f>
        <v>5.34028388149396</v>
      </c>
      <c r="AE1057" s="20" t="n">
        <f aca="false">Operations!AE1055-Inputs!$F$248/100*Operations!AE1056</f>
        <v>5.38061460748324</v>
      </c>
      <c r="AF1057" s="20" t="n">
        <f aca="false">Operations!AF1055-Inputs!$F$248/100*Operations!AF1056</f>
        <v>5.42108843261285</v>
      </c>
      <c r="AG1057" s="20" t="n">
        <f aca="false">Operations!AG1055-Inputs!$F$248/100*Operations!AG1056</f>
        <v>5.46158971999336</v>
      </c>
      <c r="AH1057" s="20" t="n">
        <f aca="false">Operations!AH1055-Inputs!$F$248/100*Operations!AH1056</f>
        <v>5.50055833167936</v>
      </c>
      <c r="AI1057" s="20" t="n">
        <f aca="false">Operations!AI1055-Inputs!$F$248/100*Operations!AI1056</f>
        <v>5.53933241418513</v>
      </c>
      <c r="AJ1057" s="20" t="n">
        <f aca="false">Operations!AJ1055-Inputs!$F$248/100*Operations!AJ1056</f>
        <v>5.5777924432522</v>
      </c>
      <c r="AK1057" s="20" t="n">
        <f aca="false">Operations!AK1055-Inputs!$F$248/100*Operations!AK1056</f>
        <v>5.61581753433194</v>
      </c>
      <c r="AL1057" s="20" t="n">
        <f aca="false">Operations!AL1055-Inputs!$F$248/100*Operations!AL1056</f>
        <v>5.65328539367494</v>
      </c>
      <c r="AM1057" s="20" t="n">
        <f aca="false">Operations!AM1055-Inputs!$F$248/100*Operations!AM1056</f>
        <v>5.69007226831034</v>
      </c>
      <c r="AN1057" s="20" t="n">
        <f aca="false">Operations!AN1055-Inputs!$F$248/100*Operations!AN1056</f>
        <v>5.72605289488674</v>
      </c>
      <c r="AO1057" s="20" t="n">
        <f aca="false">Operations!AO1055-Inputs!$F$248/100*Operations!AO1056</f>
        <v>5.76110044734527</v>
      </c>
      <c r="AP1057" s="20" t="n">
        <f aca="false">Operations!AP1055-Inputs!$F$248/100*Operations!AP1056</f>
        <v>5.79508648339494</v>
      </c>
      <c r="AQ1057" s="20" t="n">
        <f aca="false">Operations!AQ1055-Inputs!$F$248/100*Operations!AQ1056</f>
        <v>5.82926675865202</v>
      </c>
      <c r="AR1057" s="20" t="n">
        <f aca="false">Operations!AR1055-Inputs!$F$248/100*Operations!AR1056</f>
        <v>-9.12895570666328</v>
      </c>
      <c r="AS1057" s="20" t="n">
        <f aca="false">Operations!AS1055-Inputs!$F$248/100*Operations!AS1056</f>
        <v>0</v>
      </c>
      <c r="AT1057" s="20" t="n">
        <f aca="false">Operations!AT1055-Inputs!$F$248/100*Operations!AT1056</f>
        <v>0</v>
      </c>
      <c r="AU1057" s="20" t="n">
        <f aca="false">Operations!AU1055-Inputs!$F$248/100*Operations!AU1056</f>
        <v>0</v>
      </c>
    </row>
    <row r="1058" customFormat="false" ht="15" hidden="false" customHeight="false" outlineLevel="0" collapsed="false">
      <c r="D1058" s="0" t="s">
        <v>663</v>
      </c>
      <c r="E1058" s="0" t="s">
        <v>458</v>
      </c>
      <c r="J1058" s="14" t="n">
        <f aca="false">IF(Operations!J1042=0,0,Operations!J1039/Operations!J1042)</f>
        <v>1.08434887050172</v>
      </c>
      <c r="K1058" s="14" t="n">
        <f aca="false">IF(Operations!K1042=0,0,Operations!K1039/Operations!K1042)</f>
        <v>1.06816495627312</v>
      </c>
      <c r="L1058" s="14" t="n">
        <f aca="false">IF(Operations!L1042=0,0,Operations!L1039/Operations!L1042)</f>
        <v>1.03240314983421</v>
      </c>
      <c r="M1058" s="14" t="n">
        <f aca="false">IF(Operations!M1042=0,0,Operations!M1039/Operations!M1042)</f>
        <v>1.04329748236022</v>
      </c>
      <c r="N1058" s="14" t="n">
        <f aca="false">IF(Operations!N1042=0,0,Operations!N1039/Operations!N1042)</f>
        <v>1.04877397757153</v>
      </c>
      <c r="O1058" s="14" t="n">
        <f aca="false">IF(Operations!O1042=0,0,Operations!O1039/Operations!O1042)</f>
        <v>1.05187984714543</v>
      </c>
      <c r="P1058" s="14" t="n">
        <f aca="false">IF(Operations!P1042=0,0,Operations!P1039/Operations!P1042)</f>
        <v>1.05396066686911</v>
      </c>
      <c r="Q1058" s="14" t="n">
        <f aca="false">IF(Operations!Q1042=0,0,Operations!Q1039/Operations!Q1042)</f>
        <v>1.05546860835498</v>
      </c>
      <c r="R1058" s="14" t="n">
        <f aca="false">IF(Operations!R1042=0,0,Operations!R1039/Operations!R1042)</f>
        <v>1.05709737836814</v>
      </c>
      <c r="S1058" s="14" t="n">
        <f aca="false">IF(Operations!S1042=0,0,Operations!S1039/Operations!S1042)</f>
        <v>1.0583105797192</v>
      </c>
      <c r="T1058" s="14" t="n">
        <f aca="false">IF(Operations!T1042=0,0,Operations!T1039/Operations!T1042)</f>
        <v>1.05954998077973</v>
      </c>
      <c r="U1058" s="14" t="n">
        <f aca="false">IF(Operations!U1042=0,0,Operations!U1039/Operations!U1042)</f>
        <v>0.469994137024137</v>
      </c>
      <c r="V1058" s="14" t="n">
        <f aca="false">IF(Operations!V1042=0,0,Operations!V1039/Operations!V1042)</f>
        <v>0</v>
      </c>
      <c r="W1058" s="14" t="n">
        <f aca="false">IF(Operations!W1042=0,0,Operations!W1039/Operations!W1042)</f>
        <v>0</v>
      </c>
      <c r="X1058" s="14" t="n">
        <f aca="false">IF(Operations!X1042=0,0,Operations!X1039/Operations!X1042)</f>
        <v>0</v>
      </c>
      <c r="Y1058" s="14" t="n">
        <f aca="false">IF(Operations!Y1042=0,0,Operations!Y1039/Operations!Y1042)</f>
        <v>0</v>
      </c>
      <c r="Z1058" s="14" t="n">
        <f aca="false">IF(Operations!Z1042=0,0,Operations!Z1039/Operations!Z1042)</f>
        <v>0</v>
      </c>
      <c r="AA1058" s="14" t="n">
        <f aca="false">IF(Operations!AA1042=0,0,Operations!AA1039/Operations!AA1042)</f>
        <v>0</v>
      </c>
      <c r="AB1058" s="14" t="n">
        <f aca="false">IF(Operations!AB1042=0,0,Operations!AB1039/Operations!AB1042)</f>
        <v>0</v>
      </c>
      <c r="AC1058" s="14" t="n">
        <f aca="false">IF(Operations!AC1042=0,0,Operations!AC1039/Operations!AC1042)</f>
        <v>0</v>
      </c>
      <c r="AD1058" s="14" t="n">
        <f aca="false">IF(Operations!AD1042=0,0,Operations!AD1039/Operations!AD1042)</f>
        <v>0</v>
      </c>
      <c r="AE1058" s="14" t="n">
        <f aca="false">IF(Operations!AE1042=0,0,Operations!AE1039/Operations!AE1042)</f>
        <v>0</v>
      </c>
      <c r="AF1058" s="14" t="n">
        <f aca="false">IF(Operations!AF1042=0,0,Operations!AF1039/Operations!AF1042)</f>
        <v>0</v>
      </c>
      <c r="AG1058" s="14" t="n">
        <f aca="false">IF(Operations!AG1042=0,0,Operations!AG1039/Operations!AG1042)</f>
        <v>0</v>
      </c>
      <c r="AH1058" s="14" t="n">
        <f aca="false">IF(Operations!AH1042=0,0,Operations!AH1039/Operations!AH1042)</f>
        <v>0</v>
      </c>
      <c r="AI1058" s="14" t="n">
        <f aca="false">IF(Operations!AI1042=0,0,Operations!AI1039/Operations!AI1042)</f>
        <v>0</v>
      </c>
      <c r="AJ1058" s="14" t="n">
        <f aca="false">IF(Operations!AJ1042=0,0,Operations!AJ1039/Operations!AJ1042)</f>
        <v>0</v>
      </c>
      <c r="AK1058" s="14" t="n">
        <f aca="false">IF(Operations!AK1042=0,0,Operations!AK1039/Operations!AK1042)</f>
        <v>0</v>
      </c>
      <c r="AL1058" s="14" t="n">
        <f aca="false">IF(Operations!AL1042=0,0,Operations!AL1039/Operations!AL1042)</f>
        <v>0</v>
      </c>
      <c r="AM1058" s="14" t="n">
        <f aca="false">IF(Operations!AM1042=0,0,Operations!AM1039/Operations!AM1042)</f>
        <v>0</v>
      </c>
      <c r="AN1058" s="14" t="n">
        <f aca="false">IF(Operations!AN1042=0,0,Operations!AN1039/Operations!AN1042)</f>
        <v>0</v>
      </c>
      <c r="AO1058" s="14" t="n">
        <f aca="false">IF(Operations!AO1042=0,0,Operations!AO1039/Operations!AO1042)</f>
        <v>0</v>
      </c>
      <c r="AP1058" s="14" t="n">
        <f aca="false">IF(Operations!AP1042=0,0,Operations!AP1039/Operations!AP1042)</f>
        <v>0</v>
      </c>
      <c r="AQ1058" s="14" t="n">
        <f aca="false">IF(Operations!AQ1042=0,0,Operations!AQ1039/Operations!AQ1042)</f>
        <v>0</v>
      </c>
      <c r="AR1058" s="14" t="n">
        <f aca="false">IF(Operations!AR1042=0,0,Operations!AR1039/Operations!AR1042)</f>
        <v>0</v>
      </c>
      <c r="AS1058" s="14" t="n">
        <f aca="false">IF(Operations!AS1042=0,0,Operations!AS1039/Operations!AS1042)</f>
        <v>0</v>
      </c>
      <c r="AT1058" s="14" t="n">
        <f aca="false">IF(Operations!AT1042=0,0,Operations!AT1039/Operations!AT1042)</f>
        <v>0</v>
      </c>
      <c r="AU1058" s="14" t="n">
        <f aca="false">IF(Operations!AU1042=0,0,Operations!AU1039/Operations!AU1042)</f>
        <v>0</v>
      </c>
    </row>
    <row r="1059" customFormat="false" ht="15" hidden="false" customHeight="false" outlineLevel="0" collapsed="false">
      <c r="D1059" s="0" t="s">
        <v>664</v>
      </c>
      <c r="E1059" s="0" t="s">
        <v>458</v>
      </c>
      <c r="J1059" s="14" t="n">
        <f aca="false">IF(Operations!J1042=0,0,Operations!J1040/Operations!J1042)</f>
        <v>0</v>
      </c>
      <c r="K1059" s="14" t="n">
        <f aca="false">IF(Operations!K1042=0,0,Operations!K1040/Operations!K1042)</f>
        <v>0</v>
      </c>
      <c r="L1059" s="14" t="n">
        <f aca="false">IF(Operations!L1042=0,0,Operations!L1040/Operations!L1042)</f>
        <v>0</v>
      </c>
      <c r="M1059" s="14" t="n">
        <f aca="false">IF(Operations!M1042=0,0,Operations!M1040/Operations!M1042)</f>
        <v>0</v>
      </c>
      <c r="N1059" s="14" t="n">
        <f aca="false">IF(Operations!N1042=0,0,Operations!N1040/Operations!N1042)</f>
        <v>0</v>
      </c>
      <c r="O1059" s="14" t="n">
        <f aca="false">IF(Operations!O1042=0,0,Operations!O1040/Operations!O1042)</f>
        <v>0</v>
      </c>
      <c r="P1059" s="14" t="n">
        <f aca="false">IF(Operations!P1042=0,0,Operations!P1040/Operations!P1042)</f>
        <v>0</v>
      </c>
      <c r="Q1059" s="14" t="n">
        <f aca="false">IF(Operations!Q1042=0,0,Operations!Q1040/Operations!Q1042)</f>
        <v>0</v>
      </c>
      <c r="R1059" s="14" t="n">
        <f aca="false">IF(Operations!R1042=0,0,Operations!R1040/Operations!R1042)</f>
        <v>0</v>
      </c>
      <c r="S1059" s="14" t="n">
        <f aca="false">IF(Operations!S1042=0,0,Operations!S1040/Operations!S1042)</f>
        <v>0</v>
      </c>
      <c r="T1059" s="14" t="n">
        <f aca="false">IF(Operations!T1042=0,0,Operations!T1040/Operations!T1042)</f>
        <v>0</v>
      </c>
      <c r="U1059" s="14" t="n">
        <f aca="false">IF(Operations!U1042=0,0,Operations!U1040/Operations!U1042)</f>
        <v>0</v>
      </c>
      <c r="V1059" s="14" t="n">
        <f aca="false">IF(Operations!V1042=0,0,Operations!V1040/Operations!V1042)</f>
        <v>0</v>
      </c>
      <c r="W1059" s="14" t="n">
        <f aca="false">IF(Operations!W1042=0,0,Operations!W1040/Operations!W1042)</f>
        <v>0</v>
      </c>
      <c r="X1059" s="14" t="n">
        <f aca="false">IF(Operations!X1042=0,0,Operations!X1040/Operations!X1042)</f>
        <v>0</v>
      </c>
      <c r="Y1059" s="14" t="n">
        <f aca="false">IF(Operations!Y1042=0,0,Operations!Y1040/Operations!Y1042)</f>
        <v>0</v>
      </c>
      <c r="Z1059" s="14" t="n">
        <f aca="false">IF(Operations!Z1042=0,0,Operations!Z1040/Operations!Z1042)</f>
        <v>0</v>
      </c>
      <c r="AA1059" s="14" t="n">
        <f aca="false">IF(Operations!AA1042=0,0,Operations!AA1040/Operations!AA1042)</f>
        <v>0</v>
      </c>
      <c r="AB1059" s="14" t="n">
        <f aca="false">IF(Operations!AB1042=0,0,Operations!AB1040/Operations!AB1042)</f>
        <v>0</v>
      </c>
      <c r="AC1059" s="14" t="n">
        <f aca="false">IF(Operations!AC1042=0,0,Operations!AC1040/Operations!AC1042)</f>
        <v>0</v>
      </c>
      <c r="AD1059" s="14" t="n">
        <f aca="false">IF(Operations!AD1042=0,0,Operations!AD1040/Operations!AD1042)</f>
        <v>0</v>
      </c>
      <c r="AE1059" s="14" t="n">
        <f aca="false">IF(Operations!AE1042=0,0,Operations!AE1040/Operations!AE1042)</f>
        <v>0</v>
      </c>
      <c r="AF1059" s="14" t="n">
        <f aca="false">IF(Operations!AF1042=0,0,Operations!AF1040/Operations!AF1042)</f>
        <v>0</v>
      </c>
      <c r="AG1059" s="14" t="n">
        <f aca="false">IF(Operations!AG1042=0,0,Operations!AG1040/Operations!AG1042)</f>
        <v>0</v>
      </c>
      <c r="AH1059" s="14" t="n">
        <f aca="false">IF(Operations!AH1042=0,0,Operations!AH1040/Operations!AH1042)</f>
        <v>0</v>
      </c>
      <c r="AI1059" s="14" t="n">
        <f aca="false">IF(Operations!AI1042=0,0,Operations!AI1040/Operations!AI1042)</f>
        <v>0</v>
      </c>
      <c r="AJ1059" s="14" t="n">
        <f aca="false">IF(Operations!AJ1042=0,0,Operations!AJ1040/Operations!AJ1042)</f>
        <v>0</v>
      </c>
      <c r="AK1059" s="14" t="n">
        <f aca="false">IF(Operations!AK1042=0,0,Operations!AK1040/Operations!AK1042)</f>
        <v>0</v>
      </c>
      <c r="AL1059" s="14" t="n">
        <f aca="false">IF(Operations!AL1042=0,0,Operations!AL1040/Operations!AL1042)</f>
        <v>0</v>
      </c>
      <c r="AM1059" s="14" t="n">
        <f aca="false">IF(Operations!AM1042=0,0,Operations!AM1040/Operations!AM1042)</f>
        <v>0</v>
      </c>
      <c r="AN1059" s="14" t="n">
        <f aca="false">IF(Operations!AN1042=0,0,Operations!AN1040/Operations!AN1042)</f>
        <v>0</v>
      </c>
      <c r="AO1059" s="14" t="n">
        <f aca="false">IF(Operations!AO1042=0,0,Operations!AO1040/Operations!AO1042)</f>
        <v>0</v>
      </c>
      <c r="AP1059" s="14" t="n">
        <f aca="false">IF(Operations!AP1042=0,0,Operations!AP1040/Operations!AP1042)</f>
        <v>0</v>
      </c>
      <c r="AQ1059" s="14" t="n">
        <f aca="false">IF(Operations!AQ1042=0,0,Operations!AQ1040/Operations!AQ1042)</f>
        <v>0</v>
      </c>
      <c r="AR1059" s="14" t="n">
        <f aca="false">IF(Operations!AR1042=0,0,Operations!AR1040/Operations!AR1042)</f>
        <v>0</v>
      </c>
      <c r="AS1059" s="14" t="n">
        <f aca="false">IF(Operations!AS1042=0,0,Operations!AS1040/Operations!AS1042)</f>
        <v>0</v>
      </c>
      <c r="AT1059" s="14" t="n">
        <f aca="false">IF(Operations!AT1042=0,0,Operations!AT1040/Operations!AT1042)</f>
        <v>0</v>
      </c>
      <c r="AU1059" s="14" t="n">
        <f aca="false">IF(Operations!AU1042=0,0,Operations!AU1040/Operations!AU1042)</f>
        <v>0</v>
      </c>
    </row>
    <row r="1060" customFormat="false" ht="15" hidden="false" customHeight="false" outlineLevel="0" collapsed="false">
      <c r="D1060" s="0" t="s">
        <v>665</v>
      </c>
      <c r="E1060" s="0" t="s">
        <v>458</v>
      </c>
      <c r="J1060" s="14" t="n">
        <f aca="false">1-Operations!J1058-Operations!J1059</f>
        <v>-0.0843488705017237</v>
      </c>
      <c r="K1060" s="14" t="n">
        <f aca="false">1-Operations!K1058-Operations!K1059</f>
        <v>-0.0681649562731241</v>
      </c>
      <c r="L1060" s="14" t="n">
        <f aca="false">1-Operations!L1058-Operations!L1059</f>
        <v>-0.0324031498342077</v>
      </c>
      <c r="M1060" s="14" t="n">
        <f aca="false">1-Operations!M1058-Operations!M1059</f>
        <v>-0.0432974823602184</v>
      </c>
      <c r="N1060" s="14" t="n">
        <f aca="false">1-Operations!N1058-Operations!N1059</f>
        <v>-0.0487739775715259</v>
      </c>
      <c r="O1060" s="14" t="n">
        <f aca="false">1-Operations!O1058-Operations!O1059</f>
        <v>-0.0518798471454287</v>
      </c>
      <c r="P1060" s="14" t="n">
        <f aca="false">1-Operations!P1058-Operations!P1059</f>
        <v>-0.0539606668691082</v>
      </c>
      <c r="Q1060" s="14" t="n">
        <f aca="false">1-Operations!Q1058-Operations!Q1059</f>
        <v>-0.055468608354976</v>
      </c>
      <c r="R1060" s="14" t="n">
        <f aca="false">1-Operations!R1058-Operations!R1059</f>
        <v>-0.0570973783681361</v>
      </c>
      <c r="S1060" s="14" t="n">
        <f aca="false">1-Operations!S1058-Operations!S1059</f>
        <v>-0.0583105797192036</v>
      </c>
      <c r="T1060" s="14" t="n">
        <f aca="false">1-Operations!T1058-Operations!T1059</f>
        <v>-0.0595499807797253</v>
      </c>
      <c r="U1060" s="14" t="n">
        <f aca="false">1-Operations!U1058-Operations!U1059</f>
        <v>0.530005862975864</v>
      </c>
      <c r="V1060" s="14" t="n">
        <f aca="false">1-Operations!V1058-Operations!V1059</f>
        <v>1</v>
      </c>
      <c r="W1060" s="14" t="n">
        <f aca="false">1-Operations!W1058-Operations!W1059</f>
        <v>1</v>
      </c>
      <c r="X1060" s="14" t="n">
        <f aca="false">1-Operations!X1058-Operations!X1059</f>
        <v>1</v>
      </c>
      <c r="Y1060" s="14" t="n">
        <f aca="false">1-Operations!Y1058-Operations!Y1059</f>
        <v>1</v>
      </c>
      <c r="Z1060" s="14" t="n">
        <f aca="false">1-Operations!Z1058-Operations!Z1059</f>
        <v>1</v>
      </c>
      <c r="AA1060" s="14" t="n">
        <f aca="false">1-Operations!AA1058-Operations!AA1059</f>
        <v>1</v>
      </c>
      <c r="AB1060" s="14" t="n">
        <f aca="false">1-Operations!AB1058-Operations!AB1059</f>
        <v>1</v>
      </c>
      <c r="AC1060" s="14" t="n">
        <f aca="false">1-Operations!AC1058-Operations!AC1059</f>
        <v>1</v>
      </c>
      <c r="AD1060" s="14" t="n">
        <f aca="false">1-Operations!AD1058-Operations!AD1059</f>
        <v>1</v>
      </c>
      <c r="AE1060" s="14" t="n">
        <f aca="false">1-Operations!AE1058-Operations!AE1059</f>
        <v>1</v>
      </c>
      <c r="AF1060" s="14" t="n">
        <f aca="false">1-Operations!AF1058-Operations!AF1059</f>
        <v>1</v>
      </c>
      <c r="AG1060" s="14" t="n">
        <f aca="false">1-Operations!AG1058-Operations!AG1059</f>
        <v>1</v>
      </c>
      <c r="AH1060" s="14" t="n">
        <f aca="false">1-Operations!AH1058-Operations!AH1059</f>
        <v>1</v>
      </c>
      <c r="AI1060" s="14" t="n">
        <f aca="false">1-Operations!AI1058-Operations!AI1059</f>
        <v>1</v>
      </c>
      <c r="AJ1060" s="14" t="n">
        <f aca="false">1-Operations!AJ1058-Operations!AJ1059</f>
        <v>1</v>
      </c>
      <c r="AK1060" s="14" t="n">
        <f aca="false">1-Operations!AK1058-Operations!AK1059</f>
        <v>1</v>
      </c>
      <c r="AL1060" s="14" t="n">
        <f aca="false">1-Operations!AL1058-Operations!AL1059</f>
        <v>1</v>
      </c>
      <c r="AM1060" s="14" t="n">
        <f aca="false">1-Operations!AM1058-Operations!AM1059</f>
        <v>1</v>
      </c>
      <c r="AN1060" s="14" t="n">
        <f aca="false">1-Operations!AN1058-Operations!AN1059</f>
        <v>1</v>
      </c>
      <c r="AO1060" s="14" t="n">
        <f aca="false">1-Operations!AO1058-Operations!AO1059</f>
        <v>1</v>
      </c>
      <c r="AP1060" s="14" t="n">
        <f aca="false">1-Operations!AP1058-Operations!AP1059</f>
        <v>1</v>
      </c>
      <c r="AQ1060" s="14" t="n">
        <f aca="false">1-Operations!AQ1058-Operations!AQ1059</f>
        <v>1</v>
      </c>
      <c r="AR1060" s="14" t="n">
        <f aca="false">1-Operations!AR1058-Operations!AR1059</f>
        <v>1</v>
      </c>
      <c r="AS1060" s="14" t="n">
        <f aca="false">1-Operations!AS1058-Operations!AS1059</f>
        <v>1</v>
      </c>
      <c r="AT1060" s="14" t="n">
        <f aca="false">1-Operations!AT1058-Operations!AT1059</f>
        <v>1</v>
      </c>
      <c r="AU1060" s="14" t="n">
        <f aca="false">1-Operations!AU1058-Operations!AU1059</f>
        <v>1</v>
      </c>
    </row>
    <row r="1061" customFormat="false" ht="15" hidden="false" customHeight="false" outlineLevel="0" collapsed="false">
      <c r="D1061" s="0" t="s">
        <v>666</v>
      </c>
      <c r="E1061" s="0" t="s">
        <v>47</v>
      </c>
      <c r="J1061" s="20" t="n">
        <f aca="false">Operations!J1039*Operations!J1025*(1-Operations!J1053)</f>
        <v>6.87361162117558</v>
      </c>
      <c r="K1061" s="20" t="n">
        <f aca="false">Operations!K1039*Operations!K1025*(1-Operations!K1053)</f>
        <v>8.74942108463377</v>
      </c>
      <c r="L1061" s="20" t="n">
        <f aca="false">Operations!L1039*Operations!L1025*(1-Operations!L1053)</f>
        <v>8.66538177339522</v>
      </c>
      <c r="M1061" s="20" t="n">
        <f aca="false">Operations!M1039*Operations!M1025*(1-Operations!M1053)</f>
        <v>8.58192164018084</v>
      </c>
      <c r="N1061" s="20" t="n">
        <f aca="false">Operations!N1039*Operations!N1025*(1-Operations!N1053)</f>
        <v>8.54330299280003</v>
      </c>
      <c r="O1061" s="20" t="n">
        <f aca="false">Operations!O1039*Operations!O1025*(1-Operations!O1053)</f>
        <v>9.30874197991317</v>
      </c>
      <c r="P1061" s="20" t="n">
        <f aca="false">Operations!P1039*Operations!P1025*(1-Operations!P1053)</f>
        <v>10.0540711929536</v>
      </c>
      <c r="Q1061" s="20" t="n">
        <f aca="false">Operations!Q1039*Operations!Q1025*(1-Operations!Q1053)</f>
        <v>10.0088278725853</v>
      </c>
      <c r="R1061" s="20" t="n">
        <f aca="false">Operations!R1039*Operations!R1025*(1-Operations!R1053)</f>
        <v>9.96378814715871</v>
      </c>
      <c r="S1061" s="20" t="n">
        <f aca="false">Operations!S1039*Operations!S1025*(1-Operations!S1053)</f>
        <v>9.9189511004965</v>
      </c>
      <c r="T1061" s="20" t="n">
        <f aca="false">Operations!T1039*Operations!T1025*(1-Operations!T1053)</f>
        <v>9.87431582054426</v>
      </c>
      <c r="U1061" s="20" t="n">
        <f aca="false">Operations!U1039*Operations!U1025*(1-Operations!U1053)</f>
        <v>4.87454392680186</v>
      </c>
      <c r="V1061" s="20" t="n">
        <f aca="false">Operations!V1039*Operations!V1025*(1-Operations!V1053)</f>
        <v>0</v>
      </c>
      <c r="W1061" s="20" t="n">
        <f aca="false">Operations!W1039*Operations!W1025*(1-Operations!W1053)</f>
        <v>0</v>
      </c>
      <c r="X1061" s="20" t="n">
        <f aca="false">Operations!X1039*Operations!X1025*(1-Operations!X1053)</f>
        <v>0</v>
      </c>
      <c r="Y1061" s="20" t="n">
        <f aca="false">Operations!Y1039*Operations!Y1025*(1-Operations!Y1053)</f>
        <v>0</v>
      </c>
      <c r="Z1061" s="20" t="n">
        <f aca="false">Operations!Z1039*Operations!Z1025*(1-Operations!Z1053)</f>
        <v>0</v>
      </c>
      <c r="AA1061" s="20" t="n">
        <f aca="false">Operations!AA1039*Operations!AA1025*(1-Operations!AA1053)</f>
        <v>0</v>
      </c>
      <c r="AB1061" s="20" t="n">
        <f aca="false">Operations!AB1039*Operations!AB1025*(1-Operations!AB1053)</f>
        <v>0</v>
      </c>
      <c r="AC1061" s="20" t="n">
        <f aca="false">Operations!AC1039*Operations!AC1025*(1-Operations!AC1053)</f>
        <v>0</v>
      </c>
      <c r="AD1061" s="20" t="n">
        <f aca="false">Operations!AD1039*Operations!AD1025*(1-Operations!AD1053)</f>
        <v>0</v>
      </c>
      <c r="AE1061" s="20" t="n">
        <f aca="false">Operations!AE1039*Operations!AE1025*(1-Operations!AE1053)</f>
        <v>0</v>
      </c>
      <c r="AF1061" s="20" t="n">
        <f aca="false">Operations!AF1039*Operations!AF1025*(1-Operations!AF1053)</f>
        <v>0</v>
      </c>
      <c r="AG1061" s="20" t="n">
        <f aca="false">Operations!AG1039*Operations!AG1025*(1-Operations!AG1053)</f>
        <v>0</v>
      </c>
      <c r="AH1061" s="20" t="n">
        <f aca="false">Operations!AH1039*Operations!AH1025*(1-Operations!AH1053)</f>
        <v>0</v>
      </c>
      <c r="AI1061" s="20" t="n">
        <f aca="false">Operations!AI1039*Operations!AI1025*(1-Operations!AI1053)</f>
        <v>0</v>
      </c>
      <c r="AJ1061" s="20" t="n">
        <f aca="false">Operations!AJ1039*Operations!AJ1025*(1-Operations!AJ1053)</f>
        <v>0</v>
      </c>
      <c r="AK1061" s="20" t="n">
        <f aca="false">Operations!AK1039*Operations!AK1025*(1-Operations!AK1053)</f>
        <v>0</v>
      </c>
      <c r="AL1061" s="20" t="n">
        <f aca="false">Operations!AL1039*Operations!AL1025*(1-Operations!AL1053)</f>
        <v>0</v>
      </c>
      <c r="AM1061" s="20" t="n">
        <f aca="false">Operations!AM1039*Operations!AM1025*(1-Operations!AM1053)</f>
        <v>0</v>
      </c>
      <c r="AN1061" s="20" t="n">
        <f aca="false">Operations!AN1039*Operations!AN1025*(1-Operations!AN1053)</f>
        <v>0</v>
      </c>
      <c r="AO1061" s="20" t="n">
        <f aca="false">Operations!AO1039*Operations!AO1025*(1-Operations!AO1053)</f>
        <v>0</v>
      </c>
      <c r="AP1061" s="20" t="n">
        <f aca="false">Operations!AP1039*Operations!AP1025*(1-Operations!AP1053)</f>
        <v>0</v>
      </c>
      <c r="AQ1061" s="20" t="n">
        <f aca="false">Operations!AQ1039*Operations!AQ1025*(1-Operations!AQ1053)</f>
        <v>0</v>
      </c>
      <c r="AR1061" s="20" t="n">
        <f aca="false">Operations!AR1039*Operations!AR1025*(1-Operations!AR1053)</f>
        <v>0</v>
      </c>
      <c r="AS1061" s="20" t="n">
        <f aca="false">Operations!AS1039*Operations!AS1025*(1-Operations!AS1053)</f>
        <v>0</v>
      </c>
      <c r="AT1061" s="20" t="n">
        <f aca="false">Operations!AT1039*Operations!AT1025*(1-Operations!AT1053)</f>
        <v>0</v>
      </c>
      <c r="AU1061" s="20" t="n">
        <f aca="false">Operations!AU1039*Operations!AU1025*(1-Operations!AU1053)</f>
        <v>0</v>
      </c>
    </row>
    <row r="1062" customFormat="false" ht="15" hidden="false" customHeight="false" outlineLevel="0" collapsed="false">
      <c r="D1062" s="0" t="s">
        <v>667</v>
      </c>
      <c r="E1062" s="0" t="s">
        <v>47</v>
      </c>
      <c r="J1062" s="20" t="n">
        <f aca="false">Operations!J1040*Operations!J1025*(1-Operations!J1053)</f>
        <v>0</v>
      </c>
      <c r="K1062" s="20" t="n">
        <f aca="false">Operations!K1040*Operations!K1025*(1-Operations!K1053)</f>
        <v>0</v>
      </c>
      <c r="L1062" s="20" t="n">
        <f aca="false">Operations!L1040*Operations!L1025*(1-Operations!L1053)</f>
        <v>0</v>
      </c>
      <c r="M1062" s="20" t="n">
        <f aca="false">Operations!M1040*Operations!M1025*(1-Operations!M1053)</f>
        <v>0</v>
      </c>
      <c r="N1062" s="20" t="n">
        <f aca="false">Operations!N1040*Operations!N1025*(1-Operations!N1053)</f>
        <v>0</v>
      </c>
      <c r="O1062" s="20" t="n">
        <f aca="false">Operations!O1040*Operations!O1025*(1-Operations!O1053)</f>
        <v>0</v>
      </c>
      <c r="P1062" s="20" t="n">
        <f aca="false">Operations!P1040*Operations!P1025*(1-Operations!P1053)</f>
        <v>0</v>
      </c>
      <c r="Q1062" s="20" t="n">
        <f aca="false">Operations!Q1040*Operations!Q1025*(1-Operations!Q1053)</f>
        <v>0</v>
      </c>
      <c r="R1062" s="20" t="n">
        <f aca="false">Operations!R1040*Operations!R1025*(1-Operations!R1053)</f>
        <v>0</v>
      </c>
      <c r="S1062" s="20" t="n">
        <f aca="false">Operations!S1040*Operations!S1025*(1-Operations!S1053)</f>
        <v>0</v>
      </c>
      <c r="T1062" s="20" t="n">
        <f aca="false">Operations!T1040*Operations!T1025*(1-Operations!T1053)</f>
        <v>0</v>
      </c>
      <c r="U1062" s="20" t="n">
        <f aca="false">Operations!U1040*Operations!U1025*(1-Operations!U1053)</f>
        <v>0</v>
      </c>
      <c r="V1062" s="20" t="n">
        <f aca="false">Operations!V1040*Operations!V1025*(1-Operations!V1053)</f>
        <v>0</v>
      </c>
      <c r="W1062" s="20" t="n">
        <f aca="false">Operations!W1040*Operations!W1025*(1-Operations!W1053)</f>
        <v>0</v>
      </c>
      <c r="X1062" s="20" t="n">
        <f aca="false">Operations!X1040*Operations!X1025*(1-Operations!X1053)</f>
        <v>0</v>
      </c>
      <c r="Y1062" s="20" t="n">
        <f aca="false">Operations!Y1040*Operations!Y1025*(1-Operations!Y1053)</f>
        <v>0</v>
      </c>
      <c r="Z1062" s="20" t="n">
        <f aca="false">Operations!Z1040*Operations!Z1025*(1-Operations!Z1053)</f>
        <v>0</v>
      </c>
      <c r="AA1062" s="20" t="n">
        <f aca="false">Operations!AA1040*Operations!AA1025*(1-Operations!AA1053)</f>
        <v>0</v>
      </c>
      <c r="AB1062" s="20" t="n">
        <f aca="false">Operations!AB1040*Operations!AB1025*(1-Operations!AB1053)</f>
        <v>0</v>
      </c>
      <c r="AC1062" s="20" t="n">
        <f aca="false">Operations!AC1040*Operations!AC1025*(1-Operations!AC1053)</f>
        <v>0</v>
      </c>
      <c r="AD1062" s="20" t="n">
        <f aca="false">Operations!AD1040*Operations!AD1025*(1-Operations!AD1053)</f>
        <v>0</v>
      </c>
      <c r="AE1062" s="20" t="n">
        <f aca="false">Operations!AE1040*Operations!AE1025*(1-Operations!AE1053)</f>
        <v>0</v>
      </c>
      <c r="AF1062" s="20" t="n">
        <f aca="false">Operations!AF1040*Operations!AF1025*(1-Operations!AF1053)</f>
        <v>0</v>
      </c>
      <c r="AG1062" s="20" t="n">
        <f aca="false">Operations!AG1040*Operations!AG1025*(1-Operations!AG1053)</f>
        <v>0</v>
      </c>
      <c r="AH1062" s="20" t="n">
        <f aca="false">Operations!AH1040*Operations!AH1025*(1-Operations!AH1053)</f>
        <v>0</v>
      </c>
      <c r="AI1062" s="20" t="n">
        <f aca="false">Operations!AI1040*Operations!AI1025*(1-Operations!AI1053)</f>
        <v>0</v>
      </c>
      <c r="AJ1062" s="20" t="n">
        <f aca="false">Operations!AJ1040*Operations!AJ1025*(1-Operations!AJ1053)</f>
        <v>0</v>
      </c>
      <c r="AK1062" s="20" t="n">
        <f aca="false">Operations!AK1040*Operations!AK1025*(1-Operations!AK1053)</f>
        <v>0</v>
      </c>
      <c r="AL1062" s="20" t="n">
        <f aca="false">Operations!AL1040*Operations!AL1025*(1-Operations!AL1053)</f>
        <v>0</v>
      </c>
      <c r="AM1062" s="20" t="n">
        <f aca="false">Operations!AM1040*Operations!AM1025*(1-Operations!AM1053)</f>
        <v>0</v>
      </c>
      <c r="AN1062" s="20" t="n">
        <f aca="false">Operations!AN1040*Operations!AN1025*(1-Operations!AN1053)</f>
        <v>0</v>
      </c>
      <c r="AO1062" s="20" t="n">
        <f aca="false">Operations!AO1040*Operations!AO1025*(1-Operations!AO1053)</f>
        <v>0</v>
      </c>
      <c r="AP1062" s="20" t="n">
        <f aca="false">Operations!AP1040*Operations!AP1025*(1-Operations!AP1053)</f>
        <v>0</v>
      </c>
      <c r="AQ1062" s="20" t="n">
        <f aca="false">Operations!AQ1040*Operations!AQ1025*(1-Operations!AQ1053)</f>
        <v>0</v>
      </c>
      <c r="AR1062" s="20" t="n">
        <f aca="false">Operations!AR1040*Operations!AR1025*(1-Operations!AR1053)</f>
        <v>0</v>
      </c>
      <c r="AS1062" s="20" t="n">
        <f aca="false">Operations!AS1040*Operations!AS1025*(1-Operations!AS1053)</f>
        <v>0</v>
      </c>
      <c r="AT1062" s="20" t="n">
        <f aca="false">Operations!AT1040*Operations!AT1025*(1-Operations!AT1053)</f>
        <v>0</v>
      </c>
      <c r="AU1062" s="20" t="n">
        <f aca="false">Operations!AU1040*Operations!AU1025*(1-Operations!AU1053)</f>
        <v>0</v>
      </c>
    </row>
    <row r="1063" customFormat="false" ht="15" hidden="false" customHeight="false" outlineLevel="0" collapsed="false">
      <c r="D1063" s="0" t="s">
        <v>668</v>
      </c>
      <c r="E1063" s="0" t="s">
        <v>47</v>
      </c>
      <c r="J1063" s="20" t="n">
        <f aca="false">Operations!J1043*Operations!J1025*(1-Operations!J1053)</f>
        <v>-0.534681588449867</v>
      </c>
      <c r="K1063" s="20" t="n">
        <f aca="false">Operations!K1043*Operations!K1025*(1-Operations!K1053)</f>
        <v>-0.558344385056492</v>
      </c>
      <c r="L1063" s="20" t="n">
        <f aca="false">Operations!L1043*Operations!L1025*(1-Operations!L1053)</f>
        <v>-0.271972885804377</v>
      </c>
      <c r="M1063" s="20" t="n">
        <f aca="false">Operations!M1043*Operations!M1025*(1-Operations!M1053)</f>
        <v>-0.356154986583407</v>
      </c>
      <c r="N1063" s="20" t="n">
        <f aca="false">Operations!N1043*Operations!N1025*(1-Operations!N1053)</f>
        <v>-0.397312364216398</v>
      </c>
      <c r="O1063" s="20" t="n">
        <f aca="false">Operations!O1043*Operations!O1025*(1-Operations!O1053)</f>
        <v>-0.459117181819495</v>
      </c>
      <c r="P1063" s="20" t="n">
        <f aca="false">Operations!P1043*Operations!P1025*(1-Operations!P1053)</f>
        <v>-0.51474822863446</v>
      </c>
      <c r="Q1063" s="20" t="n">
        <f aca="false">Operations!Q1043*Operations!Q1025*(1-Operations!Q1053)</f>
        <v>-0.525999303969908</v>
      </c>
      <c r="R1063" s="20" t="n">
        <f aca="false">Operations!R1043*Operations!R1025*(1-Operations!R1053)</f>
        <v>-0.538177648965986</v>
      </c>
      <c r="S1063" s="20" t="n">
        <f aca="false">Operations!S1043*Operations!S1025*(1-Operations!S1053)</f>
        <v>-0.546512337644629</v>
      </c>
      <c r="T1063" s="20" t="n">
        <f aca="false">Operations!T1043*Operations!T1025*(1-Operations!T1053)</f>
        <v>-0.554967040718199</v>
      </c>
      <c r="U1063" s="20" t="n">
        <f aca="false">Operations!U1043*Operations!U1025*(1-Operations!U1053)</f>
        <v>5.49695550862946</v>
      </c>
      <c r="V1063" s="20" t="n">
        <f aca="false">Operations!V1043*Operations!V1025*(1-Operations!V1053)</f>
        <v>11.2538135789178</v>
      </c>
      <c r="W1063" s="20" t="n">
        <f aca="false">Operations!W1043*Operations!W1025*(1-Operations!W1053)</f>
        <v>11.0395621541371</v>
      </c>
      <c r="X1063" s="20" t="n">
        <f aca="false">Operations!X1043*Operations!X1025*(1-Operations!X1053)</f>
        <v>11.208913283567</v>
      </c>
      <c r="Y1063" s="20" t="n">
        <f aca="false">Operations!Y1043*Operations!Y1025*(1-Operations!Y1053)</f>
        <v>11.3822546892749</v>
      </c>
      <c r="Z1063" s="20" t="n">
        <f aca="false">Operations!Z1043*Operations!Z1025*(1-Operations!Z1053)</f>
        <v>11.5576171529258</v>
      </c>
      <c r="AA1063" s="20" t="n">
        <f aca="false">Operations!AA1043*Operations!AA1025*(1-Operations!AA1053)</f>
        <v>11.7349618383347</v>
      </c>
      <c r="AB1063" s="20" t="n">
        <f aca="false">Operations!AB1043*Operations!AB1025*(1-Operations!AB1053)</f>
        <v>11.9161372526317</v>
      </c>
      <c r="AC1063" s="20" t="n">
        <f aca="false">Operations!AC1043*Operations!AC1025*(1-Operations!AC1053)</f>
        <v>12.0992013878071</v>
      </c>
      <c r="AD1063" s="20" t="n">
        <f aca="false">Operations!AD1043*Operations!AD1025*(1-Operations!AD1053)</f>
        <v>12.2859866835681</v>
      </c>
      <c r="AE1063" s="20" t="n">
        <f aca="false">Operations!AE1043*Operations!AE1025*(1-Operations!AE1053)</f>
        <v>12.4745690991081</v>
      </c>
      <c r="AF1063" s="20" t="n">
        <f aca="false">Operations!AF1043*Operations!AF1025*(1-Operations!AF1053)</f>
        <v>12.6667651445065</v>
      </c>
      <c r="AG1063" s="20" t="n">
        <f aca="false">Operations!AG1043*Operations!AG1025*(1-Operations!AG1053)</f>
        <v>12.8625134598179</v>
      </c>
      <c r="AH1063" s="20" t="n">
        <f aca="false">Operations!AH1043*Operations!AH1025*(1-Operations!AH1053)</f>
        <v>13.0599166972616</v>
      </c>
      <c r="AI1063" s="20" t="n">
        <f aca="false">Operations!AI1043*Operations!AI1025*(1-Operations!AI1053)</f>
        <v>13.260767784294</v>
      </c>
      <c r="AJ1063" s="20" t="n">
        <f aca="false">Operations!AJ1043*Operations!AJ1025*(1-Operations!AJ1053)</f>
        <v>13.4650070106025</v>
      </c>
      <c r="AK1063" s="20" t="n">
        <f aca="false">Operations!AK1043*Operations!AK1025*(1-Operations!AK1053)</f>
        <v>13.6725752445184</v>
      </c>
      <c r="AL1063" s="20" t="n">
        <f aca="false">Operations!AL1043*Operations!AL1025*(1-Operations!AL1053)</f>
        <v>13.8834139285186</v>
      </c>
      <c r="AM1063" s="20" t="n">
        <f aca="false">Operations!AM1043*Operations!AM1025*(1-Operations!AM1053)</f>
        <v>14.097465074758</v>
      </c>
      <c r="AN1063" s="20" t="n">
        <f aca="false">Operations!AN1043*Operations!AN1025*(1-Operations!AN1053)</f>
        <v>14.3146712606328</v>
      </c>
      <c r="AO1063" s="20" t="n">
        <f aca="false">Operations!AO1043*Operations!AO1025*(1-Operations!AO1053)</f>
        <v>14.5349756243747</v>
      </c>
      <c r="AP1063" s="20" t="n">
        <f aca="false">Operations!AP1043*Operations!AP1025*(1-Operations!AP1053)</f>
        <v>14.7583218606753</v>
      </c>
      <c r="AQ1063" s="20" t="n">
        <f aca="false">Operations!AQ1043*Operations!AQ1025*(1-Operations!AQ1053)</f>
        <v>14.9864177392563</v>
      </c>
      <c r="AR1063" s="20" t="n">
        <f aca="false">Operations!AR1043*Operations!AR1025*(1-Operations!AR1053)</f>
        <v>7.5671366561157</v>
      </c>
      <c r="AS1063" s="20" t="n">
        <f aca="false">Operations!AS1043*Operations!AS1025*(1-Operations!AS1053)</f>
        <v>0</v>
      </c>
      <c r="AT1063" s="20" t="n">
        <f aca="false">Operations!AT1043*Operations!AT1025*(1-Operations!AT1053)</f>
        <v>0</v>
      </c>
      <c r="AU1063" s="20" t="n">
        <f aca="false">Operations!AU1043*Operations!AU1025*(1-Operations!AU1053)</f>
        <v>0</v>
      </c>
    </row>
    <row r="1064" customFormat="false" ht="15" hidden="false" customHeight="false" outlineLevel="0" collapsed="false">
      <c r="D1064" s="0" t="s">
        <v>669</v>
      </c>
      <c r="E1064" s="0" t="s">
        <v>47</v>
      </c>
      <c r="J1064" s="20" t="n">
        <f aca="false">Operations!J1042*Operations!J1025*(1-Operations!J1053)</f>
        <v>6.33893003272571</v>
      </c>
      <c r="K1064" s="20" t="n">
        <f aca="false">Operations!K1042*Operations!K1025*(1-Operations!K1053)</f>
        <v>8.19107669957728</v>
      </c>
      <c r="L1064" s="20" t="n">
        <f aca="false">Operations!L1042*Operations!L1025*(1-Operations!L1053)</f>
        <v>8.39340888759084</v>
      </c>
      <c r="M1064" s="20" t="n">
        <f aca="false">Operations!M1042*Operations!M1025*(1-Operations!M1053)</f>
        <v>8.22576665359743</v>
      </c>
      <c r="N1064" s="20" t="n">
        <f aca="false">Operations!N1042*Operations!N1025*(1-Operations!N1053)</f>
        <v>8.14599062858363</v>
      </c>
      <c r="O1064" s="20" t="n">
        <f aca="false">Operations!O1042*Operations!O1025*(1-Operations!O1053)</f>
        <v>8.84962479809367</v>
      </c>
      <c r="P1064" s="20" t="n">
        <f aca="false">Operations!P1042*Operations!P1025*(1-Operations!P1053)</f>
        <v>9.53932296431918</v>
      </c>
      <c r="Q1064" s="20" t="n">
        <f aca="false">Operations!Q1042*Operations!Q1025*(1-Operations!Q1053)</f>
        <v>9.48282856861544</v>
      </c>
      <c r="R1064" s="20" t="n">
        <f aca="false">Operations!R1042*Operations!R1025*(1-Operations!R1053)</f>
        <v>9.42561049819273</v>
      </c>
      <c r="S1064" s="20" t="n">
        <f aca="false">Operations!S1042*Operations!S1025*(1-Operations!S1053)</f>
        <v>9.37243876285187</v>
      </c>
      <c r="T1064" s="20" t="n">
        <f aca="false">Operations!T1042*Operations!T1025*(1-Operations!T1053)</f>
        <v>9.31934877982607</v>
      </c>
      <c r="U1064" s="20" t="n">
        <f aca="false">Operations!U1042*Operations!U1025*(1-Operations!U1053)</f>
        <v>10.3714994354313</v>
      </c>
      <c r="V1064" s="20" t="n">
        <f aca="false">Operations!V1042*Operations!V1025*(1-Operations!V1053)</f>
        <v>11.2538135789178</v>
      </c>
      <c r="W1064" s="20" t="n">
        <f aca="false">Operations!W1042*Operations!W1025*(1-Operations!W1053)</f>
        <v>11.0395621541371</v>
      </c>
      <c r="X1064" s="20" t="n">
        <f aca="false">Operations!X1042*Operations!X1025*(1-Operations!X1053)</f>
        <v>11.208913283567</v>
      </c>
      <c r="Y1064" s="20" t="n">
        <f aca="false">Operations!Y1042*Operations!Y1025*(1-Operations!Y1053)</f>
        <v>11.3822546892749</v>
      </c>
      <c r="Z1064" s="20" t="n">
        <f aca="false">Operations!Z1042*Operations!Z1025*(1-Operations!Z1053)</f>
        <v>11.5576171529258</v>
      </c>
      <c r="AA1064" s="20" t="n">
        <f aca="false">Operations!AA1042*Operations!AA1025*(1-Operations!AA1053)</f>
        <v>11.7349618383347</v>
      </c>
      <c r="AB1064" s="20" t="n">
        <f aca="false">Operations!AB1042*Operations!AB1025*(1-Operations!AB1053)</f>
        <v>11.9161372526317</v>
      </c>
      <c r="AC1064" s="20" t="n">
        <f aca="false">Operations!AC1042*Operations!AC1025*(1-Operations!AC1053)</f>
        <v>12.0992013878071</v>
      </c>
      <c r="AD1064" s="20" t="n">
        <f aca="false">Operations!AD1042*Operations!AD1025*(1-Operations!AD1053)</f>
        <v>12.2859866835681</v>
      </c>
      <c r="AE1064" s="20" t="n">
        <f aca="false">Operations!AE1042*Operations!AE1025*(1-Operations!AE1053)</f>
        <v>12.4745690991081</v>
      </c>
      <c r="AF1064" s="20" t="n">
        <f aca="false">Operations!AF1042*Operations!AF1025*(1-Operations!AF1053)</f>
        <v>12.6667651445065</v>
      </c>
      <c r="AG1064" s="20" t="n">
        <f aca="false">Operations!AG1042*Operations!AG1025*(1-Operations!AG1053)</f>
        <v>12.8625134598179</v>
      </c>
      <c r="AH1064" s="20" t="n">
        <f aca="false">Operations!AH1042*Operations!AH1025*(1-Operations!AH1053)</f>
        <v>13.0599166972616</v>
      </c>
      <c r="AI1064" s="20" t="n">
        <f aca="false">Operations!AI1042*Operations!AI1025*(1-Operations!AI1053)</f>
        <v>13.260767784294</v>
      </c>
      <c r="AJ1064" s="20" t="n">
        <f aca="false">Operations!AJ1042*Operations!AJ1025*(1-Operations!AJ1053)</f>
        <v>13.4650070106025</v>
      </c>
      <c r="AK1064" s="20" t="n">
        <f aca="false">Operations!AK1042*Operations!AK1025*(1-Operations!AK1053)</f>
        <v>13.6725752445184</v>
      </c>
      <c r="AL1064" s="20" t="n">
        <f aca="false">Operations!AL1042*Operations!AL1025*(1-Operations!AL1053)</f>
        <v>13.8834139285186</v>
      </c>
      <c r="AM1064" s="20" t="n">
        <f aca="false">Operations!AM1042*Operations!AM1025*(1-Operations!AM1053)</f>
        <v>14.097465074758</v>
      </c>
      <c r="AN1064" s="20" t="n">
        <f aca="false">Operations!AN1042*Operations!AN1025*(1-Operations!AN1053)</f>
        <v>14.3146712606328</v>
      </c>
      <c r="AO1064" s="20" t="n">
        <f aca="false">Operations!AO1042*Operations!AO1025*(1-Operations!AO1053)</f>
        <v>14.5349756243747</v>
      </c>
      <c r="AP1064" s="20" t="n">
        <f aca="false">Operations!AP1042*Operations!AP1025*(1-Operations!AP1053)</f>
        <v>14.7583218606753</v>
      </c>
      <c r="AQ1064" s="20" t="n">
        <f aca="false">Operations!AQ1042*Operations!AQ1025*(1-Operations!AQ1053)</f>
        <v>14.9864177392563</v>
      </c>
      <c r="AR1064" s="20" t="n">
        <f aca="false">Operations!AR1042*Operations!AR1025*(1-Operations!AR1053)</f>
        <v>7.5671366561157</v>
      </c>
      <c r="AS1064" s="20" t="n">
        <f aca="false">Operations!AS1042*Operations!AS1025*(1-Operations!AS1053)</f>
        <v>0</v>
      </c>
      <c r="AT1064" s="20" t="n">
        <f aca="false">Operations!AT1042*Operations!AT1025*(1-Operations!AT1053)</f>
        <v>0</v>
      </c>
      <c r="AU1064" s="20" t="n">
        <f aca="false">Operations!AU1042*Operations!AU1025*(1-Operations!AU1053)</f>
        <v>0</v>
      </c>
    </row>
    <row r="1065" customFormat="false" ht="15" hidden="false" customHeight="false" outlineLevel="0" collapsed="false">
      <c r="D1065" s="19" t="s">
        <v>670</v>
      </c>
    </row>
    <row r="1066" customFormat="false" ht="15" hidden="false" customHeight="false" outlineLevel="0" collapsed="false">
      <c r="D1066" s="0" t="s">
        <v>671</v>
      </c>
      <c r="E1066" s="0" t="s">
        <v>458</v>
      </c>
      <c r="J1066" s="14" t="n">
        <f aca="false">MAX(0,MIN(Inputs!$F$145,Time!J$6)-MAX(Inputs!$F$144,Time!J$5))/Time!J$7</f>
        <v>0</v>
      </c>
      <c r="K1066" s="14" t="n">
        <f aca="false">MAX(0,MIN(Inputs!$F$145,Time!K$6)-MAX(Inputs!$F$144,Time!K$5))/Time!K$7</f>
        <v>0.465753424657534</v>
      </c>
      <c r="L1066" s="14" t="n">
        <f aca="false">MAX(0,MIN(Inputs!$F$145,Time!L$6)-MAX(Inputs!$F$144,Time!L$5))/Time!L$7</f>
        <v>1</v>
      </c>
      <c r="M1066" s="14" t="n">
        <f aca="false">MAX(0,MIN(Inputs!$F$145,Time!M$6)-MAX(Inputs!$F$144,Time!M$5))/Time!M$7</f>
        <v>1</v>
      </c>
      <c r="N1066" s="14" t="n">
        <f aca="false">MAX(0,MIN(Inputs!$F$145,Time!N$6)-MAX(Inputs!$F$144,Time!N$5))/Time!N$7</f>
        <v>1</v>
      </c>
      <c r="O1066" s="14" t="n">
        <f aca="false">MAX(0,MIN(Inputs!$F$145,Time!O$6)-MAX(Inputs!$F$144,Time!O$5))/Time!O$7</f>
        <v>1</v>
      </c>
      <c r="P1066" s="14" t="n">
        <f aca="false">MAX(0,MIN(Inputs!$F$145,Time!P$6)-MAX(Inputs!$F$144,Time!P$5))/Time!P$7</f>
        <v>1</v>
      </c>
      <c r="Q1066" s="14" t="n">
        <f aca="false">MAX(0,MIN(Inputs!$F$145,Time!Q$6)-MAX(Inputs!$F$144,Time!Q$5))/Time!Q$7</f>
        <v>1</v>
      </c>
      <c r="R1066" s="14" t="n">
        <f aca="false">MAX(0,MIN(Inputs!$F$145,Time!R$6)-MAX(Inputs!$F$144,Time!R$5))/Time!R$7</f>
        <v>1</v>
      </c>
      <c r="S1066" s="14" t="n">
        <f aca="false">MAX(0,MIN(Inputs!$F$145,Time!S$6)-MAX(Inputs!$F$144,Time!S$5))/Time!S$7</f>
        <v>1</v>
      </c>
      <c r="T1066" s="14" t="n">
        <f aca="false">MAX(0,MIN(Inputs!$F$145,Time!T$6)-MAX(Inputs!$F$144,Time!T$5))/Time!T$7</f>
        <v>1</v>
      </c>
      <c r="U1066" s="14" t="n">
        <f aca="false">MAX(0,MIN(Inputs!$F$145,Time!U$6)-MAX(Inputs!$F$144,Time!U$5))/Time!U$7</f>
        <v>1</v>
      </c>
      <c r="V1066" s="14" t="n">
        <f aca="false">MAX(0,MIN(Inputs!$F$145,Time!V$6)-MAX(Inputs!$F$144,Time!V$5))/Time!V$7</f>
        <v>1</v>
      </c>
      <c r="W1066" s="14" t="n">
        <f aca="false">MAX(0,MIN(Inputs!$F$145,Time!W$6)-MAX(Inputs!$F$144,Time!W$5))/Time!W$7</f>
        <v>1</v>
      </c>
      <c r="X1066" s="14" t="n">
        <f aca="false">MAX(0,MIN(Inputs!$F$145,Time!X$6)-MAX(Inputs!$F$144,Time!X$5))/Time!X$7</f>
        <v>1</v>
      </c>
      <c r="Y1066" s="14" t="n">
        <f aca="false">MAX(0,MIN(Inputs!$F$145,Time!Y$6)-MAX(Inputs!$F$144,Time!Y$5))/Time!Y$7</f>
        <v>1</v>
      </c>
      <c r="Z1066" s="14" t="n">
        <f aca="false">MAX(0,MIN(Inputs!$F$145,Time!Z$6)-MAX(Inputs!$F$144,Time!Z$5))/Time!Z$7</f>
        <v>1</v>
      </c>
      <c r="AA1066" s="14" t="n">
        <f aca="false">MAX(0,MIN(Inputs!$F$145,Time!AA$6)-MAX(Inputs!$F$144,Time!AA$5))/Time!AA$7</f>
        <v>1</v>
      </c>
      <c r="AB1066" s="14" t="n">
        <f aca="false">MAX(0,MIN(Inputs!$F$145,Time!AB$6)-MAX(Inputs!$F$144,Time!AB$5))/Time!AB$7</f>
        <v>1</v>
      </c>
      <c r="AC1066" s="14" t="n">
        <f aca="false">MAX(0,MIN(Inputs!$F$145,Time!AC$6)-MAX(Inputs!$F$144,Time!AC$5))/Time!AC$7</f>
        <v>1</v>
      </c>
      <c r="AD1066" s="14" t="n">
        <f aca="false">MAX(0,MIN(Inputs!$F$145,Time!AD$6)-MAX(Inputs!$F$144,Time!AD$5))/Time!AD$7</f>
        <v>1</v>
      </c>
      <c r="AE1066" s="14" t="n">
        <f aca="false">MAX(0,MIN(Inputs!$F$145,Time!AE$6)-MAX(Inputs!$F$144,Time!AE$5))/Time!AE$7</f>
        <v>0.580821917808219</v>
      </c>
      <c r="AF1066" s="14" t="n">
        <f aca="false">MAX(0,MIN(Inputs!$F$145,Time!AF$6)-MAX(Inputs!$F$144,Time!AF$5))/Time!AF$7</f>
        <v>0</v>
      </c>
      <c r="AG1066" s="14" t="n">
        <f aca="false">MAX(0,MIN(Inputs!$F$145,Time!AG$6)-MAX(Inputs!$F$144,Time!AG$5))/Time!AG$7</f>
        <v>0</v>
      </c>
      <c r="AH1066" s="14" t="n">
        <f aca="false">MAX(0,MIN(Inputs!$F$145,Time!AH$6)-MAX(Inputs!$F$144,Time!AH$5))/Time!AH$7</f>
        <v>0</v>
      </c>
      <c r="AI1066" s="14" t="n">
        <f aca="false">MAX(0,MIN(Inputs!$F$145,Time!AI$6)-MAX(Inputs!$F$144,Time!AI$5))/Time!AI$7</f>
        <v>0</v>
      </c>
      <c r="AJ1066" s="14" t="n">
        <f aca="false">MAX(0,MIN(Inputs!$F$145,Time!AJ$6)-MAX(Inputs!$F$144,Time!AJ$5))/Time!AJ$7</f>
        <v>0</v>
      </c>
      <c r="AK1066" s="14" t="n">
        <f aca="false">MAX(0,MIN(Inputs!$F$145,Time!AK$6)-MAX(Inputs!$F$144,Time!AK$5))/Time!AK$7</f>
        <v>0</v>
      </c>
      <c r="AL1066" s="14" t="n">
        <f aca="false">MAX(0,MIN(Inputs!$F$145,Time!AL$6)-MAX(Inputs!$F$144,Time!AL$5))/Time!AL$7</f>
        <v>0</v>
      </c>
      <c r="AM1066" s="14" t="n">
        <f aca="false">MAX(0,MIN(Inputs!$F$145,Time!AM$6)-MAX(Inputs!$F$144,Time!AM$5))/Time!AM$7</f>
        <v>0</v>
      </c>
      <c r="AN1066" s="14" t="n">
        <f aca="false">MAX(0,MIN(Inputs!$F$145,Time!AN$6)-MAX(Inputs!$F$144,Time!AN$5))/Time!AN$7</f>
        <v>0</v>
      </c>
      <c r="AO1066" s="14" t="n">
        <f aca="false">MAX(0,MIN(Inputs!$F$145,Time!AO$6)-MAX(Inputs!$F$144,Time!AO$5))/Time!AO$7</f>
        <v>0</v>
      </c>
      <c r="AP1066" s="14" t="n">
        <f aca="false">MAX(0,MIN(Inputs!$F$145,Time!AP$6)-MAX(Inputs!$F$144,Time!AP$5))/Time!AP$7</f>
        <v>0</v>
      </c>
      <c r="AQ1066" s="14" t="n">
        <f aca="false">MAX(0,MIN(Inputs!$F$145,Time!AQ$6)-MAX(Inputs!$F$144,Time!AQ$5))/Time!AQ$7</f>
        <v>0</v>
      </c>
      <c r="AR1066" s="14" t="n">
        <f aca="false">MAX(0,MIN(Inputs!$F$145,Time!AR$6)-MAX(Inputs!$F$144,Time!AR$5))/Time!AR$7</f>
        <v>0</v>
      </c>
      <c r="AS1066" s="14" t="n">
        <f aca="false">MAX(0,MIN(Inputs!$F$145,Time!AS$6)-MAX(Inputs!$F$144,Time!AS$5))/Time!AS$7</f>
        <v>0</v>
      </c>
      <c r="AT1066" s="14" t="n">
        <f aca="false">MAX(0,MIN(Inputs!$F$145,Time!AT$6)-MAX(Inputs!$F$144,Time!AT$5))/Time!AT$7</f>
        <v>0</v>
      </c>
      <c r="AU1066" s="14" t="n">
        <f aca="false">MAX(0,MIN(Inputs!$F$145,Time!AU$6)-MAX(Inputs!$F$144,Time!AU$5))/Time!AU$7</f>
        <v>0</v>
      </c>
    </row>
    <row r="1067" customFormat="false" ht="15" hidden="false" customHeight="false" outlineLevel="0" collapsed="false">
      <c r="D1067" s="0" t="s">
        <v>672</v>
      </c>
      <c r="E1067" s="0" t="s">
        <v>458</v>
      </c>
      <c r="J1067" s="14" t="n">
        <f aca="false">MAX(0,MIN(Inputs!$F$145,Time!J$6)-MAX(MAX(Inputs!$F$146,Inputs!$F$144),Time!J$5))/Time!J$7</f>
        <v>0</v>
      </c>
      <c r="K1067" s="14" t="n">
        <f aca="false">MAX(0,MIN(Inputs!$F$145,Time!K$6)-MAX(MAX(Inputs!$F$146,Inputs!$F$144),Time!K$5))/Time!K$7</f>
        <v>0.334246575342466</v>
      </c>
      <c r="L1067" s="14" t="n">
        <f aca="false">MAX(0,MIN(Inputs!$F$145,Time!L$6)-MAX(MAX(Inputs!$F$146,Inputs!$F$144),Time!L$5))/Time!L$7</f>
        <v>1</v>
      </c>
      <c r="M1067" s="14" t="n">
        <f aca="false">MAX(0,MIN(Inputs!$F$145,Time!M$6)-MAX(MAX(Inputs!$F$146,Inputs!$F$144),Time!M$5))/Time!M$7</f>
        <v>1</v>
      </c>
      <c r="N1067" s="14" t="n">
        <f aca="false">MAX(0,MIN(Inputs!$F$145,Time!N$6)-MAX(MAX(Inputs!$F$146,Inputs!$F$144),Time!N$5))/Time!N$7</f>
        <v>1</v>
      </c>
      <c r="O1067" s="14" t="n">
        <f aca="false">MAX(0,MIN(Inputs!$F$145,Time!O$6)-MAX(MAX(Inputs!$F$146,Inputs!$F$144),Time!O$5))/Time!O$7</f>
        <v>1</v>
      </c>
      <c r="P1067" s="14" t="n">
        <f aca="false">MAX(0,MIN(Inputs!$F$145,Time!P$6)-MAX(MAX(Inputs!$F$146,Inputs!$F$144),Time!P$5))/Time!P$7</f>
        <v>1</v>
      </c>
      <c r="Q1067" s="14" t="n">
        <f aca="false">MAX(0,MIN(Inputs!$F$145,Time!Q$6)-MAX(MAX(Inputs!$F$146,Inputs!$F$144),Time!Q$5))/Time!Q$7</f>
        <v>1</v>
      </c>
      <c r="R1067" s="14" t="n">
        <f aca="false">MAX(0,MIN(Inputs!$F$145,Time!R$6)-MAX(MAX(Inputs!$F$146,Inputs!$F$144),Time!R$5))/Time!R$7</f>
        <v>1</v>
      </c>
      <c r="S1067" s="14" t="n">
        <f aca="false">MAX(0,MIN(Inputs!$F$145,Time!S$6)-MAX(MAX(Inputs!$F$146,Inputs!$F$144),Time!S$5))/Time!S$7</f>
        <v>1</v>
      </c>
      <c r="T1067" s="14" t="n">
        <f aca="false">MAX(0,MIN(Inputs!$F$145,Time!T$6)-MAX(MAX(Inputs!$F$146,Inputs!$F$144),Time!T$5))/Time!T$7</f>
        <v>1</v>
      </c>
      <c r="U1067" s="14" t="n">
        <f aca="false">MAX(0,MIN(Inputs!$F$145,Time!U$6)-MAX(MAX(Inputs!$F$146,Inputs!$F$144),Time!U$5))/Time!U$7</f>
        <v>1</v>
      </c>
      <c r="V1067" s="14" t="n">
        <f aca="false">MAX(0,MIN(Inputs!$F$145,Time!V$6)-MAX(MAX(Inputs!$F$146,Inputs!$F$144),Time!V$5))/Time!V$7</f>
        <v>1</v>
      </c>
      <c r="W1067" s="14" t="n">
        <f aca="false">MAX(0,MIN(Inputs!$F$145,Time!W$6)-MAX(MAX(Inputs!$F$146,Inputs!$F$144),Time!W$5))/Time!W$7</f>
        <v>1</v>
      </c>
      <c r="X1067" s="14" t="n">
        <f aca="false">MAX(0,MIN(Inputs!$F$145,Time!X$6)-MAX(MAX(Inputs!$F$146,Inputs!$F$144),Time!X$5))/Time!X$7</f>
        <v>1</v>
      </c>
      <c r="Y1067" s="14" t="n">
        <f aca="false">MAX(0,MIN(Inputs!$F$145,Time!Y$6)-MAX(MAX(Inputs!$F$146,Inputs!$F$144),Time!Y$5))/Time!Y$7</f>
        <v>1</v>
      </c>
      <c r="Z1067" s="14" t="n">
        <f aca="false">MAX(0,MIN(Inputs!$F$145,Time!Z$6)-MAX(MAX(Inputs!$F$146,Inputs!$F$144),Time!Z$5))/Time!Z$7</f>
        <v>1</v>
      </c>
      <c r="AA1067" s="14" t="n">
        <f aca="false">MAX(0,MIN(Inputs!$F$145,Time!AA$6)-MAX(MAX(Inputs!$F$146,Inputs!$F$144),Time!AA$5))/Time!AA$7</f>
        <v>1</v>
      </c>
      <c r="AB1067" s="14" t="n">
        <f aca="false">MAX(0,MIN(Inputs!$F$145,Time!AB$6)-MAX(MAX(Inputs!$F$146,Inputs!$F$144),Time!AB$5))/Time!AB$7</f>
        <v>1</v>
      </c>
      <c r="AC1067" s="14" t="n">
        <f aca="false">MAX(0,MIN(Inputs!$F$145,Time!AC$6)-MAX(MAX(Inputs!$F$146,Inputs!$F$144),Time!AC$5))/Time!AC$7</f>
        <v>1</v>
      </c>
      <c r="AD1067" s="14" t="n">
        <f aca="false">MAX(0,MIN(Inputs!$F$145,Time!AD$6)-MAX(MAX(Inputs!$F$146,Inputs!$F$144),Time!AD$5))/Time!AD$7</f>
        <v>1</v>
      </c>
      <c r="AE1067" s="14" t="n">
        <f aca="false">MAX(0,MIN(Inputs!$F$145,Time!AE$6)-MAX(MAX(Inputs!$F$146,Inputs!$F$144),Time!AE$5))/Time!AE$7</f>
        <v>0.580821917808219</v>
      </c>
      <c r="AF1067" s="14" t="n">
        <f aca="false">MAX(0,MIN(Inputs!$F$145,Time!AF$6)-MAX(MAX(Inputs!$F$146,Inputs!$F$144),Time!AF$5))/Time!AF$7</f>
        <v>0</v>
      </c>
      <c r="AG1067" s="14" t="n">
        <f aca="false">MAX(0,MIN(Inputs!$F$145,Time!AG$6)-MAX(MAX(Inputs!$F$146,Inputs!$F$144),Time!AG$5))/Time!AG$7</f>
        <v>0</v>
      </c>
      <c r="AH1067" s="14" t="n">
        <f aca="false">MAX(0,MIN(Inputs!$F$145,Time!AH$6)-MAX(MAX(Inputs!$F$146,Inputs!$F$144),Time!AH$5))/Time!AH$7</f>
        <v>0</v>
      </c>
      <c r="AI1067" s="14" t="n">
        <f aca="false">MAX(0,MIN(Inputs!$F$145,Time!AI$6)-MAX(MAX(Inputs!$F$146,Inputs!$F$144),Time!AI$5))/Time!AI$7</f>
        <v>0</v>
      </c>
      <c r="AJ1067" s="14" t="n">
        <f aca="false">MAX(0,MIN(Inputs!$F$145,Time!AJ$6)-MAX(MAX(Inputs!$F$146,Inputs!$F$144),Time!AJ$5))/Time!AJ$7</f>
        <v>0</v>
      </c>
      <c r="AK1067" s="14" t="n">
        <f aca="false">MAX(0,MIN(Inputs!$F$145,Time!AK$6)-MAX(MAX(Inputs!$F$146,Inputs!$F$144),Time!AK$5))/Time!AK$7</f>
        <v>0</v>
      </c>
      <c r="AL1067" s="14" t="n">
        <f aca="false">MAX(0,MIN(Inputs!$F$145,Time!AL$6)-MAX(MAX(Inputs!$F$146,Inputs!$F$144),Time!AL$5))/Time!AL$7</f>
        <v>0</v>
      </c>
      <c r="AM1067" s="14" t="n">
        <f aca="false">MAX(0,MIN(Inputs!$F$145,Time!AM$6)-MAX(MAX(Inputs!$F$146,Inputs!$F$144),Time!AM$5))/Time!AM$7</f>
        <v>0</v>
      </c>
      <c r="AN1067" s="14" t="n">
        <f aca="false">MAX(0,MIN(Inputs!$F$145,Time!AN$6)-MAX(MAX(Inputs!$F$146,Inputs!$F$144),Time!AN$5))/Time!AN$7</f>
        <v>0</v>
      </c>
      <c r="AO1067" s="14" t="n">
        <f aca="false">MAX(0,MIN(Inputs!$F$145,Time!AO$6)-MAX(MAX(Inputs!$F$146,Inputs!$F$144),Time!AO$5))/Time!AO$7</f>
        <v>0</v>
      </c>
      <c r="AP1067" s="14" t="n">
        <f aca="false">MAX(0,MIN(Inputs!$F$145,Time!AP$6)-MAX(MAX(Inputs!$F$146,Inputs!$F$144),Time!AP$5))/Time!AP$7</f>
        <v>0</v>
      </c>
      <c r="AQ1067" s="14" t="n">
        <f aca="false">MAX(0,MIN(Inputs!$F$145,Time!AQ$6)-MAX(MAX(Inputs!$F$146,Inputs!$F$144),Time!AQ$5))/Time!AQ$7</f>
        <v>0</v>
      </c>
      <c r="AR1067" s="14" t="n">
        <f aca="false">MAX(0,MIN(Inputs!$F$145,Time!AR$6)-MAX(MAX(Inputs!$F$146,Inputs!$F$144),Time!AR$5))/Time!AR$7</f>
        <v>0</v>
      </c>
      <c r="AS1067" s="14" t="n">
        <f aca="false">MAX(0,MIN(Inputs!$F$145,Time!AS$6)-MAX(MAX(Inputs!$F$146,Inputs!$F$144),Time!AS$5))/Time!AS$7</f>
        <v>0</v>
      </c>
      <c r="AT1067" s="14" t="n">
        <f aca="false">MAX(0,MIN(Inputs!$F$145,Time!AT$6)-MAX(MAX(Inputs!$F$146,Inputs!$F$144),Time!AT$5))/Time!AT$7</f>
        <v>0</v>
      </c>
      <c r="AU1067" s="14" t="n">
        <f aca="false">MAX(0,MIN(Inputs!$F$145,Time!AU$6)-MAX(MAX(Inputs!$F$146,Inputs!$F$144),Time!AU$5))/Time!AU$7</f>
        <v>0</v>
      </c>
    </row>
    <row r="1068" customFormat="false" ht="15" hidden="false" customHeight="false" outlineLevel="0" collapsed="false">
      <c r="D1068" s="0" t="s">
        <v>673</v>
      </c>
      <c r="E1068" s="0" t="s">
        <v>458</v>
      </c>
      <c r="J1068" s="14" t="n">
        <f aca="false">IF(Operations!J1066&gt;0,Operations!J1067/Operations!J1066,0)</f>
        <v>0</v>
      </c>
      <c r="K1068" s="14" t="n">
        <f aca="false">IF(Operations!K1066&gt;0,Operations!K1067/Operations!K1066,0)</f>
        <v>0.71764705882353</v>
      </c>
      <c r="L1068" s="14" t="n">
        <f aca="false">IF(Operations!L1066&gt;0,Operations!L1067/Operations!L1066,0)</f>
        <v>1</v>
      </c>
      <c r="M1068" s="14" t="n">
        <f aca="false">IF(Operations!M1066&gt;0,Operations!M1067/Operations!M1066,0)</f>
        <v>1</v>
      </c>
      <c r="N1068" s="14" t="n">
        <f aca="false">IF(Operations!N1066&gt;0,Operations!N1067/Operations!N1066,0)</f>
        <v>1</v>
      </c>
      <c r="O1068" s="14" t="n">
        <f aca="false">IF(Operations!O1066&gt;0,Operations!O1067/Operations!O1066,0)</f>
        <v>1</v>
      </c>
      <c r="P1068" s="14" t="n">
        <f aca="false">IF(Operations!P1066&gt;0,Operations!P1067/Operations!P1066,0)</f>
        <v>1</v>
      </c>
      <c r="Q1068" s="14" t="n">
        <f aca="false">IF(Operations!Q1066&gt;0,Operations!Q1067/Operations!Q1066,0)</f>
        <v>1</v>
      </c>
      <c r="R1068" s="14" t="n">
        <f aca="false">IF(Operations!R1066&gt;0,Operations!R1067/Operations!R1066,0)</f>
        <v>1</v>
      </c>
      <c r="S1068" s="14" t="n">
        <f aca="false">IF(Operations!S1066&gt;0,Operations!S1067/Operations!S1066,0)</f>
        <v>1</v>
      </c>
      <c r="T1068" s="14" t="n">
        <f aca="false">IF(Operations!T1066&gt;0,Operations!T1067/Operations!T1066,0)</f>
        <v>1</v>
      </c>
      <c r="U1068" s="14" t="n">
        <f aca="false">IF(Operations!U1066&gt;0,Operations!U1067/Operations!U1066,0)</f>
        <v>1</v>
      </c>
      <c r="V1068" s="14" t="n">
        <f aca="false">IF(Operations!V1066&gt;0,Operations!V1067/Operations!V1066,0)</f>
        <v>1</v>
      </c>
      <c r="W1068" s="14" t="n">
        <f aca="false">IF(Operations!W1066&gt;0,Operations!W1067/Operations!W1066,0)</f>
        <v>1</v>
      </c>
      <c r="X1068" s="14" t="n">
        <f aca="false">IF(Operations!X1066&gt;0,Operations!X1067/Operations!X1066,0)</f>
        <v>1</v>
      </c>
      <c r="Y1068" s="14" t="n">
        <f aca="false">IF(Operations!Y1066&gt;0,Operations!Y1067/Operations!Y1066,0)</f>
        <v>1</v>
      </c>
      <c r="Z1068" s="14" t="n">
        <f aca="false">IF(Operations!Z1066&gt;0,Operations!Z1067/Operations!Z1066,0)</f>
        <v>1</v>
      </c>
      <c r="AA1068" s="14" t="n">
        <f aca="false">IF(Operations!AA1066&gt;0,Operations!AA1067/Operations!AA1066,0)</f>
        <v>1</v>
      </c>
      <c r="AB1068" s="14" t="n">
        <f aca="false">IF(Operations!AB1066&gt;0,Operations!AB1067/Operations!AB1066,0)</f>
        <v>1</v>
      </c>
      <c r="AC1068" s="14" t="n">
        <f aca="false">IF(Operations!AC1066&gt;0,Operations!AC1067/Operations!AC1066,0)</f>
        <v>1</v>
      </c>
      <c r="AD1068" s="14" t="n">
        <f aca="false">IF(Operations!AD1066&gt;0,Operations!AD1067/Operations!AD1066,0)</f>
        <v>1</v>
      </c>
      <c r="AE1068" s="14" t="n">
        <f aca="false">IF(Operations!AE1066&gt;0,Operations!AE1067/Operations!AE1066,0)</f>
        <v>1</v>
      </c>
      <c r="AF1068" s="14" t="n">
        <f aca="false">IF(Operations!AF1066&gt;0,Operations!AF1067/Operations!AF1066,0)</f>
        <v>0</v>
      </c>
      <c r="AG1068" s="14" t="n">
        <f aca="false">IF(Operations!AG1066&gt;0,Operations!AG1067/Operations!AG1066,0)</f>
        <v>0</v>
      </c>
      <c r="AH1068" s="14" t="n">
        <f aca="false">IF(Operations!AH1066&gt;0,Operations!AH1067/Operations!AH1066,0)</f>
        <v>0</v>
      </c>
      <c r="AI1068" s="14" t="n">
        <f aca="false">IF(Operations!AI1066&gt;0,Operations!AI1067/Operations!AI1066,0)</f>
        <v>0</v>
      </c>
      <c r="AJ1068" s="14" t="n">
        <f aca="false">IF(Operations!AJ1066&gt;0,Operations!AJ1067/Operations!AJ1066,0)</f>
        <v>0</v>
      </c>
      <c r="AK1068" s="14" t="n">
        <f aca="false">IF(Operations!AK1066&gt;0,Operations!AK1067/Operations!AK1066,0)</f>
        <v>0</v>
      </c>
      <c r="AL1068" s="14" t="n">
        <f aca="false">IF(Operations!AL1066&gt;0,Operations!AL1067/Operations!AL1066,0)</f>
        <v>0</v>
      </c>
      <c r="AM1068" s="14" t="n">
        <f aca="false">IF(Operations!AM1066&gt;0,Operations!AM1067/Operations!AM1066,0)</f>
        <v>0</v>
      </c>
      <c r="AN1068" s="14" t="n">
        <f aca="false">IF(Operations!AN1066&gt;0,Operations!AN1067/Operations!AN1066,0)</f>
        <v>0</v>
      </c>
      <c r="AO1068" s="14" t="n">
        <f aca="false">IF(Operations!AO1066&gt;0,Operations!AO1067/Operations!AO1066,0)</f>
        <v>0</v>
      </c>
      <c r="AP1068" s="14" t="n">
        <f aca="false">IF(Operations!AP1066&gt;0,Operations!AP1067/Operations!AP1066,0)</f>
        <v>0</v>
      </c>
      <c r="AQ1068" s="14" t="n">
        <f aca="false">IF(Operations!AQ1066&gt;0,Operations!AQ1067/Operations!AQ1066,0)</f>
        <v>0</v>
      </c>
      <c r="AR1068" s="14" t="n">
        <f aca="false">IF(Operations!AR1066&gt;0,Operations!AR1067/Operations!AR1066,0)</f>
        <v>0</v>
      </c>
      <c r="AS1068" s="14" t="n">
        <f aca="false">IF(Operations!AS1066&gt;0,Operations!AS1067/Operations!AS1066,0)</f>
        <v>0</v>
      </c>
      <c r="AT1068" s="14" t="n">
        <f aca="false">IF(Operations!AT1066&gt;0,Operations!AT1067/Operations!AT1066,0)</f>
        <v>0</v>
      </c>
      <c r="AU1068" s="14" t="n">
        <f aca="false">IF(Operations!AU1066&gt;0,Operations!AU1067/Operations!AU1066,0)</f>
        <v>0</v>
      </c>
    </row>
    <row r="1069" customFormat="false" ht="15" hidden="false" customHeight="false" outlineLevel="0" collapsed="false">
      <c r="D1069" s="0" t="s">
        <v>674</v>
      </c>
      <c r="E1069" s="0" t="s">
        <v>96</v>
      </c>
      <c r="J1069" s="18" t="n">
        <f aca="false">Operations!J842</f>
        <v>74.6</v>
      </c>
      <c r="K1069" s="18" t="n">
        <f aca="false">Operations!K842</f>
        <v>61.2</v>
      </c>
      <c r="L1069" s="18" t="n">
        <f aca="false">Operations!L842</f>
        <v>30.1</v>
      </c>
      <c r="M1069" s="18" t="n">
        <f aca="false">Operations!M842</f>
        <v>39.8</v>
      </c>
      <c r="N1069" s="18" t="n">
        <f aca="false">Operations!N842</f>
        <v>44.6</v>
      </c>
      <c r="O1069" s="18" t="n">
        <f aca="false">Operations!O842</f>
        <v>47.3</v>
      </c>
      <c r="P1069" s="18" t="n">
        <f aca="false">Operations!P842</f>
        <v>49.1</v>
      </c>
      <c r="Q1069" s="18" t="n">
        <f aca="false">Operations!Q842</f>
        <v>50.4</v>
      </c>
      <c r="R1069" s="18" t="n">
        <f aca="false">Operations!R842</f>
        <v>51.8</v>
      </c>
      <c r="S1069" s="18" t="n">
        <f aca="false">Operations!S842</f>
        <v>52.84</v>
      </c>
      <c r="T1069" s="18" t="n">
        <f aca="false">Operations!T842</f>
        <v>53.9</v>
      </c>
      <c r="U1069" s="18" t="n">
        <f aca="false">Operations!U842</f>
        <v>54.98</v>
      </c>
      <c r="V1069" s="18" t="n">
        <f aca="false">Operations!V842</f>
        <v>56.08</v>
      </c>
      <c r="W1069" s="18" t="n">
        <f aca="false">Operations!W842</f>
        <v>57.2</v>
      </c>
      <c r="X1069" s="18" t="n">
        <f aca="false">Operations!X842</f>
        <v>58.34</v>
      </c>
      <c r="Y1069" s="18" t="n">
        <f aca="false">Operations!Y842</f>
        <v>59.51</v>
      </c>
      <c r="Z1069" s="18" t="n">
        <f aca="false">Operations!Z842</f>
        <v>60.7</v>
      </c>
      <c r="AA1069" s="18" t="n">
        <f aca="false">Operations!AA842</f>
        <v>61.91</v>
      </c>
      <c r="AB1069" s="18" t="n">
        <f aca="false">Operations!AB842</f>
        <v>63.15</v>
      </c>
      <c r="AC1069" s="18" t="n">
        <f aca="false">Operations!AC842</f>
        <v>64.41</v>
      </c>
      <c r="AD1069" s="18" t="n">
        <f aca="false">Operations!AD842</f>
        <v>65.7</v>
      </c>
      <c r="AE1069" s="18" t="n">
        <f aca="false">Operations!AE842</f>
        <v>67.01</v>
      </c>
      <c r="AF1069" s="18" t="n">
        <f aca="false">Operations!AF842</f>
        <v>68.35</v>
      </c>
      <c r="AG1069" s="18" t="n">
        <f aca="false">Operations!AG842</f>
        <v>69.72</v>
      </c>
      <c r="AH1069" s="18" t="n">
        <f aca="false">Operations!AH842</f>
        <v>71.11</v>
      </c>
      <c r="AI1069" s="18" t="n">
        <f aca="false">Operations!AI842</f>
        <v>72.53</v>
      </c>
      <c r="AJ1069" s="18" t="n">
        <f aca="false">Operations!AJ842</f>
        <v>73.98</v>
      </c>
      <c r="AK1069" s="18" t="n">
        <f aca="false">Operations!AK842</f>
        <v>75.46</v>
      </c>
      <c r="AL1069" s="18" t="n">
        <f aca="false">Operations!AL842</f>
        <v>76.97</v>
      </c>
      <c r="AM1069" s="18" t="n">
        <f aca="false">Operations!AM842</f>
        <v>78.51</v>
      </c>
      <c r="AN1069" s="18" t="n">
        <f aca="false">Operations!AN842</f>
        <v>80.08</v>
      </c>
      <c r="AO1069" s="18" t="n">
        <f aca="false">Operations!AO842</f>
        <v>81.68</v>
      </c>
      <c r="AP1069" s="18" t="n">
        <f aca="false">Operations!AP842</f>
        <v>83.31</v>
      </c>
      <c r="AQ1069" s="18" t="n">
        <f aca="false">Operations!AQ842</f>
        <v>84.98</v>
      </c>
      <c r="AR1069" s="18" t="n">
        <f aca="false">Operations!AR842</f>
        <v>86.68</v>
      </c>
      <c r="AS1069" s="18" t="n">
        <f aca="false">Operations!AS842</f>
        <v>88.41</v>
      </c>
      <c r="AT1069" s="18" t="n">
        <f aca="false">Operations!AT842</f>
        <v>90.18</v>
      </c>
      <c r="AU1069" s="18" t="n">
        <f aca="false">Operations!AU842</f>
        <v>91.98</v>
      </c>
    </row>
    <row r="1070" customFormat="false" ht="15" hidden="false" customHeight="false" outlineLevel="0" collapsed="false">
      <c r="D1070" s="0" t="s">
        <v>675</v>
      </c>
      <c r="E1070" s="0" t="s">
        <v>176</v>
      </c>
      <c r="J1070" s="20" t="n">
        <f aca="false">Inputs!$F$149*(1+Inputs!$F$155/100)*(1-(Inputs!$F$187*MIN(MAX(0,(Time!J$5-Inputs!$F$144)/Inputs!$F$27),1)+Inputs!$F$188*MIN(MAX(MAX(0,(Time!J$5-Inputs!$F$144)/Inputs!$F$27)-1,0),Inputs!$F$190-1)+Inputs!$F$189*MAX(MAX(0,(Time!J$5-Inputs!$F$144)/Inputs!$F$27)-Inputs!$F$190,0))/100)</f>
        <v>216</v>
      </c>
      <c r="K1070" s="20" t="n">
        <f aca="false">Inputs!$F$149*(1+Inputs!$F$155/100)*(1-(Inputs!$F$187*MIN(MAX(0,(Time!K$5-Inputs!$F$144)/Inputs!$F$27),1)+Inputs!$F$188*MIN(MAX(MAX(0,(Time!K$5-Inputs!$F$144)/Inputs!$F$27)-1,0),Inputs!$F$190-1)+Inputs!$F$189*MAX(MAX(0,(Time!K$5-Inputs!$F$144)/Inputs!$F$27)-Inputs!$F$190,0))/100)</f>
        <v>216</v>
      </c>
      <c r="L1070" s="20" t="n">
        <f aca="false">Inputs!$F$149*(1+Inputs!$F$155/100)*(1-(Inputs!$F$187*MIN(MAX(0,(Time!L$5-Inputs!$F$144)/Inputs!$F$27),1)+Inputs!$F$188*MIN(MAX(MAX(0,(Time!L$5-Inputs!$F$144)/Inputs!$F$27)-1,0),Inputs!$F$190-1)+Inputs!$F$189*MAX(MAX(0,(Time!L$5-Inputs!$F$144)/Inputs!$F$27)-Inputs!$F$190,0))/100)</f>
        <v>213.987945205479</v>
      </c>
      <c r="M1070" s="20" t="n">
        <f aca="false">Inputs!$F$149*(1+Inputs!$F$155/100)*(1-(Inputs!$F$187*MIN(MAX(0,(Time!M$5-Inputs!$F$144)/Inputs!$F$27),1)+Inputs!$F$188*MIN(MAX(MAX(0,(Time!M$5-Inputs!$F$144)/Inputs!$F$27)-1,0),Inputs!$F$190-1)+Inputs!$F$189*MAX(MAX(0,(Time!M$5-Inputs!$F$144)/Inputs!$F$27)-Inputs!$F$190,0))/100)</f>
        <v>210.162082191781</v>
      </c>
      <c r="N1070" s="20" t="n">
        <f aca="false">Inputs!$F$149*(1+Inputs!$F$155/100)*(1-(Inputs!$F$187*MIN(MAX(0,(Time!N$5-Inputs!$F$144)/Inputs!$F$27),1)+Inputs!$F$188*MIN(MAX(MAX(0,(Time!N$5-Inputs!$F$144)/Inputs!$F$27)-1,0),Inputs!$F$190-1)+Inputs!$F$189*MAX(MAX(0,(Time!N$5-Inputs!$F$144)/Inputs!$F$27)-Inputs!$F$190,0))/100)</f>
        <v>206.922082191781</v>
      </c>
      <c r="O1070" s="20" t="n">
        <f aca="false">Inputs!$F$149*(1+Inputs!$F$155/100)*(1-(Inputs!$F$187*MIN(MAX(0,(Time!O$5-Inputs!$F$144)/Inputs!$F$27),1)+Inputs!$F$188*MIN(MAX(MAX(0,(Time!O$5-Inputs!$F$144)/Inputs!$F$27)-1,0),Inputs!$F$190-1)+Inputs!$F$189*MAX(MAX(0,(Time!O$5-Inputs!$F$144)/Inputs!$F$27)-Inputs!$F$190,0))/100)</f>
        <v>203.682082191781</v>
      </c>
      <c r="P1070" s="20" t="n">
        <f aca="false">Inputs!$F$149*(1+Inputs!$F$155/100)*(1-(Inputs!$F$187*MIN(MAX(0,(Time!P$5-Inputs!$F$144)/Inputs!$F$27),1)+Inputs!$F$188*MIN(MAX(MAX(0,(Time!P$5-Inputs!$F$144)/Inputs!$F$27)-1,0),Inputs!$F$190-1)+Inputs!$F$189*MAX(MAX(0,(Time!P$5-Inputs!$F$144)/Inputs!$F$27)-Inputs!$F$190,0))/100)</f>
        <v>200.442082191781</v>
      </c>
      <c r="Q1070" s="20" t="n">
        <f aca="false">Inputs!$F$149*(1+Inputs!$F$155/100)*(1-(Inputs!$F$187*MIN(MAX(0,(Time!Q$5-Inputs!$F$144)/Inputs!$F$27),1)+Inputs!$F$188*MIN(MAX(MAX(0,(Time!Q$5-Inputs!$F$144)/Inputs!$F$27)-1,0),Inputs!$F$190-1)+Inputs!$F$189*MAX(MAX(0,(Time!Q$5-Inputs!$F$144)/Inputs!$F$27)-Inputs!$F$190,0))/100)</f>
        <v>197.193205479452</v>
      </c>
      <c r="R1070" s="20" t="n">
        <f aca="false">Inputs!$F$149*(1+Inputs!$F$155/100)*(1-(Inputs!$F$187*MIN(MAX(0,(Time!R$5-Inputs!$F$144)/Inputs!$F$27),1)+Inputs!$F$188*MIN(MAX(MAX(0,(Time!R$5-Inputs!$F$144)/Inputs!$F$27)-1,0),Inputs!$F$190-1)+Inputs!$F$189*MAX(MAX(0,(Time!R$5-Inputs!$F$144)/Inputs!$F$27)-Inputs!$F$190,0))/100)</f>
        <v>193.953205479452</v>
      </c>
      <c r="S1070" s="20" t="n">
        <f aca="false">Inputs!$F$149*(1+Inputs!$F$155/100)*(1-(Inputs!$F$187*MIN(MAX(0,(Time!S$5-Inputs!$F$144)/Inputs!$F$27),1)+Inputs!$F$188*MIN(MAX(MAX(0,(Time!S$5-Inputs!$F$144)/Inputs!$F$27)-1,0),Inputs!$F$190-1)+Inputs!$F$189*MAX(MAX(0,(Time!S$5-Inputs!$F$144)/Inputs!$F$27)-Inputs!$F$190,0))/100)</f>
        <v>190.713205479452</v>
      </c>
      <c r="T1070" s="20" t="n">
        <f aca="false">Inputs!$F$149*(1+Inputs!$F$155/100)*(1-(Inputs!$F$187*MIN(MAX(0,(Time!T$5-Inputs!$F$144)/Inputs!$F$27),1)+Inputs!$F$188*MIN(MAX(MAX(0,(Time!T$5-Inputs!$F$144)/Inputs!$F$27)-1,0),Inputs!$F$190-1)+Inputs!$F$189*MAX(MAX(0,(Time!T$5-Inputs!$F$144)/Inputs!$F$27)-Inputs!$F$190,0))/100)</f>
        <v>187.473205479452</v>
      </c>
      <c r="U1070" s="20" t="n">
        <f aca="false">Inputs!$F$149*(1+Inputs!$F$155/100)*(1-(Inputs!$F$187*MIN(MAX(0,(Time!U$5-Inputs!$F$144)/Inputs!$F$27),1)+Inputs!$F$188*MIN(MAX(MAX(0,(Time!U$5-Inputs!$F$144)/Inputs!$F$27)-1,0),Inputs!$F$190-1)+Inputs!$F$189*MAX(MAX(0,(Time!U$5-Inputs!$F$144)/Inputs!$F$27)-Inputs!$F$190,0))/100)</f>
        <v>184.224328767123</v>
      </c>
      <c r="V1070" s="20" t="n">
        <f aca="false">Inputs!$F$149*(1+Inputs!$F$155/100)*(1-(Inputs!$F$187*MIN(MAX(0,(Time!V$5-Inputs!$F$144)/Inputs!$F$27),1)+Inputs!$F$188*MIN(MAX(MAX(0,(Time!V$5-Inputs!$F$144)/Inputs!$F$27)-1,0),Inputs!$F$190-1)+Inputs!$F$189*MAX(MAX(0,(Time!V$5-Inputs!$F$144)/Inputs!$F$27)-Inputs!$F$190,0))/100)</f>
        <v>181.496219178082</v>
      </c>
      <c r="W1070" s="20" t="n">
        <f aca="false">Inputs!$F$149*(1+Inputs!$F$155/100)*(1-(Inputs!$F$187*MIN(MAX(0,(Time!W$5-Inputs!$F$144)/Inputs!$F$27),1)+Inputs!$F$188*MIN(MAX(MAX(0,(Time!W$5-Inputs!$F$144)/Inputs!$F$27)-1,0),Inputs!$F$190-1)+Inputs!$F$189*MAX(MAX(0,(Time!W$5-Inputs!$F$144)/Inputs!$F$27)-Inputs!$F$190,0))/100)</f>
        <v>179.336219178082</v>
      </c>
      <c r="X1070" s="20" t="n">
        <f aca="false">Inputs!$F$149*(1+Inputs!$F$155/100)*(1-(Inputs!$F$187*MIN(MAX(0,(Time!X$5-Inputs!$F$144)/Inputs!$F$27),1)+Inputs!$F$188*MIN(MAX(MAX(0,(Time!X$5-Inputs!$F$144)/Inputs!$F$27)-1,0),Inputs!$F$190-1)+Inputs!$F$189*MAX(MAX(0,(Time!X$5-Inputs!$F$144)/Inputs!$F$27)-Inputs!$F$190,0))/100)</f>
        <v>177.176219178082</v>
      </c>
      <c r="Y1070" s="20" t="n">
        <f aca="false">Inputs!$F$149*(1+Inputs!$F$155/100)*(1-(Inputs!$F$187*MIN(MAX(0,(Time!Y$5-Inputs!$F$144)/Inputs!$F$27),1)+Inputs!$F$188*MIN(MAX(MAX(0,(Time!Y$5-Inputs!$F$144)/Inputs!$F$27)-1,0),Inputs!$F$190-1)+Inputs!$F$189*MAX(MAX(0,(Time!Y$5-Inputs!$F$144)/Inputs!$F$27)-Inputs!$F$190,0))/100)</f>
        <v>175.010301369863</v>
      </c>
      <c r="Z1070" s="20" t="n">
        <f aca="false">Inputs!$F$149*(1+Inputs!$F$155/100)*(1-(Inputs!$F$187*MIN(MAX(0,(Time!Z$5-Inputs!$F$144)/Inputs!$F$27),1)+Inputs!$F$188*MIN(MAX(MAX(0,(Time!Z$5-Inputs!$F$144)/Inputs!$F$27)-1,0),Inputs!$F$190-1)+Inputs!$F$189*MAX(MAX(0,(Time!Z$5-Inputs!$F$144)/Inputs!$F$27)-Inputs!$F$190,0))/100)</f>
        <v>172.850301369863</v>
      </c>
      <c r="AA1070" s="20" t="n">
        <f aca="false">Inputs!$F$149*(1+Inputs!$F$155/100)*(1-(Inputs!$F$187*MIN(MAX(0,(Time!AA$5-Inputs!$F$144)/Inputs!$F$27),1)+Inputs!$F$188*MIN(MAX(MAX(0,(Time!AA$5-Inputs!$F$144)/Inputs!$F$27)-1,0),Inputs!$F$190-1)+Inputs!$F$189*MAX(MAX(0,(Time!AA$5-Inputs!$F$144)/Inputs!$F$27)-Inputs!$F$190,0))/100)</f>
        <v>170.690301369863</v>
      </c>
      <c r="AB1070" s="20" t="n">
        <f aca="false">Inputs!$F$149*(1+Inputs!$F$155/100)*(1-(Inputs!$F$187*MIN(MAX(0,(Time!AB$5-Inputs!$F$144)/Inputs!$F$27),1)+Inputs!$F$188*MIN(MAX(MAX(0,(Time!AB$5-Inputs!$F$144)/Inputs!$F$27)-1,0),Inputs!$F$190-1)+Inputs!$F$189*MAX(MAX(0,(Time!AB$5-Inputs!$F$144)/Inputs!$F$27)-Inputs!$F$190,0))/100)</f>
        <v>168.530301369863</v>
      </c>
      <c r="AC1070" s="20" t="n">
        <f aca="false">Inputs!$F$149*(1+Inputs!$F$155/100)*(1-(Inputs!$F$187*MIN(MAX(0,(Time!AC$5-Inputs!$F$144)/Inputs!$F$27),1)+Inputs!$F$188*MIN(MAX(MAX(0,(Time!AC$5-Inputs!$F$144)/Inputs!$F$27)-1,0),Inputs!$F$190-1)+Inputs!$F$189*MAX(MAX(0,(Time!AC$5-Inputs!$F$144)/Inputs!$F$27)-Inputs!$F$190,0))/100)</f>
        <v>166.364383561644</v>
      </c>
      <c r="AD1070" s="20" t="n">
        <f aca="false">Inputs!$F$149*(1+Inputs!$F$155/100)*(1-(Inputs!$F$187*MIN(MAX(0,(Time!AD$5-Inputs!$F$144)/Inputs!$F$27),1)+Inputs!$F$188*MIN(MAX(MAX(0,(Time!AD$5-Inputs!$F$144)/Inputs!$F$27)-1,0),Inputs!$F$190-1)+Inputs!$F$189*MAX(MAX(0,(Time!AD$5-Inputs!$F$144)/Inputs!$F$27)-Inputs!$F$190,0))/100)</f>
        <v>164.204383561644</v>
      </c>
      <c r="AE1070" s="20" t="n">
        <f aca="false">Inputs!$F$149*(1+Inputs!$F$155/100)*(1-(Inputs!$F$187*MIN(MAX(0,(Time!AE$5-Inputs!$F$144)/Inputs!$F$27),1)+Inputs!$F$188*MIN(MAX(MAX(0,(Time!AE$5-Inputs!$F$144)/Inputs!$F$27)-1,0),Inputs!$F$190-1)+Inputs!$F$189*MAX(MAX(0,(Time!AE$5-Inputs!$F$144)/Inputs!$F$27)-Inputs!$F$190,0))/100)</f>
        <v>162.044383561644</v>
      </c>
      <c r="AF1070" s="20" t="n">
        <f aca="false">Inputs!$F$149*(1+Inputs!$F$155/100)*(1-(Inputs!$F$187*MIN(MAX(0,(Time!AF$5-Inputs!$F$144)/Inputs!$F$27),1)+Inputs!$F$188*MIN(MAX(MAX(0,(Time!AF$5-Inputs!$F$144)/Inputs!$F$27)-1,0),Inputs!$F$190-1)+Inputs!$F$189*MAX(MAX(0,(Time!AF$5-Inputs!$F$144)/Inputs!$F$27)-Inputs!$F$190,0))/100)</f>
        <v>159.884383561644</v>
      </c>
      <c r="AG1070" s="20" t="n">
        <f aca="false">Inputs!$F$149*(1+Inputs!$F$155/100)*(1-(Inputs!$F$187*MIN(MAX(0,(Time!AG$5-Inputs!$F$144)/Inputs!$F$27),1)+Inputs!$F$188*MIN(MAX(MAX(0,(Time!AG$5-Inputs!$F$144)/Inputs!$F$27)-1,0),Inputs!$F$190-1)+Inputs!$F$189*MAX(MAX(0,(Time!AG$5-Inputs!$F$144)/Inputs!$F$27)-Inputs!$F$190,0))/100)</f>
        <v>157.718465753425</v>
      </c>
      <c r="AH1070" s="20" t="n">
        <f aca="false">Inputs!$F$149*(1+Inputs!$F$155/100)*(1-(Inputs!$F$187*MIN(MAX(0,(Time!AH$5-Inputs!$F$144)/Inputs!$F$27),1)+Inputs!$F$188*MIN(MAX(MAX(0,(Time!AH$5-Inputs!$F$144)/Inputs!$F$27)-1,0),Inputs!$F$190-1)+Inputs!$F$189*MAX(MAX(0,(Time!AH$5-Inputs!$F$144)/Inputs!$F$27)-Inputs!$F$190,0))/100)</f>
        <v>155.558465753425</v>
      </c>
      <c r="AI1070" s="20" t="n">
        <f aca="false">Inputs!$F$149*(1+Inputs!$F$155/100)*(1-(Inputs!$F$187*MIN(MAX(0,(Time!AI$5-Inputs!$F$144)/Inputs!$F$27),1)+Inputs!$F$188*MIN(MAX(MAX(0,(Time!AI$5-Inputs!$F$144)/Inputs!$F$27)-1,0),Inputs!$F$190-1)+Inputs!$F$189*MAX(MAX(0,(Time!AI$5-Inputs!$F$144)/Inputs!$F$27)-Inputs!$F$190,0))/100)</f>
        <v>153.398465753425</v>
      </c>
      <c r="AJ1070" s="20" t="n">
        <f aca="false">Inputs!$F$149*(1+Inputs!$F$155/100)*(1-(Inputs!$F$187*MIN(MAX(0,(Time!AJ$5-Inputs!$F$144)/Inputs!$F$27),1)+Inputs!$F$188*MIN(MAX(MAX(0,(Time!AJ$5-Inputs!$F$144)/Inputs!$F$27)-1,0),Inputs!$F$190-1)+Inputs!$F$189*MAX(MAX(0,(Time!AJ$5-Inputs!$F$144)/Inputs!$F$27)-Inputs!$F$190,0))/100)</f>
        <v>151.238465753425</v>
      </c>
      <c r="AK1070" s="20" t="n">
        <f aca="false">Inputs!$F$149*(1+Inputs!$F$155/100)*(1-(Inputs!$F$187*MIN(MAX(0,(Time!AK$5-Inputs!$F$144)/Inputs!$F$27),1)+Inputs!$F$188*MIN(MAX(MAX(0,(Time!AK$5-Inputs!$F$144)/Inputs!$F$27)-1,0),Inputs!$F$190-1)+Inputs!$F$189*MAX(MAX(0,(Time!AK$5-Inputs!$F$144)/Inputs!$F$27)-Inputs!$F$190,0))/100)</f>
        <v>149.072547945205</v>
      </c>
      <c r="AL1070" s="20" t="n">
        <f aca="false">Inputs!$F$149*(1+Inputs!$F$155/100)*(1-(Inputs!$F$187*MIN(MAX(0,(Time!AL$5-Inputs!$F$144)/Inputs!$F$27),1)+Inputs!$F$188*MIN(MAX(MAX(0,(Time!AL$5-Inputs!$F$144)/Inputs!$F$27)-1,0),Inputs!$F$190-1)+Inputs!$F$189*MAX(MAX(0,(Time!AL$5-Inputs!$F$144)/Inputs!$F$27)-Inputs!$F$190,0))/100)</f>
        <v>146.912547945206</v>
      </c>
      <c r="AM1070" s="20" t="n">
        <f aca="false">Inputs!$F$149*(1+Inputs!$F$155/100)*(1-(Inputs!$F$187*MIN(MAX(0,(Time!AM$5-Inputs!$F$144)/Inputs!$F$27),1)+Inputs!$F$188*MIN(MAX(MAX(0,(Time!AM$5-Inputs!$F$144)/Inputs!$F$27)-1,0),Inputs!$F$190-1)+Inputs!$F$189*MAX(MAX(0,(Time!AM$5-Inputs!$F$144)/Inputs!$F$27)-Inputs!$F$190,0))/100)</f>
        <v>144.752547945206</v>
      </c>
      <c r="AN1070" s="20" t="n">
        <f aca="false">Inputs!$F$149*(1+Inputs!$F$155/100)*(1-(Inputs!$F$187*MIN(MAX(0,(Time!AN$5-Inputs!$F$144)/Inputs!$F$27),1)+Inputs!$F$188*MIN(MAX(MAX(0,(Time!AN$5-Inputs!$F$144)/Inputs!$F$27)-1,0),Inputs!$F$190-1)+Inputs!$F$189*MAX(MAX(0,(Time!AN$5-Inputs!$F$144)/Inputs!$F$27)-Inputs!$F$190,0))/100)</f>
        <v>142.592547945205</v>
      </c>
      <c r="AO1070" s="20" t="n">
        <f aca="false">Inputs!$F$149*(1+Inputs!$F$155/100)*(1-(Inputs!$F$187*MIN(MAX(0,(Time!AO$5-Inputs!$F$144)/Inputs!$F$27),1)+Inputs!$F$188*MIN(MAX(MAX(0,(Time!AO$5-Inputs!$F$144)/Inputs!$F$27)-1,0),Inputs!$F$190-1)+Inputs!$F$189*MAX(MAX(0,(Time!AO$5-Inputs!$F$144)/Inputs!$F$27)-Inputs!$F$190,0))/100)</f>
        <v>140.426630136986</v>
      </c>
      <c r="AP1070" s="20" t="n">
        <f aca="false">Inputs!$F$149*(1+Inputs!$F$155/100)*(1-(Inputs!$F$187*MIN(MAX(0,(Time!AP$5-Inputs!$F$144)/Inputs!$F$27),1)+Inputs!$F$188*MIN(MAX(MAX(0,(Time!AP$5-Inputs!$F$144)/Inputs!$F$27)-1,0),Inputs!$F$190-1)+Inputs!$F$189*MAX(MAX(0,(Time!AP$5-Inputs!$F$144)/Inputs!$F$27)-Inputs!$F$190,0))/100)</f>
        <v>138.266630136986</v>
      </c>
      <c r="AQ1070" s="20" t="n">
        <f aca="false">Inputs!$F$149*(1+Inputs!$F$155/100)*(1-(Inputs!$F$187*MIN(MAX(0,(Time!AQ$5-Inputs!$F$144)/Inputs!$F$27),1)+Inputs!$F$188*MIN(MAX(MAX(0,(Time!AQ$5-Inputs!$F$144)/Inputs!$F$27)-1,0),Inputs!$F$190-1)+Inputs!$F$189*MAX(MAX(0,(Time!AQ$5-Inputs!$F$144)/Inputs!$F$27)-Inputs!$F$190,0))/100)</f>
        <v>136.106630136986</v>
      </c>
      <c r="AR1070" s="20" t="n">
        <f aca="false">Inputs!$F$149*(1+Inputs!$F$155/100)*(1-(Inputs!$F$187*MIN(MAX(0,(Time!AR$5-Inputs!$F$144)/Inputs!$F$27),1)+Inputs!$F$188*MIN(MAX(MAX(0,(Time!AR$5-Inputs!$F$144)/Inputs!$F$27)-1,0),Inputs!$F$190-1)+Inputs!$F$189*MAX(MAX(0,(Time!AR$5-Inputs!$F$144)/Inputs!$F$27)-Inputs!$F$190,0))/100)</f>
        <v>133.946630136986</v>
      </c>
      <c r="AS1070" s="20" t="n">
        <f aca="false">Inputs!$F$149*(1+Inputs!$F$155/100)*(1-(Inputs!$F$187*MIN(MAX(0,(Time!AS$5-Inputs!$F$144)/Inputs!$F$27),1)+Inputs!$F$188*MIN(MAX(MAX(0,(Time!AS$5-Inputs!$F$144)/Inputs!$F$27)-1,0),Inputs!$F$190-1)+Inputs!$F$189*MAX(MAX(0,(Time!AS$5-Inputs!$F$144)/Inputs!$F$27)-Inputs!$F$190,0))/100)</f>
        <v>131.780712328767</v>
      </c>
      <c r="AT1070" s="20" t="n">
        <f aca="false">Inputs!$F$149*(1+Inputs!$F$155/100)*(1-(Inputs!$F$187*MIN(MAX(0,(Time!AT$5-Inputs!$F$144)/Inputs!$F$27),1)+Inputs!$F$188*MIN(MAX(MAX(0,(Time!AT$5-Inputs!$F$144)/Inputs!$F$27)-1,0),Inputs!$F$190-1)+Inputs!$F$189*MAX(MAX(0,(Time!AT$5-Inputs!$F$144)/Inputs!$F$27)-Inputs!$F$190,0))/100)</f>
        <v>129.620712328767</v>
      </c>
      <c r="AU1070" s="20" t="n">
        <f aca="false">Inputs!$F$149*(1+Inputs!$F$155/100)*(1-(Inputs!$F$187*MIN(MAX(0,(Time!AU$5-Inputs!$F$144)/Inputs!$F$27),1)+Inputs!$F$188*MIN(MAX(MAX(0,(Time!AU$5-Inputs!$F$144)/Inputs!$F$27)-1,0),Inputs!$F$190-1)+Inputs!$F$189*MAX(MAX(0,(Time!AU$5-Inputs!$F$144)/Inputs!$F$27)-Inputs!$F$190,0))/100)</f>
        <v>127.460712328767</v>
      </c>
    </row>
    <row r="1071" customFormat="false" ht="15" hidden="false" customHeight="false" outlineLevel="0" collapsed="false">
      <c r="D1071" s="0" t="s">
        <v>676</v>
      </c>
      <c r="E1071" s="0" t="s">
        <v>176</v>
      </c>
      <c r="J1071" s="20" t="n">
        <f aca="false">IF(Time!J$5&gt;=(DATE(YEAR(Inputs!$F$144)+Inputs!$F$151,1,1)-1),Inputs!$F$153/100*Inputs!$F$149*(1-(Inputs!$F$187*MIN(MAX(0,(Time!J$5-(DATE(YEAR(Inputs!$F$144)+Inputs!$F$151,1,1)-1))/Inputs!$F$27),1)+Inputs!$F$188*MIN(MAX(MAX(0,(Time!J$5-(DATE(YEAR(Inputs!$F$144)+Inputs!$F$151,1,1)-1))/Inputs!$F$27)-1,0),Inputs!$F$190-1)+Inputs!$F$189*MAX(MAX(0,(Time!J$5-(DATE(YEAR(Inputs!$F$144)+Inputs!$F$151,1,1)-1))/Inputs!$F$27)-Inputs!$F$190,0))/100),0)+IF(Time!J$5&gt;=(DATE(YEAR(Inputs!$F$144)+Inputs!$F$152,1,1)-1),Inputs!$F$153/100*Inputs!$F$149*(1-(Inputs!$F$187*MIN(MAX(0,(Time!J$5-(DATE(YEAR(Inputs!$F$144)+Inputs!$F$152,1,1)-1))/Inputs!$F$27),1)+Inputs!$F$188*MIN(MAX(MAX(0,(Time!J$5-(DATE(YEAR(Inputs!$F$144)+Inputs!$F$152,1,1)-1))/Inputs!$F$27)-1,0),Inputs!$F$190-1)+Inputs!$F$189*MAX(MAX(0,(Time!J$5-(DATE(YEAR(Inputs!$F$144)+Inputs!$F$152,1,1)-1))/Inputs!$F$27)-Inputs!$F$190,0))/100),0)</f>
        <v>0</v>
      </c>
      <c r="K1071" s="20" t="n">
        <f aca="false">IF(Time!K$5&gt;=(DATE(YEAR(Inputs!$F$144)+Inputs!$F$151,1,1)-1),Inputs!$F$153/100*Inputs!$F$149*(1-(Inputs!$F$187*MIN(MAX(0,(Time!K$5-(DATE(YEAR(Inputs!$F$144)+Inputs!$F$151,1,1)-1))/Inputs!$F$27),1)+Inputs!$F$188*MIN(MAX(MAX(0,(Time!K$5-(DATE(YEAR(Inputs!$F$144)+Inputs!$F$151,1,1)-1))/Inputs!$F$27)-1,0),Inputs!$F$190-1)+Inputs!$F$189*MAX(MAX(0,(Time!K$5-(DATE(YEAR(Inputs!$F$144)+Inputs!$F$151,1,1)-1))/Inputs!$F$27)-Inputs!$F$190,0))/100),0)+IF(Time!K$5&gt;=(DATE(YEAR(Inputs!$F$144)+Inputs!$F$152,1,1)-1),Inputs!$F$153/100*Inputs!$F$149*(1-(Inputs!$F$187*MIN(MAX(0,(Time!K$5-(DATE(YEAR(Inputs!$F$144)+Inputs!$F$152,1,1)-1))/Inputs!$F$27),1)+Inputs!$F$188*MIN(MAX(MAX(0,(Time!K$5-(DATE(YEAR(Inputs!$F$144)+Inputs!$F$152,1,1)-1))/Inputs!$F$27)-1,0),Inputs!$F$190-1)+Inputs!$F$189*MAX(MAX(0,(Time!K$5-(DATE(YEAR(Inputs!$F$144)+Inputs!$F$152,1,1)-1))/Inputs!$F$27)-Inputs!$F$190,0))/100),0)</f>
        <v>0</v>
      </c>
      <c r="L1071" s="20" t="n">
        <f aca="false">IF(Time!L$5&gt;=(DATE(YEAR(Inputs!$F$144)+Inputs!$F$151,1,1)-1),Inputs!$F$153/100*Inputs!$F$149*(1-(Inputs!$F$187*MIN(MAX(0,(Time!L$5-(DATE(YEAR(Inputs!$F$144)+Inputs!$F$151,1,1)-1))/Inputs!$F$27),1)+Inputs!$F$188*MIN(MAX(MAX(0,(Time!L$5-(DATE(YEAR(Inputs!$F$144)+Inputs!$F$151,1,1)-1))/Inputs!$F$27)-1,0),Inputs!$F$190-1)+Inputs!$F$189*MAX(MAX(0,(Time!L$5-(DATE(YEAR(Inputs!$F$144)+Inputs!$F$151,1,1)-1))/Inputs!$F$27)-Inputs!$F$190,0))/100),0)+IF(Time!L$5&gt;=(DATE(YEAR(Inputs!$F$144)+Inputs!$F$152,1,1)-1),Inputs!$F$153/100*Inputs!$F$149*(1-(Inputs!$F$187*MIN(MAX(0,(Time!L$5-(DATE(YEAR(Inputs!$F$144)+Inputs!$F$152,1,1)-1))/Inputs!$F$27),1)+Inputs!$F$188*MIN(MAX(MAX(0,(Time!L$5-(DATE(YEAR(Inputs!$F$144)+Inputs!$F$152,1,1)-1))/Inputs!$F$27)-1,0),Inputs!$F$190-1)+Inputs!$F$189*MAX(MAX(0,(Time!L$5-(DATE(YEAR(Inputs!$F$144)+Inputs!$F$152,1,1)-1))/Inputs!$F$27)-Inputs!$F$190,0))/100),0)</f>
        <v>0</v>
      </c>
      <c r="M1071" s="20" t="n">
        <f aca="false">IF(Time!M$5&gt;=(DATE(YEAR(Inputs!$F$144)+Inputs!$F$151,1,1)-1),Inputs!$F$153/100*Inputs!$F$149*(1-(Inputs!$F$187*MIN(MAX(0,(Time!M$5-(DATE(YEAR(Inputs!$F$144)+Inputs!$F$151,1,1)-1))/Inputs!$F$27),1)+Inputs!$F$188*MIN(MAX(MAX(0,(Time!M$5-(DATE(YEAR(Inputs!$F$144)+Inputs!$F$151,1,1)-1))/Inputs!$F$27)-1,0),Inputs!$F$190-1)+Inputs!$F$189*MAX(MAX(0,(Time!M$5-(DATE(YEAR(Inputs!$F$144)+Inputs!$F$151,1,1)-1))/Inputs!$F$27)-Inputs!$F$190,0))/100),0)+IF(Time!M$5&gt;=(DATE(YEAR(Inputs!$F$144)+Inputs!$F$152,1,1)-1),Inputs!$F$153/100*Inputs!$F$149*(1-(Inputs!$F$187*MIN(MAX(0,(Time!M$5-(DATE(YEAR(Inputs!$F$144)+Inputs!$F$152,1,1)-1))/Inputs!$F$27),1)+Inputs!$F$188*MIN(MAX(MAX(0,(Time!M$5-(DATE(YEAR(Inputs!$F$144)+Inputs!$F$152,1,1)-1))/Inputs!$F$27)-1,0),Inputs!$F$190-1)+Inputs!$F$189*MAX(MAX(0,(Time!M$5-(DATE(YEAR(Inputs!$F$144)+Inputs!$F$152,1,1)-1))/Inputs!$F$27)-Inputs!$F$190,0))/100),0)</f>
        <v>0</v>
      </c>
      <c r="N1071" s="20" t="n">
        <f aca="false">IF(Time!N$5&gt;=(DATE(YEAR(Inputs!$F$144)+Inputs!$F$151,1,1)-1),Inputs!$F$153/100*Inputs!$F$149*(1-(Inputs!$F$187*MIN(MAX(0,(Time!N$5-(DATE(YEAR(Inputs!$F$144)+Inputs!$F$151,1,1)-1))/Inputs!$F$27),1)+Inputs!$F$188*MIN(MAX(MAX(0,(Time!N$5-(DATE(YEAR(Inputs!$F$144)+Inputs!$F$151,1,1)-1))/Inputs!$F$27)-1,0),Inputs!$F$190-1)+Inputs!$F$189*MAX(MAX(0,(Time!N$5-(DATE(YEAR(Inputs!$F$144)+Inputs!$F$151,1,1)-1))/Inputs!$F$27)-Inputs!$F$190,0))/100),0)+IF(Time!N$5&gt;=(DATE(YEAR(Inputs!$F$144)+Inputs!$F$152,1,1)-1),Inputs!$F$153/100*Inputs!$F$149*(1-(Inputs!$F$187*MIN(MAX(0,(Time!N$5-(DATE(YEAR(Inputs!$F$144)+Inputs!$F$152,1,1)-1))/Inputs!$F$27),1)+Inputs!$F$188*MIN(MAX(MAX(0,(Time!N$5-(DATE(YEAR(Inputs!$F$144)+Inputs!$F$152,1,1)-1))/Inputs!$F$27)-1,0),Inputs!$F$190-1)+Inputs!$F$189*MAX(MAX(0,(Time!N$5-(DATE(YEAR(Inputs!$F$144)+Inputs!$F$152,1,1)-1))/Inputs!$F$27)-Inputs!$F$190,0))/100),0)</f>
        <v>0</v>
      </c>
      <c r="O1071" s="20" t="n">
        <f aca="false">IF(Time!O$5&gt;=(DATE(YEAR(Inputs!$F$144)+Inputs!$F$151,1,1)-1),Inputs!$F$153/100*Inputs!$F$149*(1-(Inputs!$F$187*MIN(MAX(0,(Time!O$5-(DATE(YEAR(Inputs!$F$144)+Inputs!$F$151,1,1)-1))/Inputs!$F$27),1)+Inputs!$F$188*MIN(MAX(MAX(0,(Time!O$5-(DATE(YEAR(Inputs!$F$144)+Inputs!$F$151,1,1)-1))/Inputs!$F$27)-1,0),Inputs!$F$190-1)+Inputs!$F$189*MAX(MAX(0,(Time!O$5-(DATE(YEAR(Inputs!$F$144)+Inputs!$F$151,1,1)-1))/Inputs!$F$27)-Inputs!$F$190,0))/100),0)+IF(Time!O$5&gt;=(DATE(YEAR(Inputs!$F$144)+Inputs!$F$152,1,1)-1),Inputs!$F$153/100*Inputs!$F$149*(1-(Inputs!$F$187*MIN(MAX(0,(Time!O$5-(DATE(YEAR(Inputs!$F$144)+Inputs!$F$152,1,1)-1))/Inputs!$F$27),1)+Inputs!$F$188*MIN(MAX(MAX(0,(Time!O$5-(DATE(YEAR(Inputs!$F$144)+Inputs!$F$152,1,1)-1))/Inputs!$F$27)-1,0),Inputs!$F$190-1)+Inputs!$F$189*MAX(MAX(0,(Time!O$5-(DATE(YEAR(Inputs!$F$144)+Inputs!$F$152,1,1)-1))/Inputs!$F$27)-Inputs!$F$190,0))/100),0)</f>
        <v>0</v>
      </c>
      <c r="P1071" s="20" t="n">
        <f aca="false">IF(Time!P$5&gt;=(DATE(YEAR(Inputs!$F$144)+Inputs!$F$151,1,1)-1),Inputs!$F$153/100*Inputs!$F$149*(1-(Inputs!$F$187*MIN(MAX(0,(Time!P$5-(DATE(YEAR(Inputs!$F$144)+Inputs!$F$151,1,1)-1))/Inputs!$F$27),1)+Inputs!$F$188*MIN(MAX(MAX(0,(Time!P$5-(DATE(YEAR(Inputs!$F$144)+Inputs!$F$151,1,1)-1))/Inputs!$F$27)-1,0),Inputs!$F$190-1)+Inputs!$F$189*MAX(MAX(0,(Time!P$5-(DATE(YEAR(Inputs!$F$144)+Inputs!$F$151,1,1)-1))/Inputs!$F$27)-Inputs!$F$190,0))/100),0)+IF(Time!P$5&gt;=(DATE(YEAR(Inputs!$F$144)+Inputs!$F$152,1,1)-1),Inputs!$F$153/100*Inputs!$F$149*(1-(Inputs!$F$187*MIN(MAX(0,(Time!P$5-(DATE(YEAR(Inputs!$F$144)+Inputs!$F$152,1,1)-1))/Inputs!$F$27),1)+Inputs!$F$188*MIN(MAX(MAX(0,(Time!P$5-(DATE(YEAR(Inputs!$F$144)+Inputs!$F$152,1,1)-1))/Inputs!$F$27)-1,0),Inputs!$F$190-1)+Inputs!$F$189*MAX(MAX(0,(Time!P$5-(DATE(YEAR(Inputs!$F$144)+Inputs!$F$152,1,1)-1))/Inputs!$F$27)-Inputs!$F$190,0))/100),0)</f>
        <v>12</v>
      </c>
      <c r="Q1071" s="20" t="n">
        <f aca="false">IF(Time!Q$5&gt;=(DATE(YEAR(Inputs!$F$144)+Inputs!$F$151,1,1)-1),Inputs!$F$153/100*Inputs!$F$149*(1-(Inputs!$F$187*MIN(MAX(0,(Time!Q$5-(DATE(YEAR(Inputs!$F$144)+Inputs!$F$151,1,1)-1))/Inputs!$F$27),1)+Inputs!$F$188*MIN(MAX(MAX(0,(Time!Q$5-(DATE(YEAR(Inputs!$F$144)+Inputs!$F$151,1,1)-1))/Inputs!$F$27)-1,0),Inputs!$F$190-1)+Inputs!$F$189*MAX(MAX(0,(Time!Q$5-(DATE(YEAR(Inputs!$F$144)+Inputs!$F$151,1,1)-1))/Inputs!$F$27)-Inputs!$F$190,0))/100),0)+IF(Time!Q$5&gt;=(DATE(YEAR(Inputs!$F$144)+Inputs!$F$152,1,1)-1),Inputs!$F$153/100*Inputs!$F$149*(1-(Inputs!$F$187*MIN(MAX(0,(Time!Q$5-(DATE(YEAR(Inputs!$F$144)+Inputs!$F$152,1,1)-1))/Inputs!$F$27),1)+Inputs!$F$188*MIN(MAX(MAX(0,(Time!Q$5-(DATE(YEAR(Inputs!$F$144)+Inputs!$F$152,1,1)-1))/Inputs!$F$27)-1,0),Inputs!$F$190-1)+Inputs!$F$189*MAX(MAX(0,(Time!Q$5-(DATE(YEAR(Inputs!$F$144)+Inputs!$F$152,1,1)-1))/Inputs!$F$27)-Inputs!$F$190,0))/100),0)</f>
        <v>11.7595068493151</v>
      </c>
      <c r="R1071" s="20" t="n">
        <f aca="false">IF(Time!R$5&gt;=(DATE(YEAR(Inputs!$F$144)+Inputs!$F$151,1,1)-1),Inputs!$F$153/100*Inputs!$F$149*(1-(Inputs!$F$187*MIN(MAX(0,(Time!R$5-(DATE(YEAR(Inputs!$F$144)+Inputs!$F$151,1,1)-1))/Inputs!$F$27),1)+Inputs!$F$188*MIN(MAX(MAX(0,(Time!R$5-(DATE(YEAR(Inputs!$F$144)+Inputs!$F$151,1,1)-1))/Inputs!$F$27)-1,0),Inputs!$F$190-1)+Inputs!$F$189*MAX(MAX(0,(Time!R$5-(DATE(YEAR(Inputs!$F$144)+Inputs!$F$151,1,1)-1))/Inputs!$F$27)-Inputs!$F$190,0))/100),0)+IF(Time!R$5&gt;=(DATE(YEAR(Inputs!$F$144)+Inputs!$F$152,1,1)-1),Inputs!$F$153/100*Inputs!$F$149*(1-(Inputs!$F$187*MIN(MAX(0,(Time!R$5-(DATE(YEAR(Inputs!$F$144)+Inputs!$F$152,1,1)-1))/Inputs!$F$27),1)+Inputs!$F$188*MIN(MAX(MAX(0,(Time!R$5-(DATE(YEAR(Inputs!$F$144)+Inputs!$F$152,1,1)-1))/Inputs!$F$27)-1,0),Inputs!$F$190-1)+Inputs!$F$189*MAX(MAX(0,(Time!R$5-(DATE(YEAR(Inputs!$F$144)+Inputs!$F$152,1,1)-1))/Inputs!$F$27)-Inputs!$F$190,0))/100),0)</f>
        <v>11.5795068493151</v>
      </c>
      <c r="S1071" s="20" t="n">
        <f aca="false">IF(Time!S$5&gt;=(DATE(YEAR(Inputs!$F$144)+Inputs!$F$151,1,1)-1),Inputs!$F$153/100*Inputs!$F$149*(1-(Inputs!$F$187*MIN(MAX(0,(Time!S$5-(DATE(YEAR(Inputs!$F$144)+Inputs!$F$151,1,1)-1))/Inputs!$F$27),1)+Inputs!$F$188*MIN(MAX(MAX(0,(Time!S$5-(DATE(YEAR(Inputs!$F$144)+Inputs!$F$151,1,1)-1))/Inputs!$F$27)-1,0),Inputs!$F$190-1)+Inputs!$F$189*MAX(MAX(0,(Time!S$5-(DATE(YEAR(Inputs!$F$144)+Inputs!$F$151,1,1)-1))/Inputs!$F$27)-Inputs!$F$190,0))/100),0)+IF(Time!S$5&gt;=(DATE(YEAR(Inputs!$F$144)+Inputs!$F$152,1,1)-1),Inputs!$F$153/100*Inputs!$F$149*(1-(Inputs!$F$187*MIN(MAX(0,(Time!S$5-(DATE(YEAR(Inputs!$F$144)+Inputs!$F$152,1,1)-1))/Inputs!$F$27),1)+Inputs!$F$188*MIN(MAX(MAX(0,(Time!S$5-(DATE(YEAR(Inputs!$F$144)+Inputs!$F$152,1,1)-1))/Inputs!$F$27)-1,0),Inputs!$F$190-1)+Inputs!$F$189*MAX(MAX(0,(Time!S$5-(DATE(YEAR(Inputs!$F$144)+Inputs!$F$152,1,1)-1))/Inputs!$F$27)-Inputs!$F$190,0))/100),0)</f>
        <v>11.3995068493151</v>
      </c>
      <c r="T1071" s="20" t="n">
        <f aca="false">IF(Time!T$5&gt;=(DATE(YEAR(Inputs!$F$144)+Inputs!$F$151,1,1)-1),Inputs!$F$153/100*Inputs!$F$149*(1-(Inputs!$F$187*MIN(MAX(0,(Time!T$5-(DATE(YEAR(Inputs!$F$144)+Inputs!$F$151,1,1)-1))/Inputs!$F$27),1)+Inputs!$F$188*MIN(MAX(MAX(0,(Time!T$5-(DATE(YEAR(Inputs!$F$144)+Inputs!$F$151,1,1)-1))/Inputs!$F$27)-1,0),Inputs!$F$190-1)+Inputs!$F$189*MAX(MAX(0,(Time!T$5-(DATE(YEAR(Inputs!$F$144)+Inputs!$F$151,1,1)-1))/Inputs!$F$27)-Inputs!$F$190,0))/100),0)+IF(Time!T$5&gt;=(DATE(YEAR(Inputs!$F$144)+Inputs!$F$152,1,1)-1),Inputs!$F$153/100*Inputs!$F$149*(1-(Inputs!$F$187*MIN(MAX(0,(Time!T$5-(DATE(YEAR(Inputs!$F$144)+Inputs!$F$152,1,1)-1))/Inputs!$F$27),1)+Inputs!$F$188*MIN(MAX(MAX(0,(Time!T$5-(DATE(YEAR(Inputs!$F$144)+Inputs!$F$152,1,1)-1))/Inputs!$F$27)-1,0),Inputs!$F$190-1)+Inputs!$F$189*MAX(MAX(0,(Time!T$5-(DATE(YEAR(Inputs!$F$144)+Inputs!$F$152,1,1)-1))/Inputs!$F$27)-Inputs!$F$190,0))/100),0)</f>
        <v>23.2195068493151</v>
      </c>
      <c r="U1071" s="20" t="n">
        <f aca="false">IF(Time!U$5&gt;=(DATE(YEAR(Inputs!$F$144)+Inputs!$F$151,1,1)-1),Inputs!$F$153/100*Inputs!$F$149*(1-(Inputs!$F$187*MIN(MAX(0,(Time!U$5-(DATE(YEAR(Inputs!$F$144)+Inputs!$F$151,1,1)-1))/Inputs!$F$27),1)+Inputs!$F$188*MIN(MAX(MAX(0,(Time!U$5-(DATE(YEAR(Inputs!$F$144)+Inputs!$F$151,1,1)-1))/Inputs!$F$27)-1,0),Inputs!$F$190-1)+Inputs!$F$189*MAX(MAX(0,(Time!U$5-(DATE(YEAR(Inputs!$F$144)+Inputs!$F$151,1,1)-1))/Inputs!$F$27)-Inputs!$F$190,0))/100),0)+IF(Time!U$5&gt;=(DATE(YEAR(Inputs!$F$144)+Inputs!$F$152,1,1)-1),Inputs!$F$153/100*Inputs!$F$149*(1-(Inputs!$F$187*MIN(MAX(0,(Time!U$5-(DATE(YEAR(Inputs!$F$144)+Inputs!$F$152,1,1)-1))/Inputs!$F$27),1)+Inputs!$F$188*MIN(MAX(MAX(0,(Time!U$5-(DATE(YEAR(Inputs!$F$144)+Inputs!$F$152,1,1)-1))/Inputs!$F$27)-1,0),Inputs!$F$190-1)+Inputs!$F$189*MAX(MAX(0,(Time!U$5-(DATE(YEAR(Inputs!$F$144)+Inputs!$F$152,1,1)-1))/Inputs!$F$27)-Inputs!$F$190,0))/100),0)</f>
        <v>22.7985205479452</v>
      </c>
      <c r="V1071" s="20" t="n">
        <f aca="false">IF(Time!V$5&gt;=(DATE(YEAR(Inputs!$F$144)+Inputs!$F$151,1,1)-1),Inputs!$F$153/100*Inputs!$F$149*(1-(Inputs!$F$187*MIN(MAX(0,(Time!V$5-(DATE(YEAR(Inputs!$F$144)+Inputs!$F$151,1,1)-1))/Inputs!$F$27),1)+Inputs!$F$188*MIN(MAX(MAX(0,(Time!V$5-(DATE(YEAR(Inputs!$F$144)+Inputs!$F$151,1,1)-1))/Inputs!$F$27)-1,0),Inputs!$F$190-1)+Inputs!$F$189*MAX(MAX(0,(Time!V$5-(DATE(YEAR(Inputs!$F$144)+Inputs!$F$151,1,1)-1))/Inputs!$F$27)-Inputs!$F$190,0))/100),0)+IF(Time!V$5&gt;=(DATE(YEAR(Inputs!$F$144)+Inputs!$F$152,1,1)-1),Inputs!$F$153/100*Inputs!$F$149*(1-(Inputs!$F$187*MIN(MAX(0,(Time!V$5-(DATE(YEAR(Inputs!$F$144)+Inputs!$F$152,1,1)-1))/Inputs!$F$27),1)+Inputs!$F$188*MIN(MAX(MAX(0,(Time!V$5-(DATE(YEAR(Inputs!$F$144)+Inputs!$F$152,1,1)-1))/Inputs!$F$27)-1,0),Inputs!$F$190-1)+Inputs!$F$189*MAX(MAX(0,(Time!V$5-(DATE(YEAR(Inputs!$F$144)+Inputs!$F$152,1,1)-1))/Inputs!$F$27)-Inputs!$F$190,0))/100),0)</f>
        <v>22.4385205479452</v>
      </c>
      <c r="W1071" s="20" t="n">
        <f aca="false">IF(Time!W$5&gt;=(DATE(YEAR(Inputs!$F$144)+Inputs!$F$151,1,1)-1),Inputs!$F$153/100*Inputs!$F$149*(1-(Inputs!$F$187*MIN(MAX(0,(Time!W$5-(DATE(YEAR(Inputs!$F$144)+Inputs!$F$151,1,1)-1))/Inputs!$F$27),1)+Inputs!$F$188*MIN(MAX(MAX(0,(Time!W$5-(DATE(YEAR(Inputs!$F$144)+Inputs!$F$151,1,1)-1))/Inputs!$F$27)-1,0),Inputs!$F$190-1)+Inputs!$F$189*MAX(MAX(0,(Time!W$5-(DATE(YEAR(Inputs!$F$144)+Inputs!$F$151,1,1)-1))/Inputs!$F$27)-Inputs!$F$190,0))/100),0)+IF(Time!W$5&gt;=(DATE(YEAR(Inputs!$F$144)+Inputs!$F$152,1,1)-1),Inputs!$F$153/100*Inputs!$F$149*(1-(Inputs!$F$187*MIN(MAX(0,(Time!W$5-(DATE(YEAR(Inputs!$F$144)+Inputs!$F$152,1,1)-1))/Inputs!$F$27),1)+Inputs!$F$188*MIN(MAX(MAX(0,(Time!W$5-(DATE(YEAR(Inputs!$F$144)+Inputs!$F$152,1,1)-1))/Inputs!$F$27)-1,0),Inputs!$F$190-1)+Inputs!$F$189*MAX(MAX(0,(Time!W$5-(DATE(YEAR(Inputs!$F$144)+Inputs!$F$152,1,1)-1))/Inputs!$F$27)-Inputs!$F$190,0))/100),0)</f>
        <v>22.0785205479452</v>
      </c>
      <c r="X1071" s="20" t="n">
        <f aca="false">IF(Time!X$5&gt;=(DATE(YEAR(Inputs!$F$144)+Inputs!$F$151,1,1)-1),Inputs!$F$153/100*Inputs!$F$149*(1-(Inputs!$F$187*MIN(MAX(0,(Time!X$5-(DATE(YEAR(Inputs!$F$144)+Inputs!$F$151,1,1)-1))/Inputs!$F$27),1)+Inputs!$F$188*MIN(MAX(MAX(0,(Time!X$5-(DATE(YEAR(Inputs!$F$144)+Inputs!$F$151,1,1)-1))/Inputs!$F$27)-1,0),Inputs!$F$190-1)+Inputs!$F$189*MAX(MAX(0,(Time!X$5-(DATE(YEAR(Inputs!$F$144)+Inputs!$F$151,1,1)-1))/Inputs!$F$27)-Inputs!$F$190,0))/100),0)+IF(Time!X$5&gt;=(DATE(YEAR(Inputs!$F$144)+Inputs!$F$152,1,1)-1),Inputs!$F$153/100*Inputs!$F$149*(1-(Inputs!$F$187*MIN(MAX(0,(Time!X$5-(DATE(YEAR(Inputs!$F$144)+Inputs!$F$152,1,1)-1))/Inputs!$F$27),1)+Inputs!$F$188*MIN(MAX(MAX(0,(Time!X$5-(DATE(YEAR(Inputs!$F$144)+Inputs!$F$152,1,1)-1))/Inputs!$F$27)-1,0),Inputs!$F$190-1)+Inputs!$F$189*MAX(MAX(0,(Time!X$5-(DATE(YEAR(Inputs!$F$144)+Inputs!$F$152,1,1)-1))/Inputs!$F$27)-Inputs!$F$190,0))/100),0)</f>
        <v>21.7185205479452</v>
      </c>
      <c r="Y1071" s="20" t="n">
        <f aca="false">IF(Time!Y$5&gt;=(DATE(YEAR(Inputs!$F$144)+Inputs!$F$151,1,1)-1),Inputs!$F$153/100*Inputs!$F$149*(1-(Inputs!$F$187*MIN(MAX(0,(Time!Y$5-(DATE(YEAR(Inputs!$F$144)+Inputs!$F$151,1,1)-1))/Inputs!$F$27),1)+Inputs!$F$188*MIN(MAX(MAX(0,(Time!Y$5-(DATE(YEAR(Inputs!$F$144)+Inputs!$F$151,1,1)-1))/Inputs!$F$27)-1,0),Inputs!$F$190-1)+Inputs!$F$189*MAX(MAX(0,(Time!Y$5-(DATE(YEAR(Inputs!$F$144)+Inputs!$F$151,1,1)-1))/Inputs!$F$27)-Inputs!$F$190,0))/100),0)+IF(Time!Y$5&gt;=(DATE(YEAR(Inputs!$F$144)+Inputs!$F$152,1,1)-1),Inputs!$F$153/100*Inputs!$F$149*(1-(Inputs!$F$187*MIN(MAX(0,(Time!Y$5-(DATE(YEAR(Inputs!$F$144)+Inputs!$F$152,1,1)-1))/Inputs!$F$27),1)+Inputs!$F$188*MIN(MAX(MAX(0,(Time!Y$5-(DATE(YEAR(Inputs!$F$144)+Inputs!$F$152,1,1)-1))/Inputs!$F$27)-1,0),Inputs!$F$190-1)+Inputs!$F$189*MAX(MAX(0,(Time!Y$5-(DATE(YEAR(Inputs!$F$144)+Inputs!$F$152,1,1)-1))/Inputs!$F$27)-Inputs!$F$190,0))/100),0)</f>
        <v>21.3575342465753</v>
      </c>
      <c r="Z1071" s="20" t="n">
        <f aca="false">IF(Time!Z$5&gt;=(DATE(YEAR(Inputs!$F$144)+Inputs!$F$151,1,1)-1),Inputs!$F$153/100*Inputs!$F$149*(1-(Inputs!$F$187*MIN(MAX(0,(Time!Z$5-(DATE(YEAR(Inputs!$F$144)+Inputs!$F$151,1,1)-1))/Inputs!$F$27),1)+Inputs!$F$188*MIN(MAX(MAX(0,(Time!Z$5-(DATE(YEAR(Inputs!$F$144)+Inputs!$F$151,1,1)-1))/Inputs!$F$27)-1,0),Inputs!$F$190-1)+Inputs!$F$189*MAX(MAX(0,(Time!Z$5-(DATE(YEAR(Inputs!$F$144)+Inputs!$F$151,1,1)-1))/Inputs!$F$27)-Inputs!$F$190,0))/100),0)+IF(Time!Z$5&gt;=(DATE(YEAR(Inputs!$F$144)+Inputs!$F$152,1,1)-1),Inputs!$F$153/100*Inputs!$F$149*(1-(Inputs!$F$187*MIN(MAX(0,(Time!Z$5-(DATE(YEAR(Inputs!$F$144)+Inputs!$F$152,1,1)-1))/Inputs!$F$27),1)+Inputs!$F$188*MIN(MAX(MAX(0,(Time!Z$5-(DATE(YEAR(Inputs!$F$144)+Inputs!$F$152,1,1)-1))/Inputs!$F$27)-1,0),Inputs!$F$190-1)+Inputs!$F$189*MAX(MAX(0,(Time!Z$5-(DATE(YEAR(Inputs!$F$144)+Inputs!$F$152,1,1)-1))/Inputs!$F$27)-Inputs!$F$190,0))/100),0)</f>
        <v>20.9980273972603</v>
      </c>
      <c r="AA1071" s="20" t="n">
        <f aca="false">IF(Time!AA$5&gt;=(DATE(YEAR(Inputs!$F$144)+Inputs!$F$151,1,1)-1),Inputs!$F$153/100*Inputs!$F$149*(1-(Inputs!$F$187*MIN(MAX(0,(Time!AA$5-(DATE(YEAR(Inputs!$F$144)+Inputs!$F$151,1,1)-1))/Inputs!$F$27),1)+Inputs!$F$188*MIN(MAX(MAX(0,(Time!AA$5-(DATE(YEAR(Inputs!$F$144)+Inputs!$F$151,1,1)-1))/Inputs!$F$27)-1,0),Inputs!$F$190-1)+Inputs!$F$189*MAX(MAX(0,(Time!AA$5-(DATE(YEAR(Inputs!$F$144)+Inputs!$F$151,1,1)-1))/Inputs!$F$27)-Inputs!$F$190,0))/100),0)+IF(Time!AA$5&gt;=(DATE(YEAR(Inputs!$F$144)+Inputs!$F$152,1,1)-1),Inputs!$F$153/100*Inputs!$F$149*(1-(Inputs!$F$187*MIN(MAX(0,(Time!AA$5-(DATE(YEAR(Inputs!$F$144)+Inputs!$F$152,1,1)-1))/Inputs!$F$27),1)+Inputs!$F$188*MIN(MAX(MAX(0,(Time!AA$5-(DATE(YEAR(Inputs!$F$144)+Inputs!$F$152,1,1)-1))/Inputs!$F$27)-1,0),Inputs!$F$190-1)+Inputs!$F$189*MAX(MAX(0,(Time!AA$5-(DATE(YEAR(Inputs!$F$144)+Inputs!$F$152,1,1)-1))/Inputs!$F$27)-Inputs!$F$190,0))/100),0)</f>
        <v>20.6980273972603</v>
      </c>
      <c r="AB1071" s="20" t="n">
        <f aca="false">IF(Time!AB$5&gt;=(DATE(YEAR(Inputs!$F$144)+Inputs!$F$151,1,1)-1),Inputs!$F$153/100*Inputs!$F$149*(1-(Inputs!$F$187*MIN(MAX(0,(Time!AB$5-(DATE(YEAR(Inputs!$F$144)+Inputs!$F$151,1,1)-1))/Inputs!$F$27),1)+Inputs!$F$188*MIN(MAX(MAX(0,(Time!AB$5-(DATE(YEAR(Inputs!$F$144)+Inputs!$F$151,1,1)-1))/Inputs!$F$27)-1,0),Inputs!$F$190-1)+Inputs!$F$189*MAX(MAX(0,(Time!AB$5-(DATE(YEAR(Inputs!$F$144)+Inputs!$F$151,1,1)-1))/Inputs!$F$27)-Inputs!$F$190,0))/100),0)+IF(Time!AB$5&gt;=(DATE(YEAR(Inputs!$F$144)+Inputs!$F$152,1,1)-1),Inputs!$F$153/100*Inputs!$F$149*(1-(Inputs!$F$187*MIN(MAX(0,(Time!AB$5-(DATE(YEAR(Inputs!$F$144)+Inputs!$F$152,1,1)-1))/Inputs!$F$27),1)+Inputs!$F$188*MIN(MAX(MAX(0,(Time!AB$5-(DATE(YEAR(Inputs!$F$144)+Inputs!$F$152,1,1)-1))/Inputs!$F$27)-1,0),Inputs!$F$190-1)+Inputs!$F$189*MAX(MAX(0,(Time!AB$5-(DATE(YEAR(Inputs!$F$144)+Inputs!$F$152,1,1)-1))/Inputs!$F$27)-Inputs!$F$190,0))/100),0)</f>
        <v>20.3980273972603</v>
      </c>
      <c r="AC1071" s="20" t="n">
        <f aca="false">IF(Time!AC$5&gt;=(DATE(YEAR(Inputs!$F$144)+Inputs!$F$151,1,1)-1),Inputs!$F$153/100*Inputs!$F$149*(1-(Inputs!$F$187*MIN(MAX(0,(Time!AC$5-(DATE(YEAR(Inputs!$F$144)+Inputs!$F$151,1,1)-1))/Inputs!$F$27),1)+Inputs!$F$188*MIN(MAX(MAX(0,(Time!AC$5-(DATE(YEAR(Inputs!$F$144)+Inputs!$F$151,1,1)-1))/Inputs!$F$27)-1,0),Inputs!$F$190-1)+Inputs!$F$189*MAX(MAX(0,(Time!AC$5-(DATE(YEAR(Inputs!$F$144)+Inputs!$F$151,1,1)-1))/Inputs!$F$27)-Inputs!$F$190,0))/100),0)+IF(Time!AC$5&gt;=(DATE(YEAR(Inputs!$F$144)+Inputs!$F$152,1,1)-1),Inputs!$F$153/100*Inputs!$F$149*(1-(Inputs!$F$187*MIN(MAX(0,(Time!AC$5-(DATE(YEAR(Inputs!$F$144)+Inputs!$F$152,1,1)-1))/Inputs!$F$27),1)+Inputs!$F$188*MIN(MAX(MAX(0,(Time!AC$5-(DATE(YEAR(Inputs!$F$144)+Inputs!$F$152,1,1)-1))/Inputs!$F$27)-1,0),Inputs!$F$190-1)+Inputs!$F$189*MAX(MAX(0,(Time!AC$5-(DATE(YEAR(Inputs!$F$144)+Inputs!$F$152,1,1)-1))/Inputs!$F$27)-Inputs!$F$190,0))/100),0)</f>
        <v>20.0972054794521</v>
      </c>
      <c r="AD1071" s="20" t="n">
        <f aca="false">IF(Time!AD$5&gt;=(DATE(YEAR(Inputs!$F$144)+Inputs!$F$151,1,1)-1),Inputs!$F$153/100*Inputs!$F$149*(1-(Inputs!$F$187*MIN(MAX(0,(Time!AD$5-(DATE(YEAR(Inputs!$F$144)+Inputs!$F$151,1,1)-1))/Inputs!$F$27),1)+Inputs!$F$188*MIN(MAX(MAX(0,(Time!AD$5-(DATE(YEAR(Inputs!$F$144)+Inputs!$F$151,1,1)-1))/Inputs!$F$27)-1,0),Inputs!$F$190-1)+Inputs!$F$189*MAX(MAX(0,(Time!AD$5-(DATE(YEAR(Inputs!$F$144)+Inputs!$F$151,1,1)-1))/Inputs!$F$27)-Inputs!$F$190,0))/100),0)+IF(Time!AD$5&gt;=(DATE(YEAR(Inputs!$F$144)+Inputs!$F$152,1,1)-1),Inputs!$F$153/100*Inputs!$F$149*(1-(Inputs!$F$187*MIN(MAX(0,(Time!AD$5-(DATE(YEAR(Inputs!$F$144)+Inputs!$F$152,1,1)-1))/Inputs!$F$27),1)+Inputs!$F$188*MIN(MAX(MAX(0,(Time!AD$5-(DATE(YEAR(Inputs!$F$144)+Inputs!$F$152,1,1)-1))/Inputs!$F$27)-1,0),Inputs!$F$190-1)+Inputs!$F$189*MAX(MAX(0,(Time!AD$5-(DATE(YEAR(Inputs!$F$144)+Inputs!$F$152,1,1)-1))/Inputs!$F$27)-Inputs!$F$190,0))/100),0)</f>
        <v>19.797698630137</v>
      </c>
      <c r="AE1071" s="20" t="n">
        <f aca="false">IF(Time!AE$5&gt;=(DATE(YEAR(Inputs!$F$144)+Inputs!$F$151,1,1)-1),Inputs!$F$153/100*Inputs!$F$149*(1-(Inputs!$F$187*MIN(MAX(0,(Time!AE$5-(DATE(YEAR(Inputs!$F$144)+Inputs!$F$151,1,1)-1))/Inputs!$F$27),1)+Inputs!$F$188*MIN(MAX(MAX(0,(Time!AE$5-(DATE(YEAR(Inputs!$F$144)+Inputs!$F$151,1,1)-1))/Inputs!$F$27)-1,0),Inputs!$F$190-1)+Inputs!$F$189*MAX(MAX(0,(Time!AE$5-(DATE(YEAR(Inputs!$F$144)+Inputs!$F$151,1,1)-1))/Inputs!$F$27)-Inputs!$F$190,0))/100),0)+IF(Time!AE$5&gt;=(DATE(YEAR(Inputs!$F$144)+Inputs!$F$152,1,1)-1),Inputs!$F$153/100*Inputs!$F$149*(1-(Inputs!$F$187*MIN(MAX(0,(Time!AE$5-(DATE(YEAR(Inputs!$F$144)+Inputs!$F$152,1,1)-1))/Inputs!$F$27),1)+Inputs!$F$188*MIN(MAX(MAX(0,(Time!AE$5-(DATE(YEAR(Inputs!$F$144)+Inputs!$F$152,1,1)-1))/Inputs!$F$27)-1,0),Inputs!$F$190-1)+Inputs!$F$189*MAX(MAX(0,(Time!AE$5-(DATE(YEAR(Inputs!$F$144)+Inputs!$F$152,1,1)-1))/Inputs!$F$27)-Inputs!$F$190,0))/100),0)</f>
        <v>19.557698630137</v>
      </c>
      <c r="AF1071" s="20" t="n">
        <f aca="false">IF(Time!AF$5&gt;=(DATE(YEAR(Inputs!$F$144)+Inputs!$F$151,1,1)-1),Inputs!$F$153/100*Inputs!$F$149*(1-(Inputs!$F$187*MIN(MAX(0,(Time!AF$5-(DATE(YEAR(Inputs!$F$144)+Inputs!$F$151,1,1)-1))/Inputs!$F$27),1)+Inputs!$F$188*MIN(MAX(MAX(0,(Time!AF$5-(DATE(YEAR(Inputs!$F$144)+Inputs!$F$151,1,1)-1))/Inputs!$F$27)-1,0),Inputs!$F$190-1)+Inputs!$F$189*MAX(MAX(0,(Time!AF$5-(DATE(YEAR(Inputs!$F$144)+Inputs!$F$151,1,1)-1))/Inputs!$F$27)-Inputs!$F$190,0))/100),0)+IF(Time!AF$5&gt;=(DATE(YEAR(Inputs!$F$144)+Inputs!$F$152,1,1)-1),Inputs!$F$153/100*Inputs!$F$149*(1-(Inputs!$F$187*MIN(MAX(0,(Time!AF$5-(DATE(YEAR(Inputs!$F$144)+Inputs!$F$152,1,1)-1))/Inputs!$F$27),1)+Inputs!$F$188*MIN(MAX(MAX(0,(Time!AF$5-(DATE(YEAR(Inputs!$F$144)+Inputs!$F$152,1,1)-1))/Inputs!$F$27)-1,0),Inputs!$F$190-1)+Inputs!$F$189*MAX(MAX(0,(Time!AF$5-(DATE(YEAR(Inputs!$F$144)+Inputs!$F$152,1,1)-1))/Inputs!$F$27)-Inputs!$F$190,0))/100),0)</f>
        <v>19.317698630137</v>
      </c>
      <c r="AG1071" s="20" t="n">
        <f aca="false">IF(Time!AG$5&gt;=(DATE(YEAR(Inputs!$F$144)+Inputs!$F$151,1,1)-1),Inputs!$F$153/100*Inputs!$F$149*(1-(Inputs!$F$187*MIN(MAX(0,(Time!AG$5-(DATE(YEAR(Inputs!$F$144)+Inputs!$F$151,1,1)-1))/Inputs!$F$27),1)+Inputs!$F$188*MIN(MAX(MAX(0,(Time!AG$5-(DATE(YEAR(Inputs!$F$144)+Inputs!$F$151,1,1)-1))/Inputs!$F$27)-1,0),Inputs!$F$190-1)+Inputs!$F$189*MAX(MAX(0,(Time!AG$5-(DATE(YEAR(Inputs!$F$144)+Inputs!$F$151,1,1)-1))/Inputs!$F$27)-Inputs!$F$190,0))/100),0)+IF(Time!AG$5&gt;=(DATE(YEAR(Inputs!$F$144)+Inputs!$F$152,1,1)-1),Inputs!$F$153/100*Inputs!$F$149*(1-(Inputs!$F$187*MIN(MAX(0,(Time!AG$5-(DATE(YEAR(Inputs!$F$144)+Inputs!$F$152,1,1)-1))/Inputs!$F$27),1)+Inputs!$F$188*MIN(MAX(MAX(0,(Time!AG$5-(DATE(YEAR(Inputs!$F$144)+Inputs!$F$152,1,1)-1))/Inputs!$F$27)-1,0),Inputs!$F$190-1)+Inputs!$F$189*MAX(MAX(0,(Time!AG$5-(DATE(YEAR(Inputs!$F$144)+Inputs!$F$152,1,1)-1))/Inputs!$F$27)-Inputs!$F$190,0))/100),0)</f>
        <v>19.0770410958904</v>
      </c>
      <c r="AH1071" s="20" t="n">
        <f aca="false">IF(Time!AH$5&gt;=(DATE(YEAR(Inputs!$F$144)+Inputs!$F$151,1,1)-1),Inputs!$F$153/100*Inputs!$F$149*(1-(Inputs!$F$187*MIN(MAX(0,(Time!AH$5-(DATE(YEAR(Inputs!$F$144)+Inputs!$F$151,1,1)-1))/Inputs!$F$27),1)+Inputs!$F$188*MIN(MAX(MAX(0,(Time!AH$5-(DATE(YEAR(Inputs!$F$144)+Inputs!$F$151,1,1)-1))/Inputs!$F$27)-1,0),Inputs!$F$190-1)+Inputs!$F$189*MAX(MAX(0,(Time!AH$5-(DATE(YEAR(Inputs!$F$144)+Inputs!$F$151,1,1)-1))/Inputs!$F$27)-Inputs!$F$190,0))/100),0)+IF(Time!AH$5&gt;=(DATE(YEAR(Inputs!$F$144)+Inputs!$F$152,1,1)-1),Inputs!$F$153/100*Inputs!$F$149*(1-(Inputs!$F$187*MIN(MAX(0,(Time!AH$5-(DATE(YEAR(Inputs!$F$144)+Inputs!$F$152,1,1)-1))/Inputs!$F$27),1)+Inputs!$F$188*MIN(MAX(MAX(0,(Time!AH$5-(DATE(YEAR(Inputs!$F$144)+Inputs!$F$152,1,1)-1))/Inputs!$F$27)-1,0),Inputs!$F$190-1)+Inputs!$F$189*MAX(MAX(0,(Time!AH$5-(DATE(YEAR(Inputs!$F$144)+Inputs!$F$152,1,1)-1))/Inputs!$F$27)-Inputs!$F$190,0))/100),0)</f>
        <v>18.8370410958904</v>
      </c>
      <c r="AI1071" s="20" t="n">
        <f aca="false">IF(Time!AI$5&gt;=(DATE(YEAR(Inputs!$F$144)+Inputs!$F$151,1,1)-1),Inputs!$F$153/100*Inputs!$F$149*(1-(Inputs!$F$187*MIN(MAX(0,(Time!AI$5-(DATE(YEAR(Inputs!$F$144)+Inputs!$F$151,1,1)-1))/Inputs!$F$27),1)+Inputs!$F$188*MIN(MAX(MAX(0,(Time!AI$5-(DATE(YEAR(Inputs!$F$144)+Inputs!$F$151,1,1)-1))/Inputs!$F$27)-1,0),Inputs!$F$190-1)+Inputs!$F$189*MAX(MAX(0,(Time!AI$5-(DATE(YEAR(Inputs!$F$144)+Inputs!$F$151,1,1)-1))/Inputs!$F$27)-Inputs!$F$190,0))/100),0)+IF(Time!AI$5&gt;=(DATE(YEAR(Inputs!$F$144)+Inputs!$F$152,1,1)-1),Inputs!$F$153/100*Inputs!$F$149*(1-(Inputs!$F$187*MIN(MAX(0,(Time!AI$5-(DATE(YEAR(Inputs!$F$144)+Inputs!$F$152,1,1)-1))/Inputs!$F$27),1)+Inputs!$F$188*MIN(MAX(MAX(0,(Time!AI$5-(DATE(YEAR(Inputs!$F$144)+Inputs!$F$152,1,1)-1))/Inputs!$F$27)-1,0),Inputs!$F$190-1)+Inputs!$F$189*MAX(MAX(0,(Time!AI$5-(DATE(YEAR(Inputs!$F$144)+Inputs!$F$152,1,1)-1))/Inputs!$F$27)-Inputs!$F$190,0))/100),0)</f>
        <v>18.5970410958904</v>
      </c>
      <c r="AJ1071" s="20" t="n">
        <f aca="false">IF(Time!AJ$5&gt;=(DATE(YEAR(Inputs!$F$144)+Inputs!$F$151,1,1)-1),Inputs!$F$153/100*Inputs!$F$149*(1-(Inputs!$F$187*MIN(MAX(0,(Time!AJ$5-(DATE(YEAR(Inputs!$F$144)+Inputs!$F$151,1,1)-1))/Inputs!$F$27),1)+Inputs!$F$188*MIN(MAX(MAX(0,(Time!AJ$5-(DATE(YEAR(Inputs!$F$144)+Inputs!$F$151,1,1)-1))/Inputs!$F$27)-1,0),Inputs!$F$190-1)+Inputs!$F$189*MAX(MAX(0,(Time!AJ$5-(DATE(YEAR(Inputs!$F$144)+Inputs!$F$151,1,1)-1))/Inputs!$F$27)-Inputs!$F$190,0))/100),0)+IF(Time!AJ$5&gt;=(DATE(YEAR(Inputs!$F$144)+Inputs!$F$152,1,1)-1),Inputs!$F$153/100*Inputs!$F$149*(1-(Inputs!$F$187*MIN(MAX(0,(Time!AJ$5-(DATE(YEAR(Inputs!$F$144)+Inputs!$F$152,1,1)-1))/Inputs!$F$27),1)+Inputs!$F$188*MIN(MAX(MAX(0,(Time!AJ$5-(DATE(YEAR(Inputs!$F$144)+Inputs!$F$152,1,1)-1))/Inputs!$F$27)-1,0),Inputs!$F$190-1)+Inputs!$F$189*MAX(MAX(0,(Time!AJ$5-(DATE(YEAR(Inputs!$F$144)+Inputs!$F$152,1,1)-1))/Inputs!$F$27)-Inputs!$F$190,0))/100),0)</f>
        <v>18.3570410958904</v>
      </c>
      <c r="AK1071" s="20" t="n">
        <f aca="false">IF(Time!AK$5&gt;=(DATE(YEAR(Inputs!$F$144)+Inputs!$F$151,1,1)-1),Inputs!$F$153/100*Inputs!$F$149*(1-(Inputs!$F$187*MIN(MAX(0,(Time!AK$5-(DATE(YEAR(Inputs!$F$144)+Inputs!$F$151,1,1)-1))/Inputs!$F$27),1)+Inputs!$F$188*MIN(MAX(MAX(0,(Time!AK$5-(DATE(YEAR(Inputs!$F$144)+Inputs!$F$151,1,1)-1))/Inputs!$F$27)-1,0),Inputs!$F$190-1)+Inputs!$F$189*MAX(MAX(0,(Time!AK$5-(DATE(YEAR(Inputs!$F$144)+Inputs!$F$151,1,1)-1))/Inputs!$F$27)-Inputs!$F$190,0))/100),0)+IF(Time!AK$5&gt;=(DATE(YEAR(Inputs!$F$144)+Inputs!$F$152,1,1)-1),Inputs!$F$153/100*Inputs!$F$149*(1-(Inputs!$F$187*MIN(MAX(0,(Time!AK$5-(DATE(YEAR(Inputs!$F$144)+Inputs!$F$152,1,1)-1))/Inputs!$F$27),1)+Inputs!$F$188*MIN(MAX(MAX(0,(Time!AK$5-(DATE(YEAR(Inputs!$F$144)+Inputs!$F$152,1,1)-1))/Inputs!$F$27)-1,0),Inputs!$F$190-1)+Inputs!$F$189*MAX(MAX(0,(Time!AK$5-(DATE(YEAR(Inputs!$F$144)+Inputs!$F$152,1,1)-1))/Inputs!$F$27)-Inputs!$F$190,0))/100),0)</f>
        <v>18.1163835616438</v>
      </c>
      <c r="AL1071" s="20" t="n">
        <f aca="false">IF(Time!AL$5&gt;=(DATE(YEAR(Inputs!$F$144)+Inputs!$F$151,1,1)-1),Inputs!$F$153/100*Inputs!$F$149*(1-(Inputs!$F$187*MIN(MAX(0,(Time!AL$5-(DATE(YEAR(Inputs!$F$144)+Inputs!$F$151,1,1)-1))/Inputs!$F$27),1)+Inputs!$F$188*MIN(MAX(MAX(0,(Time!AL$5-(DATE(YEAR(Inputs!$F$144)+Inputs!$F$151,1,1)-1))/Inputs!$F$27)-1,0),Inputs!$F$190-1)+Inputs!$F$189*MAX(MAX(0,(Time!AL$5-(DATE(YEAR(Inputs!$F$144)+Inputs!$F$151,1,1)-1))/Inputs!$F$27)-Inputs!$F$190,0))/100),0)+IF(Time!AL$5&gt;=(DATE(YEAR(Inputs!$F$144)+Inputs!$F$152,1,1)-1),Inputs!$F$153/100*Inputs!$F$149*(1-(Inputs!$F$187*MIN(MAX(0,(Time!AL$5-(DATE(YEAR(Inputs!$F$144)+Inputs!$F$152,1,1)-1))/Inputs!$F$27),1)+Inputs!$F$188*MIN(MAX(MAX(0,(Time!AL$5-(DATE(YEAR(Inputs!$F$144)+Inputs!$F$152,1,1)-1))/Inputs!$F$27)-1,0),Inputs!$F$190-1)+Inputs!$F$189*MAX(MAX(0,(Time!AL$5-(DATE(YEAR(Inputs!$F$144)+Inputs!$F$152,1,1)-1))/Inputs!$F$27)-Inputs!$F$190,0))/100),0)</f>
        <v>17.8763835616438</v>
      </c>
      <c r="AM1071" s="20" t="n">
        <f aca="false">IF(Time!AM$5&gt;=(DATE(YEAR(Inputs!$F$144)+Inputs!$F$151,1,1)-1),Inputs!$F$153/100*Inputs!$F$149*(1-(Inputs!$F$187*MIN(MAX(0,(Time!AM$5-(DATE(YEAR(Inputs!$F$144)+Inputs!$F$151,1,1)-1))/Inputs!$F$27),1)+Inputs!$F$188*MIN(MAX(MAX(0,(Time!AM$5-(DATE(YEAR(Inputs!$F$144)+Inputs!$F$151,1,1)-1))/Inputs!$F$27)-1,0),Inputs!$F$190-1)+Inputs!$F$189*MAX(MAX(0,(Time!AM$5-(DATE(YEAR(Inputs!$F$144)+Inputs!$F$151,1,1)-1))/Inputs!$F$27)-Inputs!$F$190,0))/100),0)+IF(Time!AM$5&gt;=(DATE(YEAR(Inputs!$F$144)+Inputs!$F$152,1,1)-1),Inputs!$F$153/100*Inputs!$F$149*(1-(Inputs!$F$187*MIN(MAX(0,(Time!AM$5-(DATE(YEAR(Inputs!$F$144)+Inputs!$F$152,1,1)-1))/Inputs!$F$27),1)+Inputs!$F$188*MIN(MAX(MAX(0,(Time!AM$5-(DATE(YEAR(Inputs!$F$144)+Inputs!$F$152,1,1)-1))/Inputs!$F$27)-1,0),Inputs!$F$190-1)+Inputs!$F$189*MAX(MAX(0,(Time!AM$5-(DATE(YEAR(Inputs!$F$144)+Inputs!$F$152,1,1)-1))/Inputs!$F$27)-Inputs!$F$190,0))/100),0)</f>
        <v>17.6363835616438</v>
      </c>
      <c r="AN1071" s="20" t="n">
        <f aca="false">IF(Time!AN$5&gt;=(DATE(YEAR(Inputs!$F$144)+Inputs!$F$151,1,1)-1),Inputs!$F$153/100*Inputs!$F$149*(1-(Inputs!$F$187*MIN(MAX(0,(Time!AN$5-(DATE(YEAR(Inputs!$F$144)+Inputs!$F$151,1,1)-1))/Inputs!$F$27),1)+Inputs!$F$188*MIN(MAX(MAX(0,(Time!AN$5-(DATE(YEAR(Inputs!$F$144)+Inputs!$F$151,1,1)-1))/Inputs!$F$27)-1,0),Inputs!$F$190-1)+Inputs!$F$189*MAX(MAX(0,(Time!AN$5-(DATE(YEAR(Inputs!$F$144)+Inputs!$F$151,1,1)-1))/Inputs!$F$27)-Inputs!$F$190,0))/100),0)+IF(Time!AN$5&gt;=(DATE(YEAR(Inputs!$F$144)+Inputs!$F$152,1,1)-1),Inputs!$F$153/100*Inputs!$F$149*(1-(Inputs!$F$187*MIN(MAX(0,(Time!AN$5-(DATE(YEAR(Inputs!$F$144)+Inputs!$F$152,1,1)-1))/Inputs!$F$27),1)+Inputs!$F$188*MIN(MAX(MAX(0,(Time!AN$5-(DATE(YEAR(Inputs!$F$144)+Inputs!$F$152,1,1)-1))/Inputs!$F$27)-1,0),Inputs!$F$190-1)+Inputs!$F$189*MAX(MAX(0,(Time!AN$5-(DATE(YEAR(Inputs!$F$144)+Inputs!$F$152,1,1)-1))/Inputs!$F$27)-Inputs!$F$190,0))/100),0)</f>
        <v>17.3963835616438</v>
      </c>
      <c r="AO1071" s="20" t="n">
        <f aca="false">IF(Time!AO$5&gt;=(DATE(YEAR(Inputs!$F$144)+Inputs!$F$151,1,1)-1),Inputs!$F$153/100*Inputs!$F$149*(1-(Inputs!$F$187*MIN(MAX(0,(Time!AO$5-(DATE(YEAR(Inputs!$F$144)+Inputs!$F$151,1,1)-1))/Inputs!$F$27),1)+Inputs!$F$188*MIN(MAX(MAX(0,(Time!AO$5-(DATE(YEAR(Inputs!$F$144)+Inputs!$F$151,1,1)-1))/Inputs!$F$27)-1,0),Inputs!$F$190-1)+Inputs!$F$189*MAX(MAX(0,(Time!AO$5-(DATE(YEAR(Inputs!$F$144)+Inputs!$F$151,1,1)-1))/Inputs!$F$27)-Inputs!$F$190,0))/100),0)+IF(Time!AO$5&gt;=(DATE(YEAR(Inputs!$F$144)+Inputs!$F$152,1,1)-1),Inputs!$F$153/100*Inputs!$F$149*(1-(Inputs!$F$187*MIN(MAX(0,(Time!AO$5-(DATE(YEAR(Inputs!$F$144)+Inputs!$F$152,1,1)-1))/Inputs!$F$27),1)+Inputs!$F$188*MIN(MAX(MAX(0,(Time!AO$5-(DATE(YEAR(Inputs!$F$144)+Inputs!$F$152,1,1)-1))/Inputs!$F$27)-1,0),Inputs!$F$190-1)+Inputs!$F$189*MAX(MAX(0,(Time!AO$5-(DATE(YEAR(Inputs!$F$144)+Inputs!$F$152,1,1)-1))/Inputs!$F$27)-Inputs!$F$190,0))/100),0)</f>
        <v>17.1557260273973</v>
      </c>
      <c r="AP1071" s="20" t="n">
        <f aca="false">IF(Time!AP$5&gt;=(DATE(YEAR(Inputs!$F$144)+Inputs!$F$151,1,1)-1),Inputs!$F$153/100*Inputs!$F$149*(1-(Inputs!$F$187*MIN(MAX(0,(Time!AP$5-(DATE(YEAR(Inputs!$F$144)+Inputs!$F$151,1,1)-1))/Inputs!$F$27),1)+Inputs!$F$188*MIN(MAX(MAX(0,(Time!AP$5-(DATE(YEAR(Inputs!$F$144)+Inputs!$F$151,1,1)-1))/Inputs!$F$27)-1,0),Inputs!$F$190-1)+Inputs!$F$189*MAX(MAX(0,(Time!AP$5-(DATE(YEAR(Inputs!$F$144)+Inputs!$F$151,1,1)-1))/Inputs!$F$27)-Inputs!$F$190,0))/100),0)+IF(Time!AP$5&gt;=(DATE(YEAR(Inputs!$F$144)+Inputs!$F$152,1,1)-1),Inputs!$F$153/100*Inputs!$F$149*(1-(Inputs!$F$187*MIN(MAX(0,(Time!AP$5-(DATE(YEAR(Inputs!$F$144)+Inputs!$F$152,1,1)-1))/Inputs!$F$27),1)+Inputs!$F$188*MIN(MAX(MAX(0,(Time!AP$5-(DATE(YEAR(Inputs!$F$144)+Inputs!$F$152,1,1)-1))/Inputs!$F$27)-1,0),Inputs!$F$190-1)+Inputs!$F$189*MAX(MAX(0,(Time!AP$5-(DATE(YEAR(Inputs!$F$144)+Inputs!$F$152,1,1)-1))/Inputs!$F$27)-Inputs!$F$190,0))/100),0)</f>
        <v>16.9157260273973</v>
      </c>
      <c r="AQ1071" s="20" t="n">
        <f aca="false">IF(Time!AQ$5&gt;=(DATE(YEAR(Inputs!$F$144)+Inputs!$F$151,1,1)-1),Inputs!$F$153/100*Inputs!$F$149*(1-(Inputs!$F$187*MIN(MAX(0,(Time!AQ$5-(DATE(YEAR(Inputs!$F$144)+Inputs!$F$151,1,1)-1))/Inputs!$F$27),1)+Inputs!$F$188*MIN(MAX(MAX(0,(Time!AQ$5-(DATE(YEAR(Inputs!$F$144)+Inputs!$F$151,1,1)-1))/Inputs!$F$27)-1,0),Inputs!$F$190-1)+Inputs!$F$189*MAX(MAX(0,(Time!AQ$5-(DATE(YEAR(Inputs!$F$144)+Inputs!$F$151,1,1)-1))/Inputs!$F$27)-Inputs!$F$190,0))/100),0)+IF(Time!AQ$5&gt;=(DATE(YEAR(Inputs!$F$144)+Inputs!$F$152,1,1)-1),Inputs!$F$153/100*Inputs!$F$149*(1-(Inputs!$F$187*MIN(MAX(0,(Time!AQ$5-(DATE(YEAR(Inputs!$F$144)+Inputs!$F$152,1,1)-1))/Inputs!$F$27),1)+Inputs!$F$188*MIN(MAX(MAX(0,(Time!AQ$5-(DATE(YEAR(Inputs!$F$144)+Inputs!$F$152,1,1)-1))/Inputs!$F$27)-1,0),Inputs!$F$190-1)+Inputs!$F$189*MAX(MAX(0,(Time!AQ$5-(DATE(YEAR(Inputs!$F$144)+Inputs!$F$152,1,1)-1))/Inputs!$F$27)-Inputs!$F$190,0))/100),0)</f>
        <v>16.6757260273973</v>
      </c>
      <c r="AR1071" s="20" t="n">
        <f aca="false">IF(Time!AR$5&gt;=(DATE(YEAR(Inputs!$F$144)+Inputs!$F$151,1,1)-1),Inputs!$F$153/100*Inputs!$F$149*(1-(Inputs!$F$187*MIN(MAX(0,(Time!AR$5-(DATE(YEAR(Inputs!$F$144)+Inputs!$F$151,1,1)-1))/Inputs!$F$27),1)+Inputs!$F$188*MIN(MAX(MAX(0,(Time!AR$5-(DATE(YEAR(Inputs!$F$144)+Inputs!$F$151,1,1)-1))/Inputs!$F$27)-1,0),Inputs!$F$190-1)+Inputs!$F$189*MAX(MAX(0,(Time!AR$5-(DATE(YEAR(Inputs!$F$144)+Inputs!$F$151,1,1)-1))/Inputs!$F$27)-Inputs!$F$190,0))/100),0)+IF(Time!AR$5&gt;=(DATE(YEAR(Inputs!$F$144)+Inputs!$F$152,1,1)-1),Inputs!$F$153/100*Inputs!$F$149*(1-(Inputs!$F$187*MIN(MAX(0,(Time!AR$5-(DATE(YEAR(Inputs!$F$144)+Inputs!$F$152,1,1)-1))/Inputs!$F$27),1)+Inputs!$F$188*MIN(MAX(MAX(0,(Time!AR$5-(DATE(YEAR(Inputs!$F$144)+Inputs!$F$152,1,1)-1))/Inputs!$F$27)-1,0),Inputs!$F$190-1)+Inputs!$F$189*MAX(MAX(0,(Time!AR$5-(DATE(YEAR(Inputs!$F$144)+Inputs!$F$152,1,1)-1))/Inputs!$F$27)-Inputs!$F$190,0))/100),0)</f>
        <v>16.4357260273973</v>
      </c>
      <c r="AS1071" s="20" t="n">
        <f aca="false">IF(Time!AS$5&gt;=(DATE(YEAR(Inputs!$F$144)+Inputs!$F$151,1,1)-1),Inputs!$F$153/100*Inputs!$F$149*(1-(Inputs!$F$187*MIN(MAX(0,(Time!AS$5-(DATE(YEAR(Inputs!$F$144)+Inputs!$F$151,1,1)-1))/Inputs!$F$27),1)+Inputs!$F$188*MIN(MAX(MAX(0,(Time!AS$5-(DATE(YEAR(Inputs!$F$144)+Inputs!$F$151,1,1)-1))/Inputs!$F$27)-1,0),Inputs!$F$190-1)+Inputs!$F$189*MAX(MAX(0,(Time!AS$5-(DATE(YEAR(Inputs!$F$144)+Inputs!$F$151,1,1)-1))/Inputs!$F$27)-Inputs!$F$190,0))/100),0)+IF(Time!AS$5&gt;=(DATE(YEAR(Inputs!$F$144)+Inputs!$F$152,1,1)-1),Inputs!$F$153/100*Inputs!$F$149*(1-(Inputs!$F$187*MIN(MAX(0,(Time!AS$5-(DATE(YEAR(Inputs!$F$144)+Inputs!$F$152,1,1)-1))/Inputs!$F$27),1)+Inputs!$F$188*MIN(MAX(MAX(0,(Time!AS$5-(DATE(YEAR(Inputs!$F$144)+Inputs!$F$152,1,1)-1))/Inputs!$F$27)-1,0),Inputs!$F$190-1)+Inputs!$F$189*MAX(MAX(0,(Time!AS$5-(DATE(YEAR(Inputs!$F$144)+Inputs!$F$152,1,1)-1))/Inputs!$F$27)-Inputs!$F$190,0))/100),0)</f>
        <v>16.1950684931507</v>
      </c>
      <c r="AT1071" s="20" t="n">
        <f aca="false">IF(Time!AT$5&gt;=(DATE(YEAR(Inputs!$F$144)+Inputs!$F$151,1,1)-1),Inputs!$F$153/100*Inputs!$F$149*(1-(Inputs!$F$187*MIN(MAX(0,(Time!AT$5-(DATE(YEAR(Inputs!$F$144)+Inputs!$F$151,1,1)-1))/Inputs!$F$27),1)+Inputs!$F$188*MIN(MAX(MAX(0,(Time!AT$5-(DATE(YEAR(Inputs!$F$144)+Inputs!$F$151,1,1)-1))/Inputs!$F$27)-1,0),Inputs!$F$190-1)+Inputs!$F$189*MAX(MAX(0,(Time!AT$5-(DATE(YEAR(Inputs!$F$144)+Inputs!$F$151,1,1)-1))/Inputs!$F$27)-Inputs!$F$190,0))/100),0)+IF(Time!AT$5&gt;=(DATE(YEAR(Inputs!$F$144)+Inputs!$F$152,1,1)-1),Inputs!$F$153/100*Inputs!$F$149*(1-(Inputs!$F$187*MIN(MAX(0,(Time!AT$5-(DATE(YEAR(Inputs!$F$144)+Inputs!$F$152,1,1)-1))/Inputs!$F$27),1)+Inputs!$F$188*MIN(MAX(MAX(0,(Time!AT$5-(DATE(YEAR(Inputs!$F$144)+Inputs!$F$152,1,1)-1))/Inputs!$F$27)-1,0),Inputs!$F$190-1)+Inputs!$F$189*MAX(MAX(0,(Time!AT$5-(DATE(YEAR(Inputs!$F$144)+Inputs!$F$152,1,1)-1))/Inputs!$F$27)-Inputs!$F$190,0))/100),0)</f>
        <v>15.9550684931507</v>
      </c>
      <c r="AU1071" s="20" t="n">
        <f aca="false">IF(Time!AU$5&gt;=(DATE(YEAR(Inputs!$F$144)+Inputs!$F$151,1,1)-1),Inputs!$F$153/100*Inputs!$F$149*(1-(Inputs!$F$187*MIN(MAX(0,(Time!AU$5-(DATE(YEAR(Inputs!$F$144)+Inputs!$F$151,1,1)-1))/Inputs!$F$27),1)+Inputs!$F$188*MIN(MAX(MAX(0,(Time!AU$5-(DATE(YEAR(Inputs!$F$144)+Inputs!$F$151,1,1)-1))/Inputs!$F$27)-1,0),Inputs!$F$190-1)+Inputs!$F$189*MAX(MAX(0,(Time!AU$5-(DATE(YEAR(Inputs!$F$144)+Inputs!$F$151,1,1)-1))/Inputs!$F$27)-Inputs!$F$190,0))/100),0)+IF(Time!AU$5&gt;=(DATE(YEAR(Inputs!$F$144)+Inputs!$F$152,1,1)-1),Inputs!$F$153/100*Inputs!$F$149*(1-(Inputs!$F$187*MIN(MAX(0,(Time!AU$5-(DATE(YEAR(Inputs!$F$144)+Inputs!$F$152,1,1)-1))/Inputs!$F$27),1)+Inputs!$F$188*MIN(MAX(MAX(0,(Time!AU$5-(DATE(YEAR(Inputs!$F$144)+Inputs!$F$152,1,1)-1))/Inputs!$F$27)-1,0),Inputs!$F$190-1)+Inputs!$F$189*MAX(MAX(0,(Time!AU$5-(DATE(YEAR(Inputs!$F$144)+Inputs!$F$152,1,1)-1))/Inputs!$F$27)-Inputs!$F$190,0))/100),0)</f>
        <v>15.7150684931507</v>
      </c>
    </row>
    <row r="1072" customFormat="false" ht="15" hidden="false" customHeight="false" outlineLevel="0" collapsed="false">
      <c r="D1072" s="0" t="s">
        <v>677</v>
      </c>
      <c r="E1072" s="0" t="s">
        <v>176</v>
      </c>
      <c r="J1072" s="20" t="n">
        <f aca="false">Operations!J1070+Operations!J1071</f>
        <v>216</v>
      </c>
      <c r="K1072" s="20" t="n">
        <f aca="false">Operations!K1070+Operations!K1071</f>
        <v>216</v>
      </c>
      <c r="L1072" s="20" t="n">
        <f aca="false">Operations!L1070+Operations!L1071</f>
        <v>213.987945205479</v>
      </c>
      <c r="M1072" s="20" t="n">
        <f aca="false">Operations!M1070+Operations!M1071</f>
        <v>210.162082191781</v>
      </c>
      <c r="N1072" s="20" t="n">
        <f aca="false">Operations!N1070+Operations!N1071</f>
        <v>206.922082191781</v>
      </c>
      <c r="O1072" s="20" t="n">
        <f aca="false">Operations!O1070+Operations!O1071</f>
        <v>203.682082191781</v>
      </c>
      <c r="P1072" s="20" t="n">
        <f aca="false">Operations!P1070+Operations!P1071</f>
        <v>212.442082191781</v>
      </c>
      <c r="Q1072" s="20" t="n">
        <f aca="false">Operations!Q1070+Operations!Q1071</f>
        <v>208.952712328767</v>
      </c>
      <c r="R1072" s="20" t="n">
        <f aca="false">Operations!R1070+Operations!R1071</f>
        <v>205.532712328767</v>
      </c>
      <c r="S1072" s="20" t="n">
        <f aca="false">Operations!S1070+Operations!S1071</f>
        <v>202.112712328767</v>
      </c>
      <c r="T1072" s="20" t="n">
        <f aca="false">Operations!T1070+Operations!T1071</f>
        <v>210.692712328767</v>
      </c>
      <c r="U1072" s="20" t="n">
        <f aca="false">Operations!U1070+Operations!U1071</f>
        <v>207.022849315069</v>
      </c>
      <c r="V1072" s="20" t="n">
        <f aca="false">Operations!V1070+Operations!V1071</f>
        <v>203.934739726027</v>
      </c>
      <c r="W1072" s="20" t="n">
        <f aca="false">Operations!W1070+Operations!W1071</f>
        <v>201.414739726027</v>
      </c>
      <c r="X1072" s="20" t="n">
        <f aca="false">Operations!X1070+Operations!X1071</f>
        <v>198.894739726027</v>
      </c>
      <c r="Y1072" s="20" t="n">
        <f aca="false">Operations!Y1070+Operations!Y1071</f>
        <v>196.367835616438</v>
      </c>
      <c r="Z1072" s="20" t="n">
        <f aca="false">Operations!Z1070+Operations!Z1071</f>
        <v>193.848328767123</v>
      </c>
      <c r="AA1072" s="20" t="n">
        <f aca="false">Operations!AA1070+Operations!AA1071</f>
        <v>191.388328767123</v>
      </c>
      <c r="AB1072" s="20" t="n">
        <f aca="false">Operations!AB1070+Operations!AB1071</f>
        <v>188.928328767123</v>
      </c>
      <c r="AC1072" s="20" t="n">
        <f aca="false">Operations!AC1070+Operations!AC1071</f>
        <v>186.461589041096</v>
      </c>
      <c r="AD1072" s="20" t="n">
        <f aca="false">Operations!AD1070+Operations!AD1071</f>
        <v>184.002082191781</v>
      </c>
      <c r="AE1072" s="20" t="n">
        <f aca="false">Operations!AE1070+Operations!AE1071</f>
        <v>181.602082191781</v>
      </c>
      <c r="AF1072" s="20" t="n">
        <f aca="false">Operations!AF1070+Operations!AF1071</f>
        <v>179.202082191781</v>
      </c>
      <c r="AG1072" s="20" t="n">
        <f aca="false">Operations!AG1070+Operations!AG1071</f>
        <v>176.795506849315</v>
      </c>
      <c r="AH1072" s="20" t="n">
        <f aca="false">Operations!AH1070+Operations!AH1071</f>
        <v>174.395506849315</v>
      </c>
      <c r="AI1072" s="20" t="n">
        <f aca="false">Operations!AI1070+Operations!AI1071</f>
        <v>171.995506849315</v>
      </c>
      <c r="AJ1072" s="20" t="n">
        <f aca="false">Operations!AJ1070+Operations!AJ1071</f>
        <v>169.595506849315</v>
      </c>
      <c r="AK1072" s="20" t="n">
        <f aca="false">Operations!AK1070+Operations!AK1071</f>
        <v>167.188931506849</v>
      </c>
      <c r="AL1072" s="20" t="n">
        <f aca="false">Operations!AL1070+Operations!AL1071</f>
        <v>164.788931506849</v>
      </c>
      <c r="AM1072" s="20" t="n">
        <f aca="false">Operations!AM1070+Operations!AM1071</f>
        <v>162.388931506849</v>
      </c>
      <c r="AN1072" s="20" t="n">
        <f aca="false">Operations!AN1070+Operations!AN1071</f>
        <v>159.988931506849</v>
      </c>
      <c r="AO1072" s="20" t="n">
        <f aca="false">Operations!AO1070+Operations!AO1071</f>
        <v>157.582356164384</v>
      </c>
      <c r="AP1072" s="20" t="n">
        <f aca="false">Operations!AP1070+Operations!AP1071</f>
        <v>155.182356164384</v>
      </c>
      <c r="AQ1072" s="20" t="n">
        <f aca="false">Operations!AQ1070+Operations!AQ1071</f>
        <v>152.782356164384</v>
      </c>
      <c r="AR1072" s="20" t="n">
        <f aca="false">Operations!AR1070+Operations!AR1071</f>
        <v>150.382356164384</v>
      </c>
      <c r="AS1072" s="20" t="n">
        <f aca="false">Operations!AS1070+Operations!AS1071</f>
        <v>147.975780821918</v>
      </c>
      <c r="AT1072" s="20" t="n">
        <f aca="false">Operations!AT1070+Operations!AT1071</f>
        <v>145.575780821918</v>
      </c>
      <c r="AU1072" s="20" t="n">
        <f aca="false">Operations!AU1070+Operations!AU1071</f>
        <v>143.175780821918</v>
      </c>
    </row>
    <row r="1073" customFormat="false" ht="15" hidden="false" customHeight="false" outlineLevel="0" collapsed="false">
      <c r="D1073" s="0" t="s">
        <v>678</v>
      </c>
      <c r="E1073" s="0" t="s">
        <v>176</v>
      </c>
      <c r="J1073" s="20" t="n">
        <f aca="false">Inputs!$F$149*(1+Inputs!$F$155/100)*(1-(Inputs!$F$187*MIN(MAX(0,(Time!J$6-Inputs!$F$144)/Inputs!$F$27),1)+Inputs!$F$188*MIN(MAX(MAX(0,(Time!J$6-Inputs!$F$144)/Inputs!$F$27)-1,0),Inputs!$F$190-1)+Inputs!$F$189*MAX(MAX(0,(Time!J$6-Inputs!$F$144)/Inputs!$F$27)-Inputs!$F$190,0))/100)</f>
        <v>216</v>
      </c>
      <c r="K1073" s="20" t="n">
        <f aca="false">Inputs!$F$149*(1+Inputs!$F$155/100)*(1-(Inputs!$F$187*MIN(MAX(0,(Time!K$6-Inputs!$F$144)/Inputs!$F$27),1)+Inputs!$F$188*MIN(MAX(MAX(0,(Time!K$6-Inputs!$F$144)/Inputs!$F$27)-1,0),Inputs!$F$190-1)+Inputs!$F$189*MAX(MAX(0,(Time!K$6-Inputs!$F$144)/Inputs!$F$27)-Inputs!$F$190,0))/100)</f>
        <v>213.987945205479</v>
      </c>
      <c r="L1073" s="20" t="n">
        <f aca="false">Inputs!$F$149*(1+Inputs!$F$155/100)*(1-(Inputs!$F$187*MIN(MAX(0,(Time!L$6-Inputs!$F$144)/Inputs!$F$27),1)+Inputs!$F$188*MIN(MAX(MAX(0,(Time!L$6-Inputs!$F$144)/Inputs!$F$27)-1,0),Inputs!$F$190-1)+Inputs!$F$189*MAX(MAX(0,(Time!L$6-Inputs!$F$144)/Inputs!$F$27)-Inputs!$F$190,0))/100)</f>
        <v>210.162082191781</v>
      </c>
      <c r="M1073" s="20" t="n">
        <f aca="false">Inputs!$F$149*(1+Inputs!$F$155/100)*(1-(Inputs!$F$187*MIN(MAX(0,(Time!M$6-Inputs!$F$144)/Inputs!$F$27),1)+Inputs!$F$188*MIN(MAX(MAX(0,(Time!M$6-Inputs!$F$144)/Inputs!$F$27)-1,0),Inputs!$F$190-1)+Inputs!$F$189*MAX(MAX(0,(Time!M$6-Inputs!$F$144)/Inputs!$F$27)-Inputs!$F$190,0))/100)</f>
        <v>206.922082191781</v>
      </c>
      <c r="N1073" s="20" t="n">
        <f aca="false">Inputs!$F$149*(1+Inputs!$F$155/100)*(1-(Inputs!$F$187*MIN(MAX(0,(Time!N$6-Inputs!$F$144)/Inputs!$F$27),1)+Inputs!$F$188*MIN(MAX(MAX(0,(Time!N$6-Inputs!$F$144)/Inputs!$F$27)-1,0),Inputs!$F$190-1)+Inputs!$F$189*MAX(MAX(0,(Time!N$6-Inputs!$F$144)/Inputs!$F$27)-Inputs!$F$190,0))/100)</f>
        <v>203.682082191781</v>
      </c>
      <c r="O1073" s="20" t="n">
        <f aca="false">Inputs!$F$149*(1+Inputs!$F$155/100)*(1-(Inputs!$F$187*MIN(MAX(0,(Time!O$6-Inputs!$F$144)/Inputs!$F$27),1)+Inputs!$F$188*MIN(MAX(MAX(0,(Time!O$6-Inputs!$F$144)/Inputs!$F$27)-1,0),Inputs!$F$190-1)+Inputs!$F$189*MAX(MAX(0,(Time!O$6-Inputs!$F$144)/Inputs!$F$27)-Inputs!$F$190,0))/100)</f>
        <v>200.442082191781</v>
      </c>
      <c r="P1073" s="20" t="n">
        <f aca="false">Inputs!$F$149*(1+Inputs!$F$155/100)*(1-(Inputs!$F$187*MIN(MAX(0,(Time!P$6-Inputs!$F$144)/Inputs!$F$27),1)+Inputs!$F$188*MIN(MAX(MAX(0,(Time!P$6-Inputs!$F$144)/Inputs!$F$27)-1,0),Inputs!$F$190-1)+Inputs!$F$189*MAX(MAX(0,(Time!P$6-Inputs!$F$144)/Inputs!$F$27)-Inputs!$F$190,0))/100)</f>
        <v>197.193205479452</v>
      </c>
      <c r="Q1073" s="20" t="n">
        <f aca="false">Inputs!$F$149*(1+Inputs!$F$155/100)*(1-(Inputs!$F$187*MIN(MAX(0,(Time!Q$6-Inputs!$F$144)/Inputs!$F$27),1)+Inputs!$F$188*MIN(MAX(MAX(0,(Time!Q$6-Inputs!$F$144)/Inputs!$F$27)-1,0),Inputs!$F$190-1)+Inputs!$F$189*MAX(MAX(0,(Time!Q$6-Inputs!$F$144)/Inputs!$F$27)-Inputs!$F$190,0))/100)</f>
        <v>193.953205479452</v>
      </c>
      <c r="R1073" s="20" t="n">
        <f aca="false">Inputs!$F$149*(1+Inputs!$F$155/100)*(1-(Inputs!$F$187*MIN(MAX(0,(Time!R$6-Inputs!$F$144)/Inputs!$F$27),1)+Inputs!$F$188*MIN(MAX(MAX(0,(Time!R$6-Inputs!$F$144)/Inputs!$F$27)-1,0),Inputs!$F$190-1)+Inputs!$F$189*MAX(MAX(0,(Time!R$6-Inputs!$F$144)/Inputs!$F$27)-Inputs!$F$190,0))/100)</f>
        <v>190.713205479452</v>
      </c>
      <c r="S1073" s="20" t="n">
        <f aca="false">Inputs!$F$149*(1+Inputs!$F$155/100)*(1-(Inputs!$F$187*MIN(MAX(0,(Time!S$6-Inputs!$F$144)/Inputs!$F$27),1)+Inputs!$F$188*MIN(MAX(MAX(0,(Time!S$6-Inputs!$F$144)/Inputs!$F$27)-1,0),Inputs!$F$190-1)+Inputs!$F$189*MAX(MAX(0,(Time!S$6-Inputs!$F$144)/Inputs!$F$27)-Inputs!$F$190,0))/100)</f>
        <v>187.473205479452</v>
      </c>
      <c r="T1073" s="20" t="n">
        <f aca="false">Inputs!$F$149*(1+Inputs!$F$155/100)*(1-(Inputs!$F$187*MIN(MAX(0,(Time!T$6-Inputs!$F$144)/Inputs!$F$27),1)+Inputs!$F$188*MIN(MAX(MAX(0,(Time!T$6-Inputs!$F$144)/Inputs!$F$27)-1,0),Inputs!$F$190-1)+Inputs!$F$189*MAX(MAX(0,(Time!T$6-Inputs!$F$144)/Inputs!$F$27)-Inputs!$F$190,0))/100)</f>
        <v>184.224328767123</v>
      </c>
      <c r="U1073" s="20" t="n">
        <f aca="false">Inputs!$F$149*(1+Inputs!$F$155/100)*(1-(Inputs!$F$187*MIN(MAX(0,(Time!U$6-Inputs!$F$144)/Inputs!$F$27),1)+Inputs!$F$188*MIN(MAX(MAX(0,(Time!U$6-Inputs!$F$144)/Inputs!$F$27)-1,0),Inputs!$F$190-1)+Inputs!$F$189*MAX(MAX(0,(Time!U$6-Inputs!$F$144)/Inputs!$F$27)-Inputs!$F$190,0))/100)</f>
        <v>181.496219178082</v>
      </c>
      <c r="V1073" s="20" t="n">
        <f aca="false">Inputs!$F$149*(1+Inputs!$F$155/100)*(1-(Inputs!$F$187*MIN(MAX(0,(Time!V$6-Inputs!$F$144)/Inputs!$F$27),1)+Inputs!$F$188*MIN(MAX(MAX(0,(Time!V$6-Inputs!$F$144)/Inputs!$F$27)-1,0),Inputs!$F$190-1)+Inputs!$F$189*MAX(MAX(0,(Time!V$6-Inputs!$F$144)/Inputs!$F$27)-Inputs!$F$190,0))/100)</f>
        <v>179.336219178082</v>
      </c>
      <c r="W1073" s="20" t="n">
        <f aca="false">Inputs!$F$149*(1+Inputs!$F$155/100)*(1-(Inputs!$F$187*MIN(MAX(0,(Time!W$6-Inputs!$F$144)/Inputs!$F$27),1)+Inputs!$F$188*MIN(MAX(MAX(0,(Time!W$6-Inputs!$F$144)/Inputs!$F$27)-1,0),Inputs!$F$190-1)+Inputs!$F$189*MAX(MAX(0,(Time!W$6-Inputs!$F$144)/Inputs!$F$27)-Inputs!$F$190,0))/100)</f>
        <v>177.176219178082</v>
      </c>
      <c r="X1073" s="20" t="n">
        <f aca="false">Inputs!$F$149*(1+Inputs!$F$155/100)*(1-(Inputs!$F$187*MIN(MAX(0,(Time!X$6-Inputs!$F$144)/Inputs!$F$27),1)+Inputs!$F$188*MIN(MAX(MAX(0,(Time!X$6-Inputs!$F$144)/Inputs!$F$27)-1,0),Inputs!$F$190-1)+Inputs!$F$189*MAX(MAX(0,(Time!X$6-Inputs!$F$144)/Inputs!$F$27)-Inputs!$F$190,0))/100)</f>
        <v>175.010301369863</v>
      </c>
      <c r="Y1073" s="20" t="n">
        <f aca="false">Inputs!$F$149*(1+Inputs!$F$155/100)*(1-(Inputs!$F$187*MIN(MAX(0,(Time!Y$6-Inputs!$F$144)/Inputs!$F$27),1)+Inputs!$F$188*MIN(MAX(MAX(0,(Time!Y$6-Inputs!$F$144)/Inputs!$F$27)-1,0),Inputs!$F$190-1)+Inputs!$F$189*MAX(MAX(0,(Time!Y$6-Inputs!$F$144)/Inputs!$F$27)-Inputs!$F$190,0))/100)</f>
        <v>172.850301369863</v>
      </c>
      <c r="Z1073" s="20" t="n">
        <f aca="false">Inputs!$F$149*(1+Inputs!$F$155/100)*(1-(Inputs!$F$187*MIN(MAX(0,(Time!Z$6-Inputs!$F$144)/Inputs!$F$27),1)+Inputs!$F$188*MIN(MAX(MAX(0,(Time!Z$6-Inputs!$F$144)/Inputs!$F$27)-1,0),Inputs!$F$190-1)+Inputs!$F$189*MAX(MAX(0,(Time!Z$6-Inputs!$F$144)/Inputs!$F$27)-Inputs!$F$190,0))/100)</f>
        <v>170.690301369863</v>
      </c>
      <c r="AA1073" s="20" t="n">
        <f aca="false">Inputs!$F$149*(1+Inputs!$F$155/100)*(1-(Inputs!$F$187*MIN(MAX(0,(Time!AA$6-Inputs!$F$144)/Inputs!$F$27),1)+Inputs!$F$188*MIN(MAX(MAX(0,(Time!AA$6-Inputs!$F$144)/Inputs!$F$27)-1,0),Inputs!$F$190-1)+Inputs!$F$189*MAX(MAX(0,(Time!AA$6-Inputs!$F$144)/Inputs!$F$27)-Inputs!$F$190,0))/100)</f>
        <v>168.530301369863</v>
      </c>
      <c r="AB1073" s="20" t="n">
        <f aca="false">Inputs!$F$149*(1+Inputs!$F$155/100)*(1-(Inputs!$F$187*MIN(MAX(0,(Time!AB$6-Inputs!$F$144)/Inputs!$F$27),1)+Inputs!$F$188*MIN(MAX(MAX(0,(Time!AB$6-Inputs!$F$144)/Inputs!$F$27)-1,0),Inputs!$F$190-1)+Inputs!$F$189*MAX(MAX(0,(Time!AB$6-Inputs!$F$144)/Inputs!$F$27)-Inputs!$F$190,0))/100)</f>
        <v>166.364383561644</v>
      </c>
      <c r="AC1073" s="20" t="n">
        <f aca="false">Inputs!$F$149*(1+Inputs!$F$155/100)*(1-(Inputs!$F$187*MIN(MAX(0,(Time!AC$6-Inputs!$F$144)/Inputs!$F$27),1)+Inputs!$F$188*MIN(MAX(MAX(0,(Time!AC$6-Inputs!$F$144)/Inputs!$F$27)-1,0),Inputs!$F$190-1)+Inputs!$F$189*MAX(MAX(0,(Time!AC$6-Inputs!$F$144)/Inputs!$F$27)-Inputs!$F$190,0))/100)</f>
        <v>164.204383561644</v>
      </c>
      <c r="AD1073" s="20" t="n">
        <f aca="false">Inputs!$F$149*(1+Inputs!$F$155/100)*(1-(Inputs!$F$187*MIN(MAX(0,(Time!AD$6-Inputs!$F$144)/Inputs!$F$27),1)+Inputs!$F$188*MIN(MAX(MAX(0,(Time!AD$6-Inputs!$F$144)/Inputs!$F$27)-1,0),Inputs!$F$190-1)+Inputs!$F$189*MAX(MAX(0,(Time!AD$6-Inputs!$F$144)/Inputs!$F$27)-Inputs!$F$190,0))/100)</f>
        <v>162.044383561644</v>
      </c>
      <c r="AE1073" s="20" t="n">
        <f aca="false">Inputs!$F$149*(1+Inputs!$F$155/100)*(1-(Inputs!$F$187*MIN(MAX(0,(Time!AE$6-Inputs!$F$144)/Inputs!$F$27),1)+Inputs!$F$188*MIN(MAX(MAX(0,(Time!AE$6-Inputs!$F$144)/Inputs!$F$27)-1,0),Inputs!$F$190-1)+Inputs!$F$189*MAX(MAX(0,(Time!AE$6-Inputs!$F$144)/Inputs!$F$27)-Inputs!$F$190,0))/100)</f>
        <v>159.884383561644</v>
      </c>
      <c r="AF1073" s="20" t="n">
        <f aca="false">Inputs!$F$149*(1+Inputs!$F$155/100)*(1-(Inputs!$F$187*MIN(MAX(0,(Time!AF$6-Inputs!$F$144)/Inputs!$F$27),1)+Inputs!$F$188*MIN(MAX(MAX(0,(Time!AF$6-Inputs!$F$144)/Inputs!$F$27)-1,0),Inputs!$F$190-1)+Inputs!$F$189*MAX(MAX(0,(Time!AF$6-Inputs!$F$144)/Inputs!$F$27)-Inputs!$F$190,0))/100)</f>
        <v>157.718465753425</v>
      </c>
      <c r="AG1073" s="20" t="n">
        <f aca="false">Inputs!$F$149*(1+Inputs!$F$155/100)*(1-(Inputs!$F$187*MIN(MAX(0,(Time!AG$6-Inputs!$F$144)/Inputs!$F$27),1)+Inputs!$F$188*MIN(MAX(MAX(0,(Time!AG$6-Inputs!$F$144)/Inputs!$F$27)-1,0),Inputs!$F$190-1)+Inputs!$F$189*MAX(MAX(0,(Time!AG$6-Inputs!$F$144)/Inputs!$F$27)-Inputs!$F$190,0))/100)</f>
        <v>155.558465753425</v>
      </c>
      <c r="AH1073" s="20" t="n">
        <f aca="false">Inputs!$F$149*(1+Inputs!$F$155/100)*(1-(Inputs!$F$187*MIN(MAX(0,(Time!AH$6-Inputs!$F$144)/Inputs!$F$27),1)+Inputs!$F$188*MIN(MAX(MAX(0,(Time!AH$6-Inputs!$F$144)/Inputs!$F$27)-1,0),Inputs!$F$190-1)+Inputs!$F$189*MAX(MAX(0,(Time!AH$6-Inputs!$F$144)/Inputs!$F$27)-Inputs!$F$190,0))/100)</f>
        <v>153.398465753425</v>
      </c>
      <c r="AI1073" s="20" t="n">
        <f aca="false">Inputs!$F$149*(1+Inputs!$F$155/100)*(1-(Inputs!$F$187*MIN(MAX(0,(Time!AI$6-Inputs!$F$144)/Inputs!$F$27),1)+Inputs!$F$188*MIN(MAX(MAX(0,(Time!AI$6-Inputs!$F$144)/Inputs!$F$27)-1,0),Inputs!$F$190-1)+Inputs!$F$189*MAX(MAX(0,(Time!AI$6-Inputs!$F$144)/Inputs!$F$27)-Inputs!$F$190,0))/100)</f>
        <v>151.238465753425</v>
      </c>
      <c r="AJ1073" s="20" t="n">
        <f aca="false">Inputs!$F$149*(1+Inputs!$F$155/100)*(1-(Inputs!$F$187*MIN(MAX(0,(Time!AJ$6-Inputs!$F$144)/Inputs!$F$27),1)+Inputs!$F$188*MIN(MAX(MAX(0,(Time!AJ$6-Inputs!$F$144)/Inputs!$F$27)-1,0),Inputs!$F$190-1)+Inputs!$F$189*MAX(MAX(0,(Time!AJ$6-Inputs!$F$144)/Inputs!$F$27)-Inputs!$F$190,0))/100)</f>
        <v>149.072547945205</v>
      </c>
      <c r="AK1073" s="20" t="n">
        <f aca="false">Inputs!$F$149*(1+Inputs!$F$155/100)*(1-(Inputs!$F$187*MIN(MAX(0,(Time!AK$6-Inputs!$F$144)/Inputs!$F$27),1)+Inputs!$F$188*MIN(MAX(MAX(0,(Time!AK$6-Inputs!$F$144)/Inputs!$F$27)-1,0),Inputs!$F$190-1)+Inputs!$F$189*MAX(MAX(0,(Time!AK$6-Inputs!$F$144)/Inputs!$F$27)-Inputs!$F$190,0))/100)</f>
        <v>146.912547945206</v>
      </c>
      <c r="AL1073" s="20" t="n">
        <f aca="false">Inputs!$F$149*(1+Inputs!$F$155/100)*(1-(Inputs!$F$187*MIN(MAX(0,(Time!AL$6-Inputs!$F$144)/Inputs!$F$27),1)+Inputs!$F$188*MIN(MAX(MAX(0,(Time!AL$6-Inputs!$F$144)/Inputs!$F$27)-1,0),Inputs!$F$190-1)+Inputs!$F$189*MAX(MAX(0,(Time!AL$6-Inputs!$F$144)/Inputs!$F$27)-Inputs!$F$190,0))/100)</f>
        <v>144.752547945206</v>
      </c>
      <c r="AM1073" s="20" t="n">
        <f aca="false">Inputs!$F$149*(1+Inputs!$F$155/100)*(1-(Inputs!$F$187*MIN(MAX(0,(Time!AM$6-Inputs!$F$144)/Inputs!$F$27),1)+Inputs!$F$188*MIN(MAX(MAX(0,(Time!AM$6-Inputs!$F$144)/Inputs!$F$27)-1,0),Inputs!$F$190-1)+Inputs!$F$189*MAX(MAX(0,(Time!AM$6-Inputs!$F$144)/Inputs!$F$27)-Inputs!$F$190,0))/100)</f>
        <v>142.592547945205</v>
      </c>
      <c r="AN1073" s="20" t="n">
        <f aca="false">Inputs!$F$149*(1+Inputs!$F$155/100)*(1-(Inputs!$F$187*MIN(MAX(0,(Time!AN$6-Inputs!$F$144)/Inputs!$F$27),1)+Inputs!$F$188*MIN(MAX(MAX(0,(Time!AN$6-Inputs!$F$144)/Inputs!$F$27)-1,0),Inputs!$F$190-1)+Inputs!$F$189*MAX(MAX(0,(Time!AN$6-Inputs!$F$144)/Inputs!$F$27)-Inputs!$F$190,0))/100)</f>
        <v>140.426630136986</v>
      </c>
      <c r="AO1073" s="20" t="n">
        <f aca="false">Inputs!$F$149*(1+Inputs!$F$155/100)*(1-(Inputs!$F$187*MIN(MAX(0,(Time!AO$6-Inputs!$F$144)/Inputs!$F$27),1)+Inputs!$F$188*MIN(MAX(MAX(0,(Time!AO$6-Inputs!$F$144)/Inputs!$F$27)-1,0),Inputs!$F$190-1)+Inputs!$F$189*MAX(MAX(0,(Time!AO$6-Inputs!$F$144)/Inputs!$F$27)-Inputs!$F$190,0))/100)</f>
        <v>138.266630136986</v>
      </c>
      <c r="AP1073" s="20" t="n">
        <f aca="false">Inputs!$F$149*(1+Inputs!$F$155/100)*(1-(Inputs!$F$187*MIN(MAX(0,(Time!AP$6-Inputs!$F$144)/Inputs!$F$27),1)+Inputs!$F$188*MIN(MAX(MAX(0,(Time!AP$6-Inputs!$F$144)/Inputs!$F$27)-1,0),Inputs!$F$190-1)+Inputs!$F$189*MAX(MAX(0,(Time!AP$6-Inputs!$F$144)/Inputs!$F$27)-Inputs!$F$190,0))/100)</f>
        <v>136.106630136986</v>
      </c>
      <c r="AQ1073" s="20" t="n">
        <f aca="false">Inputs!$F$149*(1+Inputs!$F$155/100)*(1-(Inputs!$F$187*MIN(MAX(0,(Time!AQ$6-Inputs!$F$144)/Inputs!$F$27),1)+Inputs!$F$188*MIN(MAX(MAX(0,(Time!AQ$6-Inputs!$F$144)/Inputs!$F$27)-1,0),Inputs!$F$190-1)+Inputs!$F$189*MAX(MAX(0,(Time!AQ$6-Inputs!$F$144)/Inputs!$F$27)-Inputs!$F$190,0))/100)</f>
        <v>133.946630136986</v>
      </c>
      <c r="AR1073" s="20" t="n">
        <f aca="false">Inputs!$F$149*(1+Inputs!$F$155/100)*(1-(Inputs!$F$187*MIN(MAX(0,(Time!AR$6-Inputs!$F$144)/Inputs!$F$27),1)+Inputs!$F$188*MIN(MAX(MAX(0,(Time!AR$6-Inputs!$F$144)/Inputs!$F$27)-1,0),Inputs!$F$190-1)+Inputs!$F$189*MAX(MAX(0,(Time!AR$6-Inputs!$F$144)/Inputs!$F$27)-Inputs!$F$190,0))/100)</f>
        <v>131.780712328767</v>
      </c>
      <c r="AS1073" s="20" t="n">
        <f aca="false">Inputs!$F$149*(1+Inputs!$F$155/100)*(1-(Inputs!$F$187*MIN(MAX(0,(Time!AS$6-Inputs!$F$144)/Inputs!$F$27),1)+Inputs!$F$188*MIN(MAX(MAX(0,(Time!AS$6-Inputs!$F$144)/Inputs!$F$27)-1,0),Inputs!$F$190-1)+Inputs!$F$189*MAX(MAX(0,(Time!AS$6-Inputs!$F$144)/Inputs!$F$27)-Inputs!$F$190,0))/100)</f>
        <v>129.620712328767</v>
      </c>
      <c r="AT1073" s="20" t="n">
        <f aca="false">Inputs!$F$149*(1+Inputs!$F$155/100)*(1-(Inputs!$F$187*MIN(MAX(0,(Time!AT$6-Inputs!$F$144)/Inputs!$F$27),1)+Inputs!$F$188*MIN(MAX(MAX(0,(Time!AT$6-Inputs!$F$144)/Inputs!$F$27)-1,0),Inputs!$F$190-1)+Inputs!$F$189*MAX(MAX(0,(Time!AT$6-Inputs!$F$144)/Inputs!$F$27)-Inputs!$F$190,0))/100)</f>
        <v>127.460712328767</v>
      </c>
      <c r="AU1073" s="20" t="n">
        <f aca="false">Inputs!$F$149*(1+Inputs!$F$155/100)*(1-(Inputs!$F$187*MIN(MAX(0,(Time!AU$6-Inputs!$F$144)/Inputs!$F$27),1)+Inputs!$F$188*MIN(MAX(MAX(0,(Time!AU$6-Inputs!$F$144)/Inputs!$F$27)-1,0),Inputs!$F$190-1)+Inputs!$F$189*MAX(MAX(0,(Time!AU$6-Inputs!$F$144)/Inputs!$F$27)-Inputs!$F$190,0))/100)</f>
        <v>125.300712328767</v>
      </c>
    </row>
    <row r="1074" customFormat="false" ht="15" hidden="false" customHeight="false" outlineLevel="0" collapsed="false">
      <c r="D1074" s="0" t="s">
        <v>679</v>
      </c>
      <c r="E1074" s="0" t="s">
        <v>176</v>
      </c>
      <c r="J1074" s="20" t="n">
        <f aca="false">IF(Time!J$6&gt;=(DATE(YEAR(Inputs!$F$144)+Inputs!$F$151,1,1)-1),Inputs!$F$153/100*Inputs!$F$149*(1-(Inputs!$F$187*MIN(MAX(0,(Time!J$6-(DATE(YEAR(Inputs!$F$144)+Inputs!$F$151,1,1)-1))/Inputs!$F$27),1)+Inputs!$F$188*MIN(MAX(MAX(0,(Time!J$6-(DATE(YEAR(Inputs!$F$144)+Inputs!$F$151,1,1)-1))/Inputs!$F$27)-1,0),Inputs!$F$190-1)+Inputs!$F$189*MAX(MAX(0,(Time!J$6-(DATE(YEAR(Inputs!$F$144)+Inputs!$F$151,1,1)-1))/Inputs!$F$27)-Inputs!$F$190,0))/100),0)+IF(Time!J$6&gt;=(DATE(YEAR(Inputs!$F$144)+Inputs!$F$152,1,1)-1),Inputs!$F$153/100*Inputs!$F$149*(1-(Inputs!$F$187*MIN(MAX(0,(Time!J$6-(DATE(YEAR(Inputs!$F$144)+Inputs!$F$152,1,1)-1))/Inputs!$F$27),1)+Inputs!$F$188*MIN(MAX(MAX(0,(Time!J$6-(DATE(YEAR(Inputs!$F$144)+Inputs!$F$152,1,1)-1))/Inputs!$F$27)-1,0),Inputs!$F$190-1)+Inputs!$F$189*MAX(MAX(0,(Time!J$6-(DATE(YEAR(Inputs!$F$144)+Inputs!$F$152,1,1)-1))/Inputs!$F$27)-Inputs!$F$190,0))/100),0)</f>
        <v>0</v>
      </c>
      <c r="K1074" s="20" t="n">
        <f aca="false">IF(Time!K$6&gt;=(DATE(YEAR(Inputs!$F$144)+Inputs!$F$151,1,1)-1),Inputs!$F$153/100*Inputs!$F$149*(1-(Inputs!$F$187*MIN(MAX(0,(Time!K$6-(DATE(YEAR(Inputs!$F$144)+Inputs!$F$151,1,1)-1))/Inputs!$F$27),1)+Inputs!$F$188*MIN(MAX(MAX(0,(Time!K$6-(DATE(YEAR(Inputs!$F$144)+Inputs!$F$151,1,1)-1))/Inputs!$F$27)-1,0),Inputs!$F$190-1)+Inputs!$F$189*MAX(MAX(0,(Time!K$6-(DATE(YEAR(Inputs!$F$144)+Inputs!$F$151,1,1)-1))/Inputs!$F$27)-Inputs!$F$190,0))/100),0)+IF(Time!K$6&gt;=(DATE(YEAR(Inputs!$F$144)+Inputs!$F$152,1,1)-1),Inputs!$F$153/100*Inputs!$F$149*(1-(Inputs!$F$187*MIN(MAX(0,(Time!K$6-(DATE(YEAR(Inputs!$F$144)+Inputs!$F$152,1,1)-1))/Inputs!$F$27),1)+Inputs!$F$188*MIN(MAX(MAX(0,(Time!K$6-(DATE(YEAR(Inputs!$F$144)+Inputs!$F$152,1,1)-1))/Inputs!$F$27)-1,0),Inputs!$F$190-1)+Inputs!$F$189*MAX(MAX(0,(Time!K$6-(DATE(YEAR(Inputs!$F$144)+Inputs!$F$152,1,1)-1))/Inputs!$F$27)-Inputs!$F$190,0))/100),0)</f>
        <v>0</v>
      </c>
      <c r="L1074" s="20" t="n">
        <f aca="false">IF(Time!L$6&gt;=(DATE(YEAR(Inputs!$F$144)+Inputs!$F$151,1,1)-1),Inputs!$F$153/100*Inputs!$F$149*(1-(Inputs!$F$187*MIN(MAX(0,(Time!L$6-(DATE(YEAR(Inputs!$F$144)+Inputs!$F$151,1,1)-1))/Inputs!$F$27),1)+Inputs!$F$188*MIN(MAX(MAX(0,(Time!L$6-(DATE(YEAR(Inputs!$F$144)+Inputs!$F$151,1,1)-1))/Inputs!$F$27)-1,0),Inputs!$F$190-1)+Inputs!$F$189*MAX(MAX(0,(Time!L$6-(DATE(YEAR(Inputs!$F$144)+Inputs!$F$151,1,1)-1))/Inputs!$F$27)-Inputs!$F$190,0))/100),0)+IF(Time!L$6&gt;=(DATE(YEAR(Inputs!$F$144)+Inputs!$F$152,1,1)-1),Inputs!$F$153/100*Inputs!$F$149*(1-(Inputs!$F$187*MIN(MAX(0,(Time!L$6-(DATE(YEAR(Inputs!$F$144)+Inputs!$F$152,1,1)-1))/Inputs!$F$27),1)+Inputs!$F$188*MIN(MAX(MAX(0,(Time!L$6-(DATE(YEAR(Inputs!$F$144)+Inputs!$F$152,1,1)-1))/Inputs!$F$27)-1,0),Inputs!$F$190-1)+Inputs!$F$189*MAX(MAX(0,(Time!L$6-(DATE(YEAR(Inputs!$F$144)+Inputs!$F$152,1,1)-1))/Inputs!$F$27)-Inputs!$F$190,0))/100),0)</f>
        <v>0</v>
      </c>
      <c r="M1074" s="20" t="n">
        <f aca="false">IF(Time!M$6&gt;=(DATE(YEAR(Inputs!$F$144)+Inputs!$F$151,1,1)-1),Inputs!$F$153/100*Inputs!$F$149*(1-(Inputs!$F$187*MIN(MAX(0,(Time!M$6-(DATE(YEAR(Inputs!$F$144)+Inputs!$F$151,1,1)-1))/Inputs!$F$27),1)+Inputs!$F$188*MIN(MAX(MAX(0,(Time!M$6-(DATE(YEAR(Inputs!$F$144)+Inputs!$F$151,1,1)-1))/Inputs!$F$27)-1,0),Inputs!$F$190-1)+Inputs!$F$189*MAX(MAX(0,(Time!M$6-(DATE(YEAR(Inputs!$F$144)+Inputs!$F$151,1,1)-1))/Inputs!$F$27)-Inputs!$F$190,0))/100),0)+IF(Time!M$6&gt;=(DATE(YEAR(Inputs!$F$144)+Inputs!$F$152,1,1)-1),Inputs!$F$153/100*Inputs!$F$149*(1-(Inputs!$F$187*MIN(MAX(0,(Time!M$6-(DATE(YEAR(Inputs!$F$144)+Inputs!$F$152,1,1)-1))/Inputs!$F$27),1)+Inputs!$F$188*MIN(MAX(MAX(0,(Time!M$6-(DATE(YEAR(Inputs!$F$144)+Inputs!$F$152,1,1)-1))/Inputs!$F$27)-1,0),Inputs!$F$190-1)+Inputs!$F$189*MAX(MAX(0,(Time!M$6-(DATE(YEAR(Inputs!$F$144)+Inputs!$F$152,1,1)-1))/Inputs!$F$27)-Inputs!$F$190,0))/100),0)</f>
        <v>0</v>
      </c>
      <c r="N1074" s="20" t="n">
        <f aca="false">IF(Time!N$6&gt;=(DATE(YEAR(Inputs!$F$144)+Inputs!$F$151,1,1)-1),Inputs!$F$153/100*Inputs!$F$149*(1-(Inputs!$F$187*MIN(MAX(0,(Time!N$6-(DATE(YEAR(Inputs!$F$144)+Inputs!$F$151,1,1)-1))/Inputs!$F$27),1)+Inputs!$F$188*MIN(MAX(MAX(0,(Time!N$6-(DATE(YEAR(Inputs!$F$144)+Inputs!$F$151,1,1)-1))/Inputs!$F$27)-1,0),Inputs!$F$190-1)+Inputs!$F$189*MAX(MAX(0,(Time!N$6-(DATE(YEAR(Inputs!$F$144)+Inputs!$F$151,1,1)-1))/Inputs!$F$27)-Inputs!$F$190,0))/100),0)+IF(Time!N$6&gt;=(DATE(YEAR(Inputs!$F$144)+Inputs!$F$152,1,1)-1),Inputs!$F$153/100*Inputs!$F$149*(1-(Inputs!$F$187*MIN(MAX(0,(Time!N$6-(DATE(YEAR(Inputs!$F$144)+Inputs!$F$152,1,1)-1))/Inputs!$F$27),1)+Inputs!$F$188*MIN(MAX(MAX(0,(Time!N$6-(DATE(YEAR(Inputs!$F$144)+Inputs!$F$152,1,1)-1))/Inputs!$F$27)-1,0),Inputs!$F$190-1)+Inputs!$F$189*MAX(MAX(0,(Time!N$6-(DATE(YEAR(Inputs!$F$144)+Inputs!$F$152,1,1)-1))/Inputs!$F$27)-Inputs!$F$190,0))/100),0)</f>
        <v>0</v>
      </c>
      <c r="O1074" s="20" t="n">
        <f aca="false">IF(Time!O$6&gt;=(DATE(YEAR(Inputs!$F$144)+Inputs!$F$151,1,1)-1),Inputs!$F$153/100*Inputs!$F$149*(1-(Inputs!$F$187*MIN(MAX(0,(Time!O$6-(DATE(YEAR(Inputs!$F$144)+Inputs!$F$151,1,1)-1))/Inputs!$F$27),1)+Inputs!$F$188*MIN(MAX(MAX(0,(Time!O$6-(DATE(YEAR(Inputs!$F$144)+Inputs!$F$151,1,1)-1))/Inputs!$F$27)-1,0),Inputs!$F$190-1)+Inputs!$F$189*MAX(MAX(0,(Time!O$6-(DATE(YEAR(Inputs!$F$144)+Inputs!$F$151,1,1)-1))/Inputs!$F$27)-Inputs!$F$190,0))/100),0)+IF(Time!O$6&gt;=(DATE(YEAR(Inputs!$F$144)+Inputs!$F$152,1,1)-1),Inputs!$F$153/100*Inputs!$F$149*(1-(Inputs!$F$187*MIN(MAX(0,(Time!O$6-(DATE(YEAR(Inputs!$F$144)+Inputs!$F$152,1,1)-1))/Inputs!$F$27),1)+Inputs!$F$188*MIN(MAX(MAX(0,(Time!O$6-(DATE(YEAR(Inputs!$F$144)+Inputs!$F$152,1,1)-1))/Inputs!$F$27)-1,0),Inputs!$F$190-1)+Inputs!$F$189*MAX(MAX(0,(Time!O$6-(DATE(YEAR(Inputs!$F$144)+Inputs!$F$152,1,1)-1))/Inputs!$F$27)-Inputs!$F$190,0))/100),0)</f>
        <v>12</v>
      </c>
      <c r="P1074" s="20" t="n">
        <f aca="false">IF(Time!P$6&gt;=(DATE(YEAR(Inputs!$F$144)+Inputs!$F$151,1,1)-1),Inputs!$F$153/100*Inputs!$F$149*(1-(Inputs!$F$187*MIN(MAX(0,(Time!P$6-(DATE(YEAR(Inputs!$F$144)+Inputs!$F$151,1,1)-1))/Inputs!$F$27),1)+Inputs!$F$188*MIN(MAX(MAX(0,(Time!P$6-(DATE(YEAR(Inputs!$F$144)+Inputs!$F$151,1,1)-1))/Inputs!$F$27)-1,0),Inputs!$F$190-1)+Inputs!$F$189*MAX(MAX(0,(Time!P$6-(DATE(YEAR(Inputs!$F$144)+Inputs!$F$151,1,1)-1))/Inputs!$F$27)-Inputs!$F$190,0))/100),0)+IF(Time!P$6&gt;=(DATE(YEAR(Inputs!$F$144)+Inputs!$F$152,1,1)-1),Inputs!$F$153/100*Inputs!$F$149*(1-(Inputs!$F$187*MIN(MAX(0,(Time!P$6-(DATE(YEAR(Inputs!$F$144)+Inputs!$F$152,1,1)-1))/Inputs!$F$27),1)+Inputs!$F$188*MIN(MAX(MAX(0,(Time!P$6-(DATE(YEAR(Inputs!$F$144)+Inputs!$F$152,1,1)-1))/Inputs!$F$27)-1,0),Inputs!$F$190-1)+Inputs!$F$189*MAX(MAX(0,(Time!P$6-(DATE(YEAR(Inputs!$F$144)+Inputs!$F$152,1,1)-1))/Inputs!$F$27)-Inputs!$F$190,0))/100),0)</f>
        <v>11.7595068493151</v>
      </c>
      <c r="Q1074" s="20" t="n">
        <f aca="false">IF(Time!Q$6&gt;=(DATE(YEAR(Inputs!$F$144)+Inputs!$F$151,1,1)-1),Inputs!$F$153/100*Inputs!$F$149*(1-(Inputs!$F$187*MIN(MAX(0,(Time!Q$6-(DATE(YEAR(Inputs!$F$144)+Inputs!$F$151,1,1)-1))/Inputs!$F$27),1)+Inputs!$F$188*MIN(MAX(MAX(0,(Time!Q$6-(DATE(YEAR(Inputs!$F$144)+Inputs!$F$151,1,1)-1))/Inputs!$F$27)-1,0),Inputs!$F$190-1)+Inputs!$F$189*MAX(MAX(0,(Time!Q$6-(DATE(YEAR(Inputs!$F$144)+Inputs!$F$151,1,1)-1))/Inputs!$F$27)-Inputs!$F$190,0))/100),0)+IF(Time!Q$6&gt;=(DATE(YEAR(Inputs!$F$144)+Inputs!$F$152,1,1)-1),Inputs!$F$153/100*Inputs!$F$149*(1-(Inputs!$F$187*MIN(MAX(0,(Time!Q$6-(DATE(YEAR(Inputs!$F$144)+Inputs!$F$152,1,1)-1))/Inputs!$F$27),1)+Inputs!$F$188*MIN(MAX(MAX(0,(Time!Q$6-(DATE(YEAR(Inputs!$F$144)+Inputs!$F$152,1,1)-1))/Inputs!$F$27)-1,0),Inputs!$F$190-1)+Inputs!$F$189*MAX(MAX(0,(Time!Q$6-(DATE(YEAR(Inputs!$F$144)+Inputs!$F$152,1,1)-1))/Inputs!$F$27)-Inputs!$F$190,0))/100),0)</f>
        <v>11.5795068493151</v>
      </c>
      <c r="R1074" s="20" t="n">
        <f aca="false">IF(Time!R$6&gt;=(DATE(YEAR(Inputs!$F$144)+Inputs!$F$151,1,1)-1),Inputs!$F$153/100*Inputs!$F$149*(1-(Inputs!$F$187*MIN(MAX(0,(Time!R$6-(DATE(YEAR(Inputs!$F$144)+Inputs!$F$151,1,1)-1))/Inputs!$F$27),1)+Inputs!$F$188*MIN(MAX(MAX(0,(Time!R$6-(DATE(YEAR(Inputs!$F$144)+Inputs!$F$151,1,1)-1))/Inputs!$F$27)-1,0),Inputs!$F$190-1)+Inputs!$F$189*MAX(MAX(0,(Time!R$6-(DATE(YEAR(Inputs!$F$144)+Inputs!$F$151,1,1)-1))/Inputs!$F$27)-Inputs!$F$190,0))/100),0)+IF(Time!R$6&gt;=(DATE(YEAR(Inputs!$F$144)+Inputs!$F$152,1,1)-1),Inputs!$F$153/100*Inputs!$F$149*(1-(Inputs!$F$187*MIN(MAX(0,(Time!R$6-(DATE(YEAR(Inputs!$F$144)+Inputs!$F$152,1,1)-1))/Inputs!$F$27),1)+Inputs!$F$188*MIN(MAX(MAX(0,(Time!R$6-(DATE(YEAR(Inputs!$F$144)+Inputs!$F$152,1,1)-1))/Inputs!$F$27)-1,0),Inputs!$F$190-1)+Inputs!$F$189*MAX(MAX(0,(Time!R$6-(DATE(YEAR(Inputs!$F$144)+Inputs!$F$152,1,1)-1))/Inputs!$F$27)-Inputs!$F$190,0))/100),0)</f>
        <v>11.3995068493151</v>
      </c>
      <c r="S1074" s="20" t="n">
        <f aca="false">IF(Time!S$6&gt;=(DATE(YEAR(Inputs!$F$144)+Inputs!$F$151,1,1)-1),Inputs!$F$153/100*Inputs!$F$149*(1-(Inputs!$F$187*MIN(MAX(0,(Time!S$6-(DATE(YEAR(Inputs!$F$144)+Inputs!$F$151,1,1)-1))/Inputs!$F$27),1)+Inputs!$F$188*MIN(MAX(MAX(0,(Time!S$6-(DATE(YEAR(Inputs!$F$144)+Inputs!$F$151,1,1)-1))/Inputs!$F$27)-1,0),Inputs!$F$190-1)+Inputs!$F$189*MAX(MAX(0,(Time!S$6-(DATE(YEAR(Inputs!$F$144)+Inputs!$F$151,1,1)-1))/Inputs!$F$27)-Inputs!$F$190,0))/100),0)+IF(Time!S$6&gt;=(DATE(YEAR(Inputs!$F$144)+Inputs!$F$152,1,1)-1),Inputs!$F$153/100*Inputs!$F$149*(1-(Inputs!$F$187*MIN(MAX(0,(Time!S$6-(DATE(YEAR(Inputs!$F$144)+Inputs!$F$152,1,1)-1))/Inputs!$F$27),1)+Inputs!$F$188*MIN(MAX(MAX(0,(Time!S$6-(DATE(YEAR(Inputs!$F$144)+Inputs!$F$152,1,1)-1))/Inputs!$F$27)-1,0),Inputs!$F$190-1)+Inputs!$F$189*MAX(MAX(0,(Time!S$6-(DATE(YEAR(Inputs!$F$144)+Inputs!$F$152,1,1)-1))/Inputs!$F$27)-Inputs!$F$190,0))/100),0)</f>
        <v>23.2195068493151</v>
      </c>
      <c r="T1074" s="20" t="n">
        <f aca="false">IF(Time!T$6&gt;=(DATE(YEAR(Inputs!$F$144)+Inputs!$F$151,1,1)-1),Inputs!$F$153/100*Inputs!$F$149*(1-(Inputs!$F$187*MIN(MAX(0,(Time!T$6-(DATE(YEAR(Inputs!$F$144)+Inputs!$F$151,1,1)-1))/Inputs!$F$27),1)+Inputs!$F$188*MIN(MAX(MAX(0,(Time!T$6-(DATE(YEAR(Inputs!$F$144)+Inputs!$F$151,1,1)-1))/Inputs!$F$27)-1,0),Inputs!$F$190-1)+Inputs!$F$189*MAX(MAX(0,(Time!T$6-(DATE(YEAR(Inputs!$F$144)+Inputs!$F$151,1,1)-1))/Inputs!$F$27)-Inputs!$F$190,0))/100),0)+IF(Time!T$6&gt;=(DATE(YEAR(Inputs!$F$144)+Inputs!$F$152,1,1)-1),Inputs!$F$153/100*Inputs!$F$149*(1-(Inputs!$F$187*MIN(MAX(0,(Time!T$6-(DATE(YEAR(Inputs!$F$144)+Inputs!$F$152,1,1)-1))/Inputs!$F$27),1)+Inputs!$F$188*MIN(MAX(MAX(0,(Time!T$6-(DATE(YEAR(Inputs!$F$144)+Inputs!$F$152,1,1)-1))/Inputs!$F$27)-1,0),Inputs!$F$190-1)+Inputs!$F$189*MAX(MAX(0,(Time!T$6-(DATE(YEAR(Inputs!$F$144)+Inputs!$F$152,1,1)-1))/Inputs!$F$27)-Inputs!$F$190,0))/100),0)</f>
        <v>22.7985205479452</v>
      </c>
      <c r="U1074" s="20" t="n">
        <f aca="false">IF(Time!U$6&gt;=(DATE(YEAR(Inputs!$F$144)+Inputs!$F$151,1,1)-1),Inputs!$F$153/100*Inputs!$F$149*(1-(Inputs!$F$187*MIN(MAX(0,(Time!U$6-(DATE(YEAR(Inputs!$F$144)+Inputs!$F$151,1,1)-1))/Inputs!$F$27),1)+Inputs!$F$188*MIN(MAX(MAX(0,(Time!U$6-(DATE(YEAR(Inputs!$F$144)+Inputs!$F$151,1,1)-1))/Inputs!$F$27)-1,0),Inputs!$F$190-1)+Inputs!$F$189*MAX(MAX(0,(Time!U$6-(DATE(YEAR(Inputs!$F$144)+Inputs!$F$151,1,1)-1))/Inputs!$F$27)-Inputs!$F$190,0))/100),0)+IF(Time!U$6&gt;=(DATE(YEAR(Inputs!$F$144)+Inputs!$F$152,1,1)-1),Inputs!$F$153/100*Inputs!$F$149*(1-(Inputs!$F$187*MIN(MAX(0,(Time!U$6-(DATE(YEAR(Inputs!$F$144)+Inputs!$F$152,1,1)-1))/Inputs!$F$27),1)+Inputs!$F$188*MIN(MAX(MAX(0,(Time!U$6-(DATE(YEAR(Inputs!$F$144)+Inputs!$F$152,1,1)-1))/Inputs!$F$27)-1,0),Inputs!$F$190-1)+Inputs!$F$189*MAX(MAX(0,(Time!U$6-(DATE(YEAR(Inputs!$F$144)+Inputs!$F$152,1,1)-1))/Inputs!$F$27)-Inputs!$F$190,0))/100),0)</f>
        <v>22.4385205479452</v>
      </c>
      <c r="V1074" s="20" t="n">
        <f aca="false">IF(Time!V$6&gt;=(DATE(YEAR(Inputs!$F$144)+Inputs!$F$151,1,1)-1),Inputs!$F$153/100*Inputs!$F$149*(1-(Inputs!$F$187*MIN(MAX(0,(Time!V$6-(DATE(YEAR(Inputs!$F$144)+Inputs!$F$151,1,1)-1))/Inputs!$F$27),1)+Inputs!$F$188*MIN(MAX(MAX(0,(Time!V$6-(DATE(YEAR(Inputs!$F$144)+Inputs!$F$151,1,1)-1))/Inputs!$F$27)-1,0),Inputs!$F$190-1)+Inputs!$F$189*MAX(MAX(0,(Time!V$6-(DATE(YEAR(Inputs!$F$144)+Inputs!$F$151,1,1)-1))/Inputs!$F$27)-Inputs!$F$190,0))/100),0)+IF(Time!V$6&gt;=(DATE(YEAR(Inputs!$F$144)+Inputs!$F$152,1,1)-1),Inputs!$F$153/100*Inputs!$F$149*(1-(Inputs!$F$187*MIN(MAX(0,(Time!V$6-(DATE(YEAR(Inputs!$F$144)+Inputs!$F$152,1,1)-1))/Inputs!$F$27),1)+Inputs!$F$188*MIN(MAX(MAX(0,(Time!V$6-(DATE(YEAR(Inputs!$F$144)+Inputs!$F$152,1,1)-1))/Inputs!$F$27)-1,0),Inputs!$F$190-1)+Inputs!$F$189*MAX(MAX(0,(Time!V$6-(DATE(YEAR(Inputs!$F$144)+Inputs!$F$152,1,1)-1))/Inputs!$F$27)-Inputs!$F$190,0))/100),0)</f>
        <v>22.0785205479452</v>
      </c>
      <c r="W1074" s="20" t="n">
        <f aca="false">IF(Time!W$6&gt;=(DATE(YEAR(Inputs!$F$144)+Inputs!$F$151,1,1)-1),Inputs!$F$153/100*Inputs!$F$149*(1-(Inputs!$F$187*MIN(MAX(0,(Time!W$6-(DATE(YEAR(Inputs!$F$144)+Inputs!$F$151,1,1)-1))/Inputs!$F$27),1)+Inputs!$F$188*MIN(MAX(MAX(0,(Time!W$6-(DATE(YEAR(Inputs!$F$144)+Inputs!$F$151,1,1)-1))/Inputs!$F$27)-1,0),Inputs!$F$190-1)+Inputs!$F$189*MAX(MAX(0,(Time!W$6-(DATE(YEAR(Inputs!$F$144)+Inputs!$F$151,1,1)-1))/Inputs!$F$27)-Inputs!$F$190,0))/100),0)+IF(Time!W$6&gt;=(DATE(YEAR(Inputs!$F$144)+Inputs!$F$152,1,1)-1),Inputs!$F$153/100*Inputs!$F$149*(1-(Inputs!$F$187*MIN(MAX(0,(Time!W$6-(DATE(YEAR(Inputs!$F$144)+Inputs!$F$152,1,1)-1))/Inputs!$F$27),1)+Inputs!$F$188*MIN(MAX(MAX(0,(Time!W$6-(DATE(YEAR(Inputs!$F$144)+Inputs!$F$152,1,1)-1))/Inputs!$F$27)-1,0),Inputs!$F$190-1)+Inputs!$F$189*MAX(MAX(0,(Time!W$6-(DATE(YEAR(Inputs!$F$144)+Inputs!$F$152,1,1)-1))/Inputs!$F$27)-Inputs!$F$190,0))/100),0)</f>
        <v>21.7185205479452</v>
      </c>
      <c r="X1074" s="20" t="n">
        <f aca="false">IF(Time!X$6&gt;=(DATE(YEAR(Inputs!$F$144)+Inputs!$F$151,1,1)-1),Inputs!$F$153/100*Inputs!$F$149*(1-(Inputs!$F$187*MIN(MAX(0,(Time!X$6-(DATE(YEAR(Inputs!$F$144)+Inputs!$F$151,1,1)-1))/Inputs!$F$27),1)+Inputs!$F$188*MIN(MAX(MAX(0,(Time!X$6-(DATE(YEAR(Inputs!$F$144)+Inputs!$F$151,1,1)-1))/Inputs!$F$27)-1,0),Inputs!$F$190-1)+Inputs!$F$189*MAX(MAX(0,(Time!X$6-(DATE(YEAR(Inputs!$F$144)+Inputs!$F$151,1,1)-1))/Inputs!$F$27)-Inputs!$F$190,0))/100),0)+IF(Time!X$6&gt;=(DATE(YEAR(Inputs!$F$144)+Inputs!$F$152,1,1)-1),Inputs!$F$153/100*Inputs!$F$149*(1-(Inputs!$F$187*MIN(MAX(0,(Time!X$6-(DATE(YEAR(Inputs!$F$144)+Inputs!$F$152,1,1)-1))/Inputs!$F$27),1)+Inputs!$F$188*MIN(MAX(MAX(0,(Time!X$6-(DATE(YEAR(Inputs!$F$144)+Inputs!$F$152,1,1)-1))/Inputs!$F$27)-1,0),Inputs!$F$190-1)+Inputs!$F$189*MAX(MAX(0,(Time!X$6-(DATE(YEAR(Inputs!$F$144)+Inputs!$F$152,1,1)-1))/Inputs!$F$27)-Inputs!$F$190,0))/100),0)</f>
        <v>21.3575342465753</v>
      </c>
      <c r="Y1074" s="20" t="n">
        <f aca="false">IF(Time!Y$6&gt;=(DATE(YEAR(Inputs!$F$144)+Inputs!$F$151,1,1)-1),Inputs!$F$153/100*Inputs!$F$149*(1-(Inputs!$F$187*MIN(MAX(0,(Time!Y$6-(DATE(YEAR(Inputs!$F$144)+Inputs!$F$151,1,1)-1))/Inputs!$F$27),1)+Inputs!$F$188*MIN(MAX(MAX(0,(Time!Y$6-(DATE(YEAR(Inputs!$F$144)+Inputs!$F$151,1,1)-1))/Inputs!$F$27)-1,0),Inputs!$F$190-1)+Inputs!$F$189*MAX(MAX(0,(Time!Y$6-(DATE(YEAR(Inputs!$F$144)+Inputs!$F$151,1,1)-1))/Inputs!$F$27)-Inputs!$F$190,0))/100),0)+IF(Time!Y$6&gt;=(DATE(YEAR(Inputs!$F$144)+Inputs!$F$152,1,1)-1),Inputs!$F$153/100*Inputs!$F$149*(1-(Inputs!$F$187*MIN(MAX(0,(Time!Y$6-(DATE(YEAR(Inputs!$F$144)+Inputs!$F$152,1,1)-1))/Inputs!$F$27),1)+Inputs!$F$188*MIN(MAX(MAX(0,(Time!Y$6-(DATE(YEAR(Inputs!$F$144)+Inputs!$F$152,1,1)-1))/Inputs!$F$27)-1,0),Inputs!$F$190-1)+Inputs!$F$189*MAX(MAX(0,(Time!Y$6-(DATE(YEAR(Inputs!$F$144)+Inputs!$F$152,1,1)-1))/Inputs!$F$27)-Inputs!$F$190,0))/100),0)</f>
        <v>20.9980273972603</v>
      </c>
      <c r="Z1074" s="20" t="n">
        <f aca="false">IF(Time!Z$6&gt;=(DATE(YEAR(Inputs!$F$144)+Inputs!$F$151,1,1)-1),Inputs!$F$153/100*Inputs!$F$149*(1-(Inputs!$F$187*MIN(MAX(0,(Time!Z$6-(DATE(YEAR(Inputs!$F$144)+Inputs!$F$151,1,1)-1))/Inputs!$F$27),1)+Inputs!$F$188*MIN(MAX(MAX(0,(Time!Z$6-(DATE(YEAR(Inputs!$F$144)+Inputs!$F$151,1,1)-1))/Inputs!$F$27)-1,0),Inputs!$F$190-1)+Inputs!$F$189*MAX(MAX(0,(Time!Z$6-(DATE(YEAR(Inputs!$F$144)+Inputs!$F$151,1,1)-1))/Inputs!$F$27)-Inputs!$F$190,0))/100),0)+IF(Time!Z$6&gt;=(DATE(YEAR(Inputs!$F$144)+Inputs!$F$152,1,1)-1),Inputs!$F$153/100*Inputs!$F$149*(1-(Inputs!$F$187*MIN(MAX(0,(Time!Z$6-(DATE(YEAR(Inputs!$F$144)+Inputs!$F$152,1,1)-1))/Inputs!$F$27),1)+Inputs!$F$188*MIN(MAX(MAX(0,(Time!Z$6-(DATE(YEAR(Inputs!$F$144)+Inputs!$F$152,1,1)-1))/Inputs!$F$27)-1,0),Inputs!$F$190-1)+Inputs!$F$189*MAX(MAX(0,(Time!Z$6-(DATE(YEAR(Inputs!$F$144)+Inputs!$F$152,1,1)-1))/Inputs!$F$27)-Inputs!$F$190,0))/100),0)</f>
        <v>20.6980273972603</v>
      </c>
      <c r="AA1074" s="20" t="n">
        <f aca="false">IF(Time!AA$6&gt;=(DATE(YEAR(Inputs!$F$144)+Inputs!$F$151,1,1)-1),Inputs!$F$153/100*Inputs!$F$149*(1-(Inputs!$F$187*MIN(MAX(0,(Time!AA$6-(DATE(YEAR(Inputs!$F$144)+Inputs!$F$151,1,1)-1))/Inputs!$F$27),1)+Inputs!$F$188*MIN(MAX(MAX(0,(Time!AA$6-(DATE(YEAR(Inputs!$F$144)+Inputs!$F$151,1,1)-1))/Inputs!$F$27)-1,0),Inputs!$F$190-1)+Inputs!$F$189*MAX(MAX(0,(Time!AA$6-(DATE(YEAR(Inputs!$F$144)+Inputs!$F$151,1,1)-1))/Inputs!$F$27)-Inputs!$F$190,0))/100),0)+IF(Time!AA$6&gt;=(DATE(YEAR(Inputs!$F$144)+Inputs!$F$152,1,1)-1),Inputs!$F$153/100*Inputs!$F$149*(1-(Inputs!$F$187*MIN(MAX(0,(Time!AA$6-(DATE(YEAR(Inputs!$F$144)+Inputs!$F$152,1,1)-1))/Inputs!$F$27),1)+Inputs!$F$188*MIN(MAX(MAX(0,(Time!AA$6-(DATE(YEAR(Inputs!$F$144)+Inputs!$F$152,1,1)-1))/Inputs!$F$27)-1,0),Inputs!$F$190-1)+Inputs!$F$189*MAX(MAX(0,(Time!AA$6-(DATE(YEAR(Inputs!$F$144)+Inputs!$F$152,1,1)-1))/Inputs!$F$27)-Inputs!$F$190,0))/100),0)</f>
        <v>20.3980273972603</v>
      </c>
      <c r="AB1074" s="20" t="n">
        <f aca="false">IF(Time!AB$6&gt;=(DATE(YEAR(Inputs!$F$144)+Inputs!$F$151,1,1)-1),Inputs!$F$153/100*Inputs!$F$149*(1-(Inputs!$F$187*MIN(MAX(0,(Time!AB$6-(DATE(YEAR(Inputs!$F$144)+Inputs!$F$151,1,1)-1))/Inputs!$F$27),1)+Inputs!$F$188*MIN(MAX(MAX(0,(Time!AB$6-(DATE(YEAR(Inputs!$F$144)+Inputs!$F$151,1,1)-1))/Inputs!$F$27)-1,0),Inputs!$F$190-1)+Inputs!$F$189*MAX(MAX(0,(Time!AB$6-(DATE(YEAR(Inputs!$F$144)+Inputs!$F$151,1,1)-1))/Inputs!$F$27)-Inputs!$F$190,0))/100),0)+IF(Time!AB$6&gt;=(DATE(YEAR(Inputs!$F$144)+Inputs!$F$152,1,1)-1),Inputs!$F$153/100*Inputs!$F$149*(1-(Inputs!$F$187*MIN(MAX(0,(Time!AB$6-(DATE(YEAR(Inputs!$F$144)+Inputs!$F$152,1,1)-1))/Inputs!$F$27),1)+Inputs!$F$188*MIN(MAX(MAX(0,(Time!AB$6-(DATE(YEAR(Inputs!$F$144)+Inputs!$F$152,1,1)-1))/Inputs!$F$27)-1,0),Inputs!$F$190-1)+Inputs!$F$189*MAX(MAX(0,(Time!AB$6-(DATE(YEAR(Inputs!$F$144)+Inputs!$F$152,1,1)-1))/Inputs!$F$27)-Inputs!$F$190,0))/100),0)</f>
        <v>20.0972054794521</v>
      </c>
      <c r="AC1074" s="20" t="n">
        <f aca="false">IF(Time!AC$6&gt;=(DATE(YEAR(Inputs!$F$144)+Inputs!$F$151,1,1)-1),Inputs!$F$153/100*Inputs!$F$149*(1-(Inputs!$F$187*MIN(MAX(0,(Time!AC$6-(DATE(YEAR(Inputs!$F$144)+Inputs!$F$151,1,1)-1))/Inputs!$F$27),1)+Inputs!$F$188*MIN(MAX(MAX(0,(Time!AC$6-(DATE(YEAR(Inputs!$F$144)+Inputs!$F$151,1,1)-1))/Inputs!$F$27)-1,0),Inputs!$F$190-1)+Inputs!$F$189*MAX(MAX(0,(Time!AC$6-(DATE(YEAR(Inputs!$F$144)+Inputs!$F$151,1,1)-1))/Inputs!$F$27)-Inputs!$F$190,0))/100),0)+IF(Time!AC$6&gt;=(DATE(YEAR(Inputs!$F$144)+Inputs!$F$152,1,1)-1),Inputs!$F$153/100*Inputs!$F$149*(1-(Inputs!$F$187*MIN(MAX(0,(Time!AC$6-(DATE(YEAR(Inputs!$F$144)+Inputs!$F$152,1,1)-1))/Inputs!$F$27),1)+Inputs!$F$188*MIN(MAX(MAX(0,(Time!AC$6-(DATE(YEAR(Inputs!$F$144)+Inputs!$F$152,1,1)-1))/Inputs!$F$27)-1,0),Inputs!$F$190-1)+Inputs!$F$189*MAX(MAX(0,(Time!AC$6-(DATE(YEAR(Inputs!$F$144)+Inputs!$F$152,1,1)-1))/Inputs!$F$27)-Inputs!$F$190,0))/100),0)</f>
        <v>19.797698630137</v>
      </c>
      <c r="AD1074" s="20" t="n">
        <f aca="false">IF(Time!AD$6&gt;=(DATE(YEAR(Inputs!$F$144)+Inputs!$F$151,1,1)-1),Inputs!$F$153/100*Inputs!$F$149*(1-(Inputs!$F$187*MIN(MAX(0,(Time!AD$6-(DATE(YEAR(Inputs!$F$144)+Inputs!$F$151,1,1)-1))/Inputs!$F$27),1)+Inputs!$F$188*MIN(MAX(MAX(0,(Time!AD$6-(DATE(YEAR(Inputs!$F$144)+Inputs!$F$151,1,1)-1))/Inputs!$F$27)-1,0),Inputs!$F$190-1)+Inputs!$F$189*MAX(MAX(0,(Time!AD$6-(DATE(YEAR(Inputs!$F$144)+Inputs!$F$151,1,1)-1))/Inputs!$F$27)-Inputs!$F$190,0))/100),0)+IF(Time!AD$6&gt;=(DATE(YEAR(Inputs!$F$144)+Inputs!$F$152,1,1)-1),Inputs!$F$153/100*Inputs!$F$149*(1-(Inputs!$F$187*MIN(MAX(0,(Time!AD$6-(DATE(YEAR(Inputs!$F$144)+Inputs!$F$152,1,1)-1))/Inputs!$F$27),1)+Inputs!$F$188*MIN(MAX(MAX(0,(Time!AD$6-(DATE(YEAR(Inputs!$F$144)+Inputs!$F$152,1,1)-1))/Inputs!$F$27)-1,0),Inputs!$F$190-1)+Inputs!$F$189*MAX(MAX(0,(Time!AD$6-(DATE(YEAR(Inputs!$F$144)+Inputs!$F$152,1,1)-1))/Inputs!$F$27)-Inputs!$F$190,0))/100),0)</f>
        <v>19.557698630137</v>
      </c>
      <c r="AE1074" s="20" t="n">
        <f aca="false">IF(Time!AE$6&gt;=(DATE(YEAR(Inputs!$F$144)+Inputs!$F$151,1,1)-1),Inputs!$F$153/100*Inputs!$F$149*(1-(Inputs!$F$187*MIN(MAX(0,(Time!AE$6-(DATE(YEAR(Inputs!$F$144)+Inputs!$F$151,1,1)-1))/Inputs!$F$27),1)+Inputs!$F$188*MIN(MAX(MAX(0,(Time!AE$6-(DATE(YEAR(Inputs!$F$144)+Inputs!$F$151,1,1)-1))/Inputs!$F$27)-1,0),Inputs!$F$190-1)+Inputs!$F$189*MAX(MAX(0,(Time!AE$6-(DATE(YEAR(Inputs!$F$144)+Inputs!$F$151,1,1)-1))/Inputs!$F$27)-Inputs!$F$190,0))/100),0)+IF(Time!AE$6&gt;=(DATE(YEAR(Inputs!$F$144)+Inputs!$F$152,1,1)-1),Inputs!$F$153/100*Inputs!$F$149*(1-(Inputs!$F$187*MIN(MAX(0,(Time!AE$6-(DATE(YEAR(Inputs!$F$144)+Inputs!$F$152,1,1)-1))/Inputs!$F$27),1)+Inputs!$F$188*MIN(MAX(MAX(0,(Time!AE$6-(DATE(YEAR(Inputs!$F$144)+Inputs!$F$152,1,1)-1))/Inputs!$F$27)-1,0),Inputs!$F$190-1)+Inputs!$F$189*MAX(MAX(0,(Time!AE$6-(DATE(YEAR(Inputs!$F$144)+Inputs!$F$152,1,1)-1))/Inputs!$F$27)-Inputs!$F$190,0))/100),0)</f>
        <v>19.317698630137</v>
      </c>
      <c r="AF1074" s="20" t="n">
        <f aca="false">IF(Time!AF$6&gt;=(DATE(YEAR(Inputs!$F$144)+Inputs!$F$151,1,1)-1),Inputs!$F$153/100*Inputs!$F$149*(1-(Inputs!$F$187*MIN(MAX(0,(Time!AF$6-(DATE(YEAR(Inputs!$F$144)+Inputs!$F$151,1,1)-1))/Inputs!$F$27),1)+Inputs!$F$188*MIN(MAX(MAX(0,(Time!AF$6-(DATE(YEAR(Inputs!$F$144)+Inputs!$F$151,1,1)-1))/Inputs!$F$27)-1,0),Inputs!$F$190-1)+Inputs!$F$189*MAX(MAX(0,(Time!AF$6-(DATE(YEAR(Inputs!$F$144)+Inputs!$F$151,1,1)-1))/Inputs!$F$27)-Inputs!$F$190,0))/100),0)+IF(Time!AF$6&gt;=(DATE(YEAR(Inputs!$F$144)+Inputs!$F$152,1,1)-1),Inputs!$F$153/100*Inputs!$F$149*(1-(Inputs!$F$187*MIN(MAX(0,(Time!AF$6-(DATE(YEAR(Inputs!$F$144)+Inputs!$F$152,1,1)-1))/Inputs!$F$27),1)+Inputs!$F$188*MIN(MAX(MAX(0,(Time!AF$6-(DATE(YEAR(Inputs!$F$144)+Inputs!$F$152,1,1)-1))/Inputs!$F$27)-1,0),Inputs!$F$190-1)+Inputs!$F$189*MAX(MAX(0,(Time!AF$6-(DATE(YEAR(Inputs!$F$144)+Inputs!$F$152,1,1)-1))/Inputs!$F$27)-Inputs!$F$190,0))/100),0)</f>
        <v>19.0770410958904</v>
      </c>
      <c r="AG1074" s="20" t="n">
        <f aca="false">IF(Time!AG$6&gt;=(DATE(YEAR(Inputs!$F$144)+Inputs!$F$151,1,1)-1),Inputs!$F$153/100*Inputs!$F$149*(1-(Inputs!$F$187*MIN(MAX(0,(Time!AG$6-(DATE(YEAR(Inputs!$F$144)+Inputs!$F$151,1,1)-1))/Inputs!$F$27),1)+Inputs!$F$188*MIN(MAX(MAX(0,(Time!AG$6-(DATE(YEAR(Inputs!$F$144)+Inputs!$F$151,1,1)-1))/Inputs!$F$27)-1,0),Inputs!$F$190-1)+Inputs!$F$189*MAX(MAX(0,(Time!AG$6-(DATE(YEAR(Inputs!$F$144)+Inputs!$F$151,1,1)-1))/Inputs!$F$27)-Inputs!$F$190,0))/100),0)+IF(Time!AG$6&gt;=(DATE(YEAR(Inputs!$F$144)+Inputs!$F$152,1,1)-1),Inputs!$F$153/100*Inputs!$F$149*(1-(Inputs!$F$187*MIN(MAX(0,(Time!AG$6-(DATE(YEAR(Inputs!$F$144)+Inputs!$F$152,1,1)-1))/Inputs!$F$27),1)+Inputs!$F$188*MIN(MAX(MAX(0,(Time!AG$6-(DATE(YEAR(Inputs!$F$144)+Inputs!$F$152,1,1)-1))/Inputs!$F$27)-1,0),Inputs!$F$190-1)+Inputs!$F$189*MAX(MAX(0,(Time!AG$6-(DATE(YEAR(Inputs!$F$144)+Inputs!$F$152,1,1)-1))/Inputs!$F$27)-Inputs!$F$190,0))/100),0)</f>
        <v>18.8370410958904</v>
      </c>
      <c r="AH1074" s="20" t="n">
        <f aca="false">IF(Time!AH$6&gt;=(DATE(YEAR(Inputs!$F$144)+Inputs!$F$151,1,1)-1),Inputs!$F$153/100*Inputs!$F$149*(1-(Inputs!$F$187*MIN(MAX(0,(Time!AH$6-(DATE(YEAR(Inputs!$F$144)+Inputs!$F$151,1,1)-1))/Inputs!$F$27),1)+Inputs!$F$188*MIN(MAX(MAX(0,(Time!AH$6-(DATE(YEAR(Inputs!$F$144)+Inputs!$F$151,1,1)-1))/Inputs!$F$27)-1,0),Inputs!$F$190-1)+Inputs!$F$189*MAX(MAX(0,(Time!AH$6-(DATE(YEAR(Inputs!$F$144)+Inputs!$F$151,1,1)-1))/Inputs!$F$27)-Inputs!$F$190,0))/100),0)+IF(Time!AH$6&gt;=(DATE(YEAR(Inputs!$F$144)+Inputs!$F$152,1,1)-1),Inputs!$F$153/100*Inputs!$F$149*(1-(Inputs!$F$187*MIN(MAX(0,(Time!AH$6-(DATE(YEAR(Inputs!$F$144)+Inputs!$F$152,1,1)-1))/Inputs!$F$27),1)+Inputs!$F$188*MIN(MAX(MAX(0,(Time!AH$6-(DATE(YEAR(Inputs!$F$144)+Inputs!$F$152,1,1)-1))/Inputs!$F$27)-1,0),Inputs!$F$190-1)+Inputs!$F$189*MAX(MAX(0,(Time!AH$6-(DATE(YEAR(Inputs!$F$144)+Inputs!$F$152,1,1)-1))/Inputs!$F$27)-Inputs!$F$190,0))/100),0)</f>
        <v>18.5970410958904</v>
      </c>
      <c r="AI1074" s="20" t="n">
        <f aca="false">IF(Time!AI$6&gt;=(DATE(YEAR(Inputs!$F$144)+Inputs!$F$151,1,1)-1),Inputs!$F$153/100*Inputs!$F$149*(1-(Inputs!$F$187*MIN(MAX(0,(Time!AI$6-(DATE(YEAR(Inputs!$F$144)+Inputs!$F$151,1,1)-1))/Inputs!$F$27),1)+Inputs!$F$188*MIN(MAX(MAX(0,(Time!AI$6-(DATE(YEAR(Inputs!$F$144)+Inputs!$F$151,1,1)-1))/Inputs!$F$27)-1,0),Inputs!$F$190-1)+Inputs!$F$189*MAX(MAX(0,(Time!AI$6-(DATE(YEAR(Inputs!$F$144)+Inputs!$F$151,1,1)-1))/Inputs!$F$27)-Inputs!$F$190,0))/100),0)+IF(Time!AI$6&gt;=(DATE(YEAR(Inputs!$F$144)+Inputs!$F$152,1,1)-1),Inputs!$F$153/100*Inputs!$F$149*(1-(Inputs!$F$187*MIN(MAX(0,(Time!AI$6-(DATE(YEAR(Inputs!$F$144)+Inputs!$F$152,1,1)-1))/Inputs!$F$27),1)+Inputs!$F$188*MIN(MAX(MAX(0,(Time!AI$6-(DATE(YEAR(Inputs!$F$144)+Inputs!$F$152,1,1)-1))/Inputs!$F$27)-1,0),Inputs!$F$190-1)+Inputs!$F$189*MAX(MAX(0,(Time!AI$6-(DATE(YEAR(Inputs!$F$144)+Inputs!$F$152,1,1)-1))/Inputs!$F$27)-Inputs!$F$190,0))/100),0)</f>
        <v>18.3570410958904</v>
      </c>
      <c r="AJ1074" s="20" t="n">
        <f aca="false">IF(Time!AJ$6&gt;=(DATE(YEAR(Inputs!$F$144)+Inputs!$F$151,1,1)-1),Inputs!$F$153/100*Inputs!$F$149*(1-(Inputs!$F$187*MIN(MAX(0,(Time!AJ$6-(DATE(YEAR(Inputs!$F$144)+Inputs!$F$151,1,1)-1))/Inputs!$F$27),1)+Inputs!$F$188*MIN(MAX(MAX(0,(Time!AJ$6-(DATE(YEAR(Inputs!$F$144)+Inputs!$F$151,1,1)-1))/Inputs!$F$27)-1,0),Inputs!$F$190-1)+Inputs!$F$189*MAX(MAX(0,(Time!AJ$6-(DATE(YEAR(Inputs!$F$144)+Inputs!$F$151,1,1)-1))/Inputs!$F$27)-Inputs!$F$190,0))/100),0)+IF(Time!AJ$6&gt;=(DATE(YEAR(Inputs!$F$144)+Inputs!$F$152,1,1)-1),Inputs!$F$153/100*Inputs!$F$149*(1-(Inputs!$F$187*MIN(MAX(0,(Time!AJ$6-(DATE(YEAR(Inputs!$F$144)+Inputs!$F$152,1,1)-1))/Inputs!$F$27),1)+Inputs!$F$188*MIN(MAX(MAX(0,(Time!AJ$6-(DATE(YEAR(Inputs!$F$144)+Inputs!$F$152,1,1)-1))/Inputs!$F$27)-1,0),Inputs!$F$190-1)+Inputs!$F$189*MAX(MAX(0,(Time!AJ$6-(DATE(YEAR(Inputs!$F$144)+Inputs!$F$152,1,1)-1))/Inputs!$F$27)-Inputs!$F$190,0))/100),0)</f>
        <v>18.1163835616438</v>
      </c>
      <c r="AK1074" s="20" t="n">
        <f aca="false">IF(Time!AK$6&gt;=(DATE(YEAR(Inputs!$F$144)+Inputs!$F$151,1,1)-1),Inputs!$F$153/100*Inputs!$F$149*(1-(Inputs!$F$187*MIN(MAX(0,(Time!AK$6-(DATE(YEAR(Inputs!$F$144)+Inputs!$F$151,1,1)-1))/Inputs!$F$27),1)+Inputs!$F$188*MIN(MAX(MAX(0,(Time!AK$6-(DATE(YEAR(Inputs!$F$144)+Inputs!$F$151,1,1)-1))/Inputs!$F$27)-1,0),Inputs!$F$190-1)+Inputs!$F$189*MAX(MAX(0,(Time!AK$6-(DATE(YEAR(Inputs!$F$144)+Inputs!$F$151,1,1)-1))/Inputs!$F$27)-Inputs!$F$190,0))/100),0)+IF(Time!AK$6&gt;=(DATE(YEAR(Inputs!$F$144)+Inputs!$F$152,1,1)-1),Inputs!$F$153/100*Inputs!$F$149*(1-(Inputs!$F$187*MIN(MAX(0,(Time!AK$6-(DATE(YEAR(Inputs!$F$144)+Inputs!$F$152,1,1)-1))/Inputs!$F$27),1)+Inputs!$F$188*MIN(MAX(MAX(0,(Time!AK$6-(DATE(YEAR(Inputs!$F$144)+Inputs!$F$152,1,1)-1))/Inputs!$F$27)-1,0),Inputs!$F$190-1)+Inputs!$F$189*MAX(MAX(0,(Time!AK$6-(DATE(YEAR(Inputs!$F$144)+Inputs!$F$152,1,1)-1))/Inputs!$F$27)-Inputs!$F$190,0))/100),0)</f>
        <v>17.8763835616438</v>
      </c>
      <c r="AL1074" s="20" t="n">
        <f aca="false">IF(Time!AL$6&gt;=(DATE(YEAR(Inputs!$F$144)+Inputs!$F$151,1,1)-1),Inputs!$F$153/100*Inputs!$F$149*(1-(Inputs!$F$187*MIN(MAX(0,(Time!AL$6-(DATE(YEAR(Inputs!$F$144)+Inputs!$F$151,1,1)-1))/Inputs!$F$27),1)+Inputs!$F$188*MIN(MAX(MAX(0,(Time!AL$6-(DATE(YEAR(Inputs!$F$144)+Inputs!$F$151,1,1)-1))/Inputs!$F$27)-1,0),Inputs!$F$190-1)+Inputs!$F$189*MAX(MAX(0,(Time!AL$6-(DATE(YEAR(Inputs!$F$144)+Inputs!$F$151,1,1)-1))/Inputs!$F$27)-Inputs!$F$190,0))/100),0)+IF(Time!AL$6&gt;=(DATE(YEAR(Inputs!$F$144)+Inputs!$F$152,1,1)-1),Inputs!$F$153/100*Inputs!$F$149*(1-(Inputs!$F$187*MIN(MAX(0,(Time!AL$6-(DATE(YEAR(Inputs!$F$144)+Inputs!$F$152,1,1)-1))/Inputs!$F$27),1)+Inputs!$F$188*MIN(MAX(MAX(0,(Time!AL$6-(DATE(YEAR(Inputs!$F$144)+Inputs!$F$152,1,1)-1))/Inputs!$F$27)-1,0),Inputs!$F$190-1)+Inputs!$F$189*MAX(MAX(0,(Time!AL$6-(DATE(YEAR(Inputs!$F$144)+Inputs!$F$152,1,1)-1))/Inputs!$F$27)-Inputs!$F$190,0))/100),0)</f>
        <v>17.6363835616438</v>
      </c>
      <c r="AM1074" s="20" t="n">
        <f aca="false">IF(Time!AM$6&gt;=(DATE(YEAR(Inputs!$F$144)+Inputs!$F$151,1,1)-1),Inputs!$F$153/100*Inputs!$F$149*(1-(Inputs!$F$187*MIN(MAX(0,(Time!AM$6-(DATE(YEAR(Inputs!$F$144)+Inputs!$F$151,1,1)-1))/Inputs!$F$27),1)+Inputs!$F$188*MIN(MAX(MAX(0,(Time!AM$6-(DATE(YEAR(Inputs!$F$144)+Inputs!$F$151,1,1)-1))/Inputs!$F$27)-1,0),Inputs!$F$190-1)+Inputs!$F$189*MAX(MAX(0,(Time!AM$6-(DATE(YEAR(Inputs!$F$144)+Inputs!$F$151,1,1)-1))/Inputs!$F$27)-Inputs!$F$190,0))/100),0)+IF(Time!AM$6&gt;=(DATE(YEAR(Inputs!$F$144)+Inputs!$F$152,1,1)-1),Inputs!$F$153/100*Inputs!$F$149*(1-(Inputs!$F$187*MIN(MAX(0,(Time!AM$6-(DATE(YEAR(Inputs!$F$144)+Inputs!$F$152,1,1)-1))/Inputs!$F$27),1)+Inputs!$F$188*MIN(MAX(MAX(0,(Time!AM$6-(DATE(YEAR(Inputs!$F$144)+Inputs!$F$152,1,1)-1))/Inputs!$F$27)-1,0),Inputs!$F$190-1)+Inputs!$F$189*MAX(MAX(0,(Time!AM$6-(DATE(YEAR(Inputs!$F$144)+Inputs!$F$152,1,1)-1))/Inputs!$F$27)-Inputs!$F$190,0))/100),0)</f>
        <v>17.3963835616438</v>
      </c>
      <c r="AN1074" s="20" t="n">
        <f aca="false">IF(Time!AN$6&gt;=(DATE(YEAR(Inputs!$F$144)+Inputs!$F$151,1,1)-1),Inputs!$F$153/100*Inputs!$F$149*(1-(Inputs!$F$187*MIN(MAX(0,(Time!AN$6-(DATE(YEAR(Inputs!$F$144)+Inputs!$F$151,1,1)-1))/Inputs!$F$27),1)+Inputs!$F$188*MIN(MAX(MAX(0,(Time!AN$6-(DATE(YEAR(Inputs!$F$144)+Inputs!$F$151,1,1)-1))/Inputs!$F$27)-1,0),Inputs!$F$190-1)+Inputs!$F$189*MAX(MAX(0,(Time!AN$6-(DATE(YEAR(Inputs!$F$144)+Inputs!$F$151,1,1)-1))/Inputs!$F$27)-Inputs!$F$190,0))/100),0)+IF(Time!AN$6&gt;=(DATE(YEAR(Inputs!$F$144)+Inputs!$F$152,1,1)-1),Inputs!$F$153/100*Inputs!$F$149*(1-(Inputs!$F$187*MIN(MAX(0,(Time!AN$6-(DATE(YEAR(Inputs!$F$144)+Inputs!$F$152,1,1)-1))/Inputs!$F$27),1)+Inputs!$F$188*MIN(MAX(MAX(0,(Time!AN$6-(DATE(YEAR(Inputs!$F$144)+Inputs!$F$152,1,1)-1))/Inputs!$F$27)-1,0),Inputs!$F$190-1)+Inputs!$F$189*MAX(MAX(0,(Time!AN$6-(DATE(YEAR(Inputs!$F$144)+Inputs!$F$152,1,1)-1))/Inputs!$F$27)-Inputs!$F$190,0))/100),0)</f>
        <v>17.1557260273973</v>
      </c>
      <c r="AO1074" s="20" t="n">
        <f aca="false">IF(Time!AO$6&gt;=(DATE(YEAR(Inputs!$F$144)+Inputs!$F$151,1,1)-1),Inputs!$F$153/100*Inputs!$F$149*(1-(Inputs!$F$187*MIN(MAX(0,(Time!AO$6-(DATE(YEAR(Inputs!$F$144)+Inputs!$F$151,1,1)-1))/Inputs!$F$27),1)+Inputs!$F$188*MIN(MAX(MAX(0,(Time!AO$6-(DATE(YEAR(Inputs!$F$144)+Inputs!$F$151,1,1)-1))/Inputs!$F$27)-1,0),Inputs!$F$190-1)+Inputs!$F$189*MAX(MAX(0,(Time!AO$6-(DATE(YEAR(Inputs!$F$144)+Inputs!$F$151,1,1)-1))/Inputs!$F$27)-Inputs!$F$190,0))/100),0)+IF(Time!AO$6&gt;=(DATE(YEAR(Inputs!$F$144)+Inputs!$F$152,1,1)-1),Inputs!$F$153/100*Inputs!$F$149*(1-(Inputs!$F$187*MIN(MAX(0,(Time!AO$6-(DATE(YEAR(Inputs!$F$144)+Inputs!$F$152,1,1)-1))/Inputs!$F$27),1)+Inputs!$F$188*MIN(MAX(MAX(0,(Time!AO$6-(DATE(YEAR(Inputs!$F$144)+Inputs!$F$152,1,1)-1))/Inputs!$F$27)-1,0),Inputs!$F$190-1)+Inputs!$F$189*MAX(MAX(0,(Time!AO$6-(DATE(YEAR(Inputs!$F$144)+Inputs!$F$152,1,1)-1))/Inputs!$F$27)-Inputs!$F$190,0))/100),0)</f>
        <v>16.9157260273973</v>
      </c>
      <c r="AP1074" s="20" t="n">
        <f aca="false">IF(Time!AP$6&gt;=(DATE(YEAR(Inputs!$F$144)+Inputs!$F$151,1,1)-1),Inputs!$F$153/100*Inputs!$F$149*(1-(Inputs!$F$187*MIN(MAX(0,(Time!AP$6-(DATE(YEAR(Inputs!$F$144)+Inputs!$F$151,1,1)-1))/Inputs!$F$27),1)+Inputs!$F$188*MIN(MAX(MAX(0,(Time!AP$6-(DATE(YEAR(Inputs!$F$144)+Inputs!$F$151,1,1)-1))/Inputs!$F$27)-1,0),Inputs!$F$190-1)+Inputs!$F$189*MAX(MAX(0,(Time!AP$6-(DATE(YEAR(Inputs!$F$144)+Inputs!$F$151,1,1)-1))/Inputs!$F$27)-Inputs!$F$190,0))/100),0)+IF(Time!AP$6&gt;=(DATE(YEAR(Inputs!$F$144)+Inputs!$F$152,1,1)-1),Inputs!$F$153/100*Inputs!$F$149*(1-(Inputs!$F$187*MIN(MAX(0,(Time!AP$6-(DATE(YEAR(Inputs!$F$144)+Inputs!$F$152,1,1)-1))/Inputs!$F$27),1)+Inputs!$F$188*MIN(MAX(MAX(0,(Time!AP$6-(DATE(YEAR(Inputs!$F$144)+Inputs!$F$152,1,1)-1))/Inputs!$F$27)-1,0),Inputs!$F$190-1)+Inputs!$F$189*MAX(MAX(0,(Time!AP$6-(DATE(YEAR(Inputs!$F$144)+Inputs!$F$152,1,1)-1))/Inputs!$F$27)-Inputs!$F$190,0))/100),0)</f>
        <v>16.6757260273973</v>
      </c>
      <c r="AQ1074" s="20" t="n">
        <f aca="false">IF(Time!AQ$6&gt;=(DATE(YEAR(Inputs!$F$144)+Inputs!$F$151,1,1)-1),Inputs!$F$153/100*Inputs!$F$149*(1-(Inputs!$F$187*MIN(MAX(0,(Time!AQ$6-(DATE(YEAR(Inputs!$F$144)+Inputs!$F$151,1,1)-1))/Inputs!$F$27),1)+Inputs!$F$188*MIN(MAX(MAX(0,(Time!AQ$6-(DATE(YEAR(Inputs!$F$144)+Inputs!$F$151,1,1)-1))/Inputs!$F$27)-1,0),Inputs!$F$190-1)+Inputs!$F$189*MAX(MAX(0,(Time!AQ$6-(DATE(YEAR(Inputs!$F$144)+Inputs!$F$151,1,1)-1))/Inputs!$F$27)-Inputs!$F$190,0))/100),0)+IF(Time!AQ$6&gt;=(DATE(YEAR(Inputs!$F$144)+Inputs!$F$152,1,1)-1),Inputs!$F$153/100*Inputs!$F$149*(1-(Inputs!$F$187*MIN(MAX(0,(Time!AQ$6-(DATE(YEAR(Inputs!$F$144)+Inputs!$F$152,1,1)-1))/Inputs!$F$27),1)+Inputs!$F$188*MIN(MAX(MAX(0,(Time!AQ$6-(DATE(YEAR(Inputs!$F$144)+Inputs!$F$152,1,1)-1))/Inputs!$F$27)-1,0),Inputs!$F$190-1)+Inputs!$F$189*MAX(MAX(0,(Time!AQ$6-(DATE(YEAR(Inputs!$F$144)+Inputs!$F$152,1,1)-1))/Inputs!$F$27)-Inputs!$F$190,0))/100),0)</f>
        <v>16.4357260273973</v>
      </c>
      <c r="AR1074" s="20" t="n">
        <f aca="false">IF(Time!AR$6&gt;=(DATE(YEAR(Inputs!$F$144)+Inputs!$F$151,1,1)-1),Inputs!$F$153/100*Inputs!$F$149*(1-(Inputs!$F$187*MIN(MAX(0,(Time!AR$6-(DATE(YEAR(Inputs!$F$144)+Inputs!$F$151,1,1)-1))/Inputs!$F$27),1)+Inputs!$F$188*MIN(MAX(MAX(0,(Time!AR$6-(DATE(YEAR(Inputs!$F$144)+Inputs!$F$151,1,1)-1))/Inputs!$F$27)-1,0),Inputs!$F$190-1)+Inputs!$F$189*MAX(MAX(0,(Time!AR$6-(DATE(YEAR(Inputs!$F$144)+Inputs!$F$151,1,1)-1))/Inputs!$F$27)-Inputs!$F$190,0))/100),0)+IF(Time!AR$6&gt;=(DATE(YEAR(Inputs!$F$144)+Inputs!$F$152,1,1)-1),Inputs!$F$153/100*Inputs!$F$149*(1-(Inputs!$F$187*MIN(MAX(0,(Time!AR$6-(DATE(YEAR(Inputs!$F$144)+Inputs!$F$152,1,1)-1))/Inputs!$F$27),1)+Inputs!$F$188*MIN(MAX(MAX(0,(Time!AR$6-(DATE(YEAR(Inputs!$F$144)+Inputs!$F$152,1,1)-1))/Inputs!$F$27)-1,0),Inputs!$F$190-1)+Inputs!$F$189*MAX(MAX(0,(Time!AR$6-(DATE(YEAR(Inputs!$F$144)+Inputs!$F$152,1,1)-1))/Inputs!$F$27)-Inputs!$F$190,0))/100),0)</f>
        <v>16.1950684931507</v>
      </c>
      <c r="AS1074" s="20" t="n">
        <f aca="false">IF(Time!AS$6&gt;=(DATE(YEAR(Inputs!$F$144)+Inputs!$F$151,1,1)-1),Inputs!$F$153/100*Inputs!$F$149*(1-(Inputs!$F$187*MIN(MAX(0,(Time!AS$6-(DATE(YEAR(Inputs!$F$144)+Inputs!$F$151,1,1)-1))/Inputs!$F$27),1)+Inputs!$F$188*MIN(MAX(MAX(0,(Time!AS$6-(DATE(YEAR(Inputs!$F$144)+Inputs!$F$151,1,1)-1))/Inputs!$F$27)-1,0),Inputs!$F$190-1)+Inputs!$F$189*MAX(MAX(0,(Time!AS$6-(DATE(YEAR(Inputs!$F$144)+Inputs!$F$151,1,1)-1))/Inputs!$F$27)-Inputs!$F$190,0))/100),0)+IF(Time!AS$6&gt;=(DATE(YEAR(Inputs!$F$144)+Inputs!$F$152,1,1)-1),Inputs!$F$153/100*Inputs!$F$149*(1-(Inputs!$F$187*MIN(MAX(0,(Time!AS$6-(DATE(YEAR(Inputs!$F$144)+Inputs!$F$152,1,1)-1))/Inputs!$F$27),1)+Inputs!$F$188*MIN(MAX(MAX(0,(Time!AS$6-(DATE(YEAR(Inputs!$F$144)+Inputs!$F$152,1,1)-1))/Inputs!$F$27)-1,0),Inputs!$F$190-1)+Inputs!$F$189*MAX(MAX(0,(Time!AS$6-(DATE(YEAR(Inputs!$F$144)+Inputs!$F$152,1,1)-1))/Inputs!$F$27)-Inputs!$F$190,0))/100),0)</f>
        <v>15.9550684931507</v>
      </c>
      <c r="AT1074" s="20" t="n">
        <f aca="false">IF(Time!AT$6&gt;=(DATE(YEAR(Inputs!$F$144)+Inputs!$F$151,1,1)-1),Inputs!$F$153/100*Inputs!$F$149*(1-(Inputs!$F$187*MIN(MAX(0,(Time!AT$6-(DATE(YEAR(Inputs!$F$144)+Inputs!$F$151,1,1)-1))/Inputs!$F$27),1)+Inputs!$F$188*MIN(MAX(MAX(0,(Time!AT$6-(DATE(YEAR(Inputs!$F$144)+Inputs!$F$151,1,1)-1))/Inputs!$F$27)-1,0),Inputs!$F$190-1)+Inputs!$F$189*MAX(MAX(0,(Time!AT$6-(DATE(YEAR(Inputs!$F$144)+Inputs!$F$151,1,1)-1))/Inputs!$F$27)-Inputs!$F$190,0))/100),0)+IF(Time!AT$6&gt;=(DATE(YEAR(Inputs!$F$144)+Inputs!$F$152,1,1)-1),Inputs!$F$153/100*Inputs!$F$149*(1-(Inputs!$F$187*MIN(MAX(0,(Time!AT$6-(DATE(YEAR(Inputs!$F$144)+Inputs!$F$152,1,1)-1))/Inputs!$F$27),1)+Inputs!$F$188*MIN(MAX(MAX(0,(Time!AT$6-(DATE(YEAR(Inputs!$F$144)+Inputs!$F$152,1,1)-1))/Inputs!$F$27)-1,0),Inputs!$F$190-1)+Inputs!$F$189*MAX(MAX(0,(Time!AT$6-(DATE(YEAR(Inputs!$F$144)+Inputs!$F$152,1,1)-1))/Inputs!$F$27)-Inputs!$F$190,0))/100),0)</f>
        <v>15.7150684931507</v>
      </c>
      <c r="AU1074" s="20" t="n">
        <f aca="false">IF(Time!AU$6&gt;=(DATE(YEAR(Inputs!$F$144)+Inputs!$F$151,1,1)-1),Inputs!$F$153/100*Inputs!$F$149*(1-(Inputs!$F$187*MIN(MAX(0,(Time!AU$6-(DATE(YEAR(Inputs!$F$144)+Inputs!$F$151,1,1)-1))/Inputs!$F$27),1)+Inputs!$F$188*MIN(MAX(MAX(0,(Time!AU$6-(DATE(YEAR(Inputs!$F$144)+Inputs!$F$151,1,1)-1))/Inputs!$F$27)-1,0),Inputs!$F$190-1)+Inputs!$F$189*MAX(MAX(0,(Time!AU$6-(DATE(YEAR(Inputs!$F$144)+Inputs!$F$151,1,1)-1))/Inputs!$F$27)-Inputs!$F$190,0))/100),0)+IF(Time!AU$6&gt;=(DATE(YEAR(Inputs!$F$144)+Inputs!$F$152,1,1)-1),Inputs!$F$153/100*Inputs!$F$149*(1-(Inputs!$F$187*MIN(MAX(0,(Time!AU$6-(DATE(YEAR(Inputs!$F$144)+Inputs!$F$152,1,1)-1))/Inputs!$F$27),1)+Inputs!$F$188*MIN(MAX(MAX(0,(Time!AU$6-(DATE(YEAR(Inputs!$F$144)+Inputs!$F$152,1,1)-1))/Inputs!$F$27)-1,0),Inputs!$F$190-1)+Inputs!$F$189*MAX(MAX(0,(Time!AU$6-(DATE(YEAR(Inputs!$F$144)+Inputs!$F$152,1,1)-1))/Inputs!$F$27)-Inputs!$F$190,0))/100),0)</f>
        <v>15.4750684931507</v>
      </c>
    </row>
    <row r="1075" customFormat="false" ht="15" hidden="false" customHeight="false" outlineLevel="0" collapsed="false">
      <c r="D1075" s="0" t="s">
        <v>680</v>
      </c>
      <c r="E1075" s="0" t="s">
        <v>176</v>
      </c>
      <c r="J1075" s="20" t="n">
        <f aca="false">Operations!J1073+Operations!J1074</f>
        <v>216</v>
      </c>
      <c r="K1075" s="20" t="n">
        <f aca="false">Operations!K1073+Operations!K1074</f>
        <v>213.987945205479</v>
      </c>
      <c r="L1075" s="20" t="n">
        <f aca="false">Operations!L1073+Operations!L1074</f>
        <v>210.162082191781</v>
      </c>
      <c r="M1075" s="20" t="n">
        <f aca="false">Operations!M1073+Operations!M1074</f>
        <v>206.922082191781</v>
      </c>
      <c r="N1075" s="20" t="n">
        <f aca="false">Operations!N1073+Operations!N1074</f>
        <v>203.682082191781</v>
      </c>
      <c r="O1075" s="20" t="n">
        <f aca="false">Operations!O1073+Operations!O1074</f>
        <v>212.442082191781</v>
      </c>
      <c r="P1075" s="20" t="n">
        <f aca="false">Operations!P1073+Operations!P1074</f>
        <v>208.952712328767</v>
      </c>
      <c r="Q1075" s="20" t="n">
        <f aca="false">Operations!Q1073+Operations!Q1074</f>
        <v>205.532712328767</v>
      </c>
      <c r="R1075" s="20" t="n">
        <f aca="false">Operations!R1073+Operations!R1074</f>
        <v>202.112712328767</v>
      </c>
      <c r="S1075" s="20" t="n">
        <f aca="false">Operations!S1073+Operations!S1074</f>
        <v>210.692712328767</v>
      </c>
      <c r="T1075" s="20" t="n">
        <f aca="false">Operations!T1073+Operations!T1074</f>
        <v>207.022849315069</v>
      </c>
      <c r="U1075" s="20" t="n">
        <f aca="false">Operations!U1073+Operations!U1074</f>
        <v>203.934739726027</v>
      </c>
      <c r="V1075" s="20" t="n">
        <f aca="false">Operations!V1073+Operations!V1074</f>
        <v>201.414739726027</v>
      </c>
      <c r="W1075" s="20" t="n">
        <f aca="false">Operations!W1073+Operations!W1074</f>
        <v>198.894739726027</v>
      </c>
      <c r="X1075" s="20" t="n">
        <f aca="false">Operations!X1073+Operations!X1074</f>
        <v>196.367835616438</v>
      </c>
      <c r="Y1075" s="20" t="n">
        <f aca="false">Operations!Y1073+Operations!Y1074</f>
        <v>193.848328767123</v>
      </c>
      <c r="Z1075" s="20" t="n">
        <f aca="false">Operations!Z1073+Operations!Z1074</f>
        <v>191.388328767123</v>
      </c>
      <c r="AA1075" s="20" t="n">
        <f aca="false">Operations!AA1073+Operations!AA1074</f>
        <v>188.928328767123</v>
      </c>
      <c r="AB1075" s="20" t="n">
        <f aca="false">Operations!AB1073+Operations!AB1074</f>
        <v>186.461589041096</v>
      </c>
      <c r="AC1075" s="20" t="n">
        <f aca="false">Operations!AC1073+Operations!AC1074</f>
        <v>184.002082191781</v>
      </c>
      <c r="AD1075" s="20" t="n">
        <f aca="false">Operations!AD1073+Operations!AD1074</f>
        <v>181.602082191781</v>
      </c>
      <c r="AE1075" s="20" t="n">
        <f aca="false">Operations!AE1073+Operations!AE1074</f>
        <v>179.202082191781</v>
      </c>
      <c r="AF1075" s="20" t="n">
        <f aca="false">Operations!AF1073+Operations!AF1074</f>
        <v>176.795506849315</v>
      </c>
      <c r="AG1075" s="20" t="n">
        <f aca="false">Operations!AG1073+Operations!AG1074</f>
        <v>174.395506849315</v>
      </c>
      <c r="AH1075" s="20" t="n">
        <f aca="false">Operations!AH1073+Operations!AH1074</f>
        <v>171.995506849315</v>
      </c>
      <c r="AI1075" s="20" t="n">
        <f aca="false">Operations!AI1073+Operations!AI1074</f>
        <v>169.595506849315</v>
      </c>
      <c r="AJ1075" s="20" t="n">
        <f aca="false">Operations!AJ1073+Operations!AJ1074</f>
        <v>167.188931506849</v>
      </c>
      <c r="AK1075" s="20" t="n">
        <f aca="false">Operations!AK1073+Operations!AK1074</f>
        <v>164.788931506849</v>
      </c>
      <c r="AL1075" s="20" t="n">
        <f aca="false">Operations!AL1073+Operations!AL1074</f>
        <v>162.388931506849</v>
      </c>
      <c r="AM1075" s="20" t="n">
        <f aca="false">Operations!AM1073+Operations!AM1074</f>
        <v>159.988931506849</v>
      </c>
      <c r="AN1075" s="20" t="n">
        <f aca="false">Operations!AN1073+Operations!AN1074</f>
        <v>157.582356164384</v>
      </c>
      <c r="AO1075" s="20" t="n">
        <f aca="false">Operations!AO1073+Operations!AO1074</f>
        <v>155.182356164384</v>
      </c>
      <c r="AP1075" s="20" t="n">
        <f aca="false">Operations!AP1073+Operations!AP1074</f>
        <v>152.782356164384</v>
      </c>
      <c r="AQ1075" s="20" t="n">
        <f aca="false">Operations!AQ1073+Operations!AQ1074</f>
        <v>150.382356164384</v>
      </c>
      <c r="AR1075" s="20" t="n">
        <f aca="false">Operations!AR1073+Operations!AR1074</f>
        <v>147.975780821918</v>
      </c>
      <c r="AS1075" s="20" t="n">
        <f aca="false">Operations!AS1073+Operations!AS1074</f>
        <v>145.575780821918</v>
      </c>
      <c r="AT1075" s="20" t="n">
        <f aca="false">Operations!AT1073+Operations!AT1074</f>
        <v>143.175780821918</v>
      </c>
      <c r="AU1075" s="20" t="n">
        <f aca="false">Operations!AU1073+Operations!AU1074</f>
        <v>140.775780821918</v>
      </c>
    </row>
    <row r="1076" customFormat="false" ht="15" hidden="false" customHeight="false" outlineLevel="0" collapsed="false">
      <c r="D1076" s="0" t="s">
        <v>681</v>
      </c>
      <c r="E1076" s="0" t="s">
        <v>176</v>
      </c>
      <c r="J1076" s="20" t="n">
        <f aca="false">(Operations!J1072+Operations!J1075)/2</f>
        <v>216</v>
      </c>
      <c r="K1076" s="20" t="n">
        <f aca="false">(Operations!K1072+Operations!K1075)/2</f>
        <v>214.99397260274</v>
      </c>
      <c r="L1076" s="20" t="n">
        <f aca="false">(Operations!L1072+Operations!L1075)/2</f>
        <v>212.07501369863</v>
      </c>
      <c r="M1076" s="20" t="n">
        <f aca="false">(Operations!M1072+Operations!M1075)/2</f>
        <v>208.542082191781</v>
      </c>
      <c r="N1076" s="20" t="n">
        <f aca="false">(Operations!N1072+Operations!N1075)/2</f>
        <v>205.302082191781</v>
      </c>
      <c r="O1076" s="20" t="n">
        <f aca="false">(Operations!O1072+Operations!O1075)/2</f>
        <v>208.062082191781</v>
      </c>
      <c r="P1076" s="20" t="n">
        <f aca="false">(Operations!P1072+Operations!P1075)/2</f>
        <v>210.697397260274</v>
      </c>
      <c r="Q1076" s="20" t="n">
        <f aca="false">(Operations!Q1072+Operations!Q1075)/2</f>
        <v>207.242712328767</v>
      </c>
      <c r="R1076" s="20" t="n">
        <f aca="false">(Operations!R1072+Operations!R1075)/2</f>
        <v>203.822712328767</v>
      </c>
      <c r="S1076" s="20" t="n">
        <f aca="false">(Operations!S1072+Operations!S1075)/2</f>
        <v>206.402712328767</v>
      </c>
      <c r="T1076" s="20" t="n">
        <f aca="false">(Operations!T1072+Operations!T1075)/2</f>
        <v>208.857780821918</v>
      </c>
      <c r="U1076" s="20" t="n">
        <f aca="false">(Operations!U1072+Operations!U1075)/2</f>
        <v>205.478794520548</v>
      </c>
      <c r="V1076" s="20" t="n">
        <f aca="false">(Operations!V1072+Operations!V1075)/2</f>
        <v>202.674739726027</v>
      </c>
      <c r="W1076" s="20" t="n">
        <f aca="false">(Operations!W1072+Operations!W1075)/2</f>
        <v>200.154739726027</v>
      </c>
      <c r="X1076" s="20" t="n">
        <f aca="false">(Operations!X1072+Operations!X1075)/2</f>
        <v>197.631287671233</v>
      </c>
      <c r="Y1076" s="20" t="n">
        <f aca="false">(Operations!Y1072+Operations!Y1075)/2</f>
        <v>195.108082191781</v>
      </c>
      <c r="Z1076" s="20" t="n">
        <f aca="false">(Operations!Z1072+Operations!Z1075)/2</f>
        <v>192.618328767123</v>
      </c>
      <c r="AA1076" s="20" t="n">
        <f aca="false">(Operations!AA1072+Operations!AA1075)/2</f>
        <v>190.158328767123</v>
      </c>
      <c r="AB1076" s="20" t="n">
        <f aca="false">(Operations!AB1072+Operations!AB1075)/2</f>
        <v>187.69495890411</v>
      </c>
      <c r="AC1076" s="20" t="n">
        <f aca="false">(Operations!AC1072+Operations!AC1075)/2</f>
        <v>185.231835616438</v>
      </c>
      <c r="AD1076" s="20" t="n">
        <f aca="false">(Operations!AD1072+Operations!AD1075)/2</f>
        <v>182.802082191781</v>
      </c>
      <c r="AE1076" s="20" t="n">
        <f aca="false">(Operations!AE1072+Operations!AE1075)/2</f>
        <v>180.402082191781</v>
      </c>
      <c r="AF1076" s="20" t="n">
        <f aca="false">(Operations!AF1072+Operations!AF1075)/2</f>
        <v>177.998794520548</v>
      </c>
      <c r="AG1076" s="20" t="n">
        <f aca="false">(Operations!AG1072+Operations!AG1075)/2</f>
        <v>175.595506849315</v>
      </c>
      <c r="AH1076" s="20" t="n">
        <f aca="false">(Operations!AH1072+Operations!AH1075)/2</f>
        <v>173.195506849315</v>
      </c>
      <c r="AI1076" s="20" t="n">
        <f aca="false">(Operations!AI1072+Operations!AI1075)/2</f>
        <v>170.795506849315</v>
      </c>
      <c r="AJ1076" s="20" t="n">
        <f aca="false">(Operations!AJ1072+Operations!AJ1075)/2</f>
        <v>168.392219178082</v>
      </c>
      <c r="AK1076" s="20" t="n">
        <f aca="false">(Operations!AK1072+Operations!AK1075)/2</f>
        <v>165.988931506849</v>
      </c>
      <c r="AL1076" s="20" t="n">
        <f aca="false">(Operations!AL1072+Operations!AL1075)/2</f>
        <v>163.588931506849</v>
      </c>
      <c r="AM1076" s="20" t="n">
        <f aca="false">(Operations!AM1072+Operations!AM1075)/2</f>
        <v>161.188931506849</v>
      </c>
      <c r="AN1076" s="20" t="n">
        <f aca="false">(Operations!AN1072+Operations!AN1075)/2</f>
        <v>158.785643835616</v>
      </c>
      <c r="AO1076" s="20" t="n">
        <f aca="false">(Operations!AO1072+Operations!AO1075)/2</f>
        <v>156.382356164384</v>
      </c>
      <c r="AP1076" s="20" t="n">
        <f aca="false">(Operations!AP1072+Operations!AP1075)/2</f>
        <v>153.982356164384</v>
      </c>
      <c r="AQ1076" s="20" t="n">
        <f aca="false">(Operations!AQ1072+Operations!AQ1075)/2</f>
        <v>151.582356164384</v>
      </c>
      <c r="AR1076" s="20" t="n">
        <f aca="false">(Operations!AR1072+Operations!AR1075)/2</f>
        <v>149.179068493151</v>
      </c>
      <c r="AS1076" s="20" t="n">
        <f aca="false">(Operations!AS1072+Operations!AS1075)/2</f>
        <v>146.775780821918</v>
      </c>
      <c r="AT1076" s="20" t="n">
        <f aca="false">(Operations!AT1072+Operations!AT1075)/2</f>
        <v>144.375780821918</v>
      </c>
      <c r="AU1076" s="20" t="n">
        <f aca="false">(Operations!AU1072+Operations!AU1075)/2</f>
        <v>141.975780821918</v>
      </c>
    </row>
    <row r="1077" customFormat="false" ht="15" hidden="false" customHeight="false" outlineLevel="0" collapsed="false">
      <c r="D1077" s="0" t="s">
        <v>682</v>
      </c>
      <c r="E1077" s="0" t="s">
        <v>27</v>
      </c>
      <c r="J1077" s="14" t="n">
        <f aca="false">MIN(1,Operations!J1076/Inputs!$F$149)</f>
        <v>1</v>
      </c>
      <c r="K1077" s="14" t="n">
        <f aca="false">MIN(1,Operations!K1076/Inputs!$F$149)</f>
        <v>1</v>
      </c>
      <c r="L1077" s="14" t="n">
        <f aca="false">MIN(1,Operations!L1076/Inputs!$F$149)</f>
        <v>1</v>
      </c>
      <c r="M1077" s="14" t="n">
        <f aca="false">MIN(1,Operations!M1076/Inputs!$F$149)</f>
        <v>1</v>
      </c>
      <c r="N1077" s="14" t="n">
        <f aca="false">MIN(1,Operations!N1076/Inputs!$F$149)</f>
        <v>1</v>
      </c>
      <c r="O1077" s="14" t="n">
        <f aca="false">MIN(1,Operations!O1076/Inputs!$F$149)</f>
        <v>1</v>
      </c>
      <c r="P1077" s="14" t="n">
        <f aca="false">MIN(1,Operations!P1076/Inputs!$F$149)</f>
        <v>1</v>
      </c>
      <c r="Q1077" s="14" t="n">
        <f aca="false">MIN(1,Operations!Q1076/Inputs!$F$149)</f>
        <v>1</v>
      </c>
      <c r="R1077" s="14" t="n">
        <f aca="false">MIN(1,Operations!R1076/Inputs!$F$149)</f>
        <v>1</v>
      </c>
      <c r="S1077" s="14" t="n">
        <f aca="false">MIN(1,Operations!S1076/Inputs!$F$149)</f>
        <v>1</v>
      </c>
      <c r="T1077" s="14" t="n">
        <f aca="false">MIN(1,Operations!T1076/Inputs!$F$149)</f>
        <v>1</v>
      </c>
      <c r="U1077" s="14" t="n">
        <f aca="false">MIN(1,Operations!U1076/Inputs!$F$149)</f>
        <v>1</v>
      </c>
      <c r="V1077" s="14" t="n">
        <f aca="false">MIN(1,Operations!V1076/Inputs!$F$149)</f>
        <v>1</v>
      </c>
      <c r="W1077" s="14" t="n">
        <f aca="false">MIN(1,Operations!W1076/Inputs!$F$149)</f>
        <v>1</v>
      </c>
      <c r="X1077" s="14" t="n">
        <f aca="false">MIN(1,Operations!X1076/Inputs!$F$149)</f>
        <v>0.988156438356164</v>
      </c>
      <c r="Y1077" s="14" t="n">
        <f aca="false">MIN(1,Operations!Y1076/Inputs!$F$149)</f>
        <v>0.975540410958904</v>
      </c>
      <c r="Z1077" s="14" t="n">
        <f aca="false">MIN(1,Operations!Z1076/Inputs!$F$149)</f>
        <v>0.963091643835616</v>
      </c>
      <c r="AA1077" s="14" t="n">
        <f aca="false">MIN(1,Operations!AA1076/Inputs!$F$149)</f>
        <v>0.950791643835616</v>
      </c>
      <c r="AB1077" s="14" t="n">
        <f aca="false">MIN(1,Operations!AB1076/Inputs!$F$149)</f>
        <v>0.938474794520548</v>
      </c>
      <c r="AC1077" s="14" t="n">
        <f aca="false">MIN(1,Operations!AC1076/Inputs!$F$149)</f>
        <v>0.926159178082192</v>
      </c>
      <c r="AD1077" s="14" t="n">
        <f aca="false">MIN(1,Operations!AD1076/Inputs!$F$149)</f>
        <v>0.914010410958904</v>
      </c>
      <c r="AE1077" s="14" t="n">
        <f aca="false">MIN(1,Operations!AE1076/Inputs!$F$149)</f>
        <v>0.902010410958904</v>
      </c>
      <c r="AF1077" s="14" t="n">
        <f aca="false">MIN(1,Operations!AF1076/Inputs!$F$149)</f>
        <v>0.88999397260274</v>
      </c>
      <c r="AG1077" s="14" t="n">
        <f aca="false">MIN(1,Operations!AG1076/Inputs!$F$149)</f>
        <v>0.877977534246575</v>
      </c>
      <c r="AH1077" s="14" t="n">
        <f aca="false">MIN(1,Operations!AH1076/Inputs!$F$149)</f>
        <v>0.865977534246575</v>
      </c>
      <c r="AI1077" s="14" t="n">
        <f aca="false">MIN(1,Operations!AI1076/Inputs!$F$149)</f>
        <v>0.853977534246575</v>
      </c>
      <c r="AJ1077" s="14" t="n">
        <f aca="false">MIN(1,Operations!AJ1076/Inputs!$F$149)</f>
        <v>0.841961095890411</v>
      </c>
      <c r="AK1077" s="14" t="n">
        <f aca="false">MIN(1,Operations!AK1076/Inputs!$F$149)</f>
        <v>0.829944657534247</v>
      </c>
      <c r="AL1077" s="14" t="n">
        <f aca="false">MIN(1,Operations!AL1076/Inputs!$F$149)</f>
        <v>0.817944657534247</v>
      </c>
      <c r="AM1077" s="14" t="n">
        <f aca="false">MIN(1,Operations!AM1076/Inputs!$F$149)</f>
        <v>0.805944657534247</v>
      </c>
      <c r="AN1077" s="14" t="n">
        <f aca="false">MIN(1,Operations!AN1076/Inputs!$F$149)</f>
        <v>0.793928219178082</v>
      </c>
      <c r="AO1077" s="14" t="n">
        <f aca="false">MIN(1,Operations!AO1076/Inputs!$F$149)</f>
        <v>0.781911780821918</v>
      </c>
      <c r="AP1077" s="14" t="n">
        <f aca="false">MIN(1,Operations!AP1076/Inputs!$F$149)</f>
        <v>0.769911780821918</v>
      </c>
      <c r="AQ1077" s="14" t="n">
        <f aca="false">MIN(1,Operations!AQ1076/Inputs!$F$149)</f>
        <v>0.757911780821918</v>
      </c>
      <c r="AR1077" s="14" t="n">
        <f aca="false">MIN(1,Operations!AR1076/Inputs!$F$149)</f>
        <v>0.745895342465753</v>
      </c>
      <c r="AS1077" s="14" t="n">
        <f aca="false">MIN(1,Operations!AS1076/Inputs!$F$149)</f>
        <v>0.733878904109589</v>
      </c>
      <c r="AT1077" s="14" t="n">
        <f aca="false">MIN(1,Operations!AT1076/Inputs!$F$149)</f>
        <v>0.721878904109589</v>
      </c>
      <c r="AU1077" s="14" t="n">
        <f aca="false">MIN(1,Operations!AU1076/Inputs!$F$149)</f>
        <v>0.709878904109589</v>
      </c>
    </row>
    <row r="1078" customFormat="false" ht="15" hidden="false" customHeight="false" outlineLevel="0" collapsed="false">
      <c r="D1078" s="0" t="s">
        <v>683</v>
      </c>
      <c r="E1078" s="0" t="s">
        <v>176</v>
      </c>
      <c r="J1078" s="20" t="n">
        <f aca="false">IF(OR(Time!J$4=YEAR(Inputs!$F$144)+Inputs!$F$151,Time!J$4=YEAR(Inputs!$F$144)+Inputs!$F$152),Inputs!$F$153/100*Inputs!$F$149,0)</f>
        <v>0</v>
      </c>
      <c r="K1078" s="20" t="n">
        <f aca="false">IF(OR(Time!K$4=YEAR(Inputs!$F$144)+Inputs!$F$151,Time!K$4=YEAR(Inputs!$F$144)+Inputs!$F$152),Inputs!$F$153/100*Inputs!$F$149,0)</f>
        <v>0</v>
      </c>
      <c r="L1078" s="20" t="n">
        <f aca="false">IF(OR(Time!L$4=YEAR(Inputs!$F$144)+Inputs!$F$151,Time!L$4=YEAR(Inputs!$F$144)+Inputs!$F$152),Inputs!$F$153/100*Inputs!$F$149,0)</f>
        <v>0</v>
      </c>
      <c r="M1078" s="20" t="n">
        <f aca="false">IF(OR(Time!M$4=YEAR(Inputs!$F$144)+Inputs!$F$151,Time!M$4=YEAR(Inputs!$F$144)+Inputs!$F$152),Inputs!$F$153/100*Inputs!$F$149,0)</f>
        <v>0</v>
      </c>
      <c r="N1078" s="20" t="n">
        <f aca="false">IF(OR(Time!N$4=YEAR(Inputs!$F$144)+Inputs!$F$151,Time!N$4=YEAR(Inputs!$F$144)+Inputs!$F$152),Inputs!$F$153/100*Inputs!$F$149,0)</f>
        <v>0</v>
      </c>
      <c r="O1078" s="20" t="n">
        <f aca="false">IF(OR(Time!O$4=YEAR(Inputs!$F$144)+Inputs!$F$151,Time!O$4=YEAR(Inputs!$F$144)+Inputs!$F$152),Inputs!$F$153/100*Inputs!$F$149,0)</f>
        <v>0</v>
      </c>
      <c r="P1078" s="20" t="n">
        <f aca="false">IF(OR(Time!P$4=YEAR(Inputs!$F$144)+Inputs!$F$151,Time!P$4=YEAR(Inputs!$F$144)+Inputs!$F$152),Inputs!$F$153/100*Inputs!$F$149,0)</f>
        <v>12</v>
      </c>
      <c r="Q1078" s="20" t="n">
        <f aca="false">IF(OR(Time!Q$4=YEAR(Inputs!$F$144)+Inputs!$F$151,Time!Q$4=YEAR(Inputs!$F$144)+Inputs!$F$152),Inputs!$F$153/100*Inputs!$F$149,0)</f>
        <v>0</v>
      </c>
      <c r="R1078" s="20" t="n">
        <f aca="false">IF(OR(Time!R$4=YEAR(Inputs!$F$144)+Inputs!$F$151,Time!R$4=YEAR(Inputs!$F$144)+Inputs!$F$152),Inputs!$F$153/100*Inputs!$F$149,0)</f>
        <v>0</v>
      </c>
      <c r="S1078" s="20" t="n">
        <f aca="false">IF(OR(Time!S$4=YEAR(Inputs!$F$144)+Inputs!$F$151,Time!S$4=YEAR(Inputs!$F$144)+Inputs!$F$152),Inputs!$F$153/100*Inputs!$F$149,0)</f>
        <v>0</v>
      </c>
      <c r="T1078" s="20" t="n">
        <f aca="false">IF(OR(Time!T$4=YEAR(Inputs!$F$144)+Inputs!$F$151,Time!T$4=YEAR(Inputs!$F$144)+Inputs!$F$152),Inputs!$F$153/100*Inputs!$F$149,0)</f>
        <v>12</v>
      </c>
      <c r="U1078" s="20" t="n">
        <f aca="false">IF(OR(Time!U$4=YEAR(Inputs!$F$144)+Inputs!$F$151,Time!U$4=YEAR(Inputs!$F$144)+Inputs!$F$152),Inputs!$F$153/100*Inputs!$F$149,0)</f>
        <v>0</v>
      </c>
      <c r="V1078" s="20" t="n">
        <f aca="false">IF(OR(Time!V$4=YEAR(Inputs!$F$144)+Inputs!$F$151,Time!V$4=YEAR(Inputs!$F$144)+Inputs!$F$152),Inputs!$F$153/100*Inputs!$F$149,0)</f>
        <v>0</v>
      </c>
      <c r="W1078" s="20" t="n">
        <f aca="false">IF(OR(Time!W$4=YEAR(Inputs!$F$144)+Inputs!$F$151,Time!W$4=YEAR(Inputs!$F$144)+Inputs!$F$152),Inputs!$F$153/100*Inputs!$F$149,0)</f>
        <v>0</v>
      </c>
      <c r="X1078" s="20" t="n">
        <f aca="false">IF(OR(Time!X$4=YEAR(Inputs!$F$144)+Inputs!$F$151,Time!X$4=YEAR(Inputs!$F$144)+Inputs!$F$152),Inputs!$F$153/100*Inputs!$F$149,0)</f>
        <v>0</v>
      </c>
      <c r="Y1078" s="20" t="n">
        <f aca="false">IF(OR(Time!Y$4=YEAR(Inputs!$F$144)+Inputs!$F$151,Time!Y$4=YEAR(Inputs!$F$144)+Inputs!$F$152),Inputs!$F$153/100*Inputs!$F$149,0)</f>
        <v>0</v>
      </c>
      <c r="Z1078" s="20" t="n">
        <f aca="false">IF(OR(Time!Z$4=YEAR(Inputs!$F$144)+Inputs!$F$151,Time!Z$4=YEAR(Inputs!$F$144)+Inputs!$F$152),Inputs!$F$153/100*Inputs!$F$149,0)</f>
        <v>0</v>
      </c>
      <c r="AA1078" s="20" t="n">
        <f aca="false">IF(OR(Time!AA$4=YEAR(Inputs!$F$144)+Inputs!$F$151,Time!AA$4=YEAR(Inputs!$F$144)+Inputs!$F$152),Inputs!$F$153/100*Inputs!$F$149,0)</f>
        <v>0</v>
      </c>
      <c r="AB1078" s="20" t="n">
        <f aca="false">IF(OR(Time!AB$4=YEAR(Inputs!$F$144)+Inputs!$F$151,Time!AB$4=YEAR(Inputs!$F$144)+Inputs!$F$152),Inputs!$F$153/100*Inputs!$F$149,0)</f>
        <v>0</v>
      </c>
      <c r="AC1078" s="20" t="n">
        <f aca="false">IF(OR(Time!AC$4=YEAR(Inputs!$F$144)+Inputs!$F$151,Time!AC$4=YEAR(Inputs!$F$144)+Inputs!$F$152),Inputs!$F$153/100*Inputs!$F$149,0)</f>
        <v>0</v>
      </c>
      <c r="AD1078" s="20" t="n">
        <f aca="false">IF(OR(Time!AD$4=YEAR(Inputs!$F$144)+Inputs!$F$151,Time!AD$4=YEAR(Inputs!$F$144)+Inputs!$F$152),Inputs!$F$153/100*Inputs!$F$149,0)</f>
        <v>0</v>
      </c>
      <c r="AE1078" s="20" t="n">
        <f aca="false">IF(OR(Time!AE$4=YEAR(Inputs!$F$144)+Inputs!$F$151,Time!AE$4=YEAR(Inputs!$F$144)+Inputs!$F$152),Inputs!$F$153/100*Inputs!$F$149,0)</f>
        <v>0</v>
      </c>
      <c r="AF1078" s="20" t="n">
        <f aca="false">IF(OR(Time!AF$4=YEAR(Inputs!$F$144)+Inputs!$F$151,Time!AF$4=YEAR(Inputs!$F$144)+Inputs!$F$152),Inputs!$F$153/100*Inputs!$F$149,0)</f>
        <v>0</v>
      </c>
      <c r="AG1078" s="20" t="n">
        <f aca="false">IF(OR(Time!AG$4=YEAR(Inputs!$F$144)+Inputs!$F$151,Time!AG$4=YEAR(Inputs!$F$144)+Inputs!$F$152),Inputs!$F$153/100*Inputs!$F$149,0)</f>
        <v>0</v>
      </c>
      <c r="AH1078" s="20" t="n">
        <f aca="false">IF(OR(Time!AH$4=YEAR(Inputs!$F$144)+Inputs!$F$151,Time!AH$4=YEAR(Inputs!$F$144)+Inputs!$F$152),Inputs!$F$153/100*Inputs!$F$149,0)</f>
        <v>0</v>
      </c>
      <c r="AI1078" s="20" t="n">
        <f aca="false">IF(OR(Time!AI$4=YEAR(Inputs!$F$144)+Inputs!$F$151,Time!AI$4=YEAR(Inputs!$F$144)+Inputs!$F$152),Inputs!$F$153/100*Inputs!$F$149,0)</f>
        <v>0</v>
      </c>
      <c r="AJ1078" s="20" t="n">
        <f aca="false">IF(OR(Time!AJ$4=YEAR(Inputs!$F$144)+Inputs!$F$151,Time!AJ$4=YEAR(Inputs!$F$144)+Inputs!$F$152),Inputs!$F$153/100*Inputs!$F$149,0)</f>
        <v>0</v>
      </c>
      <c r="AK1078" s="20" t="n">
        <f aca="false">IF(OR(Time!AK$4=YEAR(Inputs!$F$144)+Inputs!$F$151,Time!AK$4=YEAR(Inputs!$F$144)+Inputs!$F$152),Inputs!$F$153/100*Inputs!$F$149,0)</f>
        <v>0</v>
      </c>
      <c r="AL1078" s="20" t="n">
        <f aca="false">IF(OR(Time!AL$4=YEAR(Inputs!$F$144)+Inputs!$F$151,Time!AL$4=YEAR(Inputs!$F$144)+Inputs!$F$152),Inputs!$F$153/100*Inputs!$F$149,0)</f>
        <v>0</v>
      </c>
      <c r="AM1078" s="20" t="n">
        <f aca="false">IF(OR(Time!AM$4=YEAR(Inputs!$F$144)+Inputs!$F$151,Time!AM$4=YEAR(Inputs!$F$144)+Inputs!$F$152),Inputs!$F$153/100*Inputs!$F$149,0)</f>
        <v>0</v>
      </c>
      <c r="AN1078" s="20" t="n">
        <f aca="false">IF(OR(Time!AN$4=YEAR(Inputs!$F$144)+Inputs!$F$151,Time!AN$4=YEAR(Inputs!$F$144)+Inputs!$F$152),Inputs!$F$153/100*Inputs!$F$149,0)</f>
        <v>0</v>
      </c>
      <c r="AO1078" s="20" t="n">
        <f aca="false">IF(OR(Time!AO$4=YEAR(Inputs!$F$144)+Inputs!$F$151,Time!AO$4=YEAR(Inputs!$F$144)+Inputs!$F$152),Inputs!$F$153/100*Inputs!$F$149,0)</f>
        <v>0</v>
      </c>
      <c r="AP1078" s="20" t="n">
        <f aca="false">IF(OR(Time!AP$4=YEAR(Inputs!$F$144)+Inputs!$F$151,Time!AP$4=YEAR(Inputs!$F$144)+Inputs!$F$152),Inputs!$F$153/100*Inputs!$F$149,0)</f>
        <v>0</v>
      </c>
      <c r="AQ1078" s="20" t="n">
        <f aca="false">IF(OR(Time!AQ$4=YEAR(Inputs!$F$144)+Inputs!$F$151,Time!AQ$4=YEAR(Inputs!$F$144)+Inputs!$F$152),Inputs!$F$153/100*Inputs!$F$149,0)</f>
        <v>0</v>
      </c>
      <c r="AR1078" s="20" t="n">
        <f aca="false">IF(OR(Time!AR$4=YEAR(Inputs!$F$144)+Inputs!$F$151,Time!AR$4=YEAR(Inputs!$F$144)+Inputs!$F$152),Inputs!$F$153/100*Inputs!$F$149,0)</f>
        <v>0</v>
      </c>
      <c r="AS1078" s="20" t="n">
        <f aca="false">IF(OR(Time!AS$4=YEAR(Inputs!$F$144)+Inputs!$F$151,Time!AS$4=YEAR(Inputs!$F$144)+Inputs!$F$152),Inputs!$F$153/100*Inputs!$F$149,0)</f>
        <v>0</v>
      </c>
      <c r="AT1078" s="20" t="n">
        <f aca="false">IF(OR(Time!AT$4=YEAR(Inputs!$F$144)+Inputs!$F$151,Time!AT$4=YEAR(Inputs!$F$144)+Inputs!$F$152),Inputs!$F$153/100*Inputs!$F$149,0)</f>
        <v>0</v>
      </c>
      <c r="AU1078" s="20" t="n">
        <f aca="false">IF(OR(Time!AU$4=YEAR(Inputs!$F$144)+Inputs!$F$151,Time!AU$4=YEAR(Inputs!$F$144)+Inputs!$F$152),Inputs!$F$153/100*Inputs!$F$149,0)</f>
        <v>0</v>
      </c>
    </row>
    <row r="1079" customFormat="false" ht="15" hidden="false" customHeight="false" outlineLevel="0" collapsed="false">
      <c r="D1079" s="0" t="s">
        <v>684</v>
      </c>
      <c r="E1079" s="0" t="s">
        <v>458</v>
      </c>
      <c r="J1079" s="14" t="n">
        <f aca="false">MAX(0,MIN(Inputs!$F$216,Time!J$6)-MAX(Inputs!$F$215,Time!J$5))/Time!J$7</f>
        <v>0</v>
      </c>
      <c r="K1079" s="14" t="n">
        <f aca="false">MAX(0,MIN(Inputs!$F$216,Time!K$6)-MAX(Inputs!$F$215,Time!K$5))/Time!K$7</f>
        <v>0.465753424657534</v>
      </c>
      <c r="L1079" s="14" t="n">
        <f aca="false">MAX(0,MIN(Inputs!$F$216,Time!L$6)-MAX(Inputs!$F$215,Time!L$5))/Time!L$7</f>
        <v>1</v>
      </c>
      <c r="M1079" s="14" t="n">
        <f aca="false">MAX(0,MIN(Inputs!$F$216,Time!M$6)-MAX(Inputs!$F$215,Time!M$5))/Time!M$7</f>
        <v>1</v>
      </c>
      <c r="N1079" s="14" t="n">
        <f aca="false">MAX(0,MIN(Inputs!$F$216,Time!N$6)-MAX(Inputs!$F$215,Time!N$5))/Time!N$7</f>
        <v>1</v>
      </c>
      <c r="O1079" s="14" t="n">
        <f aca="false">MAX(0,MIN(Inputs!$F$216,Time!O$6)-MAX(Inputs!$F$215,Time!O$5))/Time!O$7</f>
        <v>1</v>
      </c>
      <c r="P1079" s="14" t="n">
        <f aca="false">MAX(0,MIN(Inputs!$F$216,Time!P$6)-MAX(Inputs!$F$215,Time!P$5))/Time!P$7</f>
        <v>1</v>
      </c>
      <c r="Q1079" s="14" t="n">
        <f aca="false">MAX(0,MIN(Inputs!$F$216,Time!Q$6)-MAX(Inputs!$F$215,Time!Q$5))/Time!Q$7</f>
        <v>1</v>
      </c>
      <c r="R1079" s="14" t="n">
        <f aca="false">MAX(0,MIN(Inputs!$F$216,Time!R$6)-MAX(Inputs!$F$215,Time!R$5))/Time!R$7</f>
        <v>0.531506849315069</v>
      </c>
      <c r="S1079" s="14" t="n">
        <f aca="false">MAX(0,MIN(Inputs!$F$216,Time!S$6)-MAX(Inputs!$F$215,Time!S$5))/Time!S$7</f>
        <v>0</v>
      </c>
      <c r="T1079" s="14" t="n">
        <f aca="false">MAX(0,MIN(Inputs!$F$216,Time!T$6)-MAX(Inputs!$F$215,Time!T$5))/Time!T$7</f>
        <v>0</v>
      </c>
      <c r="U1079" s="14" t="n">
        <f aca="false">MAX(0,MIN(Inputs!$F$216,Time!U$6)-MAX(Inputs!$F$215,Time!U$5))/Time!U$7</f>
        <v>0</v>
      </c>
      <c r="V1079" s="14" t="n">
        <f aca="false">MAX(0,MIN(Inputs!$F$216,Time!V$6)-MAX(Inputs!$F$215,Time!V$5))/Time!V$7</f>
        <v>0</v>
      </c>
      <c r="W1079" s="14" t="n">
        <f aca="false">MAX(0,MIN(Inputs!$F$216,Time!W$6)-MAX(Inputs!$F$215,Time!W$5))/Time!W$7</f>
        <v>0</v>
      </c>
      <c r="X1079" s="14" t="n">
        <f aca="false">MAX(0,MIN(Inputs!$F$216,Time!X$6)-MAX(Inputs!$F$215,Time!X$5))/Time!X$7</f>
        <v>0</v>
      </c>
      <c r="Y1079" s="14" t="n">
        <f aca="false">MAX(0,MIN(Inputs!$F$216,Time!Y$6)-MAX(Inputs!$F$215,Time!Y$5))/Time!Y$7</f>
        <v>0</v>
      </c>
      <c r="Z1079" s="14" t="n">
        <f aca="false">MAX(0,MIN(Inputs!$F$216,Time!Z$6)-MAX(Inputs!$F$215,Time!Z$5))/Time!Z$7</f>
        <v>0</v>
      </c>
      <c r="AA1079" s="14" t="n">
        <f aca="false">MAX(0,MIN(Inputs!$F$216,Time!AA$6)-MAX(Inputs!$F$215,Time!AA$5))/Time!AA$7</f>
        <v>0</v>
      </c>
      <c r="AB1079" s="14" t="n">
        <f aca="false">MAX(0,MIN(Inputs!$F$216,Time!AB$6)-MAX(Inputs!$F$215,Time!AB$5))/Time!AB$7</f>
        <v>0</v>
      </c>
      <c r="AC1079" s="14" t="n">
        <f aca="false">MAX(0,MIN(Inputs!$F$216,Time!AC$6)-MAX(Inputs!$F$215,Time!AC$5))/Time!AC$7</f>
        <v>0</v>
      </c>
      <c r="AD1079" s="14" t="n">
        <f aca="false">MAX(0,MIN(Inputs!$F$216,Time!AD$6)-MAX(Inputs!$F$215,Time!AD$5))/Time!AD$7</f>
        <v>0</v>
      </c>
      <c r="AE1079" s="14" t="n">
        <f aca="false">MAX(0,MIN(Inputs!$F$216,Time!AE$6)-MAX(Inputs!$F$215,Time!AE$5))/Time!AE$7</f>
        <v>0</v>
      </c>
      <c r="AF1079" s="14" t="n">
        <f aca="false">MAX(0,MIN(Inputs!$F$216,Time!AF$6)-MAX(Inputs!$F$215,Time!AF$5))/Time!AF$7</f>
        <v>0</v>
      </c>
      <c r="AG1079" s="14" t="n">
        <f aca="false">MAX(0,MIN(Inputs!$F$216,Time!AG$6)-MAX(Inputs!$F$215,Time!AG$5))/Time!AG$7</f>
        <v>0</v>
      </c>
      <c r="AH1079" s="14" t="n">
        <f aca="false">MAX(0,MIN(Inputs!$F$216,Time!AH$6)-MAX(Inputs!$F$215,Time!AH$5))/Time!AH$7</f>
        <v>0</v>
      </c>
      <c r="AI1079" s="14" t="n">
        <f aca="false">MAX(0,MIN(Inputs!$F$216,Time!AI$6)-MAX(Inputs!$F$215,Time!AI$5))/Time!AI$7</f>
        <v>0</v>
      </c>
      <c r="AJ1079" s="14" t="n">
        <f aca="false">MAX(0,MIN(Inputs!$F$216,Time!AJ$6)-MAX(Inputs!$F$215,Time!AJ$5))/Time!AJ$7</f>
        <v>0</v>
      </c>
      <c r="AK1079" s="14" t="n">
        <f aca="false">MAX(0,MIN(Inputs!$F$216,Time!AK$6)-MAX(Inputs!$F$215,Time!AK$5))/Time!AK$7</f>
        <v>0</v>
      </c>
      <c r="AL1079" s="14" t="n">
        <f aca="false">MAX(0,MIN(Inputs!$F$216,Time!AL$6)-MAX(Inputs!$F$215,Time!AL$5))/Time!AL$7</f>
        <v>0</v>
      </c>
      <c r="AM1079" s="14" t="n">
        <f aca="false">MAX(0,MIN(Inputs!$F$216,Time!AM$6)-MAX(Inputs!$F$215,Time!AM$5))/Time!AM$7</f>
        <v>0</v>
      </c>
      <c r="AN1079" s="14" t="n">
        <f aca="false">MAX(0,MIN(Inputs!$F$216,Time!AN$6)-MAX(Inputs!$F$215,Time!AN$5))/Time!AN$7</f>
        <v>0</v>
      </c>
      <c r="AO1079" s="14" t="n">
        <f aca="false">MAX(0,MIN(Inputs!$F$216,Time!AO$6)-MAX(Inputs!$F$215,Time!AO$5))/Time!AO$7</f>
        <v>0</v>
      </c>
      <c r="AP1079" s="14" t="n">
        <f aca="false">MAX(0,MIN(Inputs!$F$216,Time!AP$6)-MAX(Inputs!$F$215,Time!AP$5))/Time!AP$7</f>
        <v>0</v>
      </c>
      <c r="AQ1079" s="14" t="n">
        <f aca="false">MAX(0,MIN(Inputs!$F$216,Time!AQ$6)-MAX(Inputs!$F$215,Time!AQ$5))/Time!AQ$7</f>
        <v>0</v>
      </c>
      <c r="AR1079" s="14" t="n">
        <f aca="false">MAX(0,MIN(Inputs!$F$216,Time!AR$6)-MAX(Inputs!$F$215,Time!AR$5))/Time!AR$7</f>
        <v>0</v>
      </c>
      <c r="AS1079" s="14" t="n">
        <f aca="false">MAX(0,MIN(Inputs!$F$216,Time!AS$6)-MAX(Inputs!$F$215,Time!AS$5))/Time!AS$7</f>
        <v>0</v>
      </c>
      <c r="AT1079" s="14" t="n">
        <f aca="false">MAX(0,MIN(Inputs!$F$216,Time!AT$6)-MAX(Inputs!$F$215,Time!AT$5))/Time!AT$7</f>
        <v>0</v>
      </c>
      <c r="AU1079" s="14" t="n">
        <f aca="false">MAX(0,MIN(Inputs!$F$216,Time!AU$6)-MAX(Inputs!$F$215,Time!AU$5))/Time!AU$7</f>
        <v>0</v>
      </c>
    </row>
    <row r="1080" customFormat="false" ht="15" hidden="false" customHeight="false" outlineLevel="0" collapsed="false">
      <c r="D1080" s="0" t="s">
        <v>685</v>
      </c>
      <c r="E1080" s="0" t="s">
        <v>47</v>
      </c>
      <c r="G1080" s="20" t="n">
        <f aca="false">SUM(J1080:AU1080)</f>
        <v>76.8299178082192</v>
      </c>
      <c r="J1080" s="20" t="n">
        <f aca="false">Inputs!$F$213*Inputs!$F$214*Inputs!$F$143/1000*Operations!J1079*(1-MAX(0,Inputs!$F$217-Inputs!$F$150)/100)</f>
        <v>0</v>
      </c>
      <c r="K1080" s="20" t="n">
        <f aca="false">Inputs!$F$213*Inputs!$F$214*Inputs!$F$143/1000*Operations!K1079*(1-MAX(0,Inputs!$F$217-Inputs!$F$150)/100)</f>
        <v>5.11397260273973</v>
      </c>
      <c r="L1080" s="20" t="n">
        <f aca="false">Inputs!$F$213*Inputs!$F$214*Inputs!$F$143/1000*Operations!L1079*(1-MAX(0,Inputs!$F$217-Inputs!$F$150)/100)</f>
        <v>10.98</v>
      </c>
      <c r="M1080" s="20" t="n">
        <f aca="false">Inputs!$F$213*Inputs!$F$214*Inputs!$F$143/1000*Operations!M1079*(1-MAX(0,Inputs!$F$217-Inputs!$F$150)/100)</f>
        <v>10.98</v>
      </c>
      <c r="N1080" s="20" t="n">
        <f aca="false">Inputs!$F$213*Inputs!$F$214*Inputs!$F$143/1000*Operations!N1079*(1-MAX(0,Inputs!$F$217-Inputs!$F$150)/100)</f>
        <v>10.98</v>
      </c>
      <c r="O1080" s="20" t="n">
        <f aca="false">Inputs!$F$213*Inputs!$F$214*Inputs!$F$143/1000*Operations!O1079*(1-MAX(0,Inputs!$F$217-Inputs!$F$150)/100)</f>
        <v>10.98</v>
      </c>
      <c r="P1080" s="20" t="n">
        <f aca="false">Inputs!$F$213*Inputs!$F$214*Inputs!$F$143/1000*Operations!P1079*(1-MAX(0,Inputs!$F$217-Inputs!$F$150)/100)</f>
        <v>10.98</v>
      </c>
      <c r="Q1080" s="20" t="n">
        <f aca="false">Inputs!$F$213*Inputs!$F$214*Inputs!$F$143/1000*Operations!Q1079*(1-MAX(0,Inputs!$F$217-Inputs!$F$150)/100)</f>
        <v>10.98</v>
      </c>
      <c r="R1080" s="20" t="n">
        <f aca="false">Inputs!$F$213*Inputs!$F$214*Inputs!$F$143/1000*Operations!R1079*(1-MAX(0,Inputs!$F$217-Inputs!$F$150)/100)</f>
        <v>5.83594520547945</v>
      </c>
      <c r="S1080" s="20" t="n">
        <f aca="false">Inputs!$F$213*Inputs!$F$214*Inputs!$F$143/1000*Operations!S1079*(1-MAX(0,Inputs!$F$217-Inputs!$F$150)/100)</f>
        <v>0</v>
      </c>
      <c r="T1080" s="20" t="n">
        <f aca="false">Inputs!$F$213*Inputs!$F$214*Inputs!$F$143/1000*Operations!T1079*(1-MAX(0,Inputs!$F$217-Inputs!$F$150)/100)</f>
        <v>0</v>
      </c>
      <c r="U1080" s="20" t="n">
        <f aca="false">Inputs!$F$213*Inputs!$F$214*Inputs!$F$143/1000*Operations!U1079*(1-MAX(0,Inputs!$F$217-Inputs!$F$150)/100)</f>
        <v>0</v>
      </c>
      <c r="V1080" s="20" t="n">
        <f aca="false">Inputs!$F$213*Inputs!$F$214*Inputs!$F$143/1000*Operations!V1079*(1-MAX(0,Inputs!$F$217-Inputs!$F$150)/100)</f>
        <v>0</v>
      </c>
      <c r="W1080" s="20" t="n">
        <f aca="false">Inputs!$F$213*Inputs!$F$214*Inputs!$F$143/1000*Operations!W1079*(1-MAX(0,Inputs!$F$217-Inputs!$F$150)/100)</f>
        <v>0</v>
      </c>
      <c r="X1080" s="20" t="n">
        <f aca="false">Inputs!$F$213*Inputs!$F$214*Inputs!$F$143/1000*Operations!X1079*(1-MAX(0,Inputs!$F$217-Inputs!$F$150)/100)</f>
        <v>0</v>
      </c>
      <c r="Y1080" s="20" t="n">
        <f aca="false">Inputs!$F$213*Inputs!$F$214*Inputs!$F$143/1000*Operations!Y1079*(1-MAX(0,Inputs!$F$217-Inputs!$F$150)/100)</f>
        <v>0</v>
      </c>
      <c r="Z1080" s="20" t="n">
        <f aca="false">Inputs!$F$213*Inputs!$F$214*Inputs!$F$143/1000*Operations!Z1079*(1-MAX(0,Inputs!$F$217-Inputs!$F$150)/100)</f>
        <v>0</v>
      </c>
      <c r="AA1080" s="20" t="n">
        <f aca="false">Inputs!$F$213*Inputs!$F$214*Inputs!$F$143/1000*Operations!AA1079*(1-MAX(0,Inputs!$F$217-Inputs!$F$150)/100)</f>
        <v>0</v>
      </c>
      <c r="AB1080" s="20" t="n">
        <f aca="false">Inputs!$F$213*Inputs!$F$214*Inputs!$F$143/1000*Operations!AB1079*(1-MAX(0,Inputs!$F$217-Inputs!$F$150)/100)</f>
        <v>0</v>
      </c>
      <c r="AC1080" s="20" t="n">
        <f aca="false">Inputs!$F$213*Inputs!$F$214*Inputs!$F$143/1000*Operations!AC1079*(1-MAX(0,Inputs!$F$217-Inputs!$F$150)/100)</f>
        <v>0</v>
      </c>
      <c r="AD1080" s="20" t="n">
        <f aca="false">Inputs!$F$213*Inputs!$F$214*Inputs!$F$143/1000*Operations!AD1079*(1-MAX(0,Inputs!$F$217-Inputs!$F$150)/100)</f>
        <v>0</v>
      </c>
      <c r="AE1080" s="20" t="n">
        <f aca="false">Inputs!$F$213*Inputs!$F$214*Inputs!$F$143/1000*Operations!AE1079*(1-MAX(0,Inputs!$F$217-Inputs!$F$150)/100)</f>
        <v>0</v>
      </c>
      <c r="AF1080" s="20" t="n">
        <f aca="false">Inputs!$F$213*Inputs!$F$214*Inputs!$F$143/1000*Operations!AF1079*(1-MAX(0,Inputs!$F$217-Inputs!$F$150)/100)</f>
        <v>0</v>
      </c>
      <c r="AG1080" s="20" t="n">
        <f aca="false">Inputs!$F$213*Inputs!$F$214*Inputs!$F$143/1000*Operations!AG1079*(1-MAX(0,Inputs!$F$217-Inputs!$F$150)/100)</f>
        <v>0</v>
      </c>
      <c r="AH1080" s="20" t="n">
        <f aca="false">Inputs!$F$213*Inputs!$F$214*Inputs!$F$143/1000*Operations!AH1079*(1-MAX(0,Inputs!$F$217-Inputs!$F$150)/100)</f>
        <v>0</v>
      </c>
      <c r="AI1080" s="20" t="n">
        <f aca="false">Inputs!$F$213*Inputs!$F$214*Inputs!$F$143/1000*Operations!AI1079*(1-MAX(0,Inputs!$F$217-Inputs!$F$150)/100)</f>
        <v>0</v>
      </c>
      <c r="AJ1080" s="20" t="n">
        <f aca="false">Inputs!$F$213*Inputs!$F$214*Inputs!$F$143/1000*Operations!AJ1079*(1-MAX(0,Inputs!$F$217-Inputs!$F$150)/100)</f>
        <v>0</v>
      </c>
      <c r="AK1080" s="20" t="n">
        <f aca="false">Inputs!$F$213*Inputs!$F$214*Inputs!$F$143/1000*Operations!AK1079*(1-MAX(0,Inputs!$F$217-Inputs!$F$150)/100)</f>
        <v>0</v>
      </c>
      <c r="AL1080" s="20" t="n">
        <f aca="false">Inputs!$F$213*Inputs!$F$214*Inputs!$F$143/1000*Operations!AL1079*(1-MAX(0,Inputs!$F$217-Inputs!$F$150)/100)</f>
        <v>0</v>
      </c>
      <c r="AM1080" s="20" t="n">
        <f aca="false">Inputs!$F$213*Inputs!$F$214*Inputs!$F$143/1000*Operations!AM1079*(1-MAX(0,Inputs!$F$217-Inputs!$F$150)/100)</f>
        <v>0</v>
      </c>
      <c r="AN1080" s="20" t="n">
        <f aca="false">Inputs!$F$213*Inputs!$F$214*Inputs!$F$143/1000*Operations!AN1079*(1-MAX(0,Inputs!$F$217-Inputs!$F$150)/100)</f>
        <v>0</v>
      </c>
      <c r="AO1080" s="20" t="n">
        <f aca="false">Inputs!$F$213*Inputs!$F$214*Inputs!$F$143/1000*Operations!AO1079*(1-MAX(0,Inputs!$F$217-Inputs!$F$150)/100)</f>
        <v>0</v>
      </c>
      <c r="AP1080" s="20" t="n">
        <f aca="false">Inputs!$F$213*Inputs!$F$214*Inputs!$F$143/1000*Operations!AP1079*(1-MAX(0,Inputs!$F$217-Inputs!$F$150)/100)</f>
        <v>0</v>
      </c>
      <c r="AQ1080" s="20" t="n">
        <f aca="false">Inputs!$F$213*Inputs!$F$214*Inputs!$F$143/1000*Operations!AQ1079*(1-MAX(0,Inputs!$F$217-Inputs!$F$150)/100)</f>
        <v>0</v>
      </c>
      <c r="AR1080" s="20" t="n">
        <f aca="false">Inputs!$F$213*Inputs!$F$214*Inputs!$F$143/1000*Operations!AR1079*(1-MAX(0,Inputs!$F$217-Inputs!$F$150)/100)</f>
        <v>0</v>
      </c>
      <c r="AS1080" s="20" t="n">
        <f aca="false">Inputs!$F$213*Inputs!$F$214*Inputs!$F$143/1000*Operations!AS1079*(1-MAX(0,Inputs!$F$217-Inputs!$F$150)/100)</f>
        <v>0</v>
      </c>
      <c r="AT1080" s="20" t="n">
        <f aca="false">Inputs!$F$213*Inputs!$F$214*Inputs!$F$143/1000*Operations!AT1079*(1-MAX(0,Inputs!$F$217-Inputs!$F$150)/100)</f>
        <v>0</v>
      </c>
      <c r="AU1080" s="20" t="n">
        <f aca="false">Inputs!$F$213*Inputs!$F$214*Inputs!$F$143/1000*Operations!AU1079*(1-MAX(0,Inputs!$F$217-Inputs!$F$150)/100)</f>
        <v>0</v>
      </c>
    </row>
    <row r="1081" customFormat="false" ht="15" hidden="false" customHeight="false" outlineLevel="0" collapsed="false">
      <c r="D1081" s="0" t="s">
        <v>686</v>
      </c>
      <c r="E1081" s="0" t="s">
        <v>47</v>
      </c>
      <c r="G1081" s="20" t="n">
        <f aca="false">SUM(J1081:AU1081)</f>
        <v>83.5302951191792</v>
      </c>
      <c r="J1081" s="20" t="n">
        <f aca="false">Operations!J846*Inputs!$F$143/1000*Inputs!$F$150/100*Operations!J1077*(Operations!J1066-Operations!J1079)</f>
        <v>0</v>
      </c>
      <c r="K1081" s="20" t="n">
        <f aca="false">Operations!K846*Inputs!$F$143/1000*Inputs!$F$150/100*Operations!K1077*(Operations!K1066-Operations!K1079)</f>
        <v>0</v>
      </c>
      <c r="L1081" s="20" t="n">
        <f aca="false">Operations!L846*Inputs!$F$143/1000*Inputs!$F$150/100*Operations!L1077*(Operations!L1066-Operations!L1079)</f>
        <v>0</v>
      </c>
      <c r="M1081" s="20" t="n">
        <f aca="false">Operations!M846*Inputs!$F$143/1000*Inputs!$F$150/100*Operations!M1077*(Operations!M1066-Operations!M1079)</f>
        <v>0</v>
      </c>
      <c r="N1081" s="20" t="n">
        <f aca="false">Operations!N846*Inputs!$F$143/1000*Inputs!$F$150/100*Operations!N1077*(Operations!N1066-Operations!N1079)</f>
        <v>0</v>
      </c>
      <c r="O1081" s="20" t="n">
        <f aca="false">Operations!O846*Inputs!$F$143/1000*Inputs!$F$150/100*Operations!O1077*(Operations!O1066-Operations!O1079)</f>
        <v>0</v>
      </c>
      <c r="P1081" s="20" t="n">
        <f aca="false">Operations!P846*Inputs!$F$143/1000*Inputs!$F$150/100*Operations!P1077*(Operations!P1066-Operations!P1079)</f>
        <v>0</v>
      </c>
      <c r="Q1081" s="20" t="n">
        <f aca="false">Operations!Q846*Inputs!$F$143/1000*Inputs!$F$150/100*Operations!Q1077*(Operations!Q1066-Operations!Q1079)</f>
        <v>0</v>
      </c>
      <c r="R1081" s="20" t="n">
        <f aca="false">Operations!R846*Inputs!$F$143/1000*Inputs!$F$150/100*Operations!R1077*(Operations!R1066-Operations!R1079)</f>
        <v>2.80691815068493</v>
      </c>
      <c r="S1081" s="20" t="n">
        <f aca="false">Operations!S846*Inputs!$F$143/1000*Inputs!$F$150/100*Operations!S1077*(Operations!S1066-Operations!S1079)</f>
        <v>6.081075</v>
      </c>
      <c r="T1081" s="20" t="n">
        <f aca="false">Operations!T846*Inputs!$F$143/1000*Inputs!$F$150/100*Operations!T1077*(Operations!T1066-Operations!T1079)</f>
        <v>6.172725</v>
      </c>
      <c r="U1081" s="20" t="n">
        <f aca="false">Operations!U846*Inputs!$F$143/1000*Inputs!$F$150/100*Operations!U1077*(Operations!U1066-Operations!U1079)</f>
        <v>6.26535</v>
      </c>
      <c r="V1081" s="20" t="n">
        <f aca="false">Operations!V846*Inputs!$F$143/1000*Inputs!$F$150/100*Operations!V1077*(Operations!V1066-Operations!V1079)</f>
        <v>6.35895</v>
      </c>
      <c r="W1081" s="20" t="n">
        <f aca="false">Operations!W846*Inputs!$F$143/1000*Inputs!$F$150/100*Operations!W1077*(Operations!W1066-Operations!W1079)</f>
        <v>6.4545</v>
      </c>
      <c r="X1081" s="20" t="n">
        <f aca="false">Operations!X846*Inputs!$F$143/1000*Inputs!$F$150/100*Operations!X1077*(Operations!X1066-Operations!X1079)</f>
        <v>6.47343753158219</v>
      </c>
      <c r="Y1081" s="20" t="n">
        <f aca="false">Operations!Y846*Inputs!$F$143/1000*Inputs!$F$150/100*Operations!Y1077*(Operations!Y1066-Operations!Y1079)</f>
        <v>6.48685596267123</v>
      </c>
      <c r="Z1081" s="20" t="n">
        <f aca="false">Operations!Z846*Inputs!$F$143/1000*Inputs!$F$150/100*Operations!Z1077*(Operations!Z1066-Operations!Z1079)</f>
        <v>6.49985734966438</v>
      </c>
      <c r="AA1081" s="20" t="n">
        <f aca="false">Operations!AA846*Inputs!$F$143/1000*Inputs!$F$150/100*Operations!AA1077*(Operations!AA1066-Operations!AA1079)</f>
        <v>6.51325553734932</v>
      </c>
      <c r="AB1081" s="20" t="n">
        <f aca="false">Operations!AB846*Inputs!$F$143/1000*Inputs!$F$150/100*Operations!AB1077*(Operations!AB1066-Operations!AB1079)</f>
        <v>6.52495716573288</v>
      </c>
      <c r="AC1081" s="20" t="n">
        <f aca="false">Operations!AC846*Inputs!$F$143/1000*Inputs!$F$150/100*Operations!AC1077*(Operations!AC1066-Operations!AC1079)</f>
        <v>6.53595162768493</v>
      </c>
      <c r="AD1081" s="20" t="n">
        <f aca="false">Operations!AD846*Inputs!$F$143/1000*Inputs!$F$150/100*Operations!AD1077*(Operations!AD1066-Operations!AD1079)</f>
        <v>6.54735362708219</v>
      </c>
      <c r="AE1081" s="20" t="n">
        <f aca="false">Operations!AE846*Inputs!$F$143/1000*Inputs!$F$150/100*Operations!AE1077*(Operations!AE1066-Operations!AE1079)</f>
        <v>3.80910816672712</v>
      </c>
      <c r="AF1081" s="20" t="n">
        <f aca="false">Operations!AF846*Inputs!$F$143/1000*Inputs!$F$150/100*Operations!AF1077*(Operations!AF1066-Operations!AF1079)</f>
        <v>0</v>
      </c>
      <c r="AG1081" s="20" t="n">
        <f aca="false">Operations!AG846*Inputs!$F$143/1000*Inputs!$F$150/100*Operations!AG1077*(Operations!AG1066-Operations!AG1079)</f>
        <v>0</v>
      </c>
      <c r="AH1081" s="20" t="n">
        <f aca="false">Operations!AH846*Inputs!$F$143/1000*Inputs!$F$150/100*Operations!AH1077*(Operations!AH1066-Operations!AH1079)</f>
        <v>0</v>
      </c>
      <c r="AI1081" s="20" t="n">
        <f aca="false">Operations!AI846*Inputs!$F$143/1000*Inputs!$F$150/100*Operations!AI1077*(Operations!AI1066-Operations!AI1079)</f>
        <v>0</v>
      </c>
      <c r="AJ1081" s="20" t="n">
        <f aca="false">Operations!AJ846*Inputs!$F$143/1000*Inputs!$F$150/100*Operations!AJ1077*(Operations!AJ1066-Operations!AJ1079)</f>
        <v>0</v>
      </c>
      <c r="AK1081" s="20" t="n">
        <f aca="false">Operations!AK846*Inputs!$F$143/1000*Inputs!$F$150/100*Operations!AK1077*(Operations!AK1066-Operations!AK1079)</f>
        <v>0</v>
      </c>
      <c r="AL1081" s="20" t="n">
        <f aca="false">Operations!AL846*Inputs!$F$143/1000*Inputs!$F$150/100*Operations!AL1077*(Operations!AL1066-Operations!AL1079)</f>
        <v>0</v>
      </c>
      <c r="AM1081" s="20" t="n">
        <f aca="false">Operations!AM846*Inputs!$F$143/1000*Inputs!$F$150/100*Operations!AM1077*(Operations!AM1066-Operations!AM1079)</f>
        <v>0</v>
      </c>
      <c r="AN1081" s="20" t="n">
        <f aca="false">Operations!AN846*Inputs!$F$143/1000*Inputs!$F$150/100*Operations!AN1077*(Operations!AN1066-Operations!AN1079)</f>
        <v>0</v>
      </c>
      <c r="AO1081" s="20" t="n">
        <f aca="false">Operations!AO846*Inputs!$F$143/1000*Inputs!$F$150/100*Operations!AO1077*(Operations!AO1066-Operations!AO1079)</f>
        <v>0</v>
      </c>
      <c r="AP1081" s="20" t="n">
        <f aca="false">Operations!AP846*Inputs!$F$143/1000*Inputs!$F$150/100*Operations!AP1077*(Operations!AP1066-Operations!AP1079)</f>
        <v>0</v>
      </c>
      <c r="AQ1081" s="20" t="n">
        <f aca="false">Operations!AQ846*Inputs!$F$143/1000*Inputs!$F$150/100*Operations!AQ1077*(Operations!AQ1066-Operations!AQ1079)</f>
        <v>0</v>
      </c>
      <c r="AR1081" s="20" t="n">
        <f aca="false">Operations!AR846*Inputs!$F$143/1000*Inputs!$F$150/100*Operations!AR1077*(Operations!AR1066-Operations!AR1079)</f>
        <v>0</v>
      </c>
      <c r="AS1081" s="20" t="n">
        <f aca="false">Operations!AS846*Inputs!$F$143/1000*Inputs!$F$150/100*Operations!AS1077*(Operations!AS1066-Operations!AS1079)</f>
        <v>0</v>
      </c>
      <c r="AT1081" s="20" t="n">
        <f aca="false">Operations!AT846*Inputs!$F$143/1000*Inputs!$F$150/100*Operations!AT1077*(Operations!AT1066-Operations!AT1079)</f>
        <v>0</v>
      </c>
      <c r="AU1081" s="20" t="n">
        <f aca="false">Operations!AU846*Inputs!$F$143/1000*Inputs!$F$150/100*Operations!AU1077*(Operations!AU1066-Operations!AU1079)</f>
        <v>0</v>
      </c>
    </row>
    <row r="1082" customFormat="false" ht="15" hidden="false" customHeight="false" outlineLevel="0" collapsed="false">
      <c r="D1082" s="0" t="s">
        <v>687</v>
      </c>
      <c r="E1082" s="0" t="s">
        <v>176</v>
      </c>
      <c r="J1082" s="20" t="str">
        <f aca="false">IF(Operations!J1079&gt;0,MIN(Operations!J1072,Operations!J1075),"")</f>
        <v/>
      </c>
      <c r="K1082" s="20" t="n">
        <f aca="false">IF(Operations!K1079&gt;0,MIN(Operations!K1072,Operations!K1075),"")</f>
        <v>213.987945205479</v>
      </c>
      <c r="L1082" s="20" t="n">
        <f aca="false">IF(Operations!L1079&gt;0,MIN(Operations!L1072,Operations!L1075),"")</f>
        <v>210.162082191781</v>
      </c>
      <c r="M1082" s="20" t="n">
        <f aca="false">IF(Operations!M1079&gt;0,MIN(Operations!M1072,Operations!M1075),"")</f>
        <v>206.922082191781</v>
      </c>
      <c r="N1082" s="20" t="n">
        <f aca="false">IF(Operations!N1079&gt;0,MIN(Operations!N1072,Operations!N1075),"")</f>
        <v>203.682082191781</v>
      </c>
      <c r="O1082" s="20" t="n">
        <f aca="false">IF(Operations!O1079&gt;0,MIN(Operations!O1072,Operations!O1075),"")</f>
        <v>203.682082191781</v>
      </c>
      <c r="P1082" s="20" t="n">
        <f aca="false">IF(Operations!P1079&gt;0,MIN(Operations!P1072,Operations!P1075),"")</f>
        <v>208.952712328767</v>
      </c>
      <c r="Q1082" s="20" t="n">
        <f aca="false">IF(Operations!Q1079&gt;0,MIN(Operations!Q1072,Operations!Q1075),"")</f>
        <v>205.532712328767</v>
      </c>
      <c r="R1082" s="20" t="n">
        <f aca="false">IF(Operations!R1079&gt;0,MIN(Operations!R1072,Operations!R1075),"")</f>
        <v>202.112712328767</v>
      </c>
      <c r="S1082" s="20" t="str">
        <f aca="false">IF(Operations!S1079&gt;0,MIN(Operations!S1072,Operations!S1075),"")</f>
        <v/>
      </c>
      <c r="T1082" s="20" t="str">
        <f aca="false">IF(Operations!T1079&gt;0,MIN(Operations!T1072,Operations!T1075),"")</f>
        <v/>
      </c>
      <c r="U1082" s="20" t="str">
        <f aca="false">IF(Operations!U1079&gt;0,MIN(Operations!U1072,Operations!U1075),"")</f>
        <v/>
      </c>
      <c r="V1082" s="20" t="str">
        <f aca="false">IF(Operations!V1079&gt;0,MIN(Operations!V1072,Operations!V1075),"")</f>
        <v/>
      </c>
      <c r="W1082" s="20" t="str">
        <f aca="false">IF(Operations!W1079&gt;0,MIN(Operations!W1072,Operations!W1075),"")</f>
        <v/>
      </c>
      <c r="X1082" s="20" t="str">
        <f aca="false">IF(Operations!X1079&gt;0,MIN(Operations!X1072,Operations!X1075),"")</f>
        <v/>
      </c>
      <c r="Y1082" s="20" t="str">
        <f aca="false">IF(Operations!Y1079&gt;0,MIN(Operations!Y1072,Operations!Y1075),"")</f>
        <v/>
      </c>
      <c r="Z1082" s="20" t="str">
        <f aca="false">IF(Operations!Z1079&gt;0,MIN(Operations!Z1072,Operations!Z1075),"")</f>
        <v/>
      </c>
      <c r="AA1082" s="20" t="str">
        <f aca="false">IF(Operations!AA1079&gt;0,MIN(Operations!AA1072,Operations!AA1075),"")</f>
        <v/>
      </c>
      <c r="AB1082" s="20" t="str">
        <f aca="false">IF(Operations!AB1079&gt;0,MIN(Operations!AB1072,Operations!AB1075),"")</f>
        <v/>
      </c>
      <c r="AC1082" s="20" t="str">
        <f aca="false">IF(Operations!AC1079&gt;0,MIN(Operations!AC1072,Operations!AC1075),"")</f>
        <v/>
      </c>
      <c r="AD1082" s="20" t="str">
        <f aca="false">IF(Operations!AD1079&gt;0,MIN(Operations!AD1072,Operations!AD1075),"")</f>
        <v/>
      </c>
      <c r="AE1082" s="20" t="str">
        <f aca="false">IF(Operations!AE1079&gt;0,MIN(Operations!AE1072,Operations!AE1075),"")</f>
        <v/>
      </c>
      <c r="AF1082" s="20" t="str">
        <f aca="false">IF(Operations!AF1079&gt;0,MIN(Operations!AF1072,Operations!AF1075),"")</f>
        <v/>
      </c>
      <c r="AG1082" s="20" t="str">
        <f aca="false">IF(Operations!AG1079&gt;0,MIN(Operations!AG1072,Operations!AG1075),"")</f>
        <v/>
      </c>
      <c r="AH1082" s="20" t="str">
        <f aca="false">IF(Operations!AH1079&gt;0,MIN(Operations!AH1072,Operations!AH1075),"")</f>
        <v/>
      </c>
      <c r="AI1082" s="20" t="str">
        <f aca="false">IF(Operations!AI1079&gt;0,MIN(Operations!AI1072,Operations!AI1075),"")</f>
        <v/>
      </c>
      <c r="AJ1082" s="20" t="str">
        <f aca="false">IF(Operations!AJ1079&gt;0,MIN(Operations!AJ1072,Operations!AJ1075),"")</f>
        <v/>
      </c>
      <c r="AK1082" s="20" t="str">
        <f aca="false">IF(Operations!AK1079&gt;0,MIN(Operations!AK1072,Operations!AK1075),"")</f>
        <v/>
      </c>
      <c r="AL1082" s="20" t="str">
        <f aca="false">IF(Operations!AL1079&gt;0,MIN(Operations!AL1072,Operations!AL1075),"")</f>
        <v/>
      </c>
      <c r="AM1082" s="20" t="str">
        <f aca="false">IF(Operations!AM1079&gt;0,MIN(Operations!AM1072,Operations!AM1075),"")</f>
        <v/>
      </c>
      <c r="AN1082" s="20" t="str">
        <f aca="false">IF(Operations!AN1079&gt;0,MIN(Operations!AN1072,Operations!AN1075),"")</f>
        <v/>
      </c>
      <c r="AO1082" s="20" t="str">
        <f aca="false">IF(Operations!AO1079&gt;0,MIN(Operations!AO1072,Operations!AO1075),"")</f>
        <v/>
      </c>
      <c r="AP1082" s="20" t="str">
        <f aca="false">IF(Operations!AP1079&gt;0,MIN(Operations!AP1072,Operations!AP1075),"")</f>
        <v/>
      </c>
      <c r="AQ1082" s="20" t="str">
        <f aca="false">IF(Operations!AQ1079&gt;0,MIN(Operations!AQ1072,Operations!AQ1075),"")</f>
        <v/>
      </c>
      <c r="AR1082" s="20" t="str">
        <f aca="false">IF(Operations!AR1079&gt;0,MIN(Operations!AR1072,Operations!AR1075),"")</f>
        <v/>
      </c>
      <c r="AS1082" s="20" t="str">
        <f aca="false">IF(Operations!AS1079&gt;0,MIN(Operations!AS1072,Operations!AS1075),"")</f>
        <v/>
      </c>
      <c r="AT1082" s="20" t="str">
        <f aca="false">IF(Operations!AT1079&gt;0,MIN(Operations!AT1072,Operations!AT1075),"")</f>
        <v/>
      </c>
      <c r="AU1082" s="20" t="str">
        <f aca="false">IF(Operations!AU1079&gt;0,MIN(Operations!AU1072,Operations!AU1075),"")</f>
        <v/>
      </c>
    </row>
    <row r="1083" customFormat="false" ht="15" hidden="false" customHeight="false" outlineLevel="0" collapsed="false">
      <c r="D1083" s="0" t="s">
        <v>688</v>
      </c>
      <c r="E1083" s="0" t="s">
        <v>47</v>
      </c>
      <c r="J1083" s="20" t="n">
        <f aca="false">Operations!J1080</f>
        <v>0</v>
      </c>
      <c r="K1083" s="20" t="n">
        <f aca="false">Operations!K1080</f>
        <v>5.11397260273973</v>
      </c>
      <c r="L1083" s="20" t="n">
        <f aca="false">Operations!L1080</f>
        <v>10.98</v>
      </c>
      <c r="M1083" s="20" t="n">
        <f aca="false">Operations!M1080</f>
        <v>10.98</v>
      </c>
      <c r="N1083" s="20" t="n">
        <f aca="false">Operations!N1080</f>
        <v>10.98</v>
      </c>
      <c r="O1083" s="20" t="n">
        <f aca="false">Operations!O1080</f>
        <v>10.98</v>
      </c>
      <c r="P1083" s="20" t="n">
        <f aca="false">Operations!P1080</f>
        <v>10.98</v>
      </c>
      <c r="Q1083" s="20" t="n">
        <f aca="false">Operations!Q1080</f>
        <v>10.98</v>
      </c>
      <c r="R1083" s="20" t="n">
        <f aca="false">Operations!R1080</f>
        <v>5.83594520547945</v>
      </c>
      <c r="S1083" s="20" t="n">
        <f aca="false">Operations!S1080</f>
        <v>0</v>
      </c>
      <c r="T1083" s="20" t="n">
        <f aca="false">Operations!T1080</f>
        <v>0</v>
      </c>
      <c r="U1083" s="20" t="n">
        <f aca="false">Operations!U1080</f>
        <v>0</v>
      </c>
      <c r="V1083" s="20" t="n">
        <f aca="false">Operations!V1080</f>
        <v>0</v>
      </c>
      <c r="W1083" s="20" t="n">
        <f aca="false">Operations!W1080</f>
        <v>0</v>
      </c>
      <c r="X1083" s="20" t="n">
        <f aca="false">Operations!X1080</f>
        <v>0</v>
      </c>
      <c r="Y1083" s="20" t="n">
        <f aca="false">Operations!Y1080</f>
        <v>0</v>
      </c>
      <c r="Z1083" s="20" t="n">
        <f aca="false">Operations!Z1080</f>
        <v>0</v>
      </c>
      <c r="AA1083" s="20" t="n">
        <f aca="false">Operations!AA1080</f>
        <v>0</v>
      </c>
      <c r="AB1083" s="20" t="n">
        <f aca="false">Operations!AB1080</f>
        <v>0</v>
      </c>
      <c r="AC1083" s="20" t="n">
        <f aca="false">Operations!AC1080</f>
        <v>0</v>
      </c>
      <c r="AD1083" s="20" t="n">
        <f aca="false">Operations!AD1080</f>
        <v>0</v>
      </c>
      <c r="AE1083" s="20" t="n">
        <f aca="false">Operations!AE1080</f>
        <v>0</v>
      </c>
      <c r="AF1083" s="20" t="n">
        <f aca="false">Operations!AF1080</f>
        <v>0</v>
      </c>
      <c r="AG1083" s="20" t="n">
        <f aca="false">Operations!AG1080</f>
        <v>0</v>
      </c>
      <c r="AH1083" s="20" t="n">
        <f aca="false">Operations!AH1080</f>
        <v>0</v>
      </c>
      <c r="AI1083" s="20" t="n">
        <f aca="false">Operations!AI1080</f>
        <v>0</v>
      </c>
      <c r="AJ1083" s="20" t="n">
        <f aca="false">Operations!AJ1080</f>
        <v>0</v>
      </c>
      <c r="AK1083" s="20" t="n">
        <f aca="false">Operations!AK1080</f>
        <v>0</v>
      </c>
      <c r="AL1083" s="20" t="n">
        <f aca="false">Operations!AL1080</f>
        <v>0</v>
      </c>
      <c r="AM1083" s="20" t="n">
        <f aca="false">Operations!AM1080</f>
        <v>0</v>
      </c>
      <c r="AN1083" s="20" t="n">
        <f aca="false">Operations!AN1080</f>
        <v>0</v>
      </c>
      <c r="AO1083" s="20" t="n">
        <f aca="false">Operations!AO1080</f>
        <v>0</v>
      </c>
      <c r="AP1083" s="20" t="n">
        <f aca="false">Operations!AP1080</f>
        <v>0</v>
      </c>
      <c r="AQ1083" s="20" t="n">
        <f aca="false">Operations!AQ1080</f>
        <v>0</v>
      </c>
      <c r="AR1083" s="20" t="n">
        <f aca="false">Operations!AR1080</f>
        <v>0</v>
      </c>
      <c r="AS1083" s="20" t="n">
        <f aca="false">Operations!AS1080</f>
        <v>0</v>
      </c>
      <c r="AT1083" s="20" t="n">
        <f aca="false">Operations!AT1080</f>
        <v>0</v>
      </c>
      <c r="AU1083" s="20" t="n">
        <f aca="false">Operations!AU1080</f>
        <v>0</v>
      </c>
    </row>
    <row r="1084" customFormat="false" ht="15" hidden="false" customHeight="false" outlineLevel="0" collapsed="false">
      <c r="D1084" s="0" t="s">
        <v>689</v>
      </c>
      <c r="E1084" s="0" t="s">
        <v>47</v>
      </c>
      <c r="J1084" s="20" t="n">
        <f aca="false">0</f>
        <v>0</v>
      </c>
      <c r="K1084" s="20" t="n">
        <f aca="false">0</f>
        <v>0</v>
      </c>
      <c r="L1084" s="20" t="n">
        <f aca="false">0</f>
        <v>0</v>
      </c>
      <c r="M1084" s="20" t="n">
        <f aca="false">0</f>
        <v>0</v>
      </c>
      <c r="N1084" s="20" t="n">
        <f aca="false">0</f>
        <v>0</v>
      </c>
      <c r="O1084" s="20" t="n">
        <f aca="false">0</f>
        <v>0</v>
      </c>
      <c r="P1084" s="20" t="n">
        <f aca="false">0</f>
        <v>0</v>
      </c>
      <c r="Q1084" s="20" t="n">
        <f aca="false">0</f>
        <v>0</v>
      </c>
      <c r="R1084" s="20" t="n">
        <f aca="false">0</f>
        <v>0</v>
      </c>
      <c r="S1084" s="20" t="n">
        <f aca="false">0</f>
        <v>0</v>
      </c>
      <c r="T1084" s="20" t="n">
        <f aca="false">0</f>
        <v>0</v>
      </c>
      <c r="U1084" s="20" t="n">
        <f aca="false">0</f>
        <v>0</v>
      </c>
      <c r="V1084" s="20" t="n">
        <f aca="false">0</f>
        <v>0</v>
      </c>
      <c r="W1084" s="20" t="n">
        <f aca="false">0</f>
        <v>0</v>
      </c>
      <c r="X1084" s="20" t="n">
        <f aca="false">0</f>
        <v>0</v>
      </c>
      <c r="Y1084" s="20" t="n">
        <f aca="false">0</f>
        <v>0</v>
      </c>
      <c r="Z1084" s="20" t="n">
        <f aca="false">0</f>
        <v>0</v>
      </c>
      <c r="AA1084" s="20" t="n">
        <f aca="false">0</f>
        <v>0</v>
      </c>
      <c r="AB1084" s="20" t="n">
        <f aca="false">0</f>
        <v>0</v>
      </c>
      <c r="AC1084" s="20" t="n">
        <f aca="false">0</f>
        <v>0</v>
      </c>
      <c r="AD1084" s="20" t="n">
        <f aca="false">0</f>
        <v>0</v>
      </c>
      <c r="AE1084" s="20" t="n">
        <f aca="false">0</f>
        <v>0</v>
      </c>
      <c r="AF1084" s="20" t="n">
        <f aca="false">0</f>
        <v>0</v>
      </c>
      <c r="AG1084" s="20" t="n">
        <f aca="false">0</f>
        <v>0</v>
      </c>
      <c r="AH1084" s="20" t="n">
        <f aca="false">0</f>
        <v>0</v>
      </c>
      <c r="AI1084" s="20" t="n">
        <f aca="false">0</f>
        <v>0</v>
      </c>
      <c r="AJ1084" s="20" t="n">
        <f aca="false">0</f>
        <v>0</v>
      </c>
      <c r="AK1084" s="20" t="n">
        <f aca="false">0</f>
        <v>0</v>
      </c>
      <c r="AL1084" s="20" t="n">
        <f aca="false">0</f>
        <v>0</v>
      </c>
      <c r="AM1084" s="20" t="n">
        <f aca="false">0</f>
        <v>0</v>
      </c>
      <c r="AN1084" s="20" t="n">
        <f aca="false">0</f>
        <v>0</v>
      </c>
      <c r="AO1084" s="20" t="n">
        <f aca="false">0</f>
        <v>0</v>
      </c>
      <c r="AP1084" s="20" t="n">
        <f aca="false">0</f>
        <v>0</v>
      </c>
      <c r="AQ1084" s="20" t="n">
        <f aca="false">0</f>
        <v>0</v>
      </c>
      <c r="AR1084" s="20" t="n">
        <f aca="false">0</f>
        <v>0</v>
      </c>
      <c r="AS1084" s="20" t="n">
        <f aca="false">0</f>
        <v>0</v>
      </c>
      <c r="AT1084" s="20" t="n">
        <f aca="false">0</f>
        <v>0</v>
      </c>
      <c r="AU1084" s="20" t="n">
        <f aca="false">0</f>
        <v>0</v>
      </c>
    </row>
    <row r="1085" customFormat="false" ht="15" hidden="false" customHeight="false" outlineLevel="0" collapsed="false">
      <c r="D1085" s="0" t="s">
        <v>690</v>
      </c>
      <c r="E1085" s="0" t="s">
        <v>47</v>
      </c>
      <c r="G1085" s="20" t="n">
        <f aca="false">SUM(J1085:AU1085)</f>
        <v>160.360212927398</v>
      </c>
      <c r="J1085" s="20" t="n">
        <f aca="false">Operations!J1080+Operations!J1081</f>
        <v>0</v>
      </c>
      <c r="K1085" s="20" t="n">
        <f aca="false">Operations!K1080+Operations!K1081</f>
        <v>5.11397260273973</v>
      </c>
      <c r="L1085" s="20" t="n">
        <f aca="false">Operations!L1080+Operations!L1081</f>
        <v>10.98</v>
      </c>
      <c r="M1085" s="20" t="n">
        <f aca="false">Operations!M1080+Operations!M1081</f>
        <v>10.98</v>
      </c>
      <c r="N1085" s="20" t="n">
        <f aca="false">Operations!N1080+Operations!N1081</f>
        <v>10.98</v>
      </c>
      <c r="O1085" s="20" t="n">
        <f aca="false">Operations!O1080+Operations!O1081</f>
        <v>10.98</v>
      </c>
      <c r="P1085" s="20" t="n">
        <f aca="false">Operations!P1080+Operations!P1081</f>
        <v>10.98</v>
      </c>
      <c r="Q1085" s="20" t="n">
        <f aca="false">Operations!Q1080+Operations!Q1081</f>
        <v>10.98</v>
      </c>
      <c r="R1085" s="20" t="n">
        <f aca="false">Operations!R1080+Operations!R1081</f>
        <v>8.64286335616439</v>
      </c>
      <c r="S1085" s="20" t="n">
        <f aca="false">Operations!S1080+Operations!S1081</f>
        <v>6.081075</v>
      </c>
      <c r="T1085" s="20" t="n">
        <f aca="false">Operations!T1080+Operations!T1081</f>
        <v>6.172725</v>
      </c>
      <c r="U1085" s="20" t="n">
        <f aca="false">Operations!U1080+Operations!U1081</f>
        <v>6.26535</v>
      </c>
      <c r="V1085" s="20" t="n">
        <f aca="false">Operations!V1080+Operations!V1081</f>
        <v>6.35895</v>
      </c>
      <c r="W1085" s="20" t="n">
        <f aca="false">Operations!W1080+Operations!W1081</f>
        <v>6.4545</v>
      </c>
      <c r="X1085" s="20" t="n">
        <f aca="false">Operations!X1080+Operations!X1081</f>
        <v>6.47343753158219</v>
      </c>
      <c r="Y1085" s="20" t="n">
        <f aca="false">Operations!Y1080+Operations!Y1081</f>
        <v>6.48685596267123</v>
      </c>
      <c r="Z1085" s="20" t="n">
        <f aca="false">Operations!Z1080+Operations!Z1081</f>
        <v>6.49985734966438</v>
      </c>
      <c r="AA1085" s="20" t="n">
        <f aca="false">Operations!AA1080+Operations!AA1081</f>
        <v>6.51325553734932</v>
      </c>
      <c r="AB1085" s="20" t="n">
        <f aca="false">Operations!AB1080+Operations!AB1081</f>
        <v>6.52495716573288</v>
      </c>
      <c r="AC1085" s="20" t="n">
        <f aca="false">Operations!AC1080+Operations!AC1081</f>
        <v>6.53595162768493</v>
      </c>
      <c r="AD1085" s="20" t="n">
        <f aca="false">Operations!AD1080+Operations!AD1081</f>
        <v>6.54735362708219</v>
      </c>
      <c r="AE1085" s="20" t="n">
        <f aca="false">Operations!AE1080+Operations!AE1081</f>
        <v>3.80910816672712</v>
      </c>
      <c r="AF1085" s="20" t="n">
        <f aca="false">Operations!AF1080+Operations!AF1081</f>
        <v>0</v>
      </c>
      <c r="AG1085" s="20" t="n">
        <f aca="false">Operations!AG1080+Operations!AG1081</f>
        <v>0</v>
      </c>
      <c r="AH1085" s="20" t="n">
        <f aca="false">Operations!AH1080+Operations!AH1081</f>
        <v>0</v>
      </c>
      <c r="AI1085" s="20" t="n">
        <f aca="false">Operations!AI1080+Operations!AI1081</f>
        <v>0</v>
      </c>
      <c r="AJ1085" s="20" t="n">
        <f aca="false">Operations!AJ1080+Operations!AJ1081</f>
        <v>0</v>
      </c>
      <c r="AK1085" s="20" t="n">
        <f aca="false">Operations!AK1080+Operations!AK1081</f>
        <v>0</v>
      </c>
      <c r="AL1085" s="20" t="n">
        <f aca="false">Operations!AL1080+Operations!AL1081</f>
        <v>0</v>
      </c>
      <c r="AM1085" s="20" t="n">
        <f aca="false">Operations!AM1080+Operations!AM1081</f>
        <v>0</v>
      </c>
      <c r="AN1085" s="20" t="n">
        <f aca="false">Operations!AN1080+Operations!AN1081</f>
        <v>0</v>
      </c>
      <c r="AO1085" s="20" t="n">
        <f aca="false">Operations!AO1080+Operations!AO1081</f>
        <v>0</v>
      </c>
      <c r="AP1085" s="20" t="n">
        <f aca="false">Operations!AP1080+Operations!AP1081</f>
        <v>0</v>
      </c>
      <c r="AQ1085" s="20" t="n">
        <f aca="false">Operations!AQ1080+Operations!AQ1081</f>
        <v>0</v>
      </c>
      <c r="AR1085" s="20" t="n">
        <f aca="false">Operations!AR1080+Operations!AR1081</f>
        <v>0</v>
      </c>
      <c r="AS1085" s="20" t="n">
        <f aca="false">Operations!AS1080+Operations!AS1081</f>
        <v>0</v>
      </c>
      <c r="AT1085" s="20" t="n">
        <f aca="false">Operations!AT1080+Operations!AT1081</f>
        <v>0</v>
      </c>
      <c r="AU1085" s="20" t="n">
        <f aca="false">Operations!AU1080+Operations!AU1081</f>
        <v>0</v>
      </c>
    </row>
    <row r="1086" customFormat="false" ht="15" hidden="false" customHeight="false" outlineLevel="0" collapsed="false">
      <c r="D1086" s="0" t="s">
        <v>691</v>
      </c>
      <c r="E1086" s="0" t="s">
        <v>47</v>
      </c>
      <c r="J1086" s="20" t="n">
        <f aca="false">Operations!J1085-Operations!J1083-Operations!J1084</f>
        <v>0</v>
      </c>
      <c r="K1086" s="20" t="n">
        <f aca="false">Operations!K1085-Operations!K1083-Operations!K1084</f>
        <v>0</v>
      </c>
      <c r="L1086" s="20" t="n">
        <f aca="false">Operations!L1085-Operations!L1083-Operations!L1084</f>
        <v>0</v>
      </c>
      <c r="M1086" s="20" t="n">
        <f aca="false">Operations!M1085-Operations!M1083-Operations!M1084</f>
        <v>0</v>
      </c>
      <c r="N1086" s="20" t="n">
        <f aca="false">Operations!N1085-Operations!N1083-Operations!N1084</f>
        <v>0</v>
      </c>
      <c r="O1086" s="20" t="n">
        <f aca="false">Operations!O1085-Operations!O1083-Operations!O1084</f>
        <v>0</v>
      </c>
      <c r="P1086" s="20" t="n">
        <f aca="false">Operations!P1085-Operations!P1083-Operations!P1084</f>
        <v>0</v>
      </c>
      <c r="Q1086" s="20" t="n">
        <f aca="false">Operations!Q1085-Operations!Q1083-Operations!Q1084</f>
        <v>0</v>
      </c>
      <c r="R1086" s="20" t="n">
        <f aca="false">Operations!R1085-Operations!R1083-Operations!R1084</f>
        <v>2.80691815068493</v>
      </c>
      <c r="S1086" s="20" t="n">
        <f aca="false">Operations!S1085-Operations!S1083-Operations!S1084</f>
        <v>6.081075</v>
      </c>
      <c r="T1086" s="20" t="n">
        <f aca="false">Operations!T1085-Operations!T1083-Operations!T1084</f>
        <v>6.172725</v>
      </c>
      <c r="U1086" s="20" t="n">
        <f aca="false">Operations!U1085-Operations!U1083-Operations!U1084</f>
        <v>6.26535</v>
      </c>
      <c r="V1086" s="20" t="n">
        <f aca="false">Operations!V1085-Operations!V1083-Operations!V1084</f>
        <v>6.35895</v>
      </c>
      <c r="W1086" s="20" t="n">
        <f aca="false">Operations!W1085-Operations!W1083-Operations!W1084</f>
        <v>6.4545</v>
      </c>
      <c r="X1086" s="20" t="n">
        <f aca="false">Operations!X1085-Operations!X1083-Operations!X1084</f>
        <v>6.47343753158219</v>
      </c>
      <c r="Y1086" s="20" t="n">
        <f aca="false">Operations!Y1085-Operations!Y1083-Operations!Y1084</f>
        <v>6.48685596267123</v>
      </c>
      <c r="Z1086" s="20" t="n">
        <f aca="false">Operations!Z1085-Operations!Z1083-Operations!Z1084</f>
        <v>6.49985734966438</v>
      </c>
      <c r="AA1086" s="20" t="n">
        <f aca="false">Operations!AA1085-Operations!AA1083-Operations!AA1084</f>
        <v>6.51325553734932</v>
      </c>
      <c r="AB1086" s="20" t="n">
        <f aca="false">Operations!AB1085-Operations!AB1083-Operations!AB1084</f>
        <v>6.52495716573288</v>
      </c>
      <c r="AC1086" s="20" t="n">
        <f aca="false">Operations!AC1085-Operations!AC1083-Operations!AC1084</f>
        <v>6.53595162768493</v>
      </c>
      <c r="AD1086" s="20" t="n">
        <f aca="false">Operations!AD1085-Operations!AD1083-Operations!AD1084</f>
        <v>6.54735362708219</v>
      </c>
      <c r="AE1086" s="20" t="n">
        <f aca="false">Operations!AE1085-Operations!AE1083-Operations!AE1084</f>
        <v>3.80910816672712</v>
      </c>
      <c r="AF1086" s="20" t="n">
        <f aca="false">Operations!AF1085-Operations!AF1083-Operations!AF1084</f>
        <v>0</v>
      </c>
      <c r="AG1086" s="20" t="n">
        <f aca="false">Operations!AG1085-Operations!AG1083-Operations!AG1084</f>
        <v>0</v>
      </c>
      <c r="AH1086" s="20" t="n">
        <f aca="false">Operations!AH1085-Operations!AH1083-Operations!AH1084</f>
        <v>0</v>
      </c>
      <c r="AI1086" s="20" t="n">
        <f aca="false">Operations!AI1085-Operations!AI1083-Operations!AI1084</f>
        <v>0</v>
      </c>
      <c r="AJ1086" s="20" t="n">
        <f aca="false">Operations!AJ1085-Operations!AJ1083-Operations!AJ1084</f>
        <v>0</v>
      </c>
      <c r="AK1086" s="20" t="n">
        <f aca="false">Operations!AK1085-Operations!AK1083-Operations!AK1084</f>
        <v>0</v>
      </c>
      <c r="AL1086" s="20" t="n">
        <f aca="false">Operations!AL1085-Operations!AL1083-Operations!AL1084</f>
        <v>0</v>
      </c>
      <c r="AM1086" s="20" t="n">
        <f aca="false">Operations!AM1085-Operations!AM1083-Operations!AM1084</f>
        <v>0</v>
      </c>
      <c r="AN1086" s="20" t="n">
        <f aca="false">Operations!AN1085-Operations!AN1083-Operations!AN1084</f>
        <v>0</v>
      </c>
      <c r="AO1086" s="20" t="n">
        <f aca="false">Operations!AO1085-Operations!AO1083-Operations!AO1084</f>
        <v>0</v>
      </c>
      <c r="AP1086" s="20" t="n">
        <f aca="false">Operations!AP1085-Operations!AP1083-Operations!AP1084</f>
        <v>0</v>
      </c>
      <c r="AQ1086" s="20" t="n">
        <f aca="false">Operations!AQ1085-Operations!AQ1083-Operations!AQ1084</f>
        <v>0</v>
      </c>
      <c r="AR1086" s="20" t="n">
        <f aca="false">Operations!AR1085-Operations!AR1083-Operations!AR1084</f>
        <v>0</v>
      </c>
      <c r="AS1086" s="20" t="n">
        <f aca="false">Operations!AS1085-Operations!AS1083-Operations!AS1084</f>
        <v>0</v>
      </c>
      <c r="AT1086" s="20" t="n">
        <f aca="false">Operations!AT1085-Operations!AT1083-Operations!AT1084</f>
        <v>0</v>
      </c>
      <c r="AU1086" s="20" t="n">
        <f aca="false">Operations!AU1085-Operations!AU1083-Operations!AU1084</f>
        <v>0</v>
      </c>
    </row>
    <row r="1087" customFormat="false" ht="15" hidden="false" customHeight="false" outlineLevel="0" collapsed="false">
      <c r="D1087" s="0" t="s">
        <v>692</v>
      </c>
      <c r="E1087" s="0" t="s">
        <v>47</v>
      </c>
      <c r="J1087" s="20" t="n">
        <f aca="false">Inputs!$F$147*Inputs!$F$143/1000*Time!J$9*Time!J$10*Operations!J1066*Operations!$F$840</f>
        <v>0</v>
      </c>
      <c r="K1087" s="20" t="n">
        <f aca="false">Inputs!$F$147*Inputs!$F$143/1000*Time!K$9*Time!K$10*Operations!K1066*Operations!$F$840</f>
        <v>0.720001</v>
      </c>
      <c r="L1087" s="20" t="n">
        <f aca="false">Inputs!$F$147*Inputs!$F$143/1000*Time!L$9*Time!L$10*Operations!L1066*Operations!$F$840</f>
        <v>1.5845316125</v>
      </c>
      <c r="M1087" s="20" t="n">
        <f aca="false">Inputs!$F$147*Inputs!$F$143/1000*Time!M$9*Time!M$10*Operations!M1066*Operations!$F$840</f>
        <v>1.6241449028125</v>
      </c>
      <c r="N1087" s="20" t="n">
        <f aca="false">Inputs!$F$147*Inputs!$F$143/1000*Time!N$9*Time!N$10*Operations!N1066*Operations!$F$840</f>
        <v>1.66474852538281</v>
      </c>
      <c r="O1087" s="20" t="n">
        <f aca="false">Inputs!$F$147*Inputs!$F$143/1000*Time!O$9*Time!O$10*Operations!O1066*Operations!$F$840</f>
        <v>1.70636723851738</v>
      </c>
      <c r="P1087" s="20" t="n">
        <f aca="false">Inputs!$F$147*Inputs!$F$143/1000*Time!P$9*Time!P$10*Operations!P1066*Operations!$F$840</f>
        <v>1.74902641948032</v>
      </c>
      <c r="Q1087" s="20" t="n">
        <f aca="false">Inputs!$F$147*Inputs!$F$143/1000*Time!Q$9*Time!Q$10*Operations!Q1066*Operations!$F$840</f>
        <v>1.79275207996732</v>
      </c>
      <c r="R1087" s="20" t="n">
        <f aca="false">Inputs!$F$147*Inputs!$F$143/1000*Time!R$9*Time!R$10*Operations!R1066*Operations!$F$840</f>
        <v>1.83757088196651</v>
      </c>
      <c r="S1087" s="20" t="n">
        <f aca="false">Inputs!$F$147*Inputs!$F$143/1000*Time!S$9*Time!S$10*Operations!S1066*Operations!$F$840</f>
        <v>1.88351015401567</v>
      </c>
      <c r="T1087" s="20" t="n">
        <f aca="false">Inputs!$F$147*Inputs!$F$143/1000*Time!T$9*Time!T$10*Operations!T1066*Operations!$F$840</f>
        <v>1.93059790786606</v>
      </c>
      <c r="U1087" s="20" t="n">
        <f aca="false">Inputs!$F$147*Inputs!$F$143/1000*Time!U$9*Time!U$10*Operations!U1066*Operations!$F$840</f>
        <v>1.97886285556271</v>
      </c>
      <c r="V1087" s="20" t="n">
        <f aca="false">Inputs!$F$147*Inputs!$F$143/1000*Time!V$9*Time!V$10*Operations!V1066*Operations!$F$840</f>
        <v>2.02833442695178</v>
      </c>
      <c r="W1087" s="20" t="n">
        <f aca="false">Inputs!$F$147*Inputs!$F$143/1000*Time!W$9*Time!W$10*Operations!W1066*Operations!$F$840</f>
        <v>2.07904278762557</v>
      </c>
      <c r="X1087" s="20" t="n">
        <f aca="false">Inputs!$F$147*Inputs!$F$143/1000*Time!X$9*Time!X$10*Operations!X1066*Operations!$F$840</f>
        <v>2.13101885731621</v>
      </c>
      <c r="Y1087" s="20" t="n">
        <f aca="false">Inputs!$F$147*Inputs!$F$143/1000*Time!Y$9*Time!Y$10*Operations!Y1066*Operations!$F$840</f>
        <v>2.18429432874912</v>
      </c>
      <c r="Z1087" s="20" t="n">
        <f aca="false">Inputs!$F$147*Inputs!$F$143/1000*Time!Z$9*Time!Z$10*Operations!Z1066*Operations!$F$840</f>
        <v>2.23890168696785</v>
      </c>
      <c r="AA1087" s="20" t="n">
        <f aca="false">Inputs!$F$147*Inputs!$F$143/1000*Time!AA$9*Time!AA$10*Operations!AA1066*Operations!$F$840</f>
        <v>2.29487422914204</v>
      </c>
      <c r="AB1087" s="20" t="n">
        <f aca="false">Inputs!$F$147*Inputs!$F$143/1000*Time!AB$9*Time!AB$10*Operations!AB1066*Operations!$F$840</f>
        <v>2.35224608487059</v>
      </c>
      <c r="AC1087" s="20" t="n">
        <f aca="false">Inputs!$F$147*Inputs!$F$143/1000*Time!AC$9*Time!AC$10*Operations!AC1066*Operations!$F$840</f>
        <v>2.41105223699236</v>
      </c>
      <c r="AD1087" s="20" t="n">
        <f aca="false">Inputs!$F$147*Inputs!$F$143/1000*Time!AD$9*Time!AD$10*Operations!AD1066*Operations!$F$840</f>
        <v>2.47132854291717</v>
      </c>
      <c r="AE1087" s="20" t="n">
        <f aca="false">Inputs!$F$147*Inputs!$F$143/1000*Time!AE$9*Time!AE$10*Operations!AE1066*Operations!$F$840</f>
        <v>1.47128682842712</v>
      </c>
      <c r="AF1087" s="20" t="n">
        <f aca="false">Inputs!$F$147*Inputs!$F$143/1000*Time!AF$9*Time!AF$10*Operations!AF1066*Operations!$F$840</f>
        <v>0</v>
      </c>
      <c r="AG1087" s="20" t="n">
        <f aca="false">Inputs!$F$147*Inputs!$F$143/1000*Time!AG$9*Time!AG$10*Operations!AG1066*Operations!$F$840</f>
        <v>0</v>
      </c>
      <c r="AH1087" s="20" t="n">
        <f aca="false">Inputs!$F$147*Inputs!$F$143/1000*Time!AH$9*Time!AH$10*Operations!AH1066*Operations!$F$840</f>
        <v>0</v>
      </c>
      <c r="AI1087" s="20" t="n">
        <f aca="false">Inputs!$F$147*Inputs!$F$143/1000*Time!AI$9*Time!AI$10*Operations!AI1066*Operations!$F$840</f>
        <v>0</v>
      </c>
      <c r="AJ1087" s="20" t="n">
        <f aca="false">Inputs!$F$147*Inputs!$F$143/1000*Time!AJ$9*Time!AJ$10*Operations!AJ1066*Operations!$F$840</f>
        <v>0</v>
      </c>
      <c r="AK1087" s="20" t="n">
        <f aca="false">Inputs!$F$147*Inputs!$F$143/1000*Time!AK$9*Time!AK$10*Operations!AK1066*Operations!$F$840</f>
        <v>0</v>
      </c>
      <c r="AL1087" s="20" t="n">
        <f aca="false">Inputs!$F$147*Inputs!$F$143/1000*Time!AL$9*Time!AL$10*Operations!AL1066*Operations!$F$840</f>
        <v>0</v>
      </c>
      <c r="AM1087" s="20" t="n">
        <f aca="false">Inputs!$F$147*Inputs!$F$143/1000*Time!AM$9*Time!AM$10*Operations!AM1066*Operations!$F$840</f>
        <v>0</v>
      </c>
      <c r="AN1087" s="20" t="n">
        <f aca="false">Inputs!$F$147*Inputs!$F$143/1000*Time!AN$9*Time!AN$10*Operations!AN1066*Operations!$F$840</f>
        <v>0</v>
      </c>
      <c r="AO1087" s="20" t="n">
        <f aca="false">Inputs!$F$147*Inputs!$F$143/1000*Time!AO$9*Time!AO$10*Operations!AO1066*Operations!$F$840</f>
        <v>0</v>
      </c>
      <c r="AP1087" s="20" t="n">
        <f aca="false">Inputs!$F$147*Inputs!$F$143/1000*Time!AP$9*Time!AP$10*Operations!AP1066*Operations!$F$840</f>
        <v>0</v>
      </c>
      <c r="AQ1087" s="20" t="n">
        <f aca="false">Inputs!$F$147*Inputs!$F$143/1000*Time!AQ$9*Time!AQ$10*Operations!AQ1066*Operations!$F$840</f>
        <v>0</v>
      </c>
      <c r="AR1087" s="20" t="n">
        <f aca="false">Inputs!$F$147*Inputs!$F$143/1000*Time!AR$9*Time!AR$10*Operations!AR1066*Operations!$F$840</f>
        <v>0</v>
      </c>
      <c r="AS1087" s="20" t="n">
        <f aca="false">Inputs!$F$147*Inputs!$F$143/1000*Time!AS$9*Time!AS$10*Operations!AS1066*Operations!$F$840</f>
        <v>0</v>
      </c>
      <c r="AT1087" s="20" t="n">
        <f aca="false">Inputs!$F$147*Inputs!$F$143/1000*Time!AT$9*Time!AT$10*Operations!AT1066*Operations!$F$840</f>
        <v>0</v>
      </c>
      <c r="AU1087" s="20" t="n">
        <f aca="false">Inputs!$F$147*Inputs!$F$143/1000*Time!AU$9*Time!AU$10*Operations!AU1066*Operations!$F$840</f>
        <v>0</v>
      </c>
    </row>
    <row r="1088" customFormat="false" ht="15" hidden="false" customHeight="false" outlineLevel="0" collapsed="false">
      <c r="D1088" s="0" t="s">
        <v>693</v>
      </c>
      <c r="E1088" s="0" t="s">
        <v>47</v>
      </c>
      <c r="J1088" s="20" t="n">
        <f aca="false">0</f>
        <v>0</v>
      </c>
      <c r="K1088" s="20" t="n">
        <f aca="false">0</f>
        <v>0</v>
      </c>
      <c r="L1088" s="20" t="n">
        <f aca="false">0</f>
        <v>0</v>
      </c>
      <c r="M1088" s="20" t="n">
        <f aca="false">0</f>
        <v>0</v>
      </c>
      <c r="N1088" s="20" t="n">
        <f aca="false">0</f>
        <v>0</v>
      </c>
      <c r="O1088" s="20" t="n">
        <f aca="false">0</f>
        <v>0</v>
      </c>
      <c r="P1088" s="20" t="n">
        <f aca="false">0</f>
        <v>0</v>
      </c>
      <c r="Q1088" s="20" t="n">
        <f aca="false">0</f>
        <v>0</v>
      </c>
      <c r="R1088" s="20" t="n">
        <f aca="false">0</f>
        <v>0</v>
      </c>
      <c r="S1088" s="20" t="n">
        <f aca="false">0</f>
        <v>0</v>
      </c>
      <c r="T1088" s="20" t="n">
        <f aca="false">0</f>
        <v>0</v>
      </c>
      <c r="U1088" s="20" t="n">
        <f aca="false">0</f>
        <v>0</v>
      </c>
      <c r="V1088" s="20" t="n">
        <f aca="false">0</f>
        <v>0</v>
      </c>
      <c r="W1088" s="20" t="n">
        <f aca="false">0</f>
        <v>0</v>
      </c>
      <c r="X1088" s="20" t="n">
        <f aca="false">0</f>
        <v>0</v>
      </c>
      <c r="Y1088" s="20" t="n">
        <f aca="false">0</f>
        <v>0</v>
      </c>
      <c r="Z1088" s="20" t="n">
        <f aca="false">0</f>
        <v>0</v>
      </c>
      <c r="AA1088" s="20" t="n">
        <f aca="false">0</f>
        <v>0</v>
      </c>
      <c r="AB1088" s="20" t="n">
        <f aca="false">0</f>
        <v>0</v>
      </c>
      <c r="AC1088" s="20" t="n">
        <f aca="false">0</f>
        <v>0</v>
      </c>
      <c r="AD1088" s="20" t="n">
        <f aca="false">0</f>
        <v>0</v>
      </c>
      <c r="AE1088" s="20" t="n">
        <f aca="false">0</f>
        <v>0</v>
      </c>
      <c r="AF1088" s="20" t="n">
        <f aca="false">0</f>
        <v>0</v>
      </c>
      <c r="AG1088" s="20" t="n">
        <f aca="false">0</f>
        <v>0</v>
      </c>
      <c r="AH1088" s="20" t="n">
        <f aca="false">0</f>
        <v>0</v>
      </c>
      <c r="AI1088" s="20" t="n">
        <f aca="false">0</f>
        <v>0</v>
      </c>
      <c r="AJ1088" s="20" t="n">
        <f aca="false">0</f>
        <v>0</v>
      </c>
      <c r="AK1088" s="20" t="n">
        <f aca="false">0</f>
        <v>0</v>
      </c>
      <c r="AL1088" s="20" t="n">
        <f aca="false">0</f>
        <v>0</v>
      </c>
      <c r="AM1088" s="20" t="n">
        <f aca="false">0</f>
        <v>0</v>
      </c>
      <c r="AN1088" s="20" t="n">
        <f aca="false">0</f>
        <v>0</v>
      </c>
      <c r="AO1088" s="20" t="n">
        <f aca="false">0</f>
        <v>0</v>
      </c>
      <c r="AP1088" s="20" t="n">
        <f aca="false">0</f>
        <v>0</v>
      </c>
      <c r="AQ1088" s="20" t="n">
        <f aca="false">0</f>
        <v>0</v>
      </c>
      <c r="AR1088" s="20" t="n">
        <f aca="false">0</f>
        <v>0</v>
      </c>
      <c r="AS1088" s="20" t="n">
        <f aca="false">0</f>
        <v>0</v>
      </c>
      <c r="AT1088" s="20" t="n">
        <f aca="false">0</f>
        <v>0</v>
      </c>
      <c r="AU1088" s="20" t="n">
        <f aca="false">0</f>
        <v>0</v>
      </c>
    </row>
    <row r="1089" customFormat="false" ht="15" hidden="false" customHeight="false" outlineLevel="0" collapsed="false">
      <c r="D1089" s="0" t="s">
        <v>694</v>
      </c>
      <c r="E1089" s="0" t="s">
        <v>47</v>
      </c>
      <c r="J1089" s="20" t="n">
        <f aca="false">Inputs!$F$243/100*Inputs!$F$148*Inputs!$F$143/1000*Time!J$9*Operations!J1066</f>
        <v>0</v>
      </c>
      <c r="K1089" s="20" t="n">
        <f aca="false">Inputs!$F$243/100*Inputs!$F$148*Inputs!$F$143/1000*Time!K$9*Operations!K1066</f>
        <v>0.00601520547945205</v>
      </c>
      <c r="L1089" s="20" t="n">
        <f aca="false">Inputs!$F$243/100*Inputs!$F$148*Inputs!$F$143/1000*Time!L$9*Operations!L1066</f>
        <v>0.013237875</v>
      </c>
      <c r="M1089" s="20" t="n">
        <f aca="false">Inputs!$F$243/100*Inputs!$F$148*Inputs!$F$143/1000*Time!M$9*Operations!M1066</f>
        <v>0.013568821875</v>
      </c>
      <c r="N1089" s="20" t="n">
        <f aca="false">Inputs!$F$243/100*Inputs!$F$148*Inputs!$F$143/1000*Time!N$9*Operations!N1066</f>
        <v>0.013908042421875</v>
      </c>
      <c r="O1089" s="20" t="n">
        <f aca="false">Inputs!$F$243/100*Inputs!$F$148*Inputs!$F$143/1000*Time!O$9*Operations!O1066</f>
        <v>0.0142557434824219</v>
      </c>
      <c r="P1089" s="20" t="n">
        <f aca="false">Inputs!$F$243/100*Inputs!$F$148*Inputs!$F$143/1000*Time!P$9*Operations!P1066</f>
        <v>0.0146121370694824</v>
      </c>
      <c r="Q1089" s="20" t="n">
        <f aca="false">Inputs!$F$243/100*Inputs!$F$148*Inputs!$F$143/1000*Time!Q$9*Operations!Q1066</f>
        <v>0.0149774404962195</v>
      </c>
      <c r="R1089" s="20" t="n">
        <f aca="false">Inputs!$F$243/100*Inputs!$F$148*Inputs!$F$143/1000*Time!R$9*Operations!R1066</f>
        <v>0.015351876508625</v>
      </c>
      <c r="S1089" s="20" t="n">
        <f aca="false">Inputs!$F$243/100*Inputs!$F$148*Inputs!$F$143/1000*Time!S$9*Operations!S1066</f>
        <v>0.0157356734213406</v>
      </c>
      <c r="T1089" s="20" t="n">
        <f aca="false">Inputs!$F$243/100*Inputs!$F$148*Inputs!$F$143/1000*Time!T$9*Operations!T1066</f>
        <v>0.0161290652568741</v>
      </c>
      <c r="U1089" s="20" t="n">
        <f aca="false">Inputs!$F$243/100*Inputs!$F$148*Inputs!$F$143/1000*Time!U$9*Operations!U1066</f>
        <v>0.0165322918882959</v>
      </c>
      <c r="V1089" s="20" t="n">
        <f aca="false">Inputs!$F$243/100*Inputs!$F$148*Inputs!$F$143/1000*Time!V$9*Operations!V1066</f>
        <v>0.0169455991855033</v>
      </c>
      <c r="W1089" s="20" t="n">
        <f aca="false">Inputs!$F$243/100*Inputs!$F$148*Inputs!$F$143/1000*Time!W$9*Operations!W1066</f>
        <v>0.0173692391651409</v>
      </c>
      <c r="X1089" s="20" t="n">
        <f aca="false">Inputs!$F$243/100*Inputs!$F$148*Inputs!$F$143/1000*Time!X$9*Operations!X1066</f>
        <v>0.0178034701442695</v>
      </c>
      <c r="Y1089" s="20" t="n">
        <f aca="false">Inputs!$F$243/100*Inputs!$F$148*Inputs!$F$143/1000*Time!Y$9*Operations!Y1066</f>
        <v>0.0182485568978762</v>
      </c>
      <c r="Z1089" s="20" t="n">
        <f aca="false">Inputs!$F$243/100*Inputs!$F$148*Inputs!$F$143/1000*Time!Z$9*Operations!Z1066</f>
        <v>0.0187047708203231</v>
      </c>
      <c r="AA1089" s="20" t="n">
        <f aca="false">Inputs!$F$243/100*Inputs!$F$148*Inputs!$F$143/1000*Time!AA$9*Operations!AA1066</f>
        <v>0.0191723900908312</v>
      </c>
      <c r="AB1089" s="20" t="n">
        <f aca="false">Inputs!$F$243/100*Inputs!$F$148*Inputs!$F$143/1000*Time!AB$9*Operations!AB1066</f>
        <v>0.0196516998431019</v>
      </c>
      <c r="AC1089" s="20" t="n">
        <f aca="false">Inputs!$F$243/100*Inputs!$F$148*Inputs!$F$143/1000*Time!AC$9*Operations!AC1066</f>
        <v>0.0201429923391795</v>
      </c>
      <c r="AD1089" s="20" t="n">
        <f aca="false">Inputs!$F$243/100*Inputs!$F$148*Inputs!$F$143/1000*Time!AD$9*Operations!AD1066</f>
        <v>0.020646567147659</v>
      </c>
      <c r="AE1089" s="20" t="n">
        <f aca="false">Inputs!$F$243/100*Inputs!$F$148*Inputs!$F$143/1000*Time!AE$9*Operations!AE1066</f>
        <v>0.0122917781950309</v>
      </c>
      <c r="AF1089" s="20" t="n">
        <f aca="false">Inputs!$F$243/100*Inputs!$F$148*Inputs!$F$143/1000*Time!AF$9*Operations!AF1066</f>
        <v>0</v>
      </c>
      <c r="AG1089" s="20" t="n">
        <f aca="false">Inputs!$F$243/100*Inputs!$F$148*Inputs!$F$143/1000*Time!AG$9*Operations!AG1066</f>
        <v>0</v>
      </c>
      <c r="AH1089" s="20" t="n">
        <f aca="false">Inputs!$F$243/100*Inputs!$F$148*Inputs!$F$143/1000*Time!AH$9*Operations!AH1066</f>
        <v>0</v>
      </c>
      <c r="AI1089" s="20" t="n">
        <f aca="false">Inputs!$F$243/100*Inputs!$F$148*Inputs!$F$143/1000*Time!AI$9*Operations!AI1066</f>
        <v>0</v>
      </c>
      <c r="AJ1089" s="20" t="n">
        <f aca="false">Inputs!$F$243/100*Inputs!$F$148*Inputs!$F$143/1000*Time!AJ$9*Operations!AJ1066</f>
        <v>0</v>
      </c>
      <c r="AK1089" s="20" t="n">
        <f aca="false">Inputs!$F$243/100*Inputs!$F$148*Inputs!$F$143/1000*Time!AK$9*Operations!AK1066</f>
        <v>0</v>
      </c>
      <c r="AL1089" s="20" t="n">
        <f aca="false">Inputs!$F$243/100*Inputs!$F$148*Inputs!$F$143/1000*Time!AL$9*Operations!AL1066</f>
        <v>0</v>
      </c>
      <c r="AM1089" s="20" t="n">
        <f aca="false">Inputs!$F$243/100*Inputs!$F$148*Inputs!$F$143/1000*Time!AM$9*Operations!AM1066</f>
        <v>0</v>
      </c>
      <c r="AN1089" s="20" t="n">
        <f aca="false">Inputs!$F$243/100*Inputs!$F$148*Inputs!$F$143/1000*Time!AN$9*Operations!AN1066</f>
        <v>0</v>
      </c>
      <c r="AO1089" s="20" t="n">
        <f aca="false">Inputs!$F$243/100*Inputs!$F$148*Inputs!$F$143/1000*Time!AO$9*Operations!AO1066</f>
        <v>0</v>
      </c>
      <c r="AP1089" s="20" t="n">
        <f aca="false">Inputs!$F$243/100*Inputs!$F$148*Inputs!$F$143/1000*Time!AP$9*Operations!AP1066</f>
        <v>0</v>
      </c>
      <c r="AQ1089" s="20" t="n">
        <f aca="false">Inputs!$F$243/100*Inputs!$F$148*Inputs!$F$143/1000*Time!AQ$9*Operations!AQ1066</f>
        <v>0</v>
      </c>
      <c r="AR1089" s="20" t="n">
        <f aca="false">Inputs!$F$243/100*Inputs!$F$148*Inputs!$F$143/1000*Time!AR$9*Operations!AR1066</f>
        <v>0</v>
      </c>
      <c r="AS1089" s="20" t="n">
        <f aca="false">Inputs!$F$243/100*Inputs!$F$148*Inputs!$F$143/1000*Time!AS$9*Operations!AS1066</f>
        <v>0</v>
      </c>
      <c r="AT1089" s="20" t="n">
        <f aca="false">Inputs!$F$243/100*Inputs!$F$148*Inputs!$F$143/1000*Time!AT$9*Operations!AT1066</f>
        <v>0</v>
      </c>
      <c r="AU1089" s="20" t="n">
        <f aca="false">Inputs!$F$243/100*Inputs!$F$148*Inputs!$F$143/1000*Time!AU$9*Operations!AU1066</f>
        <v>0</v>
      </c>
    </row>
    <row r="1090" customFormat="false" ht="15" hidden="false" customHeight="false" outlineLevel="0" collapsed="false">
      <c r="D1090" s="0" t="s">
        <v>695</v>
      </c>
      <c r="E1090" s="0" t="s">
        <v>47</v>
      </c>
      <c r="J1090" s="20" t="n">
        <f aca="false">Inputs!$F$244/100*Inputs!$F$245/100*Operations!J1085</f>
        <v>0</v>
      </c>
      <c r="K1090" s="20" t="n">
        <f aca="false">Inputs!$F$244/100*Inputs!$F$245/100*Operations!K1085</f>
        <v>0.0268483561643836</v>
      </c>
      <c r="L1090" s="20" t="n">
        <f aca="false">Inputs!$F$244/100*Inputs!$F$245/100*Operations!L1085</f>
        <v>0.057645</v>
      </c>
      <c r="M1090" s="20" t="n">
        <f aca="false">Inputs!$F$244/100*Inputs!$F$245/100*Operations!M1085</f>
        <v>0.057645</v>
      </c>
      <c r="N1090" s="20" t="n">
        <f aca="false">Inputs!$F$244/100*Inputs!$F$245/100*Operations!N1085</f>
        <v>0.057645</v>
      </c>
      <c r="O1090" s="20" t="n">
        <f aca="false">Inputs!$F$244/100*Inputs!$F$245/100*Operations!O1085</f>
        <v>0.057645</v>
      </c>
      <c r="P1090" s="20" t="n">
        <f aca="false">Inputs!$F$244/100*Inputs!$F$245/100*Operations!P1085</f>
        <v>0.057645</v>
      </c>
      <c r="Q1090" s="20" t="n">
        <f aca="false">Inputs!$F$244/100*Inputs!$F$245/100*Operations!Q1085</f>
        <v>0.057645</v>
      </c>
      <c r="R1090" s="20" t="n">
        <f aca="false">Inputs!$F$244/100*Inputs!$F$245/100*Operations!R1085</f>
        <v>0.045375032619863</v>
      </c>
      <c r="S1090" s="20" t="n">
        <f aca="false">Inputs!$F$244/100*Inputs!$F$245/100*Operations!S1085</f>
        <v>0.03192564375</v>
      </c>
      <c r="T1090" s="20" t="n">
        <f aca="false">Inputs!$F$244/100*Inputs!$F$245/100*Operations!T1085</f>
        <v>0.03240680625</v>
      </c>
      <c r="U1090" s="20" t="n">
        <f aca="false">Inputs!$F$244/100*Inputs!$F$245/100*Operations!U1085</f>
        <v>0.0328930875</v>
      </c>
      <c r="V1090" s="20" t="n">
        <f aca="false">Inputs!$F$244/100*Inputs!$F$245/100*Operations!V1085</f>
        <v>0.0333844875</v>
      </c>
      <c r="W1090" s="20" t="n">
        <f aca="false">Inputs!$F$244/100*Inputs!$F$245/100*Operations!W1085</f>
        <v>0.033886125</v>
      </c>
      <c r="X1090" s="20" t="n">
        <f aca="false">Inputs!$F$244/100*Inputs!$F$245/100*Operations!X1085</f>
        <v>0.0339855470408065</v>
      </c>
      <c r="Y1090" s="20" t="n">
        <f aca="false">Inputs!$F$244/100*Inputs!$F$245/100*Operations!Y1085</f>
        <v>0.034055993804024</v>
      </c>
      <c r="Z1090" s="20" t="n">
        <f aca="false">Inputs!$F$244/100*Inputs!$F$245/100*Operations!Z1085</f>
        <v>0.034124251085738</v>
      </c>
      <c r="AA1090" s="20" t="n">
        <f aca="false">Inputs!$F$244/100*Inputs!$F$245/100*Operations!AA1085</f>
        <v>0.0341945915710839</v>
      </c>
      <c r="AB1090" s="20" t="n">
        <f aca="false">Inputs!$F$244/100*Inputs!$F$245/100*Operations!AB1085</f>
        <v>0.0342560251200976</v>
      </c>
      <c r="AC1090" s="20" t="n">
        <f aca="false">Inputs!$F$244/100*Inputs!$F$245/100*Operations!AC1085</f>
        <v>0.0343137460453459</v>
      </c>
      <c r="AD1090" s="20" t="n">
        <f aca="false">Inputs!$F$244/100*Inputs!$F$245/100*Operations!AD1085</f>
        <v>0.0343736065421815</v>
      </c>
      <c r="AE1090" s="20" t="n">
        <f aca="false">Inputs!$F$244/100*Inputs!$F$245/100*Operations!AE1085</f>
        <v>0.0199978178753174</v>
      </c>
      <c r="AF1090" s="20" t="n">
        <f aca="false">Inputs!$F$244/100*Inputs!$F$245/100*Operations!AF1085</f>
        <v>0</v>
      </c>
      <c r="AG1090" s="20" t="n">
        <f aca="false">Inputs!$F$244/100*Inputs!$F$245/100*Operations!AG1085</f>
        <v>0</v>
      </c>
      <c r="AH1090" s="20" t="n">
        <f aca="false">Inputs!$F$244/100*Inputs!$F$245/100*Operations!AH1085</f>
        <v>0</v>
      </c>
      <c r="AI1090" s="20" t="n">
        <f aca="false">Inputs!$F$244/100*Inputs!$F$245/100*Operations!AI1085</f>
        <v>0</v>
      </c>
      <c r="AJ1090" s="20" t="n">
        <f aca="false">Inputs!$F$244/100*Inputs!$F$245/100*Operations!AJ1085</f>
        <v>0</v>
      </c>
      <c r="AK1090" s="20" t="n">
        <f aca="false">Inputs!$F$244/100*Inputs!$F$245/100*Operations!AK1085</f>
        <v>0</v>
      </c>
      <c r="AL1090" s="20" t="n">
        <f aca="false">Inputs!$F$244/100*Inputs!$F$245/100*Operations!AL1085</f>
        <v>0</v>
      </c>
      <c r="AM1090" s="20" t="n">
        <f aca="false">Inputs!$F$244/100*Inputs!$F$245/100*Operations!AM1085</f>
        <v>0</v>
      </c>
      <c r="AN1090" s="20" t="n">
        <f aca="false">Inputs!$F$244/100*Inputs!$F$245/100*Operations!AN1085</f>
        <v>0</v>
      </c>
      <c r="AO1090" s="20" t="n">
        <f aca="false">Inputs!$F$244/100*Inputs!$F$245/100*Operations!AO1085</f>
        <v>0</v>
      </c>
      <c r="AP1090" s="20" t="n">
        <f aca="false">Inputs!$F$244/100*Inputs!$F$245/100*Operations!AP1085</f>
        <v>0</v>
      </c>
      <c r="AQ1090" s="20" t="n">
        <f aca="false">Inputs!$F$244/100*Inputs!$F$245/100*Operations!AQ1085</f>
        <v>0</v>
      </c>
      <c r="AR1090" s="20" t="n">
        <f aca="false">Inputs!$F$244/100*Inputs!$F$245/100*Operations!AR1085</f>
        <v>0</v>
      </c>
      <c r="AS1090" s="20" t="n">
        <f aca="false">Inputs!$F$244/100*Inputs!$F$245/100*Operations!AS1085</f>
        <v>0</v>
      </c>
      <c r="AT1090" s="20" t="n">
        <f aca="false">Inputs!$F$244/100*Inputs!$F$245/100*Operations!AT1085</f>
        <v>0</v>
      </c>
      <c r="AU1090" s="20" t="n">
        <f aca="false">Inputs!$F$244/100*Inputs!$F$245/100*Operations!AU1085</f>
        <v>0</v>
      </c>
    </row>
    <row r="1091" customFormat="false" ht="15" hidden="false" customHeight="false" outlineLevel="0" collapsed="false">
      <c r="D1091" s="0" t="s">
        <v>696</v>
      </c>
      <c r="E1091" s="0" t="s">
        <v>47</v>
      </c>
      <c r="G1091" s="20" t="n">
        <f aca="false">SUM(J1091:AU1091)</f>
        <v>119.04852698477</v>
      </c>
      <c r="J1091" s="20" t="n">
        <f aca="false">Operations!J1085-Operations!J1087-Operations!J1088-Operations!J1089-Operations!J1090</f>
        <v>0</v>
      </c>
      <c r="K1091" s="20" t="n">
        <f aca="false">Operations!K1085-Operations!K1087-Operations!K1088-Operations!K1089-Operations!K1090</f>
        <v>4.36110804109589</v>
      </c>
      <c r="L1091" s="20" t="n">
        <f aca="false">Operations!L1085-Operations!L1087-Operations!L1088-Operations!L1089-Operations!L1090</f>
        <v>9.3245855125</v>
      </c>
      <c r="M1091" s="20" t="n">
        <f aca="false">Operations!M1085-Operations!M1087-Operations!M1088-Operations!M1089-Operations!M1090</f>
        <v>9.2846412753125</v>
      </c>
      <c r="N1091" s="20" t="n">
        <f aca="false">Operations!N1085-Operations!N1087-Operations!N1088-Operations!N1089-Operations!N1090</f>
        <v>9.24369843219531</v>
      </c>
      <c r="O1091" s="20" t="n">
        <f aca="false">Operations!O1085-Operations!O1087-Operations!O1088-Operations!O1089-Operations!O1090</f>
        <v>9.2017320180002</v>
      </c>
      <c r="P1091" s="20" t="n">
        <f aca="false">Operations!P1085-Operations!P1087-Operations!P1088-Operations!P1089-Operations!P1090</f>
        <v>9.1587164434502</v>
      </c>
      <c r="Q1091" s="20" t="n">
        <f aca="false">Operations!Q1085-Operations!Q1087-Operations!Q1088-Operations!Q1089-Operations!Q1090</f>
        <v>9.11462547953646</v>
      </c>
      <c r="R1091" s="20" t="n">
        <f aca="false">Operations!R1085-Operations!R1087-Operations!R1088-Operations!R1089-Operations!R1090</f>
        <v>6.74456556506939</v>
      </c>
      <c r="S1091" s="20" t="n">
        <f aca="false">Operations!S1085-Operations!S1087-Operations!S1088-Operations!S1089-Operations!S1090</f>
        <v>4.14990352881299</v>
      </c>
      <c r="T1091" s="20" t="n">
        <f aca="false">Operations!T1085-Operations!T1087-Operations!T1088-Operations!T1089-Operations!T1090</f>
        <v>4.19359122062707</v>
      </c>
      <c r="U1091" s="20" t="n">
        <f aca="false">Operations!U1085-Operations!U1087-Operations!U1088-Operations!U1089-Operations!U1090</f>
        <v>4.23706176504899</v>
      </c>
      <c r="V1091" s="20" t="n">
        <f aca="false">Operations!V1085-Operations!V1087-Operations!V1088-Operations!V1089-Operations!V1090</f>
        <v>4.28028548636272</v>
      </c>
      <c r="W1091" s="20" t="n">
        <f aca="false">Operations!W1085-Operations!W1087-Operations!W1088-Operations!W1089-Operations!W1090</f>
        <v>4.32420184820929</v>
      </c>
      <c r="X1091" s="20" t="n">
        <f aca="false">Operations!X1085-Operations!X1087-Operations!X1088-Operations!X1089-Operations!X1090</f>
        <v>4.2906296570809</v>
      </c>
      <c r="Y1091" s="20" t="n">
        <f aca="false">Operations!Y1085-Operations!Y1087-Operations!Y1088-Operations!Y1089-Operations!Y1090</f>
        <v>4.25025708322022</v>
      </c>
      <c r="Z1091" s="20" t="n">
        <f aca="false">Operations!Z1085-Operations!Z1087-Operations!Z1088-Operations!Z1089-Operations!Z1090</f>
        <v>4.20812664079048</v>
      </c>
      <c r="AA1091" s="20" t="n">
        <f aca="false">Operations!AA1085-Operations!AA1087-Operations!AA1088-Operations!AA1089-Operations!AA1090</f>
        <v>4.16501432654536</v>
      </c>
      <c r="AB1091" s="20" t="n">
        <f aca="false">Operations!AB1085-Operations!AB1087-Operations!AB1088-Operations!AB1089-Operations!AB1090</f>
        <v>4.11880335589908</v>
      </c>
      <c r="AC1091" s="20" t="n">
        <f aca="false">Operations!AC1085-Operations!AC1087-Operations!AC1088-Operations!AC1089-Operations!AC1090</f>
        <v>4.07044265230805</v>
      </c>
      <c r="AD1091" s="20" t="n">
        <f aca="false">Operations!AD1085-Operations!AD1087-Operations!AD1088-Operations!AD1089-Operations!AD1090</f>
        <v>4.02100491047519</v>
      </c>
      <c r="AE1091" s="20" t="n">
        <f aca="false">Operations!AE1085-Operations!AE1087-Operations!AE1088-Operations!AE1089-Operations!AE1090</f>
        <v>2.30553174222964</v>
      </c>
      <c r="AF1091" s="20" t="n">
        <f aca="false">Operations!AF1085-Operations!AF1087-Operations!AF1088-Operations!AF1089-Operations!AF1090</f>
        <v>0</v>
      </c>
      <c r="AG1091" s="20" t="n">
        <f aca="false">Operations!AG1085-Operations!AG1087-Operations!AG1088-Operations!AG1089-Operations!AG1090</f>
        <v>0</v>
      </c>
      <c r="AH1091" s="20" t="n">
        <f aca="false">Operations!AH1085-Operations!AH1087-Operations!AH1088-Operations!AH1089-Operations!AH1090</f>
        <v>0</v>
      </c>
      <c r="AI1091" s="20" t="n">
        <f aca="false">Operations!AI1085-Operations!AI1087-Operations!AI1088-Operations!AI1089-Operations!AI1090</f>
        <v>0</v>
      </c>
      <c r="AJ1091" s="20" t="n">
        <f aca="false">Operations!AJ1085-Operations!AJ1087-Operations!AJ1088-Operations!AJ1089-Operations!AJ1090</f>
        <v>0</v>
      </c>
      <c r="AK1091" s="20" t="n">
        <f aca="false">Operations!AK1085-Operations!AK1087-Operations!AK1088-Operations!AK1089-Operations!AK1090</f>
        <v>0</v>
      </c>
      <c r="AL1091" s="20" t="n">
        <f aca="false">Operations!AL1085-Operations!AL1087-Operations!AL1088-Operations!AL1089-Operations!AL1090</f>
        <v>0</v>
      </c>
      <c r="AM1091" s="20" t="n">
        <f aca="false">Operations!AM1085-Operations!AM1087-Operations!AM1088-Operations!AM1089-Operations!AM1090</f>
        <v>0</v>
      </c>
      <c r="AN1091" s="20" t="n">
        <f aca="false">Operations!AN1085-Operations!AN1087-Operations!AN1088-Operations!AN1089-Operations!AN1090</f>
        <v>0</v>
      </c>
      <c r="AO1091" s="20" t="n">
        <f aca="false">Operations!AO1085-Operations!AO1087-Operations!AO1088-Operations!AO1089-Operations!AO1090</f>
        <v>0</v>
      </c>
      <c r="AP1091" s="20" t="n">
        <f aca="false">Operations!AP1085-Operations!AP1087-Operations!AP1088-Operations!AP1089-Operations!AP1090</f>
        <v>0</v>
      </c>
      <c r="AQ1091" s="20" t="n">
        <f aca="false">Operations!AQ1085-Operations!AQ1087-Operations!AQ1088-Operations!AQ1089-Operations!AQ1090</f>
        <v>0</v>
      </c>
      <c r="AR1091" s="20" t="n">
        <f aca="false">Operations!AR1085-Operations!AR1087-Operations!AR1088-Operations!AR1089-Operations!AR1090</f>
        <v>0</v>
      </c>
      <c r="AS1091" s="20" t="n">
        <f aca="false">Operations!AS1085-Operations!AS1087-Operations!AS1088-Operations!AS1089-Operations!AS1090</f>
        <v>0</v>
      </c>
      <c r="AT1091" s="20" t="n">
        <f aca="false">Operations!AT1085-Operations!AT1087-Operations!AT1088-Operations!AT1089-Operations!AT1090</f>
        <v>0</v>
      </c>
      <c r="AU1091" s="20" t="n">
        <f aca="false">Operations!AU1085-Operations!AU1087-Operations!AU1088-Operations!AU1089-Operations!AU1090</f>
        <v>0</v>
      </c>
    </row>
    <row r="1092" customFormat="false" ht="15" hidden="false" customHeight="false" outlineLevel="0" collapsed="false">
      <c r="D1092" s="0" t="s">
        <v>697</v>
      </c>
      <c r="E1092" s="0" t="s">
        <v>47</v>
      </c>
      <c r="J1092" s="20" t="n">
        <f aca="false">IF(OR(Time!J$4=YEAR(Inputs!$F$144)+Inputs!$F$151,Time!J$4=YEAR(Inputs!$F$144)+Inputs!$F$152),Inputs!$F$153/100*Inputs!$F$149*Inputs!$F$154/1000*(1+Inputs!$F$194/100)^(Time!J$4-Inputs!$F$193),0)</f>
        <v>0</v>
      </c>
      <c r="K1092" s="20" t="n">
        <f aca="false">IF(OR(Time!K$4=YEAR(Inputs!$F$144)+Inputs!$F$151,Time!K$4=YEAR(Inputs!$F$144)+Inputs!$F$152),Inputs!$F$153/100*Inputs!$F$149*Inputs!$F$154/1000*(1+Inputs!$F$194/100)^(Time!K$4-Inputs!$F$193),0)</f>
        <v>0</v>
      </c>
      <c r="L1092" s="20" t="n">
        <f aca="false">IF(OR(Time!L$4=YEAR(Inputs!$F$144)+Inputs!$F$151,Time!L$4=YEAR(Inputs!$F$144)+Inputs!$F$152),Inputs!$F$153/100*Inputs!$F$149*Inputs!$F$154/1000*(1+Inputs!$F$194/100)^(Time!L$4-Inputs!$F$193),0)</f>
        <v>0</v>
      </c>
      <c r="M1092" s="20" t="n">
        <f aca="false">IF(OR(Time!M$4=YEAR(Inputs!$F$144)+Inputs!$F$151,Time!M$4=YEAR(Inputs!$F$144)+Inputs!$F$152),Inputs!$F$153/100*Inputs!$F$149*Inputs!$F$154/1000*(1+Inputs!$F$194/100)^(Time!M$4-Inputs!$F$193),0)</f>
        <v>0</v>
      </c>
      <c r="N1092" s="20" t="n">
        <f aca="false">IF(OR(Time!N$4=YEAR(Inputs!$F$144)+Inputs!$F$151,Time!N$4=YEAR(Inputs!$F$144)+Inputs!$F$152),Inputs!$F$153/100*Inputs!$F$149*Inputs!$F$154/1000*(1+Inputs!$F$194/100)^(Time!N$4-Inputs!$F$193),0)</f>
        <v>0</v>
      </c>
      <c r="O1092" s="20" t="n">
        <f aca="false">IF(OR(Time!O$4=YEAR(Inputs!$F$144)+Inputs!$F$151,Time!O$4=YEAR(Inputs!$F$144)+Inputs!$F$152),Inputs!$F$153/100*Inputs!$F$149*Inputs!$F$154/1000*(1+Inputs!$F$194/100)^(Time!O$4-Inputs!$F$193),0)</f>
        <v>0</v>
      </c>
      <c r="P1092" s="20" t="n">
        <f aca="false">IF(OR(Time!P$4=YEAR(Inputs!$F$144)+Inputs!$F$151,Time!P$4=YEAR(Inputs!$F$144)+Inputs!$F$152),Inputs!$F$153/100*Inputs!$F$149*Inputs!$F$154/1000*(1+Inputs!$F$194/100)^(Time!P$4-Inputs!$F$193),0)</f>
        <v>0.5298301875</v>
      </c>
      <c r="Q1092" s="20" t="n">
        <f aca="false">IF(OR(Time!Q$4=YEAR(Inputs!$F$144)+Inputs!$F$151,Time!Q$4=YEAR(Inputs!$F$144)+Inputs!$F$152),Inputs!$F$153/100*Inputs!$F$149*Inputs!$F$154/1000*(1+Inputs!$F$194/100)^(Time!Q$4-Inputs!$F$193),0)</f>
        <v>0</v>
      </c>
      <c r="R1092" s="20" t="n">
        <f aca="false">IF(OR(Time!R$4=YEAR(Inputs!$F$144)+Inputs!$F$151,Time!R$4=YEAR(Inputs!$F$144)+Inputs!$F$152),Inputs!$F$153/100*Inputs!$F$149*Inputs!$F$154/1000*(1+Inputs!$F$194/100)^(Time!R$4-Inputs!$F$193),0)</f>
        <v>0</v>
      </c>
      <c r="S1092" s="20" t="n">
        <f aca="false">IF(OR(Time!S$4=YEAR(Inputs!$F$144)+Inputs!$F$151,Time!S$4=YEAR(Inputs!$F$144)+Inputs!$F$152),Inputs!$F$153/100*Inputs!$F$149*Inputs!$F$154/1000*(1+Inputs!$F$194/100)^(Time!S$4-Inputs!$F$193),0)</f>
        <v>0</v>
      </c>
      <c r="T1092" s="20" t="n">
        <f aca="false">IF(OR(Time!T$4=YEAR(Inputs!$F$144)+Inputs!$F$151,Time!T$4=YEAR(Inputs!$F$144)+Inputs!$F$152),Inputs!$F$153/100*Inputs!$F$149*Inputs!$F$154/1000*(1+Inputs!$F$194/100)^(Time!T$4-Inputs!$F$193),0)</f>
        <v>0.58483339080476</v>
      </c>
      <c r="U1092" s="20" t="n">
        <f aca="false">IF(OR(Time!U$4=YEAR(Inputs!$F$144)+Inputs!$F$151,Time!U$4=YEAR(Inputs!$F$144)+Inputs!$F$152),Inputs!$F$153/100*Inputs!$F$149*Inputs!$F$154/1000*(1+Inputs!$F$194/100)^(Time!U$4-Inputs!$F$193),0)</f>
        <v>0</v>
      </c>
      <c r="V1092" s="20" t="n">
        <f aca="false">IF(OR(Time!V$4=YEAR(Inputs!$F$144)+Inputs!$F$151,Time!V$4=YEAR(Inputs!$F$144)+Inputs!$F$152),Inputs!$F$153/100*Inputs!$F$149*Inputs!$F$154/1000*(1+Inputs!$F$194/100)^(Time!V$4-Inputs!$F$193),0)</f>
        <v>0</v>
      </c>
      <c r="W1092" s="20" t="n">
        <f aca="false">IF(OR(Time!W$4=YEAR(Inputs!$F$144)+Inputs!$F$151,Time!W$4=YEAR(Inputs!$F$144)+Inputs!$F$152),Inputs!$F$153/100*Inputs!$F$149*Inputs!$F$154/1000*(1+Inputs!$F$194/100)^(Time!W$4-Inputs!$F$193),0)</f>
        <v>0</v>
      </c>
      <c r="X1092" s="20" t="n">
        <f aca="false">IF(OR(Time!X$4=YEAR(Inputs!$F$144)+Inputs!$F$151,Time!X$4=YEAR(Inputs!$F$144)+Inputs!$F$152),Inputs!$F$153/100*Inputs!$F$149*Inputs!$F$154/1000*(1+Inputs!$F$194/100)^(Time!X$4-Inputs!$F$193),0)</f>
        <v>0</v>
      </c>
      <c r="Y1092" s="20" t="n">
        <f aca="false">IF(OR(Time!Y$4=YEAR(Inputs!$F$144)+Inputs!$F$151,Time!Y$4=YEAR(Inputs!$F$144)+Inputs!$F$152),Inputs!$F$153/100*Inputs!$F$149*Inputs!$F$154/1000*(1+Inputs!$F$194/100)^(Time!Y$4-Inputs!$F$193),0)</f>
        <v>0</v>
      </c>
      <c r="Z1092" s="20" t="n">
        <f aca="false">IF(OR(Time!Z$4=YEAR(Inputs!$F$144)+Inputs!$F$151,Time!Z$4=YEAR(Inputs!$F$144)+Inputs!$F$152),Inputs!$F$153/100*Inputs!$F$149*Inputs!$F$154/1000*(1+Inputs!$F$194/100)^(Time!Z$4-Inputs!$F$193),0)</f>
        <v>0</v>
      </c>
      <c r="AA1092" s="20" t="n">
        <f aca="false">IF(OR(Time!AA$4=YEAR(Inputs!$F$144)+Inputs!$F$151,Time!AA$4=YEAR(Inputs!$F$144)+Inputs!$F$152),Inputs!$F$153/100*Inputs!$F$149*Inputs!$F$154/1000*(1+Inputs!$F$194/100)^(Time!AA$4-Inputs!$F$193),0)</f>
        <v>0</v>
      </c>
      <c r="AB1092" s="20" t="n">
        <f aca="false">IF(OR(Time!AB$4=YEAR(Inputs!$F$144)+Inputs!$F$151,Time!AB$4=YEAR(Inputs!$F$144)+Inputs!$F$152),Inputs!$F$153/100*Inputs!$F$149*Inputs!$F$154/1000*(1+Inputs!$F$194/100)^(Time!AB$4-Inputs!$F$193),0)</f>
        <v>0</v>
      </c>
      <c r="AC1092" s="20" t="n">
        <f aca="false">IF(OR(Time!AC$4=YEAR(Inputs!$F$144)+Inputs!$F$151,Time!AC$4=YEAR(Inputs!$F$144)+Inputs!$F$152),Inputs!$F$153/100*Inputs!$F$149*Inputs!$F$154/1000*(1+Inputs!$F$194/100)^(Time!AC$4-Inputs!$F$193),0)</f>
        <v>0</v>
      </c>
      <c r="AD1092" s="20" t="n">
        <f aca="false">IF(OR(Time!AD$4=YEAR(Inputs!$F$144)+Inputs!$F$151,Time!AD$4=YEAR(Inputs!$F$144)+Inputs!$F$152),Inputs!$F$153/100*Inputs!$F$149*Inputs!$F$154/1000*(1+Inputs!$F$194/100)^(Time!AD$4-Inputs!$F$193),0)</f>
        <v>0</v>
      </c>
      <c r="AE1092" s="20" t="n">
        <f aca="false">IF(OR(Time!AE$4=YEAR(Inputs!$F$144)+Inputs!$F$151,Time!AE$4=YEAR(Inputs!$F$144)+Inputs!$F$152),Inputs!$F$153/100*Inputs!$F$149*Inputs!$F$154/1000*(1+Inputs!$F$194/100)^(Time!AE$4-Inputs!$F$193),0)</f>
        <v>0</v>
      </c>
      <c r="AF1092" s="20" t="n">
        <f aca="false">IF(OR(Time!AF$4=YEAR(Inputs!$F$144)+Inputs!$F$151,Time!AF$4=YEAR(Inputs!$F$144)+Inputs!$F$152),Inputs!$F$153/100*Inputs!$F$149*Inputs!$F$154/1000*(1+Inputs!$F$194/100)^(Time!AF$4-Inputs!$F$193),0)</f>
        <v>0</v>
      </c>
      <c r="AG1092" s="20" t="n">
        <f aca="false">IF(OR(Time!AG$4=YEAR(Inputs!$F$144)+Inputs!$F$151,Time!AG$4=YEAR(Inputs!$F$144)+Inputs!$F$152),Inputs!$F$153/100*Inputs!$F$149*Inputs!$F$154/1000*(1+Inputs!$F$194/100)^(Time!AG$4-Inputs!$F$193),0)</f>
        <v>0</v>
      </c>
      <c r="AH1092" s="20" t="n">
        <f aca="false">IF(OR(Time!AH$4=YEAR(Inputs!$F$144)+Inputs!$F$151,Time!AH$4=YEAR(Inputs!$F$144)+Inputs!$F$152),Inputs!$F$153/100*Inputs!$F$149*Inputs!$F$154/1000*(1+Inputs!$F$194/100)^(Time!AH$4-Inputs!$F$193),0)</f>
        <v>0</v>
      </c>
      <c r="AI1092" s="20" t="n">
        <f aca="false">IF(OR(Time!AI$4=YEAR(Inputs!$F$144)+Inputs!$F$151,Time!AI$4=YEAR(Inputs!$F$144)+Inputs!$F$152),Inputs!$F$153/100*Inputs!$F$149*Inputs!$F$154/1000*(1+Inputs!$F$194/100)^(Time!AI$4-Inputs!$F$193),0)</f>
        <v>0</v>
      </c>
      <c r="AJ1092" s="20" t="n">
        <f aca="false">IF(OR(Time!AJ$4=YEAR(Inputs!$F$144)+Inputs!$F$151,Time!AJ$4=YEAR(Inputs!$F$144)+Inputs!$F$152),Inputs!$F$153/100*Inputs!$F$149*Inputs!$F$154/1000*(1+Inputs!$F$194/100)^(Time!AJ$4-Inputs!$F$193),0)</f>
        <v>0</v>
      </c>
      <c r="AK1092" s="20" t="n">
        <f aca="false">IF(OR(Time!AK$4=YEAR(Inputs!$F$144)+Inputs!$F$151,Time!AK$4=YEAR(Inputs!$F$144)+Inputs!$F$152),Inputs!$F$153/100*Inputs!$F$149*Inputs!$F$154/1000*(1+Inputs!$F$194/100)^(Time!AK$4-Inputs!$F$193),0)</f>
        <v>0</v>
      </c>
      <c r="AL1092" s="20" t="n">
        <f aca="false">IF(OR(Time!AL$4=YEAR(Inputs!$F$144)+Inputs!$F$151,Time!AL$4=YEAR(Inputs!$F$144)+Inputs!$F$152),Inputs!$F$153/100*Inputs!$F$149*Inputs!$F$154/1000*(1+Inputs!$F$194/100)^(Time!AL$4-Inputs!$F$193),0)</f>
        <v>0</v>
      </c>
      <c r="AM1092" s="20" t="n">
        <f aca="false">IF(OR(Time!AM$4=YEAR(Inputs!$F$144)+Inputs!$F$151,Time!AM$4=YEAR(Inputs!$F$144)+Inputs!$F$152),Inputs!$F$153/100*Inputs!$F$149*Inputs!$F$154/1000*(1+Inputs!$F$194/100)^(Time!AM$4-Inputs!$F$193),0)</f>
        <v>0</v>
      </c>
      <c r="AN1092" s="20" t="n">
        <f aca="false">IF(OR(Time!AN$4=YEAR(Inputs!$F$144)+Inputs!$F$151,Time!AN$4=YEAR(Inputs!$F$144)+Inputs!$F$152),Inputs!$F$153/100*Inputs!$F$149*Inputs!$F$154/1000*(1+Inputs!$F$194/100)^(Time!AN$4-Inputs!$F$193),0)</f>
        <v>0</v>
      </c>
      <c r="AO1092" s="20" t="n">
        <f aca="false">IF(OR(Time!AO$4=YEAR(Inputs!$F$144)+Inputs!$F$151,Time!AO$4=YEAR(Inputs!$F$144)+Inputs!$F$152),Inputs!$F$153/100*Inputs!$F$149*Inputs!$F$154/1000*(1+Inputs!$F$194/100)^(Time!AO$4-Inputs!$F$193),0)</f>
        <v>0</v>
      </c>
      <c r="AP1092" s="20" t="n">
        <f aca="false">IF(OR(Time!AP$4=YEAR(Inputs!$F$144)+Inputs!$F$151,Time!AP$4=YEAR(Inputs!$F$144)+Inputs!$F$152),Inputs!$F$153/100*Inputs!$F$149*Inputs!$F$154/1000*(1+Inputs!$F$194/100)^(Time!AP$4-Inputs!$F$193),0)</f>
        <v>0</v>
      </c>
      <c r="AQ1092" s="20" t="n">
        <f aca="false">IF(OR(Time!AQ$4=YEAR(Inputs!$F$144)+Inputs!$F$151,Time!AQ$4=YEAR(Inputs!$F$144)+Inputs!$F$152),Inputs!$F$153/100*Inputs!$F$149*Inputs!$F$154/1000*(1+Inputs!$F$194/100)^(Time!AQ$4-Inputs!$F$193),0)</f>
        <v>0</v>
      </c>
      <c r="AR1092" s="20" t="n">
        <f aca="false">IF(OR(Time!AR$4=YEAR(Inputs!$F$144)+Inputs!$F$151,Time!AR$4=YEAR(Inputs!$F$144)+Inputs!$F$152),Inputs!$F$153/100*Inputs!$F$149*Inputs!$F$154/1000*(1+Inputs!$F$194/100)^(Time!AR$4-Inputs!$F$193),0)</f>
        <v>0</v>
      </c>
      <c r="AS1092" s="20" t="n">
        <f aca="false">IF(OR(Time!AS$4=YEAR(Inputs!$F$144)+Inputs!$F$151,Time!AS$4=YEAR(Inputs!$F$144)+Inputs!$F$152),Inputs!$F$153/100*Inputs!$F$149*Inputs!$F$154/1000*(1+Inputs!$F$194/100)^(Time!AS$4-Inputs!$F$193),0)</f>
        <v>0</v>
      </c>
      <c r="AT1092" s="20" t="n">
        <f aca="false">IF(OR(Time!AT$4=YEAR(Inputs!$F$144)+Inputs!$F$151,Time!AT$4=YEAR(Inputs!$F$144)+Inputs!$F$152),Inputs!$F$153/100*Inputs!$F$149*Inputs!$F$154/1000*(1+Inputs!$F$194/100)^(Time!AT$4-Inputs!$F$193),0)</f>
        <v>0</v>
      </c>
      <c r="AU1092" s="20" t="n">
        <f aca="false">IF(OR(Time!AU$4=YEAR(Inputs!$F$144)+Inputs!$F$151,Time!AU$4=YEAR(Inputs!$F$144)+Inputs!$F$152),Inputs!$F$153/100*Inputs!$F$149*Inputs!$F$154/1000*(1+Inputs!$F$194/100)^(Time!AU$4-Inputs!$F$193),0)</f>
        <v>0</v>
      </c>
    </row>
    <row r="1093" customFormat="false" ht="15" hidden="false" customHeight="false" outlineLevel="0" collapsed="false">
      <c r="D1093" s="0" t="s">
        <v>698</v>
      </c>
      <c r="E1093" s="0" t="s">
        <v>47</v>
      </c>
      <c r="J1093" s="20" t="n">
        <f aca="false">IF(Time!J$4=YEAR(Inputs!$F$145),Inputs!$F$148*Inputs!$F$143/1000*Time!J$9,0)</f>
        <v>0</v>
      </c>
      <c r="K1093" s="20" t="n">
        <f aca="false">IF(Time!K$4=YEAR(Inputs!$F$145),Inputs!$F$148*Inputs!$F$143/1000*Time!K$9,0)</f>
        <v>0</v>
      </c>
      <c r="L1093" s="20" t="n">
        <f aca="false">IF(Time!L$4=YEAR(Inputs!$F$145),Inputs!$F$148*Inputs!$F$143/1000*Time!L$9,0)</f>
        <v>0</v>
      </c>
      <c r="M1093" s="20" t="n">
        <f aca="false">IF(Time!M$4=YEAR(Inputs!$F$145),Inputs!$F$148*Inputs!$F$143/1000*Time!M$9,0)</f>
        <v>0</v>
      </c>
      <c r="N1093" s="20" t="n">
        <f aca="false">IF(Time!N$4=YEAR(Inputs!$F$145),Inputs!$F$148*Inputs!$F$143/1000*Time!N$9,0)</f>
        <v>0</v>
      </c>
      <c r="O1093" s="20" t="n">
        <f aca="false">IF(Time!O$4=YEAR(Inputs!$F$145),Inputs!$F$148*Inputs!$F$143/1000*Time!O$9,0)</f>
        <v>0</v>
      </c>
      <c r="P1093" s="20" t="n">
        <f aca="false">IF(Time!P$4=YEAR(Inputs!$F$145),Inputs!$F$148*Inputs!$F$143/1000*Time!P$9,0)</f>
        <v>0</v>
      </c>
      <c r="Q1093" s="20" t="n">
        <f aca="false">IF(Time!Q$4=YEAR(Inputs!$F$145),Inputs!$F$148*Inputs!$F$143/1000*Time!Q$9,0)</f>
        <v>0</v>
      </c>
      <c r="R1093" s="20" t="n">
        <f aca="false">IF(Time!R$4=YEAR(Inputs!$F$145),Inputs!$F$148*Inputs!$F$143/1000*Time!R$9,0)</f>
        <v>0</v>
      </c>
      <c r="S1093" s="20" t="n">
        <f aca="false">IF(Time!S$4=YEAR(Inputs!$F$145),Inputs!$F$148*Inputs!$F$143/1000*Time!S$9,0)</f>
        <v>0</v>
      </c>
      <c r="T1093" s="20" t="n">
        <f aca="false">IF(Time!T$4=YEAR(Inputs!$F$145),Inputs!$F$148*Inputs!$F$143/1000*Time!T$9,0)</f>
        <v>0</v>
      </c>
      <c r="U1093" s="20" t="n">
        <f aca="false">IF(Time!U$4=YEAR(Inputs!$F$145),Inputs!$F$148*Inputs!$F$143/1000*Time!U$9,0)</f>
        <v>0</v>
      </c>
      <c r="V1093" s="20" t="n">
        <f aca="false">IF(Time!V$4=YEAR(Inputs!$F$145),Inputs!$F$148*Inputs!$F$143/1000*Time!V$9,0)</f>
        <v>0</v>
      </c>
      <c r="W1093" s="20" t="n">
        <f aca="false">IF(Time!W$4=YEAR(Inputs!$F$145),Inputs!$F$148*Inputs!$F$143/1000*Time!W$9,0)</f>
        <v>0</v>
      </c>
      <c r="X1093" s="20" t="n">
        <f aca="false">IF(Time!X$4=YEAR(Inputs!$F$145),Inputs!$F$148*Inputs!$F$143/1000*Time!X$9,0)</f>
        <v>0</v>
      </c>
      <c r="Y1093" s="20" t="n">
        <f aca="false">IF(Time!Y$4=YEAR(Inputs!$F$145),Inputs!$F$148*Inputs!$F$143/1000*Time!Y$9,0)</f>
        <v>0</v>
      </c>
      <c r="Z1093" s="20" t="n">
        <f aca="false">IF(Time!Z$4=YEAR(Inputs!$F$145),Inputs!$F$148*Inputs!$F$143/1000*Time!Z$9,0)</f>
        <v>0</v>
      </c>
      <c r="AA1093" s="20" t="n">
        <f aca="false">IF(Time!AA$4=YEAR(Inputs!$F$145),Inputs!$F$148*Inputs!$F$143/1000*Time!AA$9,0)</f>
        <v>0</v>
      </c>
      <c r="AB1093" s="20" t="n">
        <f aca="false">IF(Time!AB$4=YEAR(Inputs!$F$145),Inputs!$F$148*Inputs!$F$143/1000*Time!AB$9,0)</f>
        <v>0</v>
      </c>
      <c r="AC1093" s="20" t="n">
        <f aca="false">IF(Time!AC$4=YEAR(Inputs!$F$145),Inputs!$F$148*Inputs!$F$143/1000*Time!AC$9,0)</f>
        <v>0</v>
      </c>
      <c r="AD1093" s="20" t="n">
        <f aca="false">IF(Time!AD$4=YEAR(Inputs!$F$145),Inputs!$F$148*Inputs!$F$143/1000*Time!AD$9,0)</f>
        <v>0</v>
      </c>
      <c r="AE1093" s="20" t="n">
        <f aca="false">IF(Time!AE$4=YEAR(Inputs!$F$145),Inputs!$F$148*Inputs!$F$143/1000*Time!AE$9,0)</f>
        <v>3.52712188772507</v>
      </c>
      <c r="AF1093" s="20" t="n">
        <f aca="false">IF(Time!AF$4=YEAR(Inputs!$F$145),Inputs!$F$148*Inputs!$F$143/1000*Time!AF$9,0)</f>
        <v>0</v>
      </c>
      <c r="AG1093" s="20" t="n">
        <f aca="false">IF(Time!AG$4=YEAR(Inputs!$F$145),Inputs!$F$148*Inputs!$F$143/1000*Time!AG$9,0)</f>
        <v>0</v>
      </c>
      <c r="AH1093" s="20" t="n">
        <f aca="false">IF(Time!AH$4=YEAR(Inputs!$F$145),Inputs!$F$148*Inputs!$F$143/1000*Time!AH$9,0)</f>
        <v>0</v>
      </c>
      <c r="AI1093" s="20" t="n">
        <f aca="false">IF(Time!AI$4=YEAR(Inputs!$F$145),Inputs!$F$148*Inputs!$F$143/1000*Time!AI$9,0)</f>
        <v>0</v>
      </c>
      <c r="AJ1093" s="20" t="n">
        <f aca="false">IF(Time!AJ$4=YEAR(Inputs!$F$145),Inputs!$F$148*Inputs!$F$143/1000*Time!AJ$9,0)</f>
        <v>0</v>
      </c>
      <c r="AK1093" s="20" t="n">
        <f aca="false">IF(Time!AK$4=YEAR(Inputs!$F$145),Inputs!$F$148*Inputs!$F$143/1000*Time!AK$9,0)</f>
        <v>0</v>
      </c>
      <c r="AL1093" s="20" t="n">
        <f aca="false">IF(Time!AL$4=YEAR(Inputs!$F$145),Inputs!$F$148*Inputs!$F$143/1000*Time!AL$9,0)</f>
        <v>0</v>
      </c>
      <c r="AM1093" s="20" t="n">
        <f aca="false">IF(Time!AM$4=YEAR(Inputs!$F$145),Inputs!$F$148*Inputs!$F$143/1000*Time!AM$9,0)</f>
        <v>0</v>
      </c>
      <c r="AN1093" s="20" t="n">
        <f aca="false">IF(Time!AN$4=YEAR(Inputs!$F$145),Inputs!$F$148*Inputs!$F$143/1000*Time!AN$9,0)</f>
        <v>0</v>
      </c>
      <c r="AO1093" s="20" t="n">
        <f aca="false">IF(Time!AO$4=YEAR(Inputs!$F$145),Inputs!$F$148*Inputs!$F$143/1000*Time!AO$9,0)</f>
        <v>0</v>
      </c>
      <c r="AP1093" s="20" t="n">
        <f aca="false">IF(Time!AP$4=YEAR(Inputs!$F$145),Inputs!$F$148*Inputs!$F$143/1000*Time!AP$9,0)</f>
        <v>0</v>
      </c>
      <c r="AQ1093" s="20" t="n">
        <f aca="false">IF(Time!AQ$4=YEAR(Inputs!$F$145),Inputs!$F$148*Inputs!$F$143/1000*Time!AQ$9,0)</f>
        <v>0</v>
      </c>
      <c r="AR1093" s="20" t="n">
        <f aca="false">IF(Time!AR$4=YEAR(Inputs!$F$145),Inputs!$F$148*Inputs!$F$143/1000*Time!AR$9,0)</f>
        <v>0</v>
      </c>
      <c r="AS1093" s="20" t="n">
        <f aca="false">IF(Time!AS$4=YEAR(Inputs!$F$145),Inputs!$F$148*Inputs!$F$143/1000*Time!AS$9,0)</f>
        <v>0</v>
      </c>
      <c r="AT1093" s="20" t="n">
        <f aca="false">IF(Time!AT$4=YEAR(Inputs!$F$145),Inputs!$F$148*Inputs!$F$143/1000*Time!AT$9,0)</f>
        <v>0</v>
      </c>
      <c r="AU1093" s="20" t="n">
        <f aca="false">IF(Time!AU$4=YEAR(Inputs!$F$145),Inputs!$F$148*Inputs!$F$143/1000*Time!AU$9,0)</f>
        <v>0</v>
      </c>
    </row>
    <row r="1094" customFormat="false" ht="15" hidden="false" customHeight="false" outlineLevel="0" collapsed="false">
      <c r="D1094" s="0" t="s">
        <v>699</v>
      </c>
      <c r="E1094" s="0" t="s">
        <v>47</v>
      </c>
      <c r="G1094" s="20" t="n">
        <f aca="false">SUM(J1094:AU1094)</f>
        <v>114.40674151874</v>
      </c>
      <c r="J1094" s="20" t="n">
        <f aca="false">Operations!J1091-Operations!J1092-Operations!J1093</f>
        <v>0</v>
      </c>
      <c r="K1094" s="20" t="n">
        <f aca="false">Operations!K1091-Operations!K1092-Operations!K1093</f>
        <v>4.36110804109589</v>
      </c>
      <c r="L1094" s="20" t="n">
        <f aca="false">Operations!L1091-Operations!L1092-Operations!L1093</f>
        <v>9.3245855125</v>
      </c>
      <c r="M1094" s="20" t="n">
        <f aca="false">Operations!M1091-Operations!M1092-Operations!M1093</f>
        <v>9.2846412753125</v>
      </c>
      <c r="N1094" s="20" t="n">
        <f aca="false">Operations!N1091-Operations!N1092-Operations!N1093</f>
        <v>9.24369843219531</v>
      </c>
      <c r="O1094" s="20" t="n">
        <f aca="false">Operations!O1091-Operations!O1092-Operations!O1093</f>
        <v>9.2017320180002</v>
      </c>
      <c r="P1094" s="20" t="n">
        <f aca="false">Operations!P1091-Operations!P1092-Operations!P1093</f>
        <v>8.6288862559502</v>
      </c>
      <c r="Q1094" s="20" t="n">
        <f aca="false">Operations!Q1091-Operations!Q1092-Operations!Q1093</f>
        <v>9.11462547953646</v>
      </c>
      <c r="R1094" s="20" t="n">
        <f aca="false">Operations!R1091-Operations!R1092-Operations!R1093</f>
        <v>6.74456556506939</v>
      </c>
      <c r="S1094" s="20" t="n">
        <f aca="false">Operations!S1091-Operations!S1092-Operations!S1093</f>
        <v>4.14990352881299</v>
      </c>
      <c r="T1094" s="20" t="n">
        <f aca="false">Operations!T1091-Operations!T1092-Operations!T1093</f>
        <v>3.60875782982231</v>
      </c>
      <c r="U1094" s="20" t="n">
        <f aca="false">Operations!U1091-Operations!U1092-Operations!U1093</f>
        <v>4.23706176504899</v>
      </c>
      <c r="V1094" s="20" t="n">
        <f aca="false">Operations!V1091-Operations!V1092-Operations!V1093</f>
        <v>4.28028548636272</v>
      </c>
      <c r="W1094" s="20" t="n">
        <f aca="false">Operations!W1091-Operations!W1092-Operations!W1093</f>
        <v>4.32420184820929</v>
      </c>
      <c r="X1094" s="20" t="n">
        <f aca="false">Operations!X1091-Operations!X1092-Operations!X1093</f>
        <v>4.2906296570809</v>
      </c>
      <c r="Y1094" s="20" t="n">
        <f aca="false">Operations!Y1091-Operations!Y1092-Operations!Y1093</f>
        <v>4.25025708322022</v>
      </c>
      <c r="Z1094" s="20" t="n">
        <f aca="false">Operations!Z1091-Operations!Z1092-Operations!Z1093</f>
        <v>4.20812664079048</v>
      </c>
      <c r="AA1094" s="20" t="n">
        <f aca="false">Operations!AA1091-Operations!AA1092-Operations!AA1093</f>
        <v>4.16501432654536</v>
      </c>
      <c r="AB1094" s="20" t="n">
        <f aca="false">Operations!AB1091-Operations!AB1092-Operations!AB1093</f>
        <v>4.11880335589908</v>
      </c>
      <c r="AC1094" s="20" t="n">
        <f aca="false">Operations!AC1091-Operations!AC1092-Operations!AC1093</f>
        <v>4.07044265230805</v>
      </c>
      <c r="AD1094" s="20" t="n">
        <f aca="false">Operations!AD1091-Operations!AD1092-Operations!AD1093</f>
        <v>4.02100491047519</v>
      </c>
      <c r="AE1094" s="20" t="n">
        <f aca="false">Operations!AE1091-Operations!AE1092-Operations!AE1093</f>
        <v>-1.22159014549543</v>
      </c>
      <c r="AF1094" s="20" t="n">
        <f aca="false">Operations!AF1091-Operations!AF1092-Operations!AF1093</f>
        <v>0</v>
      </c>
      <c r="AG1094" s="20" t="n">
        <f aca="false">Operations!AG1091-Operations!AG1092-Operations!AG1093</f>
        <v>0</v>
      </c>
      <c r="AH1094" s="20" t="n">
        <f aca="false">Operations!AH1091-Operations!AH1092-Operations!AH1093</f>
        <v>0</v>
      </c>
      <c r="AI1094" s="20" t="n">
        <f aca="false">Operations!AI1091-Operations!AI1092-Operations!AI1093</f>
        <v>0</v>
      </c>
      <c r="AJ1094" s="20" t="n">
        <f aca="false">Operations!AJ1091-Operations!AJ1092-Operations!AJ1093</f>
        <v>0</v>
      </c>
      <c r="AK1094" s="20" t="n">
        <f aca="false">Operations!AK1091-Operations!AK1092-Operations!AK1093</f>
        <v>0</v>
      </c>
      <c r="AL1094" s="20" t="n">
        <f aca="false">Operations!AL1091-Operations!AL1092-Operations!AL1093</f>
        <v>0</v>
      </c>
      <c r="AM1094" s="20" t="n">
        <f aca="false">Operations!AM1091-Operations!AM1092-Operations!AM1093</f>
        <v>0</v>
      </c>
      <c r="AN1094" s="20" t="n">
        <f aca="false">Operations!AN1091-Operations!AN1092-Operations!AN1093</f>
        <v>0</v>
      </c>
      <c r="AO1094" s="20" t="n">
        <f aca="false">Operations!AO1091-Operations!AO1092-Operations!AO1093</f>
        <v>0</v>
      </c>
      <c r="AP1094" s="20" t="n">
        <f aca="false">Operations!AP1091-Operations!AP1092-Operations!AP1093</f>
        <v>0</v>
      </c>
      <c r="AQ1094" s="20" t="n">
        <f aca="false">Operations!AQ1091-Operations!AQ1092-Operations!AQ1093</f>
        <v>0</v>
      </c>
      <c r="AR1094" s="20" t="n">
        <f aca="false">Operations!AR1091-Operations!AR1092-Operations!AR1093</f>
        <v>0</v>
      </c>
      <c r="AS1094" s="20" t="n">
        <f aca="false">Operations!AS1091-Operations!AS1092-Operations!AS1093</f>
        <v>0</v>
      </c>
      <c r="AT1094" s="20" t="n">
        <f aca="false">Operations!AT1091-Operations!AT1092-Operations!AT1093</f>
        <v>0</v>
      </c>
      <c r="AU1094" s="20" t="n">
        <f aca="false">Operations!AU1091-Operations!AU1092-Operations!AU1093</f>
        <v>0</v>
      </c>
    </row>
    <row r="1095" customFormat="false" ht="15" hidden="false" customHeight="false" outlineLevel="0" collapsed="false">
      <c r="D1095" s="0" t="s">
        <v>700</v>
      </c>
      <c r="E1095" s="0" t="s">
        <v>458</v>
      </c>
      <c r="J1095" s="14" t="n">
        <f aca="false">0</f>
        <v>0</v>
      </c>
      <c r="K1095" s="14" t="n">
        <f aca="false">0</f>
        <v>0</v>
      </c>
      <c r="L1095" s="14" t="n">
        <f aca="false">0</f>
        <v>0</v>
      </c>
      <c r="M1095" s="14" t="n">
        <f aca="false">0</f>
        <v>0</v>
      </c>
      <c r="N1095" s="14" t="n">
        <f aca="false">0</f>
        <v>0</v>
      </c>
      <c r="O1095" s="14" t="n">
        <f aca="false">0</f>
        <v>0</v>
      </c>
      <c r="P1095" s="14" t="n">
        <f aca="false">0</f>
        <v>0</v>
      </c>
      <c r="Q1095" s="14" t="n">
        <f aca="false">0</f>
        <v>0</v>
      </c>
      <c r="R1095" s="14" t="n">
        <f aca="false">0</f>
        <v>0</v>
      </c>
      <c r="S1095" s="14" t="n">
        <f aca="false">0</f>
        <v>0</v>
      </c>
      <c r="T1095" s="14" t="n">
        <f aca="false">0</f>
        <v>0</v>
      </c>
      <c r="U1095" s="14" t="n">
        <f aca="false">0</f>
        <v>0</v>
      </c>
      <c r="V1095" s="14" t="n">
        <f aca="false">0</f>
        <v>0</v>
      </c>
      <c r="W1095" s="14" t="n">
        <f aca="false">0</f>
        <v>0</v>
      </c>
      <c r="X1095" s="14" t="n">
        <f aca="false">0</f>
        <v>0</v>
      </c>
      <c r="Y1095" s="14" t="n">
        <f aca="false">0</f>
        <v>0</v>
      </c>
      <c r="Z1095" s="14" t="n">
        <f aca="false">0</f>
        <v>0</v>
      </c>
      <c r="AA1095" s="14" t="n">
        <f aca="false">0</f>
        <v>0</v>
      </c>
      <c r="AB1095" s="14" t="n">
        <f aca="false">0</f>
        <v>0</v>
      </c>
      <c r="AC1095" s="14" t="n">
        <f aca="false">0</f>
        <v>0</v>
      </c>
      <c r="AD1095" s="14" t="n">
        <f aca="false">0</f>
        <v>0</v>
      </c>
      <c r="AE1095" s="14" t="n">
        <f aca="false">0</f>
        <v>0</v>
      </c>
      <c r="AF1095" s="14" t="n">
        <f aca="false">0</f>
        <v>0</v>
      </c>
      <c r="AG1095" s="14" t="n">
        <f aca="false">0</f>
        <v>0</v>
      </c>
      <c r="AH1095" s="14" t="n">
        <f aca="false">0</f>
        <v>0</v>
      </c>
      <c r="AI1095" s="14" t="n">
        <f aca="false">0</f>
        <v>0</v>
      </c>
      <c r="AJ1095" s="14" t="n">
        <f aca="false">0</f>
        <v>0</v>
      </c>
      <c r="AK1095" s="14" t="n">
        <f aca="false">0</f>
        <v>0</v>
      </c>
      <c r="AL1095" s="14" t="n">
        <f aca="false">0</f>
        <v>0</v>
      </c>
      <c r="AM1095" s="14" t="n">
        <f aca="false">0</f>
        <v>0</v>
      </c>
      <c r="AN1095" s="14" t="n">
        <f aca="false">0</f>
        <v>0</v>
      </c>
      <c r="AO1095" s="14" t="n">
        <f aca="false">0</f>
        <v>0</v>
      </c>
      <c r="AP1095" s="14" t="n">
        <f aca="false">0</f>
        <v>0</v>
      </c>
      <c r="AQ1095" s="14" t="n">
        <f aca="false">0</f>
        <v>0</v>
      </c>
      <c r="AR1095" s="14" t="n">
        <f aca="false">0</f>
        <v>0</v>
      </c>
      <c r="AS1095" s="14" t="n">
        <f aca="false">0</f>
        <v>0</v>
      </c>
      <c r="AT1095" s="14" t="n">
        <f aca="false">0</f>
        <v>0</v>
      </c>
      <c r="AU1095" s="14" t="n">
        <f aca="false">0</f>
        <v>0</v>
      </c>
    </row>
    <row r="1096" customFormat="false" ht="15" hidden="false" customHeight="false" outlineLevel="0" collapsed="false">
      <c r="D1096" s="0" t="s">
        <v>701</v>
      </c>
      <c r="E1096" s="0" t="s">
        <v>458</v>
      </c>
      <c r="J1096" s="14" t="n">
        <f aca="false">1</f>
        <v>1</v>
      </c>
      <c r="K1096" s="14" t="n">
        <f aca="false">1</f>
        <v>1</v>
      </c>
      <c r="L1096" s="14" t="n">
        <f aca="false">1</f>
        <v>1</v>
      </c>
      <c r="M1096" s="14" t="n">
        <f aca="false">1</f>
        <v>1</v>
      </c>
      <c r="N1096" s="14" t="n">
        <f aca="false">1</f>
        <v>1</v>
      </c>
      <c r="O1096" s="14" t="n">
        <f aca="false">1</f>
        <v>1</v>
      </c>
      <c r="P1096" s="14" t="n">
        <f aca="false">1</f>
        <v>1</v>
      </c>
      <c r="Q1096" s="14" t="n">
        <f aca="false">1</f>
        <v>1</v>
      </c>
      <c r="R1096" s="14" t="n">
        <f aca="false">1</f>
        <v>1</v>
      </c>
      <c r="S1096" s="14" t="n">
        <f aca="false">1</f>
        <v>1</v>
      </c>
      <c r="T1096" s="14" t="n">
        <f aca="false">1</f>
        <v>1</v>
      </c>
      <c r="U1096" s="14" t="n">
        <f aca="false">1</f>
        <v>1</v>
      </c>
      <c r="V1096" s="14" t="n">
        <f aca="false">1</f>
        <v>1</v>
      </c>
      <c r="W1096" s="14" t="n">
        <f aca="false">1</f>
        <v>1</v>
      </c>
      <c r="X1096" s="14" t="n">
        <f aca="false">1</f>
        <v>1</v>
      </c>
      <c r="Y1096" s="14" t="n">
        <f aca="false">1</f>
        <v>1</v>
      </c>
      <c r="Z1096" s="14" t="n">
        <f aca="false">1</f>
        <v>1</v>
      </c>
      <c r="AA1096" s="14" t="n">
        <f aca="false">1</f>
        <v>1</v>
      </c>
      <c r="AB1096" s="14" t="n">
        <f aca="false">1</f>
        <v>1</v>
      </c>
      <c r="AC1096" s="14" t="n">
        <f aca="false">1</f>
        <v>1</v>
      </c>
      <c r="AD1096" s="14" t="n">
        <f aca="false">1</f>
        <v>1</v>
      </c>
      <c r="AE1096" s="14" t="n">
        <f aca="false">1</f>
        <v>1</v>
      </c>
      <c r="AF1096" s="14" t="n">
        <f aca="false">1</f>
        <v>1</v>
      </c>
      <c r="AG1096" s="14" t="n">
        <f aca="false">1</f>
        <v>1</v>
      </c>
      <c r="AH1096" s="14" t="n">
        <f aca="false">1</f>
        <v>1</v>
      </c>
      <c r="AI1096" s="14" t="n">
        <f aca="false">1</f>
        <v>1</v>
      </c>
      <c r="AJ1096" s="14" t="n">
        <f aca="false">1</f>
        <v>1</v>
      </c>
      <c r="AK1096" s="14" t="n">
        <f aca="false">1</f>
        <v>1</v>
      </c>
      <c r="AL1096" s="14" t="n">
        <f aca="false">1</f>
        <v>1</v>
      </c>
      <c r="AM1096" s="14" t="n">
        <f aca="false">1</f>
        <v>1</v>
      </c>
      <c r="AN1096" s="14" t="n">
        <f aca="false">1</f>
        <v>1</v>
      </c>
      <c r="AO1096" s="14" t="n">
        <f aca="false">1</f>
        <v>1</v>
      </c>
      <c r="AP1096" s="14" t="n">
        <f aca="false">1</f>
        <v>1</v>
      </c>
      <c r="AQ1096" s="14" t="n">
        <f aca="false">1</f>
        <v>1</v>
      </c>
      <c r="AR1096" s="14" t="n">
        <f aca="false">1</f>
        <v>1</v>
      </c>
      <c r="AS1096" s="14" t="n">
        <f aca="false">1</f>
        <v>1</v>
      </c>
      <c r="AT1096" s="14" t="n">
        <f aca="false">1</f>
        <v>1</v>
      </c>
      <c r="AU1096" s="14" t="n">
        <f aca="false">1</f>
        <v>1</v>
      </c>
    </row>
    <row r="1097" customFormat="false" ht="15" hidden="false" customHeight="false" outlineLevel="0" collapsed="false">
      <c r="D1097" s="0" t="s">
        <v>702</v>
      </c>
      <c r="E1097" s="0" t="s">
        <v>47</v>
      </c>
      <c r="G1097" s="20" t="n">
        <f aca="false">SUM(J1097:AU1097)</f>
        <v>113.175369836548</v>
      </c>
      <c r="J1097" s="20" t="n">
        <f aca="false">Operations!J1094*(1-Operations!J1095)*Operations!J1068</f>
        <v>0</v>
      </c>
      <c r="K1097" s="20" t="n">
        <f aca="false">Operations!K1094*(1-Operations!K1095)*Operations!K1068</f>
        <v>3.12973635890411</v>
      </c>
      <c r="L1097" s="20" t="n">
        <f aca="false">Operations!L1094*(1-Operations!L1095)*Operations!L1068</f>
        <v>9.3245855125</v>
      </c>
      <c r="M1097" s="20" t="n">
        <f aca="false">Operations!M1094*(1-Operations!M1095)*Operations!M1068</f>
        <v>9.2846412753125</v>
      </c>
      <c r="N1097" s="20" t="n">
        <f aca="false">Operations!N1094*(1-Operations!N1095)*Operations!N1068</f>
        <v>9.24369843219531</v>
      </c>
      <c r="O1097" s="20" t="n">
        <f aca="false">Operations!O1094*(1-Operations!O1095)*Operations!O1068</f>
        <v>9.2017320180002</v>
      </c>
      <c r="P1097" s="20" t="n">
        <f aca="false">Operations!P1094*(1-Operations!P1095)*Operations!P1068</f>
        <v>8.6288862559502</v>
      </c>
      <c r="Q1097" s="20" t="n">
        <f aca="false">Operations!Q1094*(1-Operations!Q1095)*Operations!Q1068</f>
        <v>9.11462547953646</v>
      </c>
      <c r="R1097" s="20" t="n">
        <f aca="false">Operations!R1094*(1-Operations!R1095)*Operations!R1068</f>
        <v>6.74456556506939</v>
      </c>
      <c r="S1097" s="20" t="n">
        <f aca="false">Operations!S1094*(1-Operations!S1095)*Operations!S1068</f>
        <v>4.14990352881299</v>
      </c>
      <c r="T1097" s="20" t="n">
        <f aca="false">Operations!T1094*(1-Operations!T1095)*Operations!T1068</f>
        <v>3.60875782982231</v>
      </c>
      <c r="U1097" s="20" t="n">
        <f aca="false">Operations!U1094*(1-Operations!U1095)*Operations!U1068</f>
        <v>4.23706176504899</v>
      </c>
      <c r="V1097" s="20" t="n">
        <f aca="false">Operations!V1094*(1-Operations!V1095)*Operations!V1068</f>
        <v>4.28028548636272</v>
      </c>
      <c r="W1097" s="20" t="n">
        <f aca="false">Operations!W1094*(1-Operations!W1095)*Operations!W1068</f>
        <v>4.32420184820929</v>
      </c>
      <c r="X1097" s="20" t="n">
        <f aca="false">Operations!X1094*(1-Operations!X1095)*Operations!X1068</f>
        <v>4.2906296570809</v>
      </c>
      <c r="Y1097" s="20" t="n">
        <f aca="false">Operations!Y1094*(1-Operations!Y1095)*Operations!Y1068</f>
        <v>4.25025708322022</v>
      </c>
      <c r="Z1097" s="20" t="n">
        <f aca="false">Operations!Z1094*(1-Operations!Z1095)*Operations!Z1068</f>
        <v>4.20812664079048</v>
      </c>
      <c r="AA1097" s="20" t="n">
        <f aca="false">Operations!AA1094*(1-Operations!AA1095)*Operations!AA1068</f>
        <v>4.16501432654536</v>
      </c>
      <c r="AB1097" s="20" t="n">
        <f aca="false">Operations!AB1094*(1-Operations!AB1095)*Operations!AB1068</f>
        <v>4.11880335589908</v>
      </c>
      <c r="AC1097" s="20" t="n">
        <f aca="false">Operations!AC1094*(1-Operations!AC1095)*Operations!AC1068</f>
        <v>4.07044265230805</v>
      </c>
      <c r="AD1097" s="20" t="n">
        <f aca="false">Operations!AD1094*(1-Operations!AD1095)*Operations!AD1068</f>
        <v>4.02100491047519</v>
      </c>
      <c r="AE1097" s="20" t="n">
        <f aca="false">Operations!AE1094*(1-Operations!AE1095)*Operations!AE1068</f>
        <v>-1.22159014549543</v>
      </c>
      <c r="AF1097" s="20" t="n">
        <f aca="false">Operations!AF1094*(1-Operations!AF1095)*Operations!AF1068</f>
        <v>0</v>
      </c>
      <c r="AG1097" s="20" t="n">
        <f aca="false">Operations!AG1094*(1-Operations!AG1095)*Operations!AG1068</f>
        <v>0</v>
      </c>
      <c r="AH1097" s="20" t="n">
        <f aca="false">Operations!AH1094*(1-Operations!AH1095)*Operations!AH1068</f>
        <v>0</v>
      </c>
      <c r="AI1097" s="20" t="n">
        <f aca="false">Operations!AI1094*(1-Operations!AI1095)*Operations!AI1068</f>
        <v>0</v>
      </c>
      <c r="AJ1097" s="20" t="n">
        <f aca="false">Operations!AJ1094*(1-Operations!AJ1095)*Operations!AJ1068</f>
        <v>0</v>
      </c>
      <c r="AK1097" s="20" t="n">
        <f aca="false">Operations!AK1094*(1-Operations!AK1095)*Operations!AK1068</f>
        <v>0</v>
      </c>
      <c r="AL1097" s="20" t="n">
        <f aca="false">Operations!AL1094*(1-Operations!AL1095)*Operations!AL1068</f>
        <v>0</v>
      </c>
      <c r="AM1097" s="20" t="n">
        <f aca="false">Operations!AM1094*(1-Operations!AM1095)*Operations!AM1068</f>
        <v>0</v>
      </c>
      <c r="AN1097" s="20" t="n">
        <f aca="false">Operations!AN1094*(1-Operations!AN1095)*Operations!AN1068</f>
        <v>0</v>
      </c>
      <c r="AO1097" s="20" t="n">
        <f aca="false">Operations!AO1094*(1-Operations!AO1095)*Operations!AO1068</f>
        <v>0</v>
      </c>
      <c r="AP1097" s="20" t="n">
        <f aca="false">Operations!AP1094*(1-Operations!AP1095)*Operations!AP1068</f>
        <v>0</v>
      </c>
      <c r="AQ1097" s="20" t="n">
        <f aca="false">Operations!AQ1094*(1-Operations!AQ1095)*Operations!AQ1068</f>
        <v>0</v>
      </c>
      <c r="AR1097" s="20" t="n">
        <f aca="false">Operations!AR1094*(1-Operations!AR1095)*Operations!AR1068</f>
        <v>0</v>
      </c>
      <c r="AS1097" s="20" t="n">
        <f aca="false">Operations!AS1094*(1-Operations!AS1095)*Operations!AS1068</f>
        <v>0</v>
      </c>
      <c r="AT1097" s="20" t="n">
        <f aca="false">Operations!AT1094*(1-Operations!AT1095)*Operations!AT1068</f>
        <v>0</v>
      </c>
      <c r="AU1097" s="20" t="n">
        <f aca="false">Operations!AU1094*(1-Operations!AU1095)*Operations!AU1068</f>
        <v>0</v>
      </c>
    </row>
    <row r="1098" customFormat="false" ht="15" hidden="false" customHeight="false" outlineLevel="0" collapsed="false">
      <c r="D1098" s="0" t="s">
        <v>703</v>
      </c>
      <c r="E1098" s="0" t="s">
        <v>47</v>
      </c>
      <c r="J1098" s="20" t="n">
        <f aca="false">Operations!J1094*Operations!J1096*Operations!J1068</f>
        <v>0</v>
      </c>
      <c r="K1098" s="20" t="n">
        <f aca="false">Operations!K1094*Operations!K1096*Operations!K1068</f>
        <v>3.12973635890411</v>
      </c>
      <c r="L1098" s="20" t="n">
        <f aca="false">Operations!L1094*Operations!L1096*Operations!L1068</f>
        <v>9.3245855125</v>
      </c>
      <c r="M1098" s="20" t="n">
        <f aca="false">Operations!M1094*Operations!M1096*Operations!M1068</f>
        <v>9.2846412753125</v>
      </c>
      <c r="N1098" s="20" t="n">
        <f aca="false">Operations!N1094*Operations!N1096*Operations!N1068</f>
        <v>9.24369843219531</v>
      </c>
      <c r="O1098" s="20" t="n">
        <f aca="false">Operations!O1094*Operations!O1096*Operations!O1068</f>
        <v>9.2017320180002</v>
      </c>
      <c r="P1098" s="20" t="n">
        <f aca="false">Operations!P1094*Operations!P1096*Operations!P1068</f>
        <v>8.6288862559502</v>
      </c>
      <c r="Q1098" s="20" t="n">
        <f aca="false">Operations!Q1094*Operations!Q1096*Operations!Q1068</f>
        <v>9.11462547953646</v>
      </c>
      <c r="R1098" s="20" t="n">
        <f aca="false">Operations!R1094*Operations!R1096*Operations!R1068</f>
        <v>6.74456556506939</v>
      </c>
      <c r="S1098" s="20" t="n">
        <f aca="false">Operations!S1094*Operations!S1096*Operations!S1068</f>
        <v>4.14990352881299</v>
      </c>
      <c r="T1098" s="20" t="n">
        <f aca="false">Operations!T1094*Operations!T1096*Operations!T1068</f>
        <v>3.60875782982231</v>
      </c>
      <c r="U1098" s="20" t="n">
        <f aca="false">Operations!U1094*Operations!U1096*Operations!U1068</f>
        <v>4.23706176504899</v>
      </c>
      <c r="V1098" s="20" t="n">
        <f aca="false">Operations!V1094*Operations!V1096*Operations!V1068</f>
        <v>4.28028548636272</v>
      </c>
      <c r="W1098" s="20" t="n">
        <f aca="false">Operations!W1094*Operations!W1096*Operations!W1068</f>
        <v>4.32420184820929</v>
      </c>
      <c r="X1098" s="20" t="n">
        <f aca="false">Operations!X1094*Operations!X1096*Operations!X1068</f>
        <v>4.2906296570809</v>
      </c>
      <c r="Y1098" s="20" t="n">
        <f aca="false">Operations!Y1094*Operations!Y1096*Operations!Y1068</f>
        <v>4.25025708322022</v>
      </c>
      <c r="Z1098" s="20" t="n">
        <f aca="false">Operations!Z1094*Operations!Z1096*Operations!Z1068</f>
        <v>4.20812664079048</v>
      </c>
      <c r="AA1098" s="20" t="n">
        <f aca="false">Operations!AA1094*Operations!AA1096*Operations!AA1068</f>
        <v>4.16501432654536</v>
      </c>
      <c r="AB1098" s="20" t="n">
        <f aca="false">Operations!AB1094*Operations!AB1096*Operations!AB1068</f>
        <v>4.11880335589908</v>
      </c>
      <c r="AC1098" s="20" t="n">
        <f aca="false">Operations!AC1094*Operations!AC1096*Operations!AC1068</f>
        <v>4.07044265230805</v>
      </c>
      <c r="AD1098" s="20" t="n">
        <f aca="false">Operations!AD1094*Operations!AD1096*Operations!AD1068</f>
        <v>4.02100491047519</v>
      </c>
      <c r="AE1098" s="20" t="n">
        <f aca="false">Operations!AE1094*Operations!AE1096*Operations!AE1068</f>
        <v>-1.22159014549543</v>
      </c>
      <c r="AF1098" s="20" t="n">
        <f aca="false">Operations!AF1094*Operations!AF1096*Operations!AF1068</f>
        <v>0</v>
      </c>
      <c r="AG1098" s="20" t="n">
        <f aca="false">Operations!AG1094*Operations!AG1096*Operations!AG1068</f>
        <v>0</v>
      </c>
      <c r="AH1098" s="20" t="n">
        <f aca="false">Operations!AH1094*Operations!AH1096*Operations!AH1068</f>
        <v>0</v>
      </c>
      <c r="AI1098" s="20" t="n">
        <f aca="false">Operations!AI1094*Operations!AI1096*Operations!AI1068</f>
        <v>0</v>
      </c>
      <c r="AJ1098" s="20" t="n">
        <f aca="false">Operations!AJ1094*Operations!AJ1096*Operations!AJ1068</f>
        <v>0</v>
      </c>
      <c r="AK1098" s="20" t="n">
        <f aca="false">Operations!AK1094*Operations!AK1096*Operations!AK1068</f>
        <v>0</v>
      </c>
      <c r="AL1098" s="20" t="n">
        <f aca="false">Operations!AL1094*Operations!AL1096*Operations!AL1068</f>
        <v>0</v>
      </c>
      <c r="AM1098" s="20" t="n">
        <f aca="false">Operations!AM1094*Operations!AM1096*Operations!AM1068</f>
        <v>0</v>
      </c>
      <c r="AN1098" s="20" t="n">
        <f aca="false">Operations!AN1094*Operations!AN1096*Operations!AN1068</f>
        <v>0</v>
      </c>
      <c r="AO1098" s="20" t="n">
        <f aca="false">Operations!AO1094*Operations!AO1096*Operations!AO1068</f>
        <v>0</v>
      </c>
      <c r="AP1098" s="20" t="n">
        <f aca="false">Operations!AP1094*Operations!AP1096*Operations!AP1068</f>
        <v>0</v>
      </c>
      <c r="AQ1098" s="20" t="n">
        <f aca="false">Operations!AQ1094*Operations!AQ1096*Operations!AQ1068</f>
        <v>0</v>
      </c>
      <c r="AR1098" s="20" t="n">
        <f aca="false">Operations!AR1094*Operations!AR1096*Operations!AR1068</f>
        <v>0</v>
      </c>
      <c r="AS1098" s="20" t="n">
        <f aca="false">Operations!AS1094*Operations!AS1096*Operations!AS1068</f>
        <v>0</v>
      </c>
      <c r="AT1098" s="20" t="n">
        <f aca="false">Operations!AT1094*Operations!AT1096*Operations!AT1068</f>
        <v>0</v>
      </c>
      <c r="AU1098" s="20" t="n">
        <f aca="false">Operations!AU1094*Operations!AU1096*Operations!AU1068</f>
        <v>0</v>
      </c>
    </row>
    <row r="1099" customFormat="false" ht="15" hidden="false" customHeight="false" outlineLevel="0" collapsed="false">
      <c r="D1099" s="0" t="s">
        <v>704</v>
      </c>
      <c r="E1099" s="0" t="s">
        <v>47</v>
      </c>
      <c r="J1099" s="20" t="n">
        <f aca="false">Operations!J1097-Inputs!$F$248/100*Operations!J1098</f>
        <v>0</v>
      </c>
      <c r="K1099" s="20" t="n">
        <f aca="false">Operations!K1097-Inputs!$F$248/100*Operations!K1098</f>
        <v>2.47249172353425</v>
      </c>
      <c r="L1099" s="20" t="n">
        <f aca="false">Operations!L1097-Inputs!$F$248/100*Operations!L1098</f>
        <v>7.366422554875</v>
      </c>
      <c r="M1099" s="20" t="n">
        <f aca="false">Operations!M1097-Inputs!$F$248/100*Operations!M1098</f>
        <v>7.33486660749688</v>
      </c>
      <c r="N1099" s="20" t="n">
        <f aca="false">Operations!N1097-Inputs!$F$248/100*Operations!N1098</f>
        <v>7.3025217614343</v>
      </c>
      <c r="O1099" s="20" t="n">
        <f aca="false">Operations!O1097-Inputs!$F$248/100*Operations!O1098</f>
        <v>7.26936829422016</v>
      </c>
      <c r="P1099" s="20" t="n">
        <f aca="false">Operations!P1097-Inputs!$F$248/100*Operations!P1098</f>
        <v>6.81682014220066</v>
      </c>
      <c r="Q1099" s="20" t="n">
        <f aca="false">Operations!Q1097-Inputs!$F$248/100*Operations!Q1098</f>
        <v>7.2005541288338</v>
      </c>
      <c r="R1099" s="20" t="n">
        <f aca="false">Operations!R1097-Inputs!$F$248/100*Operations!R1098</f>
        <v>5.32820679640482</v>
      </c>
      <c r="S1099" s="20" t="n">
        <f aca="false">Operations!S1097-Inputs!$F$248/100*Operations!S1098</f>
        <v>3.27842378776226</v>
      </c>
      <c r="T1099" s="20" t="n">
        <f aca="false">Operations!T1097-Inputs!$F$248/100*Operations!T1098</f>
        <v>2.85091868555962</v>
      </c>
      <c r="U1099" s="20" t="n">
        <f aca="false">Operations!U1097-Inputs!$F$248/100*Operations!U1098</f>
        <v>3.3472787943887</v>
      </c>
      <c r="V1099" s="20" t="n">
        <f aca="false">Operations!V1097-Inputs!$F$248/100*Operations!V1098</f>
        <v>3.38142553422655</v>
      </c>
      <c r="W1099" s="20" t="n">
        <f aca="false">Operations!W1097-Inputs!$F$248/100*Operations!W1098</f>
        <v>3.41611946008534</v>
      </c>
      <c r="X1099" s="20" t="n">
        <f aca="false">Operations!X1097-Inputs!$F$248/100*Operations!X1098</f>
        <v>3.38959742909391</v>
      </c>
      <c r="Y1099" s="20" t="n">
        <f aca="false">Operations!Y1097-Inputs!$F$248/100*Operations!Y1098</f>
        <v>3.35770309574397</v>
      </c>
      <c r="Z1099" s="20" t="n">
        <f aca="false">Operations!Z1097-Inputs!$F$248/100*Operations!Z1098</f>
        <v>3.32442004622448</v>
      </c>
      <c r="AA1099" s="20" t="n">
        <f aca="false">Operations!AA1097-Inputs!$F$248/100*Operations!AA1098</f>
        <v>3.29036131797083</v>
      </c>
      <c r="AB1099" s="20" t="n">
        <f aca="false">Operations!AB1097-Inputs!$F$248/100*Operations!AB1098</f>
        <v>3.25385465116028</v>
      </c>
      <c r="AC1099" s="20" t="n">
        <f aca="false">Operations!AC1097-Inputs!$F$248/100*Operations!AC1098</f>
        <v>3.21564969532336</v>
      </c>
      <c r="AD1099" s="20" t="n">
        <f aca="false">Operations!AD1097-Inputs!$F$248/100*Operations!AD1098</f>
        <v>3.1765938792754</v>
      </c>
      <c r="AE1099" s="20" t="n">
        <f aca="false">Operations!AE1097-Inputs!$F$248/100*Operations!AE1098</f>
        <v>-0.96505621494139</v>
      </c>
      <c r="AF1099" s="20" t="n">
        <f aca="false">Operations!AF1097-Inputs!$F$248/100*Operations!AF1098</f>
        <v>0</v>
      </c>
      <c r="AG1099" s="20" t="n">
        <f aca="false">Operations!AG1097-Inputs!$F$248/100*Operations!AG1098</f>
        <v>0</v>
      </c>
      <c r="AH1099" s="20" t="n">
        <f aca="false">Operations!AH1097-Inputs!$F$248/100*Operations!AH1098</f>
        <v>0</v>
      </c>
      <c r="AI1099" s="20" t="n">
        <f aca="false">Operations!AI1097-Inputs!$F$248/100*Operations!AI1098</f>
        <v>0</v>
      </c>
      <c r="AJ1099" s="20" t="n">
        <f aca="false">Operations!AJ1097-Inputs!$F$248/100*Operations!AJ1098</f>
        <v>0</v>
      </c>
      <c r="AK1099" s="20" t="n">
        <f aca="false">Operations!AK1097-Inputs!$F$248/100*Operations!AK1098</f>
        <v>0</v>
      </c>
      <c r="AL1099" s="20" t="n">
        <f aca="false">Operations!AL1097-Inputs!$F$248/100*Operations!AL1098</f>
        <v>0</v>
      </c>
      <c r="AM1099" s="20" t="n">
        <f aca="false">Operations!AM1097-Inputs!$F$248/100*Operations!AM1098</f>
        <v>0</v>
      </c>
      <c r="AN1099" s="20" t="n">
        <f aca="false">Operations!AN1097-Inputs!$F$248/100*Operations!AN1098</f>
        <v>0</v>
      </c>
      <c r="AO1099" s="20" t="n">
        <f aca="false">Operations!AO1097-Inputs!$F$248/100*Operations!AO1098</f>
        <v>0</v>
      </c>
      <c r="AP1099" s="20" t="n">
        <f aca="false">Operations!AP1097-Inputs!$F$248/100*Operations!AP1098</f>
        <v>0</v>
      </c>
      <c r="AQ1099" s="20" t="n">
        <f aca="false">Operations!AQ1097-Inputs!$F$248/100*Operations!AQ1098</f>
        <v>0</v>
      </c>
      <c r="AR1099" s="20" t="n">
        <f aca="false">Operations!AR1097-Inputs!$F$248/100*Operations!AR1098</f>
        <v>0</v>
      </c>
      <c r="AS1099" s="20" t="n">
        <f aca="false">Operations!AS1097-Inputs!$F$248/100*Operations!AS1098</f>
        <v>0</v>
      </c>
      <c r="AT1099" s="20" t="n">
        <f aca="false">Operations!AT1097-Inputs!$F$248/100*Operations!AT1098</f>
        <v>0</v>
      </c>
      <c r="AU1099" s="20" t="n">
        <f aca="false">Operations!AU1097-Inputs!$F$248/100*Operations!AU1098</f>
        <v>0</v>
      </c>
    </row>
    <row r="1100" customFormat="false" ht="15" hidden="false" customHeight="false" outlineLevel="0" collapsed="false">
      <c r="D1100" s="0" t="s">
        <v>705</v>
      </c>
      <c r="E1100" s="0" t="s">
        <v>458</v>
      </c>
      <c r="J1100" s="14" t="n">
        <f aca="false">IF(Operations!J1085=0,0,Operations!J1083/Operations!J1085)</f>
        <v>0</v>
      </c>
      <c r="K1100" s="14" t="n">
        <f aca="false">IF(Operations!K1085=0,0,Operations!K1083/Operations!K1085)</f>
        <v>1</v>
      </c>
      <c r="L1100" s="14" t="n">
        <f aca="false">IF(Operations!L1085=0,0,Operations!L1083/Operations!L1085)</f>
        <v>1</v>
      </c>
      <c r="M1100" s="14" t="n">
        <f aca="false">IF(Operations!M1085=0,0,Operations!M1083/Operations!M1085)</f>
        <v>1</v>
      </c>
      <c r="N1100" s="14" t="n">
        <f aca="false">IF(Operations!N1085=0,0,Operations!N1083/Operations!N1085)</f>
        <v>1</v>
      </c>
      <c r="O1100" s="14" t="n">
        <f aca="false">IF(Operations!O1085=0,0,Operations!O1083/Operations!O1085)</f>
        <v>1</v>
      </c>
      <c r="P1100" s="14" t="n">
        <f aca="false">IF(Operations!P1085=0,0,Operations!P1083/Operations!P1085)</f>
        <v>1</v>
      </c>
      <c r="Q1100" s="14" t="n">
        <f aca="false">IF(Operations!Q1085=0,0,Operations!Q1083/Operations!Q1085)</f>
        <v>1</v>
      </c>
      <c r="R1100" s="14" t="n">
        <f aca="false">IF(Operations!R1085=0,0,Operations!R1083/Operations!R1085)</f>
        <v>0.675232844138055</v>
      </c>
      <c r="S1100" s="14" t="n">
        <f aca="false">IF(Operations!S1085=0,0,Operations!S1083/Operations!S1085)</f>
        <v>0</v>
      </c>
      <c r="T1100" s="14" t="n">
        <f aca="false">IF(Operations!T1085=0,0,Operations!T1083/Operations!T1085)</f>
        <v>0</v>
      </c>
      <c r="U1100" s="14" t="n">
        <f aca="false">IF(Operations!U1085=0,0,Operations!U1083/Operations!U1085)</f>
        <v>0</v>
      </c>
      <c r="V1100" s="14" t="n">
        <f aca="false">IF(Operations!V1085=0,0,Operations!V1083/Operations!V1085)</f>
        <v>0</v>
      </c>
      <c r="W1100" s="14" t="n">
        <f aca="false">IF(Operations!W1085=0,0,Operations!W1083/Operations!W1085)</f>
        <v>0</v>
      </c>
      <c r="X1100" s="14" t="n">
        <f aca="false">IF(Operations!X1085=0,0,Operations!X1083/Operations!X1085)</f>
        <v>0</v>
      </c>
      <c r="Y1100" s="14" t="n">
        <f aca="false">IF(Operations!Y1085=0,0,Operations!Y1083/Operations!Y1085)</f>
        <v>0</v>
      </c>
      <c r="Z1100" s="14" t="n">
        <f aca="false">IF(Operations!Z1085=0,0,Operations!Z1083/Operations!Z1085)</f>
        <v>0</v>
      </c>
      <c r="AA1100" s="14" t="n">
        <f aca="false">IF(Operations!AA1085=0,0,Operations!AA1083/Operations!AA1085)</f>
        <v>0</v>
      </c>
      <c r="AB1100" s="14" t="n">
        <f aca="false">IF(Operations!AB1085=0,0,Operations!AB1083/Operations!AB1085)</f>
        <v>0</v>
      </c>
      <c r="AC1100" s="14" t="n">
        <f aca="false">IF(Operations!AC1085=0,0,Operations!AC1083/Operations!AC1085)</f>
        <v>0</v>
      </c>
      <c r="AD1100" s="14" t="n">
        <f aca="false">IF(Operations!AD1085=0,0,Operations!AD1083/Operations!AD1085)</f>
        <v>0</v>
      </c>
      <c r="AE1100" s="14" t="n">
        <f aca="false">IF(Operations!AE1085=0,0,Operations!AE1083/Operations!AE1085)</f>
        <v>0</v>
      </c>
      <c r="AF1100" s="14" t="n">
        <f aca="false">IF(Operations!AF1085=0,0,Operations!AF1083/Operations!AF1085)</f>
        <v>0</v>
      </c>
      <c r="AG1100" s="14" t="n">
        <f aca="false">IF(Operations!AG1085=0,0,Operations!AG1083/Operations!AG1085)</f>
        <v>0</v>
      </c>
      <c r="AH1100" s="14" t="n">
        <f aca="false">IF(Operations!AH1085=0,0,Operations!AH1083/Operations!AH1085)</f>
        <v>0</v>
      </c>
      <c r="AI1100" s="14" t="n">
        <f aca="false">IF(Operations!AI1085=0,0,Operations!AI1083/Operations!AI1085)</f>
        <v>0</v>
      </c>
      <c r="AJ1100" s="14" t="n">
        <f aca="false">IF(Operations!AJ1085=0,0,Operations!AJ1083/Operations!AJ1085)</f>
        <v>0</v>
      </c>
      <c r="AK1100" s="14" t="n">
        <f aca="false">IF(Operations!AK1085=0,0,Operations!AK1083/Operations!AK1085)</f>
        <v>0</v>
      </c>
      <c r="AL1100" s="14" t="n">
        <f aca="false">IF(Operations!AL1085=0,0,Operations!AL1083/Operations!AL1085)</f>
        <v>0</v>
      </c>
      <c r="AM1100" s="14" t="n">
        <f aca="false">IF(Operations!AM1085=0,0,Operations!AM1083/Operations!AM1085)</f>
        <v>0</v>
      </c>
      <c r="AN1100" s="14" t="n">
        <f aca="false">IF(Operations!AN1085=0,0,Operations!AN1083/Operations!AN1085)</f>
        <v>0</v>
      </c>
      <c r="AO1100" s="14" t="n">
        <f aca="false">IF(Operations!AO1085=0,0,Operations!AO1083/Operations!AO1085)</f>
        <v>0</v>
      </c>
      <c r="AP1100" s="14" t="n">
        <f aca="false">IF(Operations!AP1085=0,0,Operations!AP1083/Operations!AP1085)</f>
        <v>0</v>
      </c>
      <c r="AQ1100" s="14" t="n">
        <f aca="false">IF(Operations!AQ1085=0,0,Operations!AQ1083/Operations!AQ1085)</f>
        <v>0</v>
      </c>
      <c r="AR1100" s="14" t="n">
        <f aca="false">IF(Operations!AR1085=0,0,Operations!AR1083/Operations!AR1085)</f>
        <v>0</v>
      </c>
      <c r="AS1100" s="14" t="n">
        <f aca="false">IF(Operations!AS1085=0,0,Operations!AS1083/Operations!AS1085)</f>
        <v>0</v>
      </c>
      <c r="AT1100" s="14" t="n">
        <f aca="false">IF(Operations!AT1085=0,0,Operations!AT1083/Operations!AT1085)</f>
        <v>0</v>
      </c>
      <c r="AU1100" s="14" t="n">
        <f aca="false">IF(Operations!AU1085=0,0,Operations!AU1083/Operations!AU1085)</f>
        <v>0</v>
      </c>
    </row>
    <row r="1101" customFormat="false" ht="15" hidden="false" customHeight="false" outlineLevel="0" collapsed="false">
      <c r="D1101" s="0" t="s">
        <v>706</v>
      </c>
      <c r="E1101" s="0" t="s">
        <v>458</v>
      </c>
      <c r="J1101" s="14" t="n">
        <f aca="false">IF(Operations!J1085=0,0,Operations!J1084/Operations!J1085)</f>
        <v>0</v>
      </c>
      <c r="K1101" s="14" t="n">
        <f aca="false">IF(Operations!K1085=0,0,Operations!K1084/Operations!K1085)</f>
        <v>0</v>
      </c>
      <c r="L1101" s="14" t="n">
        <f aca="false">IF(Operations!L1085=0,0,Operations!L1084/Operations!L1085)</f>
        <v>0</v>
      </c>
      <c r="M1101" s="14" t="n">
        <f aca="false">IF(Operations!M1085=0,0,Operations!M1084/Operations!M1085)</f>
        <v>0</v>
      </c>
      <c r="N1101" s="14" t="n">
        <f aca="false">IF(Operations!N1085=0,0,Operations!N1084/Operations!N1085)</f>
        <v>0</v>
      </c>
      <c r="O1101" s="14" t="n">
        <f aca="false">IF(Operations!O1085=0,0,Operations!O1084/Operations!O1085)</f>
        <v>0</v>
      </c>
      <c r="P1101" s="14" t="n">
        <f aca="false">IF(Operations!P1085=0,0,Operations!P1084/Operations!P1085)</f>
        <v>0</v>
      </c>
      <c r="Q1101" s="14" t="n">
        <f aca="false">IF(Operations!Q1085=0,0,Operations!Q1084/Operations!Q1085)</f>
        <v>0</v>
      </c>
      <c r="R1101" s="14" t="n">
        <f aca="false">IF(Operations!R1085=0,0,Operations!R1084/Operations!R1085)</f>
        <v>0</v>
      </c>
      <c r="S1101" s="14" t="n">
        <f aca="false">IF(Operations!S1085=0,0,Operations!S1084/Operations!S1085)</f>
        <v>0</v>
      </c>
      <c r="T1101" s="14" t="n">
        <f aca="false">IF(Operations!T1085=0,0,Operations!T1084/Operations!T1085)</f>
        <v>0</v>
      </c>
      <c r="U1101" s="14" t="n">
        <f aca="false">IF(Operations!U1085=0,0,Operations!U1084/Operations!U1085)</f>
        <v>0</v>
      </c>
      <c r="V1101" s="14" t="n">
        <f aca="false">IF(Operations!V1085=0,0,Operations!V1084/Operations!V1085)</f>
        <v>0</v>
      </c>
      <c r="W1101" s="14" t="n">
        <f aca="false">IF(Operations!W1085=0,0,Operations!W1084/Operations!W1085)</f>
        <v>0</v>
      </c>
      <c r="X1101" s="14" t="n">
        <f aca="false">IF(Operations!X1085=0,0,Operations!X1084/Operations!X1085)</f>
        <v>0</v>
      </c>
      <c r="Y1101" s="14" t="n">
        <f aca="false">IF(Operations!Y1085=0,0,Operations!Y1084/Operations!Y1085)</f>
        <v>0</v>
      </c>
      <c r="Z1101" s="14" t="n">
        <f aca="false">IF(Operations!Z1085=0,0,Operations!Z1084/Operations!Z1085)</f>
        <v>0</v>
      </c>
      <c r="AA1101" s="14" t="n">
        <f aca="false">IF(Operations!AA1085=0,0,Operations!AA1084/Operations!AA1085)</f>
        <v>0</v>
      </c>
      <c r="AB1101" s="14" t="n">
        <f aca="false">IF(Operations!AB1085=0,0,Operations!AB1084/Operations!AB1085)</f>
        <v>0</v>
      </c>
      <c r="AC1101" s="14" t="n">
        <f aca="false">IF(Operations!AC1085=0,0,Operations!AC1084/Operations!AC1085)</f>
        <v>0</v>
      </c>
      <c r="AD1101" s="14" t="n">
        <f aca="false">IF(Operations!AD1085=0,0,Operations!AD1084/Operations!AD1085)</f>
        <v>0</v>
      </c>
      <c r="AE1101" s="14" t="n">
        <f aca="false">IF(Operations!AE1085=0,0,Operations!AE1084/Operations!AE1085)</f>
        <v>0</v>
      </c>
      <c r="AF1101" s="14" t="n">
        <f aca="false">IF(Operations!AF1085=0,0,Operations!AF1084/Operations!AF1085)</f>
        <v>0</v>
      </c>
      <c r="AG1101" s="14" t="n">
        <f aca="false">IF(Operations!AG1085=0,0,Operations!AG1084/Operations!AG1085)</f>
        <v>0</v>
      </c>
      <c r="AH1101" s="14" t="n">
        <f aca="false">IF(Operations!AH1085=0,0,Operations!AH1084/Operations!AH1085)</f>
        <v>0</v>
      </c>
      <c r="AI1101" s="14" t="n">
        <f aca="false">IF(Operations!AI1085=0,0,Operations!AI1084/Operations!AI1085)</f>
        <v>0</v>
      </c>
      <c r="AJ1101" s="14" t="n">
        <f aca="false">IF(Operations!AJ1085=0,0,Operations!AJ1084/Operations!AJ1085)</f>
        <v>0</v>
      </c>
      <c r="AK1101" s="14" t="n">
        <f aca="false">IF(Operations!AK1085=0,0,Operations!AK1084/Operations!AK1085)</f>
        <v>0</v>
      </c>
      <c r="AL1101" s="14" t="n">
        <f aca="false">IF(Operations!AL1085=0,0,Operations!AL1084/Operations!AL1085)</f>
        <v>0</v>
      </c>
      <c r="AM1101" s="14" t="n">
        <f aca="false">IF(Operations!AM1085=0,0,Operations!AM1084/Operations!AM1085)</f>
        <v>0</v>
      </c>
      <c r="AN1101" s="14" t="n">
        <f aca="false">IF(Operations!AN1085=0,0,Operations!AN1084/Operations!AN1085)</f>
        <v>0</v>
      </c>
      <c r="AO1101" s="14" t="n">
        <f aca="false">IF(Operations!AO1085=0,0,Operations!AO1084/Operations!AO1085)</f>
        <v>0</v>
      </c>
      <c r="AP1101" s="14" t="n">
        <f aca="false">IF(Operations!AP1085=0,0,Operations!AP1084/Operations!AP1085)</f>
        <v>0</v>
      </c>
      <c r="AQ1101" s="14" t="n">
        <f aca="false">IF(Operations!AQ1085=0,0,Operations!AQ1084/Operations!AQ1085)</f>
        <v>0</v>
      </c>
      <c r="AR1101" s="14" t="n">
        <f aca="false">IF(Operations!AR1085=0,0,Operations!AR1084/Operations!AR1085)</f>
        <v>0</v>
      </c>
      <c r="AS1101" s="14" t="n">
        <f aca="false">IF(Operations!AS1085=0,0,Operations!AS1084/Operations!AS1085)</f>
        <v>0</v>
      </c>
      <c r="AT1101" s="14" t="n">
        <f aca="false">IF(Operations!AT1085=0,0,Operations!AT1084/Operations!AT1085)</f>
        <v>0</v>
      </c>
      <c r="AU1101" s="14" t="n">
        <f aca="false">IF(Operations!AU1085=0,0,Operations!AU1084/Operations!AU1085)</f>
        <v>0</v>
      </c>
    </row>
    <row r="1102" customFormat="false" ht="15" hidden="false" customHeight="false" outlineLevel="0" collapsed="false">
      <c r="D1102" s="0" t="s">
        <v>707</v>
      </c>
      <c r="E1102" s="0" t="s">
        <v>458</v>
      </c>
      <c r="J1102" s="14" t="n">
        <f aca="false">1-Operations!J1100-Operations!J1101</f>
        <v>1</v>
      </c>
      <c r="K1102" s="14" t="n">
        <f aca="false">1-Operations!K1100-Operations!K1101</f>
        <v>0</v>
      </c>
      <c r="L1102" s="14" t="n">
        <f aca="false">1-Operations!L1100-Operations!L1101</f>
        <v>0</v>
      </c>
      <c r="M1102" s="14" t="n">
        <f aca="false">1-Operations!M1100-Operations!M1101</f>
        <v>0</v>
      </c>
      <c r="N1102" s="14" t="n">
        <f aca="false">1-Operations!N1100-Operations!N1101</f>
        <v>0</v>
      </c>
      <c r="O1102" s="14" t="n">
        <f aca="false">1-Operations!O1100-Operations!O1101</f>
        <v>0</v>
      </c>
      <c r="P1102" s="14" t="n">
        <f aca="false">1-Operations!P1100-Operations!P1101</f>
        <v>0</v>
      </c>
      <c r="Q1102" s="14" t="n">
        <f aca="false">1-Operations!Q1100-Operations!Q1101</f>
        <v>0</v>
      </c>
      <c r="R1102" s="14" t="n">
        <f aca="false">1-Operations!R1100-Operations!R1101</f>
        <v>0.324767155861945</v>
      </c>
      <c r="S1102" s="14" t="n">
        <f aca="false">1-Operations!S1100-Operations!S1101</f>
        <v>1</v>
      </c>
      <c r="T1102" s="14" t="n">
        <f aca="false">1-Operations!T1100-Operations!T1101</f>
        <v>1</v>
      </c>
      <c r="U1102" s="14" t="n">
        <f aca="false">1-Operations!U1100-Operations!U1101</f>
        <v>1</v>
      </c>
      <c r="V1102" s="14" t="n">
        <f aca="false">1-Operations!V1100-Operations!V1101</f>
        <v>1</v>
      </c>
      <c r="W1102" s="14" t="n">
        <f aca="false">1-Operations!W1100-Operations!W1101</f>
        <v>1</v>
      </c>
      <c r="X1102" s="14" t="n">
        <f aca="false">1-Operations!X1100-Operations!X1101</f>
        <v>1</v>
      </c>
      <c r="Y1102" s="14" t="n">
        <f aca="false">1-Operations!Y1100-Operations!Y1101</f>
        <v>1</v>
      </c>
      <c r="Z1102" s="14" t="n">
        <f aca="false">1-Operations!Z1100-Operations!Z1101</f>
        <v>1</v>
      </c>
      <c r="AA1102" s="14" t="n">
        <f aca="false">1-Operations!AA1100-Operations!AA1101</f>
        <v>1</v>
      </c>
      <c r="AB1102" s="14" t="n">
        <f aca="false">1-Operations!AB1100-Operations!AB1101</f>
        <v>1</v>
      </c>
      <c r="AC1102" s="14" t="n">
        <f aca="false">1-Operations!AC1100-Operations!AC1101</f>
        <v>1</v>
      </c>
      <c r="AD1102" s="14" t="n">
        <f aca="false">1-Operations!AD1100-Operations!AD1101</f>
        <v>1</v>
      </c>
      <c r="AE1102" s="14" t="n">
        <f aca="false">1-Operations!AE1100-Operations!AE1101</f>
        <v>1</v>
      </c>
      <c r="AF1102" s="14" t="n">
        <f aca="false">1-Operations!AF1100-Operations!AF1101</f>
        <v>1</v>
      </c>
      <c r="AG1102" s="14" t="n">
        <f aca="false">1-Operations!AG1100-Operations!AG1101</f>
        <v>1</v>
      </c>
      <c r="AH1102" s="14" t="n">
        <f aca="false">1-Operations!AH1100-Operations!AH1101</f>
        <v>1</v>
      </c>
      <c r="AI1102" s="14" t="n">
        <f aca="false">1-Operations!AI1100-Operations!AI1101</f>
        <v>1</v>
      </c>
      <c r="AJ1102" s="14" t="n">
        <f aca="false">1-Operations!AJ1100-Operations!AJ1101</f>
        <v>1</v>
      </c>
      <c r="AK1102" s="14" t="n">
        <f aca="false">1-Operations!AK1100-Operations!AK1101</f>
        <v>1</v>
      </c>
      <c r="AL1102" s="14" t="n">
        <f aca="false">1-Operations!AL1100-Operations!AL1101</f>
        <v>1</v>
      </c>
      <c r="AM1102" s="14" t="n">
        <f aca="false">1-Operations!AM1100-Operations!AM1101</f>
        <v>1</v>
      </c>
      <c r="AN1102" s="14" t="n">
        <f aca="false">1-Operations!AN1100-Operations!AN1101</f>
        <v>1</v>
      </c>
      <c r="AO1102" s="14" t="n">
        <f aca="false">1-Operations!AO1100-Operations!AO1101</f>
        <v>1</v>
      </c>
      <c r="AP1102" s="14" t="n">
        <f aca="false">1-Operations!AP1100-Operations!AP1101</f>
        <v>1</v>
      </c>
      <c r="AQ1102" s="14" t="n">
        <f aca="false">1-Operations!AQ1100-Operations!AQ1101</f>
        <v>1</v>
      </c>
      <c r="AR1102" s="14" t="n">
        <f aca="false">1-Operations!AR1100-Operations!AR1101</f>
        <v>1</v>
      </c>
      <c r="AS1102" s="14" t="n">
        <f aca="false">1-Operations!AS1100-Operations!AS1101</f>
        <v>1</v>
      </c>
      <c r="AT1102" s="14" t="n">
        <f aca="false">1-Operations!AT1100-Operations!AT1101</f>
        <v>1</v>
      </c>
      <c r="AU1102" s="14" t="n">
        <f aca="false">1-Operations!AU1100-Operations!AU1101</f>
        <v>1</v>
      </c>
    </row>
    <row r="1103" customFormat="false" ht="15" hidden="false" customHeight="false" outlineLevel="0" collapsed="false">
      <c r="D1103" s="0" t="s">
        <v>708</v>
      </c>
      <c r="E1103" s="0" t="s">
        <v>47</v>
      </c>
      <c r="J1103" s="20" t="n">
        <f aca="false">Operations!J1083*Operations!J1068*(1-Operations!J1095)</f>
        <v>0</v>
      </c>
      <c r="K1103" s="20" t="n">
        <f aca="false">Operations!K1083*Operations!K1068*(1-Operations!K1095)</f>
        <v>3.67002739726028</v>
      </c>
      <c r="L1103" s="20" t="n">
        <f aca="false">Operations!L1083*Operations!L1068*(1-Operations!L1095)</f>
        <v>10.98</v>
      </c>
      <c r="M1103" s="20" t="n">
        <f aca="false">Operations!M1083*Operations!M1068*(1-Operations!M1095)</f>
        <v>10.98</v>
      </c>
      <c r="N1103" s="20" t="n">
        <f aca="false">Operations!N1083*Operations!N1068*(1-Operations!N1095)</f>
        <v>10.98</v>
      </c>
      <c r="O1103" s="20" t="n">
        <f aca="false">Operations!O1083*Operations!O1068*(1-Operations!O1095)</f>
        <v>10.98</v>
      </c>
      <c r="P1103" s="20" t="n">
        <f aca="false">Operations!P1083*Operations!P1068*(1-Operations!P1095)</f>
        <v>10.98</v>
      </c>
      <c r="Q1103" s="20" t="n">
        <f aca="false">Operations!Q1083*Operations!Q1068*(1-Operations!Q1095)</f>
        <v>10.98</v>
      </c>
      <c r="R1103" s="20" t="n">
        <f aca="false">Operations!R1083*Operations!R1068*(1-Operations!R1095)</f>
        <v>5.83594520547945</v>
      </c>
      <c r="S1103" s="20" t="n">
        <f aca="false">Operations!S1083*Operations!S1068*(1-Operations!S1095)</f>
        <v>0</v>
      </c>
      <c r="T1103" s="20" t="n">
        <f aca="false">Operations!T1083*Operations!T1068*(1-Operations!T1095)</f>
        <v>0</v>
      </c>
      <c r="U1103" s="20" t="n">
        <f aca="false">Operations!U1083*Operations!U1068*(1-Operations!U1095)</f>
        <v>0</v>
      </c>
      <c r="V1103" s="20" t="n">
        <f aca="false">Operations!V1083*Operations!V1068*(1-Operations!V1095)</f>
        <v>0</v>
      </c>
      <c r="W1103" s="20" t="n">
        <f aca="false">Operations!W1083*Operations!W1068*(1-Operations!W1095)</f>
        <v>0</v>
      </c>
      <c r="X1103" s="20" t="n">
        <f aca="false">Operations!X1083*Operations!X1068*(1-Operations!X1095)</f>
        <v>0</v>
      </c>
      <c r="Y1103" s="20" t="n">
        <f aca="false">Operations!Y1083*Operations!Y1068*(1-Operations!Y1095)</f>
        <v>0</v>
      </c>
      <c r="Z1103" s="20" t="n">
        <f aca="false">Operations!Z1083*Operations!Z1068*(1-Operations!Z1095)</f>
        <v>0</v>
      </c>
      <c r="AA1103" s="20" t="n">
        <f aca="false">Operations!AA1083*Operations!AA1068*(1-Operations!AA1095)</f>
        <v>0</v>
      </c>
      <c r="AB1103" s="20" t="n">
        <f aca="false">Operations!AB1083*Operations!AB1068*(1-Operations!AB1095)</f>
        <v>0</v>
      </c>
      <c r="AC1103" s="20" t="n">
        <f aca="false">Operations!AC1083*Operations!AC1068*(1-Operations!AC1095)</f>
        <v>0</v>
      </c>
      <c r="AD1103" s="20" t="n">
        <f aca="false">Operations!AD1083*Operations!AD1068*(1-Operations!AD1095)</f>
        <v>0</v>
      </c>
      <c r="AE1103" s="20" t="n">
        <f aca="false">Operations!AE1083*Operations!AE1068*(1-Operations!AE1095)</f>
        <v>0</v>
      </c>
      <c r="AF1103" s="20" t="n">
        <f aca="false">Operations!AF1083*Operations!AF1068*(1-Operations!AF1095)</f>
        <v>0</v>
      </c>
      <c r="AG1103" s="20" t="n">
        <f aca="false">Operations!AG1083*Operations!AG1068*(1-Operations!AG1095)</f>
        <v>0</v>
      </c>
      <c r="AH1103" s="20" t="n">
        <f aca="false">Operations!AH1083*Operations!AH1068*(1-Operations!AH1095)</f>
        <v>0</v>
      </c>
      <c r="AI1103" s="20" t="n">
        <f aca="false">Operations!AI1083*Operations!AI1068*(1-Operations!AI1095)</f>
        <v>0</v>
      </c>
      <c r="AJ1103" s="20" t="n">
        <f aca="false">Operations!AJ1083*Operations!AJ1068*(1-Operations!AJ1095)</f>
        <v>0</v>
      </c>
      <c r="AK1103" s="20" t="n">
        <f aca="false">Operations!AK1083*Operations!AK1068*(1-Operations!AK1095)</f>
        <v>0</v>
      </c>
      <c r="AL1103" s="20" t="n">
        <f aca="false">Operations!AL1083*Operations!AL1068*(1-Operations!AL1095)</f>
        <v>0</v>
      </c>
      <c r="AM1103" s="20" t="n">
        <f aca="false">Operations!AM1083*Operations!AM1068*(1-Operations!AM1095)</f>
        <v>0</v>
      </c>
      <c r="AN1103" s="20" t="n">
        <f aca="false">Operations!AN1083*Operations!AN1068*(1-Operations!AN1095)</f>
        <v>0</v>
      </c>
      <c r="AO1103" s="20" t="n">
        <f aca="false">Operations!AO1083*Operations!AO1068*(1-Operations!AO1095)</f>
        <v>0</v>
      </c>
      <c r="AP1103" s="20" t="n">
        <f aca="false">Operations!AP1083*Operations!AP1068*(1-Operations!AP1095)</f>
        <v>0</v>
      </c>
      <c r="AQ1103" s="20" t="n">
        <f aca="false">Operations!AQ1083*Operations!AQ1068*(1-Operations!AQ1095)</f>
        <v>0</v>
      </c>
      <c r="AR1103" s="20" t="n">
        <f aca="false">Operations!AR1083*Operations!AR1068*(1-Operations!AR1095)</f>
        <v>0</v>
      </c>
      <c r="AS1103" s="20" t="n">
        <f aca="false">Operations!AS1083*Operations!AS1068*(1-Operations!AS1095)</f>
        <v>0</v>
      </c>
      <c r="AT1103" s="20" t="n">
        <f aca="false">Operations!AT1083*Operations!AT1068*(1-Operations!AT1095)</f>
        <v>0</v>
      </c>
      <c r="AU1103" s="20" t="n">
        <f aca="false">Operations!AU1083*Operations!AU1068*(1-Operations!AU1095)</f>
        <v>0</v>
      </c>
    </row>
    <row r="1104" customFormat="false" ht="15" hidden="false" customHeight="false" outlineLevel="0" collapsed="false">
      <c r="D1104" s="0" t="s">
        <v>709</v>
      </c>
      <c r="E1104" s="0" t="s">
        <v>47</v>
      </c>
      <c r="J1104" s="20" t="n">
        <f aca="false">Operations!J1084*Operations!J1068*(1-Operations!J1095)</f>
        <v>0</v>
      </c>
      <c r="K1104" s="20" t="n">
        <f aca="false">Operations!K1084*Operations!K1068*(1-Operations!K1095)</f>
        <v>0</v>
      </c>
      <c r="L1104" s="20" t="n">
        <f aca="false">Operations!L1084*Operations!L1068*(1-Operations!L1095)</f>
        <v>0</v>
      </c>
      <c r="M1104" s="20" t="n">
        <f aca="false">Operations!M1084*Operations!M1068*(1-Operations!M1095)</f>
        <v>0</v>
      </c>
      <c r="N1104" s="20" t="n">
        <f aca="false">Operations!N1084*Operations!N1068*(1-Operations!N1095)</f>
        <v>0</v>
      </c>
      <c r="O1104" s="20" t="n">
        <f aca="false">Operations!O1084*Operations!O1068*(1-Operations!O1095)</f>
        <v>0</v>
      </c>
      <c r="P1104" s="20" t="n">
        <f aca="false">Operations!P1084*Operations!P1068*(1-Operations!P1095)</f>
        <v>0</v>
      </c>
      <c r="Q1104" s="20" t="n">
        <f aca="false">Operations!Q1084*Operations!Q1068*(1-Operations!Q1095)</f>
        <v>0</v>
      </c>
      <c r="R1104" s="20" t="n">
        <f aca="false">Operations!R1084*Operations!R1068*(1-Operations!R1095)</f>
        <v>0</v>
      </c>
      <c r="S1104" s="20" t="n">
        <f aca="false">Operations!S1084*Operations!S1068*(1-Operations!S1095)</f>
        <v>0</v>
      </c>
      <c r="T1104" s="20" t="n">
        <f aca="false">Operations!T1084*Operations!T1068*(1-Operations!T1095)</f>
        <v>0</v>
      </c>
      <c r="U1104" s="20" t="n">
        <f aca="false">Operations!U1084*Operations!U1068*(1-Operations!U1095)</f>
        <v>0</v>
      </c>
      <c r="V1104" s="20" t="n">
        <f aca="false">Operations!V1084*Operations!V1068*(1-Operations!V1095)</f>
        <v>0</v>
      </c>
      <c r="W1104" s="20" t="n">
        <f aca="false">Operations!W1084*Operations!W1068*(1-Operations!W1095)</f>
        <v>0</v>
      </c>
      <c r="X1104" s="20" t="n">
        <f aca="false">Operations!X1084*Operations!X1068*(1-Operations!X1095)</f>
        <v>0</v>
      </c>
      <c r="Y1104" s="20" t="n">
        <f aca="false">Operations!Y1084*Operations!Y1068*(1-Operations!Y1095)</f>
        <v>0</v>
      </c>
      <c r="Z1104" s="20" t="n">
        <f aca="false">Operations!Z1084*Operations!Z1068*(1-Operations!Z1095)</f>
        <v>0</v>
      </c>
      <c r="AA1104" s="20" t="n">
        <f aca="false">Operations!AA1084*Operations!AA1068*(1-Operations!AA1095)</f>
        <v>0</v>
      </c>
      <c r="AB1104" s="20" t="n">
        <f aca="false">Operations!AB1084*Operations!AB1068*(1-Operations!AB1095)</f>
        <v>0</v>
      </c>
      <c r="AC1104" s="20" t="n">
        <f aca="false">Operations!AC1084*Operations!AC1068*(1-Operations!AC1095)</f>
        <v>0</v>
      </c>
      <c r="AD1104" s="20" t="n">
        <f aca="false">Operations!AD1084*Operations!AD1068*(1-Operations!AD1095)</f>
        <v>0</v>
      </c>
      <c r="AE1104" s="20" t="n">
        <f aca="false">Operations!AE1084*Operations!AE1068*(1-Operations!AE1095)</f>
        <v>0</v>
      </c>
      <c r="AF1104" s="20" t="n">
        <f aca="false">Operations!AF1084*Operations!AF1068*(1-Operations!AF1095)</f>
        <v>0</v>
      </c>
      <c r="AG1104" s="20" t="n">
        <f aca="false">Operations!AG1084*Operations!AG1068*(1-Operations!AG1095)</f>
        <v>0</v>
      </c>
      <c r="AH1104" s="20" t="n">
        <f aca="false">Operations!AH1084*Operations!AH1068*(1-Operations!AH1095)</f>
        <v>0</v>
      </c>
      <c r="AI1104" s="20" t="n">
        <f aca="false">Operations!AI1084*Operations!AI1068*(1-Operations!AI1095)</f>
        <v>0</v>
      </c>
      <c r="AJ1104" s="20" t="n">
        <f aca="false">Operations!AJ1084*Operations!AJ1068*(1-Operations!AJ1095)</f>
        <v>0</v>
      </c>
      <c r="AK1104" s="20" t="n">
        <f aca="false">Operations!AK1084*Operations!AK1068*(1-Operations!AK1095)</f>
        <v>0</v>
      </c>
      <c r="AL1104" s="20" t="n">
        <f aca="false">Operations!AL1084*Operations!AL1068*(1-Operations!AL1095)</f>
        <v>0</v>
      </c>
      <c r="AM1104" s="20" t="n">
        <f aca="false">Operations!AM1084*Operations!AM1068*(1-Operations!AM1095)</f>
        <v>0</v>
      </c>
      <c r="AN1104" s="20" t="n">
        <f aca="false">Operations!AN1084*Operations!AN1068*(1-Operations!AN1095)</f>
        <v>0</v>
      </c>
      <c r="AO1104" s="20" t="n">
        <f aca="false">Operations!AO1084*Operations!AO1068*(1-Operations!AO1095)</f>
        <v>0</v>
      </c>
      <c r="AP1104" s="20" t="n">
        <f aca="false">Operations!AP1084*Operations!AP1068*(1-Operations!AP1095)</f>
        <v>0</v>
      </c>
      <c r="AQ1104" s="20" t="n">
        <f aca="false">Operations!AQ1084*Operations!AQ1068*(1-Operations!AQ1095)</f>
        <v>0</v>
      </c>
      <c r="AR1104" s="20" t="n">
        <f aca="false">Operations!AR1084*Operations!AR1068*(1-Operations!AR1095)</f>
        <v>0</v>
      </c>
      <c r="AS1104" s="20" t="n">
        <f aca="false">Operations!AS1084*Operations!AS1068*(1-Operations!AS1095)</f>
        <v>0</v>
      </c>
      <c r="AT1104" s="20" t="n">
        <f aca="false">Operations!AT1084*Operations!AT1068*(1-Operations!AT1095)</f>
        <v>0</v>
      </c>
      <c r="AU1104" s="20" t="n">
        <f aca="false">Operations!AU1084*Operations!AU1068*(1-Operations!AU1095)</f>
        <v>0</v>
      </c>
    </row>
    <row r="1105" customFormat="false" ht="15" hidden="false" customHeight="false" outlineLevel="0" collapsed="false">
      <c r="D1105" s="0" t="s">
        <v>710</v>
      </c>
      <c r="E1105" s="0" t="s">
        <v>47</v>
      </c>
      <c r="J1105" s="20" t="n">
        <f aca="false">Operations!J1086*Operations!J1068*(1-Operations!J1095)</f>
        <v>0</v>
      </c>
      <c r="K1105" s="20" t="n">
        <f aca="false">Operations!K1086*Operations!K1068*(1-Operations!K1095)</f>
        <v>0</v>
      </c>
      <c r="L1105" s="20" t="n">
        <f aca="false">Operations!L1086*Operations!L1068*(1-Operations!L1095)</f>
        <v>0</v>
      </c>
      <c r="M1105" s="20" t="n">
        <f aca="false">Operations!M1086*Operations!M1068*(1-Operations!M1095)</f>
        <v>0</v>
      </c>
      <c r="N1105" s="20" t="n">
        <f aca="false">Operations!N1086*Operations!N1068*(1-Operations!N1095)</f>
        <v>0</v>
      </c>
      <c r="O1105" s="20" t="n">
        <f aca="false">Operations!O1086*Operations!O1068*(1-Operations!O1095)</f>
        <v>0</v>
      </c>
      <c r="P1105" s="20" t="n">
        <f aca="false">Operations!P1086*Operations!P1068*(1-Operations!P1095)</f>
        <v>0</v>
      </c>
      <c r="Q1105" s="20" t="n">
        <f aca="false">Operations!Q1086*Operations!Q1068*(1-Operations!Q1095)</f>
        <v>0</v>
      </c>
      <c r="R1105" s="20" t="n">
        <f aca="false">Operations!R1086*Operations!R1068*(1-Operations!R1095)</f>
        <v>2.80691815068493</v>
      </c>
      <c r="S1105" s="20" t="n">
        <f aca="false">Operations!S1086*Operations!S1068*(1-Operations!S1095)</f>
        <v>6.081075</v>
      </c>
      <c r="T1105" s="20" t="n">
        <f aca="false">Operations!T1086*Operations!T1068*(1-Operations!T1095)</f>
        <v>6.172725</v>
      </c>
      <c r="U1105" s="20" t="n">
        <f aca="false">Operations!U1086*Operations!U1068*(1-Operations!U1095)</f>
        <v>6.26535</v>
      </c>
      <c r="V1105" s="20" t="n">
        <f aca="false">Operations!V1086*Operations!V1068*(1-Operations!V1095)</f>
        <v>6.35895</v>
      </c>
      <c r="W1105" s="20" t="n">
        <f aca="false">Operations!W1086*Operations!W1068*(1-Operations!W1095)</f>
        <v>6.4545</v>
      </c>
      <c r="X1105" s="20" t="n">
        <f aca="false">Operations!X1086*Operations!X1068*(1-Operations!X1095)</f>
        <v>6.47343753158219</v>
      </c>
      <c r="Y1105" s="20" t="n">
        <f aca="false">Operations!Y1086*Operations!Y1068*(1-Operations!Y1095)</f>
        <v>6.48685596267123</v>
      </c>
      <c r="Z1105" s="20" t="n">
        <f aca="false">Operations!Z1086*Operations!Z1068*(1-Operations!Z1095)</f>
        <v>6.49985734966438</v>
      </c>
      <c r="AA1105" s="20" t="n">
        <f aca="false">Operations!AA1086*Operations!AA1068*(1-Operations!AA1095)</f>
        <v>6.51325553734932</v>
      </c>
      <c r="AB1105" s="20" t="n">
        <f aca="false">Operations!AB1086*Operations!AB1068*(1-Operations!AB1095)</f>
        <v>6.52495716573288</v>
      </c>
      <c r="AC1105" s="20" t="n">
        <f aca="false">Operations!AC1086*Operations!AC1068*(1-Operations!AC1095)</f>
        <v>6.53595162768493</v>
      </c>
      <c r="AD1105" s="20" t="n">
        <f aca="false">Operations!AD1086*Operations!AD1068*(1-Operations!AD1095)</f>
        <v>6.54735362708219</v>
      </c>
      <c r="AE1105" s="20" t="n">
        <f aca="false">Operations!AE1086*Operations!AE1068*(1-Operations!AE1095)</f>
        <v>3.80910816672712</v>
      </c>
      <c r="AF1105" s="20" t="n">
        <f aca="false">Operations!AF1086*Operations!AF1068*(1-Operations!AF1095)</f>
        <v>0</v>
      </c>
      <c r="AG1105" s="20" t="n">
        <f aca="false">Operations!AG1086*Operations!AG1068*(1-Operations!AG1095)</f>
        <v>0</v>
      </c>
      <c r="AH1105" s="20" t="n">
        <f aca="false">Operations!AH1086*Operations!AH1068*(1-Operations!AH1095)</f>
        <v>0</v>
      </c>
      <c r="AI1105" s="20" t="n">
        <f aca="false">Operations!AI1086*Operations!AI1068*(1-Operations!AI1095)</f>
        <v>0</v>
      </c>
      <c r="AJ1105" s="20" t="n">
        <f aca="false">Operations!AJ1086*Operations!AJ1068*(1-Operations!AJ1095)</f>
        <v>0</v>
      </c>
      <c r="AK1105" s="20" t="n">
        <f aca="false">Operations!AK1086*Operations!AK1068*(1-Operations!AK1095)</f>
        <v>0</v>
      </c>
      <c r="AL1105" s="20" t="n">
        <f aca="false">Operations!AL1086*Operations!AL1068*(1-Operations!AL1095)</f>
        <v>0</v>
      </c>
      <c r="AM1105" s="20" t="n">
        <f aca="false">Operations!AM1086*Operations!AM1068*(1-Operations!AM1095)</f>
        <v>0</v>
      </c>
      <c r="AN1105" s="20" t="n">
        <f aca="false">Operations!AN1086*Operations!AN1068*(1-Operations!AN1095)</f>
        <v>0</v>
      </c>
      <c r="AO1105" s="20" t="n">
        <f aca="false">Operations!AO1086*Operations!AO1068*(1-Operations!AO1095)</f>
        <v>0</v>
      </c>
      <c r="AP1105" s="20" t="n">
        <f aca="false">Operations!AP1086*Operations!AP1068*(1-Operations!AP1095)</f>
        <v>0</v>
      </c>
      <c r="AQ1105" s="20" t="n">
        <f aca="false">Operations!AQ1086*Operations!AQ1068*(1-Operations!AQ1095)</f>
        <v>0</v>
      </c>
      <c r="AR1105" s="20" t="n">
        <f aca="false">Operations!AR1086*Operations!AR1068*(1-Operations!AR1095)</f>
        <v>0</v>
      </c>
      <c r="AS1105" s="20" t="n">
        <f aca="false">Operations!AS1086*Operations!AS1068*(1-Operations!AS1095)</f>
        <v>0</v>
      </c>
      <c r="AT1105" s="20" t="n">
        <f aca="false">Operations!AT1086*Operations!AT1068*(1-Operations!AT1095)</f>
        <v>0</v>
      </c>
      <c r="AU1105" s="20" t="n">
        <f aca="false">Operations!AU1086*Operations!AU1068*(1-Operations!AU1095)</f>
        <v>0</v>
      </c>
    </row>
    <row r="1106" customFormat="false" ht="15" hidden="false" customHeight="false" outlineLevel="0" collapsed="false">
      <c r="D1106" s="0" t="s">
        <v>711</v>
      </c>
      <c r="E1106" s="0" t="s">
        <v>47</v>
      </c>
      <c r="J1106" s="20" t="n">
        <f aca="false">Operations!J1085*Operations!J1068*(1-Operations!J1095)</f>
        <v>0</v>
      </c>
      <c r="K1106" s="20" t="n">
        <f aca="false">Operations!K1085*Operations!K1068*(1-Operations!K1095)</f>
        <v>3.67002739726028</v>
      </c>
      <c r="L1106" s="20" t="n">
        <f aca="false">Operations!L1085*Operations!L1068*(1-Operations!L1095)</f>
        <v>10.98</v>
      </c>
      <c r="M1106" s="20" t="n">
        <f aca="false">Operations!M1085*Operations!M1068*(1-Operations!M1095)</f>
        <v>10.98</v>
      </c>
      <c r="N1106" s="20" t="n">
        <f aca="false">Operations!N1085*Operations!N1068*(1-Operations!N1095)</f>
        <v>10.98</v>
      </c>
      <c r="O1106" s="20" t="n">
        <f aca="false">Operations!O1085*Operations!O1068*(1-Operations!O1095)</f>
        <v>10.98</v>
      </c>
      <c r="P1106" s="20" t="n">
        <f aca="false">Operations!P1085*Operations!P1068*(1-Operations!P1095)</f>
        <v>10.98</v>
      </c>
      <c r="Q1106" s="20" t="n">
        <f aca="false">Operations!Q1085*Operations!Q1068*(1-Operations!Q1095)</f>
        <v>10.98</v>
      </c>
      <c r="R1106" s="20" t="n">
        <f aca="false">Operations!R1085*Operations!R1068*(1-Operations!R1095)</f>
        <v>8.64286335616439</v>
      </c>
      <c r="S1106" s="20" t="n">
        <f aca="false">Operations!S1085*Operations!S1068*(1-Operations!S1095)</f>
        <v>6.081075</v>
      </c>
      <c r="T1106" s="20" t="n">
        <f aca="false">Operations!T1085*Operations!T1068*(1-Operations!T1095)</f>
        <v>6.172725</v>
      </c>
      <c r="U1106" s="20" t="n">
        <f aca="false">Operations!U1085*Operations!U1068*(1-Operations!U1095)</f>
        <v>6.26535</v>
      </c>
      <c r="V1106" s="20" t="n">
        <f aca="false">Operations!V1085*Operations!V1068*(1-Operations!V1095)</f>
        <v>6.35895</v>
      </c>
      <c r="W1106" s="20" t="n">
        <f aca="false">Operations!W1085*Operations!W1068*(1-Operations!W1095)</f>
        <v>6.4545</v>
      </c>
      <c r="X1106" s="20" t="n">
        <f aca="false">Operations!X1085*Operations!X1068*(1-Operations!X1095)</f>
        <v>6.47343753158219</v>
      </c>
      <c r="Y1106" s="20" t="n">
        <f aca="false">Operations!Y1085*Operations!Y1068*(1-Operations!Y1095)</f>
        <v>6.48685596267123</v>
      </c>
      <c r="Z1106" s="20" t="n">
        <f aca="false">Operations!Z1085*Operations!Z1068*(1-Operations!Z1095)</f>
        <v>6.49985734966438</v>
      </c>
      <c r="AA1106" s="20" t="n">
        <f aca="false">Operations!AA1085*Operations!AA1068*(1-Operations!AA1095)</f>
        <v>6.51325553734932</v>
      </c>
      <c r="AB1106" s="20" t="n">
        <f aca="false">Operations!AB1085*Operations!AB1068*(1-Operations!AB1095)</f>
        <v>6.52495716573288</v>
      </c>
      <c r="AC1106" s="20" t="n">
        <f aca="false">Operations!AC1085*Operations!AC1068*(1-Operations!AC1095)</f>
        <v>6.53595162768493</v>
      </c>
      <c r="AD1106" s="20" t="n">
        <f aca="false">Operations!AD1085*Operations!AD1068*(1-Operations!AD1095)</f>
        <v>6.54735362708219</v>
      </c>
      <c r="AE1106" s="20" t="n">
        <f aca="false">Operations!AE1085*Operations!AE1068*(1-Operations!AE1095)</f>
        <v>3.80910816672712</v>
      </c>
      <c r="AF1106" s="20" t="n">
        <f aca="false">Operations!AF1085*Operations!AF1068*(1-Operations!AF1095)</f>
        <v>0</v>
      </c>
      <c r="AG1106" s="20" t="n">
        <f aca="false">Operations!AG1085*Operations!AG1068*(1-Operations!AG1095)</f>
        <v>0</v>
      </c>
      <c r="AH1106" s="20" t="n">
        <f aca="false">Operations!AH1085*Operations!AH1068*(1-Operations!AH1095)</f>
        <v>0</v>
      </c>
      <c r="AI1106" s="20" t="n">
        <f aca="false">Operations!AI1085*Operations!AI1068*(1-Operations!AI1095)</f>
        <v>0</v>
      </c>
      <c r="AJ1106" s="20" t="n">
        <f aca="false">Operations!AJ1085*Operations!AJ1068*(1-Operations!AJ1095)</f>
        <v>0</v>
      </c>
      <c r="AK1106" s="20" t="n">
        <f aca="false">Operations!AK1085*Operations!AK1068*(1-Operations!AK1095)</f>
        <v>0</v>
      </c>
      <c r="AL1106" s="20" t="n">
        <f aca="false">Operations!AL1085*Operations!AL1068*(1-Operations!AL1095)</f>
        <v>0</v>
      </c>
      <c r="AM1106" s="20" t="n">
        <f aca="false">Operations!AM1085*Operations!AM1068*(1-Operations!AM1095)</f>
        <v>0</v>
      </c>
      <c r="AN1106" s="20" t="n">
        <f aca="false">Operations!AN1085*Operations!AN1068*(1-Operations!AN1095)</f>
        <v>0</v>
      </c>
      <c r="AO1106" s="20" t="n">
        <f aca="false">Operations!AO1085*Operations!AO1068*(1-Operations!AO1095)</f>
        <v>0</v>
      </c>
      <c r="AP1106" s="20" t="n">
        <f aca="false">Operations!AP1085*Operations!AP1068*(1-Operations!AP1095)</f>
        <v>0</v>
      </c>
      <c r="AQ1106" s="20" t="n">
        <f aca="false">Operations!AQ1085*Operations!AQ1068*(1-Operations!AQ1095)</f>
        <v>0</v>
      </c>
      <c r="AR1106" s="20" t="n">
        <f aca="false">Operations!AR1085*Operations!AR1068*(1-Operations!AR1095)</f>
        <v>0</v>
      </c>
      <c r="AS1106" s="20" t="n">
        <f aca="false">Operations!AS1085*Operations!AS1068*(1-Operations!AS1095)</f>
        <v>0</v>
      </c>
      <c r="AT1106" s="20" t="n">
        <f aca="false">Operations!AT1085*Operations!AT1068*(1-Operations!AT1095)</f>
        <v>0</v>
      </c>
      <c r="AU1106" s="20" t="n">
        <f aca="false">Operations!AU1085*Operations!AU1068*(1-Operations!AU1095)</f>
        <v>0</v>
      </c>
    </row>
    <row r="1107" customFormat="false" ht="15" hidden="false" customHeight="false" outlineLevel="0" collapsed="false">
      <c r="D1107" s="19" t="s">
        <v>712</v>
      </c>
    </row>
    <row r="1108" customFormat="false" ht="15" hidden="false" customHeight="false" outlineLevel="0" collapsed="false">
      <c r="D1108" s="0" t="s">
        <v>713</v>
      </c>
      <c r="E1108" s="0" t="s">
        <v>458</v>
      </c>
      <c r="J1108" s="14" t="n">
        <f aca="false">MAX(0,MIN(Inputs!$F$158,Time!J$6)-MAX(Inputs!$F$157,Time!J$5))/Time!J$7</f>
        <v>0</v>
      </c>
      <c r="K1108" s="14" t="n">
        <f aca="false">MAX(0,MIN(Inputs!$F$158,Time!K$6)-MAX(Inputs!$F$157,Time!K$5))/Time!K$7</f>
        <v>0</v>
      </c>
      <c r="L1108" s="14" t="n">
        <f aca="false">MAX(0,MIN(Inputs!$F$158,Time!L$6)-MAX(Inputs!$F$157,Time!L$5))/Time!L$7</f>
        <v>0.745901639344262</v>
      </c>
      <c r="M1108" s="14" t="n">
        <f aca="false">MAX(0,MIN(Inputs!$F$158,Time!M$6)-MAX(Inputs!$F$157,Time!M$5))/Time!M$7</f>
        <v>1</v>
      </c>
      <c r="N1108" s="14" t="n">
        <f aca="false">MAX(0,MIN(Inputs!$F$158,Time!N$6)-MAX(Inputs!$F$157,Time!N$5))/Time!N$7</f>
        <v>1</v>
      </c>
      <c r="O1108" s="14" t="n">
        <f aca="false">MAX(0,MIN(Inputs!$F$158,Time!O$6)-MAX(Inputs!$F$157,Time!O$5))/Time!O$7</f>
        <v>1</v>
      </c>
      <c r="P1108" s="14" t="n">
        <f aca="false">MAX(0,MIN(Inputs!$F$158,Time!P$6)-MAX(Inputs!$F$157,Time!P$5))/Time!P$7</f>
        <v>1</v>
      </c>
      <c r="Q1108" s="14" t="n">
        <f aca="false">MAX(0,MIN(Inputs!$F$158,Time!Q$6)-MAX(Inputs!$F$157,Time!Q$5))/Time!Q$7</f>
        <v>1</v>
      </c>
      <c r="R1108" s="14" t="n">
        <f aca="false">MAX(0,MIN(Inputs!$F$158,Time!R$6)-MAX(Inputs!$F$157,Time!R$5))/Time!R$7</f>
        <v>1</v>
      </c>
      <c r="S1108" s="14" t="n">
        <f aca="false">MAX(0,MIN(Inputs!$F$158,Time!S$6)-MAX(Inputs!$F$157,Time!S$5))/Time!S$7</f>
        <v>1</v>
      </c>
      <c r="T1108" s="14" t="n">
        <f aca="false">MAX(0,MIN(Inputs!$F$158,Time!T$6)-MAX(Inputs!$F$157,Time!T$5))/Time!T$7</f>
        <v>1</v>
      </c>
      <c r="U1108" s="14" t="n">
        <f aca="false">MAX(0,MIN(Inputs!$F$158,Time!U$6)-MAX(Inputs!$F$157,Time!U$5))/Time!U$7</f>
        <v>1</v>
      </c>
      <c r="V1108" s="14" t="n">
        <f aca="false">MAX(0,MIN(Inputs!$F$158,Time!V$6)-MAX(Inputs!$F$157,Time!V$5))/Time!V$7</f>
        <v>1</v>
      </c>
      <c r="W1108" s="14" t="n">
        <f aca="false">MAX(0,MIN(Inputs!$F$158,Time!W$6)-MAX(Inputs!$F$157,Time!W$5))/Time!W$7</f>
        <v>1</v>
      </c>
      <c r="X1108" s="14" t="n">
        <f aca="false">MAX(0,MIN(Inputs!$F$158,Time!X$6)-MAX(Inputs!$F$157,Time!X$5))/Time!X$7</f>
        <v>1</v>
      </c>
      <c r="Y1108" s="14" t="n">
        <f aca="false">MAX(0,MIN(Inputs!$F$158,Time!Y$6)-MAX(Inputs!$F$157,Time!Y$5))/Time!Y$7</f>
        <v>1</v>
      </c>
      <c r="Z1108" s="14" t="n">
        <f aca="false">MAX(0,MIN(Inputs!$F$158,Time!Z$6)-MAX(Inputs!$F$157,Time!Z$5))/Time!Z$7</f>
        <v>1</v>
      </c>
      <c r="AA1108" s="14" t="n">
        <f aca="false">MAX(0,MIN(Inputs!$F$158,Time!AA$6)-MAX(Inputs!$F$157,Time!AA$5))/Time!AA$7</f>
        <v>1</v>
      </c>
      <c r="AB1108" s="14" t="n">
        <f aca="false">MAX(0,MIN(Inputs!$F$158,Time!AB$6)-MAX(Inputs!$F$157,Time!AB$5))/Time!AB$7</f>
        <v>1</v>
      </c>
      <c r="AC1108" s="14" t="n">
        <f aca="false">MAX(0,MIN(Inputs!$F$158,Time!AC$6)-MAX(Inputs!$F$157,Time!AC$5))/Time!AC$7</f>
        <v>1</v>
      </c>
      <c r="AD1108" s="14" t="n">
        <f aca="false">MAX(0,MIN(Inputs!$F$158,Time!AD$6)-MAX(Inputs!$F$157,Time!AD$5))/Time!AD$7</f>
        <v>1</v>
      </c>
      <c r="AE1108" s="14" t="n">
        <f aca="false">MAX(0,MIN(Inputs!$F$158,Time!AE$6)-MAX(Inputs!$F$157,Time!AE$5))/Time!AE$7</f>
        <v>1</v>
      </c>
      <c r="AF1108" s="14" t="n">
        <f aca="false">MAX(0,MIN(Inputs!$F$158,Time!AF$6)-MAX(Inputs!$F$157,Time!AF$5))/Time!AF$7</f>
        <v>0.248633879781421</v>
      </c>
      <c r="AG1108" s="14" t="n">
        <f aca="false">MAX(0,MIN(Inputs!$F$158,Time!AG$6)-MAX(Inputs!$F$157,Time!AG$5))/Time!AG$7</f>
        <v>0</v>
      </c>
      <c r="AH1108" s="14" t="n">
        <f aca="false">MAX(0,MIN(Inputs!$F$158,Time!AH$6)-MAX(Inputs!$F$157,Time!AH$5))/Time!AH$7</f>
        <v>0</v>
      </c>
      <c r="AI1108" s="14" t="n">
        <f aca="false">MAX(0,MIN(Inputs!$F$158,Time!AI$6)-MAX(Inputs!$F$157,Time!AI$5))/Time!AI$7</f>
        <v>0</v>
      </c>
      <c r="AJ1108" s="14" t="n">
        <f aca="false">MAX(0,MIN(Inputs!$F$158,Time!AJ$6)-MAX(Inputs!$F$157,Time!AJ$5))/Time!AJ$7</f>
        <v>0</v>
      </c>
      <c r="AK1108" s="14" t="n">
        <f aca="false">MAX(0,MIN(Inputs!$F$158,Time!AK$6)-MAX(Inputs!$F$157,Time!AK$5))/Time!AK$7</f>
        <v>0</v>
      </c>
      <c r="AL1108" s="14" t="n">
        <f aca="false">MAX(0,MIN(Inputs!$F$158,Time!AL$6)-MAX(Inputs!$F$157,Time!AL$5))/Time!AL$7</f>
        <v>0</v>
      </c>
      <c r="AM1108" s="14" t="n">
        <f aca="false">MAX(0,MIN(Inputs!$F$158,Time!AM$6)-MAX(Inputs!$F$157,Time!AM$5))/Time!AM$7</f>
        <v>0</v>
      </c>
      <c r="AN1108" s="14" t="n">
        <f aca="false">MAX(0,MIN(Inputs!$F$158,Time!AN$6)-MAX(Inputs!$F$157,Time!AN$5))/Time!AN$7</f>
        <v>0</v>
      </c>
      <c r="AO1108" s="14" t="n">
        <f aca="false">MAX(0,MIN(Inputs!$F$158,Time!AO$6)-MAX(Inputs!$F$157,Time!AO$5))/Time!AO$7</f>
        <v>0</v>
      </c>
      <c r="AP1108" s="14" t="n">
        <f aca="false">MAX(0,MIN(Inputs!$F$158,Time!AP$6)-MAX(Inputs!$F$157,Time!AP$5))/Time!AP$7</f>
        <v>0</v>
      </c>
      <c r="AQ1108" s="14" t="n">
        <f aca="false">MAX(0,MIN(Inputs!$F$158,Time!AQ$6)-MAX(Inputs!$F$157,Time!AQ$5))/Time!AQ$7</f>
        <v>0</v>
      </c>
      <c r="AR1108" s="14" t="n">
        <f aca="false">MAX(0,MIN(Inputs!$F$158,Time!AR$6)-MAX(Inputs!$F$157,Time!AR$5))/Time!AR$7</f>
        <v>0</v>
      </c>
      <c r="AS1108" s="14" t="n">
        <f aca="false">MAX(0,MIN(Inputs!$F$158,Time!AS$6)-MAX(Inputs!$F$157,Time!AS$5))/Time!AS$7</f>
        <v>0</v>
      </c>
      <c r="AT1108" s="14" t="n">
        <f aca="false">MAX(0,MIN(Inputs!$F$158,Time!AT$6)-MAX(Inputs!$F$157,Time!AT$5))/Time!AT$7</f>
        <v>0</v>
      </c>
      <c r="AU1108" s="14" t="n">
        <f aca="false">MAX(0,MIN(Inputs!$F$158,Time!AU$6)-MAX(Inputs!$F$157,Time!AU$5))/Time!AU$7</f>
        <v>0</v>
      </c>
    </row>
    <row r="1109" customFormat="false" ht="15" hidden="false" customHeight="false" outlineLevel="0" collapsed="false">
      <c r="D1109" s="0" t="s">
        <v>714</v>
      </c>
      <c r="E1109" s="0" t="s">
        <v>458</v>
      </c>
      <c r="J1109" s="14" t="n">
        <f aca="false">MAX(0,MIN(Inputs!$F$158,Time!J$6)-MAX(MAX(Inputs!$F$159,Inputs!$F$157),Time!J$5))/Time!J$7</f>
        <v>0</v>
      </c>
      <c r="K1109" s="14" t="n">
        <f aca="false">MAX(0,MIN(Inputs!$F$158,Time!K$6)-MAX(MAX(Inputs!$F$159,Inputs!$F$157),Time!K$5))/Time!K$7</f>
        <v>0</v>
      </c>
      <c r="L1109" s="14" t="n">
        <f aca="false">MAX(0,MIN(Inputs!$F$158,Time!L$6)-MAX(MAX(Inputs!$F$159,Inputs!$F$157),Time!L$5))/Time!L$7</f>
        <v>0.745901639344262</v>
      </c>
      <c r="M1109" s="14" t="n">
        <f aca="false">MAX(0,MIN(Inputs!$F$158,Time!M$6)-MAX(MAX(Inputs!$F$159,Inputs!$F$157),Time!M$5))/Time!M$7</f>
        <v>1</v>
      </c>
      <c r="N1109" s="14" t="n">
        <f aca="false">MAX(0,MIN(Inputs!$F$158,Time!N$6)-MAX(MAX(Inputs!$F$159,Inputs!$F$157),Time!N$5))/Time!N$7</f>
        <v>1</v>
      </c>
      <c r="O1109" s="14" t="n">
        <f aca="false">MAX(0,MIN(Inputs!$F$158,Time!O$6)-MAX(MAX(Inputs!$F$159,Inputs!$F$157),Time!O$5))/Time!O$7</f>
        <v>1</v>
      </c>
      <c r="P1109" s="14" t="n">
        <f aca="false">MAX(0,MIN(Inputs!$F$158,Time!P$6)-MAX(MAX(Inputs!$F$159,Inputs!$F$157),Time!P$5))/Time!P$7</f>
        <v>1</v>
      </c>
      <c r="Q1109" s="14" t="n">
        <f aca="false">MAX(0,MIN(Inputs!$F$158,Time!Q$6)-MAX(MAX(Inputs!$F$159,Inputs!$F$157),Time!Q$5))/Time!Q$7</f>
        <v>1</v>
      </c>
      <c r="R1109" s="14" t="n">
        <f aca="false">MAX(0,MIN(Inputs!$F$158,Time!R$6)-MAX(MAX(Inputs!$F$159,Inputs!$F$157),Time!R$5))/Time!R$7</f>
        <v>1</v>
      </c>
      <c r="S1109" s="14" t="n">
        <f aca="false">MAX(0,MIN(Inputs!$F$158,Time!S$6)-MAX(MAX(Inputs!$F$159,Inputs!$F$157),Time!S$5))/Time!S$7</f>
        <v>1</v>
      </c>
      <c r="T1109" s="14" t="n">
        <f aca="false">MAX(0,MIN(Inputs!$F$158,Time!T$6)-MAX(MAX(Inputs!$F$159,Inputs!$F$157),Time!T$5))/Time!T$7</f>
        <v>1</v>
      </c>
      <c r="U1109" s="14" t="n">
        <f aca="false">MAX(0,MIN(Inputs!$F$158,Time!U$6)-MAX(MAX(Inputs!$F$159,Inputs!$F$157),Time!U$5))/Time!U$7</f>
        <v>1</v>
      </c>
      <c r="V1109" s="14" t="n">
        <f aca="false">MAX(0,MIN(Inputs!$F$158,Time!V$6)-MAX(MAX(Inputs!$F$159,Inputs!$F$157),Time!V$5))/Time!V$7</f>
        <v>1</v>
      </c>
      <c r="W1109" s="14" t="n">
        <f aca="false">MAX(0,MIN(Inputs!$F$158,Time!W$6)-MAX(MAX(Inputs!$F$159,Inputs!$F$157),Time!W$5))/Time!W$7</f>
        <v>1</v>
      </c>
      <c r="X1109" s="14" t="n">
        <f aca="false">MAX(0,MIN(Inputs!$F$158,Time!X$6)-MAX(MAX(Inputs!$F$159,Inputs!$F$157),Time!X$5))/Time!X$7</f>
        <v>1</v>
      </c>
      <c r="Y1109" s="14" t="n">
        <f aca="false">MAX(0,MIN(Inputs!$F$158,Time!Y$6)-MAX(MAX(Inputs!$F$159,Inputs!$F$157),Time!Y$5))/Time!Y$7</f>
        <v>1</v>
      </c>
      <c r="Z1109" s="14" t="n">
        <f aca="false">MAX(0,MIN(Inputs!$F$158,Time!Z$6)-MAX(MAX(Inputs!$F$159,Inputs!$F$157),Time!Z$5))/Time!Z$7</f>
        <v>1</v>
      </c>
      <c r="AA1109" s="14" t="n">
        <f aca="false">MAX(0,MIN(Inputs!$F$158,Time!AA$6)-MAX(MAX(Inputs!$F$159,Inputs!$F$157),Time!AA$5))/Time!AA$7</f>
        <v>1</v>
      </c>
      <c r="AB1109" s="14" t="n">
        <f aca="false">MAX(0,MIN(Inputs!$F$158,Time!AB$6)-MAX(MAX(Inputs!$F$159,Inputs!$F$157),Time!AB$5))/Time!AB$7</f>
        <v>1</v>
      </c>
      <c r="AC1109" s="14" t="n">
        <f aca="false">MAX(0,MIN(Inputs!$F$158,Time!AC$6)-MAX(MAX(Inputs!$F$159,Inputs!$F$157),Time!AC$5))/Time!AC$7</f>
        <v>1</v>
      </c>
      <c r="AD1109" s="14" t="n">
        <f aca="false">MAX(0,MIN(Inputs!$F$158,Time!AD$6)-MAX(MAX(Inputs!$F$159,Inputs!$F$157),Time!AD$5))/Time!AD$7</f>
        <v>1</v>
      </c>
      <c r="AE1109" s="14" t="n">
        <f aca="false">MAX(0,MIN(Inputs!$F$158,Time!AE$6)-MAX(MAX(Inputs!$F$159,Inputs!$F$157),Time!AE$5))/Time!AE$7</f>
        <v>1</v>
      </c>
      <c r="AF1109" s="14" t="n">
        <f aca="false">MAX(0,MIN(Inputs!$F$158,Time!AF$6)-MAX(MAX(Inputs!$F$159,Inputs!$F$157),Time!AF$5))/Time!AF$7</f>
        <v>0.248633879781421</v>
      </c>
      <c r="AG1109" s="14" t="n">
        <f aca="false">MAX(0,MIN(Inputs!$F$158,Time!AG$6)-MAX(MAX(Inputs!$F$159,Inputs!$F$157),Time!AG$5))/Time!AG$7</f>
        <v>0</v>
      </c>
      <c r="AH1109" s="14" t="n">
        <f aca="false">MAX(0,MIN(Inputs!$F$158,Time!AH$6)-MAX(MAX(Inputs!$F$159,Inputs!$F$157),Time!AH$5))/Time!AH$7</f>
        <v>0</v>
      </c>
      <c r="AI1109" s="14" t="n">
        <f aca="false">MAX(0,MIN(Inputs!$F$158,Time!AI$6)-MAX(MAX(Inputs!$F$159,Inputs!$F$157),Time!AI$5))/Time!AI$7</f>
        <v>0</v>
      </c>
      <c r="AJ1109" s="14" t="n">
        <f aca="false">MAX(0,MIN(Inputs!$F$158,Time!AJ$6)-MAX(MAX(Inputs!$F$159,Inputs!$F$157),Time!AJ$5))/Time!AJ$7</f>
        <v>0</v>
      </c>
      <c r="AK1109" s="14" t="n">
        <f aca="false">MAX(0,MIN(Inputs!$F$158,Time!AK$6)-MAX(MAX(Inputs!$F$159,Inputs!$F$157),Time!AK$5))/Time!AK$7</f>
        <v>0</v>
      </c>
      <c r="AL1109" s="14" t="n">
        <f aca="false">MAX(0,MIN(Inputs!$F$158,Time!AL$6)-MAX(MAX(Inputs!$F$159,Inputs!$F$157),Time!AL$5))/Time!AL$7</f>
        <v>0</v>
      </c>
      <c r="AM1109" s="14" t="n">
        <f aca="false">MAX(0,MIN(Inputs!$F$158,Time!AM$6)-MAX(MAX(Inputs!$F$159,Inputs!$F$157),Time!AM$5))/Time!AM$7</f>
        <v>0</v>
      </c>
      <c r="AN1109" s="14" t="n">
        <f aca="false">MAX(0,MIN(Inputs!$F$158,Time!AN$6)-MAX(MAX(Inputs!$F$159,Inputs!$F$157),Time!AN$5))/Time!AN$7</f>
        <v>0</v>
      </c>
      <c r="AO1109" s="14" t="n">
        <f aca="false">MAX(0,MIN(Inputs!$F$158,Time!AO$6)-MAX(MAX(Inputs!$F$159,Inputs!$F$157),Time!AO$5))/Time!AO$7</f>
        <v>0</v>
      </c>
      <c r="AP1109" s="14" t="n">
        <f aca="false">MAX(0,MIN(Inputs!$F$158,Time!AP$6)-MAX(MAX(Inputs!$F$159,Inputs!$F$157),Time!AP$5))/Time!AP$7</f>
        <v>0</v>
      </c>
      <c r="AQ1109" s="14" t="n">
        <f aca="false">MAX(0,MIN(Inputs!$F$158,Time!AQ$6)-MAX(MAX(Inputs!$F$159,Inputs!$F$157),Time!AQ$5))/Time!AQ$7</f>
        <v>0</v>
      </c>
      <c r="AR1109" s="14" t="n">
        <f aca="false">MAX(0,MIN(Inputs!$F$158,Time!AR$6)-MAX(MAX(Inputs!$F$159,Inputs!$F$157),Time!AR$5))/Time!AR$7</f>
        <v>0</v>
      </c>
      <c r="AS1109" s="14" t="n">
        <f aca="false">MAX(0,MIN(Inputs!$F$158,Time!AS$6)-MAX(MAX(Inputs!$F$159,Inputs!$F$157),Time!AS$5))/Time!AS$7</f>
        <v>0</v>
      </c>
      <c r="AT1109" s="14" t="n">
        <f aca="false">MAX(0,MIN(Inputs!$F$158,Time!AT$6)-MAX(MAX(Inputs!$F$159,Inputs!$F$157),Time!AT$5))/Time!AT$7</f>
        <v>0</v>
      </c>
      <c r="AU1109" s="14" t="n">
        <f aca="false">MAX(0,MIN(Inputs!$F$158,Time!AU$6)-MAX(MAX(Inputs!$F$159,Inputs!$F$157),Time!AU$5))/Time!AU$7</f>
        <v>0</v>
      </c>
    </row>
    <row r="1110" customFormat="false" ht="15" hidden="false" customHeight="false" outlineLevel="0" collapsed="false">
      <c r="D1110" s="0" t="s">
        <v>715</v>
      </c>
      <c r="E1110" s="0" t="s">
        <v>458</v>
      </c>
      <c r="J1110" s="14" t="n">
        <f aca="false">IF(Operations!J1108&gt;0,Operations!J1109/Operations!J1108,0)</f>
        <v>0</v>
      </c>
      <c r="K1110" s="14" t="n">
        <f aca="false">IF(Operations!K1108&gt;0,Operations!K1109/Operations!K1108,0)</f>
        <v>0</v>
      </c>
      <c r="L1110" s="14" t="n">
        <f aca="false">IF(Operations!L1108&gt;0,Operations!L1109/Operations!L1108,0)</f>
        <v>1</v>
      </c>
      <c r="M1110" s="14" t="n">
        <f aca="false">IF(Operations!M1108&gt;0,Operations!M1109/Operations!M1108,0)</f>
        <v>1</v>
      </c>
      <c r="N1110" s="14" t="n">
        <f aca="false">IF(Operations!N1108&gt;0,Operations!N1109/Operations!N1108,0)</f>
        <v>1</v>
      </c>
      <c r="O1110" s="14" t="n">
        <f aca="false">IF(Operations!O1108&gt;0,Operations!O1109/Operations!O1108,0)</f>
        <v>1</v>
      </c>
      <c r="P1110" s="14" t="n">
        <f aca="false">IF(Operations!P1108&gt;0,Operations!P1109/Operations!P1108,0)</f>
        <v>1</v>
      </c>
      <c r="Q1110" s="14" t="n">
        <f aca="false">IF(Operations!Q1108&gt;0,Operations!Q1109/Operations!Q1108,0)</f>
        <v>1</v>
      </c>
      <c r="R1110" s="14" t="n">
        <f aca="false">IF(Operations!R1108&gt;0,Operations!R1109/Operations!R1108,0)</f>
        <v>1</v>
      </c>
      <c r="S1110" s="14" t="n">
        <f aca="false">IF(Operations!S1108&gt;0,Operations!S1109/Operations!S1108,0)</f>
        <v>1</v>
      </c>
      <c r="T1110" s="14" t="n">
        <f aca="false">IF(Operations!T1108&gt;0,Operations!T1109/Operations!T1108,0)</f>
        <v>1</v>
      </c>
      <c r="U1110" s="14" t="n">
        <f aca="false">IF(Operations!U1108&gt;0,Operations!U1109/Operations!U1108,0)</f>
        <v>1</v>
      </c>
      <c r="V1110" s="14" t="n">
        <f aca="false">IF(Operations!V1108&gt;0,Operations!V1109/Operations!V1108,0)</f>
        <v>1</v>
      </c>
      <c r="W1110" s="14" t="n">
        <f aca="false">IF(Operations!W1108&gt;0,Operations!W1109/Operations!W1108,0)</f>
        <v>1</v>
      </c>
      <c r="X1110" s="14" t="n">
        <f aca="false">IF(Operations!X1108&gt;0,Operations!X1109/Operations!X1108,0)</f>
        <v>1</v>
      </c>
      <c r="Y1110" s="14" t="n">
        <f aca="false">IF(Operations!Y1108&gt;0,Operations!Y1109/Operations!Y1108,0)</f>
        <v>1</v>
      </c>
      <c r="Z1110" s="14" t="n">
        <f aca="false">IF(Operations!Z1108&gt;0,Operations!Z1109/Operations!Z1108,0)</f>
        <v>1</v>
      </c>
      <c r="AA1110" s="14" t="n">
        <f aca="false">IF(Operations!AA1108&gt;0,Operations!AA1109/Operations!AA1108,0)</f>
        <v>1</v>
      </c>
      <c r="AB1110" s="14" t="n">
        <f aca="false">IF(Operations!AB1108&gt;0,Operations!AB1109/Operations!AB1108,0)</f>
        <v>1</v>
      </c>
      <c r="AC1110" s="14" t="n">
        <f aca="false">IF(Operations!AC1108&gt;0,Operations!AC1109/Operations!AC1108,0)</f>
        <v>1</v>
      </c>
      <c r="AD1110" s="14" t="n">
        <f aca="false">IF(Operations!AD1108&gt;0,Operations!AD1109/Operations!AD1108,0)</f>
        <v>1</v>
      </c>
      <c r="AE1110" s="14" t="n">
        <f aca="false">IF(Operations!AE1108&gt;0,Operations!AE1109/Operations!AE1108,0)</f>
        <v>1</v>
      </c>
      <c r="AF1110" s="14" t="n">
        <f aca="false">IF(Operations!AF1108&gt;0,Operations!AF1109/Operations!AF1108,0)</f>
        <v>1</v>
      </c>
      <c r="AG1110" s="14" t="n">
        <f aca="false">IF(Operations!AG1108&gt;0,Operations!AG1109/Operations!AG1108,0)</f>
        <v>0</v>
      </c>
      <c r="AH1110" s="14" t="n">
        <f aca="false">IF(Operations!AH1108&gt;0,Operations!AH1109/Operations!AH1108,0)</f>
        <v>0</v>
      </c>
      <c r="AI1110" s="14" t="n">
        <f aca="false">IF(Operations!AI1108&gt;0,Operations!AI1109/Operations!AI1108,0)</f>
        <v>0</v>
      </c>
      <c r="AJ1110" s="14" t="n">
        <f aca="false">IF(Operations!AJ1108&gt;0,Operations!AJ1109/Operations!AJ1108,0)</f>
        <v>0</v>
      </c>
      <c r="AK1110" s="14" t="n">
        <f aca="false">IF(Operations!AK1108&gt;0,Operations!AK1109/Operations!AK1108,0)</f>
        <v>0</v>
      </c>
      <c r="AL1110" s="14" t="n">
        <f aca="false">IF(Operations!AL1108&gt;0,Operations!AL1109/Operations!AL1108,0)</f>
        <v>0</v>
      </c>
      <c r="AM1110" s="14" t="n">
        <f aca="false">IF(Operations!AM1108&gt;0,Operations!AM1109/Operations!AM1108,0)</f>
        <v>0</v>
      </c>
      <c r="AN1110" s="14" t="n">
        <f aca="false">IF(Operations!AN1108&gt;0,Operations!AN1109/Operations!AN1108,0)</f>
        <v>0</v>
      </c>
      <c r="AO1110" s="14" t="n">
        <f aca="false">IF(Operations!AO1108&gt;0,Operations!AO1109/Operations!AO1108,0)</f>
        <v>0</v>
      </c>
      <c r="AP1110" s="14" t="n">
        <f aca="false">IF(Operations!AP1108&gt;0,Operations!AP1109/Operations!AP1108,0)</f>
        <v>0</v>
      </c>
      <c r="AQ1110" s="14" t="n">
        <f aca="false">IF(Operations!AQ1108&gt;0,Operations!AQ1109/Operations!AQ1108,0)</f>
        <v>0</v>
      </c>
      <c r="AR1110" s="14" t="n">
        <f aca="false">IF(Operations!AR1108&gt;0,Operations!AR1109/Operations!AR1108,0)</f>
        <v>0</v>
      </c>
      <c r="AS1110" s="14" t="n">
        <f aca="false">IF(Operations!AS1108&gt;0,Operations!AS1109/Operations!AS1108,0)</f>
        <v>0</v>
      </c>
      <c r="AT1110" s="14" t="n">
        <f aca="false">IF(Operations!AT1108&gt;0,Operations!AT1109/Operations!AT1108,0)</f>
        <v>0</v>
      </c>
      <c r="AU1110" s="14" t="n">
        <f aca="false">IF(Operations!AU1108&gt;0,Operations!AU1109/Operations!AU1108,0)</f>
        <v>0</v>
      </c>
    </row>
    <row r="1111" customFormat="false" ht="15" hidden="false" customHeight="false" outlineLevel="0" collapsed="false">
      <c r="D1111" s="0" t="s">
        <v>716</v>
      </c>
      <c r="E1111" s="0" t="s">
        <v>96</v>
      </c>
      <c r="J1111" s="18" t="n">
        <f aca="false">Operations!J845</f>
        <v>75.4952</v>
      </c>
      <c r="K1111" s="18" t="n">
        <f aca="false">Operations!K845</f>
        <v>61.9344</v>
      </c>
      <c r="L1111" s="18" t="n">
        <f aca="false">Operations!L845</f>
        <v>30.4612</v>
      </c>
      <c r="M1111" s="18" t="n">
        <f aca="false">Operations!M845</f>
        <v>40.2776</v>
      </c>
      <c r="N1111" s="18" t="n">
        <f aca="false">Operations!N845</f>
        <v>45.1352</v>
      </c>
      <c r="O1111" s="18" t="n">
        <f aca="false">Operations!O845</f>
        <v>47.8676</v>
      </c>
      <c r="P1111" s="18" t="n">
        <f aca="false">Operations!P845</f>
        <v>49.6892</v>
      </c>
      <c r="Q1111" s="18" t="n">
        <f aca="false">Operations!Q845</f>
        <v>51.0048</v>
      </c>
      <c r="R1111" s="18" t="n">
        <f aca="false">Operations!R845</f>
        <v>52.4216</v>
      </c>
      <c r="S1111" s="18" t="n">
        <f aca="false">Operations!S845</f>
        <v>53.47408</v>
      </c>
      <c r="T1111" s="18" t="n">
        <f aca="false">Operations!T845</f>
        <v>54.5468</v>
      </c>
      <c r="U1111" s="18" t="n">
        <f aca="false">Operations!U845</f>
        <v>55.63976</v>
      </c>
      <c r="V1111" s="18" t="n">
        <f aca="false">Operations!V845</f>
        <v>56.75296</v>
      </c>
      <c r="W1111" s="18" t="n">
        <f aca="false">Operations!W845</f>
        <v>57.8864</v>
      </c>
      <c r="X1111" s="18" t="n">
        <f aca="false">Operations!X845</f>
        <v>59.04008</v>
      </c>
      <c r="Y1111" s="18" t="n">
        <f aca="false">Operations!Y845</f>
        <v>60.22412</v>
      </c>
      <c r="Z1111" s="18" t="n">
        <f aca="false">Operations!Z845</f>
        <v>61.4284</v>
      </c>
      <c r="AA1111" s="18" t="n">
        <f aca="false">Operations!AA845</f>
        <v>62.65292</v>
      </c>
      <c r="AB1111" s="18" t="n">
        <f aca="false">Operations!AB845</f>
        <v>63.9078</v>
      </c>
      <c r="AC1111" s="18" t="n">
        <f aca="false">Operations!AC845</f>
        <v>65.18292</v>
      </c>
      <c r="AD1111" s="18" t="n">
        <f aca="false">Operations!AD845</f>
        <v>66.4884</v>
      </c>
      <c r="AE1111" s="18" t="n">
        <f aca="false">Operations!AE845</f>
        <v>67.81412</v>
      </c>
      <c r="AF1111" s="18" t="n">
        <f aca="false">Operations!AF845</f>
        <v>69.1702</v>
      </c>
      <c r="AG1111" s="18" t="n">
        <f aca="false">Operations!AG845</f>
        <v>70.55664</v>
      </c>
      <c r="AH1111" s="18" t="n">
        <f aca="false">Operations!AH845</f>
        <v>71.96332</v>
      </c>
      <c r="AI1111" s="18" t="n">
        <f aca="false">Operations!AI845</f>
        <v>73.40036</v>
      </c>
      <c r="AJ1111" s="18" t="n">
        <f aca="false">Operations!AJ845</f>
        <v>74.86776</v>
      </c>
      <c r="AK1111" s="18" t="n">
        <f aca="false">Operations!AK845</f>
        <v>76.36552</v>
      </c>
      <c r="AL1111" s="18" t="n">
        <f aca="false">Operations!AL845</f>
        <v>77.89364</v>
      </c>
      <c r="AM1111" s="18" t="n">
        <f aca="false">Operations!AM845</f>
        <v>79.45212</v>
      </c>
      <c r="AN1111" s="18" t="n">
        <f aca="false">Operations!AN845</f>
        <v>81.04096</v>
      </c>
      <c r="AO1111" s="18" t="n">
        <f aca="false">Operations!AO845</f>
        <v>82.66016</v>
      </c>
      <c r="AP1111" s="18" t="n">
        <f aca="false">Operations!AP845</f>
        <v>84.30972</v>
      </c>
      <c r="AQ1111" s="18" t="n">
        <f aca="false">Operations!AQ845</f>
        <v>85.99976</v>
      </c>
      <c r="AR1111" s="18" t="n">
        <f aca="false">Operations!AR845</f>
        <v>87.72016</v>
      </c>
      <c r="AS1111" s="18" t="n">
        <f aca="false">Operations!AS845</f>
        <v>89.47092</v>
      </c>
      <c r="AT1111" s="18" t="n">
        <f aca="false">Operations!AT845</f>
        <v>91.26216</v>
      </c>
      <c r="AU1111" s="18" t="n">
        <f aca="false">Operations!AU845</f>
        <v>93.08376</v>
      </c>
    </row>
    <row r="1112" customFormat="false" ht="15" hidden="false" customHeight="false" outlineLevel="0" collapsed="false">
      <c r="D1112" s="0" t="s">
        <v>717</v>
      </c>
      <c r="E1112" s="0" t="s">
        <v>176</v>
      </c>
      <c r="J1112" s="20" t="n">
        <f aca="false">Inputs!$F$162*(1+Inputs!$F$168/100)*(1-(Inputs!$F$187*MIN(MAX(0,(Time!J$5-Inputs!$F$157)/Inputs!$F$27),1)+Inputs!$F$188*MIN(MAX(MAX(0,(Time!J$5-Inputs!$F$157)/Inputs!$F$27)-1,0),Inputs!$F$190-1)+Inputs!$F$189*MAX(MAX(0,(Time!J$5-Inputs!$F$157)/Inputs!$F$27)-Inputs!$F$190,0))/100)</f>
        <v>324</v>
      </c>
      <c r="K1112" s="20" t="n">
        <f aca="false">Inputs!$F$162*(1+Inputs!$F$168/100)*(1-(Inputs!$F$187*MIN(MAX(0,(Time!K$5-Inputs!$F$157)/Inputs!$F$27),1)+Inputs!$F$188*MIN(MAX(MAX(0,(Time!K$5-Inputs!$F$157)/Inputs!$F$27)-1,0),Inputs!$F$190-1)+Inputs!$F$189*MAX(MAX(0,(Time!K$5-Inputs!$F$157)/Inputs!$F$27)-Inputs!$F$190,0))/100)</f>
        <v>324</v>
      </c>
      <c r="L1112" s="20" t="n">
        <f aca="false">Inputs!$F$162*(1+Inputs!$F$168/100)*(1-(Inputs!$F$187*MIN(MAX(0,(Time!L$5-Inputs!$F$157)/Inputs!$F$27),1)+Inputs!$F$188*MIN(MAX(MAX(0,(Time!L$5-Inputs!$F$157)/Inputs!$F$27)-1,0),Inputs!$F$190-1)+Inputs!$F$189*MAX(MAX(0,(Time!L$5-Inputs!$F$157)/Inputs!$F$27)-Inputs!$F$190,0))/100)</f>
        <v>324</v>
      </c>
      <c r="M1112" s="20" t="n">
        <f aca="false">Inputs!$F$162*(1+Inputs!$F$168/100)*(1-(Inputs!$F$187*MIN(MAX(0,(Time!M$5-Inputs!$F$157)/Inputs!$F$27),1)+Inputs!$F$188*MIN(MAX(MAX(0,(Time!M$5-Inputs!$F$157)/Inputs!$F$27)-1,0),Inputs!$F$190-1)+Inputs!$F$189*MAX(MAX(0,(Time!M$5-Inputs!$F$157)/Inputs!$F$27)-Inputs!$F$190,0))/100)</f>
        <v>319.153315068493</v>
      </c>
      <c r="N1112" s="20" t="n">
        <f aca="false">Inputs!$F$162*(1+Inputs!$F$168/100)*(1-(Inputs!$F$187*MIN(MAX(0,(Time!N$5-Inputs!$F$157)/Inputs!$F$27),1)+Inputs!$F$188*MIN(MAX(MAX(0,(Time!N$5-Inputs!$F$157)/Inputs!$F$27)-1,0),Inputs!$F$190-1)+Inputs!$F$189*MAX(MAX(0,(Time!N$5-Inputs!$F$157)/Inputs!$F$27)-Inputs!$F$190,0))/100)</f>
        <v>313.88498630137</v>
      </c>
      <c r="O1112" s="20" t="n">
        <f aca="false">Inputs!$F$162*(1+Inputs!$F$168/100)*(1-(Inputs!$F$187*MIN(MAX(0,(Time!O$5-Inputs!$F$157)/Inputs!$F$27),1)+Inputs!$F$188*MIN(MAX(MAX(0,(Time!O$5-Inputs!$F$157)/Inputs!$F$27)-1,0),Inputs!$F$190-1)+Inputs!$F$189*MAX(MAX(0,(Time!O$5-Inputs!$F$157)/Inputs!$F$27)-Inputs!$F$190,0))/100)</f>
        <v>309.02498630137</v>
      </c>
      <c r="P1112" s="20" t="n">
        <f aca="false">Inputs!$F$162*(1+Inputs!$F$168/100)*(1-(Inputs!$F$187*MIN(MAX(0,(Time!P$5-Inputs!$F$157)/Inputs!$F$27),1)+Inputs!$F$188*MIN(MAX(MAX(0,(Time!P$5-Inputs!$F$157)/Inputs!$F$27)-1,0),Inputs!$F$190-1)+Inputs!$F$189*MAX(MAX(0,(Time!P$5-Inputs!$F$157)/Inputs!$F$27)-Inputs!$F$190,0))/100)</f>
        <v>304.16498630137</v>
      </c>
      <c r="Q1112" s="20" t="n">
        <f aca="false">Inputs!$F$162*(1+Inputs!$F$168/100)*(1-(Inputs!$F$187*MIN(MAX(0,(Time!Q$5-Inputs!$F$157)/Inputs!$F$27),1)+Inputs!$F$188*MIN(MAX(MAX(0,(Time!Q$5-Inputs!$F$157)/Inputs!$F$27)-1,0),Inputs!$F$190-1)+Inputs!$F$189*MAX(MAX(0,(Time!Q$5-Inputs!$F$157)/Inputs!$F$27)-Inputs!$F$190,0))/100)</f>
        <v>299.291671232877</v>
      </c>
      <c r="R1112" s="20" t="n">
        <f aca="false">Inputs!$F$162*(1+Inputs!$F$168/100)*(1-(Inputs!$F$187*MIN(MAX(0,(Time!R$5-Inputs!$F$157)/Inputs!$F$27),1)+Inputs!$F$188*MIN(MAX(MAX(0,(Time!R$5-Inputs!$F$157)/Inputs!$F$27)-1,0),Inputs!$F$190-1)+Inputs!$F$189*MAX(MAX(0,(Time!R$5-Inputs!$F$157)/Inputs!$F$27)-Inputs!$F$190,0))/100)</f>
        <v>294.431671232877</v>
      </c>
      <c r="S1112" s="20" t="n">
        <f aca="false">Inputs!$F$162*(1+Inputs!$F$168/100)*(1-(Inputs!$F$187*MIN(MAX(0,(Time!S$5-Inputs!$F$157)/Inputs!$F$27),1)+Inputs!$F$188*MIN(MAX(MAX(0,(Time!S$5-Inputs!$F$157)/Inputs!$F$27)-1,0),Inputs!$F$190-1)+Inputs!$F$189*MAX(MAX(0,(Time!S$5-Inputs!$F$157)/Inputs!$F$27)-Inputs!$F$190,0))/100)</f>
        <v>289.571671232877</v>
      </c>
      <c r="T1112" s="20" t="n">
        <f aca="false">Inputs!$F$162*(1+Inputs!$F$168/100)*(1-(Inputs!$F$187*MIN(MAX(0,(Time!T$5-Inputs!$F$157)/Inputs!$F$27),1)+Inputs!$F$188*MIN(MAX(MAX(0,(Time!T$5-Inputs!$F$157)/Inputs!$F$27)-1,0),Inputs!$F$190-1)+Inputs!$F$189*MAX(MAX(0,(Time!T$5-Inputs!$F$157)/Inputs!$F$27)-Inputs!$F$190,0))/100)</f>
        <v>284.711671232877</v>
      </c>
      <c r="U1112" s="20" t="n">
        <f aca="false">Inputs!$F$162*(1+Inputs!$F$168/100)*(1-(Inputs!$F$187*MIN(MAX(0,(Time!U$5-Inputs!$F$157)/Inputs!$F$27),1)+Inputs!$F$188*MIN(MAX(MAX(0,(Time!U$5-Inputs!$F$157)/Inputs!$F$27)-1,0),Inputs!$F$190-1)+Inputs!$F$189*MAX(MAX(0,(Time!U$5-Inputs!$F$157)/Inputs!$F$27)-Inputs!$F$190,0))/100)</f>
        <v>279.838356164384</v>
      </c>
      <c r="V1112" s="20" t="n">
        <f aca="false">Inputs!$F$162*(1+Inputs!$F$168/100)*(1-(Inputs!$F$187*MIN(MAX(0,(Time!V$5-Inputs!$F$157)/Inputs!$F$27),1)+Inputs!$F$188*MIN(MAX(MAX(0,(Time!V$5-Inputs!$F$157)/Inputs!$F$27)-1,0),Inputs!$F$190-1)+Inputs!$F$189*MAX(MAX(0,(Time!V$5-Inputs!$F$157)/Inputs!$F$27)-Inputs!$F$190,0))/100)</f>
        <v>274.978356164384</v>
      </c>
      <c r="W1112" s="20" t="n">
        <f aca="false">Inputs!$F$162*(1+Inputs!$F$168/100)*(1-(Inputs!$F$187*MIN(MAX(0,(Time!W$5-Inputs!$F$157)/Inputs!$F$27),1)+Inputs!$F$188*MIN(MAX(MAX(0,(Time!W$5-Inputs!$F$157)/Inputs!$F$27)-1,0),Inputs!$F$190-1)+Inputs!$F$189*MAX(MAX(0,(Time!W$5-Inputs!$F$157)/Inputs!$F$27)-Inputs!$F$190,0))/100)</f>
        <v>271.338904109589</v>
      </c>
      <c r="X1112" s="20" t="n">
        <f aca="false">Inputs!$F$162*(1+Inputs!$F$168/100)*(1-(Inputs!$F$187*MIN(MAX(0,(Time!X$5-Inputs!$F$157)/Inputs!$F$27),1)+Inputs!$F$188*MIN(MAX(MAX(0,(Time!X$5-Inputs!$F$157)/Inputs!$F$27)-1,0),Inputs!$F$190-1)+Inputs!$F$189*MAX(MAX(0,(Time!X$5-Inputs!$F$157)/Inputs!$F$27)-Inputs!$F$190,0))/100)</f>
        <v>268.098904109589</v>
      </c>
      <c r="Y1112" s="20" t="n">
        <f aca="false">Inputs!$F$162*(1+Inputs!$F$168/100)*(1-(Inputs!$F$187*MIN(MAX(0,(Time!Y$5-Inputs!$F$157)/Inputs!$F$27),1)+Inputs!$F$188*MIN(MAX(MAX(0,(Time!Y$5-Inputs!$F$157)/Inputs!$F$27)-1,0),Inputs!$F$190-1)+Inputs!$F$189*MAX(MAX(0,(Time!Y$5-Inputs!$F$157)/Inputs!$F$27)-Inputs!$F$190,0))/100)</f>
        <v>264.85002739726</v>
      </c>
      <c r="Z1112" s="20" t="n">
        <f aca="false">Inputs!$F$162*(1+Inputs!$F$168/100)*(1-(Inputs!$F$187*MIN(MAX(0,(Time!Z$5-Inputs!$F$157)/Inputs!$F$27),1)+Inputs!$F$188*MIN(MAX(MAX(0,(Time!Z$5-Inputs!$F$157)/Inputs!$F$27)-1,0),Inputs!$F$190-1)+Inputs!$F$189*MAX(MAX(0,(Time!Z$5-Inputs!$F$157)/Inputs!$F$27)-Inputs!$F$190,0))/100)</f>
        <v>261.61002739726</v>
      </c>
      <c r="AA1112" s="20" t="n">
        <f aca="false">Inputs!$F$162*(1+Inputs!$F$168/100)*(1-(Inputs!$F$187*MIN(MAX(0,(Time!AA$5-Inputs!$F$157)/Inputs!$F$27),1)+Inputs!$F$188*MIN(MAX(MAX(0,(Time!AA$5-Inputs!$F$157)/Inputs!$F$27)-1,0),Inputs!$F$190-1)+Inputs!$F$189*MAX(MAX(0,(Time!AA$5-Inputs!$F$157)/Inputs!$F$27)-Inputs!$F$190,0))/100)</f>
        <v>258.37002739726</v>
      </c>
      <c r="AB1112" s="20" t="n">
        <f aca="false">Inputs!$F$162*(1+Inputs!$F$168/100)*(1-(Inputs!$F$187*MIN(MAX(0,(Time!AB$5-Inputs!$F$157)/Inputs!$F$27),1)+Inputs!$F$188*MIN(MAX(MAX(0,(Time!AB$5-Inputs!$F$157)/Inputs!$F$27)-1,0),Inputs!$F$190-1)+Inputs!$F$189*MAX(MAX(0,(Time!AB$5-Inputs!$F$157)/Inputs!$F$27)-Inputs!$F$190,0))/100)</f>
        <v>255.13002739726</v>
      </c>
      <c r="AC1112" s="20" t="n">
        <f aca="false">Inputs!$F$162*(1+Inputs!$F$168/100)*(1-(Inputs!$F$187*MIN(MAX(0,(Time!AC$5-Inputs!$F$157)/Inputs!$F$27),1)+Inputs!$F$188*MIN(MAX(MAX(0,(Time!AC$5-Inputs!$F$157)/Inputs!$F$27)-1,0),Inputs!$F$190-1)+Inputs!$F$189*MAX(MAX(0,(Time!AC$5-Inputs!$F$157)/Inputs!$F$27)-Inputs!$F$190,0))/100)</f>
        <v>251.881150684932</v>
      </c>
      <c r="AD1112" s="20" t="n">
        <f aca="false">Inputs!$F$162*(1+Inputs!$F$168/100)*(1-(Inputs!$F$187*MIN(MAX(0,(Time!AD$5-Inputs!$F$157)/Inputs!$F$27),1)+Inputs!$F$188*MIN(MAX(MAX(0,(Time!AD$5-Inputs!$F$157)/Inputs!$F$27)-1,0),Inputs!$F$190-1)+Inputs!$F$189*MAX(MAX(0,(Time!AD$5-Inputs!$F$157)/Inputs!$F$27)-Inputs!$F$190,0))/100)</f>
        <v>248.641150684932</v>
      </c>
      <c r="AE1112" s="20" t="n">
        <f aca="false">Inputs!$F$162*(1+Inputs!$F$168/100)*(1-(Inputs!$F$187*MIN(MAX(0,(Time!AE$5-Inputs!$F$157)/Inputs!$F$27),1)+Inputs!$F$188*MIN(MAX(MAX(0,(Time!AE$5-Inputs!$F$157)/Inputs!$F$27)-1,0),Inputs!$F$190-1)+Inputs!$F$189*MAX(MAX(0,(Time!AE$5-Inputs!$F$157)/Inputs!$F$27)-Inputs!$F$190,0))/100)</f>
        <v>245.401150684932</v>
      </c>
      <c r="AF1112" s="20" t="n">
        <f aca="false">Inputs!$F$162*(1+Inputs!$F$168/100)*(1-(Inputs!$F$187*MIN(MAX(0,(Time!AF$5-Inputs!$F$157)/Inputs!$F$27),1)+Inputs!$F$188*MIN(MAX(MAX(0,(Time!AF$5-Inputs!$F$157)/Inputs!$F$27)-1,0),Inputs!$F$190-1)+Inputs!$F$189*MAX(MAX(0,(Time!AF$5-Inputs!$F$157)/Inputs!$F$27)-Inputs!$F$190,0))/100)</f>
        <v>242.161150684932</v>
      </c>
      <c r="AG1112" s="20" t="n">
        <f aca="false">Inputs!$F$162*(1+Inputs!$F$168/100)*(1-(Inputs!$F$187*MIN(MAX(0,(Time!AG$5-Inputs!$F$157)/Inputs!$F$27),1)+Inputs!$F$188*MIN(MAX(MAX(0,(Time!AG$5-Inputs!$F$157)/Inputs!$F$27)-1,0),Inputs!$F$190-1)+Inputs!$F$189*MAX(MAX(0,(Time!AG$5-Inputs!$F$157)/Inputs!$F$27)-Inputs!$F$190,0))/100)</f>
        <v>238.912273972603</v>
      </c>
      <c r="AH1112" s="20" t="n">
        <f aca="false">Inputs!$F$162*(1+Inputs!$F$168/100)*(1-(Inputs!$F$187*MIN(MAX(0,(Time!AH$5-Inputs!$F$157)/Inputs!$F$27),1)+Inputs!$F$188*MIN(MAX(MAX(0,(Time!AH$5-Inputs!$F$157)/Inputs!$F$27)-1,0),Inputs!$F$190-1)+Inputs!$F$189*MAX(MAX(0,(Time!AH$5-Inputs!$F$157)/Inputs!$F$27)-Inputs!$F$190,0))/100)</f>
        <v>235.672273972603</v>
      </c>
      <c r="AI1112" s="20" t="n">
        <f aca="false">Inputs!$F$162*(1+Inputs!$F$168/100)*(1-(Inputs!$F$187*MIN(MAX(0,(Time!AI$5-Inputs!$F$157)/Inputs!$F$27),1)+Inputs!$F$188*MIN(MAX(MAX(0,(Time!AI$5-Inputs!$F$157)/Inputs!$F$27)-1,0),Inputs!$F$190-1)+Inputs!$F$189*MAX(MAX(0,(Time!AI$5-Inputs!$F$157)/Inputs!$F$27)-Inputs!$F$190,0))/100)</f>
        <v>232.432273972603</v>
      </c>
      <c r="AJ1112" s="20" t="n">
        <f aca="false">Inputs!$F$162*(1+Inputs!$F$168/100)*(1-(Inputs!$F$187*MIN(MAX(0,(Time!AJ$5-Inputs!$F$157)/Inputs!$F$27),1)+Inputs!$F$188*MIN(MAX(MAX(0,(Time!AJ$5-Inputs!$F$157)/Inputs!$F$27)-1,0),Inputs!$F$190-1)+Inputs!$F$189*MAX(MAX(0,(Time!AJ$5-Inputs!$F$157)/Inputs!$F$27)-Inputs!$F$190,0))/100)</f>
        <v>229.192273972603</v>
      </c>
      <c r="AK1112" s="20" t="n">
        <f aca="false">Inputs!$F$162*(1+Inputs!$F$168/100)*(1-(Inputs!$F$187*MIN(MAX(0,(Time!AK$5-Inputs!$F$157)/Inputs!$F$27),1)+Inputs!$F$188*MIN(MAX(MAX(0,(Time!AK$5-Inputs!$F$157)/Inputs!$F$27)-1,0),Inputs!$F$190-1)+Inputs!$F$189*MAX(MAX(0,(Time!AK$5-Inputs!$F$157)/Inputs!$F$27)-Inputs!$F$190,0))/100)</f>
        <v>225.943397260274</v>
      </c>
      <c r="AL1112" s="20" t="n">
        <f aca="false">Inputs!$F$162*(1+Inputs!$F$168/100)*(1-(Inputs!$F$187*MIN(MAX(0,(Time!AL$5-Inputs!$F$157)/Inputs!$F$27),1)+Inputs!$F$188*MIN(MAX(MAX(0,(Time!AL$5-Inputs!$F$157)/Inputs!$F$27)-1,0),Inputs!$F$190-1)+Inputs!$F$189*MAX(MAX(0,(Time!AL$5-Inputs!$F$157)/Inputs!$F$27)-Inputs!$F$190,0))/100)</f>
        <v>222.703397260274</v>
      </c>
      <c r="AM1112" s="20" t="n">
        <f aca="false">Inputs!$F$162*(1+Inputs!$F$168/100)*(1-(Inputs!$F$187*MIN(MAX(0,(Time!AM$5-Inputs!$F$157)/Inputs!$F$27),1)+Inputs!$F$188*MIN(MAX(MAX(0,(Time!AM$5-Inputs!$F$157)/Inputs!$F$27)-1,0),Inputs!$F$190-1)+Inputs!$F$189*MAX(MAX(0,(Time!AM$5-Inputs!$F$157)/Inputs!$F$27)-Inputs!$F$190,0))/100)</f>
        <v>219.463397260274</v>
      </c>
      <c r="AN1112" s="20" t="n">
        <f aca="false">Inputs!$F$162*(1+Inputs!$F$168/100)*(1-(Inputs!$F$187*MIN(MAX(0,(Time!AN$5-Inputs!$F$157)/Inputs!$F$27),1)+Inputs!$F$188*MIN(MAX(MAX(0,(Time!AN$5-Inputs!$F$157)/Inputs!$F$27)-1,0),Inputs!$F$190-1)+Inputs!$F$189*MAX(MAX(0,(Time!AN$5-Inputs!$F$157)/Inputs!$F$27)-Inputs!$F$190,0))/100)</f>
        <v>216.223397260274</v>
      </c>
      <c r="AO1112" s="20" t="n">
        <f aca="false">Inputs!$F$162*(1+Inputs!$F$168/100)*(1-(Inputs!$F$187*MIN(MAX(0,(Time!AO$5-Inputs!$F$157)/Inputs!$F$27),1)+Inputs!$F$188*MIN(MAX(MAX(0,(Time!AO$5-Inputs!$F$157)/Inputs!$F$27)-1,0),Inputs!$F$190-1)+Inputs!$F$189*MAX(MAX(0,(Time!AO$5-Inputs!$F$157)/Inputs!$F$27)-Inputs!$F$190,0))/100)</f>
        <v>212.974520547945</v>
      </c>
      <c r="AP1112" s="20" t="n">
        <f aca="false">Inputs!$F$162*(1+Inputs!$F$168/100)*(1-(Inputs!$F$187*MIN(MAX(0,(Time!AP$5-Inputs!$F$157)/Inputs!$F$27),1)+Inputs!$F$188*MIN(MAX(MAX(0,(Time!AP$5-Inputs!$F$157)/Inputs!$F$27)-1,0),Inputs!$F$190-1)+Inputs!$F$189*MAX(MAX(0,(Time!AP$5-Inputs!$F$157)/Inputs!$F$27)-Inputs!$F$190,0))/100)</f>
        <v>209.734520547945</v>
      </c>
      <c r="AQ1112" s="20" t="n">
        <f aca="false">Inputs!$F$162*(1+Inputs!$F$168/100)*(1-(Inputs!$F$187*MIN(MAX(0,(Time!AQ$5-Inputs!$F$157)/Inputs!$F$27),1)+Inputs!$F$188*MIN(MAX(MAX(0,(Time!AQ$5-Inputs!$F$157)/Inputs!$F$27)-1,0),Inputs!$F$190-1)+Inputs!$F$189*MAX(MAX(0,(Time!AQ$5-Inputs!$F$157)/Inputs!$F$27)-Inputs!$F$190,0))/100)</f>
        <v>206.494520547945</v>
      </c>
      <c r="AR1112" s="20" t="n">
        <f aca="false">Inputs!$F$162*(1+Inputs!$F$168/100)*(1-(Inputs!$F$187*MIN(MAX(0,(Time!AR$5-Inputs!$F$157)/Inputs!$F$27),1)+Inputs!$F$188*MIN(MAX(MAX(0,(Time!AR$5-Inputs!$F$157)/Inputs!$F$27)-1,0),Inputs!$F$190-1)+Inputs!$F$189*MAX(MAX(0,(Time!AR$5-Inputs!$F$157)/Inputs!$F$27)-Inputs!$F$190,0))/100)</f>
        <v>203.254520547945</v>
      </c>
      <c r="AS1112" s="20" t="n">
        <f aca="false">Inputs!$F$162*(1+Inputs!$F$168/100)*(1-(Inputs!$F$187*MIN(MAX(0,(Time!AS$5-Inputs!$F$157)/Inputs!$F$27),1)+Inputs!$F$188*MIN(MAX(MAX(0,(Time!AS$5-Inputs!$F$157)/Inputs!$F$27)-1,0),Inputs!$F$190-1)+Inputs!$F$189*MAX(MAX(0,(Time!AS$5-Inputs!$F$157)/Inputs!$F$27)-Inputs!$F$190,0))/100)</f>
        <v>200.005643835616</v>
      </c>
      <c r="AT1112" s="20" t="n">
        <f aca="false">Inputs!$F$162*(1+Inputs!$F$168/100)*(1-(Inputs!$F$187*MIN(MAX(0,(Time!AT$5-Inputs!$F$157)/Inputs!$F$27),1)+Inputs!$F$188*MIN(MAX(MAX(0,(Time!AT$5-Inputs!$F$157)/Inputs!$F$27)-1,0),Inputs!$F$190-1)+Inputs!$F$189*MAX(MAX(0,(Time!AT$5-Inputs!$F$157)/Inputs!$F$27)-Inputs!$F$190,0))/100)</f>
        <v>196.765643835616</v>
      </c>
      <c r="AU1112" s="20" t="n">
        <f aca="false">Inputs!$F$162*(1+Inputs!$F$168/100)*(1-(Inputs!$F$187*MIN(MAX(0,(Time!AU$5-Inputs!$F$157)/Inputs!$F$27),1)+Inputs!$F$188*MIN(MAX(MAX(0,(Time!AU$5-Inputs!$F$157)/Inputs!$F$27)-1,0),Inputs!$F$190-1)+Inputs!$F$189*MAX(MAX(0,(Time!AU$5-Inputs!$F$157)/Inputs!$F$27)-Inputs!$F$190,0))/100)</f>
        <v>193.525643835616</v>
      </c>
    </row>
    <row r="1113" customFormat="false" ht="15" hidden="false" customHeight="false" outlineLevel="0" collapsed="false">
      <c r="D1113" s="0" t="s">
        <v>718</v>
      </c>
      <c r="E1113" s="0" t="s">
        <v>176</v>
      </c>
      <c r="J1113" s="20" t="n">
        <f aca="false">IF(Time!J$5&gt;=(DATE(YEAR(Inputs!$F$157)+Inputs!$F$164,1,1)-1),Inputs!$F$166/100*Inputs!$F$162*(1-(Inputs!$F$187*MIN(MAX(0,(Time!J$5-(DATE(YEAR(Inputs!$F$157)+Inputs!$F$164,1,1)-1))/Inputs!$F$27),1)+Inputs!$F$188*MIN(MAX(MAX(0,(Time!J$5-(DATE(YEAR(Inputs!$F$157)+Inputs!$F$164,1,1)-1))/Inputs!$F$27)-1,0),Inputs!$F$190-1)+Inputs!$F$189*MAX(MAX(0,(Time!J$5-(DATE(YEAR(Inputs!$F$157)+Inputs!$F$164,1,1)-1))/Inputs!$F$27)-Inputs!$F$190,0))/100),0)+IF(Time!J$5&gt;=(DATE(YEAR(Inputs!$F$157)+Inputs!$F$165,1,1)-1),Inputs!$F$166/100*Inputs!$F$162*(1-(Inputs!$F$187*MIN(MAX(0,(Time!J$5-(DATE(YEAR(Inputs!$F$157)+Inputs!$F$165,1,1)-1))/Inputs!$F$27),1)+Inputs!$F$188*MIN(MAX(MAX(0,(Time!J$5-(DATE(YEAR(Inputs!$F$157)+Inputs!$F$165,1,1)-1))/Inputs!$F$27)-1,0),Inputs!$F$190-1)+Inputs!$F$189*MAX(MAX(0,(Time!J$5-(DATE(YEAR(Inputs!$F$157)+Inputs!$F$165,1,1)-1))/Inputs!$F$27)-Inputs!$F$190,0))/100),0)</f>
        <v>0</v>
      </c>
      <c r="K1113" s="20" t="n">
        <f aca="false">IF(Time!K$5&gt;=(DATE(YEAR(Inputs!$F$157)+Inputs!$F$164,1,1)-1),Inputs!$F$166/100*Inputs!$F$162*(1-(Inputs!$F$187*MIN(MAX(0,(Time!K$5-(DATE(YEAR(Inputs!$F$157)+Inputs!$F$164,1,1)-1))/Inputs!$F$27),1)+Inputs!$F$188*MIN(MAX(MAX(0,(Time!K$5-(DATE(YEAR(Inputs!$F$157)+Inputs!$F$164,1,1)-1))/Inputs!$F$27)-1,0),Inputs!$F$190-1)+Inputs!$F$189*MAX(MAX(0,(Time!K$5-(DATE(YEAR(Inputs!$F$157)+Inputs!$F$164,1,1)-1))/Inputs!$F$27)-Inputs!$F$190,0))/100),0)+IF(Time!K$5&gt;=(DATE(YEAR(Inputs!$F$157)+Inputs!$F$165,1,1)-1),Inputs!$F$166/100*Inputs!$F$162*(1-(Inputs!$F$187*MIN(MAX(0,(Time!K$5-(DATE(YEAR(Inputs!$F$157)+Inputs!$F$165,1,1)-1))/Inputs!$F$27),1)+Inputs!$F$188*MIN(MAX(MAX(0,(Time!K$5-(DATE(YEAR(Inputs!$F$157)+Inputs!$F$165,1,1)-1))/Inputs!$F$27)-1,0),Inputs!$F$190-1)+Inputs!$F$189*MAX(MAX(0,(Time!K$5-(DATE(YEAR(Inputs!$F$157)+Inputs!$F$165,1,1)-1))/Inputs!$F$27)-Inputs!$F$190,0))/100),0)</f>
        <v>0</v>
      </c>
      <c r="L1113" s="20" t="n">
        <f aca="false">IF(Time!L$5&gt;=(DATE(YEAR(Inputs!$F$157)+Inputs!$F$164,1,1)-1),Inputs!$F$166/100*Inputs!$F$162*(1-(Inputs!$F$187*MIN(MAX(0,(Time!L$5-(DATE(YEAR(Inputs!$F$157)+Inputs!$F$164,1,1)-1))/Inputs!$F$27),1)+Inputs!$F$188*MIN(MAX(MAX(0,(Time!L$5-(DATE(YEAR(Inputs!$F$157)+Inputs!$F$164,1,1)-1))/Inputs!$F$27)-1,0),Inputs!$F$190-1)+Inputs!$F$189*MAX(MAX(0,(Time!L$5-(DATE(YEAR(Inputs!$F$157)+Inputs!$F$164,1,1)-1))/Inputs!$F$27)-Inputs!$F$190,0))/100),0)+IF(Time!L$5&gt;=(DATE(YEAR(Inputs!$F$157)+Inputs!$F$165,1,1)-1),Inputs!$F$166/100*Inputs!$F$162*(1-(Inputs!$F$187*MIN(MAX(0,(Time!L$5-(DATE(YEAR(Inputs!$F$157)+Inputs!$F$165,1,1)-1))/Inputs!$F$27),1)+Inputs!$F$188*MIN(MAX(MAX(0,(Time!L$5-(DATE(YEAR(Inputs!$F$157)+Inputs!$F$165,1,1)-1))/Inputs!$F$27)-1,0),Inputs!$F$190-1)+Inputs!$F$189*MAX(MAX(0,(Time!L$5-(DATE(YEAR(Inputs!$F$157)+Inputs!$F$165,1,1)-1))/Inputs!$F$27)-Inputs!$F$190,0))/100),0)</f>
        <v>0</v>
      </c>
      <c r="M1113" s="20" t="n">
        <f aca="false">IF(Time!M$5&gt;=(DATE(YEAR(Inputs!$F$157)+Inputs!$F$164,1,1)-1),Inputs!$F$166/100*Inputs!$F$162*(1-(Inputs!$F$187*MIN(MAX(0,(Time!M$5-(DATE(YEAR(Inputs!$F$157)+Inputs!$F$164,1,1)-1))/Inputs!$F$27),1)+Inputs!$F$188*MIN(MAX(MAX(0,(Time!M$5-(DATE(YEAR(Inputs!$F$157)+Inputs!$F$164,1,1)-1))/Inputs!$F$27)-1,0),Inputs!$F$190-1)+Inputs!$F$189*MAX(MAX(0,(Time!M$5-(DATE(YEAR(Inputs!$F$157)+Inputs!$F$164,1,1)-1))/Inputs!$F$27)-Inputs!$F$190,0))/100),0)+IF(Time!M$5&gt;=(DATE(YEAR(Inputs!$F$157)+Inputs!$F$165,1,1)-1),Inputs!$F$166/100*Inputs!$F$162*(1-(Inputs!$F$187*MIN(MAX(0,(Time!M$5-(DATE(YEAR(Inputs!$F$157)+Inputs!$F$165,1,1)-1))/Inputs!$F$27),1)+Inputs!$F$188*MIN(MAX(MAX(0,(Time!M$5-(DATE(YEAR(Inputs!$F$157)+Inputs!$F$165,1,1)-1))/Inputs!$F$27)-1,0),Inputs!$F$190-1)+Inputs!$F$189*MAX(MAX(0,(Time!M$5-(DATE(YEAR(Inputs!$F$157)+Inputs!$F$165,1,1)-1))/Inputs!$F$27)-Inputs!$F$190,0))/100),0)</f>
        <v>0</v>
      </c>
      <c r="N1113" s="20" t="n">
        <f aca="false">IF(Time!N$5&gt;=(DATE(YEAR(Inputs!$F$157)+Inputs!$F$164,1,1)-1),Inputs!$F$166/100*Inputs!$F$162*(1-(Inputs!$F$187*MIN(MAX(0,(Time!N$5-(DATE(YEAR(Inputs!$F$157)+Inputs!$F$164,1,1)-1))/Inputs!$F$27),1)+Inputs!$F$188*MIN(MAX(MAX(0,(Time!N$5-(DATE(YEAR(Inputs!$F$157)+Inputs!$F$164,1,1)-1))/Inputs!$F$27)-1,0),Inputs!$F$190-1)+Inputs!$F$189*MAX(MAX(0,(Time!N$5-(DATE(YEAR(Inputs!$F$157)+Inputs!$F$164,1,1)-1))/Inputs!$F$27)-Inputs!$F$190,0))/100),0)+IF(Time!N$5&gt;=(DATE(YEAR(Inputs!$F$157)+Inputs!$F$165,1,1)-1),Inputs!$F$166/100*Inputs!$F$162*(1-(Inputs!$F$187*MIN(MAX(0,(Time!N$5-(DATE(YEAR(Inputs!$F$157)+Inputs!$F$165,1,1)-1))/Inputs!$F$27),1)+Inputs!$F$188*MIN(MAX(MAX(0,(Time!N$5-(DATE(YEAR(Inputs!$F$157)+Inputs!$F$165,1,1)-1))/Inputs!$F$27)-1,0),Inputs!$F$190-1)+Inputs!$F$189*MAX(MAX(0,(Time!N$5-(DATE(YEAR(Inputs!$F$157)+Inputs!$F$165,1,1)-1))/Inputs!$F$27)-Inputs!$F$190,0))/100),0)</f>
        <v>0</v>
      </c>
      <c r="O1113" s="20" t="n">
        <f aca="false">IF(Time!O$5&gt;=(DATE(YEAR(Inputs!$F$157)+Inputs!$F$164,1,1)-1),Inputs!$F$166/100*Inputs!$F$162*(1-(Inputs!$F$187*MIN(MAX(0,(Time!O$5-(DATE(YEAR(Inputs!$F$157)+Inputs!$F$164,1,1)-1))/Inputs!$F$27),1)+Inputs!$F$188*MIN(MAX(MAX(0,(Time!O$5-(DATE(YEAR(Inputs!$F$157)+Inputs!$F$164,1,1)-1))/Inputs!$F$27)-1,0),Inputs!$F$190-1)+Inputs!$F$189*MAX(MAX(0,(Time!O$5-(DATE(YEAR(Inputs!$F$157)+Inputs!$F$164,1,1)-1))/Inputs!$F$27)-Inputs!$F$190,0))/100),0)+IF(Time!O$5&gt;=(DATE(YEAR(Inputs!$F$157)+Inputs!$F$165,1,1)-1),Inputs!$F$166/100*Inputs!$F$162*(1-(Inputs!$F$187*MIN(MAX(0,(Time!O$5-(DATE(YEAR(Inputs!$F$157)+Inputs!$F$165,1,1)-1))/Inputs!$F$27),1)+Inputs!$F$188*MIN(MAX(MAX(0,(Time!O$5-(DATE(YEAR(Inputs!$F$157)+Inputs!$F$165,1,1)-1))/Inputs!$F$27)-1,0),Inputs!$F$190-1)+Inputs!$F$189*MAX(MAX(0,(Time!O$5-(DATE(YEAR(Inputs!$F$157)+Inputs!$F$165,1,1)-1))/Inputs!$F$27)-Inputs!$F$190,0))/100),0)</f>
        <v>0</v>
      </c>
      <c r="P1113" s="20" t="n">
        <f aca="false">IF(Time!P$5&gt;=(DATE(YEAR(Inputs!$F$157)+Inputs!$F$164,1,1)-1),Inputs!$F$166/100*Inputs!$F$162*(1-(Inputs!$F$187*MIN(MAX(0,(Time!P$5-(DATE(YEAR(Inputs!$F$157)+Inputs!$F$164,1,1)-1))/Inputs!$F$27),1)+Inputs!$F$188*MIN(MAX(MAX(0,(Time!P$5-(DATE(YEAR(Inputs!$F$157)+Inputs!$F$164,1,1)-1))/Inputs!$F$27)-1,0),Inputs!$F$190-1)+Inputs!$F$189*MAX(MAX(0,(Time!P$5-(DATE(YEAR(Inputs!$F$157)+Inputs!$F$164,1,1)-1))/Inputs!$F$27)-Inputs!$F$190,0))/100),0)+IF(Time!P$5&gt;=(DATE(YEAR(Inputs!$F$157)+Inputs!$F$165,1,1)-1),Inputs!$F$166/100*Inputs!$F$162*(1-(Inputs!$F$187*MIN(MAX(0,(Time!P$5-(DATE(YEAR(Inputs!$F$157)+Inputs!$F$165,1,1)-1))/Inputs!$F$27),1)+Inputs!$F$188*MIN(MAX(MAX(0,(Time!P$5-(DATE(YEAR(Inputs!$F$157)+Inputs!$F$165,1,1)-1))/Inputs!$F$27)-1,0),Inputs!$F$190-1)+Inputs!$F$189*MAX(MAX(0,(Time!P$5-(DATE(YEAR(Inputs!$F$157)+Inputs!$F$165,1,1)-1))/Inputs!$F$27)-Inputs!$F$190,0))/100),0)</f>
        <v>0</v>
      </c>
      <c r="Q1113" s="20" t="n">
        <f aca="false">IF(Time!Q$5&gt;=(DATE(YEAR(Inputs!$F$157)+Inputs!$F$164,1,1)-1),Inputs!$F$166/100*Inputs!$F$162*(1-(Inputs!$F$187*MIN(MAX(0,(Time!Q$5-(DATE(YEAR(Inputs!$F$157)+Inputs!$F$164,1,1)-1))/Inputs!$F$27),1)+Inputs!$F$188*MIN(MAX(MAX(0,(Time!Q$5-(DATE(YEAR(Inputs!$F$157)+Inputs!$F$164,1,1)-1))/Inputs!$F$27)-1,0),Inputs!$F$190-1)+Inputs!$F$189*MAX(MAX(0,(Time!Q$5-(DATE(YEAR(Inputs!$F$157)+Inputs!$F$164,1,1)-1))/Inputs!$F$27)-Inputs!$F$190,0))/100),0)+IF(Time!Q$5&gt;=(DATE(YEAR(Inputs!$F$157)+Inputs!$F$165,1,1)-1),Inputs!$F$166/100*Inputs!$F$162*(1-(Inputs!$F$187*MIN(MAX(0,(Time!Q$5-(DATE(YEAR(Inputs!$F$157)+Inputs!$F$165,1,1)-1))/Inputs!$F$27),1)+Inputs!$F$188*MIN(MAX(MAX(0,(Time!Q$5-(DATE(YEAR(Inputs!$F$157)+Inputs!$F$165,1,1)-1))/Inputs!$F$27)-1,0),Inputs!$F$190-1)+Inputs!$F$189*MAX(MAX(0,(Time!Q$5-(DATE(YEAR(Inputs!$F$157)+Inputs!$F$165,1,1)-1))/Inputs!$F$27)-Inputs!$F$190,0))/100),0)</f>
        <v>18</v>
      </c>
      <c r="R1113" s="20" t="n">
        <f aca="false">IF(Time!R$5&gt;=(DATE(YEAR(Inputs!$F$157)+Inputs!$F$164,1,1)-1),Inputs!$F$166/100*Inputs!$F$162*(1-(Inputs!$F$187*MIN(MAX(0,(Time!R$5-(DATE(YEAR(Inputs!$F$157)+Inputs!$F$164,1,1)-1))/Inputs!$F$27),1)+Inputs!$F$188*MIN(MAX(MAX(0,(Time!R$5-(DATE(YEAR(Inputs!$F$157)+Inputs!$F$164,1,1)-1))/Inputs!$F$27)-1,0),Inputs!$F$190-1)+Inputs!$F$189*MAX(MAX(0,(Time!R$5-(DATE(YEAR(Inputs!$F$157)+Inputs!$F$164,1,1)-1))/Inputs!$F$27)-Inputs!$F$190,0))/100),0)+IF(Time!R$5&gt;=(DATE(YEAR(Inputs!$F$157)+Inputs!$F$165,1,1)-1),Inputs!$F$166/100*Inputs!$F$162*(1-(Inputs!$F$187*MIN(MAX(0,(Time!R$5-(DATE(YEAR(Inputs!$F$157)+Inputs!$F$165,1,1)-1))/Inputs!$F$27),1)+Inputs!$F$188*MIN(MAX(MAX(0,(Time!R$5-(DATE(YEAR(Inputs!$F$157)+Inputs!$F$165,1,1)-1))/Inputs!$F$27)-1,0),Inputs!$F$190-1)+Inputs!$F$189*MAX(MAX(0,(Time!R$5-(DATE(YEAR(Inputs!$F$157)+Inputs!$F$165,1,1)-1))/Inputs!$F$27)-Inputs!$F$190,0))/100),0)</f>
        <v>17.64</v>
      </c>
      <c r="S1113" s="20" t="n">
        <f aca="false">IF(Time!S$5&gt;=(DATE(YEAR(Inputs!$F$157)+Inputs!$F$164,1,1)-1),Inputs!$F$166/100*Inputs!$F$162*(1-(Inputs!$F$187*MIN(MAX(0,(Time!S$5-(DATE(YEAR(Inputs!$F$157)+Inputs!$F$164,1,1)-1))/Inputs!$F$27),1)+Inputs!$F$188*MIN(MAX(MAX(0,(Time!S$5-(DATE(YEAR(Inputs!$F$157)+Inputs!$F$164,1,1)-1))/Inputs!$F$27)-1,0),Inputs!$F$190-1)+Inputs!$F$189*MAX(MAX(0,(Time!S$5-(DATE(YEAR(Inputs!$F$157)+Inputs!$F$164,1,1)-1))/Inputs!$F$27)-Inputs!$F$190,0))/100),0)+IF(Time!S$5&gt;=(DATE(YEAR(Inputs!$F$157)+Inputs!$F$165,1,1)-1),Inputs!$F$166/100*Inputs!$F$162*(1-(Inputs!$F$187*MIN(MAX(0,(Time!S$5-(DATE(YEAR(Inputs!$F$157)+Inputs!$F$165,1,1)-1))/Inputs!$F$27),1)+Inputs!$F$188*MIN(MAX(MAX(0,(Time!S$5-(DATE(YEAR(Inputs!$F$157)+Inputs!$F$165,1,1)-1))/Inputs!$F$27)-1,0),Inputs!$F$190-1)+Inputs!$F$189*MAX(MAX(0,(Time!S$5-(DATE(YEAR(Inputs!$F$157)+Inputs!$F$165,1,1)-1))/Inputs!$F$27)-Inputs!$F$190,0))/100),0)</f>
        <v>17.37</v>
      </c>
      <c r="T1113" s="20" t="n">
        <f aca="false">IF(Time!T$5&gt;=(DATE(YEAR(Inputs!$F$157)+Inputs!$F$164,1,1)-1),Inputs!$F$166/100*Inputs!$F$162*(1-(Inputs!$F$187*MIN(MAX(0,(Time!T$5-(DATE(YEAR(Inputs!$F$157)+Inputs!$F$164,1,1)-1))/Inputs!$F$27),1)+Inputs!$F$188*MIN(MAX(MAX(0,(Time!T$5-(DATE(YEAR(Inputs!$F$157)+Inputs!$F$164,1,1)-1))/Inputs!$F$27)-1,0),Inputs!$F$190-1)+Inputs!$F$189*MAX(MAX(0,(Time!T$5-(DATE(YEAR(Inputs!$F$157)+Inputs!$F$164,1,1)-1))/Inputs!$F$27)-Inputs!$F$190,0))/100),0)+IF(Time!T$5&gt;=(DATE(YEAR(Inputs!$F$157)+Inputs!$F$165,1,1)-1),Inputs!$F$166/100*Inputs!$F$162*(1-(Inputs!$F$187*MIN(MAX(0,(Time!T$5-(DATE(YEAR(Inputs!$F$157)+Inputs!$F$165,1,1)-1))/Inputs!$F$27),1)+Inputs!$F$188*MIN(MAX(MAX(0,(Time!T$5-(DATE(YEAR(Inputs!$F$157)+Inputs!$F$165,1,1)-1))/Inputs!$F$27)-1,0),Inputs!$F$190-1)+Inputs!$F$189*MAX(MAX(0,(Time!T$5-(DATE(YEAR(Inputs!$F$157)+Inputs!$F$165,1,1)-1))/Inputs!$F$27)-Inputs!$F$190,0))/100),0)</f>
        <v>17.1</v>
      </c>
      <c r="U1113" s="20" t="n">
        <f aca="false">IF(Time!U$5&gt;=(DATE(YEAR(Inputs!$F$157)+Inputs!$F$164,1,1)-1),Inputs!$F$166/100*Inputs!$F$162*(1-(Inputs!$F$187*MIN(MAX(0,(Time!U$5-(DATE(YEAR(Inputs!$F$157)+Inputs!$F$164,1,1)-1))/Inputs!$F$27),1)+Inputs!$F$188*MIN(MAX(MAX(0,(Time!U$5-(DATE(YEAR(Inputs!$F$157)+Inputs!$F$164,1,1)-1))/Inputs!$F$27)-1,0),Inputs!$F$190-1)+Inputs!$F$189*MAX(MAX(0,(Time!U$5-(DATE(YEAR(Inputs!$F$157)+Inputs!$F$164,1,1)-1))/Inputs!$F$27)-Inputs!$F$190,0))/100),0)+IF(Time!U$5&gt;=(DATE(YEAR(Inputs!$F$157)+Inputs!$F$165,1,1)-1),Inputs!$F$166/100*Inputs!$F$162*(1-(Inputs!$F$187*MIN(MAX(0,(Time!U$5-(DATE(YEAR(Inputs!$F$157)+Inputs!$F$165,1,1)-1))/Inputs!$F$27),1)+Inputs!$F$188*MIN(MAX(MAX(0,(Time!U$5-(DATE(YEAR(Inputs!$F$157)+Inputs!$F$165,1,1)-1))/Inputs!$F$27)-1,0),Inputs!$F$190-1)+Inputs!$F$189*MAX(MAX(0,(Time!U$5-(DATE(YEAR(Inputs!$F$157)+Inputs!$F$165,1,1)-1))/Inputs!$F$27)-Inputs!$F$190,0))/100),0)</f>
        <v>34.8292602739726</v>
      </c>
      <c r="V1113" s="20" t="n">
        <f aca="false">IF(Time!V$5&gt;=(DATE(YEAR(Inputs!$F$157)+Inputs!$F$164,1,1)-1),Inputs!$F$166/100*Inputs!$F$162*(1-(Inputs!$F$187*MIN(MAX(0,(Time!V$5-(DATE(YEAR(Inputs!$F$157)+Inputs!$F$164,1,1)-1))/Inputs!$F$27),1)+Inputs!$F$188*MIN(MAX(MAX(0,(Time!V$5-(DATE(YEAR(Inputs!$F$157)+Inputs!$F$164,1,1)-1))/Inputs!$F$27)-1,0),Inputs!$F$190-1)+Inputs!$F$189*MAX(MAX(0,(Time!V$5-(DATE(YEAR(Inputs!$F$157)+Inputs!$F$164,1,1)-1))/Inputs!$F$27)-Inputs!$F$190,0))/100),0)+IF(Time!V$5&gt;=(DATE(YEAR(Inputs!$F$157)+Inputs!$F$165,1,1)-1),Inputs!$F$166/100*Inputs!$F$162*(1-(Inputs!$F$187*MIN(MAX(0,(Time!V$5-(DATE(YEAR(Inputs!$F$157)+Inputs!$F$165,1,1)-1))/Inputs!$F$27),1)+Inputs!$F$188*MIN(MAX(MAX(0,(Time!V$5-(DATE(YEAR(Inputs!$F$157)+Inputs!$F$165,1,1)-1))/Inputs!$F$27)-1,0),Inputs!$F$190-1)+Inputs!$F$189*MAX(MAX(0,(Time!V$5-(DATE(YEAR(Inputs!$F$157)+Inputs!$F$165,1,1)-1))/Inputs!$F$27)-Inputs!$F$190,0))/100),0)</f>
        <v>34.1992602739726</v>
      </c>
      <c r="W1113" s="20" t="n">
        <f aca="false">IF(Time!W$5&gt;=(DATE(YEAR(Inputs!$F$157)+Inputs!$F$164,1,1)-1),Inputs!$F$166/100*Inputs!$F$162*(1-(Inputs!$F$187*MIN(MAX(0,(Time!W$5-(DATE(YEAR(Inputs!$F$157)+Inputs!$F$164,1,1)-1))/Inputs!$F$27),1)+Inputs!$F$188*MIN(MAX(MAX(0,(Time!W$5-(DATE(YEAR(Inputs!$F$157)+Inputs!$F$164,1,1)-1))/Inputs!$F$27)-1,0),Inputs!$F$190-1)+Inputs!$F$189*MAX(MAX(0,(Time!W$5-(DATE(YEAR(Inputs!$F$157)+Inputs!$F$164,1,1)-1))/Inputs!$F$27)-Inputs!$F$190,0))/100),0)+IF(Time!W$5&gt;=(DATE(YEAR(Inputs!$F$157)+Inputs!$F$165,1,1)-1),Inputs!$F$166/100*Inputs!$F$162*(1-(Inputs!$F$187*MIN(MAX(0,(Time!W$5-(DATE(YEAR(Inputs!$F$157)+Inputs!$F$165,1,1)-1))/Inputs!$F$27),1)+Inputs!$F$188*MIN(MAX(MAX(0,(Time!W$5-(DATE(YEAR(Inputs!$F$157)+Inputs!$F$165,1,1)-1))/Inputs!$F$27)-1,0),Inputs!$F$190-1)+Inputs!$F$189*MAX(MAX(0,(Time!W$5-(DATE(YEAR(Inputs!$F$157)+Inputs!$F$165,1,1)-1))/Inputs!$F$27)-Inputs!$F$190,0))/100),0)</f>
        <v>33.6592602739726</v>
      </c>
      <c r="X1113" s="20" t="n">
        <f aca="false">IF(Time!X$5&gt;=(DATE(YEAR(Inputs!$F$157)+Inputs!$F$164,1,1)-1),Inputs!$F$166/100*Inputs!$F$162*(1-(Inputs!$F$187*MIN(MAX(0,(Time!X$5-(DATE(YEAR(Inputs!$F$157)+Inputs!$F$164,1,1)-1))/Inputs!$F$27),1)+Inputs!$F$188*MIN(MAX(MAX(0,(Time!X$5-(DATE(YEAR(Inputs!$F$157)+Inputs!$F$164,1,1)-1))/Inputs!$F$27)-1,0),Inputs!$F$190-1)+Inputs!$F$189*MAX(MAX(0,(Time!X$5-(DATE(YEAR(Inputs!$F$157)+Inputs!$F$164,1,1)-1))/Inputs!$F$27)-Inputs!$F$190,0))/100),0)+IF(Time!X$5&gt;=(DATE(YEAR(Inputs!$F$157)+Inputs!$F$165,1,1)-1),Inputs!$F$166/100*Inputs!$F$162*(1-(Inputs!$F$187*MIN(MAX(0,(Time!X$5-(DATE(YEAR(Inputs!$F$157)+Inputs!$F$165,1,1)-1))/Inputs!$F$27),1)+Inputs!$F$188*MIN(MAX(MAX(0,(Time!X$5-(DATE(YEAR(Inputs!$F$157)+Inputs!$F$165,1,1)-1))/Inputs!$F$27)-1,0),Inputs!$F$190-1)+Inputs!$F$189*MAX(MAX(0,(Time!X$5-(DATE(YEAR(Inputs!$F$157)+Inputs!$F$165,1,1)-1))/Inputs!$F$27)-Inputs!$F$190,0))/100),0)</f>
        <v>33.1192602739726</v>
      </c>
      <c r="Y1113" s="20" t="n">
        <f aca="false">IF(Time!Y$5&gt;=(DATE(YEAR(Inputs!$F$157)+Inputs!$F$164,1,1)-1),Inputs!$F$166/100*Inputs!$F$162*(1-(Inputs!$F$187*MIN(MAX(0,(Time!Y$5-(DATE(YEAR(Inputs!$F$157)+Inputs!$F$164,1,1)-1))/Inputs!$F$27),1)+Inputs!$F$188*MIN(MAX(MAX(0,(Time!Y$5-(DATE(YEAR(Inputs!$F$157)+Inputs!$F$164,1,1)-1))/Inputs!$F$27)-1,0),Inputs!$F$190-1)+Inputs!$F$189*MAX(MAX(0,(Time!Y$5-(DATE(YEAR(Inputs!$F$157)+Inputs!$F$164,1,1)-1))/Inputs!$F$27)-Inputs!$F$190,0))/100),0)+IF(Time!Y$5&gt;=(DATE(YEAR(Inputs!$F$157)+Inputs!$F$165,1,1)-1),Inputs!$F$166/100*Inputs!$F$162*(1-(Inputs!$F$187*MIN(MAX(0,(Time!Y$5-(DATE(YEAR(Inputs!$F$157)+Inputs!$F$165,1,1)-1))/Inputs!$F$27),1)+Inputs!$F$188*MIN(MAX(MAX(0,(Time!Y$5-(DATE(YEAR(Inputs!$F$157)+Inputs!$F$165,1,1)-1))/Inputs!$F$27)-1,0),Inputs!$F$190-1)+Inputs!$F$189*MAX(MAX(0,(Time!Y$5-(DATE(YEAR(Inputs!$F$157)+Inputs!$F$165,1,1)-1))/Inputs!$F$27)-Inputs!$F$190,0))/100),0)</f>
        <v>32.5777808219178</v>
      </c>
      <c r="Z1113" s="20" t="n">
        <f aca="false">IF(Time!Z$5&gt;=(DATE(YEAR(Inputs!$F$157)+Inputs!$F$164,1,1)-1),Inputs!$F$166/100*Inputs!$F$162*(1-(Inputs!$F$187*MIN(MAX(0,(Time!Z$5-(DATE(YEAR(Inputs!$F$157)+Inputs!$F$164,1,1)-1))/Inputs!$F$27),1)+Inputs!$F$188*MIN(MAX(MAX(0,(Time!Z$5-(DATE(YEAR(Inputs!$F$157)+Inputs!$F$164,1,1)-1))/Inputs!$F$27)-1,0),Inputs!$F$190-1)+Inputs!$F$189*MAX(MAX(0,(Time!Z$5-(DATE(YEAR(Inputs!$F$157)+Inputs!$F$164,1,1)-1))/Inputs!$F$27)-Inputs!$F$190,0))/100),0)+IF(Time!Z$5&gt;=(DATE(YEAR(Inputs!$F$157)+Inputs!$F$165,1,1)-1),Inputs!$F$166/100*Inputs!$F$162*(1-(Inputs!$F$187*MIN(MAX(0,(Time!Z$5-(DATE(YEAR(Inputs!$F$157)+Inputs!$F$165,1,1)-1))/Inputs!$F$27),1)+Inputs!$F$188*MIN(MAX(MAX(0,(Time!Z$5-(DATE(YEAR(Inputs!$F$157)+Inputs!$F$165,1,1)-1))/Inputs!$F$27)-1,0),Inputs!$F$190-1)+Inputs!$F$189*MAX(MAX(0,(Time!Z$5-(DATE(YEAR(Inputs!$F$157)+Inputs!$F$165,1,1)-1))/Inputs!$F$27)-Inputs!$F$190,0))/100),0)</f>
        <v>32.0377808219178</v>
      </c>
      <c r="AA1113" s="20" t="n">
        <f aca="false">IF(Time!AA$5&gt;=(DATE(YEAR(Inputs!$F$157)+Inputs!$F$164,1,1)-1),Inputs!$F$166/100*Inputs!$F$162*(1-(Inputs!$F$187*MIN(MAX(0,(Time!AA$5-(DATE(YEAR(Inputs!$F$157)+Inputs!$F$164,1,1)-1))/Inputs!$F$27),1)+Inputs!$F$188*MIN(MAX(MAX(0,(Time!AA$5-(DATE(YEAR(Inputs!$F$157)+Inputs!$F$164,1,1)-1))/Inputs!$F$27)-1,0),Inputs!$F$190-1)+Inputs!$F$189*MAX(MAX(0,(Time!AA$5-(DATE(YEAR(Inputs!$F$157)+Inputs!$F$164,1,1)-1))/Inputs!$F$27)-Inputs!$F$190,0))/100),0)+IF(Time!AA$5&gt;=(DATE(YEAR(Inputs!$F$157)+Inputs!$F$165,1,1)-1),Inputs!$F$166/100*Inputs!$F$162*(1-(Inputs!$F$187*MIN(MAX(0,(Time!AA$5-(DATE(YEAR(Inputs!$F$157)+Inputs!$F$165,1,1)-1))/Inputs!$F$27),1)+Inputs!$F$188*MIN(MAX(MAX(0,(Time!AA$5-(DATE(YEAR(Inputs!$F$157)+Inputs!$F$165,1,1)-1))/Inputs!$F$27)-1,0),Inputs!$F$190-1)+Inputs!$F$189*MAX(MAX(0,(Time!AA$5-(DATE(YEAR(Inputs!$F$157)+Inputs!$F$165,1,1)-1))/Inputs!$F$27)-Inputs!$F$190,0))/100),0)</f>
        <v>31.4982739726027</v>
      </c>
      <c r="AB1113" s="20" t="n">
        <f aca="false">IF(Time!AB$5&gt;=(DATE(YEAR(Inputs!$F$157)+Inputs!$F$164,1,1)-1),Inputs!$F$166/100*Inputs!$F$162*(1-(Inputs!$F$187*MIN(MAX(0,(Time!AB$5-(DATE(YEAR(Inputs!$F$157)+Inputs!$F$164,1,1)-1))/Inputs!$F$27),1)+Inputs!$F$188*MIN(MAX(MAX(0,(Time!AB$5-(DATE(YEAR(Inputs!$F$157)+Inputs!$F$164,1,1)-1))/Inputs!$F$27)-1,0),Inputs!$F$190-1)+Inputs!$F$189*MAX(MAX(0,(Time!AB$5-(DATE(YEAR(Inputs!$F$157)+Inputs!$F$164,1,1)-1))/Inputs!$F$27)-Inputs!$F$190,0))/100),0)+IF(Time!AB$5&gt;=(DATE(YEAR(Inputs!$F$157)+Inputs!$F$165,1,1)-1),Inputs!$F$166/100*Inputs!$F$162*(1-(Inputs!$F$187*MIN(MAX(0,(Time!AB$5-(DATE(YEAR(Inputs!$F$157)+Inputs!$F$165,1,1)-1))/Inputs!$F$27),1)+Inputs!$F$188*MIN(MAX(MAX(0,(Time!AB$5-(DATE(YEAR(Inputs!$F$157)+Inputs!$F$165,1,1)-1))/Inputs!$F$27)-1,0),Inputs!$F$190-1)+Inputs!$F$189*MAX(MAX(0,(Time!AB$5-(DATE(YEAR(Inputs!$F$157)+Inputs!$F$165,1,1)-1))/Inputs!$F$27)-Inputs!$F$190,0))/100),0)</f>
        <v>31.0482739726027</v>
      </c>
      <c r="AC1113" s="20" t="n">
        <f aca="false">IF(Time!AC$5&gt;=(DATE(YEAR(Inputs!$F$157)+Inputs!$F$164,1,1)-1),Inputs!$F$166/100*Inputs!$F$162*(1-(Inputs!$F$187*MIN(MAX(0,(Time!AC$5-(DATE(YEAR(Inputs!$F$157)+Inputs!$F$164,1,1)-1))/Inputs!$F$27),1)+Inputs!$F$188*MIN(MAX(MAX(0,(Time!AC$5-(DATE(YEAR(Inputs!$F$157)+Inputs!$F$164,1,1)-1))/Inputs!$F$27)-1,0),Inputs!$F$190-1)+Inputs!$F$189*MAX(MAX(0,(Time!AC$5-(DATE(YEAR(Inputs!$F$157)+Inputs!$F$164,1,1)-1))/Inputs!$F$27)-Inputs!$F$190,0))/100),0)+IF(Time!AC$5&gt;=(DATE(YEAR(Inputs!$F$157)+Inputs!$F$165,1,1)-1),Inputs!$F$166/100*Inputs!$F$162*(1-(Inputs!$F$187*MIN(MAX(0,(Time!AC$5-(DATE(YEAR(Inputs!$F$157)+Inputs!$F$165,1,1)-1))/Inputs!$F$27),1)+Inputs!$F$188*MIN(MAX(MAX(0,(Time!AC$5-(DATE(YEAR(Inputs!$F$157)+Inputs!$F$165,1,1)-1))/Inputs!$F$27)-1,0),Inputs!$F$190-1)+Inputs!$F$189*MAX(MAX(0,(Time!AC$5-(DATE(YEAR(Inputs!$F$157)+Inputs!$F$165,1,1)-1))/Inputs!$F$27)-Inputs!$F$190,0))/100),0)</f>
        <v>30.5970410958904</v>
      </c>
      <c r="AD1113" s="20" t="n">
        <f aca="false">IF(Time!AD$5&gt;=(DATE(YEAR(Inputs!$F$157)+Inputs!$F$164,1,1)-1),Inputs!$F$166/100*Inputs!$F$162*(1-(Inputs!$F$187*MIN(MAX(0,(Time!AD$5-(DATE(YEAR(Inputs!$F$157)+Inputs!$F$164,1,1)-1))/Inputs!$F$27),1)+Inputs!$F$188*MIN(MAX(MAX(0,(Time!AD$5-(DATE(YEAR(Inputs!$F$157)+Inputs!$F$164,1,1)-1))/Inputs!$F$27)-1,0),Inputs!$F$190-1)+Inputs!$F$189*MAX(MAX(0,(Time!AD$5-(DATE(YEAR(Inputs!$F$157)+Inputs!$F$164,1,1)-1))/Inputs!$F$27)-Inputs!$F$190,0))/100),0)+IF(Time!AD$5&gt;=(DATE(YEAR(Inputs!$F$157)+Inputs!$F$165,1,1)-1),Inputs!$F$166/100*Inputs!$F$162*(1-(Inputs!$F$187*MIN(MAX(0,(Time!AD$5-(DATE(YEAR(Inputs!$F$157)+Inputs!$F$165,1,1)-1))/Inputs!$F$27),1)+Inputs!$F$188*MIN(MAX(MAX(0,(Time!AD$5-(DATE(YEAR(Inputs!$F$157)+Inputs!$F$165,1,1)-1))/Inputs!$F$27)-1,0),Inputs!$F$190-1)+Inputs!$F$189*MAX(MAX(0,(Time!AD$5-(DATE(YEAR(Inputs!$F$157)+Inputs!$F$165,1,1)-1))/Inputs!$F$27)-Inputs!$F$190,0))/100),0)</f>
        <v>30.1470410958904</v>
      </c>
      <c r="AE1113" s="20" t="n">
        <f aca="false">IF(Time!AE$5&gt;=(DATE(YEAR(Inputs!$F$157)+Inputs!$F$164,1,1)-1),Inputs!$F$166/100*Inputs!$F$162*(1-(Inputs!$F$187*MIN(MAX(0,(Time!AE$5-(DATE(YEAR(Inputs!$F$157)+Inputs!$F$164,1,1)-1))/Inputs!$F$27),1)+Inputs!$F$188*MIN(MAX(MAX(0,(Time!AE$5-(DATE(YEAR(Inputs!$F$157)+Inputs!$F$164,1,1)-1))/Inputs!$F$27)-1,0),Inputs!$F$190-1)+Inputs!$F$189*MAX(MAX(0,(Time!AE$5-(DATE(YEAR(Inputs!$F$157)+Inputs!$F$164,1,1)-1))/Inputs!$F$27)-Inputs!$F$190,0))/100),0)+IF(Time!AE$5&gt;=(DATE(YEAR(Inputs!$F$157)+Inputs!$F$165,1,1)-1),Inputs!$F$166/100*Inputs!$F$162*(1-(Inputs!$F$187*MIN(MAX(0,(Time!AE$5-(DATE(YEAR(Inputs!$F$157)+Inputs!$F$165,1,1)-1))/Inputs!$F$27),1)+Inputs!$F$188*MIN(MAX(MAX(0,(Time!AE$5-(DATE(YEAR(Inputs!$F$157)+Inputs!$F$165,1,1)-1))/Inputs!$F$27)-1,0),Inputs!$F$190-1)+Inputs!$F$189*MAX(MAX(0,(Time!AE$5-(DATE(YEAR(Inputs!$F$157)+Inputs!$F$165,1,1)-1))/Inputs!$F$27)-Inputs!$F$190,0))/100),0)</f>
        <v>29.6975342465753</v>
      </c>
      <c r="AF1113" s="20" t="n">
        <f aca="false">IF(Time!AF$5&gt;=(DATE(YEAR(Inputs!$F$157)+Inputs!$F$164,1,1)-1),Inputs!$F$166/100*Inputs!$F$162*(1-(Inputs!$F$187*MIN(MAX(0,(Time!AF$5-(DATE(YEAR(Inputs!$F$157)+Inputs!$F$164,1,1)-1))/Inputs!$F$27),1)+Inputs!$F$188*MIN(MAX(MAX(0,(Time!AF$5-(DATE(YEAR(Inputs!$F$157)+Inputs!$F$164,1,1)-1))/Inputs!$F$27)-1,0),Inputs!$F$190-1)+Inputs!$F$189*MAX(MAX(0,(Time!AF$5-(DATE(YEAR(Inputs!$F$157)+Inputs!$F$164,1,1)-1))/Inputs!$F$27)-Inputs!$F$190,0))/100),0)+IF(Time!AF$5&gt;=(DATE(YEAR(Inputs!$F$157)+Inputs!$F$165,1,1)-1),Inputs!$F$166/100*Inputs!$F$162*(1-(Inputs!$F$187*MIN(MAX(0,(Time!AF$5-(DATE(YEAR(Inputs!$F$157)+Inputs!$F$165,1,1)-1))/Inputs!$F$27),1)+Inputs!$F$188*MIN(MAX(MAX(0,(Time!AF$5-(DATE(YEAR(Inputs!$F$157)+Inputs!$F$165,1,1)-1))/Inputs!$F$27)-1,0),Inputs!$F$190-1)+Inputs!$F$189*MAX(MAX(0,(Time!AF$5-(DATE(YEAR(Inputs!$F$157)+Inputs!$F$165,1,1)-1))/Inputs!$F$27)-Inputs!$F$190,0))/100),0)</f>
        <v>29.3375342465753</v>
      </c>
      <c r="AG1113" s="20" t="n">
        <f aca="false">IF(Time!AG$5&gt;=(DATE(YEAR(Inputs!$F$157)+Inputs!$F$164,1,1)-1),Inputs!$F$166/100*Inputs!$F$162*(1-(Inputs!$F$187*MIN(MAX(0,(Time!AG$5-(DATE(YEAR(Inputs!$F$157)+Inputs!$F$164,1,1)-1))/Inputs!$F$27),1)+Inputs!$F$188*MIN(MAX(MAX(0,(Time!AG$5-(DATE(YEAR(Inputs!$F$157)+Inputs!$F$164,1,1)-1))/Inputs!$F$27)-1,0),Inputs!$F$190-1)+Inputs!$F$189*MAX(MAX(0,(Time!AG$5-(DATE(YEAR(Inputs!$F$157)+Inputs!$F$164,1,1)-1))/Inputs!$F$27)-Inputs!$F$190,0))/100),0)+IF(Time!AG$5&gt;=(DATE(YEAR(Inputs!$F$157)+Inputs!$F$165,1,1)-1),Inputs!$F$166/100*Inputs!$F$162*(1-(Inputs!$F$187*MIN(MAX(0,(Time!AG$5-(DATE(YEAR(Inputs!$F$157)+Inputs!$F$165,1,1)-1))/Inputs!$F$27),1)+Inputs!$F$188*MIN(MAX(MAX(0,(Time!AG$5-(DATE(YEAR(Inputs!$F$157)+Inputs!$F$165,1,1)-1))/Inputs!$F$27)-1,0),Inputs!$F$190-1)+Inputs!$F$189*MAX(MAX(0,(Time!AG$5-(DATE(YEAR(Inputs!$F$157)+Inputs!$F$165,1,1)-1))/Inputs!$F$27)-Inputs!$F$190,0))/100),0)</f>
        <v>28.9765479452055</v>
      </c>
      <c r="AH1113" s="20" t="n">
        <f aca="false">IF(Time!AH$5&gt;=(DATE(YEAR(Inputs!$F$157)+Inputs!$F$164,1,1)-1),Inputs!$F$166/100*Inputs!$F$162*(1-(Inputs!$F$187*MIN(MAX(0,(Time!AH$5-(DATE(YEAR(Inputs!$F$157)+Inputs!$F$164,1,1)-1))/Inputs!$F$27),1)+Inputs!$F$188*MIN(MAX(MAX(0,(Time!AH$5-(DATE(YEAR(Inputs!$F$157)+Inputs!$F$164,1,1)-1))/Inputs!$F$27)-1,0),Inputs!$F$190-1)+Inputs!$F$189*MAX(MAX(0,(Time!AH$5-(DATE(YEAR(Inputs!$F$157)+Inputs!$F$164,1,1)-1))/Inputs!$F$27)-Inputs!$F$190,0))/100),0)+IF(Time!AH$5&gt;=(DATE(YEAR(Inputs!$F$157)+Inputs!$F$165,1,1)-1),Inputs!$F$166/100*Inputs!$F$162*(1-(Inputs!$F$187*MIN(MAX(0,(Time!AH$5-(DATE(YEAR(Inputs!$F$157)+Inputs!$F$165,1,1)-1))/Inputs!$F$27),1)+Inputs!$F$188*MIN(MAX(MAX(0,(Time!AH$5-(DATE(YEAR(Inputs!$F$157)+Inputs!$F$165,1,1)-1))/Inputs!$F$27)-1,0),Inputs!$F$190-1)+Inputs!$F$189*MAX(MAX(0,(Time!AH$5-(DATE(YEAR(Inputs!$F$157)+Inputs!$F$165,1,1)-1))/Inputs!$F$27)-Inputs!$F$190,0))/100),0)</f>
        <v>28.6165479452055</v>
      </c>
      <c r="AI1113" s="20" t="n">
        <f aca="false">IF(Time!AI$5&gt;=(DATE(YEAR(Inputs!$F$157)+Inputs!$F$164,1,1)-1),Inputs!$F$166/100*Inputs!$F$162*(1-(Inputs!$F$187*MIN(MAX(0,(Time!AI$5-(DATE(YEAR(Inputs!$F$157)+Inputs!$F$164,1,1)-1))/Inputs!$F$27),1)+Inputs!$F$188*MIN(MAX(MAX(0,(Time!AI$5-(DATE(YEAR(Inputs!$F$157)+Inputs!$F$164,1,1)-1))/Inputs!$F$27)-1,0),Inputs!$F$190-1)+Inputs!$F$189*MAX(MAX(0,(Time!AI$5-(DATE(YEAR(Inputs!$F$157)+Inputs!$F$164,1,1)-1))/Inputs!$F$27)-Inputs!$F$190,0))/100),0)+IF(Time!AI$5&gt;=(DATE(YEAR(Inputs!$F$157)+Inputs!$F$165,1,1)-1),Inputs!$F$166/100*Inputs!$F$162*(1-(Inputs!$F$187*MIN(MAX(0,(Time!AI$5-(DATE(YEAR(Inputs!$F$157)+Inputs!$F$165,1,1)-1))/Inputs!$F$27),1)+Inputs!$F$188*MIN(MAX(MAX(0,(Time!AI$5-(DATE(YEAR(Inputs!$F$157)+Inputs!$F$165,1,1)-1))/Inputs!$F$27)-1,0),Inputs!$F$190-1)+Inputs!$F$189*MAX(MAX(0,(Time!AI$5-(DATE(YEAR(Inputs!$F$157)+Inputs!$F$165,1,1)-1))/Inputs!$F$27)-Inputs!$F$190,0))/100),0)</f>
        <v>28.2565479452055</v>
      </c>
      <c r="AJ1113" s="20" t="n">
        <f aca="false">IF(Time!AJ$5&gt;=(DATE(YEAR(Inputs!$F$157)+Inputs!$F$164,1,1)-1),Inputs!$F$166/100*Inputs!$F$162*(1-(Inputs!$F$187*MIN(MAX(0,(Time!AJ$5-(DATE(YEAR(Inputs!$F$157)+Inputs!$F$164,1,1)-1))/Inputs!$F$27),1)+Inputs!$F$188*MIN(MAX(MAX(0,(Time!AJ$5-(DATE(YEAR(Inputs!$F$157)+Inputs!$F$164,1,1)-1))/Inputs!$F$27)-1,0),Inputs!$F$190-1)+Inputs!$F$189*MAX(MAX(0,(Time!AJ$5-(DATE(YEAR(Inputs!$F$157)+Inputs!$F$164,1,1)-1))/Inputs!$F$27)-Inputs!$F$190,0))/100),0)+IF(Time!AJ$5&gt;=(DATE(YEAR(Inputs!$F$157)+Inputs!$F$165,1,1)-1),Inputs!$F$166/100*Inputs!$F$162*(1-(Inputs!$F$187*MIN(MAX(0,(Time!AJ$5-(DATE(YEAR(Inputs!$F$157)+Inputs!$F$165,1,1)-1))/Inputs!$F$27),1)+Inputs!$F$188*MIN(MAX(MAX(0,(Time!AJ$5-(DATE(YEAR(Inputs!$F$157)+Inputs!$F$165,1,1)-1))/Inputs!$F$27)-1,0),Inputs!$F$190-1)+Inputs!$F$189*MAX(MAX(0,(Time!AJ$5-(DATE(YEAR(Inputs!$F$157)+Inputs!$F$165,1,1)-1))/Inputs!$F$27)-Inputs!$F$190,0))/100),0)</f>
        <v>27.8965479452055</v>
      </c>
      <c r="AK1113" s="20" t="n">
        <f aca="false">IF(Time!AK$5&gt;=(DATE(YEAR(Inputs!$F$157)+Inputs!$F$164,1,1)-1),Inputs!$F$166/100*Inputs!$F$162*(1-(Inputs!$F$187*MIN(MAX(0,(Time!AK$5-(DATE(YEAR(Inputs!$F$157)+Inputs!$F$164,1,1)-1))/Inputs!$F$27),1)+Inputs!$F$188*MIN(MAX(MAX(0,(Time!AK$5-(DATE(YEAR(Inputs!$F$157)+Inputs!$F$164,1,1)-1))/Inputs!$F$27)-1,0),Inputs!$F$190-1)+Inputs!$F$189*MAX(MAX(0,(Time!AK$5-(DATE(YEAR(Inputs!$F$157)+Inputs!$F$164,1,1)-1))/Inputs!$F$27)-Inputs!$F$190,0))/100),0)+IF(Time!AK$5&gt;=(DATE(YEAR(Inputs!$F$157)+Inputs!$F$165,1,1)-1),Inputs!$F$166/100*Inputs!$F$162*(1-(Inputs!$F$187*MIN(MAX(0,(Time!AK$5-(DATE(YEAR(Inputs!$F$157)+Inputs!$F$165,1,1)-1))/Inputs!$F$27),1)+Inputs!$F$188*MIN(MAX(MAX(0,(Time!AK$5-(DATE(YEAR(Inputs!$F$157)+Inputs!$F$165,1,1)-1))/Inputs!$F$27)-1,0),Inputs!$F$190-1)+Inputs!$F$189*MAX(MAX(0,(Time!AK$5-(DATE(YEAR(Inputs!$F$157)+Inputs!$F$165,1,1)-1))/Inputs!$F$27)-Inputs!$F$190,0))/100),0)</f>
        <v>27.5355616438356</v>
      </c>
      <c r="AL1113" s="20" t="n">
        <f aca="false">IF(Time!AL$5&gt;=(DATE(YEAR(Inputs!$F$157)+Inputs!$F$164,1,1)-1),Inputs!$F$166/100*Inputs!$F$162*(1-(Inputs!$F$187*MIN(MAX(0,(Time!AL$5-(DATE(YEAR(Inputs!$F$157)+Inputs!$F$164,1,1)-1))/Inputs!$F$27),1)+Inputs!$F$188*MIN(MAX(MAX(0,(Time!AL$5-(DATE(YEAR(Inputs!$F$157)+Inputs!$F$164,1,1)-1))/Inputs!$F$27)-1,0),Inputs!$F$190-1)+Inputs!$F$189*MAX(MAX(0,(Time!AL$5-(DATE(YEAR(Inputs!$F$157)+Inputs!$F$164,1,1)-1))/Inputs!$F$27)-Inputs!$F$190,0))/100),0)+IF(Time!AL$5&gt;=(DATE(YEAR(Inputs!$F$157)+Inputs!$F$165,1,1)-1),Inputs!$F$166/100*Inputs!$F$162*(1-(Inputs!$F$187*MIN(MAX(0,(Time!AL$5-(DATE(YEAR(Inputs!$F$157)+Inputs!$F$165,1,1)-1))/Inputs!$F$27),1)+Inputs!$F$188*MIN(MAX(MAX(0,(Time!AL$5-(DATE(YEAR(Inputs!$F$157)+Inputs!$F$165,1,1)-1))/Inputs!$F$27)-1,0),Inputs!$F$190-1)+Inputs!$F$189*MAX(MAX(0,(Time!AL$5-(DATE(YEAR(Inputs!$F$157)+Inputs!$F$165,1,1)-1))/Inputs!$F$27)-Inputs!$F$190,0))/100),0)</f>
        <v>27.1755616438356</v>
      </c>
      <c r="AM1113" s="20" t="n">
        <f aca="false">IF(Time!AM$5&gt;=(DATE(YEAR(Inputs!$F$157)+Inputs!$F$164,1,1)-1),Inputs!$F$166/100*Inputs!$F$162*(1-(Inputs!$F$187*MIN(MAX(0,(Time!AM$5-(DATE(YEAR(Inputs!$F$157)+Inputs!$F$164,1,1)-1))/Inputs!$F$27),1)+Inputs!$F$188*MIN(MAX(MAX(0,(Time!AM$5-(DATE(YEAR(Inputs!$F$157)+Inputs!$F$164,1,1)-1))/Inputs!$F$27)-1,0),Inputs!$F$190-1)+Inputs!$F$189*MAX(MAX(0,(Time!AM$5-(DATE(YEAR(Inputs!$F$157)+Inputs!$F$164,1,1)-1))/Inputs!$F$27)-Inputs!$F$190,0))/100),0)+IF(Time!AM$5&gt;=(DATE(YEAR(Inputs!$F$157)+Inputs!$F$165,1,1)-1),Inputs!$F$166/100*Inputs!$F$162*(1-(Inputs!$F$187*MIN(MAX(0,(Time!AM$5-(DATE(YEAR(Inputs!$F$157)+Inputs!$F$165,1,1)-1))/Inputs!$F$27),1)+Inputs!$F$188*MIN(MAX(MAX(0,(Time!AM$5-(DATE(YEAR(Inputs!$F$157)+Inputs!$F$165,1,1)-1))/Inputs!$F$27)-1,0),Inputs!$F$190-1)+Inputs!$F$189*MAX(MAX(0,(Time!AM$5-(DATE(YEAR(Inputs!$F$157)+Inputs!$F$165,1,1)-1))/Inputs!$F$27)-Inputs!$F$190,0))/100),0)</f>
        <v>26.8155616438356</v>
      </c>
      <c r="AN1113" s="20" t="n">
        <f aca="false">IF(Time!AN$5&gt;=(DATE(YEAR(Inputs!$F$157)+Inputs!$F$164,1,1)-1),Inputs!$F$166/100*Inputs!$F$162*(1-(Inputs!$F$187*MIN(MAX(0,(Time!AN$5-(DATE(YEAR(Inputs!$F$157)+Inputs!$F$164,1,1)-1))/Inputs!$F$27),1)+Inputs!$F$188*MIN(MAX(MAX(0,(Time!AN$5-(DATE(YEAR(Inputs!$F$157)+Inputs!$F$164,1,1)-1))/Inputs!$F$27)-1,0),Inputs!$F$190-1)+Inputs!$F$189*MAX(MAX(0,(Time!AN$5-(DATE(YEAR(Inputs!$F$157)+Inputs!$F$164,1,1)-1))/Inputs!$F$27)-Inputs!$F$190,0))/100),0)+IF(Time!AN$5&gt;=(DATE(YEAR(Inputs!$F$157)+Inputs!$F$165,1,1)-1),Inputs!$F$166/100*Inputs!$F$162*(1-(Inputs!$F$187*MIN(MAX(0,(Time!AN$5-(DATE(YEAR(Inputs!$F$157)+Inputs!$F$165,1,1)-1))/Inputs!$F$27),1)+Inputs!$F$188*MIN(MAX(MAX(0,(Time!AN$5-(DATE(YEAR(Inputs!$F$157)+Inputs!$F$165,1,1)-1))/Inputs!$F$27)-1,0),Inputs!$F$190-1)+Inputs!$F$189*MAX(MAX(0,(Time!AN$5-(DATE(YEAR(Inputs!$F$157)+Inputs!$F$165,1,1)-1))/Inputs!$F$27)-Inputs!$F$190,0))/100),0)</f>
        <v>26.4555616438356</v>
      </c>
      <c r="AO1113" s="20" t="n">
        <f aca="false">IF(Time!AO$5&gt;=(DATE(YEAR(Inputs!$F$157)+Inputs!$F$164,1,1)-1),Inputs!$F$166/100*Inputs!$F$162*(1-(Inputs!$F$187*MIN(MAX(0,(Time!AO$5-(DATE(YEAR(Inputs!$F$157)+Inputs!$F$164,1,1)-1))/Inputs!$F$27),1)+Inputs!$F$188*MIN(MAX(MAX(0,(Time!AO$5-(DATE(YEAR(Inputs!$F$157)+Inputs!$F$164,1,1)-1))/Inputs!$F$27)-1,0),Inputs!$F$190-1)+Inputs!$F$189*MAX(MAX(0,(Time!AO$5-(DATE(YEAR(Inputs!$F$157)+Inputs!$F$164,1,1)-1))/Inputs!$F$27)-Inputs!$F$190,0))/100),0)+IF(Time!AO$5&gt;=(DATE(YEAR(Inputs!$F$157)+Inputs!$F$165,1,1)-1),Inputs!$F$166/100*Inputs!$F$162*(1-(Inputs!$F$187*MIN(MAX(0,(Time!AO$5-(DATE(YEAR(Inputs!$F$157)+Inputs!$F$165,1,1)-1))/Inputs!$F$27),1)+Inputs!$F$188*MIN(MAX(MAX(0,(Time!AO$5-(DATE(YEAR(Inputs!$F$157)+Inputs!$F$165,1,1)-1))/Inputs!$F$27)-1,0),Inputs!$F$190-1)+Inputs!$F$189*MAX(MAX(0,(Time!AO$5-(DATE(YEAR(Inputs!$F$157)+Inputs!$F$165,1,1)-1))/Inputs!$F$27)-Inputs!$F$190,0))/100),0)</f>
        <v>26.0945753424658</v>
      </c>
      <c r="AP1113" s="20" t="n">
        <f aca="false">IF(Time!AP$5&gt;=(DATE(YEAR(Inputs!$F$157)+Inputs!$F$164,1,1)-1),Inputs!$F$166/100*Inputs!$F$162*(1-(Inputs!$F$187*MIN(MAX(0,(Time!AP$5-(DATE(YEAR(Inputs!$F$157)+Inputs!$F$164,1,1)-1))/Inputs!$F$27),1)+Inputs!$F$188*MIN(MAX(MAX(0,(Time!AP$5-(DATE(YEAR(Inputs!$F$157)+Inputs!$F$164,1,1)-1))/Inputs!$F$27)-1,0),Inputs!$F$190-1)+Inputs!$F$189*MAX(MAX(0,(Time!AP$5-(DATE(YEAR(Inputs!$F$157)+Inputs!$F$164,1,1)-1))/Inputs!$F$27)-Inputs!$F$190,0))/100),0)+IF(Time!AP$5&gt;=(DATE(YEAR(Inputs!$F$157)+Inputs!$F$165,1,1)-1),Inputs!$F$166/100*Inputs!$F$162*(1-(Inputs!$F$187*MIN(MAX(0,(Time!AP$5-(DATE(YEAR(Inputs!$F$157)+Inputs!$F$165,1,1)-1))/Inputs!$F$27),1)+Inputs!$F$188*MIN(MAX(MAX(0,(Time!AP$5-(DATE(YEAR(Inputs!$F$157)+Inputs!$F$165,1,1)-1))/Inputs!$F$27)-1,0),Inputs!$F$190-1)+Inputs!$F$189*MAX(MAX(0,(Time!AP$5-(DATE(YEAR(Inputs!$F$157)+Inputs!$F$165,1,1)-1))/Inputs!$F$27)-Inputs!$F$190,0))/100),0)</f>
        <v>25.7345753424658</v>
      </c>
      <c r="AQ1113" s="20" t="n">
        <f aca="false">IF(Time!AQ$5&gt;=(DATE(YEAR(Inputs!$F$157)+Inputs!$F$164,1,1)-1),Inputs!$F$166/100*Inputs!$F$162*(1-(Inputs!$F$187*MIN(MAX(0,(Time!AQ$5-(DATE(YEAR(Inputs!$F$157)+Inputs!$F$164,1,1)-1))/Inputs!$F$27),1)+Inputs!$F$188*MIN(MAX(MAX(0,(Time!AQ$5-(DATE(YEAR(Inputs!$F$157)+Inputs!$F$164,1,1)-1))/Inputs!$F$27)-1,0),Inputs!$F$190-1)+Inputs!$F$189*MAX(MAX(0,(Time!AQ$5-(DATE(YEAR(Inputs!$F$157)+Inputs!$F$164,1,1)-1))/Inputs!$F$27)-Inputs!$F$190,0))/100),0)+IF(Time!AQ$5&gt;=(DATE(YEAR(Inputs!$F$157)+Inputs!$F$165,1,1)-1),Inputs!$F$166/100*Inputs!$F$162*(1-(Inputs!$F$187*MIN(MAX(0,(Time!AQ$5-(DATE(YEAR(Inputs!$F$157)+Inputs!$F$165,1,1)-1))/Inputs!$F$27),1)+Inputs!$F$188*MIN(MAX(MAX(0,(Time!AQ$5-(DATE(YEAR(Inputs!$F$157)+Inputs!$F$165,1,1)-1))/Inputs!$F$27)-1,0),Inputs!$F$190-1)+Inputs!$F$189*MAX(MAX(0,(Time!AQ$5-(DATE(YEAR(Inputs!$F$157)+Inputs!$F$165,1,1)-1))/Inputs!$F$27)-Inputs!$F$190,0))/100),0)</f>
        <v>25.3745753424658</v>
      </c>
      <c r="AR1113" s="20" t="n">
        <f aca="false">IF(Time!AR$5&gt;=(DATE(YEAR(Inputs!$F$157)+Inputs!$F$164,1,1)-1),Inputs!$F$166/100*Inputs!$F$162*(1-(Inputs!$F$187*MIN(MAX(0,(Time!AR$5-(DATE(YEAR(Inputs!$F$157)+Inputs!$F$164,1,1)-1))/Inputs!$F$27),1)+Inputs!$F$188*MIN(MAX(MAX(0,(Time!AR$5-(DATE(YEAR(Inputs!$F$157)+Inputs!$F$164,1,1)-1))/Inputs!$F$27)-1,0),Inputs!$F$190-1)+Inputs!$F$189*MAX(MAX(0,(Time!AR$5-(DATE(YEAR(Inputs!$F$157)+Inputs!$F$164,1,1)-1))/Inputs!$F$27)-Inputs!$F$190,0))/100),0)+IF(Time!AR$5&gt;=(DATE(YEAR(Inputs!$F$157)+Inputs!$F$165,1,1)-1),Inputs!$F$166/100*Inputs!$F$162*(1-(Inputs!$F$187*MIN(MAX(0,(Time!AR$5-(DATE(YEAR(Inputs!$F$157)+Inputs!$F$165,1,1)-1))/Inputs!$F$27),1)+Inputs!$F$188*MIN(MAX(MAX(0,(Time!AR$5-(DATE(YEAR(Inputs!$F$157)+Inputs!$F$165,1,1)-1))/Inputs!$F$27)-1,0),Inputs!$F$190-1)+Inputs!$F$189*MAX(MAX(0,(Time!AR$5-(DATE(YEAR(Inputs!$F$157)+Inputs!$F$165,1,1)-1))/Inputs!$F$27)-Inputs!$F$190,0))/100),0)</f>
        <v>25.0145753424658</v>
      </c>
      <c r="AS1113" s="20" t="n">
        <f aca="false">IF(Time!AS$5&gt;=(DATE(YEAR(Inputs!$F$157)+Inputs!$F$164,1,1)-1),Inputs!$F$166/100*Inputs!$F$162*(1-(Inputs!$F$187*MIN(MAX(0,(Time!AS$5-(DATE(YEAR(Inputs!$F$157)+Inputs!$F$164,1,1)-1))/Inputs!$F$27),1)+Inputs!$F$188*MIN(MAX(MAX(0,(Time!AS$5-(DATE(YEAR(Inputs!$F$157)+Inputs!$F$164,1,1)-1))/Inputs!$F$27)-1,0),Inputs!$F$190-1)+Inputs!$F$189*MAX(MAX(0,(Time!AS$5-(DATE(YEAR(Inputs!$F$157)+Inputs!$F$164,1,1)-1))/Inputs!$F$27)-Inputs!$F$190,0))/100),0)+IF(Time!AS$5&gt;=(DATE(YEAR(Inputs!$F$157)+Inputs!$F$165,1,1)-1),Inputs!$F$166/100*Inputs!$F$162*(1-(Inputs!$F$187*MIN(MAX(0,(Time!AS$5-(DATE(YEAR(Inputs!$F$157)+Inputs!$F$165,1,1)-1))/Inputs!$F$27),1)+Inputs!$F$188*MIN(MAX(MAX(0,(Time!AS$5-(DATE(YEAR(Inputs!$F$157)+Inputs!$F$165,1,1)-1))/Inputs!$F$27)-1,0),Inputs!$F$190-1)+Inputs!$F$189*MAX(MAX(0,(Time!AS$5-(DATE(YEAR(Inputs!$F$157)+Inputs!$F$165,1,1)-1))/Inputs!$F$27)-Inputs!$F$190,0))/100),0)</f>
        <v>24.6535890410959</v>
      </c>
      <c r="AT1113" s="20" t="n">
        <f aca="false">IF(Time!AT$5&gt;=(DATE(YEAR(Inputs!$F$157)+Inputs!$F$164,1,1)-1),Inputs!$F$166/100*Inputs!$F$162*(1-(Inputs!$F$187*MIN(MAX(0,(Time!AT$5-(DATE(YEAR(Inputs!$F$157)+Inputs!$F$164,1,1)-1))/Inputs!$F$27),1)+Inputs!$F$188*MIN(MAX(MAX(0,(Time!AT$5-(DATE(YEAR(Inputs!$F$157)+Inputs!$F$164,1,1)-1))/Inputs!$F$27)-1,0),Inputs!$F$190-1)+Inputs!$F$189*MAX(MAX(0,(Time!AT$5-(DATE(YEAR(Inputs!$F$157)+Inputs!$F$164,1,1)-1))/Inputs!$F$27)-Inputs!$F$190,0))/100),0)+IF(Time!AT$5&gt;=(DATE(YEAR(Inputs!$F$157)+Inputs!$F$165,1,1)-1),Inputs!$F$166/100*Inputs!$F$162*(1-(Inputs!$F$187*MIN(MAX(0,(Time!AT$5-(DATE(YEAR(Inputs!$F$157)+Inputs!$F$165,1,1)-1))/Inputs!$F$27),1)+Inputs!$F$188*MIN(MAX(MAX(0,(Time!AT$5-(DATE(YEAR(Inputs!$F$157)+Inputs!$F$165,1,1)-1))/Inputs!$F$27)-1,0),Inputs!$F$190-1)+Inputs!$F$189*MAX(MAX(0,(Time!AT$5-(DATE(YEAR(Inputs!$F$157)+Inputs!$F$165,1,1)-1))/Inputs!$F$27)-Inputs!$F$190,0))/100),0)</f>
        <v>24.2935890410959</v>
      </c>
      <c r="AU1113" s="20" t="n">
        <f aca="false">IF(Time!AU$5&gt;=(DATE(YEAR(Inputs!$F$157)+Inputs!$F$164,1,1)-1),Inputs!$F$166/100*Inputs!$F$162*(1-(Inputs!$F$187*MIN(MAX(0,(Time!AU$5-(DATE(YEAR(Inputs!$F$157)+Inputs!$F$164,1,1)-1))/Inputs!$F$27),1)+Inputs!$F$188*MIN(MAX(MAX(0,(Time!AU$5-(DATE(YEAR(Inputs!$F$157)+Inputs!$F$164,1,1)-1))/Inputs!$F$27)-1,0),Inputs!$F$190-1)+Inputs!$F$189*MAX(MAX(0,(Time!AU$5-(DATE(YEAR(Inputs!$F$157)+Inputs!$F$164,1,1)-1))/Inputs!$F$27)-Inputs!$F$190,0))/100),0)+IF(Time!AU$5&gt;=(DATE(YEAR(Inputs!$F$157)+Inputs!$F$165,1,1)-1),Inputs!$F$166/100*Inputs!$F$162*(1-(Inputs!$F$187*MIN(MAX(0,(Time!AU$5-(DATE(YEAR(Inputs!$F$157)+Inputs!$F$165,1,1)-1))/Inputs!$F$27),1)+Inputs!$F$188*MIN(MAX(MAX(0,(Time!AU$5-(DATE(YEAR(Inputs!$F$157)+Inputs!$F$165,1,1)-1))/Inputs!$F$27)-1,0),Inputs!$F$190-1)+Inputs!$F$189*MAX(MAX(0,(Time!AU$5-(DATE(YEAR(Inputs!$F$157)+Inputs!$F$165,1,1)-1))/Inputs!$F$27)-Inputs!$F$190,0))/100),0)</f>
        <v>23.9335890410959</v>
      </c>
    </row>
    <row r="1114" customFormat="false" ht="15" hidden="false" customHeight="false" outlineLevel="0" collapsed="false">
      <c r="D1114" s="0" t="s">
        <v>719</v>
      </c>
      <c r="E1114" s="0" t="s">
        <v>176</v>
      </c>
      <c r="J1114" s="20" t="n">
        <f aca="false">Operations!J1112+Operations!J1113</f>
        <v>324</v>
      </c>
      <c r="K1114" s="20" t="n">
        <f aca="false">Operations!K1112+Operations!K1113</f>
        <v>324</v>
      </c>
      <c r="L1114" s="20" t="n">
        <f aca="false">Operations!L1112+Operations!L1113</f>
        <v>324</v>
      </c>
      <c r="M1114" s="20" t="n">
        <f aca="false">Operations!M1112+Operations!M1113</f>
        <v>319.153315068493</v>
      </c>
      <c r="N1114" s="20" t="n">
        <f aca="false">Operations!N1112+Operations!N1113</f>
        <v>313.88498630137</v>
      </c>
      <c r="O1114" s="20" t="n">
        <f aca="false">Operations!O1112+Operations!O1113</f>
        <v>309.02498630137</v>
      </c>
      <c r="P1114" s="20" t="n">
        <f aca="false">Operations!P1112+Operations!P1113</f>
        <v>304.16498630137</v>
      </c>
      <c r="Q1114" s="20" t="n">
        <f aca="false">Operations!Q1112+Operations!Q1113</f>
        <v>317.291671232877</v>
      </c>
      <c r="R1114" s="20" t="n">
        <f aca="false">Operations!R1112+Operations!R1113</f>
        <v>312.071671232877</v>
      </c>
      <c r="S1114" s="20" t="n">
        <f aca="false">Operations!S1112+Operations!S1113</f>
        <v>306.941671232877</v>
      </c>
      <c r="T1114" s="20" t="n">
        <f aca="false">Operations!T1112+Operations!T1113</f>
        <v>301.811671232877</v>
      </c>
      <c r="U1114" s="20" t="n">
        <f aca="false">Operations!U1112+Operations!U1113</f>
        <v>314.667616438356</v>
      </c>
      <c r="V1114" s="20" t="n">
        <f aca="false">Operations!V1112+Operations!V1113</f>
        <v>309.177616438356</v>
      </c>
      <c r="W1114" s="20" t="n">
        <f aca="false">Operations!W1112+Operations!W1113</f>
        <v>304.998164383562</v>
      </c>
      <c r="X1114" s="20" t="n">
        <f aca="false">Operations!X1112+Operations!X1113</f>
        <v>301.218164383562</v>
      </c>
      <c r="Y1114" s="20" t="n">
        <f aca="false">Operations!Y1112+Operations!Y1113</f>
        <v>297.427808219178</v>
      </c>
      <c r="Z1114" s="20" t="n">
        <f aca="false">Operations!Z1112+Operations!Z1113</f>
        <v>293.647808219178</v>
      </c>
      <c r="AA1114" s="20" t="n">
        <f aca="false">Operations!AA1112+Operations!AA1113</f>
        <v>289.868301369863</v>
      </c>
      <c r="AB1114" s="20" t="n">
        <f aca="false">Operations!AB1112+Operations!AB1113</f>
        <v>286.178301369863</v>
      </c>
      <c r="AC1114" s="20" t="n">
        <f aca="false">Operations!AC1112+Operations!AC1113</f>
        <v>282.478191780822</v>
      </c>
      <c r="AD1114" s="20" t="n">
        <f aca="false">Operations!AD1112+Operations!AD1113</f>
        <v>278.788191780822</v>
      </c>
      <c r="AE1114" s="20" t="n">
        <f aca="false">Operations!AE1112+Operations!AE1113</f>
        <v>275.098684931507</v>
      </c>
      <c r="AF1114" s="20" t="n">
        <f aca="false">Operations!AF1112+Operations!AF1113</f>
        <v>271.498684931507</v>
      </c>
      <c r="AG1114" s="20" t="n">
        <f aca="false">Operations!AG1112+Operations!AG1113</f>
        <v>267.888821917808</v>
      </c>
      <c r="AH1114" s="20" t="n">
        <f aca="false">Operations!AH1112+Operations!AH1113</f>
        <v>264.288821917808</v>
      </c>
      <c r="AI1114" s="20" t="n">
        <f aca="false">Operations!AI1112+Operations!AI1113</f>
        <v>260.688821917808</v>
      </c>
      <c r="AJ1114" s="20" t="n">
        <f aca="false">Operations!AJ1112+Operations!AJ1113</f>
        <v>257.088821917808</v>
      </c>
      <c r="AK1114" s="20" t="n">
        <f aca="false">Operations!AK1112+Operations!AK1113</f>
        <v>253.47895890411</v>
      </c>
      <c r="AL1114" s="20" t="n">
        <f aca="false">Operations!AL1112+Operations!AL1113</f>
        <v>249.87895890411</v>
      </c>
      <c r="AM1114" s="20" t="n">
        <f aca="false">Operations!AM1112+Operations!AM1113</f>
        <v>246.27895890411</v>
      </c>
      <c r="AN1114" s="20" t="n">
        <f aca="false">Operations!AN1112+Operations!AN1113</f>
        <v>242.67895890411</v>
      </c>
      <c r="AO1114" s="20" t="n">
        <f aca="false">Operations!AO1112+Operations!AO1113</f>
        <v>239.069095890411</v>
      </c>
      <c r="AP1114" s="20" t="n">
        <f aca="false">Operations!AP1112+Operations!AP1113</f>
        <v>235.469095890411</v>
      </c>
      <c r="AQ1114" s="20" t="n">
        <f aca="false">Operations!AQ1112+Operations!AQ1113</f>
        <v>231.869095890411</v>
      </c>
      <c r="AR1114" s="20" t="n">
        <f aca="false">Operations!AR1112+Operations!AR1113</f>
        <v>228.269095890411</v>
      </c>
      <c r="AS1114" s="20" t="n">
        <f aca="false">Operations!AS1112+Operations!AS1113</f>
        <v>224.659232876712</v>
      </c>
      <c r="AT1114" s="20" t="n">
        <f aca="false">Operations!AT1112+Operations!AT1113</f>
        <v>221.059232876712</v>
      </c>
      <c r="AU1114" s="20" t="n">
        <f aca="false">Operations!AU1112+Operations!AU1113</f>
        <v>217.459232876712</v>
      </c>
    </row>
    <row r="1115" customFormat="false" ht="15" hidden="false" customHeight="false" outlineLevel="0" collapsed="false">
      <c r="D1115" s="0" t="s">
        <v>720</v>
      </c>
      <c r="E1115" s="0" t="s">
        <v>176</v>
      </c>
      <c r="J1115" s="20" t="n">
        <f aca="false">Inputs!$F$162*(1+Inputs!$F$168/100)*(1-(Inputs!$F$187*MIN(MAX(0,(Time!J$6-Inputs!$F$157)/Inputs!$F$27),1)+Inputs!$F$188*MIN(MAX(MAX(0,(Time!J$6-Inputs!$F$157)/Inputs!$F$27)-1,0),Inputs!$F$190-1)+Inputs!$F$189*MAX(MAX(0,(Time!J$6-Inputs!$F$157)/Inputs!$F$27)-Inputs!$F$190,0))/100)</f>
        <v>324</v>
      </c>
      <c r="K1115" s="20" t="n">
        <f aca="false">Inputs!$F$162*(1+Inputs!$F$168/100)*(1-(Inputs!$F$187*MIN(MAX(0,(Time!K$6-Inputs!$F$157)/Inputs!$F$27),1)+Inputs!$F$188*MIN(MAX(MAX(0,(Time!K$6-Inputs!$F$157)/Inputs!$F$27)-1,0),Inputs!$F$190-1)+Inputs!$F$189*MAX(MAX(0,(Time!K$6-Inputs!$F$157)/Inputs!$F$27)-Inputs!$F$190,0))/100)</f>
        <v>324</v>
      </c>
      <c r="L1115" s="20" t="n">
        <f aca="false">Inputs!$F$162*(1+Inputs!$F$168/100)*(1-(Inputs!$F$187*MIN(MAX(0,(Time!L$6-Inputs!$F$157)/Inputs!$F$27),1)+Inputs!$F$188*MIN(MAX(MAX(0,(Time!L$6-Inputs!$F$157)/Inputs!$F$27)-1,0),Inputs!$F$190-1)+Inputs!$F$189*MAX(MAX(0,(Time!L$6-Inputs!$F$157)/Inputs!$F$27)-Inputs!$F$190,0))/100)</f>
        <v>319.153315068493</v>
      </c>
      <c r="M1115" s="20" t="n">
        <f aca="false">Inputs!$F$162*(1+Inputs!$F$168/100)*(1-(Inputs!$F$187*MIN(MAX(0,(Time!M$6-Inputs!$F$157)/Inputs!$F$27),1)+Inputs!$F$188*MIN(MAX(MAX(0,(Time!M$6-Inputs!$F$157)/Inputs!$F$27)-1,0),Inputs!$F$190-1)+Inputs!$F$189*MAX(MAX(0,(Time!M$6-Inputs!$F$157)/Inputs!$F$27)-Inputs!$F$190,0))/100)</f>
        <v>313.88498630137</v>
      </c>
      <c r="N1115" s="20" t="n">
        <f aca="false">Inputs!$F$162*(1+Inputs!$F$168/100)*(1-(Inputs!$F$187*MIN(MAX(0,(Time!N$6-Inputs!$F$157)/Inputs!$F$27),1)+Inputs!$F$188*MIN(MAX(MAX(0,(Time!N$6-Inputs!$F$157)/Inputs!$F$27)-1,0),Inputs!$F$190-1)+Inputs!$F$189*MAX(MAX(0,(Time!N$6-Inputs!$F$157)/Inputs!$F$27)-Inputs!$F$190,0))/100)</f>
        <v>309.02498630137</v>
      </c>
      <c r="O1115" s="20" t="n">
        <f aca="false">Inputs!$F$162*(1+Inputs!$F$168/100)*(1-(Inputs!$F$187*MIN(MAX(0,(Time!O$6-Inputs!$F$157)/Inputs!$F$27),1)+Inputs!$F$188*MIN(MAX(MAX(0,(Time!O$6-Inputs!$F$157)/Inputs!$F$27)-1,0),Inputs!$F$190-1)+Inputs!$F$189*MAX(MAX(0,(Time!O$6-Inputs!$F$157)/Inputs!$F$27)-Inputs!$F$190,0))/100)</f>
        <v>304.16498630137</v>
      </c>
      <c r="P1115" s="20" t="n">
        <f aca="false">Inputs!$F$162*(1+Inputs!$F$168/100)*(1-(Inputs!$F$187*MIN(MAX(0,(Time!P$6-Inputs!$F$157)/Inputs!$F$27),1)+Inputs!$F$188*MIN(MAX(MAX(0,(Time!P$6-Inputs!$F$157)/Inputs!$F$27)-1,0),Inputs!$F$190-1)+Inputs!$F$189*MAX(MAX(0,(Time!P$6-Inputs!$F$157)/Inputs!$F$27)-Inputs!$F$190,0))/100)</f>
        <v>299.291671232877</v>
      </c>
      <c r="Q1115" s="20" t="n">
        <f aca="false">Inputs!$F$162*(1+Inputs!$F$168/100)*(1-(Inputs!$F$187*MIN(MAX(0,(Time!Q$6-Inputs!$F$157)/Inputs!$F$27),1)+Inputs!$F$188*MIN(MAX(MAX(0,(Time!Q$6-Inputs!$F$157)/Inputs!$F$27)-1,0),Inputs!$F$190-1)+Inputs!$F$189*MAX(MAX(0,(Time!Q$6-Inputs!$F$157)/Inputs!$F$27)-Inputs!$F$190,0))/100)</f>
        <v>294.431671232877</v>
      </c>
      <c r="R1115" s="20" t="n">
        <f aca="false">Inputs!$F$162*(1+Inputs!$F$168/100)*(1-(Inputs!$F$187*MIN(MAX(0,(Time!R$6-Inputs!$F$157)/Inputs!$F$27),1)+Inputs!$F$188*MIN(MAX(MAX(0,(Time!R$6-Inputs!$F$157)/Inputs!$F$27)-1,0),Inputs!$F$190-1)+Inputs!$F$189*MAX(MAX(0,(Time!R$6-Inputs!$F$157)/Inputs!$F$27)-Inputs!$F$190,0))/100)</f>
        <v>289.571671232877</v>
      </c>
      <c r="S1115" s="20" t="n">
        <f aca="false">Inputs!$F$162*(1+Inputs!$F$168/100)*(1-(Inputs!$F$187*MIN(MAX(0,(Time!S$6-Inputs!$F$157)/Inputs!$F$27),1)+Inputs!$F$188*MIN(MAX(MAX(0,(Time!S$6-Inputs!$F$157)/Inputs!$F$27)-1,0),Inputs!$F$190-1)+Inputs!$F$189*MAX(MAX(0,(Time!S$6-Inputs!$F$157)/Inputs!$F$27)-Inputs!$F$190,0))/100)</f>
        <v>284.711671232877</v>
      </c>
      <c r="T1115" s="20" t="n">
        <f aca="false">Inputs!$F$162*(1+Inputs!$F$168/100)*(1-(Inputs!$F$187*MIN(MAX(0,(Time!T$6-Inputs!$F$157)/Inputs!$F$27),1)+Inputs!$F$188*MIN(MAX(MAX(0,(Time!T$6-Inputs!$F$157)/Inputs!$F$27)-1,0),Inputs!$F$190-1)+Inputs!$F$189*MAX(MAX(0,(Time!T$6-Inputs!$F$157)/Inputs!$F$27)-Inputs!$F$190,0))/100)</f>
        <v>279.838356164384</v>
      </c>
      <c r="U1115" s="20" t="n">
        <f aca="false">Inputs!$F$162*(1+Inputs!$F$168/100)*(1-(Inputs!$F$187*MIN(MAX(0,(Time!U$6-Inputs!$F$157)/Inputs!$F$27),1)+Inputs!$F$188*MIN(MAX(MAX(0,(Time!U$6-Inputs!$F$157)/Inputs!$F$27)-1,0),Inputs!$F$190-1)+Inputs!$F$189*MAX(MAX(0,(Time!U$6-Inputs!$F$157)/Inputs!$F$27)-Inputs!$F$190,0))/100)</f>
        <v>274.978356164384</v>
      </c>
      <c r="V1115" s="20" t="n">
        <f aca="false">Inputs!$F$162*(1+Inputs!$F$168/100)*(1-(Inputs!$F$187*MIN(MAX(0,(Time!V$6-Inputs!$F$157)/Inputs!$F$27),1)+Inputs!$F$188*MIN(MAX(MAX(0,(Time!V$6-Inputs!$F$157)/Inputs!$F$27)-1,0),Inputs!$F$190-1)+Inputs!$F$189*MAX(MAX(0,(Time!V$6-Inputs!$F$157)/Inputs!$F$27)-Inputs!$F$190,0))/100)</f>
        <v>271.338904109589</v>
      </c>
      <c r="W1115" s="20" t="n">
        <f aca="false">Inputs!$F$162*(1+Inputs!$F$168/100)*(1-(Inputs!$F$187*MIN(MAX(0,(Time!W$6-Inputs!$F$157)/Inputs!$F$27),1)+Inputs!$F$188*MIN(MAX(MAX(0,(Time!W$6-Inputs!$F$157)/Inputs!$F$27)-1,0),Inputs!$F$190-1)+Inputs!$F$189*MAX(MAX(0,(Time!W$6-Inputs!$F$157)/Inputs!$F$27)-Inputs!$F$190,0))/100)</f>
        <v>268.098904109589</v>
      </c>
      <c r="X1115" s="20" t="n">
        <f aca="false">Inputs!$F$162*(1+Inputs!$F$168/100)*(1-(Inputs!$F$187*MIN(MAX(0,(Time!X$6-Inputs!$F$157)/Inputs!$F$27),1)+Inputs!$F$188*MIN(MAX(MAX(0,(Time!X$6-Inputs!$F$157)/Inputs!$F$27)-1,0),Inputs!$F$190-1)+Inputs!$F$189*MAX(MAX(0,(Time!X$6-Inputs!$F$157)/Inputs!$F$27)-Inputs!$F$190,0))/100)</f>
        <v>264.85002739726</v>
      </c>
      <c r="Y1115" s="20" t="n">
        <f aca="false">Inputs!$F$162*(1+Inputs!$F$168/100)*(1-(Inputs!$F$187*MIN(MAX(0,(Time!Y$6-Inputs!$F$157)/Inputs!$F$27),1)+Inputs!$F$188*MIN(MAX(MAX(0,(Time!Y$6-Inputs!$F$157)/Inputs!$F$27)-1,0),Inputs!$F$190-1)+Inputs!$F$189*MAX(MAX(0,(Time!Y$6-Inputs!$F$157)/Inputs!$F$27)-Inputs!$F$190,0))/100)</f>
        <v>261.61002739726</v>
      </c>
      <c r="Z1115" s="20" t="n">
        <f aca="false">Inputs!$F$162*(1+Inputs!$F$168/100)*(1-(Inputs!$F$187*MIN(MAX(0,(Time!Z$6-Inputs!$F$157)/Inputs!$F$27),1)+Inputs!$F$188*MIN(MAX(MAX(0,(Time!Z$6-Inputs!$F$157)/Inputs!$F$27)-1,0),Inputs!$F$190-1)+Inputs!$F$189*MAX(MAX(0,(Time!Z$6-Inputs!$F$157)/Inputs!$F$27)-Inputs!$F$190,0))/100)</f>
        <v>258.37002739726</v>
      </c>
      <c r="AA1115" s="20" t="n">
        <f aca="false">Inputs!$F$162*(1+Inputs!$F$168/100)*(1-(Inputs!$F$187*MIN(MAX(0,(Time!AA$6-Inputs!$F$157)/Inputs!$F$27),1)+Inputs!$F$188*MIN(MAX(MAX(0,(Time!AA$6-Inputs!$F$157)/Inputs!$F$27)-1,0),Inputs!$F$190-1)+Inputs!$F$189*MAX(MAX(0,(Time!AA$6-Inputs!$F$157)/Inputs!$F$27)-Inputs!$F$190,0))/100)</f>
        <v>255.13002739726</v>
      </c>
      <c r="AB1115" s="20" t="n">
        <f aca="false">Inputs!$F$162*(1+Inputs!$F$168/100)*(1-(Inputs!$F$187*MIN(MAX(0,(Time!AB$6-Inputs!$F$157)/Inputs!$F$27),1)+Inputs!$F$188*MIN(MAX(MAX(0,(Time!AB$6-Inputs!$F$157)/Inputs!$F$27)-1,0),Inputs!$F$190-1)+Inputs!$F$189*MAX(MAX(0,(Time!AB$6-Inputs!$F$157)/Inputs!$F$27)-Inputs!$F$190,0))/100)</f>
        <v>251.881150684932</v>
      </c>
      <c r="AC1115" s="20" t="n">
        <f aca="false">Inputs!$F$162*(1+Inputs!$F$168/100)*(1-(Inputs!$F$187*MIN(MAX(0,(Time!AC$6-Inputs!$F$157)/Inputs!$F$27),1)+Inputs!$F$188*MIN(MAX(MAX(0,(Time!AC$6-Inputs!$F$157)/Inputs!$F$27)-1,0),Inputs!$F$190-1)+Inputs!$F$189*MAX(MAX(0,(Time!AC$6-Inputs!$F$157)/Inputs!$F$27)-Inputs!$F$190,0))/100)</f>
        <v>248.641150684932</v>
      </c>
      <c r="AD1115" s="20" t="n">
        <f aca="false">Inputs!$F$162*(1+Inputs!$F$168/100)*(1-(Inputs!$F$187*MIN(MAX(0,(Time!AD$6-Inputs!$F$157)/Inputs!$F$27),1)+Inputs!$F$188*MIN(MAX(MAX(0,(Time!AD$6-Inputs!$F$157)/Inputs!$F$27)-1,0),Inputs!$F$190-1)+Inputs!$F$189*MAX(MAX(0,(Time!AD$6-Inputs!$F$157)/Inputs!$F$27)-Inputs!$F$190,0))/100)</f>
        <v>245.401150684932</v>
      </c>
      <c r="AE1115" s="20" t="n">
        <f aca="false">Inputs!$F$162*(1+Inputs!$F$168/100)*(1-(Inputs!$F$187*MIN(MAX(0,(Time!AE$6-Inputs!$F$157)/Inputs!$F$27),1)+Inputs!$F$188*MIN(MAX(MAX(0,(Time!AE$6-Inputs!$F$157)/Inputs!$F$27)-1,0),Inputs!$F$190-1)+Inputs!$F$189*MAX(MAX(0,(Time!AE$6-Inputs!$F$157)/Inputs!$F$27)-Inputs!$F$190,0))/100)</f>
        <v>242.161150684932</v>
      </c>
      <c r="AF1115" s="20" t="n">
        <f aca="false">Inputs!$F$162*(1+Inputs!$F$168/100)*(1-(Inputs!$F$187*MIN(MAX(0,(Time!AF$6-Inputs!$F$157)/Inputs!$F$27),1)+Inputs!$F$188*MIN(MAX(MAX(0,(Time!AF$6-Inputs!$F$157)/Inputs!$F$27)-1,0),Inputs!$F$190-1)+Inputs!$F$189*MAX(MAX(0,(Time!AF$6-Inputs!$F$157)/Inputs!$F$27)-Inputs!$F$190,0))/100)</f>
        <v>238.912273972603</v>
      </c>
      <c r="AG1115" s="20" t="n">
        <f aca="false">Inputs!$F$162*(1+Inputs!$F$168/100)*(1-(Inputs!$F$187*MIN(MAX(0,(Time!AG$6-Inputs!$F$157)/Inputs!$F$27),1)+Inputs!$F$188*MIN(MAX(MAX(0,(Time!AG$6-Inputs!$F$157)/Inputs!$F$27)-1,0),Inputs!$F$190-1)+Inputs!$F$189*MAX(MAX(0,(Time!AG$6-Inputs!$F$157)/Inputs!$F$27)-Inputs!$F$190,0))/100)</f>
        <v>235.672273972603</v>
      </c>
      <c r="AH1115" s="20" t="n">
        <f aca="false">Inputs!$F$162*(1+Inputs!$F$168/100)*(1-(Inputs!$F$187*MIN(MAX(0,(Time!AH$6-Inputs!$F$157)/Inputs!$F$27),1)+Inputs!$F$188*MIN(MAX(MAX(0,(Time!AH$6-Inputs!$F$157)/Inputs!$F$27)-1,0),Inputs!$F$190-1)+Inputs!$F$189*MAX(MAX(0,(Time!AH$6-Inputs!$F$157)/Inputs!$F$27)-Inputs!$F$190,0))/100)</f>
        <v>232.432273972603</v>
      </c>
      <c r="AI1115" s="20" t="n">
        <f aca="false">Inputs!$F$162*(1+Inputs!$F$168/100)*(1-(Inputs!$F$187*MIN(MAX(0,(Time!AI$6-Inputs!$F$157)/Inputs!$F$27),1)+Inputs!$F$188*MIN(MAX(MAX(0,(Time!AI$6-Inputs!$F$157)/Inputs!$F$27)-1,0),Inputs!$F$190-1)+Inputs!$F$189*MAX(MAX(0,(Time!AI$6-Inputs!$F$157)/Inputs!$F$27)-Inputs!$F$190,0))/100)</f>
        <v>229.192273972603</v>
      </c>
      <c r="AJ1115" s="20" t="n">
        <f aca="false">Inputs!$F$162*(1+Inputs!$F$168/100)*(1-(Inputs!$F$187*MIN(MAX(0,(Time!AJ$6-Inputs!$F$157)/Inputs!$F$27),1)+Inputs!$F$188*MIN(MAX(MAX(0,(Time!AJ$6-Inputs!$F$157)/Inputs!$F$27)-1,0),Inputs!$F$190-1)+Inputs!$F$189*MAX(MAX(0,(Time!AJ$6-Inputs!$F$157)/Inputs!$F$27)-Inputs!$F$190,0))/100)</f>
        <v>225.943397260274</v>
      </c>
      <c r="AK1115" s="20" t="n">
        <f aca="false">Inputs!$F$162*(1+Inputs!$F$168/100)*(1-(Inputs!$F$187*MIN(MAX(0,(Time!AK$6-Inputs!$F$157)/Inputs!$F$27),1)+Inputs!$F$188*MIN(MAX(MAX(0,(Time!AK$6-Inputs!$F$157)/Inputs!$F$27)-1,0),Inputs!$F$190-1)+Inputs!$F$189*MAX(MAX(0,(Time!AK$6-Inputs!$F$157)/Inputs!$F$27)-Inputs!$F$190,0))/100)</f>
        <v>222.703397260274</v>
      </c>
      <c r="AL1115" s="20" t="n">
        <f aca="false">Inputs!$F$162*(1+Inputs!$F$168/100)*(1-(Inputs!$F$187*MIN(MAX(0,(Time!AL$6-Inputs!$F$157)/Inputs!$F$27),1)+Inputs!$F$188*MIN(MAX(MAX(0,(Time!AL$6-Inputs!$F$157)/Inputs!$F$27)-1,0),Inputs!$F$190-1)+Inputs!$F$189*MAX(MAX(0,(Time!AL$6-Inputs!$F$157)/Inputs!$F$27)-Inputs!$F$190,0))/100)</f>
        <v>219.463397260274</v>
      </c>
      <c r="AM1115" s="20" t="n">
        <f aca="false">Inputs!$F$162*(1+Inputs!$F$168/100)*(1-(Inputs!$F$187*MIN(MAX(0,(Time!AM$6-Inputs!$F$157)/Inputs!$F$27),1)+Inputs!$F$188*MIN(MAX(MAX(0,(Time!AM$6-Inputs!$F$157)/Inputs!$F$27)-1,0),Inputs!$F$190-1)+Inputs!$F$189*MAX(MAX(0,(Time!AM$6-Inputs!$F$157)/Inputs!$F$27)-Inputs!$F$190,0))/100)</f>
        <v>216.223397260274</v>
      </c>
      <c r="AN1115" s="20" t="n">
        <f aca="false">Inputs!$F$162*(1+Inputs!$F$168/100)*(1-(Inputs!$F$187*MIN(MAX(0,(Time!AN$6-Inputs!$F$157)/Inputs!$F$27),1)+Inputs!$F$188*MIN(MAX(MAX(0,(Time!AN$6-Inputs!$F$157)/Inputs!$F$27)-1,0),Inputs!$F$190-1)+Inputs!$F$189*MAX(MAX(0,(Time!AN$6-Inputs!$F$157)/Inputs!$F$27)-Inputs!$F$190,0))/100)</f>
        <v>212.974520547945</v>
      </c>
      <c r="AO1115" s="20" t="n">
        <f aca="false">Inputs!$F$162*(1+Inputs!$F$168/100)*(1-(Inputs!$F$187*MIN(MAX(0,(Time!AO$6-Inputs!$F$157)/Inputs!$F$27),1)+Inputs!$F$188*MIN(MAX(MAX(0,(Time!AO$6-Inputs!$F$157)/Inputs!$F$27)-1,0),Inputs!$F$190-1)+Inputs!$F$189*MAX(MAX(0,(Time!AO$6-Inputs!$F$157)/Inputs!$F$27)-Inputs!$F$190,0))/100)</f>
        <v>209.734520547945</v>
      </c>
      <c r="AP1115" s="20" t="n">
        <f aca="false">Inputs!$F$162*(1+Inputs!$F$168/100)*(1-(Inputs!$F$187*MIN(MAX(0,(Time!AP$6-Inputs!$F$157)/Inputs!$F$27),1)+Inputs!$F$188*MIN(MAX(MAX(0,(Time!AP$6-Inputs!$F$157)/Inputs!$F$27)-1,0),Inputs!$F$190-1)+Inputs!$F$189*MAX(MAX(0,(Time!AP$6-Inputs!$F$157)/Inputs!$F$27)-Inputs!$F$190,0))/100)</f>
        <v>206.494520547945</v>
      </c>
      <c r="AQ1115" s="20" t="n">
        <f aca="false">Inputs!$F$162*(1+Inputs!$F$168/100)*(1-(Inputs!$F$187*MIN(MAX(0,(Time!AQ$6-Inputs!$F$157)/Inputs!$F$27),1)+Inputs!$F$188*MIN(MAX(MAX(0,(Time!AQ$6-Inputs!$F$157)/Inputs!$F$27)-1,0),Inputs!$F$190-1)+Inputs!$F$189*MAX(MAX(0,(Time!AQ$6-Inputs!$F$157)/Inputs!$F$27)-Inputs!$F$190,0))/100)</f>
        <v>203.254520547945</v>
      </c>
      <c r="AR1115" s="20" t="n">
        <f aca="false">Inputs!$F$162*(1+Inputs!$F$168/100)*(1-(Inputs!$F$187*MIN(MAX(0,(Time!AR$6-Inputs!$F$157)/Inputs!$F$27),1)+Inputs!$F$188*MIN(MAX(MAX(0,(Time!AR$6-Inputs!$F$157)/Inputs!$F$27)-1,0),Inputs!$F$190-1)+Inputs!$F$189*MAX(MAX(0,(Time!AR$6-Inputs!$F$157)/Inputs!$F$27)-Inputs!$F$190,0))/100)</f>
        <v>200.005643835616</v>
      </c>
      <c r="AS1115" s="20" t="n">
        <f aca="false">Inputs!$F$162*(1+Inputs!$F$168/100)*(1-(Inputs!$F$187*MIN(MAX(0,(Time!AS$6-Inputs!$F$157)/Inputs!$F$27),1)+Inputs!$F$188*MIN(MAX(MAX(0,(Time!AS$6-Inputs!$F$157)/Inputs!$F$27)-1,0),Inputs!$F$190-1)+Inputs!$F$189*MAX(MAX(0,(Time!AS$6-Inputs!$F$157)/Inputs!$F$27)-Inputs!$F$190,0))/100)</f>
        <v>196.765643835616</v>
      </c>
      <c r="AT1115" s="20" t="n">
        <f aca="false">Inputs!$F$162*(1+Inputs!$F$168/100)*(1-(Inputs!$F$187*MIN(MAX(0,(Time!AT$6-Inputs!$F$157)/Inputs!$F$27),1)+Inputs!$F$188*MIN(MAX(MAX(0,(Time!AT$6-Inputs!$F$157)/Inputs!$F$27)-1,0),Inputs!$F$190-1)+Inputs!$F$189*MAX(MAX(0,(Time!AT$6-Inputs!$F$157)/Inputs!$F$27)-Inputs!$F$190,0))/100)</f>
        <v>193.525643835616</v>
      </c>
      <c r="AU1115" s="20" t="n">
        <f aca="false">Inputs!$F$162*(1+Inputs!$F$168/100)*(1-(Inputs!$F$187*MIN(MAX(0,(Time!AU$6-Inputs!$F$157)/Inputs!$F$27),1)+Inputs!$F$188*MIN(MAX(MAX(0,(Time!AU$6-Inputs!$F$157)/Inputs!$F$27)-1,0),Inputs!$F$190-1)+Inputs!$F$189*MAX(MAX(0,(Time!AU$6-Inputs!$F$157)/Inputs!$F$27)-Inputs!$F$190,0))/100)</f>
        <v>190.285643835616</v>
      </c>
    </row>
    <row r="1116" customFormat="false" ht="15" hidden="false" customHeight="false" outlineLevel="0" collapsed="false">
      <c r="D1116" s="0" t="s">
        <v>721</v>
      </c>
      <c r="E1116" s="0" t="s">
        <v>176</v>
      </c>
      <c r="J1116" s="20" t="n">
        <f aca="false">IF(Time!J$6&gt;=(DATE(YEAR(Inputs!$F$157)+Inputs!$F$164,1,1)-1),Inputs!$F$166/100*Inputs!$F$162*(1-(Inputs!$F$187*MIN(MAX(0,(Time!J$6-(DATE(YEAR(Inputs!$F$157)+Inputs!$F$164,1,1)-1))/Inputs!$F$27),1)+Inputs!$F$188*MIN(MAX(MAX(0,(Time!J$6-(DATE(YEAR(Inputs!$F$157)+Inputs!$F$164,1,1)-1))/Inputs!$F$27)-1,0),Inputs!$F$190-1)+Inputs!$F$189*MAX(MAX(0,(Time!J$6-(DATE(YEAR(Inputs!$F$157)+Inputs!$F$164,1,1)-1))/Inputs!$F$27)-Inputs!$F$190,0))/100),0)+IF(Time!J$6&gt;=(DATE(YEAR(Inputs!$F$157)+Inputs!$F$165,1,1)-1),Inputs!$F$166/100*Inputs!$F$162*(1-(Inputs!$F$187*MIN(MAX(0,(Time!J$6-(DATE(YEAR(Inputs!$F$157)+Inputs!$F$165,1,1)-1))/Inputs!$F$27),1)+Inputs!$F$188*MIN(MAX(MAX(0,(Time!J$6-(DATE(YEAR(Inputs!$F$157)+Inputs!$F$165,1,1)-1))/Inputs!$F$27)-1,0),Inputs!$F$190-1)+Inputs!$F$189*MAX(MAX(0,(Time!J$6-(DATE(YEAR(Inputs!$F$157)+Inputs!$F$165,1,1)-1))/Inputs!$F$27)-Inputs!$F$190,0))/100),0)</f>
        <v>0</v>
      </c>
      <c r="K1116" s="20" t="n">
        <f aca="false">IF(Time!K$6&gt;=(DATE(YEAR(Inputs!$F$157)+Inputs!$F$164,1,1)-1),Inputs!$F$166/100*Inputs!$F$162*(1-(Inputs!$F$187*MIN(MAX(0,(Time!K$6-(DATE(YEAR(Inputs!$F$157)+Inputs!$F$164,1,1)-1))/Inputs!$F$27),1)+Inputs!$F$188*MIN(MAX(MAX(0,(Time!K$6-(DATE(YEAR(Inputs!$F$157)+Inputs!$F$164,1,1)-1))/Inputs!$F$27)-1,0),Inputs!$F$190-1)+Inputs!$F$189*MAX(MAX(0,(Time!K$6-(DATE(YEAR(Inputs!$F$157)+Inputs!$F$164,1,1)-1))/Inputs!$F$27)-Inputs!$F$190,0))/100),0)+IF(Time!K$6&gt;=(DATE(YEAR(Inputs!$F$157)+Inputs!$F$165,1,1)-1),Inputs!$F$166/100*Inputs!$F$162*(1-(Inputs!$F$187*MIN(MAX(0,(Time!K$6-(DATE(YEAR(Inputs!$F$157)+Inputs!$F$165,1,1)-1))/Inputs!$F$27),1)+Inputs!$F$188*MIN(MAX(MAX(0,(Time!K$6-(DATE(YEAR(Inputs!$F$157)+Inputs!$F$165,1,1)-1))/Inputs!$F$27)-1,0),Inputs!$F$190-1)+Inputs!$F$189*MAX(MAX(0,(Time!K$6-(DATE(YEAR(Inputs!$F$157)+Inputs!$F$165,1,1)-1))/Inputs!$F$27)-Inputs!$F$190,0))/100),0)</f>
        <v>0</v>
      </c>
      <c r="L1116" s="20" t="n">
        <f aca="false">IF(Time!L$6&gt;=(DATE(YEAR(Inputs!$F$157)+Inputs!$F$164,1,1)-1),Inputs!$F$166/100*Inputs!$F$162*(1-(Inputs!$F$187*MIN(MAX(0,(Time!L$6-(DATE(YEAR(Inputs!$F$157)+Inputs!$F$164,1,1)-1))/Inputs!$F$27),1)+Inputs!$F$188*MIN(MAX(MAX(0,(Time!L$6-(DATE(YEAR(Inputs!$F$157)+Inputs!$F$164,1,1)-1))/Inputs!$F$27)-1,0),Inputs!$F$190-1)+Inputs!$F$189*MAX(MAX(0,(Time!L$6-(DATE(YEAR(Inputs!$F$157)+Inputs!$F$164,1,1)-1))/Inputs!$F$27)-Inputs!$F$190,0))/100),0)+IF(Time!L$6&gt;=(DATE(YEAR(Inputs!$F$157)+Inputs!$F$165,1,1)-1),Inputs!$F$166/100*Inputs!$F$162*(1-(Inputs!$F$187*MIN(MAX(0,(Time!L$6-(DATE(YEAR(Inputs!$F$157)+Inputs!$F$165,1,1)-1))/Inputs!$F$27),1)+Inputs!$F$188*MIN(MAX(MAX(0,(Time!L$6-(DATE(YEAR(Inputs!$F$157)+Inputs!$F$165,1,1)-1))/Inputs!$F$27)-1,0),Inputs!$F$190-1)+Inputs!$F$189*MAX(MAX(0,(Time!L$6-(DATE(YEAR(Inputs!$F$157)+Inputs!$F$165,1,1)-1))/Inputs!$F$27)-Inputs!$F$190,0))/100),0)</f>
        <v>0</v>
      </c>
      <c r="M1116" s="20" t="n">
        <f aca="false">IF(Time!M$6&gt;=(DATE(YEAR(Inputs!$F$157)+Inputs!$F$164,1,1)-1),Inputs!$F$166/100*Inputs!$F$162*(1-(Inputs!$F$187*MIN(MAX(0,(Time!M$6-(DATE(YEAR(Inputs!$F$157)+Inputs!$F$164,1,1)-1))/Inputs!$F$27),1)+Inputs!$F$188*MIN(MAX(MAX(0,(Time!M$6-(DATE(YEAR(Inputs!$F$157)+Inputs!$F$164,1,1)-1))/Inputs!$F$27)-1,0),Inputs!$F$190-1)+Inputs!$F$189*MAX(MAX(0,(Time!M$6-(DATE(YEAR(Inputs!$F$157)+Inputs!$F$164,1,1)-1))/Inputs!$F$27)-Inputs!$F$190,0))/100),0)+IF(Time!M$6&gt;=(DATE(YEAR(Inputs!$F$157)+Inputs!$F$165,1,1)-1),Inputs!$F$166/100*Inputs!$F$162*(1-(Inputs!$F$187*MIN(MAX(0,(Time!M$6-(DATE(YEAR(Inputs!$F$157)+Inputs!$F$165,1,1)-1))/Inputs!$F$27),1)+Inputs!$F$188*MIN(MAX(MAX(0,(Time!M$6-(DATE(YEAR(Inputs!$F$157)+Inputs!$F$165,1,1)-1))/Inputs!$F$27)-1,0),Inputs!$F$190-1)+Inputs!$F$189*MAX(MAX(0,(Time!M$6-(DATE(YEAR(Inputs!$F$157)+Inputs!$F$165,1,1)-1))/Inputs!$F$27)-Inputs!$F$190,0))/100),0)</f>
        <v>0</v>
      </c>
      <c r="N1116" s="20" t="n">
        <f aca="false">IF(Time!N$6&gt;=(DATE(YEAR(Inputs!$F$157)+Inputs!$F$164,1,1)-1),Inputs!$F$166/100*Inputs!$F$162*(1-(Inputs!$F$187*MIN(MAX(0,(Time!N$6-(DATE(YEAR(Inputs!$F$157)+Inputs!$F$164,1,1)-1))/Inputs!$F$27),1)+Inputs!$F$188*MIN(MAX(MAX(0,(Time!N$6-(DATE(YEAR(Inputs!$F$157)+Inputs!$F$164,1,1)-1))/Inputs!$F$27)-1,0),Inputs!$F$190-1)+Inputs!$F$189*MAX(MAX(0,(Time!N$6-(DATE(YEAR(Inputs!$F$157)+Inputs!$F$164,1,1)-1))/Inputs!$F$27)-Inputs!$F$190,0))/100),0)+IF(Time!N$6&gt;=(DATE(YEAR(Inputs!$F$157)+Inputs!$F$165,1,1)-1),Inputs!$F$166/100*Inputs!$F$162*(1-(Inputs!$F$187*MIN(MAX(0,(Time!N$6-(DATE(YEAR(Inputs!$F$157)+Inputs!$F$165,1,1)-1))/Inputs!$F$27),1)+Inputs!$F$188*MIN(MAX(MAX(0,(Time!N$6-(DATE(YEAR(Inputs!$F$157)+Inputs!$F$165,1,1)-1))/Inputs!$F$27)-1,0),Inputs!$F$190-1)+Inputs!$F$189*MAX(MAX(0,(Time!N$6-(DATE(YEAR(Inputs!$F$157)+Inputs!$F$165,1,1)-1))/Inputs!$F$27)-Inputs!$F$190,0))/100),0)</f>
        <v>0</v>
      </c>
      <c r="O1116" s="20" t="n">
        <f aca="false">IF(Time!O$6&gt;=(DATE(YEAR(Inputs!$F$157)+Inputs!$F$164,1,1)-1),Inputs!$F$166/100*Inputs!$F$162*(1-(Inputs!$F$187*MIN(MAX(0,(Time!O$6-(DATE(YEAR(Inputs!$F$157)+Inputs!$F$164,1,1)-1))/Inputs!$F$27),1)+Inputs!$F$188*MIN(MAX(MAX(0,(Time!O$6-(DATE(YEAR(Inputs!$F$157)+Inputs!$F$164,1,1)-1))/Inputs!$F$27)-1,0),Inputs!$F$190-1)+Inputs!$F$189*MAX(MAX(0,(Time!O$6-(DATE(YEAR(Inputs!$F$157)+Inputs!$F$164,1,1)-1))/Inputs!$F$27)-Inputs!$F$190,0))/100),0)+IF(Time!O$6&gt;=(DATE(YEAR(Inputs!$F$157)+Inputs!$F$165,1,1)-1),Inputs!$F$166/100*Inputs!$F$162*(1-(Inputs!$F$187*MIN(MAX(0,(Time!O$6-(DATE(YEAR(Inputs!$F$157)+Inputs!$F$165,1,1)-1))/Inputs!$F$27),1)+Inputs!$F$188*MIN(MAX(MAX(0,(Time!O$6-(DATE(YEAR(Inputs!$F$157)+Inputs!$F$165,1,1)-1))/Inputs!$F$27)-1,0),Inputs!$F$190-1)+Inputs!$F$189*MAX(MAX(0,(Time!O$6-(DATE(YEAR(Inputs!$F$157)+Inputs!$F$165,1,1)-1))/Inputs!$F$27)-Inputs!$F$190,0))/100),0)</f>
        <v>0</v>
      </c>
      <c r="P1116" s="20" t="n">
        <f aca="false">IF(Time!P$6&gt;=(DATE(YEAR(Inputs!$F$157)+Inputs!$F$164,1,1)-1),Inputs!$F$166/100*Inputs!$F$162*(1-(Inputs!$F$187*MIN(MAX(0,(Time!P$6-(DATE(YEAR(Inputs!$F$157)+Inputs!$F$164,1,1)-1))/Inputs!$F$27),1)+Inputs!$F$188*MIN(MAX(MAX(0,(Time!P$6-(DATE(YEAR(Inputs!$F$157)+Inputs!$F$164,1,1)-1))/Inputs!$F$27)-1,0),Inputs!$F$190-1)+Inputs!$F$189*MAX(MAX(0,(Time!P$6-(DATE(YEAR(Inputs!$F$157)+Inputs!$F$164,1,1)-1))/Inputs!$F$27)-Inputs!$F$190,0))/100),0)+IF(Time!P$6&gt;=(DATE(YEAR(Inputs!$F$157)+Inputs!$F$165,1,1)-1),Inputs!$F$166/100*Inputs!$F$162*(1-(Inputs!$F$187*MIN(MAX(0,(Time!P$6-(DATE(YEAR(Inputs!$F$157)+Inputs!$F$165,1,1)-1))/Inputs!$F$27),1)+Inputs!$F$188*MIN(MAX(MAX(0,(Time!P$6-(DATE(YEAR(Inputs!$F$157)+Inputs!$F$165,1,1)-1))/Inputs!$F$27)-1,0),Inputs!$F$190-1)+Inputs!$F$189*MAX(MAX(0,(Time!P$6-(DATE(YEAR(Inputs!$F$157)+Inputs!$F$165,1,1)-1))/Inputs!$F$27)-Inputs!$F$190,0))/100),0)</f>
        <v>18</v>
      </c>
      <c r="Q1116" s="20" t="n">
        <f aca="false">IF(Time!Q$6&gt;=(DATE(YEAR(Inputs!$F$157)+Inputs!$F$164,1,1)-1),Inputs!$F$166/100*Inputs!$F$162*(1-(Inputs!$F$187*MIN(MAX(0,(Time!Q$6-(DATE(YEAR(Inputs!$F$157)+Inputs!$F$164,1,1)-1))/Inputs!$F$27),1)+Inputs!$F$188*MIN(MAX(MAX(0,(Time!Q$6-(DATE(YEAR(Inputs!$F$157)+Inputs!$F$164,1,1)-1))/Inputs!$F$27)-1,0),Inputs!$F$190-1)+Inputs!$F$189*MAX(MAX(0,(Time!Q$6-(DATE(YEAR(Inputs!$F$157)+Inputs!$F$164,1,1)-1))/Inputs!$F$27)-Inputs!$F$190,0))/100),0)+IF(Time!Q$6&gt;=(DATE(YEAR(Inputs!$F$157)+Inputs!$F$165,1,1)-1),Inputs!$F$166/100*Inputs!$F$162*(1-(Inputs!$F$187*MIN(MAX(0,(Time!Q$6-(DATE(YEAR(Inputs!$F$157)+Inputs!$F$165,1,1)-1))/Inputs!$F$27),1)+Inputs!$F$188*MIN(MAX(MAX(0,(Time!Q$6-(DATE(YEAR(Inputs!$F$157)+Inputs!$F$165,1,1)-1))/Inputs!$F$27)-1,0),Inputs!$F$190-1)+Inputs!$F$189*MAX(MAX(0,(Time!Q$6-(DATE(YEAR(Inputs!$F$157)+Inputs!$F$165,1,1)-1))/Inputs!$F$27)-Inputs!$F$190,0))/100),0)</f>
        <v>17.64</v>
      </c>
      <c r="R1116" s="20" t="n">
        <f aca="false">IF(Time!R$6&gt;=(DATE(YEAR(Inputs!$F$157)+Inputs!$F$164,1,1)-1),Inputs!$F$166/100*Inputs!$F$162*(1-(Inputs!$F$187*MIN(MAX(0,(Time!R$6-(DATE(YEAR(Inputs!$F$157)+Inputs!$F$164,1,1)-1))/Inputs!$F$27),1)+Inputs!$F$188*MIN(MAX(MAX(0,(Time!R$6-(DATE(YEAR(Inputs!$F$157)+Inputs!$F$164,1,1)-1))/Inputs!$F$27)-1,0),Inputs!$F$190-1)+Inputs!$F$189*MAX(MAX(0,(Time!R$6-(DATE(YEAR(Inputs!$F$157)+Inputs!$F$164,1,1)-1))/Inputs!$F$27)-Inputs!$F$190,0))/100),0)+IF(Time!R$6&gt;=(DATE(YEAR(Inputs!$F$157)+Inputs!$F$165,1,1)-1),Inputs!$F$166/100*Inputs!$F$162*(1-(Inputs!$F$187*MIN(MAX(0,(Time!R$6-(DATE(YEAR(Inputs!$F$157)+Inputs!$F$165,1,1)-1))/Inputs!$F$27),1)+Inputs!$F$188*MIN(MAX(MAX(0,(Time!R$6-(DATE(YEAR(Inputs!$F$157)+Inputs!$F$165,1,1)-1))/Inputs!$F$27)-1,0),Inputs!$F$190-1)+Inputs!$F$189*MAX(MAX(0,(Time!R$6-(DATE(YEAR(Inputs!$F$157)+Inputs!$F$165,1,1)-1))/Inputs!$F$27)-Inputs!$F$190,0))/100),0)</f>
        <v>17.37</v>
      </c>
      <c r="S1116" s="20" t="n">
        <f aca="false">IF(Time!S$6&gt;=(DATE(YEAR(Inputs!$F$157)+Inputs!$F$164,1,1)-1),Inputs!$F$166/100*Inputs!$F$162*(1-(Inputs!$F$187*MIN(MAX(0,(Time!S$6-(DATE(YEAR(Inputs!$F$157)+Inputs!$F$164,1,1)-1))/Inputs!$F$27),1)+Inputs!$F$188*MIN(MAX(MAX(0,(Time!S$6-(DATE(YEAR(Inputs!$F$157)+Inputs!$F$164,1,1)-1))/Inputs!$F$27)-1,0),Inputs!$F$190-1)+Inputs!$F$189*MAX(MAX(0,(Time!S$6-(DATE(YEAR(Inputs!$F$157)+Inputs!$F$164,1,1)-1))/Inputs!$F$27)-Inputs!$F$190,0))/100),0)+IF(Time!S$6&gt;=(DATE(YEAR(Inputs!$F$157)+Inputs!$F$165,1,1)-1),Inputs!$F$166/100*Inputs!$F$162*(1-(Inputs!$F$187*MIN(MAX(0,(Time!S$6-(DATE(YEAR(Inputs!$F$157)+Inputs!$F$165,1,1)-1))/Inputs!$F$27),1)+Inputs!$F$188*MIN(MAX(MAX(0,(Time!S$6-(DATE(YEAR(Inputs!$F$157)+Inputs!$F$165,1,1)-1))/Inputs!$F$27)-1,0),Inputs!$F$190-1)+Inputs!$F$189*MAX(MAX(0,(Time!S$6-(DATE(YEAR(Inputs!$F$157)+Inputs!$F$165,1,1)-1))/Inputs!$F$27)-Inputs!$F$190,0))/100),0)</f>
        <v>17.1</v>
      </c>
      <c r="T1116" s="20" t="n">
        <f aca="false">IF(Time!T$6&gt;=(DATE(YEAR(Inputs!$F$157)+Inputs!$F$164,1,1)-1),Inputs!$F$166/100*Inputs!$F$162*(1-(Inputs!$F$187*MIN(MAX(0,(Time!T$6-(DATE(YEAR(Inputs!$F$157)+Inputs!$F$164,1,1)-1))/Inputs!$F$27),1)+Inputs!$F$188*MIN(MAX(MAX(0,(Time!T$6-(DATE(YEAR(Inputs!$F$157)+Inputs!$F$164,1,1)-1))/Inputs!$F$27)-1,0),Inputs!$F$190-1)+Inputs!$F$189*MAX(MAX(0,(Time!T$6-(DATE(YEAR(Inputs!$F$157)+Inputs!$F$164,1,1)-1))/Inputs!$F$27)-Inputs!$F$190,0))/100),0)+IF(Time!T$6&gt;=(DATE(YEAR(Inputs!$F$157)+Inputs!$F$165,1,1)-1),Inputs!$F$166/100*Inputs!$F$162*(1-(Inputs!$F$187*MIN(MAX(0,(Time!T$6-(DATE(YEAR(Inputs!$F$157)+Inputs!$F$165,1,1)-1))/Inputs!$F$27),1)+Inputs!$F$188*MIN(MAX(MAX(0,(Time!T$6-(DATE(YEAR(Inputs!$F$157)+Inputs!$F$165,1,1)-1))/Inputs!$F$27)-1,0),Inputs!$F$190-1)+Inputs!$F$189*MAX(MAX(0,(Time!T$6-(DATE(YEAR(Inputs!$F$157)+Inputs!$F$165,1,1)-1))/Inputs!$F$27)-Inputs!$F$190,0))/100),0)</f>
        <v>34.8292602739726</v>
      </c>
      <c r="U1116" s="20" t="n">
        <f aca="false">IF(Time!U$6&gt;=(DATE(YEAR(Inputs!$F$157)+Inputs!$F$164,1,1)-1),Inputs!$F$166/100*Inputs!$F$162*(1-(Inputs!$F$187*MIN(MAX(0,(Time!U$6-(DATE(YEAR(Inputs!$F$157)+Inputs!$F$164,1,1)-1))/Inputs!$F$27),1)+Inputs!$F$188*MIN(MAX(MAX(0,(Time!U$6-(DATE(YEAR(Inputs!$F$157)+Inputs!$F$164,1,1)-1))/Inputs!$F$27)-1,0),Inputs!$F$190-1)+Inputs!$F$189*MAX(MAX(0,(Time!U$6-(DATE(YEAR(Inputs!$F$157)+Inputs!$F$164,1,1)-1))/Inputs!$F$27)-Inputs!$F$190,0))/100),0)+IF(Time!U$6&gt;=(DATE(YEAR(Inputs!$F$157)+Inputs!$F$165,1,1)-1),Inputs!$F$166/100*Inputs!$F$162*(1-(Inputs!$F$187*MIN(MAX(0,(Time!U$6-(DATE(YEAR(Inputs!$F$157)+Inputs!$F$165,1,1)-1))/Inputs!$F$27),1)+Inputs!$F$188*MIN(MAX(MAX(0,(Time!U$6-(DATE(YEAR(Inputs!$F$157)+Inputs!$F$165,1,1)-1))/Inputs!$F$27)-1,0),Inputs!$F$190-1)+Inputs!$F$189*MAX(MAX(0,(Time!U$6-(DATE(YEAR(Inputs!$F$157)+Inputs!$F$165,1,1)-1))/Inputs!$F$27)-Inputs!$F$190,0))/100),0)</f>
        <v>34.1992602739726</v>
      </c>
      <c r="V1116" s="20" t="n">
        <f aca="false">IF(Time!V$6&gt;=(DATE(YEAR(Inputs!$F$157)+Inputs!$F$164,1,1)-1),Inputs!$F$166/100*Inputs!$F$162*(1-(Inputs!$F$187*MIN(MAX(0,(Time!V$6-(DATE(YEAR(Inputs!$F$157)+Inputs!$F$164,1,1)-1))/Inputs!$F$27),1)+Inputs!$F$188*MIN(MAX(MAX(0,(Time!V$6-(DATE(YEAR(Inputs!$F$157)+Inputs!$F$164,1,1)-1))/Inputs!$F$27)-1,0),Inputs!$F$190-1)+Inputs!$F$189*MAX(MAX(0,(Time!V$6-(DATE(YEAR(Inputs!$F$157)+Inputs!$F$164,1,1)-1))/Inputs!$F$27)-Inputs!$F$190,0))/100),0)+IF(Time!V$6&gt;=(DATE(YEAR(Inputs!$F$157)+Inputs!$F$165,1,1)-1),Inputs!$F$166/100*Inputs!$F$162*(1-(Inputs!$F$187*MIN(MAX(0,(Time!V$6-(DATE(YEAR(Inputs!$F$157)+Inputs!$F$165,1,1)-1))/Inputs!$F$27),1)+Inputs!$F$188*MIN(MAX(MAX(0,(Time!V$6-(DATE(YEAR(Inputs!$F$157)+Inputs!$F$165,1,1)-1))/Inputs!$F$27)-1,0),Inputs!$F$190-1)+Inputs!$F$189*MAX(MAX(0,(Time!V$6-(DATE(YEAR(Inputs!$F$157)+Inputs!$F$165,1,1)-1))/Inputs!$F$27)-Inputs!$F$190,0))/100),0)</f>
        <v>33.6592602739726</v>
      </c>
      <c r="W1116" s="20" t="n">
        <f aca="false">IF(Time!W$6&gt;=(DATE(YEAR(Inputs!$F$157)+Inputs!$F$164,1,1)-1),Inputs!$F$166/100*Inputs!$F$162*(1-(Inputs!$F$187*MIN(MAX(0,(Time!W$6-(DATE(YEAR(Inputs!$F$157)+Inputs!$F$164,1,1)-1))/Inputs!$F$27),1)+Inputs!$F$188*MIN(MAX(MAX(0,(Time!W$6-(DATE(YEAR(Inputs!$F$157)+Inputs!$F$164,1,1)-1))/Inputs!$F$27)-1,0),Inputs!$F$190-1)+Inputs!$F$189*MAX(MAX(0,(Time!W$6-(DATE(YEAR(Inputs!$F$157)+Inputs!$F$164,1,1)-1))/Inputs!$F$27)-Inputs!$F$190,0))/100),0)+IF(Time!W$6&gt;=(DATE(YEAR(Inputs!$F$157)+Inputs!$F$165,1,1)-1),Inputs!$F$166/100*Inputs!$F$162*(1-(Inputs!$F$187*MIN(MAX(0,(Time!W$6-(DATE(YEAR(Inputs!$F$157)+Inputs!$F$165,1,1)-1))/Inputs!$F$27),1)+Inputs!$F$188*MIN(MAX(MAX(0,(Time!W$6-(DATE(YEAR(Inputs!$F$157)+Inputs!$F$165,1,1)-1))/Inputs!$F$27)-1,0),Inputs!$F$190-1)+Inputs!$F$189*MAX(MAX(0,(Time!W$6-(DATE(YEAR(Inputs!$F$157)+Inputs!$F$165,1,1)-1))/Inputs!$F$27)-Inputs!$F$190,0))/100),0)</f>
        <v>33.1192602739726</v>
      </c>
      <c r="X1116" s="20" t="n">
        <f aca="false">IF(Time!X$6&gt;=(DATE(YEAR(Inputs!$F$157)+Inputs!$F$164,1,1)-1),Inputs!$F$166/100*Inputs!$F$162*(1-(Inputs!$F$187*MIN(MAX(0,(Time!X$6-(DATE(YEAR(Inputs!$F$157)+Inputs!$F$164,1,1)-1))/Inputs!$F$27),1)+Inputs!$F$188*MIN(MAX(MAX(0,(Time!X$6-(DATE(YEAR(Inputs!$F$157)+Inputs!$F$164,1,1)-1))/Inputs!$F$27)-1,0),Inputs!$F$190-1)+Inputs!$F$189*MAX(MAX(0,(Time!X$6-(DATE(YEAR(Inputs!$F$157)+Inputs!$F$164,1,1)-1))/Inputs!$F$27)-Inputs!$F$190,0))/100),0)+IF(Time!X$6&gt;=(DATE(YEAR(Inputs!$F$157)+Inputs!$F$165,1,1)-1),Inputs!$F$166/100*Inputs!$F$162*(1-(Inputs!$F$187*MIN(MAX(0,(Time!X$6-(DATE(YEAR(Inputs!$F$157)+Inputs!$F$165,1,1)-1))/Inputs!$F$27),1)+Inputs!$F$188*MIN(MAX(MAX(0,(Time!X$6-(DATE(YEAR(Inputs!$F$157)+Inputs!$F$165,1,1)-1))/Inputs!$F$27)-1,0),Inputs!$F$190-1)+Inputs!$F$189*MAX(MAX(0,(Time!X$6-(DATE(YEAR(Inputs!$F$157)+Inputs!$F$165,1,1)-1))/Inputs!$F$27)-Inputs!$F$190,0))/100),0)</f>
        <v>32.5777808219178</v>
      </c>
      <c r="Y1116" s="20" t="n">
        <f aca="false">IF(Time!Y$6&gt;=(DATE(YEAR(Inputs!$F$157)+Inputs!$F$164,1,1)-1),Inputs!$F$166/100*Inputs!$F$162*(1-(Inputs!$F$187*MIN(MAX(0,(Time!Y$6-(DATE(YEAR(Inputs!$F$157)+Inputs!$F$164,1,1)-1))/Inputs!$F$27),1)+Inputs!$F$188*MIN(MAX(MAX(0,(Time!Y$6-(DATE(YEAR(Inputs!$F$157)+Inputs!$F$164,1,1)-1))/Inputs!$F$27)-1,0),Inputs!$F$190-1)+Inputs!$F$189*MAX(MAX(0,(Time!Y$6-(DATE(YEAR(Inputs!$F$157)+Inputs!$F$164,1,1)-1))/Inputs!$F$27)-Inputs!$F$190,0))/100),0)+IF(Time!Y$6&gt;=(DATE(YEAR(Inputs!$F$157)+Inputs!$F$165,1,1)-1),Inputs!$F$166/100*Inputs!$F$162*(1-(Inputs!$F$187*MIN(MAX(0,(Time!Y$6-(DATE(YEAR(Inputs!$F$157)+Inputs!$F$165,1,1)-1))/Inputs!$F$27),1)+Inputs!$F$188*MIN(MAX(MAX(0,(Time!Y$6-(DATE(YEAR(Inputs!$F$157)+Inputs!$F$165,1,1)-1))/Inputs!$F$27)-1,0),Inputs!$F$190-1)+Inputs!$F$189*MAX(MAX(0,(Time!Y$6-(DATE(YEAR(Inputs!$F$157)+Inputs!$F$165,1,1)-1))/Inputs!$F$27)-Inputs!$F$190,0))/100),0)</f>
        <v>32.0377808219178</v>
      </c>
      <c r="Z1116" s="20" t="n">
        <f aca="false">IF(Time!Z$6&gt;=(DATE(YEAR(Inputs!$F$157)+Inputs!$F$164,1,1)-1),Inputs!$F$166/100*Inputs!$F$162*(1-(Inputs!$F$187*MIN(MAX(0,(Time!Z$6-(DATE(YEAR(Inputs!$F$157)+Inputs!$F$164,1,1)-1))/Inputs!$F$27),1)+Inputs!$F$188*MIN(MAX(MAX(0,(Time!Z$6-(DATE(YEAR(Inputs!$F$157)+Inputs!$F$164,1,1)-1))/Inputs!$F$27)-1,0),Inputs!$F$190-1)+Inputs!$F$189*MAX(MAX(0,(Time!Z$6-(DATE(YEAR(Inputs!$F$157)+Inputs!$F$164,1,1)-1))/Inputs!$F$27)-Inputs!$F$190,0))/100),0)+IF(Time!Z$6&gt;=(DATE(YEAR(Inputs!$F$157)+Inputs!$F$165,1,1)-1),Inputs!$F$166/100*Inputs!$F$162*(1-(Inputs!$F$187*MIN(MAX(0,(Time!Z$6-(DATE(YEAR(Inputs!$F$157)+Inputs!$F$165,1,1)-1))/Inputs!$F$27),1)+Inputs!$F$188*MIN(MAX(MAX(0,(Time!Z$6-(DATE(YEAR(Inputs!$F$157)+Inputs!$F$165,1,1)-1))/Inputs!$F$27)-1,0),Inputs!$F$190-1)+Inputs!$F$189*MAX(MAX(0,(Time!Z$6-(DATE(YEAR(Inputs!$F$157)+Inputs!$F$165,1,1)-1))/Inputs!$F$27)-Inputs!$F$190,0))/100),0)</f>
        <v>31.4982739726027</v>
      </c>
      <c r="AA1116" s="20" t="n">
        <f aca="false">IF(Time!AA$6&gt;=(DATE(YEAR(Inputs!$F$157)+Inputs!$F$164,1,1)-1),Inputs!$F$166/100*Inputs!$F$162*(1-(Inputs!$F$187*MIN(MAX(0,(Time!AA$6-(DATE(YEAR(Inputs!$F$157)+Inputs!$F$164,1,1)-1))/Inputs!$F$27),1)+Inputs!$F$188*MIN(MAX(MAX(0,(Time!AA$6-(DATE(YEAR(Inputs!$F$157)+Inputs!$F$164,1,1)-1))/Inputs!$F$27)-1,0),Inputs!$F$190-1)+Inputs!$F$189*MAX(MAX(0,(Time!AA$6-(DATE(YEAR(Inputs!$F$157)+Inputs!$F$164,1,1)-1))/Inputs!$F$27)-Inputs!$F$190,0))/100),0)+IF(Time!AA$6&gt;=(DATE(YEAR(Inputs!$F$157)+Inputs!$F$165,1,1)-1),Inputs!$F$166/100*Inputs!$F$162*(1-(Inputs!$F$187*MIN(MAX(0,(Time!AA$6-(DATE(YEAR(Inputs!$F$157)+Inputs!$F$165,1,1)-1))/Inputs!$F$27),1)+Inputs!$F$188*MIN(MAX(MAX(0,(Time!AA$6-(DATE(YEAR(Inputs!$F$157)+Inputs!$F$165,1,1)-1))/Inputs!$F$27)-1,0),Inputs!$F$190-1)+Inputs!$F$189*MAX(MAX(0,(Time!AA$6-(DATE(YEAR(Inputs!$F$157)+Inputs!$F$165,1,1)-1))/Inputs!$F$27)-Inputs!$F$190,0))/100),0)</f>
        <v>31.0482739726027</v>
      </c>
      <c r="AB1116" s="20" t="n">
        <f aca="false">IF(Time!AB$6&gt;=(DATE(YEAR(Inputs!$F$157)+Inputs!$F$164,1,1)-1),Inputs!$F$166/100*Inputs!$F$162*(1-(Inputs!$F$187*MIN(MAX(0,(Time!AB$6-(DATE(YEAR(Inputs!$F$157)+Inputs!$F$164,1,1)-1))/Inputs!$F$27),1)+Inputs!$F$188*MIN(MAX(MAX(0,(Time!AB$6-(DATE(YEAR(Inputs!$F$157)+Inputs!$F$164,1,1)-1))/Inputs!$F$27)-1,0),Inputs!$F$190-1)+Inputs!$F$189*MAX(MAX(0,(Time!AB$6-(DATE(YEAR(Inputs!$F$157)+Inputs!$F$164,1,1)-1))/Inputs!$F$27)-Inputs!$F$190,0))/100),0)+IF(Time!AB$6&gt;=(DATE(YEAR(Inputs!$F$157)+Inputs!$F$165,1,1)-1),Inputs!$F$166/100*Inputs!$F$162*(1-(Inputs!$F$187*MIN(MAX(0,(Time!AB$6-(DATE(YEAR(Inputs!$F$157)+Inputs!$F$165,1,1)-1))/Inputs!$F$27),1)+Inputs!$F$188*MIN(MAX(MAX(0,(Time!AB$6-(DATE(YEAR(Inputs!$F$157)+Inputs!$F$165,1,1)-1))/Inputs!$F$27)-1,0),Inputs!$F$190-1)+Inputs!$F$189*MAX(MAX(0,(Time!AB$6-(DATE(YEAR(Inputs!$F$157)+Inputs!$F$165,1,1)-1))/Inputs!$F$27)-Inputs!$F$190,0))/100),0)</f>
        <v>30.5970410958904</v>
      </c>
      <c r="AC1116" s="20" t="n">
        <f aca="false">IF(Time!AC$6&gt;=(DATE(YEAR(Inputs!$F$157)+Inputs!$F$164,1,1)-1),Inputs!$F$166/100*Inputs!$F$162*(1-(Inputs!$F$187*MIN(MAX(0,(Time!AC$6-(DATE(YEAR(Inputs!$F$157)+Inputs!$F$164,1,1)-1))/Inputs!$F$27),1)+Inputs!$F$188*MIN(MAX(MAX(0,(Time!AC$6-(DATE(YEAR(Inputs!$F$157)+Inputs!$F$164,1,1)-1))/Inputs!$F$27)-1,0),Inputs!$F$190-1)+Inputs!$F$189*MAX(MAX(0,(Time!AC$6-(DATE(YEAR(Inputs!$F$157)+Inputs!$F$164,1,1)-1))/Inputs!$F$27)-Inputs!$F$190,0))/100),0)+IF(Time!AC$6&gt;=(DATE(YEAR(Inputs!$F$157)+Inputs!$F$165,1,1)-1),Inputs!$F$166/100*Inputs!$F$162*(1-(Inputs!$F$187*MIN(MAX(0,(Time!AC$6-(DATE(YEAR(Inputs!$F$157)+Inputs!$F$165,1,1)-1))/Inputs!$F$27),1)+Inputs!$F$188*MIN(MAX(MAX(0,(Time!AC$6-(DATE(YEAR(Inputs!$F$157)+Inputs!$F$165,1,1)-1))/Inputs!$F$27)-1,0),Inputs!$F$190-1)+Inputs!$F$189*MAX(MAX(0,(Time!AC$6-(DATE(YEAR(Inputs!$F$157)+Inputs!$F$165,1,1)-1))/Inputs!$F$27)-Inputs!$F$190,0))/100),0)</f>
        <v>30.1470410958904</v>
      </c>
      <c r="AD1116" s="20" t="n">
        <f aca="false">IF(Time!AD$6&gt;=(DATE(YEAR(Inputs!$F$157)+Inputs!$F$164,1,1)-1),Inputs!$F$166/100*Inputs!$F$162*(1-(Inputs!$F$187*MIN(MAX(0,(Time!AD$6-(DATE(YEAR(Inputs!$F$157)+Inputs!$F$164,1,1)-1))/Inputs!$F$27),1)+Inputs!$F$188*MIN(MAX(MAX(0,(Time!AD$6-(DATE(YEAR(Inputs!$F$157)+Inputs!$F$164,1,1)-1))/Inputs!$F$27)-1,0),Inputs!$F$190-1)+Inputs!$F$189*MAX(MAX(0,(Time!AD$6-(DATE(YEAR(Inputs!$F$157)+Inputs!$F$164,1,1)-1))/Inputs!$F$27)-Inputs!$F$190,0))/100),0)+IF(Time!AD$6&gt;=(DATE(YEAR(Inputs!$F$157)+Inputs!$F$165,1,1)-1),Inputs!$F$166/100*Inputs!$F$162*(1-(Inputs!$F$187*MIN(MAX(0,(Time!AD$6-(DATE(YEAR(Inputs!$F$157)+Inputs!$F$165,1,1)-1))/Inputs!$F$27),1)+Inputs!$F$188*MIN(MAX(MAX(0,(Time!AD$6-(DATE(YEAR(Inputs!$F$157)+Inputs!$F$165,1,1)-1))/Inputs!$F$27)-1,0),Inputs!$F$190-1)+Inputs!$F$189*MAX(MAX(0,(Time!AD$6-(DATE(YEAR(Inputs!$F$157)+Inputs!$F$165,1,1)-1))/Inputs!$F$27)-Inputs!$F$190,0))/100),0)</f>
        <v>29.6975342465753</v>
      </c>
      <c r="AE1116" s="20" t="n">
        <f aca="false">IF(Time!AE$6&gt;=(DATE(YEAR(Inputs!$F$157)+Inputs!$F$164,1,1)-1),Inputs!$F$166/100*Inputs!$F$162*(1-(Inputs!$F$187*MIN(MAX(0,(Time!AE$6-(DATE(YEAR(Inputs!$F$157)+Inputs!$F$164,1,1)-1))/Inputs!$F$27),1)+Inputs!$F$188*MIN(MAX(MAX(0,(Time!AE$6-(DATE(YEAR(Inputs!$F$157)+Inputs!$F$164,1,1)-1))/Inputs!$F$27)-1,0),Inputs!$F$190-1)+Inputs!$F$189*MAX(MAX(0,(Time!AE$6-(DATE(YEAR(Inputs!$F$157)+Inputs!$F$164,1,1)-1))/Inputs!$F$27)-Inputs!$F$190,0))/100),0)+IF(Time!AE$6&gt;=(DATE(YEAR(Inputs!$F$157)+Inputs!$F$165,1,1)-1),Inputs!$F$166/100*Inputs!$F$162*(1-(Inputs!$F$187*MIN(MAX(0,(Time!AE$6-(DATE(YEAR(Inputs!$F$157)+Inputs!$F$165,1,1)-1))/Inputs!$F$27),1)+Inputs!$F$188*MIN(MAX(MAX(0,(Time!AE$6-(DATE(YEAR(Inputs!$F$157)+Inputs!$F$165,1,1)-1))/Inputs!$F$27)-1,0),Inputs!$F$190-1)+Inputs!$F$189*MAX(MAX(0,(Time!AE$6-(DATE(YEAR(Inputs!$F$157)+Inputs!$F$165,1,1)-1))/Inputs!$F$27)-Inputs!$F$190,0))/100),0)</f>
        <v>29.3375342465753</v>
      </c>
      <c r="AF1116" s="20" t="n">
        <f aca="false">IF(Time!AF$6&gt;=(DATE(YEAR(Inputs!$F$157)+Inputs!$F$164,1,1)-1),Inputs!$F$166/100*Inputs!$F$162*(1-(Inputs!$F$187*MIN(MAX(0,(Time!AF$6-(DATE(YEAR(Inputs!$F$157)+Inputs!$F$164,1,1)-1))/Inputs!$F$27),1)+Inputs!$F$188*MIN(MAX(MAX(0,(Time!AF$6-(DATE(YEAR(Inputs!$F$157)+Inputs!$F$164,1,1)-1))/Inputs!$F$27)-1,0),Inputs!$F$190-1)+Inputs!$F$189*MAX(MAX(0,(Time!AF$6-(DATE(YEAR(Inputs!$F$157)+Inputs!$F$164,1,1)-1))/Inputs!$F$27)-Inputs!$F$190,0))/100),0)+IF(Time!AF$6&gt;=(DATE(YEAR(Inputs!$F$157)+Inputs!$F$165,1,1)-1),Inputs!$F$166/100*Inputs!$F$162*(1-(Inputs!$F$187*MIN(MAX(0,(Time!AF$6-(DATE(YEAR(Inputs!$F$157)+Inputs!$F$165,1,1)-1))/Inputs!$F$27),1)+Inputs!$F$188*MIN(MAX(MAX(0,(Time!AF$6-(DATE(YEAR(Inputs!$F$157)+Inputs!$F$165,1,1)-1))/Inputs!$F$27)-1,0),Inputs!$F$190-1)+Inputs!$F$189*MAX(MAX(0,(Time!AF$6-(DATE(YEAR(Inputs!$F$157)+Inputs!$F$165,1,1)-1))/Inputs!$F$27)-Inputs!$F$190,0))/100),0)</f>
        <v>28.9765479452055</v>
      </c>
      <c r="AG1116" s="20" t="n">
        <f aca="false">IF(Time!AG$6&gt;=(DATE(YEAR(Inputs!$F$157)+Inputs!$F$164,1,1)-1),Inputs!$F$166/100*Inputs!$F$162*(1-(Inputs!$F$187*MIN(MAX(0,(Time!AG$6-(DATE(YEAR(Inputs!$F$157)+Inputs!$F$164,1,1)-1))/Inputs!$F$27),1)+Inputs!$F$188*MIN(MAX(MAX(0,(Time!AG$6-(DATE(YEAR(Inputs!$F$157)+Inputs!$F$164,1,1)-1))/Inputs!$F$27)-1,0),Inputs!$F$190-1)+Inputs!$F$189*MAX(MAX(0,(Time!AG$6-(DATE(YEAR(Inputs!$F$157)+Inputs!$F$164,1,1)-1))/Inputs!$F$27)-Inputs!$F$190,0))/100),0)+IF(Time!AG$6&gt;=(DATE(YEAR(Inputs!$F$157)+Inputs!$F$165,1,1)-1),Inputs!$F$166/100*Inputs!$F$162*(1-(Inputs!$F$187*MIN(MAX(0,(Time!AG$6-(DATE(YEAR(Inputs!$F$157)+Inputs!$F$165,1,1)-1))/Inputs!$F$27),1)+Inputs!$F$188*MIN(MAX(MAX(0,(Time!AG$6-(DATE(YEAR(Inputs!$F$157)+Inputs!$F$165,1,1)-1))/Inputs!$F$27)-1,0),Inputs!$F$190-1)+Inputs!$F$189*MAX(MAX(0,(Time!AG$6-(DATE(YEAR(Inputs!$F$157)+Inputs!$F$165,1,1)-1))/Inputs!$F$27)-Inputs!$F$190,0))/100),0)</f>
        <v>28.6165479452055</v>
      </c>
      <c r="AH1116" s="20" t="n">
        <f aca="false">IF(Time!AH$6&gt;=(DATE(YEAR(Inputs!$F$157)+Inputs!$F$164,1,1)-1),Inputs!$F$166/100*Inputs!$F$162*(1-(Inputs!$F$187*MIN(MAX(0,(Time!AH$6-(DATE(YEAR(Inputs!$F$157)+Inputs!$F$164,1,1)-1))/Inputs!$F$27),1)+Inputs!$F$188*MIN(MAX(MAX(0,(Time!AH$6-(DATE(YEAR(Inputs!$F$157)+Inputs!$F$164,1,1)-1))/Inputs!$F$27)-1,0),Inputs!$F$190-1)+Inputs!$F$189*MAX(MAX(0,(Time!AH$6-(DATE(YEAR(Inputs!$F$157)+Inputs!$F$164,1,1)-1))/Inputs!$F$27)-Inputs!$F$190,0))/100),0)+IF(Time!AH$6&gt;=(DATE(YEAR(Inputs!$F$157)+Inputs!$F$165,1,1)-1),Inputs!$F$166/100*Inputs!$F$162*(1-(Inputs!$F$187*MIN(MAX(0,(Time!AH$6-(DATE(YEAR(Inputs!$F$157)+Inputs!$F$165,1,1)-1))/Inputs!$F$27),1)+Inputs!$F$188*MIN(MAX(MAX(0,(Time!AH$6-(DATE(YEAR(Inputs!$F$157)+Inputs!$F$165,1,1)-1))/Inputs!$F$27)-1,0),Inputs!$F$190-1)+Inputs!$F$189*MAX(MAX(0,(Time!AH$6-(DATE(YEAR(Inputs!$F$157)+Inputs!$F$165,1,1)-1))/Inputs!$F$27)-Inputs!$F$190,0))/100),0)</f>
        <v>28.2565479452055</v>
      </c>
      <c r="AI1116" s="20" t="n">
        <f aca="false">IF(Time!AI$6&gt;=(DATE(YEAR(Inputs!$F$157)+Inputs!$F$164,1,1)-1),Inputs!$F$166/100*Inputs!$F$162*(1-(Inputs!$F$187*MIN(MAX(0,(Time!AI$6-(DATE(YEAR(Inputs!$F$157)+Inputs!$F$164,1,1)-1))/Inputs!$F$27),1)+Inputs!$F$188*MIN(MAX(MAX(0,(Time!AI$6-(DATE(YEAR(Inputs!$F$157)+Inputs!$F$164,1,1)-1))/Inputs!$F$27)-1,0),Inputs!$F$190-1)+Inputs!$F$189*MAX(MAX(0,(Time!AI$6-(DATE(YEAR(Inputs!$F$157)+Inputs!$F$164,1,1)-1))/Inputs!$F$27)-Inputs!$F$190,0))/100),0)+IF(Time!AI$6&gt;=(DATE(YEAR(Inputs!$F$157)+Inputs!$F$165,1,1)-1),Inputs!$F$166/100*Inputs!$F$162*(1-(Inputs!$F$187*MIN(MAX(0,(Time!AI$6-(DATE(YEAR(Inputs!$F$157)+Inputs!$F$165,1,1)-1))/Inputs!$F$27),1)+Inputs!$F$188*MIN(MAX(MAX(0,(Time!AI$6-(DATE(YEAR(Inputs!$F$157)+Inputs!$F$165,1,1)-1))/Inputs!$F$27)-1,0),Inputs!$F$190-1)+Inputs!$F$189*MAX(MAX(0,(Time!AI$6-(DATE(YEAR(Inputs!$F$157)+Inputs!$F$165,1,1)-1))/Inputs!$F$27)-Inputs!$F$190,0))/100),0)</f>
        <v>27.8965479452055</v>
      </c>
      <c r="AJ1116" s="20" t="n">
        <f aca="false">IF(Time!AJ$6&gt;=(DATE(YEAR(Inputs!$F$157)+Inputs!$F$164,1,1)-1),Inputs!$F$166/100*Inputs!$F$162*(1-(Inputs!$F$187*MIN(MAX(0,(Time!AJ$6-(DATE(YEAR(Inputs!$F$157)+Inputs!$F$164,1,1)-1))/Inputs!$F$27),1)+Inputs!$F$188*MIN(MAX(MAX(0,(Time!AJ$6-(DATE(YEAR(Inputs!$F$157)+Inputs!$F$164,1,1)-1))/Inputs!$F$27)-1,0),Inputs!$F$190-1)+Inputs!$F$189*MAX(MAX(0,(Time!AJ$6-(DATE(YEAR(Inputs!$F$157)+Inputs!$F$164,1,1)-1))/Inputs!$F$27)-Inputs!$F$190,0))/100),0)+IF(Time!AJ$6&gt;=(DATE(YEAR(Inputs!$F$157)+Inputs!$F$165,1,1)-1),Inputs!$F$166/100*Inputs!$F$162*(1-(Inputs!$F$187*MIN(MAX(0,(Time!AJ$6-(DATE(YEAR(Inputs!$F$157)+Inputs!$F$165,1,1)-1))/Inputs!$F$27),1)+Inputs!$F$188*MIN(MAX(MAX(0,(Time!AJ$6-(DATE(YEAR(Inputs!$F$157)+Inputs!$F$165,1,1)-1))/Inputs!$F$27)-1,0),Inputs!$F$190-1)+Inputs!$F$189*MAX(MAX(0,(Time!AJ$6-(DATE(YEAR(Inputs!$F$157)+Inputs!$F$165,1,1)-1))/Inputs!$F$27)-Inputs!$F$190,0))/100),0)</f>
        <v>27.5355616438356</v>
      </c>
      <c r="AK1116" s="20" t="n">
        <f aca="false">IF(Time!AK$6&gt;=(DATE(YEAR(Inputs!$F$157)+Inputs!$F$164,1,1)-1),Inputs!$F$166/100*Inputs!$F$162*(1-(Inputs!$F$187*MIN(MAX(0,(Time!AK$6-(DATE(YEAR(Inputs!$F$157)+Inputs!$F$164,1,1)-1))/Inputs!$F$27),1)+Inputs!$F$188*MIN(MAX(MAX(0,(Time!AK$6-(DATE(YEAR(Inputs!$F$157)+Inputs!$F$164,1,1)-1))/Inputs!$F$27)-1,0),Inputs!$F$190-1)+Inputs!$F$189*MAX(MAX(0,(Time!AK$6-(DATE(YEAR(Inputs!$F$157)+Inputs!$F$164,1,1)-1))/Inputs!$F$27)-Inputs!$F$190,0))/100),0)+IF(Time!AK$6&gt;=(DATE(YEAR(Inputs!$F$157)+Inputs!$F$165,1,1)-1),Inputs!$F$166/100*Inputs!$F$162*(1-(Inputs!$F$187*MIN(MAX(0,(Time!AK$6-(DATE(YEAR(Inputs!$F$157)+Inputs!$F$165,1,1)-1))/Inputs!$F$27),1)+Inputs!$F$188*MIN(MAX(MAX(0,(Time!AK$6-(DATE(YEAR(Inputs!$F$157)+Inputs!$F$165,1,1)-1))/Inputs!$F$27)-1,0),Inputs!$F$190-1)+Inputs!$F$189*MAX(MAX(0,(Time!AK$6-(DATE(YEAR(Inputs!$F$157)+Inputs!$F$165,1,1)-1))/Inputs!$F$27)-Inputs!$F$190,0))/100),0)</f>
        <v>27.1755616438356</v>
      </c>
      <c r="AL1116" s="20" t="n">
        <f aca="false">IF(Time!AL$6&gt;=(DATE(YEAR(Inputs!$F$157)+Inputs!$F$164,1,1)-1),Inputs!$F$166/100*Inputs!$F$162*(1-(Inputs!$F$187*MIN(MAX(0,(Time!AL$6-(DATE(YEAR(Inputs!$F$157)+Inputs!$F$164,1,1)-1))/Inputs!$F$27),1)+Inputs!$F$188*MIN(MAX(MAX(0,(Time!AL$6-(DATE(YEAR(Inputs!$F$157)+Inputs!$F$164,1,1)-1))/Inputs!$F$27)-1,0),Inputs!$F$190-1)+Inputs!$F$189*MAX(MAX(0,(Time!AL$6-(DATE(YEAR(Inputs!$F$157)+Inputs!$F$164,1,1)-1))/Inputs!$F$27)-Inputs!$F$190,0))/100),0)+IF(Time!AL$6&gt;=(DATE(YEAR(Inputs!$F$157)+Inputs!$F$165,1,1)-1),Inputs!$F$166/100*Inputs!$F$162*(1-(Inputs!$F$187*MIN(MAX(0,(Time!AL$6-(DATE(YEAR(Inputs!$F$157)+Inputs!$F$165,1,1)-1))/Inputs!$F$27),1)+Inputs!$F$188*MIN(MAX(MAX(0,(Time!AL$6-(DATE(YEAR(Inputs!$F$157)+Inputs!$F$165,1,1)-1))/Inputs!$F$27)-1,0),Inputs!$F$190-1)+Inputs!$F$189*MAX(MAX(0,(Time!AL$6-(DATE(YEAR(Inputs!$F$157)+Inputs!$F$165,1,1)-1))/Inputs!$F$27)-Inputs!$F$190,0))/100),0)</f>
        <v>26.8155616438356</v>
      </c>
      <c r="AM1116" s="20" t="n">
        <f aca="false">IF(Time!AM$6&gt;=(DATE(YEAR(Inputs!$F$157)+Inputs!$F$164,1,1)-1),Inputs!$F$166/100*Inputs!$F$162*(1-(Inputs!$F$187*MIN(MAX(0,(Time!AM$6-(DATE(YEAR(Inputs!$F$157)+Inputs!$F$164,1,1)-1))/Inputs!$F$27),1)+Inputs!$F$188*MIN(MAX(MAX(0,(Time!AM$6-(DATE(YEAR(Inputs!$F$157)+Inputs!$F$164,1,1)-1))/Inputs!$F$27)-1,0),Inputs!$F$190-1)+Inputs!$F$189*MAX(MAX(0,(Time!AM$6-(DATE(YEAR(Inputs!$F$157)+Inputs!$F$164,1,1)-1))/Inputs!$F$27)-Inputs!$F$190,0))/100),0)+IF(Time!AM$6&gt;=(DATE(YEAR(Inputs!$F$157)+Inputs!$F$165,1,1)-1),Inputs!$F$166/100*Inputs!$F$162*(1-(Inputs!$F$187*MIN(MAX(0,(Time!AM$6-(DATE(YEAR(Inputs!$F$157)+Inputs!$F$165,1,1)-1))/Inputs!$F$27),1)+Inputs!$F$188*MIN(MAX(MAX(0,(Time!AM$6-(DATE(YEAR(Inputs!$F$157)+Inputs!$F$165,1,1)-1))/Inputs!$F$27)-1,0),Inputs!$F$190-1)+Inputs!$F$189*MAX(MAX(0,(Time!AM$6-(DATE(YEAR(Inputs!$F$157)+Inputs!$F$165,1,1)-1))/Inputs!$F$27)-Inputs!$F$190,0))/100),0)</f>
        <v>26.4555616438356</v>
      </c>
      <c r="AN1116" s="20" t="n">
        <f aca="false">IF(Time!AN$6&gt;=(DATE(YEAR(Inputs!$F$157)+Inputs!$F$164,1,1)-1),Inputs!$F$166/100*Inputs!$F$162*(1-(Inputs!$F$187*MIN(MAX(0,(Time!AN$6-(DATE(YEAR(Inputs!$F$157)+Inputs!$F$164,1,1)-1))/Inputs!$F$27),1)+Inputs!$F$188*MIN(MAX(MAX(0,(Time!AN$6-(DATE(YEAR(Inputs!$F$157)+Inputs!$F$164,1,1)-1))/Inputs!$F$27)-1,0),Inputs!$F$190-1)+Inputs!$F$189*MAX(MAX(0,(Time!AN$6-(DATE(YEAR(Inputs!$F$157)+Inputs!$F$164,1,1)-1))/Inputs!$F$27)-Inputs!$F$190,0))/100),0)+IF(Time!AN$6&gt;=(DATE(YEAR(Inputs!$F$157)+Inputs!$F$165,1,1)-1),Inputs!$F$166/100*Inputs!$F$162*(1-(Inputs!$F$187*MIN(MAX(0,(Time!AN$6-(DATE(YEAR(Inputs!$F$157)+Inputs!$F$165,1,1)-1))/Inputs!$F$27),1)+Inputs!$F$188*MIN(MAX(MAX(0,(Time!AN$6-(DATE(YEAR(Inputs!$F$157)+Inputs!$F$165,1,1)-1))/Inputs!$F$27)-1,0),Inputs!$F$190-1)+Inputs!$F$189*MAX(MAX(0,(Time!AN$6-(DATE(YEAR(Inputs!$F$157)+Inputs!$F$165,1,1)-1))/Inputs!$F$27)-Inputs!$F$190,0))/100),0)</f>
        <v>26.0945753424658</v>
      </c>
      <c r="AO1116" s="20" t="n">
        <f aca="false">IF(Time!AO$6&gt;=(DATE(YEAR(Inputs!$F$157)+Inputs!$F$164,1,1)-1),Inputs!$F$166/100*Inputs!$F$162*(1-(Inputs!$F$187*MIN(MAX(0,(Time!AO$6-(DATE(YEAR(Inputs!$F$157)+Inputs!$F$164,1,1)-1))/Inputs!$F$27),1)+Inputs!$F$188*MIN(MAX(MAX(0,(Time!AO$6-(DATE(YEAR(Inputs!$F$157)+Inputs!$F$164,1,1)-1))/Inputs!$F$27)-1,0),Inputs!$F$190-1)+Inputs!$F$189*MAX(MAX(0,(Time!AO$6-(DATE(YEAR(Inputs!$F$157)+Inputs!$F$164,1,1)-1))/Inputs!$F$27)-Inputs!$F$190,0))/100),0)+IF(Time!AO$6&gt;=(DATE(YEAR(Inputs!$F$157)+Inputs!$F$165,1,1)-1),Inputs!$F$166/100*Inputs!$F$162*(1-(Inputs!$F$187*MIN(MAX(0,(Time!AO$6-(DATE(YEAR(Inputs!$F$157)+Inputs!$F$165,1,1)-1))/Inputs!$F$27),1)+Inputs!$F$188*MIN(MAX(MAX(0,(Time!AO$6-(DATE(YEAR(Inputs!$F$157)+Inputs!$F$165,1,1)-1))/Inputs!$F$27)-1,0),Inputs!$F$190-1)+Inputs!$F$189*MAX(MAX(0,(Time!AO$6-(DATE(YEAR(Inputs!$F$157)+Inputs!$F$165,1,1)-1))/Inputs!$F$27)-Inputs!$F$190,0))/100),0)</f>
        <v>25.7345753424658</v>
      </c>
      <c r="AP1116" s="20" t="n">
        <f aca="false">IF(Time!AP$6&gt;=(DATE(YEAR(Inputs!$F$157)+Inputs!$F$164,1,1)-1),Inputs!$F$166/100*Inputs!$F$162*(1-(Inputs!$F$187*MIN(MAX(0,(Time!AP$6-(DATE(YEAR(Inputs!$F$157)+Inputs!$F$164,1,1)-1))/Inputs!$F$27),1)+Inputs!$F$188*MIN(MAX(MAX(0,(Time!AP$6-(DATE(YEAR(Inputs!$F$157)+Inputs!$F$164,1,1)-1))/Inputs!$F$27)-1,0),Inputs!$F$190-1)+Inputs!$F$189*MAX(MAX(0,(Time!AP$6-(DATE(YEAR(Inputs!$F$157)+Inputs!$F$164,1,1)-1))/Inputs!$F$27)-Inputs!$F$190,0))/100),0)+IF(Time!AP$6&gt;=(DATE(YEAR(Inputs!$F$157)+Inputs!$F$165,1,1)-1),Inputs!$F$166/100*Inputs!$F$162*(1-(Inputs!$F$187*MIN(MAX(0,(Time!AP$6-(DATE(YEAR(Inputs!$F$157)+Inputs!$F$165,1,1)-1))/Inputs!$F$27),1)+Inputs!$F$188*MIN(MAX(MAX(0,(Time!AP$6-(DATE(YEAR(Inputs!$F$157)+Inputs!$F$165,1,1)-1))/Inputs!$F$27)-1,0),Inputs!$F$190-1)+Inputs!$F$189*MAX(MAX(0,(Time!AP$6-(DATE(YEAR(Inputs!$F$157)+Inputs!$F$165,1,1)-1))/Inputs!$F$27)-Inputs!$F$190,0))/100),0)</f>
        <v>25.3745753424658</v>
      </c>
      <c r="AQ1116" s="20" t="n">
        <f aca="false">IF(Time!AQ$6&gt;=(DATE(YEAR(Inputs!$F$157)+Inputs!$F$164,1,1)-1),Inputs!$F$166/100*Inputs!$F$162*(1-(Inputs!$F$187*MIN(MAX(0,(Time!AQ$6-(DATE(YEAR(Inputs!$F$157)+Inputs!$F$164,1,1)-1))/Inputs!$F$27),1)+Inputs!$F$188*MIN(MAX(MAX(0,(Time!AQ$6-(DATE(YEAR(Inputs!$F$157)+Inputs!$F$164,1,1)-1))/Inputs!$F$27)-1,0),Inputs!$F$190-1)+Inputs!$F$189*MAX(MAX(0,(Time!AQ$6-(DATE(YEAR(Inputs!$F$157)+Inputs!$F$164,1,1)-1))/Inputs!$F$27)-Inputs!$F$190,0))/100),0)+IF(Time!AQ$6&gt;=(DATE(YEAR(Inputs!$F$157)+Inputs!$F$165,1,1)-1),Inputs!$F$166/100*Inputs!$F$162*(1-(Inputs!$F$187*MIN(MAX(0,(Time!AQ$6-(DATE(YEAR(Inputs!$F$157)+Inputs!$F$165,1,1)-1))/Inputs!$F$27),1)+Inputs!$F$188*MIN(MAX(MAX(0,(Time!AQ$6-(DATE(YEAR(Inputs!$F$157)+Inputs!$F$165,1,1)-1))/Inputs!$F$27)-1,0),Inputs!$F$190-1)+Inputs!$F$189*MAX(MAX(0,(Time!AQ$6-(DATE(YEAR(Inputs!$F$157)+Inputs!$F$165,1,1)-1))/Inputs!$F$27)-Inputs!$F$190,0))/100),0)</f>
        <v>25.0145753424658</v>
      </c>
      <c r="AR1116" s="20" t="n">
        <f aca="false">IF(Time!AR$6&gt;=(DATE(YEAR(Inputs!$F$157)+Inputs!$F$164,1,1)-1),Inputs!$F$166/100*Inputs!$F$162*(1-(Inputs!$F$187*MIN(MAX(0,(Time!AR$6-(DATE(YEAR(Inputs!$F$157)+Inputs!$F$164,1,1)-1))/Inputs!$F$27),1)+Inputs!$F$188*MIN(MAX(MAX(0,(Time!AR$6-(DATE(YEAR(Inputs!$F$157)+Inputs!$F$164,1,1)-1))/Inputs!$F$27)-1,0),Inputs!$F$190-1)+Inputs!$F$189*MAX(MAX(0,(Time!AR$6-(DATE(YEAR(Inputs!$F$157)+Inputs!$F$164,1,1)-1))/Inputs!$F$27)-Inputs!$F$190,0))/100),0)+IF(Time!AR$6&gt;=(DATE(YEAR(Inputs!$F$157)+Inputs!$F$165,1,1)-1),Inputs!$F$166/100*Inputs!$F$162*(1-(Inputs!$F$187*MIN(MAX(0,(Time!AR$6-(DATE(YEAR(Inputs!$F$157)+Inputs!$F$165,1,1)-1))/Inputs!$F$27),1)+Inputs!$F$188*MIN(MAX(MAX(0,(Time!AR$6-(DATE(YEAR(Inputs!$F$157)+Inputs!$F$165,1,1)-1))/Inputs!$F$27)-1,0),Inputs!$F$190-1)+Inputs!$F$189*MAX(MAX(0,(Time!AR$6-(DATE(YEAR(Inputs!$F$157)+Inputs!$F$165,1,1)-1))/Inputs!$F$27)-Inputs!$F$190,0))/100),0)</f>
        <v>24.6535890410959</v>
      </c>
      <c r="AS1116" s="20" t="n">
        <f aca="false">IF(Time!AS$6&gt;=(DATE(YEAR(Inputs!$F$157)+Inputs!$F$164,1,1)-1),Inputs!$F$166/100*Inputs!$F$162*(1-(Inputs!$F$187*MIN(MAX(0,(Time!AS$6-(DATE(YEAR(Inputs!$F$157)+Inputs!$F$164,1,1)-1))/Inputs!$F$27),1)+Inputs!$F$188*MIN(MAX(MAX(0,(Time!AS$6-(DATE(YEAR(Inputs!$F$157)+Inputs!$F$164,1,1)-1))/Inputs!$F$27)-1,0),Inputs!$F$190-1)+Inputs!$F$189*MAX(MAX(0,(Time!AS$6-(DATE(YEAR(Inputs!$F$157)+Inputs!$F$164,1,1)-1))/Inputs!$F$27)-Inputs!$F$190,0))/100),0)+IF(Time!AS$6&gt;=(DATE(YEAR(Inputs!$F$157)+Inputs!$F$165,1,1)-1),Inputs!$F$166/100*Inputs!$F$162*(1-(Inputs!$F$187*MIN(MAX(0,(Time!AS$6-(DATE(YEAR(Inputs!$F$157)+Inputs!$F$165,1,1)-1))/Inputs!$F$27),1)+Inputs!$F$188*MIN(MAX(MAX(0,(Time!AS$6-(DATE(YEAR(Inputs!$F$157)+Inputs!$F$165,1,1)-1))/Inputs!$F$27)-1,0),Inputs!$F$190-1)+Inputs!$F$189*MAX(MAX(0,(Time!AS$6-(DATE(YEAR(Inputs!$F$157)+Inputs!$F$165,1,1)-1))/Inputs!$F$27)-Inputs!$F$190,0))/100),0)</f>
        <v>24.2935890410959</v>
      </c>
      <c r="AT1116" s="20" t="n">
        <f aca="false">IF(Time!AT$6&gt;=(DATE(YEAR(Inputs!$F$157)+Inputs!$F$164,1,1)-1),Inputs!$F$166/100*Inputs!$F$162*(1-(Inputs!$F$187*MIN(MAX(0,(Time!AT$6-(DATE(YEAR(Inputs!$F$157)+Inputs!$F$164,1,1)-1))/Inputs!$F$27),1)+Inputs!$F$188*MIN(MAX(MAX(0,(Time!AT$6-(DATE(YEAR(Inputs!$F$157)+Inputs!$F$164,1,1)-1))/Inputs!$F$27)-1,0),Inputs!$F$190-1)+Inputs!$F$189*MAX(MAX(0,(Time!AT$6-(DATE(YEAR(Inputs!$F$157)+Inputs!$F$164,1,1)-1))/Inputs!$F$27)-Inputs!$F$190,0))/100),0)+IF(Time!AT$6&gt;=(DATE(YEAR(Inputs!$F$157)+Inputs!$F$165,1,1)-1),Inputs!$F$166/100*Inputs!$F$162*(1-(Inputs!$F$187*MIN(MAX(0,(Time!AT$6-(DATE(YEAR(Inputs!$F$157)+Inputs!$F$165,1,1)-1))/Inputs!$F$27),1)+Inputs!$F$188*MIN(MAX(MAX(0,(Time!AT$6-(DATE(YEAR(Inputs!$F$157)+Inputs!$F$165,1,1)-1))/Inputs!$F$27)-1,0),Inputs!$F$190-1)+Inputs!$F$189*MAX(MAX(0,(Time!AT$6-(DATE(YEAR(Inputs!$F$157)+Inputs!$F$165,1,1)-1))/Inputs!$F$27)-Inputs!$F$190,0))/100),0)</f>
        <v>23.9335890410959</v>
      </c>
      <c r="AU1116" s="20" t="n">
        <f aca="false">IF(Time!AU$6&gt;=(DATE(YEAR(Inputs!$F$157)+Inputs!$F$164,1,1)-1),Inputs!$F$166/100*Inputs!$F$162*(1-(Inputs!$F$187*MIN(MAX(0,(Time!AU$6-(DATE(YEAR(Inputs!$F$157)+Inputs!$F$164,1,1)-1))/Inputs!$F$27),1)+Inputs!$F$188*MIN(MAX(MAX(0,(Time!AU$6-(DATE(YEAR(Inputs!$F$157)+Inputs!$F$164,1,1)-1))/Inputs!$F$27)-1,0),Inputs!$F$190-1)+Inputs!$F$189*MAX(MAX(0,(Time!AU$6-(DATE(YEAR(Inputs!$F$157)+Inputs!$F$164,1,1)-1))/Inputs!$F$27)-Inputs!$F$190,0))/100),0)+IF(Time!AU$6&gt;=(DATE(YEAR(Inputs!$F$157)+Inputs!$F$165,1,1)-1),Inputs!$F$166/100*Inputs!$F$162*(1-(Inputs!$F$187*MIN(MAX(0,(Time!AU$6-(DATE(YEAR(Inputs!$F$157)+Inputs!$F$165,1,1)-1))/Inputs!$F$27),1)+Inputs!$F$188*MIN(MAX(MAX(0,(Time!AU$6-(DATE(YEAR(Inputs!$F$157)+Inputs!$F$165,1,1)-1))/Inputs!$F$27)-1,0),Inputs!$F$190-1)+Inputs!$F$189*MAX(MAX(0,(Time!AU$6-(DATE(YEAR(Inputs!$F$157)+Inputs!$F$165,1,1)-1))/Inputs!$F$27)-Inputs!$F$190,0))/100),0)</f>
        <v>23.5735890410959</v>
      </c>
    </row>
    <row r="1117" customFormat="false" ht="15" hidden="false" customHeight="false" outlineLevel="0" collapsed="false">
      <c r="D1117" s="0" t="s">
        <v>722</v>
      </c>
      <c r="E1117" s="0" t="s">
        <v>176</v>
      </c>
      <c r="J1117" s="20" t="n">
        <f aca="false">Operations!J1115+Operations!J1116</f>
        <v>324</v>
      </c>
      <c r="K1117" s="20" t="n">
        <f aca="false">Operations!K1115+Operations!K1116</f>
        <v>324</v>
      </c>
      <c r="L1117" s="20" t="n">
        <f aca="false">Operations!L1115+Operations!L1116</f>
        <v>319.153315068493</v>
      </c>
      <c r="M1117" s="20" t="n">
        <f aca="false">Operations!M1115+Operations!M1116</f>
        <v>313.88498630137</v>
      </c>
      <c r="N1117" s="20" t="n">
        <f aca="false">Operations!N1115+Operations!N1116</f>
        <v>309.02498630137</v>
      </c>
      <c r="O1117" s="20" t="n">
        <f aca="false">Operations!O1115+Operations!O1116</f>
        <v>304.16498630137</v>
      </c>
      <c r="P1117" s="20" t="n">
        <f aca="false">Operations!P1115+Operations!P1116</f>
        <v>317.291671232877</v>
      </c>
      <c r="Q1117" s="20" t="n">
        <f aca="false">Operations!Q1115+Operations!Q1116</f>
        <v>312.071671232877</v>
      </c>
      <c r="R1117" s="20" t="n">
        <f aca="false">Operations!R1115+Operations!R1116</f>
        <v>306.941671232877</v>
      </c>
      <c r="S1117" s="20" t="n">
        <f aca="false">Operations!S1115+Operations!S1116</f>
        <v>301.811671232877</v>
      </c>
      <c r="T1117" s="20" t="n">
        <f aca="false">Operations!T1115+Operations!T1116</f>
        <v>314.667616438356</v>
      </c>
      <c r="U1117" s="20" t="n">
        <f aca="false">Operations!U1115+Operations!U1116</f>
        <v>309.177616438356</v>
      </c>
      <c r="V1117" s="20" t="n">
        <f aca="false">Operations!V1115+Operations!V1116</f>
        <v>304.998164383562</v>
      </c>
      <c r="W1117" s="20" t="n">
        <f aca="false">Operations!W1115+Operations!W1116</f>
        <v>301.218164383562</v>
      </c>
      <c r="X1117" s="20" t="n">
        <f aca="false">Operations!X1115+Operations!X1116</f>
        <v>297.427808219178</v>
      </c>
      <c r="Y1117" s="20" t="n">
        <f aca="false">Operations!Y1115+Operations!Y1116</f>
        <v>293.647808219178</v>
      </c>
      <c r="Z1117" s="20" t="n">
        <f aca="false">Operations!Z1115+Operations!Z1116</f>
        <v>289.868301369863</v>
      </c>
      <c r="AA1117" s="20" t="n">
        <f aca="false">Operations!AA1115+Operations!AA1116</f>
        <v>286.178301369863</v>
      </c>
      <c r="AB1117" s="20" t="n">
        <f aca="false">Operations!AB1115+Operations!AB1116</f>
        <v>282.478191780822</v>
      </c>
      <c r="AC1117" s="20" t="n">
        <f aca="false">Operations!AC1115+Operations!AC1116</f>
        <v>278.788191780822</v>
      </c>
      <c r="AD1117" s="20" t="n">
        <f aca="false">Operations!AD1115+Operations!AD1116</f>
        <v>275.098684931507</v>
      </c>
      <c r="AE1117" s="20" t="n">
        <f aca="false">Operations!AE1115+Operations!AE1116</f>
        <v>271.498684931507</v>
      </c>
      <c r="AF1117" s="20" t="n">
        <f aca="false">Operations!AF1115+Operations!AF1116</f>
        <v>267.888821917808</v>
      </c>
      <c r="AG1117" s="20" t="n">
        <f aca="false">Operations!AG1115+Operations!AG1116</f>
        <v>264.288821917808</v>
      </c>
      <c r="AH1117" s="20" t="n">
        <f aca="false">Operations!AH1115+Operations!AH1116</f>
        <v>260.688821917808</v>
      </c>
      <c r="AI1117" s="20" t="n">
        <f aca="false">Operations!AI1115+Operations!AI1116</f>
        <v>257.088821917808</v>
      </c>
      <c r="AJ1117" s="20" t="n">
        <f aca="false">Operations!AJ1115+Operations!AJ1116</f>
        <v>253.47895890411</v>
      </c>
      <c r="AK1117" s="20" t="n">
        <f aca="false">Operations!AK1115+Operations!AK1116</f>
        <v>249.87895890411</v>
      </c>
      <c r="AL1117" s="20" t="n">
        <f aca="false">Operations!AL1115+Operations!AL1116</f>
        <v>246.27895890411</v>
      </c>
      <c r="AM1117" s="20" t="n">
        <f aca="false">Operations!AM1115+Operations!AM1116</f>
        <v>242.67895890411</v>
      </c>
      <c r="AN1117" s="20" t="n">
        <f aca="false">Operations!AN1115+Operations!AN1116</f>
        <v>239.069095890411</v>
      </c>
      <c r="AO1117" s="20" t="n">
        <f aca="false">Operations!AO1115+Operations!AO1116</f>
        <v>235.469095890411</v>
      </c>
      <c r="AP1117" s="20" t="n">
        <f aca="false">Operations!AP1115+Operations!AP1116</f>
        <v>231.869095890411</v>
      </c>
      <c r="AQ1117" s="20" t="n">
        <f aca="false">Operations!AQ1115+Operations!AQ1116</f>
        <v>228.269095890411</v>
      </c>
      <c r="AR1117" s="20" t="n">
        <f aca="false">Operations!AR1115+Operations!AR1116</f>
        <v>224.659232876712</v>
      </c>
      <c r="AS1117" s="20" t="n">
        <f aca="false">Operations!AS1115+Operations!AS1116</f>
        <v>221.059232876712</v>
      </c>
      <c r="AT1117" s="20" t="n">
        <f aca="false">Operations!AT1115+Operations!AT1116</f>
        <v>217.459232876712</v>
      </c>
      <c r="AU1117" s="20" t="n">
        <f aca="false">Operations!AU1115+Operations!AU1116</f>
        <v>213.859232876712</v>
      </c>
    </row>
    <row r="1118" customFormat="false" ht="15" hidden="false" customHeight="false" outlineLevel="0" collapsed="false">
      <c r="D1118" s="0" t="s">
        <v>723</v>
      </c>
      <c r="E1118" s="0" t="s">
        <v>176</v>
      </c>
      <c r="J1118" s="20" t="n">
        <f aca="false">(Operations!J1114+Operations!J1117)/2</f>
        <v>324</v>
      </c>
      <c r="K1118" s="20" t="n">
        <f aca="false">(Operations!K1114+Operations!K1117)/2</f>
        <v>324</v>
      </c>
      <c r="L1118" s="20" t="n">
        <f aca="false">(Operations!L1114+Operations!L1117)/2</f>
        <v>321.576657534247</v>
      </c>
      <c r="M1118" s="20" t="n">
        <f aca="false">(Operations!M1114+Operations!M1117)/2</f>
        <v>316.519150684932</v>
      </c>
      <c r="N1118" s="20" t="n">
        <f aca="false">(Operations!N1114+Operations!N1117)/2</f>
        <v>311.45498630137</v>
      </c>
      <c r="O1118" s="20" t="n">
        <f aca="false">(Operations!O1114+Operations!O1117)/2</f>
        <v>306.59498630137</v>
      </c>
      <c r="P1118" s="20" t="n">
        <f aca="false">(Operations!P1114+Operations!P1117)/2</f>
        <v>310.728328767123</v>
      </c>
      <c r="Q1118" s="20" t="n">
        <f aca="false">(Operations!Q1114+Operations!Q1117)/2</f>
        <v>314.681671232877</v>
      </c>
      <c r="R1118" s="20" t="n">
        <f aca="false">(Operations!R1114+Operations!R1117)/2</f>
        <v>309.506671232877</v>
      </c>
      <c r="S1118" s="20" t="n">
        <f aca="false">(Operations!S1114+Operations!S1117)/2</f>
        <v>304.376671232877</v>
      </c>
      <c r="T1118" s="20" t="n">
        <f aca="false">(Operations!T1114+Operations!T1117)/2</f>
        <v>308.239643835616</v>
      </c>
      <c r="U1118" s="20" t="n">
        <f aca="false">(Operations!U1114+Operations!U1117)/2</f>
        <v>311.922616438356</v>
      </c>
      <c r="V1118" s="20" t="n">
        <f aca="false">(Operations!V1114+Operations!V1117)/2</f>
        <v>307.087890410959</v>
      </c>
      <c r="W1118" s="20" t="n">
        <f aca="false">(Operations!W1114+Operations!W1117)/2</f>
        <v>303.108164383562</v>
      </c>
      <c r="X1118" s="20" t="n">
        <f aca="false">(Operations!X1114+Operations!X1117)/2</f>
        <v>299.32298630137</v>
      </c>
      <c r="Y1118" s="20" t="n">
        <f aca="false">(Operations!Y1114+Operations!Y1117)/2</f>
        <v>295.537808219178</v>
      </c>
      <c r="Z1118" s="20" t="n">
        <f aca="false">(Operations!Z1114+Operations!Z1117)/2</f>
        <v>291.758054794521</v>
      </c>
      <c r="AA1118" s="20" t="n">
        <f aca="false">(Operations!AA1114+Operations!AA1117)/2</f>
        <v>288.023301369863</v>
      </c>
      <c r="AB1118" s="20" t="n">
        <f aca="false">(Operations!AB1114+Operations!AB1117)/2</f>
        <v>284.328246575343</v>
      </c>
      <c r="AC1118" s="20" t="n">
        <f aca="false">(Operations!AC1114+Operations!AC1117)/2</f>
        <v>280.633191780822</v>
      </c>
      <c r="AD1118" s="20" t="n">
        <f aca="false">(Operations!AD1114+Operations!AD1117)/2</f>
        <v>276.943438356164</v>
      </c>
      <c r="AE1118" s="20" t="n">
        <f aca="false">(Operations!AE1114+Operations!AE1117)/2</f>
        <v>273.298684931507</v>
      </c>
      <c r="AF1118" s="20" t="n">
        <f aca="false">(Operations!AF1114+Operations!AF1117)/2</f>
        <v>269.693753424658</v>
      </c>
      <c r="AG1118" s="20" t="n">
        <f aca="false">(Operations!AG1114+Operations!AG1117)/2</f>
        <v>266.088821917808</v>
      </c>
      <c r="AH1118" s="20" t="n">
        <f aca="false">(Operations!AH1114+Operations!AH1117)/2</f>
        <v>262.488821917808</v>
      </c>
      <c r="AI1118" s="20" t="n">
        <f aca="false">(Operations!AI1114+Operations!AI1117)/2</f>
        <v>258.888821917808</v>
      </c>
      <c r="AJ1118" s="20" t="n">
        <f aca="false">(Operations!AJ1114+Operations!AJ1117)/2</f>
        <v>255.283890410959</v>
      </c>
      <c r="AK1118" s="20" t="n">
        <f aca="false">(Operations!AK1114+Operations!AK1117)/2</f>
        <v>251.67895890411</v>
      </c>
      <c r="AL1118" s="20" t="n">
        <f aca="false">(Operations!AL1114+Operations!AL1117)/2</f>
        <v>248.07895890411</v>
      </c>
      <c r="AM1118" s="20" t="n">
        <f aca="false">(Operations!AM1114+Operations!AM1117)/2</f>
        <v>244.47895890411</v>
      </c>
      <c r="AN1118" s="20" t="n">
        <f aca="false">(Operations!AN1114+Operations!AN1117)/2</f>
        <v>240.87402739726</v>
      </c>
      <c r="AO1118" s="20" t="n">
        <f aca="false">(Operations!AO1114+Operations!AO1117)/2</f>
        <v>237.269095890411</v>
      </c>
      <c r="AP1118" s="20" t="n">
        <f aca="false">(Operations!AP1114+Operations!AP1117)/2</f>
        <v>233.669095890411</v>
      </c>
      <c r="AQ1118" s="20" t="n">
        <f aca="false">(Operations!AQ1114+Operations!AQ1117)/2</f>
        <v>230.069095890411</v>
      </c>
      <c r="AR1118" s="20" t="n">
        <f aca="false">(Operations!AR1114+Operations!AR1117)/2</f>
        <v>226.464164383562</v>
      </c>
      <c r="AS1118" s="20" t="n">
        <f aca="false">(Operations!AS1114+Operations!AS1117)/2</f>
        <v>222.859232876712</v>
      </c>
      <c r="AT1118" s="20" t="n">
        <f aca="false">(Operations!AT1114+Operations!AT1117)/2</f>
        <v>219.259232876712</v>
      </c>
      <c r="AU1118" s="20" t="n">
        <f aca="false">(Operations!AU1114+Operations!AU1117)/2</f>
        <v>215.659232876712</v>
      </c>
    </row>
    <row r="1119" customFormat="false" ht="15" hidden="false" customHeight="false" outlineLevel="0" collapsed="false">
      <c r="D1119" s="0" t="s">
        <v>724</v>
      </c>
      <c r="E1119" s="0" t="s">
        <v>27</v>
      </c>
      <c r="J1119" s="14" t="n">
        <f aca="false">MIN(1,Operations!J1118/Inputs!$F$162)</f>
        <v>1</v>
      </c>
      <c r="K1119" s="14" t="n">
        <f aca="false">MIN(1,Operations!K1118/Inputs!$F$162)</f>
        <v>1</v>
      </c>
      <c r="L1119" s="14" t="n">
        <f aca="false">MIN(1,Operations!L1118/Inputs!$F$162)</f>
        <v>1</v>
      </c>
      <c r="M1119" s="14" t="n">
        <f aca="false">MIN(1,Operations!M1118/Inputs!$F$162)</f>
        <v>1</v>
      </c>
      <c r="N1119" s="14" t="n">
        <f aca="false">MIN(1,Operations!N1118/Inputs!$F$162)</f>
        <v>1</v>
      </c>
      <c r="O1119" s="14" t="n">
        <f aca="false">MIN(1,Operations!O1118/Inputs!$F$162)</f>
        <v>1</v>
      </c>
      <c r="P1119" s="14" t="n">
        <f aca="false">MIN(1,Operations!P1118/Inputs!$F$162)</f>
        <v>1</v>
      </c>
      <c r="Q1119" s="14" t="n">
        <f aca="false">MIN(1,Operations!Q1118/Inputs!$F$162)</f>
        <v>1</v>
      </c>
      <c r="R1119" s="14" t="n">
        <f aca="false">MIN(1,Operations!R1118/Inputs!$F$162)</f>
        <v>1</v>
      </c>
      <c r="S1119" s="14" t="n">
        <f aca="false">MIN(1,Operations!S1118/Inputs!$F$162)</f>
        <v>1</v>
      </c>
      <c r="T1119" s="14" t="n">
        <f aca="false">MIN(1,Operations!T1118/Inputs!$F$162)</f>
        <v>1</v>
      </c>
      <c r="U1119" s="14" t="n">
        <f aca="false">MIN(1,Operations!U1118/Inputs!$F$162)</f>
        <v>1</v>
      </c>
      <c r="V1119" s="14" t="n">
        <f aca="false">MIN(1,Operations!V1118/Inputs!$F$162)</f>
        <v>1</v>
      </c>
      <c r="W1119" s="14" t="n">
        <f aca="false">MIN(1,Operations!W1118/Inputs!$F$162)</f>
        <v>1</v>
      </c>
      <c r="X1119" s="14" t="n">
        <f aca="false">MIN(1,Operations!X1118/Inputs!$F$162)</f>
        <v>0.997743287671233</v>
      </c>
      <c r="Y1119" s="14" t="n">
        <f aca="false">MIN(1,Operations!Y1118/Inputs!$F$162)</f>
        <v>0.98512602739726</v>
      </c>
      <c r="Z1119" s="14" t="n">
        <f aca="false">MIN(1,Operations!Z1118/Inputs!$F$162)</f>
        <v>0.972526849315069</v>
      </c>
      <c r="AA1119" s="14" t="n">
        <f aca="false">MIN(1,Operations!AA1118/Inputs!$F$162)</f>
        <v>0.960077671232877</v>
      </c>
      <c r="AB1119" s="14" t="n">
        <f aca="false">MIN(1,Operations!AB1118/Inputs!$F$162)</f>
        <v>0.947760821917808</v>
      </c>
      <c r="AC1119" s="14" t="n">
        <f aca="false">MIN(1,Operations!AC1118/Inputs!$F$162)</f>
        <v>0.93544397260274</v>
      </c>
      <c r="AD1119" s="14" t="n">
        <f aca="false">MIN(1,Operations!AD1118/Inputs!$F$162)</f>
        <v>0.923144794520548</v>
      </c>
      <c r="AE1119" s="14" t="n">
        <f aca="false">MIN(1,Operations!AE1118/Inputs!$F$162)</f>
        <v>0.910995616438356</v>
      </c>
      <c r="AF1119" s="14" t="n">
        <f aca="false">MIN(1,Operations!AF1118/Inputs!$F$162)</f>
        <v>0.898979178082192</v>
      </c>
      <c r="AG1119" s="14" t="n">
        <f aca="false">MIN(1,Operations!AG1118/Inputs!$F$162)</f>
        <v>0.886962739726027</v>
      </c>
      <c r="AH1119" s="14" t="n">
        <f aca="false">MIN(1,Operations!AH1118/Inputs!$F$162)</f>
        <v>0.874962739726027</v>
      </c>
      <c r="AI1119" s="14" t="n">
        <f aca="false">MIN(1,Operations!AI1118/Inputs!$F$162)</f>
        <v>0.862962739726027</v>
      </c>
      <c r="AJ1119" s="14" t="n">
        <f aca="false">MIN(1,Operations!AJ1118/Inputs!$F$162)</f>
        <v>0.850946301369863</v>
      </c>
      <c r="AK1119" s="14" t="n">
        <f aca="false">MIN(1,Operations!AK1118/Inputs!$F$162)</f>
        <v>0.838929863013699</v>
      </c>
      <c r="AL1119" s="14" t="n">
        <f aca="false">MIN(1,Operations!AL1118/Inputs!$F$162)</f>
        <v>0.826929863013699</v>
      </c>
      <c r="AM1119" s="14" t="n">
        <f aca="false">MIN(1,Operations!AM1118/Inputs!$F$162)</f>
        <v>0.814929863013699</v>
      </c>
      <c r="AN1119" s="14" t="n">
        <f aca="false">MIN(1,Operations!AN1118/Inputs!$F$162)</f>
        <v>0.802913424657534</v>
      </c>
      <c r="AO1119" s="14" t="n">
        <f aca="false">MIN(1,Operations!AO1118/Inputs!$F$162)</f>
        <v>0.79089698630137</v>
      </c>
      <c r="AP1119" s="14" t="n">
        <f aca="false">MIN(1,Operations!AP1118/Inputs!$F$162)</f>
        <v>0.77889698630137</v>
      </c>
      <c r="AQ1119" s="14" t="n">
        <f aca="false">MIN(1,Operations!AQ1118/Inputs!$F$162)</f>
        <v>0.76689698630137</v>
      </c>
      <c r="AR1119" s="14" t="n">
        <f aca="false">MIN(1,Operations!AR1118/Inputs!$F$162)</f>
        <v>0.754880547945205</v>
      </c>
      <c r="AS1119" s="14" t="n">
        <f aca="false">MIN(1,Operations!AS1118/Inputs!$F$162)</f>
        <v>0.742864109589041</v>
      </c>
      <c r="AT1119" s="14" t="n">
        <f aca="false">MIN(1,Operations!AT1118/Inputs!$F$162)</f>
        <v>0.730864109589041</v>
      </c>
      <c r="AU1119" s="14" t="n">
        <f aca="false">MIN(1,Operations!AU1118/Inputs!$F$162)</f>
        <v>0.718864109589041</v>
      </c>
    </row>
    <row r="1120" customFormat="false" ht="15" hidden="false" customHeight="false" outlineLevel="0" collapsed="false">
      <c r="D1120" s="0" t="s">
        <v>725</v>
      </c>
      <c r="E1120" s="0" t="s">
        <v>176</v>
      </c>
      <c r="J1120" s="20" t="n">
        <f aca="false">IF(OR(Time!J$4=YEAR(Inputs!$F$157)+Inputs!$F$164,Time!J$4=YEAR(Inputs!$F$157)+Inputs!$F$165),Inputs!$F$166/100*Inputs!$F$162,0)</f>
        <v>0</v>
      </c>
      <c r="K1120" s="20" t="n">
        <f aca="false">IF(OR(Time!K$4=YEAR(Inputs!$F$157)+Inputs!$F$164,Time!K$4=YEAR(Inputs!$F$157)+Inputs!$F$165),Inputs!$F$166/100*Inputs!$F$162,0)</f>
        <v>0</v>
      </c>
      <c r="L1120" s="20" t="n">
        <f aca="false">IF(OR(Time!L$4=YEAR(Inputs!$F$157)+Inputs!$F$164,Time!L$4=YEAR(Inputs!$F$157)+Inputs!$F$165),Inputs!$F$166/100*Inputs!$F$162,0)</f>
        <v>0</v>
      </c>
      <c r="M1120" s="20" t="n">
        <f aca="false">IF(OR(Time!M$4=YEAR(Inputs!$F$157)+Inputs!$F$164,Time!M$4=YEAR(Inputs!$F$157)+Inputs!$F$165),Inputs!$F$166/100*Inputs!$F$162,0)</f>
        <v>0</v>
      </c>
      <c r="N1120" s="20" t="n">
        <f aca="false">IF(OR(Time!N$4=YEAR(Inputs!$F$157)+Inputs!$F$164,Time!N$4=YEAR(Inputs!$F$157)+Inputs!$F$165),Inputs!$F$166/100*Inputs!$F$162,0)</f>
        <v>0</v>
      </c>
      <c r="O1120" s="20" t="n">
        <f aca="false">IF(OR(Time!O$4=YEAR(Inputs!$F$157)+Inputs!$F$164,Time!O$4=YEAR(Inputs!$F$157)+Inputs!$F$165),Inputs!$F$166/100*Inputs!$F$162,0)</f>
        <v>0</v>
      </c>
      <c r="P1120" s="20" t="n">
        <f aca="false">IF(OR(Time!P$4=YEAR(Inputs!$F$157)+Inputs!$F$164,Time!P$4=YEAR(Inputs!$F$157)+Inputs!$F$165),Inputs!$F$166/100*Inputs!$F$162,0)</f>
        <v>0</v>
      </c>
      <c r="Q1120" s="20" t="n">
        <f aca="false">IF(OR(Time!Q$4=YEAR(Inputs!$F$157)+Inputs!$F$164,Time!Q$4=YEAR(Inputs!$F$157)+Inputs!$F$165),Inputs!$F$166/100*Inputs!$F$162,0)</f>
        <v>18</v>
      </c>
      <c r="R1120" s="20" t="n">
        <f aca="false">IF(OR(Time!R$4=YEAR(Inputs!$F$157)+Inputs!$F$164,Time!R$4=YEAR(Inputs!$F$157)+Inputs!$F$165),Inputs!$F$166/100*Inputs!$F$162,0)</f>
        <v>0</v>
      </c>
      <c r="S1120" s="20" t="n">
        <f aca="false">IF(OR(Time!S$4=YEAR(Inputs!$F$157)+Inputs!$F$164,Time!S$4=YEAR(Inputs!$F$157)+Inputs!$F$165),Inputs!$F$166/100*Inputs!$F$162,0)</f>
        <v>0</v>
      </c>
      <c r="T1120" s="20" t="n">
        <f aca="false">IF(OR(Time!T$4=YEAR(Inputs!$F$157)+Inputs!$F$164,Time!T$4=YEAR(Inputs!$F$157)+Inputs!$F$165),Inputs!$F$166/100*Inputs!$F$162,0)</f>
        <v>0</v>
      </c>
      <c r="U1120" s="20" t="n">
        <f aca="false">IF(OR(Time!U$4=YEAR(Inputs!$F$157)+Inputs!$F$164,Time!U$4=YEAR(Inputs!$F$157)+Inputs!$F$165),Inputs!$F$166/100*Inputs!$F$162,0)</f>
        <v>18</v>
      </c>
      <c r="V1120" s="20" t="n">
        <f aca="false">IF(OR(Time!V$4=YEAR(Inputs!$F$157)+Inputs!$F$164,Time!V$4=YEAR(Inputs!$F$157)+Inputs!$F$165),Inputs!$F$166/100*Inputs!$F$162,0)</f>
        <v>0</v>
      </c>
      <c r="W1120" s="20" t="n">
        <f aca="false">IF(OR(Time!W$4=YEAR(Inputs!$F$157)+Inputs!$F$164,Time!W$4=YEAR(Inputs!$F$157)+Inputs!$F$165),Inputs!$F$166/100*Inputs!$F$162,0)</f>
        <v>0</v>
      </c>
      <c r="X1120" s="20" t="n">
        <f aca="false">IF(OR(Time!X$4=YEAR(Inputs!$F$157)+Inputs!$F$164,Time!X$4=YEAR(Inputs!$F$157)+Inputs!$F$165),Inputs!$F$166/100*Inputs!$F$162,0)</f>
        <v>0</v>
      </c>
      <c r="Y1120" s="20" t="n">
        <f aca="false">IF(OR(Time!Y$4=YEAR(Inputs!$F$157)+Inputs!$F$164,Time!Y$4=YEAR(Inputs!$F$157)+Inputs!$F$165),Inputs!$F$166/100*Inputs!$F$162,0)</f>
        <v>0</v>
      </c>
      <c r="Z1120" s="20" t="n">
        <f aca="false">IF(OR(Time!Z$4=YEAR(Inputs!$F$157)+Inputs!$F$164,Time!Z$4=YEAR(Inputs!$F$157)+Inputs!$F$165),Inputs!$F$166/100*Inputs!$F$162,0)</f>
        <v>0</v>
      </c>
      <c r="AA1120" s="20" t="n">
        <f aca="false">IF(OR(Time!AA$4=YEAR(Inputs!$F$157)+Inputs!$F$164,Time!AA$4=YEAR(Inputs!$F$157)+Inputs!$F$165),Inputs!$F$166/100*Inputs!$F$162,0)</f>
        <v>0</v>
      </c>
      <c r="AB1120" s="20" t="n">
        <f aca="false">IF(OR(Time!AB$4=YEAR(Inputs!$F$157)+Inputs!$F$164,Time!AB$4=YEAR(Inputs!$F$157)+Inputs!$F$165),Inputs!$F$166/100*Inputs!$F$162,0)</f>
        <v>0</v>
      </c>
      <c r="AC1120" s="20" t="n">
        <f aca="false">IF(OR(Time!AC$4=YEAR(Inputs!$F$157)+Inputs!$F$164,Time!AC$4=YEAR(Inputs!$F$157)+Inputs!$F$165),Inputs!$F$166/100*Inputs!$F$162,0)</f>
        <v>0</v>
      </c>
      <c r="AD1120" s="20" t="n">
        <f aca="false">IF(OR(Time!AD$4=YEAR(Inputs!$F$157)+Inputs!$F$164,Time!AD$4=YEAR(Inputs!$F$157)+Inputs!$F$165),Inputs!$F$166/100*Inputs!$F$162,0)</f>
        <v>0</v>
      </c>
      <c r="AE1120" s="20" t="n">
        <f aca="false">IF(OR(Time!AE$4=YEAR(Inputs!$F$157)+Inputs!$F$164,Time!AE$4=YEAR(Inputs!$F$157)+Inputs!$F$165),Inputs!$F$166/100*Inputs!$F$162,0)</f>
        <v>0</v>
      </c>
      <c r="AF1120" s="20" t="n">
        <f aca="false">IF(OR(Time!AF$4=YEAR(Inputs!$F$157)+Inputs!$F$164,Time!AF$4=YEAR(Inputs!$F$157)+Inputs!$F$165),Inputs!$F$166/100*Inputs!$F$162,0)</f>
        <v>0</v>
      </c>
      <c r="AG1120" s="20" t="n">
        <f aca="false">IF(OR(Time!AG$4=YEAR(Inputs!$F$157)+Inputs!$F$164,Time!AG$4=YEAR(Inputs!$F$157)+Inputs!$F$165),Inputs!$F$166/100*Inputs!$F$162,0)</f>
        <v>0</v>
      </c>
      <c r="AH1120" s="20" t="n">
        <f aca="false">IF(OR(Time!AH$4=YEAR(Inputs!$F$157)+Inputs!$F$164,Time!AH$4=YEAR(Inputs!$F$157)+Inputs!$F$165),Inputs!$F$166/100*Inputs!$F$162,0)</f>
        <v>0</v>
      </c>
      <c r="AI1120" s="20" t="n">
        <f aca="false">IF(OR(Time!AI$4=YEAR(Inputs!$F$157)+Inputs!$F$164,Time!AI$4=YEAR(Inputs!$F$157)+Inputs!$F$165),Inputs!$F$166/100*Inputs!$F$162,0)</f>
        <v>0</v>
      </c>
      <c r="AJ1120" s="20" t="n">
        <f aca="false">IF(OR(Time!AJ$4=YEAR(Inputs!$F$157)+Inputs!$F$164,Time!AJ$4=YEAR(Inputs!$F$157)+Inputs!$F$165),Inputs!$F$166/100*Inputs!$F$162,0)</f>
        <v>0</v>
      </c>
      <c r="AK1120" s="20" t="n">
        <f aca="false">IF(OR(Time!AK$4=YEAR(Inputs!$F$157)+Inputs!$F$164,Time!AK$4=YEAR(Inputs!$F$157)+Inputs!$F$165),Inputs!$F$166/100*Inputs!$F$162,0)</f>
        <v>0</v>
      </c>
      <c r="AL1120" s="20" t="n">
        <f aca="false">IF(OR(Time!AL$4=YEAR(Inputs!$F$157)+Inputs!$F$164,Time!AL$4=YEAR(Inputs!$F$157)+Inputs!$F$165),Inputs!$F$166/100*Inputs!$F$162,0)</f>
        <v>0</v>
      </c>
      <c r="AM1120" s="20" t="n">
        <f aca="false">IF(OR(Time!AM$4=YEAR(Inputs!$F$157)+Inputs!$F$164,Time!AM$4=YEAR(Inputs!$F$157)+Inputs!$F$165),Inputs!$F$166/100*Inputs!$F$162,0)</f>
        <v>0</v>
      </c>
      <c r="AN1120" s="20" t="n">
        <f aca="false">IF(OR(Time!AN$4=YEAR(Inputs!$F$157)+Inputs!$F$164,Time!AN$4=YEAR(Inputs!$F$157)+Inputs!$F$165),Inputs!$F$166/100*Inputs!$F$162,0)</f>
        <v>0</v>
      </c>
      <c r="AO1120" s="20" t="n">
        <f aca="false">IF(OR(Time!AO$4=YEAR(Inputs!$F$157)+Inputs!$F$164,Time!AO$4=YEAR(Inputs!$F$157)+Inputs!$F$165),Inputs!$F$166/100*Inputs!$F$162,0)</f>
        <v>0</v>
      </c>
      <c r="AP1120" s="20" t="n">
        <f aca="false">IF(OR(Time!AP$4=YEAR(Inputs!$F$157)+Inputs!$F$164,Time!AP$4=YEAR(Inputs!$F$157)+Inputs!$F$165),Inputs!$F$166/100*Inputs!$F$162,0)</f>
        <v>0</v>
      </c>
      <c r="AQ1120" s="20" t="n">
        <f aca="false">IF(OR(Time!AQ$4=YEAR(Inputs!$F$157)+Inputs!$F$164,Time!AQ$4=YEAR(Inputs!$F$157)+Inputs!$F$165),Inputs!$F$166/100*Inputs!$F$162,0)</f>
        <v>0</v>
      </c>
      <c r="AR1120" s="20" t="n">
        <f aca="false">IF(OR(Time!AR$4=YEAR(Inputs!$F$157)+Inputs!$F$164,Time!AR$4=YEAR(Inputs!$F$157)+Inputs!$F$165),Inputs!$F$166/100*Inputs!$F$162,0)</f>
        <v>0</v>
      </c>
      <c r="AS1120" s="20" t="n">
        <f aca="false">IF(OR(Time!AS$4=YEAR(Inputs!$F$157)+Inputs!$F$164,Time!AS$4=YEAR(Inputs!$F$157)+Inputs!$F$165),Inputs!$F$166/100*Inputs!$F$162,0)</f>
        <v>0</v>
      </c>
      <c r="AT1120" s="20" t="n">
        <f aca="false">IF(OR(Time!AT$4=YEAR(Inputs!$F$157)+Inputs!$F$164,Time!AT$4=YEAR(Inputs!$F$157)+Inputs!$F$165),Inputs!$F$166/100*Inputs!$F$162,0)</f>
        <v>0</v>
      </c>
      <c r="AU1120" s="20" t="n">
        <f aca="false">IF(OR(Time!AU$4=YEAR(Inputs!$F$157)+Inputs!$F$164,Time!AU$4=YEAR(Inputs!$F$157)+Inputs!$F$165),Inputs!$F$166/100*Inputs!$F$162,0)</f>
        <v>0</v>
      </c>
    </row>
    <row r="1121" customFormat="false" ht="15" hidden="false" customHeight="false" outlineLevel="0" collapsed="false">
      <c r="D1121" s="0" t="s">
        <v>726</v>
      </c>
      <c r="E1121" s="0" t="s">
        <v>458</v>
      </c>
      <c r="J1121" s="14" t="n">
        <f aca="false">MAX(0,MIN(Inputs!$F$223,Time!J$6)-MAX(Inputs!$F$222,Time!J$5))/Time!J$7</f>
        <v>0</v>
      </c>
      <c r="K1121" s="14" t="n">
        <f aca="false">MAX(0,MIN(Inputs!$F$223,Time!K$6)-MAX(Inputs!$F$222,Time!K$5))/Time!K$7</f>
        <v>0</v>
      </c>
      <c r="L1121" s="14" t="n">
        <f aca="false">MAX(0,MIN(Inputs!$F$223,Time!L$6)-MAX(Inputs!$F$222,Time!L$5))/Time!L$7</f>
        <v>0.745901639344262</v>
      </c>
      <c r="M1121" s="14" t="n">
        <f aca="false">MAX(0,MIN(Inputs!$F$223,Time!M$6)-MAX(Inputs!$F$222,Time!M$5))/Time!M$7</f>
        <v>1</v>
      </c>
      <c r="N1121" s="14" t="n">
        <f aca="false">MAX(0,MIN(Inputs!$F$223,Time!N$6)-MAX(Inputs!$F$222,Time!N$5))/Time!N$7</f>
        <v>1</v>
      </c>
      <c r="O1121" s="14" t="n">
        <f aca="false">MAX(0,MIN(Inputs!$F$223,Time!O$6)-MAX(Inputs!$F$222,Time!O$5))/Time!O$7</f>
        <v>1</v>
      </c>
      <c r="P1121" s="14" t="n">
        <f aca="false">MAX(0,MIN(Inputs!$F$223,Time!P$6)-MAX(Inputs!$F$222,Time!P$5))/Time!P$7</f>
        <v>1</v>
      </c>
      <c r="Q1121" s="14" t="n">
        <f aca="false">MAX(0,MIN(Inputs!$F$223,Time!Q$6)-MAX(Inputs!$F$222,Time!Q$5))/Time!Q$7</f>
        <v>1</v>
      </c>
      <c r="R1121" s="14" t="n">
        <f aca="false">MAX(0,MIN(Inputs!$F$223,Time!R$6)-MAX(Inputs!$F$222,Time!R$5))/Time!R$7</f>
        <v>1</v>
      </c>
      <c r="S1121" s="14" t="n">
        <f aca="false">MAX(0,MIN(Inputs!$F$223,Time!S$6)-MAX(Inputs!$F$222,Time!S$5))/Time!S$7</f>
        <v>1</v>
      </c>
      <c r="T1121" s="14" t="n">
        <f aca="false">MAX(0,MIN(Inputs!$F$223,Time!T$6)-MAX(Inputs!$F$222,Time!T$5))/Time!T$7</f>
        <v>0.251366120218579</v>
      </c>
      <c r="U1121" s="14" t="n">
        <f aca="false">MAX(0,MIN(Inputs!$F$223,Time!U$6)-MAX(Inputs!$F$222,Time!U$5))/Time!U$7</f>
        <v>0</v>
      </c>
      <c r="V1121" s="14" t="n">
        <f aca="false">MAX(0,MIN(Inputs!$F$223,Time!V$6)-MAX(Inputs!$F$222,Time!V$5))/Time!V$7</f>
        <v>0</v>
      </c>
      <c r="W1121" s="14" t="n">
        <f aca="false">MAX(0,MIN(Inputs!$F$223,Time!W$6)-MAX(Inputs!$F$222,Time!W$5))/Time!W$7</f>
        <v>0</v>
      </c>
      <c r="X1121" s="14" t="n">
        <f aca="false">MAX(0,MIN(Inputs!$F$223,Time!X$6)-MAX(Inputs!$F$222,Time!X$5))/Time!X$7</f>
        <v>0</v>
      </c>
      <c r="Y1121" s="14" t="n">
        <f aca="false">MAX(0,MIN(Inputs!$F$223,Time!Y$6)-MAX(Inputs!$F$222,Time!Y$5))/Time!Y$7</f>
        <v>0</v>
      </c>
      <c r="Z1121" s="14" t="n">
        <f aca="false">MAX(0,MIN(Inputs!$F$223,Time!Z$6)-MAX(Inputs!$F$222,Time!Z$5))/Time!Z$7</f>
        <v>0</v>
      </c>
      <c r="AA1121" s="14" t="n">
        <f aca="false">MAX(0,MIN(Inputs!$F$223,Time!AA$6)-MAX(Inputs!$F$222,Time!AA$5))/Time!AA$7</f>
        <v>0</v>
      </c>
      <c r="AB1121" s="14" t="n">
        <f aca="false">MAX(0,MIN(Inputs!$F$223,Time!AB$6)-MAX(Inputs!$F$222,Time!AB$5))/Time!AB$7</f>
        <v>0</v>
      </c>
      <c r="AC1121" s="14" t="n">
        <f aca="false">MAX(0,MIN(Inputs!$F$223,Time!AC$6)-MAX(Inputs!$F$222,Time!AC$5))/Time!AC$7</f>
        <v>0</v>
      </c>
      <c r="AD1121" s="14" t="n">
        <f aca="false">MAX(0,MIN(Inputs!$F$223,Time!AD$6)-MAX(Inputs!$F$222,Time!AD$5))/Time!AD$7</f>
        <v>0</v>
      </c>
      <c r="AE1121" s="14" t="n">
        <f aca="false">MAX(0,MIN(Inputs!$F$223,Time!AE$6)-MAX(Inputs!$F$222,Time!AE$5))/Time!AE$7</f>
        <v>0</v>
      </c>
      <c r="AF1121" s="14" t="n">
        <f aca="false">MAX(0,MIN(Inputs!$F$223,Time!AF$6)-MAX(Inputs!$F$222,Time!AF$5))/Time!AF$7</f>
        <v>0</v>
      </c>
      <c r="AG1121" s="14" t="n">
        <f aca="false">MAX(0,MIN(Inputs!$F$223,Time!AG$6)-MAX(Inputs!$F$222,Time!AG$5))/Time!AG$7</f>
        <v>0</v>
      </c>
      <c r="AH1121" s="14" t="n">
        <f aca="false">MAX(0,MIN(Inputs!$F$223,Time!AH$6)-MAX(Inputs!$F$222,Time!AH$5))/Time!AH$7</f>
        <v>0</v>
      </c>
      <c r="AI1121" s="14" t="n">
        <f aca="false">MAX(0,MIN(Inputs!$F$223,Time!AI$6)-MAX(Inputs!$F$222,Time!AI$5))/Time!AI$7</f>
        <v>0</v>
      </c>
      <c r="AJ1121" s="14" t="n">
        <f aca="false">MAX(0,MIN(Inputs!$F$223,Time!AJ$6)-MAX(Inputs!$F$222,Time!AJ$5))/Time!AJ$7</f>
        <v>0</v>
      </c>
      <c r="AK1121" s="14" t="n">
        <f aca="false">MAX(0,MIN(Inputs!$F$223,Time!AK$6)-MAX(Inputs!$F$222,Time!AK$5))/Time!AK$7</f>
        <v>0</v>
      </c>
      <c r="AL1121" s="14" t="n">
        <f aca="false">MAX(0,MIN(Inputs!$F$223,Time!AL$6)-MAX(Inputs!$F$222,Time!AL$5))/Time!AL$7</f>
        <v>0</v>
      </c>
      <c r="AM1121" s="14" t="n">
        <f aca="false">MAX(0,MIN(Inputs!$F$223,Time!AM$6)-MAX(Inputs!$F$222,Time!AM$5))/Time!AM$7</f>
        <v>0</v>
      </c>
      <c r="AN1121" s="14" t="n">
        <f aca="false">MAX(0,MIN(Inputs!$F$223,Time!AN$6)-MAX(Inputs!$F$222,Time!AN$5))/Time!AN$7</f>
        <v>0</v>
      </c>
      <c r="AO1121" s="14" t="n">
        <f aca="false">MAX(0,MIN(Inputs!$F$223,Time!AO$6)-MAX(Inputs!$F$222,Time!AO$5))/Time!AO$7</f>
        <v>0</v>
      </c>
      <c r="AP1121" s="14" t="n">
        <f aca="false">MAX(0,MIN(Inputs!$F$223,Time!AP$6)-MAX(Inputs!$F$222,Time!AP$5))/Time!AP$7</f>
        <v>0</v>
      </c>
      <c r="AQ1121" s="14" t="n">
        <f aca="false">MAX(0,MIN(Inputs!$F$223,Time!AQ$6)-MAX(Inputs!$F$222,Time!AQ$5))/Time!AQ$7</f>
        <v>0</v>
      </c>
      <c r="AR1121" s="14" t="n">
        <f aca="false">MAX(0,MIN(Inputs!$F$223,Time!AR$6)-MAX(Inputs!$F$222,Time!AR$5))/Time!AR$7</f>
        <v>0</v>
      </c>
      <c r="AS1121" s="14" t="n">
        <f aca="false">MAX(0,MIN(Inputs!$F$223,Time!AS$6)-MAX(Inputs!$F$222,Time!AS$5))/Time!AS$7</f>
        <v>0</v>
      </c>
      <c r="AT1121" s="14" t="n">
        <f aca="false">MAX(0,MIN(Inputs!$F$223,Time!AT$6)-MAX(Inputs!$F$222,Time!AT$5))/Time!AT$7</f>
        <v>0</v>
      </c>
      <c r="AU1121" s="14" t="n">
        <f aca="false">MAX(0,MIN(Inputs!$F$223,Time!AU$6)-MAX(Inputs!$F$222,Time!AU$5))/Time!AU$7</f>
        <v>0</v>
      </c>
    </row>
    <row r="1122" customFormat="false" ht="15" hidden="false" customHeight="false" outlineLevel="0" collapsed="false">
      <c r="D1122" s="0" t="s">
        <v>727</v>
      </c>
      <c r="E1122" s="0" t="s">
        <v>100</v>
      </c>
      <c r="J1122" s="18" t="n">
        <f aca="false">Operations!J846*Inputs!$F$163/100*Operations!J1119</f>
        <v>0</v>
      </c>
      <c r="K1122" s="18" t="n">
        <f aca="false">Operations!K846*Inputs!$F$163/100*Operations!K1119</f>
        <v>138.9375</v>
      </c>
      <c r="L1122" s="18" t="n">
        <f aca="false">Operations!L846*Inputs!$F$163/100*Operations!L1119</f>
        <v>60.255</v>
      </c>
      <c r="M1122" s="18" t="n">
        <f aca="false">Operations!M846*Inputs!$F$163/100*Operations!M1119</f>
        <v>51.09</v>
      </c>
      <c r="N1122" s="18" t="n">
        <f aca="false">Operations!N846*Inputs!$F$163/100*Operations!N1119</f>
        <v>56.4525</v>
      </c>
      <c r="O1122" s="18" t="n">
        <f aca="false">Operations!O846*Inputs!$F$163/100*Operations!O1119</f>
        <v>57.30075</v>
      </c>
      <c r="P1122" s="18" t="n">
        <f aca="false">Operations!P846*Inputs!$F$163/100*Operations!P1119</f>
        <v>58.15875</v>
      </c>
      <c r="Q1122" s="18" t="n">
        <f aca="false">Operations!Q846*Inputs!$F$163/100*Operations!Q1119</f>
        <v>59.0265</v>
      </c>
      <c r="R1122" s="18" t="n">
        <f aca="false">Operations!R846*Inputs!$F$163/100*Operations!R1119</f>
        <v>59.91375</v>
      </c>
      <c r="S1122" s="18" t="n">
        <f aca="false">Operations!S846*Inputs!$F$163/100*Operations!S1119</f>
        <v>60.81075</v>
      </c>
      <c r="T1122" s="18" t="n">
        <f aca="false">Operations!T846*Inputs!$F$163/100*Operations!T1119</f>
        <v>61.72725</v>
      </c>
      <c r="U1122" s="18" t="n">
        <f aca="false">Operations!U846*Inputs!$F$163/100*Operations!U1119</f>
        <v>62.6535</v>
      </c>
      <c r="V1122" s="18" t="n">
        <f aca="false">Operations!V846*Inputs!$F$163/100*Operations!V1119</f>
        <v>63.5895</v>
      </c>
      <c r="W1122" s="18" t="n">
        <f aca="false">Operations!W846*Inputs!$F$163/100*Operations!W1119</f>
        <v>64.545</v>
      </c>
      <c r="X1122" s="18" t="n">
        <f aca="false">Operations!X846*Inputs!$F$163/100*Operations!X1119</f>
        <v>65.3624122111644</v>
      </c>
      <c r="Y1122" s="18" t="n">
        <f aca="false">Operations!Y846*Inputs!$F$163/100*Operations!Y1119</f>
        <v>65.5059551917808</v>
      </c>
      <c r="Z1122" s="18" t="n">
        <f aca="false">Operations!Z846*Inputs!$F$163/100*Operations!Z1119</f>
        <v>65.6353507968493</v>
      </c>
      <c r="AA1122" s="18" t="n">
        <f aca="false">Operations!AA846*Inputs!$F$163/100*Operations!AA1119</f>
        <v>65.7686807513014</v>
      </c>
      <c r="AB1122" s="18" t="n">
        <f aca="false">Operations!AB846*Inputs!$F$163/100*Operations!AB1119</f>
        <v>65.895203605685</v>
      </c>
      <c r="AC1122" s="18" t="n">
        <f aca="false">Operations!AC846*Inputs!$F$163/100*Operations!AC1119</f>
        <v>66.0147488685616</v>
      </c>
      <c r="AD1122" s="18" t="n">
        <f aca="false">Operations!AD846*Inputs!$F$163/100*Operations!AD1119</f>
        <v>66.127861852089</v>
      </c>
      <c r="AE1122" s="18" t="n">
        <f aca="false">Operations!AE846*Inputs!$F$163/100*Operations!AE1119</f>
        <v>66.234619539863</v>
      </c>
      <c r="AF1122" s="18" t="n">
        <f aca="false">Operations!AF846*Inputs!$F$163/100*Operations!AF1119</f>
        <v>66.3426406393151</v>
      </c>
      <c r="AG1122" s="18" t="n">
        <f aca="false">Operations!AG846*Inputs!$F$163/100*Operations!AG1119</f>
        <v>66.4417136108219</v>
      </c>
      <c r="AH1122" s="18" t="n">
        <f aca="false">Operations!AH846*Inputs!$F$163/100*Operations!AH1119</f>
        <v>66.5238545827397</v>
      </c>
      <c r="AI1122" s="18" t="n">
        <f aca="false">Operations!AI846*Inputs!$F$163/100*Operations!AI1119</f>
        <v>66.5959133280822</v>
      </c>
      <c r="AJ1122" s="18" t="n">
        <f aca="false">Operations!AJ846*Inputs!$F$163/100*Operations!AJ1119</f>
        <v>66.6559002057534</v>
      </c>
      <c r="AK1122" s="18" t="n">
        <f aca="false">Operations!AK846*Inputs!$F$163/100*Operations!AK1119</f>
        <v>66.7043620705479</v>
      </c>
      <c r="AL1122" s="18" t="n">
        <f aca="false">Operations!AL846*Inputs!$F$163/100*Operations!AL1119</f>
        <v>66.7338601426027</v>
      </c>
      <c r="AM1122" s="18" t="n">
        <f aca="false">Operations!AM846*Inputs!$F$163/100*Operations!AM1119</f>
        <v>66.7507013469863</v>
      </c>
      <c r="AN1122" s="18" t="n">
        <f aca="false">Operations!AN846*Inputs!$F$163/100*Operations!AN1119</f>
        <v>66.7528170275342</v>
      </c>
      <c r="AO1122" s="18" t="n">
        <f aca="false">Operations!AO846*Inputs!$F$163/100*Operations!AO1119</f>
        <v>66.740830810274</v>
      </c>
      <c r="AP1122" s="18" t="n">
        <f aca="false">Operations!AP846*Inputs!$F$163/100*Operations!AP1119</f>
        <v>66.715447740411</v>
      </c>
      <c r="AQ1122" s="18" t="n">
        <f aca="false">Operations!AQ846*Inputs!$F$163/100*Operations!AQ1119</f>
        <v>66.6745991617808</v>
      </c>
      <c r="AR1122" s="18" t="n">
        <f aca="false">Operations!AR846*Inputs!$F$163/100*Operations!AR1119</f>
        <v>66.6161324346575</v>
      </c>
      <c r="AS1122" s="18" t="n">
        <f aca="false">Operations!AS846*Inputs!$F$163/100*Operations!AS1119</f>
        <v>66.5407526042466</v>
      </c>
      <c r="AT1122" s="18" t="n">
        <f aca="false">Operations!AT846*Inputs!$F$163/100*Operations!AT1119</f>
        <v>66.4492512636986</v>
      </c>
      <c r="AU1122" s="18" t="n">
        <f aca="false">Operations!AU846*Inputs!$F$163/100*Operations!AU1119</f>
        <v>66.3394757732877</v>
      </c>
    </row>
    <row r="1123" customFormat="false" ht="15" hidden="false" customHeight="false" outlineLevel="0" collapsed="false">
      <c r="D1123" s="0" t="s">
        <v>728</v>
      </c>
      <c r="E1123" s="0" t="s">
        <v>100</v>
      </c>
      <c r="J1123" s="18" t="n">
        <f aca="false">Operations!J1122*(Operations!J1108&gt;0)</f>
        <v>0</v>
      </c>
      <c r="K1123" s="18" t="n">
        <f aca="false">Operations!K1122*(Operations!K1108&gt;0)</f>
        <v>0</v>
      </c>
      <c r="L1123" s="18" t="n">
        <f aca="false">Operations!L1122*(Operations!L1108&gt;0)</f>
        <v>60.255</v>
      </c>
      <c r="M1123" s="18" t="n">
        <f aca="false">Operations!M1122*(Operations!M1108&gt;0)</f>
        <v>51.09</v>
      </c>
      <c r="N1123" s="18" t="n">
        <f aca="false">Operations!N1122*(Operations!N1108&gt;0)</f>
        <v>56.4525</v>
      </c>
      <c r="O1123" s="18" t="n">
        <f aca="false">Operations!O1122*(Operations!O1108&gt;0)</f>
        <v>57.30075</v>
      </c>
      <c r="P1123" s="18" t="n">
        <f aca="false">Operations!P1122*(Operations!P1108&gt;0)</f>
        <v>58.15875</v>
      </c>
      <c r="Q1123" s="18" t="n">
        <f aca="false">Operations!Q1122*(Operations!Q1108&gt;0)</f>
        <v>59.0265</v>
      </c>
      <c r="R1123" s="18" t="n">
        <f aca="false">Operations!R1122*(Operations!R1108&gt;0)</f>
        <v>59.91375</v>
      </c>
      <c r="S1123" s="18" t="n">
        <f aca="false">Operations!S1122*(Operations!S1108&gt;0)</f>
        <v>60.81075</v>
      </c>
      <c r="T1123" s="18" t="n">
        <f aca="false">Operations!T1122*(Operations!T1108&gt;0)</f>
        <v>61.72725</v>
      </c>
      <c r="U1123" s="18" t="n">
        <f aca="false">Operations!U1122*(Operations!U1108&gt;0)</f>
        <v>62.6535</v>
      </c>
      <c r="V1123" s="18" t="n">
        <f aca="false">Operations!V1122*(Operations!V1108&gt;0)</f>
        <v>63.5895</v>
      </c>
      <c r="W1123" s="18" t="n">
        <f aca="false">Operations!W1122*(Operations!W1108&gt;0)</f>
        <v>64.545</v>
      </c>
      <c r="X1123" s="18" t="n">
        <f aca="false">Operations!X1122*(Operations!X1108&gt;0)</f>
        <v>65.3624122111644</v>
      </c>
      <c r="Y1123" s="18" t="n">
        <f aca="false">Operations!Y1122*(Operations!Y1108&gt;0)</f>
        <v>65.5059551917808</v>
      </c>
      <c r="Z1123" s="18" t="n">
        <f aca="false">Operations!Z1122*(Operations!Z1108&gt;0)</f>
        <v>65.6353507968493</v>
      </c>
      <c r="AA1123" s="18" t="n">
        <f aca="false">Operations!AA1122*(Operations!AA1108&gt;0)</f>
        <v>65.7686807513014</v>
      </c>
      <c r="AB1123" s="18" t="n">
        <f aca="false">Operations!AB1122*(Operations!AB1108&gt;0)</f>
        <v>65.895203605685</v>
      </c>
      <c r="AC1123" s="18" t="n">
        <f aca="false">Operations!AC1122*(Operations!AC1108&gt;0)</f>
        <v>66.0147488685616</v>
      </c>
      <c r="AD1123" s="18" t="n">
        <f aca="false">Operations!AD1122*(Operations!AD1108&gt;0)</f>
        <v>66.127861852089</v>
      </c>
      <c r="AE1123" s="18" t="n">
        <f aca="false">Operations!AE1122*(Operations!AE1108&gt;0)</f>
        <v>66.234619539863</v>
      </c>
      <c r="AF1123" s="18" t="n">
        <f aca="false">Operations!AF1122*(Operations!AF1108&gt;0)</f>
        <v>66.3426406393151</v>
      </c>
      <c r="AG1123" s="18" t="n">
        <f aca="false">Operations!AG1122*(Operations!AG1108&gt;0)</f>
        <v>0</v>
      </c>
      <c r="AH1123" s="18" t="n">
        <f aca="false">Operations!AH1122*(Operations!AH1108&gt;0)</f>
        <v>0</v>
      </c>
      <c r="AI1123" s="18" t="n">
        <f aca="false">Operations!AI1122*(Operations!AI1108&gt;0)</f>
        <v>0</v>
      </c>
      <c r="AJ1123" s="18" t="n">
        <f aca="false">Operations!AJ1122*(Operations!AJ1108&gt;0)</f>
        <v>0</v>
      </c>
      <c r="AK1123" s="18" t="n">
        <f aca="false">Operations!AK1122*(Operations!AK1108&gt;0)</f>
        <v>0</v>
      </c>
      <c r="AL1123" s="18" t="n">
        <f aca="false">Operations!AL1122*(Operations!AL1108&gt;0)</f>
        <v>0</v>
      </c>
      <c r="AM1123" s="18" t="n">
        <f aca="false">Operations!AM1122*(Operations!AM1108&gt;0)</f>
        <v>0</v>
      </c>
      <c r="AN1123" s="18" t="n">
        <f aca="false">Operations!AN1122*(Operations!AN1108&gt;0)</f>
        <v>0</v>
      </c>
      <c r="AO1123" s="18" t="n">
        <f aca="false">Operations!AO1122*(Operations!AO1108&gt;0)</f>
        <v>0</v>
      </c>
      <c r="AP1123" s="18" t="n">
        <f aca="false">Operations!AP1122*(Operations!AP1108&gt;0)</f>
        <v>0</v>
      </c>
      <c r="AQ1123" s="18" t="n">
        <f aca="false">Operations!AQ1122*(Operations!AQ1108&gt;0)</f>
        <v>0</v>
      </c>
      <c r="AR1123" s="18" t="n">
        <f aca="false">Operations!AR1122*(Operations!AR1108&gt;0)</f>
        <v>0</v>
      </c>
      <c r="AS1123" s="18" t="n">
        <f aca="false">Operations!AS1122*(Operations!AS1108&gt;0)</f>
        <v>0</v>
      </c>
      <c r="AT1123" s="18" t="n">
        <f aca="false">Operations!AT1122*(Operations!AT1108&gt;0)</f>
        <v>0</v>
      </c>
      <c r="AU1123" s="18" t="n">
        <f aca="false">Operations!AU1122*(Operations!AU1108&gt;0)</f>
        <v>0</v>
      </c>
    </row>
    <row r="1124" customFormat="false" ht="15" hidden="false" customHeight="false" outlineLevel="0" collapsed="false">
      <c r="D1124" s="0" t="s">
        <v>729</v>
      </c>
      <c r="E1124" s="0" t="s">
        <v>47</v>
      </c>
      <c r="G1124" s="20" t="n">
        <f aca="false">SUM(J1124:AU1124)</f>
        <v>19.2876557377049</v>
      </c>
      <c r="J1124" s="20" t="n">
        <f aca="false">MAX(0,Inputs!$F$218-Operations!J1122)*Inputs!$F$156/1000*Operations!J1121</f>
        <v>0</v>
      </c>
      <c r="K1124" s="20" t="n">
        <f aca="false">MAX(0,Inputs!$F$218-Operations!K1122)*Inputs!$F$156/1000*Operations!K1121</f>
        <v>0</v>
      </c>
      <c r="L1124" s="20" t="n">
        <f aca="false">MAX(0,Inputs!$F$218-Operations!L1122)*Inputs!$F$156/1000*Operations!L1121</f>
        <v>1.53786270491803</v>
      </c>
      <c r="M1124" s="20" t="n">
        <f aca="false">MAX(0,Inputs!$F$218-Operations!M1122)*Inputs!$F$156/1000*Operations!M1121</f>
        <v>3.4365</v>
      </c>
      <c r="N1124" s="20" t="n">
        <f aca="false">MAX(0,Inputs!$F$218-Operations!N1122)*Inputs!$F$156/1000*Operations!N1121</f>
        <v>2.632125</v>
      </c>
      <c r="O1124" s="20" t="n">
        <f aca="false">MAX(0,Inputs!$F$218-Operations!O1122)*Inputs!$F$156/1000*Operations!O1121</f>
        <v>2.5048875</v>
      </c>
      <c r="P1124" s="20" t="n">
        <f aca="false">MAX(0,Inputs!$F$218-Operations!P1122)*Inputs!$F$156/1000*Operations!P1121</f>
        <v>2.3761875</v>
      </c>
      <c r="Q1124" s="20" t="n">
        <f aca="false">MAX(0,Inputs!$F$218-Operations!Q1122)*Inputs!$F$156/1000*Operations!Q1121</f>
        <v>2.246025</v>
      </c>
      <c r="R1124" s="20" t="n">
        <f aca="false">MAX(0,Inputs!$F$218-Operations!R1122)*Inputs!$F$156/1000*Operations!R1121</f>
        <v>2.1129375</v>
      </c>
      <c r="S1124" s="20" t="n">
        <f aca="false">MAX(0,Inputs!$F$218-Operations!S1122)*Inputs!$F$156/1000*Operations!S1121</f>
        <v>1.9783875</v>
      </c>
      <c r="T1124" s="20" t="n">
        <f aca="false">MAX(0,Inputs!$F$218-Operations!T1122)*Inputs!$F$156/1000*Operations!T1121</f>
        <v>0.462743032786885</v>
      </c>
      <c r="U1124" s="20" t="n">
        <f aca="false">MAX(0,Inputs!$F$218-Operations!U1122)*Inputs!$F$156/1000*Operations!U1121</f>
        <v>0</v>
      </c>
      <c r="V1124" s="20" t="n">
        <f aca="false">MAX(0,Inputs!$F$218-Operations!V1122)*Inputs!$F$156/1000*Operations!V1121</f>
        <v>0</v>
      </c>
      <c r="W1124" s="20" t="n">
        <f aca="false">MAX(0,Inputs!$F$218-Operations!W1122)*Inputs!$F$156/1000*Operations!W1121</f>
        <v>0</v>
      </c>
      <c r="X1124" s="20" t="n">
        <f aca="false">MAX(0,Inputs!$F$218-Operations!X1122)*Inputs!$F$156/1000*Operations!X1121</f>
        <v>0</v>
      </c>
      <c r="Y1124" s="20" t="n">
        <f aca="false">MAX(0,Inputs!$F$218-Operations!Y1122)*Inputs!$F$156/1000*Operations!Y1121</f>
        <v>0</v>
      </c>
      <c r="Z1124" s="20" t="n">
        <f aca="false">MAX(0,Inputs!$F$218-Operations!Z1122)*Inputs!$F$156/1000*Operations!Z1121</f>
        <v>0</v>
      </c>
      <c r="AA1124" s="20" t="n">
        <f aca="false">MAX(0,Inputs!$F$218-Operations!AA1122)*Inputs!$F$156/1000*Operations!AA1121</f>
        <v>0</v>
      </c>
      <c r="AB1124" s="20" t="n">
        <f aca="false">MAX(0,Inputs!$F$218-Operations!AB1122)*Inputs!$F$156/1000*Operations!AB1121</f>
        <v>0</v>
      </c>
      <c r="AC1124" s="20" t="n">
        <f aca="false">MAX(0,Inputs!$F$218-Operations!AC1122)*Inputs!$F$156/1000*Operations!AC1121</f>
        <v>0</v>
      </c>
      <c r="AD1124" s="20" t="n">
        <f aca="false">MAX(0,Inputs!$F$218-Operations!AD1122)*Inputs!$F$156/1000*Operations!AD1121</f>
        <v>0</v>
      </c>
      <c r="AE1124" s="20" t="n">
        <f aca="false">MAX(0,Inputs!$F$218-Operations!AE1122)*Inputs!$F$156/1000*Operations!AE1121</f>
        <v>0</v>
      </c>
      <c r="AF1124" s="20" t="n">
        <f aca="false">MAX(0,Inputs!$F$218-Operations!AF1122)*Inputs!$F$156/1000*Operations!AF1121</f>
        <v>0</v>
      </c>
      <c r="AG1124" s="20" t="n">
        <f aca="false">MAX(0,Inputs!$F$218-Operations!AG1122)*Inputs!$F$156/1000*Operations!AG1121</f>
        <v>0</v>
      </c>
      <c r="AH1124" s="20" t="n">
        <f aca="false">MAX(0,Inputs!$F$218-Operations!AH1122)*Inputs!$F$156/1000*Operations!AH1121</f>
        <v>0</v>
      </c>
      <c r="AI1124" s="20" t="n">
        <f aca="false">MAX(0,Inputs!$F$218-Operations!AI1122)*Inputs!$F$156/1000*Operations!AI1121</f>
        <v>0</v>
      </c>
      <c r="AJ1124" s="20" t="n">
        <f aca="false">MAX(0,Inputs!$F$218-Operations!AJ1122)*Inputs!$F$156/1000*Operations!AJ1121</f>
        <v>0</v>
      </c>
      <c r="AK1124" s="20" t="n">
        <f aca="false">MAX(0,Inputs!$F$218-Operations!AK1122)*Inputs!$F$156/1000*Operations!AK1121</f>
        <v>0</v>
      </c>
      <c r="AL1124" s="20" t="n">
        <f aca="false">MAX(0,Inputs!$F$218-Operations!AL1122)*Inputs!$F$156/1000*Operations!AL1121</f>
        <v>0</v>
      </c>
      <c r="AM1124" s="20" t="n">
        <f aca="false">MAX(0,Inputs!$F$218-Operations!AM1122)*Inputs!$F$156/1000*Operations!AM1121</f>
        <v>0</v>
      </c>
      <c r="AN1124" s="20" t="n">
        <f aca="false">MAX(0,Inputs!$F$218-Operations!AN1122)*Inputs!$F$156/1000*Operations!AN1121</f>
        <v>0</v>
      </c>
      <c r="AO1124" s="20" t="n">
        <f aca="false">MAX(0,Inputs!$F$218-Operations!AO1122)*Inputs!$F$156/1000*Operations!AO1121</f>
        <v>0</v>
      </c>
      <c r="AP1124" s="20" t="n">
        <f aca="false">MAX(0,Inputs!$F$218-Operations!AP1122)*Inputs!$F$156/1000*Operations!AP1121</f>
        <v>0</v>
      </c>
      <c r="AQ1124" s="20" t="n">
        <f aca="false">MAX(0,Inputs!$F$218-Operations!AQ1122)*Inputs!$F$156/1000*Operations!AQ1121</f>
        <v>0</v>
      </c>
      <c r="AR1124" s="20" t="n">
        <f aca="false">MAX(0,Inputs!$F$218-Operations!AR1122)*Inputs!$F$156/1000*Operations!AR1121</f>
        <v>0</v>
      </c>
      <c r="AS1124" s="20" t="n">
        <f aca="false">MAX(0,Inputs!$F$218-Operations!AS1122)*Inputs!$F$156/1000*Operations!AS1121</f>
        <v>0</v>
      </c>
      <c r="AT1124" s="20" t="n">
        <f aca="false">MAX(0,Inputs!$F$218-Operations!AT1122)*Inputs!$F$156/1000*Operations!AT1121</f>
        <v>0</v>
      </c>
      <c r="AU1124" s="20" t="n">
        <f aca="false">MAX(0,Inputs!$F$218-Operations!AU1122)*Inputs!$F$156/1000*Operations!AU1121</f>
        <v>0</v>
      </c>
    </row>
    <row r="1125" customFormat="false" ht="15" hidden="false" customHeight="false" outlineLevel="0" collapsed="false">
      <c r="D1125" s="0" t="s">
        <v>255</v>
      </c>
      <c r="E1125" s="0" t="s">
        <v>47</v>
      </c>
      <c r="G1125" s="20" t="n">
        <f aca="false">SUM(J1125:AU1125)</f>
        <v>6.95762295081967</v>
      </c>
      <c r="J1125" s="20" t="n">
        <f aca="false">Inputs!$F$219*Inputs!$F$156/1000*Operations!J1121</f>
        <v>0</v>
      </c>
      <c r="K1125" s="20" t="n">
        <f aca="false">Inputs!$F$219*Inputs!$F$156/1000*Operations!K1121</f>
        <v>0</v>
      </c>
      <c r="L1125" s="20" t="n">
        <f aca="false">Inputs!$F$219*Inputs!$F$156/1000*Operations!L1121</f>
        <v>0.648934426229508</v>
      </c>
      <c r="M1125" s="20" t="n">
        <f aca="false">Inputs!$F$219*Inputs!$F$156/1000*Operations!M1121</f>
        <v>0.87</v>
      </c>
      <c r="N1125" s="20" t="n">
        <f aca="false">Inputs!$F$219*Inputs!$F$156/1000*Operations!N1121</f>
        <v>0.87</v>
      </c>
      <c r="O1125" s="20" t="n">
        <f aca="false">Inputs!$F$219*Inputs!$F$156/1000*Operations!O1121</f>
        <v>0.87</v>
      </c>
      <c r="P1125" s="20" t="n">
        <f aca="false">Inputs!$F$219*Inputs!$F$156/1000*Operations!P1121</f>
        <v>0.87</v>
      </c>
      <c r="Q1125" s="20" t="n">
        <f aca="false">Inputs!$F$219*Inputs!$F$156/1000*Operations!Q1121</f>
        <v>0.87</v>
      </c>
      <c r="R1125" s="20" t="n">
        <f aca="false">Inputs!$F$219*Inputs!$F$156/1000*Operations!R1121</f>
        <v>0.87</v>
      </c>
      <c r="S1125" s="20" t="n">
        <f aca="false">Inputs!$F$219*Inputs!$F$156/1000*Operations!S1121</f>
        <v>0.87</v>
      </c>
      <c r="T1125" s="20" t="n">
        <f aca="false">Inputs!$F$219*Inputs!$F$156/1000*Operations!T1121</f>
        <v>0.218688524590164</v>
      </c>
      <c r="U1125" s="20" t="n">
        <f aca="false">Inputs!$F$219*Inputs!$F$156/1000*Operations!U1121</f>
        <v>0</v>
      </c>
      <c r="V1125" s="20" t="n">
        <f aca="false">Inputs!$F$219*Inputs!$F$156/1000*Operations!V1121</f>
        <v>0</v>
      </c>
      <c r="W1125" s="20" t="n">
        <f aca="false">Inputs!$F$219*Inputs!$F$156/1000*Operations!W1121</f>
        <v>0</v>
      </c>
      <c r="X1125" s="20" t="n">
        <f aca="false">Inputs!$F$219*Inputs!$F$156/1000*Operations!X1121</f>
        <v>0</v>
      </c>
      <c r="Y1125" s="20" t="n">
        <f aca="false">Inputs!$F$219*Inputs!$F$156/1000*Operations!Y1121</f>
        <v>0</v>
      </c>
      <c r="Z1125" s="20" t="n">
        <f aca="false">Inputs!$F$219*Inputs!$F$156/1000*Operations!Z1121</f>
        <v>0</v>
      </c>
      <c r="AA1125" s="20" t="n">
        <f aca="false">Inputs!$F$219*Inputs!$F$156/1000*Operations!AA1121</f>
        <v>0</v>
      </c>
      <c r="AB1125" s="20" t="n">
        <f aca="false">Inputs!$F$219*Inputs!$F$156/1000*Operations!AB1121</f>
        <v>0</v>
      </c>
      <c r="AC1125" s="20" t="n">
        <f aca="false">Inputs!$F$219*Inputs!$F$156/1000*Operations!AC1121</f>
        <v>0</v>
      </c>
      <c r="AD1125" s="20" t="n">
        <f aca="false">Inputs!$F$219*Inputs!$F$156/1000*Operations!AD1121</f>
        <v>0</v>
      </c>
      <c r="AE1125" s="20" t="n">
        <f aca="false">Inputs!$F$219*Inputs!$F$156/1000*Operations!AE1121</f>
        <v>0</v>
      </c>
      <c r="AF1125" s="20" t="n">
        <f aca="false">Inputs!$F$219*Inputs!$F$156/1000*Operations!AF1121</f>
        <v>0</v>
      </c>
      <c r="AG1125" s="20" t="n">
        <f aca="false">Inputs!$F$219*Inputs!$F$156/1000*Operations!AG1121</f>
        <v>0</v>
      </c>
      <c r="AH1125" s="20" t="n">
        <f aca="false">Inputs!$F$219*Inputs!$F$156/1000*Operations!AH1121</f>
        <v>0</v>
      </c>
      <c r="AI1125" s="20" t="n">
        <f aca="false">Inputs!$F$219*Inputs!$F$156/1000*Operations!AI1121</f>
        <v>0</v>
      </c>
      <c r="AJ1125" s="20" t="n">
        <f aca="false">Inputs!$F$219*Inputs!$F$156/1000*Operations!AJ1121</f>
        <v>0</v>
      </c>
      <c r="AK1125" s="20" t="n">
        <f aca="false">Inputs!$F$219*Inputs!$F$156/1000*Operations!AK1121</f>
        <v>0</v>
      </c>
      <c r="AL1125" s="20" t="n">
        <f aca="false">Inputs!$F$219*Inputs!$F$156/1000*Operations!AL1121</f>
        <v>0</v>
      </c>
      <c r="AM1125" s="20" t="n">
        <f aca="false">Inputs!$F$219*Inputs!$F$156/1000*Operations!AM1121</f>
        <v>0</v>
      </c>
      <c r="AN1125" s="20" t="n">
        <f aca="false">Inputs!$F$219*Inputs!$F$156/1000*Operations!AN1121</f>
        <v>0</v>
      </c>
      <c r="AO1125" s="20" t="n">
        <f aca="false">Inputs!$F$219*Inputs!$F$156/1000*Operations!AO1121</f>
        <v>0</v>
      </c>
      <c r="AP1125" s="20" t="n">
        <f aca="false">Inputs!$F$219*Inputs!$F$156/1000*Operations!AP1121</f>
        <v>0</v>
      </c>
      <c r="AQ1125" s="20" t="n">
        <f aca="false">Inputs!$F$219*Inputs!$F$156/1000*Operations!AQ1121</f>
        <v>0</v>
      </c>
      <c r="AR1125" s="20" t="n">
        <f aca="false">Inputs!$F$219*Inputs!$F$156/1000*Operations!AR1121</f>
        <v>0</v>
      </c>
      <c r="AS1125" s="20" t="n">
        <f aca="false">Inputs!$F$219*Inputs!$F$156/1000*Operations!AS1121</f>
        <v>0</v>
      </c>
      <c r="AT1125" s="20" t="n">
        <f aca="false">Inputs!$F$219*Inputs!$F$156/1000*Operations!AT1121</f>
        <v>0</v>
      </c>
      <c r="AU1125" s="20" t="n">
        <f aca="false">Inputs!$F$219*Inputs!$F$156/1000*Operations!AU1121</f>
        <v>0</v>
      </c>
    </row>
    <row r="1126" customFormat="false" ht="15" hidden="false" customHeight="false" outlineLevel="0" collapsed="false">
      <c r="D1126" s="0" t="s">
        <v>730</v>
      </c>
      <c r="E1126" s="0" t="s">
        <v>47</v>
      </c>
      <c r="G1126" s="20" t="n">
        <f aca="false">SUM(J1126:AU1126)</f>
        <v>0</v>
      </c>
      <c r="J1126" s="20" t="n">
        <f aca="false">Inputs!$F$220/100*MAX(0,Operations!J1122-Inputs!$F$221)*Inputs!$F$156/1000*Operations!J1121</f>
        <v>0</v>
      </c>
      <c r="K1126" s="20" t="n">
        <f aca="false">Inputs!$F$220/100*MAX(0,Operations!K1122-Inputs!$F$221)*Inputs!$F$156/1000*Operations!K1121</f>
        <v>0</v>
      </c>
      <c r="L1126" s="20" t="n">
        <f aca="false">Inputs!$F$220/100*MAX(0,Operations!L1122-Inputs!$F$221)*Inputs!$F$156/1000*Operations!L1121</f>
        <v>0</v>
      </c>
      <c r="M1126" s="20" t="n">
        <f aca="false">Inputs!$F$220/100*MAX(0,Operations!M1122-Inputs!$F$221)*Inputs!$F$156/1000*Operations!M1121</f>
        <v>0</v>
      </c>
      <c r="N1126" s="20" t="n">
        <f aca="false">Inputs!$F$220/100*MAX(0,Operations!N1122-Inputs!$F$221)*Inputs!$F$156/1000*Operations!N1121</f>
        <v>0</v>
      </c>
      <c r="O1126" s="20" t="n">
        <f aca="false">Inputs!$F$220/100*MAX(0,Operations!O1122-Inputs!$F$221)*Inputs!$F$156/1000*Operations!O1121</f>
        <v>0</v>
      </c>
      <c r="P1126" s="20" t="n">
        <f aca="false">Inputs!$F$220/100*MAX(0,Operations!P1122-Inputs!$F$221)*Inputs!$F$156/1000*Operations!P1121</f>
        <v>0</v>
      </c>
      <c r="Q1126" s="20" t="n">
        <f aca="false">Inputs!$F$220/100*MAX(0,Operations!Q1122-Inputs!$F$221)*Inputs!$F$156/1000*Operations!Q1121</f>
        <v>0</v>
      </c>
      <c r="R1126" s="20" t="n">
        <f aca="false">Inputs!$F$220/100*MAX(0,Operations!R1122-Inputs!$F$221)*Inputs!$F$156/1000*Operations!R1121</f>
        <v>0</v>
      </c>
      <c r="S1126" s="20" t="n">
        <f aca="false">Inputs!$F$220/100*MAX(0,Operations!S1122-Inputs!$F$221)*Inputs!$F$156/1000*Operations!S1121</f>
        <v>0</v>
      </c>
      <c r="T1126" s="20" t="n">
        <f aca="false">Inputs!$F$220/100*MAX(0,Operations!T1122-Inputs!$F$221)*Inputs!$F$156/1000*Operations!T1121</f>
        <v>0</v>
      </c>
      <c r="U1126" s="20" t="n">
        <f aca="false">Inputs!$F$220/100*MAX(0,Operations!U1122-Inputs!$F$221)*Inputs!$F$156/1000*Operations!U1121</f>
        <v>0</v>
      </c>
      <c r="V1126" s="20" t="n">
        <f aca="false">Inputs!$F$220/100*MAX(0,Operations!V1122-Inputs!$F$221)*Inputs!$F$156/1000*Operations!V1121</f>
        <v>0</v>
      </c>
      <c r="W1126" s="20" t="n">
        <f aca="false">Inputs!$F$220/100*MAX(0,Operations!W1122-Inputs!$F$221)*Inputs!$F$156/1000*Operations!W1121</f>
        <v>0</v>
      </c>
      <c r="X1126" s="20" t="n">
        <f aca="false">Inputs!$F$220/100*MAX(0,Operations!X1122-Inputs!$F$221)*Inputs!$F$156/1000*Operations!X1121</f>
        <v>0</v>
      </c>
      <c r="Y1126" s="20" t="n">
        <f aca="false">Inputs!$F$220/100*MAX(0,Operations!Y1122-Inputs!$F$221)*Inputs!$F$156/1000*Operations!Y1121</f>
        <v>0</v>
      </c>
      <c r="Z1126" s="20" t="n">
        <f aca="false">Inputs!$F$220/100*MAX(0,Operations!Z1122-Inputs!$F$221)*Inputs!$F$156/1000*Operations!Z1121</f>
        <v>0</v>
      </c>
      <c r="AA1126" s="20" t="n">
        <f aca="false">Inputs!$F$220/100*MAX(0,Operations!AA1122-Inputs!$F$221)*Inputs!$F$156/1000*Operations!AA1121</f>
        <v>0</v>
      </c>
      <c r="AB1126" s="20" t="n">
        <f aca="false">Inputs!$F$220/100*MAX(0,Operations!AB1122-Inputs!$F$221)*Inputs!$F$156/1000*Operations!AB1121</f>
        <v>0</v>
      </c>
      <c r="AC1126" s="20" t="n">
        <f aca="false">Inputs!$F$220/100*MAX(0,Operations!AC1122-Inputs!$F$221)*Inputs!$F$156/1000*Operations!AC1121</f>
        <v>0</v>
      </c>
      <c r="AD1126" s="20" t="n">
        <f aca="false">Inputs!$F$220/100*MAX(0,Operations!AD1122-Inputs!$F$221)*Inputs!$F$156/1000*Operations!AD1121</f>
        <v>0</v>
      </c>
      <c r="AE1126" s="20" t="n">
        <f aca="false">Inputs!$F$220/100*MAX(0,Operations!AE1122-Inputs!$F$221)*Inputs!$F$156/1000*Operations!AE1121</f>
        <v>0</v>
      </c>
      <c r="AF1126" s="20" t="n">
        <f aca="false">Inputs!$F$220/100*MAX(0,Operations!AF1122-Inputs!$F$221)*Inputs!$F$156/1000*Operations!AF1121</f>
        <v>0</v>
      </c>
      <c r="AG1126" s="20" t="n">
        <f aca="false">Inputs!$F$220/100*MAX(0,Operations!AG1122-Inputs!$F$221)*Inputs!$F$156/1000*Operations!AG1121</f>
        <v>0</v>
      </c>
      <c r="AH1126" s="20" t="n">
        <f aca="false">Inputs!$F$220/100*MAX(0,Operations!AH1122-Inputs!$F$221)*Inputs!$F$156/1000*Operations!AH1121</f>
        <v>0</v>
      </c>
      <c r="AI1126" s="20" t="n">
        <f aca="false">Inputs!$F$220/100*MAX(0,Operations!AI1122-Inputs!$F$221)*Inputs!$F$156/1000*Operations!AI1121</f>
        <v>0</v>
      </c>
      <c r="AJ1126" s="20" t="n">
        <f aca="false">Inputs!$F$220/100*MAX(0,Operations!AJ1122-Inputs!$F$221)*Inputs!$F$156/1000*Operations!AJ1121</f>
        <v>0</v>
      </c>
      <c r="AK1126" s="20" t="n">
        <f aca="false">Inputs!$F$220/100*MAX(0,Operations!AK1122-Inputs!$F$221)*Inputs!$F$156/1000*Operations!AK1121</f>
        <v>0</v>
      </c>
      <c r="AL1126" s="20" t="n">
        <f aca="false">Inputs!$F$220/100*MAX(0,Operations!AL1122-Inputs!$F$221)*Inputs!$F$156/1000*Operations!AL1121</f>
        <v>0</v>
      </c>
      <c r="AM1126" s="20" t="n">
        <f aca="false">Inputs!$F$220/100*MAX(0,Operations!AM1122-Inputs!$F$221)*Inputs!$F$156/1000*Operations!AM1121</f>
        <v>0</v>
      </c>
      <c r="AN1126" s="20" t="n">
        <f aca="false">Inputs!$F$220/100*MAX(0,Operations!AN1122-Inputs!$F$221)*Inputs!$F$156/1000*Operations!AN1121</f>
        <v>0</v>
      </c>
      <c r="AO1126" s="20" t="n">
        <f aca="false">Inputs!$F$220/100*MAX(0,Operations!AO1122-Inputs!$F$221)*Inputs!$F$156/1000*Operations!AO1121</f>
        <v>0</v>
      </c>
      <c r="AP1126" s="20" t="n">
        <f aca="false">Inputs!$F$220/100*MAX(0,Operations!AP1122-Inputs!$F$221)*Inputs!$F$156/1000*Operations!AP1121</f>
        <v>0</v>
      </c>
      <c r="AQ1126" s="20" t="n">
        <f aca="false">Inputs!$F$220/100*MAX(0,Operations!AQ1122-Inputs!$F$221)*Inputs!$F$156/1000*Operations!AQ1121</f>
        <v>0</v>
      </c>
      <c r="AR1126" s="20" t="n">
        <f aca="false">Inputs!$F$220/100*MAX(0,Operations!AR1122-Inputs!$F$221)*Inputs!$F$156/1000*Operations!AR1121</f>
        <v>0</v>
      </c>
      <c r="AS1126" s="20" t="n">
        <f aca="false">Inputs!$F$220/100*MAX(0,Operations!AS1122-Inputs!$F$221)*Inputs!$F$156/1000*Operations!AS1121</f>
        <v>0</v>
      </c>
      <c r="AT1126" s="20" t="n">
        <f aca="false">Inputs!$F$220/100*MAX(0,Operations!AT1122-Inputs!$F$221)*Inputs!$F$156/1000*Operations!AT1121</f>
        <v>0</v>
      </c>
      <c r="AU1126" s="20" t="n">
        <f aca="false">Inputs!$F$220/100*MAX(0,Operations!AU1122-Inputs!$F$221)*Inputs!$F$156/1000*Operations!AU1121</f>
        <v>0</v>
      </c>
    </row>
    <row r="1127" customFormat="false" ht="15" hidden="false" customHeight="false" outlineLevel="0" collapsed="false">
      <c r="D1127" s="0" t="s">
        <v>731</v>
      </c>
      <c r="E1127" s="0" t="s">
        <v>47</v>
      </c>
      <c r="G1127" s="20" t="n">
        <f aca="false">SUM(J1127:AU1127)</f>
        <v>12.3300327868852</v>
      </c>
      <c r="J1127" s="20" t="n">
        <f aca="false">Operations!J1124-Operations!J1125-Operations!J1126</f>
        <v>0</v>
      </c>
      <c r="K1127" s="20" t="n">
        <f aca="false">Operations!K1124-Operations!K1125-Operations!K1126</f>
        <v>0</v>
      </c>
      <c r="L1127" s="20" t="n">
        <f aca="false">Operations!L1124-Operations!L1125-Operations!L1126</f>
        <v>0.888928278688524</v>
      </c>
      <c r="M1127" s="20" t="n">
        <f aca="false">Operations!M1124-Operations!M1125-Operations!M1126</f>
        <v>2.5665</v>
      </c>
      <c r="N1127" s="20" t="n">
        <f aca="false">Operations!N1124-Operations!N1125-Operations!N1126</f>
        <v>1.762125</v>
      </c>
      <c r="O1127" s="20" t="n">
        <f aca="false">Operations!O1124-Operations!O1125-Operations!O1126</f>
        <v>1.6348875</v>
      </c>
      <c r="P1127" s="20" t="n">
        <f aca="false">Operations!P1124-Operations!P1125-Operations!P1126</f>
        <v>1.5061875</v>
      </c>
      <c r="Q1127" s="20" t="n">
        <f aca="false">Operations!Q1124-Operations!Q1125-Operations!Q1126</f>
        <v>1.376025</v>
      </c>
      <c r="R1127" s="20" t="n">
        <f aca="false">Operations!R1124-Operations!R1125-Operations!R1126</f>
        <v>1.2429375</v>
      </c>
      <c r="S1127" s="20" t="n">
        <f aca="false">Operations!S1124-Operations!S1125-Operations!S1126</f>
        <v>1.1083875</v>
      </c>
      <c r="T1127" s="20" t="n">
        <f aca="false">Operations!T1124-Operations!T1125-Operations!T1126</f>
        <v>0.244054508196721</v>
      </c>
      <c r="U1127" s="20" t="n">
        <f aca="false">Operations!U1124-Operations!U1125-Operations!U1126</f>
        <v>0</v>
      </c>
      <c r="V1127" s="20" t="n">
        <f aca="false">Operations!V1124-Operations!V1125-Operations!V1126</f>
        <v>0</v>
      </c>
      <c r="W1127" s="20" t="n">
        <f aca="false">Operations!W1124-Operations!W1125-Operations!W1126</f>
        <v>0</v>
      </c>
      <c r="X1127" s="20" t="n">
        <f aca="false">Operations!X1124-Operations!X1125-Operations!X1126</f>
        <v>0</v>
      </c>
      <c r="Y1127" s="20" t="n">
        <f aca="false">Operations!Y1124-Operations!Y1125-Operations!Y1126</f>
        <v>0</v>
      </c>
      <c r="Z1127" s="20" t="n">
        <f aca="false">Operations!Z1124-Operations!Z1125-Operations!Z1126</f>
        <v>0</v>
      </c>
      <c r="AA1127" s="20" t="n">
        <f aca="false">Operations!AA1124-Operations!AA1125-Operations!AA1126</f>
        <v>0</v>
      </c>
      <c r="AB1127" s="20" t="n">
        <f aca="false">Operations!AB1124-Operations!AB1125-Operations!AB1126</f>
        <v>0</v>
      </c>
      <c r="AC1127" s="20" t="n">
        <f aca="false">Operations!AC1124-Operations!AC1125-Operations!AC1126</f>
        <v>0</v>
      </c>
      <c r="AD1127" s="20" t="n">
        <f aca="false">Operations!AD1124-Operations!AD1125-Operations!AD1126</f>
        <v>0</v>
      </c>
      <c r="AE1127" s="20" t="n">
        <f aca="false">Operations!AE1124-Operations!AE1125-Operations!AE1126</f>
        <v>0</v>
      </c>
      <c r="AF1127" s="20" t="n">
        <f aca="false">Operations!AF1124-Operations!AF1125-Operations!AF1126</f>
        <v>0</v>
      </c>
      <c r="AG1127" s="20" t="n">
        <f aca="false">Operations!AG1124-Operations!AG1125-Operations!AG1126</f>
        <v>0</v>
      </c>
      <c r="AH1127" s="20" t="n">
        <f aca="false">Operations!AH1124-Operations!AH1125-Operations!AH1126</f>
        <v>0</v>
      </c>
      <c r="AI1127" s="20" t="n">
        <f aca="false">Operations!AI1124-Operations!AI1125-Operations!AI1126</f>
        <v>0</v>
      </c>
      <c r="AJ1127" s="20" t="n">
        <f aca="false">Operations!AJ1124-Operations!AJ1125-Operations!AJ1126</f>
        <v>0</v>
      </c>
      <c r="AK1127" s="20" t="n">
        <f aca="false">Operations!AK1124-Operations!AK1125-Operations!AK1126</f>
        <v>0</v>
      </c>
      <c r="AL1127" s="20" t="n">
        <f aca="false">Operations!AL1124-Operations!AL1125-Operations!AL1126</f>
        <v>0</v>
      </c>
      <c r="AM1127" s="20" t="n">
        <f aca="false">Operations!AM1124-Operations!AM1125-Operations!AM1126</f>
        <v>0</v>
      </c>
      <c r="AN1127" s="20" t="n">
        <f aca="false">Operations!AN1124-Operations!AN1125-Operations!AN1126</f>
        <v>0</v>
      </c>
      <c r="AO1127" s="20" t="n">
        <f aca="false">Operations!AO1124-Operations!AO1125-Operations!AO1126</f>
        <v>0</v>
      </c>
      <c r="AP1127" s="20" t="n">
        <f aca="false">Operations!AP1124-Operations!AP1125-Operations!AP1126</f>
        <v>0</v>
      </c>
      <c r="AQ1127" s="20" t="n">
        <f aca="false">Operations!AQ1124-Operations!AQ1125-Operations!AQ1126</f>
        <v>0</v>
      </c>
      <c r="AR1127" s="20" t="n">
        <f aca="false">Operations!AR1124-Operations!AR1125-Operations!AR1126</f>
        <v>0</v>
      </c>
      <c r="AS1127" s="20" t="n">
        <f aca="false">Operations!AS1124-Operations!AS1125-Operations!AS1126</f>
        <v>0</v>
      </c>
      <c r="AT1127" s="20" t="n">
        <f aca="false">Operations!AT1124-Operations!AT1125-Operations!AT1126</f>
        <v>0</v>
      </c>
      <c r="AU1127" s="20" t="n">
        <f aca="false">Operations!AU1124-Operations!AU1125-Operations!AU1126</f>
        <v>0</v>
      </c>
    </row>
    <row r="1128" customFormat="false" ht="15" hidden="false" customHeight="false" outlineLevel="0" collapsed="false">
      <c r="D1128" s="0" t="s">
        <v>732</v>
      </c>
      <c r="E1128" s="0" t="s">
        <v>47</v>
      </c>
      <c r="G1128" s="20" t="n">
        <f aca="false">SUM(J1128:AU1128)</f>
        <v>81.8120491803279</v>
      </c>
      <c r="J1128" s="20" t="n">
        <f aca="false">(MAX(Operations!J1122,Inputs!$F$218)-Inputs!$F$219-Inputs!$F$220/100*MAX(0,Operations!J1122-Inputs!$F$221))*Inputs!$F$156/1000*Operations!J1121</f>
        <v>0</v>
      </c>
      <c r="K1128" s="20" t="n">
        <f aca="false">(MAX(Operations!K1122,Inputs!$F$218)-Inputs!$F$219-Inputs!$F$220/100*MAX(0,Operations!K1122-Inputs!$F$221))*Inputs!$F$156/1000*Operations!K1121</f>
        <v>0</v>
      </c>
      <c r="L1128" s="20" t="n">
        <f aca="false">(MAX(Operations!L1122,Inputs!$F$218)-Inputs!$F$219-Inputs!$F$220/100*MAX(0,Operations!L1122-Inputs!$F$221))*Inputs!$F$156/1000*Operations!L1121</f>
        <v>7.6305737704918</v>
      </c>
      <c r="M1128" s="20" t="n">
        <f aca="false">(MAX(Operations!M1122,Inputs!$F$218)-Inputs!$F$219-Inputs!$F$220/100*MAX(0,Operations!M1122-Inputs!$F$221))*Inputs!$F$156/1000*Operations!M1121</f>
        <v>10.23</v>
      </c>
      <c r="N1128" s="20" t="n">
        <f aca="false">(MAX(Operations!N1122,Inputs!$F$218)-Inputs!$F$219-Inputs!$F$220/100*MAX(0,Operations!N1122-Inputs!$F$221))*Inputs!$F$156/1000*Operations!N1121</f>
        <v>10.23</v>
      </c>
      <c r="O1128" s="20" t="n">
        <f aca="false">(MAX(Operations!O1122,Inputs!$F$218)-Inputs!$F$219-Inputs!$F$220/100*MAX(0,Operations!O1122-Inputs!$F$221))*Inputs!$F$156/1000*Operations!O1121</f>
        <v>10.23</v>
      </c>
      <c r="P1128" s="20" t="n">
        <f aca="false">(MAX(Operations!P1122,Inputs!$F$218)-Inputs!$F$219-Inputs!$F$220/100*MAX(0,Operations!P1122-Inputs!$F$221))*Inputs!$F$156/1000*Operations!P1121</f>
        <v>10.23</v>
      </c>
      <c r="Q1128" s="20" t="n">
        <f aca="false">(MAX(Operations!Q1122,Inputs!$F$218)-Inputs!$F$219-Inputs!$F$220/100*MAX(0,Operations!Q1122-Inputs!$F$221))*Inputs!$F$156/1000*Operations!Q1121</f>
        <v>10.23</v>
      </c>
      <c r="R1128" s="20" t="n">
        <f aca="false">(MAX(Operations!R1122,Inputs!$F$218)-Inputs!$F$219-Inputs!$F$220/100*MAX(0,Operations!R1122-Inputs!$F$221))*Inputs!$F$156/1000*Operations!R1121</f>
        <v>10.23</v>
      </c>
      <c r="S1128" s="20" t="n">
        <f aca="false">(MAX(Operations!S1122,Inputs!$F$218)-Inputs!$F$219-Inputs!$F$220/100*MAX(0,Operations!S1122-Inputs!$F$221))*Inputs!$F$156/1000*Operations!S1121</f>
        <v>10.23</v>
      </c>
      <c r="T1128" s="20" t="n">
        <f aca="false">(MAX(Operations!T1122,Inputs!$F$218)-Inputs!$F$219-Inputs!$F$220/100*MAX(0,Operations!T1122-Inputs!$F$221))*Inputs!$F$156/1000*Operations!T1121</f>
        <v>2.57147540983607</v>
      </c>
      <c r="U1128" s="20" t="n">
        <f aca="false">(MAX(Operations!U1122,Inputs!$F$218)-Inputs!$F$219-Inputs!$F$220/100*MAX(0,Operations!U1122-Inputs!$F$221))*Inputs!$F$156/1000*Operations!U1121</f>
        <v>0</v>
      </c>
      <c r="V1128" s="20" t="n">
        <f aca="false">(MAX(Operations!V1122,Inputs!$F$218)-Inputs!$F$219-Inputs!$F$220/100*MAX(0,Operations!V1122-Inputs!$F$221))*Inputs!$F$156/1000*Operations!V1121</f>
        <v>0</v>
      </c>
      <c r="W1128" s="20" t="n">
        <f aca="false">(MAX(Operations!W1122,Inputs!$F$218)-Inputs!$F$219-Inputs!$F$220/100*MAX(0,Operations!W1122-Inputs!$F$221))*Inputs!$F$156/1000*Operations!W1121</f>
        <v>0</v>
      </c>
      <c r="X1128" s="20" t="n">
        <f aca="false">(MAX(Operations!X1122,Inputs!$F$218)-Inputs!$F$219-Inputs!$F$220/100*MAX(0,Operations!X1122-Inputs!$F$221))*Inputs!$F$156/1000*Operations!X1121</f>
        <v>0</v>
      </c>
      <c r="Y1128" s="20" t="n">
        <f aca="false">(MAX(Operations!Y1122,Inputs!$F$218)-Inputs!$F$219-Inputs!$F$220/100*MAX(0,Operations!Y1122-Inputs!$F$221))*Inputs!$F$156/1000*Operations!Y1121</f>
        <v>0</v>
      </c>
      <c r="Z1128" s="20" t="n">
        <f aca="false">(MAX(Operations!Z1122,Inputs!$F$218)-Inputs!$F$219-Inputs!$F$220/100*MAX(0,Operations!Z1122-Inputs!$F$221))*Inputs!$F$156/1000*Operations!Z1121</f>
        <v>0</v>
      </c>
      <c r="AA1128" s="20" t="n">
        <f aca="false">(MAX(Operations!AA1122,Inputs!$F$218)-Inputs!$F$219-Inputs!$F$220/100*MAX(0,Operations!AA1122-Inputs!$F$221))*Inputs!$F$156/1000*Operations!AA1121</f>
        <v>0</v>
      </c>
      <c r="AB1128" s="20" t="n">
        <f aca="false">(MAX(Operations!AB1122,Inputs!$F$218)-Inputs!$F$219-Inputs!$F$220/100*MAX(0,Operations!AB1122-Inputs!$F$221))*Inputs!$F$156/1000*Operations!AB1121</f>
        <v>0</v>
      </c>
      <c r="AC1128" s="20" t="n">
        <f aca="false">(MAX(Operations!AC1122,Inputs!$F$218)-Inputs!$F$219-Inputs!$F$220/100*MAX(0,Operations!AC1122-Inputs!$F$221))*Inputs!$F$156/1000*Operations!AC1121</f>
        <v>0</v>
      </c>
      <c r="AD1128" s="20" t="n">
        <f aca="false">(MAX(Operations!AD1122,Inputs!$F$218)-Inputs!$F$219-Inputs!$F$220/100*MAX(0,Operations!AD1122-Inputs!$F$221))*Inputs!$F$156/1000*Operations!AD1121</f>
        <v>0</v>
      </c>
      <c r="AE1128" s="20" t="n">
        <f aca="false">(MAX(Operations!AE1122,Inputs!$F$218)-Inputs!$F$219-Inputs!$F$220/100*MAX(0,Operations!AE1122-Inputs!$F$221))*Inputs!$F$156/1000*Operations!AE1121</f>
        <v>0</v>
      </c>
      <c r="AF1128" s="20" t="n">
        <f aca="false">(MAX(Operations!AF1122,Inputs!$F$218)-Inputs!$F$219-Inputs!$F$220/100*MAX(0,Operations!AF1122-Inputs!$F$221))*Inputs!$F$156/1000*Operations!AF1121</f>
        <v>0</v>
      </c>
      <c r="AG1128" s="20" t="n">
        <f aca="false">(MAX(Operations!AG1122,Inputs!$F$218)-Inputs!$F$219-Inputs!$F$220/100*MAX(0,Operations!AG1122-Inputs!$F$221))*Inputs!$F$156/1000*Operations!AG1121</f>
        <v>0</v>
      </c>
      <c r="AH1128" s="20" t="n">
        <f aca="false">(MAX(Operations!AH1122,Inputs!$F$218)-Inputs!$F$219-Inputs!$F$220/100*MAX(0,Operations!AH1122-Inputs!$F$221))*Inputs!$F$156/1000*Operations!AH1121</f>
        <v>0</v>
      </c>
      <c r="AI1128" s="20" t="n">
        <f aca="false">(MAX(Operations!AI1122,Inputs!$F$218)-Inputs!$F$219-Inputs!$F$220/100*MAX(0,Operations!AI1122-Inputs!$F$221))*Inputs!$F$156/1000*Operations!AI1121</f>
        <v>0</v>
      </c>
      <c r="AJ1128" s="20" t="n">
        <f aca="false">(MAX(Operations!AJ1122,Inputs!$F$218)-Inputs!$F$219-Inputs!$F$220/100*MAX(0,Operations!AJ1122-Inputs!$F$221))*Inputs!$F$156/1000*Operations!AJ1121</f>
        <v>0</v>
      </c>
      <c r="AK1128" s="20" t="n">
        <f aca="false">(MAX(Operations!AK1122,Inputs!$F$218)-Inputs!$F$219-Inputs!$F$220/100*MAX(0,Operations!AK1122-Inputs!$F$221))*Inputs!$F$156/1000*Operations!AK1121</f>
        <v>0</v>
      </c>
      <c r="AL1128" s="20" t="n">
        <f aca="false">(MAX(Operations!AL1122,Inputs!$F$218)-Inputs!$F$219-Inputs!$F$220/100*MAX(0,Operations!AL1122-Inputs!$F$221))*Inputs!$F$156/1000*Operations!AL1121</f>
        <v>0</v>
      </c>
      <c r="AM1128" s="20" t="n">
        <f aca="false">(MAX(Operations!AM1122,Inputs!$F$218)-Inputs!$F$219-Inputs!$F$220/100*MAX(0,Operations!AM1122-Inputs!$F$221))*Inputs!$F$156/1000*Operations!AM1121</f>
        <v>0</v>
      </c>
      <c r="AN1128" s="20" t="n">
        <f aca="false">(MAX(Operations!AN1122,Inputs!$F$218)-Inputs!$F$219-Inputs!$F$220/100*MAX(0,Operations!AN1122-Inputs!$F$221))*Inputs!$F$156/1000*Operations!AN1121</f>
        <v>0</v>
      </c>
      <c r="AO1128" s="20" t="n">
        <f aca="false">(MAX(Operations!AO1122,Inputs!$F$218)-Inputs!$F$219-Inputs!$F$220/100*MAX(0,Operations!AO1122-Inputs!$F$221))*Inputs!$F$156/1000*Operations!AO1121</f>
        <v>0</v>
      </c>
      <c r="AP1128" s="20" t="n">
        <f aca="false">(MAX(Operations!AP1122,Inputs!$F$218)-Inputs!$F$219-Inputs!$F$220/100*MAX(0,Operations!AP1122-Inputs!$F$221))*Inputs!$F$156/1000*Operations!AP1121</f>
        <v>0</v>
      </c>
      <c r="AQ1128" s="20" t="n">
        <f aca="false">(MAX(Operations!AQ1122,Inputs!$F$218)-Inputs!$F$219-Inputs!$F$220/100*MAX(0,Operations!AQ1122-Inputs!$F$221))*Inputs!$F$156/1000*Operations!AQ1121</f>
        <v>0</v>
      </c>
      <c r="AR1128" s="20" t="n">
        <f aca="false">(MAX(Operations!AR1122,Inputs!$F$218)-Inputs!$F$219-Inputs!$F$220/100*MAX(0,Operations!AR1122-Inputs!$F$221))*Inputs!$F$156/1000*Operations!AR1121</f>
        <v>0</v>
      </c>
      <c r="AS1128" s="20" t="n">
        <f aca="false">(MAX(Operations!AS1122,Inputs!$F$218)-Inputs!$F$219-Inputs!$F$220/100*MAX(0,Operations!AS1122-Inputs!$F$221))*Inputs!$F$156/1000*Operations!AS1121</f>
        <v>0</v>
      </c>
      <c r="AT1128" s="20" t="n">
        <f aca="false">(MAX(Operations!AT1122,Inputs!$F$218)-Inputs!$F$219-Inputs!$F$220/100*MAX(0,Operations!AT1122-Inputs!$F$221))*Inputs!$F$156/1000*Operations!AT1121</f>
        <v>0</v>
      </c>
      <c r="AU1128" s="20" t="n">
        <f aca="false">(MAX(Operations!AU1122,Inputs!$F$218)-Inputs!$F$219-Inputs!$F$220/100*MAX(0,Operations!AU1122-Inputs!$F$221))*Inputs!$F$156/1000*Operations!AU1121</f>
        <v>0</v>
      </c>
    </row>
    <row r="1129" customFormat="false" ht="15" hidden="false" customHeight="false" outlineLevel="0" collapsed="false">
      <c r="D1129" s="0" t="s">
        <v>733</v>
      </c>
      <c r="E1129" s="0" t="s">
        <v>47</v>
      </c>
      <c r="G1129" s="20" t="n">
        <f aca="false">SUM(J1129:AU1129)</f>
        <v>117.005845741519</v>
      </c>
      <c r="J1129" s="20" t="n">
        <f aca="false">Operations!J1122*Inputs!$F$156/1000*(Operations!J1108-Operations!J1121)</f>
        <v>0</v>
      </c>
      <c r="K1129" s="20" t="n">
        <f aca="false">Operations!K1122*Inputs!$F$156/1000*(Operations!K1108-Operations!K1121)</f>
        <v>0</v>
      </c>
      <c r="L1129" s="20" t="n">
        <f aca="false">Operations!L1122*Inputs!$F$156/1000*(Operations!L1108-Operations!L1121)</f>
        <v>0</v>
      </c>
      <c r="M1129" s="20" t="n">
        <f aca="false">Operations!M1122*Inputs!$F$156/1000*(Operations!M1108-Operations!M1121)</f>
        <v>0</v>
      </c>
      <c r="N1129" s="20" t="n">
        <f aca="false">Operations!N1122*Inputs!$F$156/1000*(Operations!N1108-Operations!N1121)</f>
        <v>0</v>
      </c>
      <c r="O1129" s="20" t="n">
        <f aca="false">Operations!O1122*Inputs!$F$156/1000*(Operations!O1108-Operations!O1121)</f>
        <v>0</v>
      </c>
      <c r="P1129" s="20" t="n">
        <f aca="false">Operations!P1122*Inputs!$F$156/1000*(Operations!P1108-Operations!P1121)</f>
        <v>0</v>
      </c>
      <c r="Q1129" s="20" t="n">
        <f aca="false">Operations!Q1122*Inputs!$F$156/1000*(Operations!Q1108-Operations!Q1121)</f>
        <v>0</v>
      </c>
      <c r="R1129" s="20" t="n">
        <f aca="false">Operations!R1122*Inputs!$F$156/1000*(Operations!R1108-Operations!R1121)</f>
        <v>0</v>
      </c>
      <c r="S1129" s="20" t="n">
        <f aca="false">Operations!S1122*Inputs!$F$156/1000*(Operations!S1108-Operations!S1121)</f>
        <v>0</v>
      </c>
      <c r="T1129" s="20" t="n">
        <f aca="false">Operations!T1122*Inputs!$F$156/1000*(Operations!T1108-Operations!T1121)</f>
        <v>6.93166659836066</v>
      </c>
      <c r="U1129" s="20" t="n">
        <f aca="false">Operations!U1122*Inputs!$F$156/1000*(Operations!U1108-Operations!U1121)</f>
        <v>9.398025</v>
      </c>
      <c r="V1129" s="20" t="n">
        <f aca="false">Operations!V1122*Inputs!$F$156/1000*(Operations!V1108-Operations!V1121)</f>
        <v>9.538425</v>
      </c>
      <c r="W1129" s="20" t="n">
        <f aca="false">Operations!W1122*Inputs!$F$156/1000*(Operations!W1108-Operations!W1121)</f>
        <v>9.68175</v>
      </c>
      <c r="X1129" s="20" t="n">
        <f aca="false">Operations!X1122*Inputs!$F$156/1000*(Operations!X1108-Operations!X1121)</f>
        <v>9.80436183167466</v>
      </c>
      <c r="Y1129" s="20" t="n">
        <f aca="false">Operations!Y1122*Inputs!$F$156/1000*(Operations!Y1108-Operations!Y1121)</f>
        <v>9.82589327876712</v>
      </c>
      <c r="Z1129" s="20" t="n">
        <f aca="false">Operations!Z1122*Inputs!$F$156/1000*(Operations!Z1108-Operations!Z1121)</f>
        <v>9.8453026195274</v>
      </c>
      <c r="AA1129" s="20" t="n">
        <f aca="false">Operations!AA1122*Inputs!$F$156/1000*(Operations!AA1108-Operations!AA1121)</f>
        <v>9.86530211269521</v>
      </c>
      <c r="AB1129" s="20" t="n">
        <f aca="false">Operations!AB1122*Inputs!$F$156/1000*(Operations!AB1108-Operations!AB1121)</f>
        <v>9.88428054085274</v>
      </c>
      <c r="AC1129" s="20" t="n">
        <f aca="false">Operations!AC1122*Inputs!$F$156/1000*(Operations!AC1108-Operations!AC1121)</f>
        <v>9.90221233028425</v>
      </c>
      <c r="AD1129" s="20" t="n">
        <f aca="false">Operations!AD1122*Inputs!$F$156/1000*(Operations!AD1108-Operations!AD1121)</f>
        <v>9.91917927781336</v>
      </c>
      <c r="AE1129" s="20" t="n">
        <f aca="false">Operations!AE1122*Inputs!$F$156/1000*(Operations!AE1108-Operations!AE1121)</f>
        <v>9.93519293097945</v>
      </c>
      <c r="AF1129" s="20" t="n">
        <f aca="false">Operations!AF1122*Inputs!$F$156/1000*(Operations!AF1108-Operations!AF1121)</f>
        <v>2.47425422056462</v>
      </c>
      <c r="AG1129" s="20" t="n">
        <f aca="false">Operations!AG1122*Inputs!$F$156/1000*(Operations!AG1108-Operations!AG1121)</f>
        <v>0</v>
      </c>
      <c r="AH1129" s="20" t="n">
        <f aca="false">Operations!AH1122*Inputs!$F$156/1000*(Operations!AH1108-Operations!AH1121)</f>
        <v>0</v>
      </c>
      <c r="AI1129" s="20" t="n">
        <f aca="false">Operations!AI1122*Inputs!$F$156/1000*(Operations!AI1108-Operations!AI1121)</f>
        <v>0</v>
      </c>
      <c r="AJ1129" s="20" t="n">
        <f aca="false">Operations!AJ1122*Inputs!$F$156/1000*(Operations!AJ1108-Operations!AJ1121)</f>
        <v>0</v>
      </c>
      <c r="AK1129" s="20" t="n">
        <f aca="false">Operations!AK1122*Inputs!$F$156/1000*(Operations!AK1108-Operations!AK1121)</f>
        <v>0</v>
      </c>
      <c r="AL1129" s="20" t="n">
        <f aca="false">Operations!AL1122*Inputs!$F$156/1000*(Operations!AL1108-Operations!AL1121)</f>
        <v>0</v>
      </c>
      <c r="AM1129" s="20" t="n">
        <f aca="false">Operations!AM1122*Inputs!$F$156/1000*(Operations!AM1108-Operations!AM1121)</f>
        <v>0</v>
      </c>
      <c r="AN1129" s="20" t="n">
        <f aca="false">Operations!AN1122*Inputs!$F$156/1000*(Operations!AN1108-Operations!AN1121)</f>
        <v>0</v>
      </c>
      <c r="AO1129" s="20" t="n">
        <f aca="false">Operations!AO1122*Inputs!$F$156/1000*(Operations!AO1108-Operations!AO1121)</f>
        <v>0</v>
      </c>
      <c r="AP1129" s="20" t="n">
        <f aca="false">Operations!AP1122*Inputs!$F$156/1000*(Operations!AP1108-Operations!AP1121)</f>
        <v>0</v>
      </c>
      <c r="AQ1129" s="20" t="n">
        <f aca="false">Operations!AQ1122*Inputs!$F$156/1000*(Operations!AQ1108-Operations!AQ1121)</f>
        <v>0</v>
      </c>
      <c r="AR1129" s="20" t="n">
        <f aca="false">Operations!AR1122*Inputs!$F$156/1000*(Operations!AR1108-Operations!AR1121)</f>
        <v>0</v>
      </c>
      <c r="AS1129" s="20" t="n">
        <f aca="false">Operations!AS1122*Inputs!$F$156/1000*(Operations!AS1108-Operations!AS1121)</f>
        <v>0</v>
      </c>
      <c r="AT1129" s="20" t="n">
        <f aca="false">Operations!AT1122*Inputs!$F$156/1000*(Operations!AT1108-Operations!AT1121)</f>
        <v>0</v>
      </c>
      <c r="AU1129" s="20" t="n">
        <f aca="false">Operations!AU1122*Inputs!$F$156/1000*(Operations!AU1108-Operations!AU1121)</f>
        <v>0</v>
      </c>
    </row>
    <row r="1130" customFormat="false" ht="15" hidden="false" customHeight="false" outlineLevel="0" collapsed="false">
      <c r="D1130" s="0" t="s">
        <v>734</v>
      </c>
      <c r="E1130" s="0" t="s">
        <v>47</v>
      </c>
      <c r="J1130" s="20" t="n">
        <f aca="false">(Inputs!$F$218-Inputs!$F$219)*Inputs!$F$156/1000*Operations!J1121</f>
        <v>0</v>
      </c>
      <c r="K1130" s="20" t="n">
        <f aca="false">(Inputs!$F$218-Inputs!$F$219)*Inputs!$F$156/1000*Operations!K1121</f>
        <v>0</v>
      </c>
      <c r="L1130" s="20" t="n">
        <f aca="false">(Inputs!$F$218-Inputs!$F$219)*Inputs!$F$156/1000*Operations!L1121</f>
        <v>7.6305737704918</v>
      </c>
      <c r="M1130" s="20" t="n">
        <f aca="false">(Inputs!$F$218-Inputs!$F$219)*Inputs!$F$156/1000*Operations!M1121</f>
        <v>10.23</v>
      </c>
      <c r="N1130" s="20" t="n">
        <f aca="false">(Inputs!$F$218-Inputs!$F$219)*Inputs!$F$156/1000*Operations!N1121</f>
        <v>10.23</v>
      </c>
      <c r="O1130" s="20" t="n">
        <f aca="false">(Inputs!$F$218-Inputs!$F$219)*Inputs!$F$156/1000*Operations!O1121</f>
        <v>10.23</v>
      </c>
      <c r="P1130" s="20" t="n">
        <f aca="false">(Inputs!$F$218-Inputs!$F$219)*Inputs!$F$156/1000*Operations!P1121</f>
        <v>10.23</v>
      </c>
      <c r="Q1130" s="20" t="n">
        <f aca="false">(Inputs!$F$218-Inputs!$F$219)*Inputs!$F$156/1000*Operations!Q1121</f>
        <v>10.23</v>
      </c>
      <c r="R1130" s="20" t="n">
        <f aca="false">(Inputs!$F$218-Inputs!$F$219)*Inputs!$F$156/1000*Operations!R1121</f>
        <v>10.23</v>
      </c>
      <c r="S1130" s="20" t="n">
        <f aca="false">(Inputs!$F$218-Inputs!$F$219)*Inputs!$F$156/1000*Operations!S1121</f>
        <v>10.23</v>
      </c>
      <c r="T1130" s="20" t="n">
        <f aca="false">(Inputs!$F$218-Inputs!$F$219)*Inputs!$F$156/1000*Operations!T1121</f>
        <v>2.57147540983607</v>
      </c>
      <c r="U1130" s="20" t="n">
        <f aca="false">(Inputs!$F$218-Inputs!$F$219)*Inputs!$F$156/1000*Operations!U1121</f>
        <v>0</v>
      </c>
      <c r="V1130" s="20" t="n">
        <f aca="false">(Inputs!$F$218-Inputs!$F$219)*Inputs!$F$156/1000*Operations!V1121</f>
        <v>0</v>
      </c>
      <c r="W1130" s="20" t="n">
        <f aca="false">(Inputs!$F$218-Inputs!$F$219)*Inputs!$F$156/1000*Operations!W1121</f>
        <v>0</v>
      </c>
      <c r="X1130" s="20" t="n">
        <f aca="false">(Inputs!$F$218-Inputs!$F$219)*Inputs!$F$156/1000*Operations!X1121</f>
        <v>0</v>
      </c>
      <c r="Y1130" s="20" t="n">
        <f aca="false">(Inputs!$F$218-Inputs!$F$219)*Inputs!$F$156/1000*Operations!Y1121</f>
        <v>0</v>
      </c>
      <c r="Z1130" s="20" t="n">
        <f aca="false">(Inputs!$F$218-Inputs!$F$219)*Inputs!$F$156/1000*Operations!Z1121</f>
        <v>0</v>
      </c>
      <c r="AA1130" s="20" t="n">
        <f aca="false">(Inputs!$F$218-Inputs!$F$219)*Inputs!$F$156/1000*Operations!AA1121</f>
        <v>0</v>
      </c>
      <c r="AB1130" s="20" t="n">
        <f aca="false">(Inputs!$F$218-Inputs!$F$219)*Inputs!$F$156/1000*Operations!AB1121</f>
        <v>0</v>
      </c>
      <c r="AC1130" s="20" t="n">
        <f aca="false">(Inputs!$F$218-Inputs!$F$219)*Inputs!$F$156/1000*Operations!AC1121</f>
        <v>0</v>
      </c>
      <c r="AD1130" s="20" t="n">
        <f aca="false">(Inputs!$F$218-Inputs!$F$219)*Inputs!$F$156/1000*Operations!AD1121</f>
        <v>0</v>
      </c>
      <c r="AE1130" s="20" t="n">
        <f aca="false">(Inputs!$F$218-Inputs!$F$219)*Inputs!$F$156/1000*Operations!AE1121</f>
        <v>0</v>
      </c>
      <c r="AF1130" s="20" t="n">
        <f aca="false">(Inputs!$F$218-Inputs!$F$219)*Inputs!$F$156/1000*Operations!AF1121</f>
        <v>0</v>
      </c>
      <c r="AG1130" s="20" t="n">
        <f aca="false">(Inputs!$F$218-Inputs!$F$219)*Inputs!$F$156/1000*Operations!AG1121</f>
        <v>0</v>
      </c>
      <c r="AH1130" s="20" t="n">
        <f aca="false">(Inputs!$F$218-Inputs!$F$219)*Inputs!$F$156/1000*Operations!AH1121</f>
        <v>0</v>
      </c>
      <c r="AI1130" s="20" t="n">
        <f aca="false">(Inputs!$F$218-Inputs!$F$219)*Inputs!$F$156/1000*Operations!AI1121</f>
        <v>0</v>
      </c>
      <c r="AJ1130" s="20" t="n">
        <f aca="false">(Inputs!$F$218-Inputs!$F$219)*Inputs!$F$156/1000*Operations!AJ1121</f>
        <v>0</v>
      </c>
      <c r="AK1130" s="20" t="n">
        <f aca="false">(Inputs!$F$218-Inputs!$F$219)*Inputs!$F$156/1000*Operations!AK1121</f>
        <v>0</v>
      </c>
      <c r="AL1130" s="20" t="n">
        <f aca="false">(Inputs!$F$218-Inputs!$F$219)*Inputs!$F$156/1000*Operations!AL1121</f>
        <v>0</v>
      </c>
      <c r="AM1130" s="20" t="n">
        <f aca="false">(Inputs!$F$218-Inputs!$F$219)*Inputs!$F$156/1000*Operations!AM1121</f>
        <v>0</v>
      </c>
      <c r="AN1130" s="20" t="n">
        <f aca="false">(Inputs!$F$218-Inputs!$F$219)*Inputs!$F$156/1000*Operations!AN1121</f>
        <v>0</v>
      </c>
      <c r="AO1130" s="20" t="n">
        <f aca="false">(Inputs!$F$218-Inputs!$F$219)*Inputs!$F$156/1000*Operations!AO1121</f>
        <v>0</v>
      </c>
      <c r="AP1130" s="20" t="n">
        <f aca="false">(Inputs!$F$218-Inputs!$F$219)*Inputs!$F$156/1000*Operations!AP1121</f>
        <v>0</v>
      </c>
      <c r="AQ1130" s="20" t="n">
        <f aca="false">(Inputs!$F$218-Inputs!$F$219)*Inputs!$F$156/1000*Operations!AQ1121</f>
        <v>0</v>
      </c>
      <c r="AR1130" s="20" t="n">
        <f aca="false">(Inputs!$F$218-Inputs!$F$219)*Inputs!$F$156/1000*Operations!AR1121</f>
        <v>0</v>
      </c>
      <c r="AS1130" s="20" t="n">
        <f aca="false">(Inputs!$F$218-Inputs!$F$219)*Inputs!$F$156/1000*Operations!AS1121</f>
        <v>0</v>
      </c>
      <c r="AT1130" s="20" t="n">
        <f aca="false">(Inputs!$F$218-Inputs!$F$219)*Inputs!$F$156/1000*Operations!AT1121</f>
        <v>0</v>
      </c>
      <c r="AU1130" s="20" t="n">
        <f aca="false">(Inputs!$F$218-Inputs!$F$219)*Inputs!$F$156/1000*Operations!AU1121</f>
        <v>0</v>
      </c>
    </row>
    <row r="1131" customFormat="false" ht="15" hidden="false" customHeight="false" outlineLevel="0" collapsed="false">
      <c r="D1131" s="0" t="s">
        <v>735</v>
      </c>
      <c r="E1131" s="0" t="s">
        <v>47</v>
      </c>
      <c r="J1131" s="20" t="n">
        <f aca="false">0</f>
        <v>0</v>
      </c>
      <c r="K1131" s="20" t="n">
        <f aca="false">0</f>
        <v>0</v>
      </c>
      <c r="L1131" s="20" t="n">
        <f aca="false">0</f>
        <v>0</v>
      </c>
      <c r="M1131" s="20" t="n">
        <f aca="false">0</f>
        <v>0</v>
      </c>
      <c r="N1131" s="20" t="n">
        <f aca="false">0</f>
        <v>0</v>
      </c>
      <c r="O1131" s="20" t="n">
        <f aca="false">0</f>
        <v>0</v>
      </c>
      <c r="P1131" s="20" t="n">
        <f aca="false">0</f>
        <v>0</v>
      </c>
      <c r="Q1131" s="20" t="n">
        <f aca="false">0</f>
        <v>0</v>
      </c>
      <c r="R1131" s="20" t="n">
        <f aca="false">0</f>
        <v>0</v>
      </c>
      <c r="S1131" s="20" t="n">
        <f aca="false">0</f>
        <v>0</v>
      </c>
      <c r="T1131" s="20" t="n">
        <f aca="false">0</f>
        <v>0</v>
      </c>
      <c r="U1131" s="20" t="n">
        <f aca="false">0</f>
        <v>0</v>
      </c>
      <c r="V1131" s="20" t="n">
        <f aca="false">0</f>
        <v>0</v>
      </c>
      <c r="W1131" s="20" t="n">
        <f aca="false">0</f>
        <v>0</v>
      </c>
      <c r="X1131" s="20" t="n">
        <f aca="false">0</f>
        <v>0</v>
      </c>
      <c r="Y1131" s="20" t="n">
        <f aca="false">0</f>
        <v>0</v>
      </c>
      <c r="Z1131" s="20" t="n">
        <f aca="false">0</f>
        <v>0</v>
      </c>
      <c r="AA1131" s="20" t="n">
        <f aca="false">0</f>
        <v>0</v>
      </c>
      <c r="AB1131" s="20" t="n">
        <f aca="false">0</f>
        <v>0</v>
      </c>
      <c r="AC1131" s="20" t="n">
        <f aca="false">0</f>
        <v>0</v>
      </c>
      <c r="AD1131" s="20" t="n">
        <f aca="false">0</f>
        <v>0</v>
      </c>
      <c r="AE1131" s="20" t="n">
        <f aca="false">0</f>
        <v>0</v>
      </c>
      <c r="AF1131" s="20" t="n">
        <f aca="false">0</f>
        <v>0</v>
      </c>
      <c r="AG1131" s="20" t="n">
        <f aca="false">0</f>
        <v>0</v>
      </c>
      <c r="AH1131" s="20" t="n">
        <f aca="false">0</f>
        <v>0</v>
      </c>
      <c r="AI1131" s="20" t="n">
        <f aca="false">0</f>
        <v>0</v>
      </c>
      <c r="AJ1131" s="20" t="n">
        <f aca="false">0</f>
        <v>0</v>
      </c>
      <c r="AK1131" s="20" t="n">
        <f aca="false">0</f>
        <v>0</v>
      </c>
      <c r="AL1131" s="20" t="n">
        <f aca="false">0</f>
        <v>0</v>
      </c>
      <c r="AM1131" s="20" t="n">
        <f aca="false">0</f>
        <v>0</v>
      </c>
      <c r="AN1131" s="20" t="n">
        <f aca="false">0</f>
        <v>0</v>
      </c>
      <c r="AO1131" s="20" t="n">
        <f aca="false">0</f>
        <v>0</v>
      </c>
      <c r="AP1131" s="20" t="n">
        <f aca="false">0</f>
        <v>0</v>
      </c>
      <c r="AQ1131" s="20" t="n">
        <f aca="false">0</f>
        <v>0</v>
      </c>
      <c r="AR1131" s="20" t="n">
        <f aca="false">0</f>
        <v>0</v>
      </c>
      <c r="AS1131" s="20" t="n">
        <f aca="false">0</f>
        <v>0</v>
      </c>
      <c r="AT1131" s="20" t="n">
        <f aca="false">0</f>
        <v>0</v>
      </c>
      <c r="AU1131" s="20" t="n">
        <f aca="false">0</f>
        <v>0</v>
      </c>
    </row>
    <row r="1132" customFormat="false" ht="15" hidden="false" customHeight="false" outlineLevel="0" collapsed="false">
      <c r="D1132" s="0" t="s">
        <v>736</v>
      </c>
      <c r="E1132" s="0" t="s">
        <v>47</v>
      </c>
      <c r="G1132" s="20" t="n">
        <f aca="false">SUM(J1132:AU1132)</f>
        <v>198.817894921847</v>
      </c>
      <c r="J1132" s="20" t="n">
        <f aca="false">Operations!J1128+Operations!J1129</f>
        <v>0</v>
      </c>
      <c r="K1132" s="20" t="n">
        <f aca="false">Operations!K1128+Operations!K1129</f>
        <v>0</v>
      </c>
      <c r="L1132" s="20" t="n">
        <f aca="false">Operations!L1128+Operations!L1129</f>
        <v>7.6305737704918</v>
      </c>
      <c r="M1132" s="20" t="n">
        <f aca="false">Operations!M1128+Operations!M1129</f>
        <v>10.23</v>
      </c>
      <c r="N1132" s="20" t="n">
        <f aca="false">Operations!N1128+Operations!N1129</f>
        <v>10.23</v>
      </c>
      <c r="O1132" s="20" t="n">
        <f aca="false">Operations!O1128+Operations!O1129</f>
        <v>10.23</v>
      </c>
      <c r="P1132" s="20" t="n">
        <f aca="false">Operations!P1128+Operations!P1129</f>
        <v>10.23</v>
      </c>
      <c r="Q1132" s="20" t="n">
        <f aca="false">Operations!Q1128+Operations!Q1129</f>
        <v>10.23</v>
      </c>
      <c r="R1132" s="20" t="n">
        <f aca="false">Operations!R1128+Operations!R1129</f>
        <v>10.23</v>
      </c>
      <c r="S1132" s="20" t="n">
        <f aca="false">Operations!S1128+Operations!S1129</f>
        <v>10.23</v>
      </c>
      <c r="T1132" s="20" t="n">
        <f aca="false">Operations!T1128+Operations!T1129</f>
        <v>9.50314200819672</v>
      </c>
      <c r="U1132" s="20" t="n">
        <f aca="false">Operations!U1128+Operations!U1129</f>
        <v>9.398025</v>
      </c>
      <c r="V1132" s="20" t="n">
        <f aca="false">Operations!V1128+Operations!V1129</f>
        <v>9.538425</v>
      </c>
      <c r="W1132" s="20" t="n">
        <f aca="false">Operations!W1128+Operations!W1129</f>
        <v>9.68175</v>
      </c>
      <c r="X1132" s="20" t="n">
        <f aca="false">Operations!X1128+Operations!X1129</f>
        <v>9.80436183167466</v>
      </c>
      <c r="Y1132" s="20" t="n">
        <f aca="false">Operations!Y1128+Operations!Y1129</f>
        <v>9.82589327876712</v>
      </c>
      <c r="Z1132" s="20" t="n">
        <f aca="false">Operations!Z1128+Operations!Z1129</f>
        <v>9.8453026195274</v>
      </c>
      <c r="AA1132" s="20" t="n">
        <f aca="false">Operations!AA1128+Operations!AA1129</f>
        <v>9.86530211269521</v>
      </c>
      <c r="AB1132" s="20" t="n">
        <f aca="false">Operations!AB1128+Operations!AB1129</f>
        <v>9.88428054085274</v>
      </c>
      <c r="AC1132" s="20" t="n">
        <f aca="false">Operations!AC1128+Operations!AC1129</f>
        <v>9.90221233028425</v>
      </c>
      <c r="AD1132" s="20" t="n">
        <f aca="false">Operations!AD1128+Operations!AD1129</f>
        <v>9.91917927781336</v>
      </c>
      <c r="AE1132" s="20" t="n">
        <f aca="false">Operations!AE1128+Operations!AE1129</f>
        <v>9.93519293097945</v>
      </c>
      <c r="AF1132" s="20" t="n">
        <f aca="false">Operations!AF1128+Operations!AF1129</f>
        <v>2.47425422056462</v>
      </c>
      <c r="AG1132" s="20" t="n">
        <f aca="false">Operations!AG1128+Operations!AG1129</f>
        <v>0</v>
      </c>
      <c r="AH1132" s="20" t="n">
        <f aca="false">Operations!AH1128+Operations!AH1129</f>
        <v>0</v>
      </c>
      <c r="AI1132" s="20" t="n">
        <f aca="false">Operations!AI1128+Operations!AI1129</f>
        <v>0</v>
      </c>
      <c r="AJ1132" s="20" t="n">
        <f aca="false">Operations!AJ1128+Operations!AJ1129</f>
        <v>0</v>
      </c>
      <c r="AK1132" s="20" t="n">
        <f aca="false">Operations!AK1128+Operations!AK1129</f>
        <v>0</v>
      </c>
      <c r="AL1132" s="20" t="n">
        <f aca="false">Operations!AL1128+Operations!AL1129</f>
        <v>0</v>
      </c>
      <c r="AM1132" s="20" t="n">
        <f aca="false">Operations!AM1128+Operations!AM1129</f>
        <v>0</v>
      </c>
      <c r="AN1132" s="20" t="n">
        <f aca="false">Operations!AN1128+Operations!AN1129</f>
        <v>0</v>
      </c>
      <c r="AO1132" s="20" t="n">
        <f aca="false">Operations!AO1128+Operations!AO1129</f>
        <v>0</v>
      </c>
      <c r="AP1132" s="20" t="n">
        <f aca="false">Operations!AP1128+Operations!AP1129</f>
        <v>0</v>
      </c>
      <c r="AQ1132" s="20" t="n">
        <f aca="false">Operations!AQ1128+Operations!AQ1129</f>
        <v>0</v>
      </c>
      <c r="AR1132" s="20" t="n">
        <f aca="false">Operations!AR1128+Operations!AR1129</f>
        <v>0</v>
      </c>
      <c r="AS1132" s="20" t="n">
        <f aca="false">Operations!AS1128+Operations!AS1129</f>
        <v>0</v>
      </c>
      <c r="AT1132" s="20" t="n">
        <f aca="false">Operations!AT1128+Operations!AT1129</f>
        <v>0</v>
      </c>
      <c r="AU1132" s="20" t="n">
        <f aca="false">Operations!AU1128+Operations!AU1129</f>
        <v>0</v>
      </c>
    </row>
    <row r="1133" customFormat="false" ht="15" hidden="false" customHeight="false" outlineLevel="0" collapsed="false">
      <c r="D1133" s="0" t="s">
        <v>737</v>
      </c>
      <c r="E1133" s="0" t="s">
        <v>47</v>
      </c>
      <c r="J1133" s="20" t="n">
        <f aca="false">Operations!J1132-Operations!J1130-Operations!J1131</f>
        <v>0</v>
      </c>
      <c r="K1133" s="20" t="n">
        <f aca="false">Operations!K1132-Operations!K1130-Operations!K1131</f>
        <v>0</v>
      </c>
      <c r="L1133" s="20" t="n">
        <f aca="false">Operations!L1132-Operations!L1130-Operations!L1131</f>
        <v>0</v>
      </c>
      <c r="M1133" s="20" t="n">
        <f aca="false">Operations!M1132-Operations!M1130-Operations!M1131</f>
        <v>0</v>
      </c>
      <c r="N1133" s="20" t="n">
        <f aca="false">Operations!N1132-Operations!N1130-Operations!N1131</f>
        <v>0</v>
      </c>
      <c r="O1133" s="20" t="n">
        <f aca="false">Operations!O1132-Operations!O1130-Operations!O1131</f>
        <v>0</v>
      </c>
      <c r="P1133" s="20" t="n">
        <f aca="false">Operations!P1132-Operations!P1130-Operations!P1131</f>
        <v>0</v>
      </c>
      <c r="Q1133" s="20" t="n">
        <f aca="false">Operations!Q1132-Operations!Q1130-Operations!Q1131</f>
        <v>0</v>
      </c>
      <c r="R1133" s="20" t="n">
        <f aca="false">Operations!R1132-Operations!R1130-Operations!R1131</f>
        <v>0</v>
      </c>
      <c r="S1133" s="20" t="n">
        <f aca="false">Operations!S1132-Operations!S1130-Operations!S1131</f>
        <v>0</v>
      </c>
      <c r="T1133" s="20" t="n">
        <f aca="false">Operations!T1132-Operations!T1130-Operations!T1131</f>
        <v>6.93166659836066</v>
      </c>
      <c r="U1133" s="20" t="n">
        <f aca="false">Operations!U1132-Operations!U1130-Operations!U1131</f>
        <v>9.398025</v>
      </c>
      <c r="V1133" s="20" t="n">
        <f aca="false">Operations!V1132-Operations!V1130-Operations!V1131</f>
        <v>9.538425</v>
      </c>
      <c r="W1133" s="20" t="n">
        <f aca="false">Operations!W1132-Operations!W1130-Operations!W1131</f>
        <v>9.68175</v>
      </c>
      <c r="X1133" s="20" t="n">
        <f aca="false">Operations!X1132-Operations!X1130-Operations!X1131</f>
        <v>9.80436183167466</v>
      </c>
      <c r="Y1133" s="20" t="n">
        <f aca="false">Operations!Y1132-Operations!Y1130-Operations!Y1131</f>
        <v>9.82589327876712</v>
      </c>
      <c r="Z1133" s="20" t="n">
        <f aca="false">Operations!Z1132-Operations!Z1130-Operations!Z1131</f>
        <v>9.8453026195274</v>
      </c>
      <c r="AA1133" s="20" t="n">
        <f aca="false">Operations!AA1132-Operations!AA1130-Operations!AA1131</f>
        <v>9.86530211269521</v>
      </c>
      <c r="AB1133" s="20" t="n">
        <f aca="false">Operations!AB1132-Operations!AB1130-Operations!AB1131</f>
        <v>9.88428054085274</v>
      </c>
      <c r="AC1133" s="20" t="n">
        <f aca="false">Operations!AC1132-Operations!AC1130-Operations!AC1131</f>
        <v>9.90221233028425</v>
      </c>
      <c r="AD1133" s="20" t="n">
        <f aca="false">Operations!AD1132-Operations!AD1130-Operations!AD1131</f>
        <v>9.91917927781336</v>
      </c>
      <c r="AE1133" s="20" t="n">
        <f aca="false">Operations!AE1132-Operations!AE1130-Operations!AE1131</f>
        <v>9.93519293097945</v>
      </c>
      <c r="AF1133" s="20" t="n">
        <f aca="false">Operations!AF1132-Operations!AF1130-Operations!AF1131</f>
        <v>2.47425422056462</v>
      </c>
      <c r="AG1133" s="20" t="n">
        <f aca="false">Operations!AG1132-Operations!AG1130-Operations!AG1131</f>
        <v>0</v>
      </c>
      <c r="AH1133" s="20" t="n">
        <f aca="false">Operations!AH1132-Operations!AH1130-Operations!AH1131</f>
        <v>0</v>
      </c>
      <c r="AI1133" s="20" t="n">
        <f aca="false">Operations!AI1132-Operations!AI1130-Operations!AI1131</f>
        <v>0</v>
      </c>
      <c r="AJ1133" s="20" t="n">
        <f aca="false">Operations!AJ1132-Operations!AJ1130-Operations!AJ1131</f>
        <v>0</v>
      </c>
      <c r="AK1133" s="20" t="n">
        <f aca="false">Operations!AK1132-Operations!AK1130-Operations!AK1131</f>
        <v>0</v>
      </c>
      <c r="AL1133" s="20" t="n">
        <f aca="false">Operations!AL1132-Operations!AL1130-Operations!AL1131</f>
        <v>0</v>
      </c>
      <c r="AM1133" s="20" t="n">
        <f aca="false">Operations!AM1132-Operations!AM1130-Operations!AM1131</f>
        <v>0</v>
      </c>
      <c r="AN1133" s="20" t="n">
        <f aca="false">Operations!AN1132-Operations!AN1130-Operations!AN1131</f>
        <v>0</v>
      </c>
      <c r="AO1133" s="20" t="n">
        <f aca="false">Operations!AO1132-Operations!AO1130-Operations!AO1131</f>
        <v>0</v>
      </c>
      <c r="AP1133" s="20" t="n">
        <f aca="false">Operations!AP1132-Operations!AP1130-Operations!AP1131</f>
        <v>0</v>
      </c>
      <c r="AQ1133" s="20" t="n">
        <f aca="false">Operations!AQ1132-Operations!AQ1130-Operations!AQ1131</f>
        <v>0</v>
      </c>
      <c r="AR1133" s="20" t="n">
        <f aca="false">Operations!AR1132-Operations!AR1130-Operations!AR1131</f>
        <v>0</v>
      </c>
      <c r="AS1133" s="20" t="n">
        <f aca="false">Operations!AS1132-Operations!AS1130-Operations!AS1131</f>
        <v>0</v>
      </c>
      <c r="AT1133" s="20" t="n">
        <f aca="false">Operations!AT1132-Operations!AT1130-Operations!AT1131</f>
        <v>0</v>
      </c>
      <c r="AU1133" s="20" t="n">
        <f aca="false">Operations!AU1132-Operations!AU1130-Operations!AU1131</f>
        <v>0</v>
      </c>
    </row>
    <row r="1134" customFormat="false" ht="15" hidden="false" customHeight="false" outlineLevel="0" collapsed="false">
      <c r="D1134" s="0" t="s">
        <v>738</v>
      </c>
      <c r="E1134" s="0" t="s">
        <v>47</v>
      </c>
      <c r="J1134" s="20" t="n">
        <f aca="false">Inputs!$F$160*Inputs!$F$156/1000*Time!J$9*Time!J$10*Operations!J1108*Operations!$F$840</f>
        <v>0</v>
      </c>
      <c r="K1134" s="20" t="n">
        <f aca="false">Inputs!$F$160*Inputs!$F$156/1000*Time!K$9*Time!K$10*Operations!K1108*Operations!$F$840</f>
        <v>0</v>
      </c>
      <c r="L1134" s="20" t="n">
        <f aca="false">Inputs!$F$160*Inputs!$F$156/1000*Time!L$9*Time!L$10*Operations!L1108*Operations!$F$840</f>
        <v>1.77285709103484</v>
      </c>
      <c r="M1134" s="20" t="n">
        <f aca="false">Inputs!$F$160*Inputs!$F$156/1000*Time!M$9*Time!M$10*Operations!M1108*Operations!$F$840</f>
        <v>2.43621735421875</v>
      </c>
      <c r="N1134" s="20" t="n">
        <f aca="false">Inputs!$F$160*Inputs!$F$156/1000*Time!N$9*Time!N$10*Operations!N1108*Operations!$F$840</f>
        <v>2.49712278807422</v>
      </c>
      <c r="O1134" s="20" t="n">
        <f aca="false">Inputs!$F$160*Inputs!$F$156/1000*Time!O$9*Time!O$10*Operations!O1108*Operations!$F$840</f>
        <v>2.55955085777607</v>
      </c>
      <c r="P1134" s="20" t="n">
        <f aca="false">Inputs!$F$160*Inputs!$F$156/1000*Time!P$9*Time!P$10*Operations!P1108*Operations!$F$840</f>
        <v>2.62353962922047</v>
      </c>
      <c r="Q1134" s="20" t="n">
        <f aca="false">Inputs!$F$160*Inputs!$F$156/1000*Time!Q$9*Time!Q$10*Operations!Q1108*Operations!$F$840</f>
        <v>2.68912811995099</v>
      </c>
      <c r="R1134" s="20" t="n">
        <f aca="false">Inputs!$F$160*Inputs!$F$156/1000*Time!R$9*Time!R$10*Operations!R1108*Operations!$F$840</f>
        <v>2.75635632294976</v>
      </c>
      <c r="S1134" s="20" t="n">
        <f aca="false">Inputs!$F$160*Inputs!$F$156/1000*Time!S$9*Time!S$10*Operations!S1108*Operations!$F$840</f>
        <v>2.8252652310235</v>
      </c>
      <c r="T1134" s="20" t="n">
        <f aca="false">Inputs!$F$160*Inputs!$F$156/1000*Time!T$9*Time!T$10*Operations!T1108*Operations!$F$840</f>
        <v>2.89589686179909</v>
      </c>
      <c r="U1134" s="20" t="n">
        <f aca="false">Inputs!$F$160*Inputs!$F$156/1000*Time!U$9*Time!U$10*Operations!U1108*Operations!$F$840</f>
        <v>2.96829428334407</v>
      </c>
      <c r="V1134" s="20" t="n">
        <f aca="false">Inputs!$F$160*Inputs!$F$156/1000*Time!V$9*Time!V$10*Operations!V1108*Operations!$F$840</f>
        <v>3.04250164042767</v>
      </c>
      <c r="W1134" s="20" t="n">
        <f aca="false">Inputs!$F$160*Inputs!$F$156/1000*Time!W$9*Time!W$10*Operations!W1108*Operations!$F$840</f>
        <v>3.11856418143836</v>
      </c>
      <c r="X1134" s="20" t="n">
        <f aca="false">Inputs!$F$160*Inputs!$F$156/1000*Time!X$9*Time!X$10*Operations!X1108*Operations!$F$840</f>
        <v>3.19652828597432</v>
      </c>
      <c r="Y1134" s="20" t="n">
        <f aca="false">Inputs!$F$160*Inputs!$F$156/1000*Time!Y$9*Time!Y$10*Operations!Y1108*Operations!$F$840</f>
        <v>3.27644149312368</v>
      </c>
      <c r="Z1134" s="20" t="n">
        <f aca="false">Inputs!$F$160*Inputs!$F$156/1000*Time!Z$9*Time!Z$10*Operations!Z1108*Operations!$F$840</f>
        <v>3.35835253045177</v>
      </c>
      <c r="AA1134" s="20" t="n">
        <f aca="false">Inputs!$F$160*Inputs!$F$156/1000*Time!AA$9*Time!AA$10*Operations!AA1108*Operations!$F$840</f>
        <v>3.44231134371306</v>
      </c>
      <c r="AB1134" s="20" t="n">
        <f aca="false">Inputs!$F$160*Inputs!$F$156/1000*Time!AB$9*Time!AB$10*Operations!AB1108*Operations!$F$840</f>
        <v>3.52836912730589</v>
      </c>
      <c r="AC1134" s="20" t="n">
        <f aca="false">Inputs!$F$160*Inputs!$F$156/1000*Time!AC$9*Time!AC$10*Operations!AC1108*Operations!$F$840</f>
        <v>3.61657835548854</v>
      </c>
      <c r="AD1134" s="20" t="n">
        <f aca="false">Inputs!$F$160*Inputs!$F$156/1000*Time!AD$9*Time!AD$10*Operations!AD1108*Operations!$F$840</f>
        <v>3.70699281437575</v>
      </c>
      <c r="AE1134" s="20" t="n">
        <f aca="false">Inputs!$F$160*Inputs!$F$156/1000*Time!AE$9*Time!AE$10*Operations!AE1108*Operations!$F$840</f>
        <v>3.79966763473514</v>
      </c>
      <c r="AF1134" s="20" t="n">
        <f aca="false">Inputs!$F$160*Inputs!$F$156/1000*Time!AF$9*Time!AF$10*Operations!AF1108*Operations!$F$840</f>
        <v>0.968344258551695</v>
      </c>
      <c r="AG1134" s="20" t="n">
        <f aca="false">Inputs!$F$160*Inputs!$F$156/1000*Time!AG$9*Time!AG$10*Operations!AG1108*Operations!$F$840</f>
        <v>0</v>
      </c>
      <c r="AH1134" s="20" t="n">
        <f aca="false">Inputs!$F$160*Inputs!$F$156/1000*Time!AH$9*Time!AH$10*Operations!AH1108*Operations!$F$840</f>
        <v>0</v>
      </c>
      <c r="AI1134" s="20" t="n">
        <f aca="false">Inputs!$F$160*Inputs!$F$156/1000*Time!AI$9*Time!AI$10*Operations!AI1108*Operations!$F$840</f>
        <v>0</v>
      </c>
      <c r="AJ1134" s="20" t="n">
        <f aca="false">Inputs!$F$160*Inputs!$F$156/1000*Time!AJ$9*Time!AJ$10*Operations!AJ1108*Operations!$F$840</f>
        <v>0</v>
      </c>
      <c r="AK1134" s="20" t="n">
        <f aca="false">Inputs!$F$160*Inputs!$F$156/1000*Time!AK$9*Time!AK$10*Operations!AK1108*Operations!$F$840</f>
        <v>0</v>
      </c>
      <c r="AL1134" s="20" t="n">
        <f aca="false">Inputs!$F$160*Inputs!$F$156/1000*Time!AL$9*Time!AL$10*Operations!AL1108*Operations!$F$840</f>
        <v>0</v>
      </c>
      <c r="AM1134" s="20" t="n">
        <f aca="false">Inputs!$F$160*Inputs!$F$156/1000*Time!AM$9*Time!AM$10*Operations!AM1108*Operations!$F$840</f>
        <v>0</v>
      </c>
      <c r="AN1134" s="20" t="n">
        <f aca="false">Inputs!$F$160*Inputs!$F$156/1000*Time!AN$9*Time!AN$10*Operations!AN1108*Operations!$F$840</f>
        <v>0</v>
      </c>
      <c r="AO1134" s="20" t="n">
        <f aca="false">Inputs!$F$160*Inputs!$F$156/1000*Time!AO$9*Time!AO$10*Operations!AO1108*Operations!$F$840</f>
        <v>0</v>
      </c>
      <c r="AP1134" s="20" t="n">
        <f aca="false">Inputs!$F$160*Inputs!$F$156/1000*Time!AP$9*Time!AP$10*Operations!AP1108*Operations!$F$840</f>
        <v>0</v>
      </c>
      <c r="AQ1134" s="20" t="n">
        <f aca="false">Inputs!$F$160*Inputs!$F$156/1000*Time!AQ$9*Time!AQ$10*Operations!AQ1108*Operations!$F$840</f>
        <v>0</v>
      </c>
      <c r="AR1134" s="20" t="n">
        <f aca="false">Inputs!$F$160*Inputs!$F$156/1000*Time!AR$9*Time!AR$10*Operations!AR1108*Operations!$F$840</f>
        <v>0</v>
      </c>
      <c r="AS1134" s="20" t="n">
        <f aca="false">Inputs!$F$160*Inputs!$F$156/1000*Time!AS$9*Time!AS$10*Operations!AS1108*Operations!$F$840</f>
        <v>0</v>
      </c>
      <c r="AT1134" s="20" t="n">
        <f aca="false">Inputs!$F$160*Inputs!$F$156/1000*Time!AT$9*Time!AT$10*Operations!AT1108*Operations!$F$840</f>
        <v>0</v>
      </c>
      <c r="AU1134" s="20" t="n">
        <f aca="false">Inputs!$F$160*Inputs!$F$156/1000*Time!AU$9*Time!AU$10*Operations!AU1108*Operations!$F$840</f>
        <v>0</v>
      </c>
    </row>
    <row r="1135" customFormat="false" ht="15" hidden="false" customHeight="false" outlineLevel="0" collapsed="false">
      <c r="D1135" s="0" t="s">
        <v>739</v>
      </c>
      <c r="E1135" s="0" t="s">
        <v>47</v>
      </c>
      <c r="J1135" s="20" t="n">
        <f aca="false">0</f>
        <v>0</v>
      </c>
      <c r="K1135" s="20" t="n">
        <f aca="false">0</f>
        <v>0</v>
      </c>
      <c r="L1135" s="20" t="n">
        <f aca="false">0</f>
        <v>0</v>
      </c>
      <c r="M1135" s="20" t="n">
        <f aca="false">0</f>
        <v>0</v>
      </c>
      <c r="N1135" s="20" t="n">
        <f aca="false">0</f>
        <v>0</v>
      </c>
      <c r="O1135" s="20" t="n">
        <f aca="false">0</f>
        <v>0</v>
      </c>
      <c r="P1135" s="20" t="n">
        <f aca="false">0</f>
        <v>0</v>
      </c>
      <c r="Q1135" s="20" t="n">
        <f aca="false">0</f>
        <v>0</v>
      </c>
      <c r="R1135" s="20" t="n">
        <f aca="false">0</f>
        <v>0</v>
      </c>
      <c r="S1135" s="20" t="n">
        <f aca="false">0</f>
        <v>0</v>
      </c>
      <c r="T1135" s="20" t="n">
        <f aca="false">0</f>
        <v>0</v>
      </c>
      <c r="U1135" s="20" t="n">
        <f aca="false">0</f>
        <v>0</v>
      </c>
      <c r="V1135" s="20" t="n">
        <f aca="false">0</f>
        <v>0</v>
      </c>
      <c r="W1135" s="20" t="n">
        <f aca="false">0</f>
        <v>0</v>
      </c>
      <c r="X1135" s="20" t="n">
        <f aca="false">0</f>
        <v>0</v>
      </c>
      <c r="Y1135" s="20" t="n">
        <f aca="false">0</f>
        <v>0</v>
      </c>
      <c r="Z1135" s="20" t="n">
        <f aca="false">0</f>
        <v>0</v>
      </c>
      <c r="AA1135" s="20" t="n">
        <f aca="false">0</f>
        <v>0</v>
      </c>
      <c r="AB1135" s="20" t="n">
        <f aca="false">0</f>
        <v>0</v>
      </c>
      <c r="AC1135" s="20" t="n">
        <f aca="false">0</f>
        <v>0</v>
      </c>
      <c r="AD1135" s="20" t="n">
        <f aca="false">0</f>
        <v>0</v>
      </c>
      <c r="AE1135" s="20" t="n">
        <f aca="false">0</f>
        <v>0</v>
      </c>
      <c r="AF1135" s="20" t="n">
        <f aca="false">0</f>
        <v>0</v>
      </c>
      <c r="AG1135" s="20" t="n">
        <f aca="false">0</f>
        <v>0</v>
      </c>
      <c r="AH1135" s="20" t="n">
        <f aca="false">0</f>
        <v>0</v>
      </c>
      <c r="AI1135" s="20" t="n">
        <f aca="false">0</f>
        <v>0</v>
      </c>
      <c r="AJ1135" s="20" t="n">
        <f aca="false">0</f>
        <v>0</v>
      </c>
      <c r="AK1135" s="20" t="n">
        <f aca="false">0</f>
        <v>0</v>
      </c>
      <c r="AL1135" s="20" t="n">
        <f aca="false">0</f>
        <v>0</v>
      </c>
      <c r="AM1135" s="20" t="n">
        <f aca="false">0</f>
        <v>0</v>
      </c>
      <c r="AN1135" s="20" t="n">
        <f aca="false">0</f>
        <v>0</v>
      </c>
      <c r="AO1135" s="20" t="n">
        <f aca="false">0</f>
        <v>0</v>
      </c>
      <c r="AP1135" s="20" t="n">
        <f aca="false">0</f>
        <v>0</v>
      </c>
      <c r="AQ1135" s="20" t="n">
        <f aca="false">0</f>
        <v>0</v>
      </c>
      <c r="AR1135" s="20" t="n">
        <f aca="false">0</f>
        <v>0</v>
      </c>
      <c r="AS1135" s="20" t="n">
        <f aca="false">0</f>
        <v>0</v>
      </c>
      <c r="AT1135" s="20" t="n">
        <f aca="false">0</f>
        <v>0</v>
      </c>
      <c r="AU1135" s="20" t="n">
        <f aca="false">0</f>
        <v>0</v>
      </c>
    </row>
    <row r="1136" customFormat="false" ht="15" hidden="false" customHeight="false" outlineLevel="0" collapsed="false">
      <c r="D1136" s="0" t="s">
        <v>740</v>
      </c>
      <c r="E1136" s="0" t="s">
        <v>47</v>
      </c>
      <c r="J1136" s="20" t="n">
        <f aca="false">Inputs!$F$243/100*Inputs!$F$161*Inputs!$F$156/1000*Time!J$9*Operations!J1108</f>
        <v>0</v>
      </c>
      <c r="K1136" s="20" t="n">
        <f aca="false">Inputs!$F$243/100*Inputs!$F$161*Inputs!$F$156/1000*Time!K$9*Operations!K1108</f>
        <v>0</v>
      </c>
      <c r="L1136" s="20" t="n">
        <f aca="false">Inputs!$F$243/100*Inputs!$F$161*Inputs!$F$156/1000*Time!L$9*Operations!L1108</f>
        <v>0.0148112289959016</v>
      </c>
      <c r="M1136" s="20" t="n">
        <f aca="false">Inputs!$F$243/100*Inputs!$F$161*Inputs!$F$156/1000*Time!M$9*Operations!M1108</f>
        <v>0.0203532328125</v>
      </c>
      <c r="N1136" s="20" t="n">
        <f aca="false">Inputs!$F$243/100*Inputs!$F$161*Inputs!$F$156/1000*Time!N$9*Operations!N1108</f>
        <v>0.0208620636328125</v>
      </c>
      <c r="O1136" s="20" t="n">
        <f aca="false">Inputs!$F$243/100*Inputs!$F$161*Inputs!$F$156/1000*Time!O$9*Operations!O1108</f>
        <v>0.0213836152236328</v>
      </c>
      <c r="P1136" s="20" t="n">
        <f aca="false">Inputs!$F$243/100*Inputs!$F$161*Inputs!$F$156/1000*Time!P$9*Operations!P1108</f>
        <v>0.0219182056042236</v>
      </c>
      <c r="Q1136" s="20" t="n">
        <f aca="false">Inputs!$F$243/100*Inputs!$F$161*Inputs!$F$156/1000*Time!Q$9*Operations!Q1108</f>
        <v>0.0224661607443292</v>
      </c>
      <c r="R1136" s="20" t="n">
        <f aca="false">Inputs!$F$243/100*Inputs!$F$161*Inputs!$F$156/1000*Time!R$9*Operations!R1108</f>
        <v>0.0230278147629374</v>
      </c>
      <c r="S1136" s="20" t="n">
        <f aca="false">Inputs!$F$243/100*Inputs!$F$161*Inputs!$F$156/1000*Time!S$9*Operations!S1108</f>
        <v>0.0236035101320109</v>
      </c>
      <c r="T1136" s="20" t="n">
        <f aca="false">Inputs!$F$243/100*Inputs!$F$161*Inputs!$F$156/1000*Time!T$9*Operations!T1108</f>
        <v>0.0241935978853111</v>
      </c>
      <c r="U1136" s="20" t="n">
        <f aca="false">Inputs!$F$243/100*Inputs!$F$161*Inputs!$F$156/1000*Time!U$9*Operations!U1108</f>
        <v>0.0247984378324439</v>
      </c>
      <c r="V1136" s="20" t="n">
        <f aca="false">Inputs!$F$243/100*Inputs!$F$161*Inputs!$F$156/1000*Time!V$9*Operations!V1108</f>
        <v>0.025418398778255</v>
      </c>
      <c r="W1136" s="20" t="n">
        <f aca="false">Inputs!$F$243/100*Inputs!$F$161*Inputs!$F$156/1000*Time!W$9*Operations!W1108</f>
        <v>0.0260538587477114</v>
      </c>
      <c r="X1136" s="20" t="n">
        <f aca="false">Inputs!$F$243/100*Inputs!$F$161*Inputs!$F$156/1000*Time!X$9*Operations!X1108</f>
        <v>0.0267052052164042</v>
      </c>
      <c r="Y1136" s="20" t="n">
        <f aca="false">Inputs!$F$243/100*Inputs!$F$161*Inputs!$F$156/1000*Time!Y$9*Operations!Y1108</f>
        <v>0.0273728353468143</v>
      </c>
      <c r="Z1136" s="20" t="n">
        <f aca="false">Inputs!$F$243/100*Inputs!$F$161*Inputs!$F$156/1000*Time!Z$9*Operations!Z1108</f>
        <v>0.0280571562304846</v>
      </c>
      <c r="AA1136" s="20" t="n">
        <f aca="false">Inputs!$F$243/100*Inputs!$F$161*Inputs!$F$156/1000*Time!AA$9*Operations!AA1108</f>
        <v>0.0287585851362467</v>
      </c>
      <c r="AB1136" s="20" t="n">
        <f aca="false">Inputs!$F$243/100*Inputs!$F$161*Inputs!$F$156/1000*Time!AB$9*Operations!AB1108</f>
        <v>0.0294775497646529</v>
      </c>
      <c r="AC1136" s="20" t="n">
        <f aca="false">Inputs!$F$243/100*Inputs!$F$161*Inputs!$F$156/1000*Time!AC$9*Operations!AC1108</f>
        <v>0.0302144885087692</v>
      </c>
      <c r="AD1136" s="20" t="n">
        <f aca="false">Inputs!$F$243/100*Inputs!$F$161*Inputs!$F$156/1000*Time!AD$9*Operations!AD1108</f>
        <v>0.0309698507214885</v>
      </c>
      <c r="AE1136" s="20" t="n">
        <f aca="false">Inputs!$F$243/100*Inputs!$F$161*Inputs!$F$156/1000*Time!AE$9*Operations!AE1108</f>
        <v>0.0317440969895257</v>
      </c>
      <c r="AF1136" s="20" t="n">
        <f aca="false">Inputs!$F$243/100*Inputs!$F$161*Inputs!$F$156/1000*Time!AF$9*Operations!AF1108</f>
        <v>0.00808997444453007</v>
      </c>
      <c r="AG1136" s="20" t="n">
        <f aca="false">Inputs!$F$243/100*Inputs!$F$161*Inputs!$F$156/1000*Time!AG$9*Operations!AG1108</f>
        <v>0</v>
      </c>
      <c r="AH1136" s="20" t="n">
        <f aca="false">Inputs!$F$243/100*Inputs!$F$161*Inputs!$F$156/1000*Time!AH$9*Operations!AH1108</f>
        <v>0</v>
      </c>
      <c r="AI1136" s="20" t="n">
        <f aca="false">Inputs!$F$243/100*Inputs!$F$161*Inputs!$F$156/1000*Time!AI$9*Operations!AI1108</f>
        <v>0</v>
      </c>
      <c r="AJ1136" s="20" t="n">
        <f aca="false">Inputs!$F$243/100*Inputs!$F$161*Inputs!$F$156/1000*Time!AJ$9*Operations!AJ1108</f>
        <v>0</v>
      </c>
      <c r="AK1136" s="20" t="n">
        <f aca="false">Inputs!$F$243/100*Inputs!$F$161*Inputs!$F$156/1000*Time!AK$9*Operations!AK1108</f>
        <v>0</v>
      </c>
      <c r="AL1136" s="20" t="n">
        <f aca="false">Inputs!$F$243/100*Inputs!$F$161*Inputs!$F$156/1000*Time!AL$9*Operations!AL1108</f>
        <v>0</v>
      </c>
      <c r="AM1136" s="20" t="n">
        <f aca="false">Inputs!$F$243/100*Inputs!$F$161*Inputs!$F$156/1000*Time!AM$9*Operations!AM1108</f>
        <v>0</v>
      </c>
      <c r="AN1136" s="20" t="n">
        <f aca="false">Inputs!$F$243/100*Inputs!$F$161*Inputs!$F$156/1000*Time!AN$9*Operations!AN1108</f>
        <v>0</v>
      </c>
      <c r="AO1136" s="20" t="n">
        <f aca="false">Inputs!$F$243/100*Inputs!$F$161*Inputs!$F$156/1000*Time!AO$9*Operations!AO1108</f>
        <v>0</v>
      </c>
      <c r="AP1136" s="20" t="n">
        <f aca="false">Inputs!$F$243/100*Inputs!$F$161*Inputs!$F$156/1000*Time!AP$9*Operations!AP1108</f>
        <v>0</v>
      </c>
      <c r="AQ1136" s="20" t="n">
        <f aca="false">Inputs!$F$243/100*Inputs!$F$161*Inputs!$F$156/1000*Time!AQ$9*Operations!AQ1108</f>
        <v>0</v>
      </c>
      <c r="AR1136" s="20" t="n">
        <f aca="false">Inputs!$F$243/100*Inputs!$F$161*Inputs!$F$156/1000*Time!AR$9*Operations!AR1108</f>
        <v>0</v>
      </c>
      <c r="AS1136" s="20" t="n">
        <f aca="false">Inputs!$F$243/100*Inputs!$F$161*Inputs!$F$156/1000*Time!AS$9*Operations!AS1108</f>
        <v>0</v>
      </c>
      <c r="AT1136" s="20" t="n">
        <f aca="false">Inputs!$F$243/100*Inputs!$F$161*Inputs!$F$156/1000*Time!AT$9*Operations!AT1108</f>
        <v>0</v>
      </c>
      <c r="AU1136" s="20" t="n">
        <f aca="false">Inputs!$F$243/100*Inputs!$F$161*Inputs!$F$156/1000*Time!AU$9*Operations!AU1108</f>
        <v>0</v>
      </c>
    </row>
    <row r="1137" customFormat="false" ht="15" hidden="false" customHeight="false" outlineLevel="0" collapsed="false">
      <c r="D1137" s="0" t="s">
        <v>741</v>
      </c>
      <c r="E1137" s="0" t="s">
        <v>47</v>
      </c>
      <c r="J1137" s="20" t="n">
        <f aca="false">Inputs!$F$244/100*Inputs!$F$245/100*Operations!J1132</f>
        <v>0</v>
      </c>
      <c r="K1137" s="20" t="n">
        <f aca="false">Inputs!$F$244/100*Inputs!$F$245/100*Operations!K1132</f>
        <v>0</v>
      </c>
      <c r="L1137" s="20" t="n">
        <f aca="false">Inputs!$F$244/100*Inputs!$F$245/100*Operations!L1132</f>
        <v>0.040060512295082</v>
      </c>
      <c r="M1137" s="20" t="n">
        <f aca="false">Inputs!$F$244/100*Inputs!$F$245/100*Operations!M1132</f>
        <v>0.0537075</v>
      </c>
      <c r="N1137" s="20" t="n">
        <f aca="false">Inputs!$F$244/100*Inputs!$F$245/100*Operations!N1132</f>
        <v>0.0537075</v>
      </c>
      <c r="O1137" s="20" t="n">
        <f aca="false">Inputs!$F$244/100*Inputs!$F$245/100*Operations!O1132</f>
        <v>0.0537075</v>
      </c>
      <c r="P1137" s="20" t="n">
        <f aca="false">Inputs!$F$244/100*Inputs!$F$245/100*Operations!P1132</f>
        <v>0.0537075</v>
      </c>
      <c r="Q1137" s="20" t="n">
        <f aca="false">Inputs!$F$244/100*Inputs!$F$245/100*Operations!Q1132</f>
        <v>0.0537075</v>
      </c>
      <c r="R1137" s="20" t="n">
        <f aca="false">Inputs!$F$244/100*Inputs!$F$245/100*Operations!R1132</f>
        <v>0.0537075</v>
      </c>
      <c r="S1137" s="20" t="n">
        <f aca="false">Inputs!$F$244/100*Inputs!$F$245/100*Operations!S1132</f>
        <v>0.0537075</v>
      </c>
      <c r="T1137" s="20" t="n">
        <f aca="false">Inputs!$F$244/100*Inputs!$F$245/100*Operations!T1132</f>
        <v>0.0498914955430328</v>
      </c>
      <c r="U1137" s="20" t="n">
        <f aca="false">Inputs!$F$244/100*Inputs!$F$245/100*Operations!U1132</f>
        <v>0.04933963125</v>
      </c>
      <c r="V1137" s="20" t="n">
        <f aca="false">Inputs!$F$244/100*Inputs!$F$245/100*Operations!V1132</f>
        <v>0.05007673125</v>
      </c>
      <c r="W1137" s="20" t="n">
        <f aca="false">Inputs!$F$244/100*Inputs!$F$245/100*Operations!W1132</f>
        <v>0.0508291875</v>
      </c>
      <c r="X1137" s="20" t="n">
        <f aca="false">Inputs!$F$244/100*Inputs!$F$245/100*Operations!X1132</f>
        <v>0.051472899616292</v>
      </c>
      <c r="Y1137" s="20" t="n">
        <f aca="false">Inputs!$F$244/100*Inputs!$F$245/100*Operations!Y1132</f>
        <v>0.0515859397135274</v>
      </c>
      <c r="Z1137" s="20" t="n">
        <f aca="false">Inputs!$F$244/100*Inputs!$F$245/100*Operations!Z1132</f>
        <v>0.0516878387525188</v>
      </c>
      <c r="AA1137" s="20" t="n">
        <f aca="false">Inputs!$F$244/100*Inputs!$F$245/100*Operations!AA1132</f>
        <v>0.0517928360916498</v>
      </c>
      <c r="AB1137" s="20" t="n">
        <f aca="false">Inputs!$F$244/100*Inputs!$F$245/100*Operations!AB1132</f>
        <v>0.0518924728394769</v>
      </c>
      <c r="AC1137" s="20" t="n">
        <f aca="false">Inputs!$F$244/100*Inputs!$F$245/100*Operations!AC1132</f>
        <v>0.0519866147339923</v>
      </c>
      <c r="AD1137" s="20" t="n">
        <f aca="false">Inputs!$F$244/100*Inputs!$F$245/100*Operations!AD1132</f>
        <v>0.0520756912085201</v>
      </c>
      <c r="AE1137" s="20" t="n">
        <f aca="false">Inputs!$F$244/100*Inputs!$F$245/100*Operations!AE1132</f>
        <v>0.0521597628876421</v>
      </c>
      <c r="AF1137" s="20" t="n">
        <f aca="false">Inputs!$F$244/100*Inputs!$F$245/100*Operations!AF1132</f>
        <v>0.0129898346579643</v>
      </c>
      <c r="AG1137" s="20" t="n">
        <f aca="false">Inputs!$F$244/100*Inputs!$F$245/100*Operations!AG1132</f>
        <v>0</v>
      </c>
      <c r="AH1137" s="20" t="n">
        <f aca="false">Inputs!$F$244/100*Inputs!$F$245/100*Operations!AH1132</f>
        <v>0</v>
      </c>
      <c r="AI1137" s="20" t="n">
        <f aca="false">Inputs!$F$244/100*Inputs!$F$245/100*Operations!AI1132</f>
        <v>0</v>
      </c>
      <c r="AJ1137" s="20" t="n">
        <f aca="false">Inputs!$F$244/100*Inputs!$F$245/100*Operations!AJ1132</f>
        <v>0</v>
      </c>
      <c r="AK1137" s="20" t="n">
        <f aca="false">Inputs!$F$244/100*Inputs!$F$245/100*Operations!AK1132</f>
        <v>0</v>
      </c>
      <c r="AL1137" s="20" t="n">
        <f aca="false">Inputs!$F$244/100*Inputs!$F$245/100*Operations!AL1132</f>
        <v>0</v>
      </c>
      <c r="AM1137" s="20" t="n">
        <f aca="false">Inputs!$F$244/100*Inputs!$F$245/100*Operations!AM1132</f>
        <v>0</v>
      </c>
      <c r="AN1137" s="20" t="n">
        <f aca="false">Inputs!$F$244/100*Inputs!$F$245/100*Operations!AN1132</f>
        <v>0</v>
      </c>
      <c r="AO1137" s="20" t="n">
        <f aca="false">Inputs!$F$244/100*Inputs!$F$245/100*Operations!AO1132</f>
        <v>0</v>
      </c>
      <c r="AP1137" s="20" t="n">
        <f aca="false">Inputs!$F$244/100*Inputs!$F$245/100*Operations!AP1132</f>
        <v>0</v>
      </c>
      <c r="AQ1137" s="20" t="n">
        <f aca="false">Inputs!$F$244/100*Inputs!$F$245/100*Operations!AQ1132</f>
        <v>0</v>
      </c>
      <c r="AR1137" s="20" t="n">
        <f aca="false">Inputs!$F$244/100*Inputs!$F$245/100*Operations!AR1132</f>
        <v>0</v>
      </c>
      <c r="AS1137" s="20" t="n">
        <f aca="false">Inputs!$F$244/100*Inputs!$F$245/100*Operations!AS1132</f>
        <v>0</v>
      </c>
      <c r="AT1137" s="20" t="n">
        <f aca="false">Inputs!$F$244/100*Inputs!$F$245/100*Operations!AT1132</f>
        <v>0</v>
      </c>
      <c r="AU1137" s="20" t="n">
        <f aca="false">Inputs!$F$244/100*Inputs!$F$245/100*Operations!AU1132</f>
        <v>0</v>
      </c>
    </row>
    <row r="1138" customFormat="false" ht="15" hidden="false" customHeight="false" outlineLevel="0" collapsed="false">
      <c r="D1138" s="0" t="s">
        <v>742</v>
      </c>
      <c r="E1138" s="0" t="s">
        <v>47</v>
      </c>
      <c r="G1138" s="20" t="n">
        <f aca="false">SUM(J1138:AU1138)</f>
        <v>136.184940901019</v>
      </c>
      <c r="J1138" s="20" t="n">
        <f aca="false">Operations!J1132-Operations!J1134-Operations!J1135-Operations!J1136-Operations!J1137</f>
        <v>0</v>
      </c>
      <c r="K1138" s="20" t="n">
        <f aca="false">Operations!K1132-Operations!K1134-Operations!K1135-Operations!K1136-Operations!K1137</f>
        <v>0</v>
      </c>
      <c r="L1138" s="20" t="n">
        <f aca="false">Operations!L1132-Operations!L1134-Operations!L1135-Operations!L1136-Operations!L1137</f>
        <v>5.80284493816598</v>
      </c>
      <c r="M1138" s="20" t="n">
        <f aca="false">Operations!M1132-Operations!M1134-Operations!M1135-Operations!M1136-Operations!M1137</f>
        <v>7.71972191296875</v>
      </c>
      <c r="N1138" s="20" t="n">
        <f aca="false">Operations!N1132-Operations!N1134-Operations!N1135-Operations!N1136-Operations!N1137</f>
        <v>7.65830764829297</v>
      </c>
      <c r="O1138" s="20" t="n">
        <f aca="false">Operations!O1132-Operations!O1134-Operations!O1135-Operations!O1136-Operations!O1137</f>
        <v>7.5953580270003</v>
      </c>
      <c r="P1138" s="20" t="n">
        <f aca="false">Operations!P1132-Operations!P1134-Operations!P1135-Operations!P1136-Operations!P1137</f>
        <v>7.5308346651753</v>
      </c>
      <c r="Q1138" s="20" t="n">
        <f aca="false">Operations!Q1132-Operations!Q1134-Operations!Q1135-Operations!Q1136-Operations!Q1137</f>
        <v>7.46469821930469</v>
      </c>
      <c r="R1138" s="20" t="n">
        <f aca="false">Operations!R1132-Operations!R1134-Operations!R1135-Operations!R1136-Operations!R1137</f>
        <v>7.3969083622873</v>
      </c>
      <c r="S1138" s="20" t="n">
        <f aca="false">Operations!S1132-Operations!S1134-Operations!S1135-Operations!S1136-Operations!S1137</f>
        <v>7.32742375884449</v>
      </c>
      <c r="T1138" s="20" t="n">
        <f aca="false">Operations!T1132-Operations!T1134-Operations!T1135-Operations!T1136-Operations!T1137</f>
        <v>6.53316005296929</v>
      </c>
      <c r="U1138" s="20" t="n">
        <f aca="false">Operations!U1132-Operations!U1134-Operations!U1135-Operations!U1136-Operations!U1137</f>
        <v>6.35559264757349</v>
      </c>
      <c r="V1138" s="20" t="n">
        <f aca="false">Operations!V1132-Operations!V1134-Operations!V1135-Operations!V1136-Operations!V1137</f>
        <v>6.42042822954408</v>
      </c>
      <c r="W1138" s="20" t="n">
        <f aca="false">Operations!W1132-Operations!W1134-Operations!W1135-Operations!W1136-Operations!W1137</f>
        <v>6.48630277231393</v>
      </c>
      <c r="X1138" s="20" t="n">
        <f aca="false">Operations!X1132-Operations!X1134-Operations!X1135-Operations!X1136-Operations!X1137</f>
        <v>6.52965544086764</v>
      </c>
      <c r="Y1138" s="20" t="n">
        <f aca="false">Operations!Y1132-Operations!Y1134-Operations!Y1135-Operations!Y1136-Operations!Y1137</f>
        <v>6.4704930105831</v>
      </c>
      <c r="Z1138" s="20" t="n">
        <f aca="false">Operations!Z1132-Operations!Z1134-Operations!Z1135-Operations!Z1136-Operations!Z1137</f>
        <v>6.40720509409262</v>
      </c>
      <c r="AA1138" s="20" t="n">
        <f aca="false">Operations!AA1132-Operations!AA1134-Operations!AA1135-Operations!AA1136-Operations!AA1137</f>
        <v>6.34243934775425</v>
      </c>
      <c r="AB1138" s="20" t="n">
        <f aca="false">Operations!AB1132-Operations!AB1134-Operations!AB1135-Operations!AB1136-Operations!AB1137</f>
        <v>6.27454139094273</v>
      </c>
      <c r="AC1138" s="20" t="n">
        <f aca="false">Operations!AC1132-Operations!AC1134-Operations!AC1135-Operations!AC1136-Operations!AC1137</f>
        <v>6.20343287155295</v>
      </c>
      <c r="AD1138" s="20" t="n">
        <f aca="false">Operations!AD1132-Operations!AD1134-Operations!AD1135-Operations!AD1136-Operations!AD1137</f>
        <v>6.1291409215076</v>
      </c>
      <c r="AE1138" s="20" t="n">
        <f aca="false">Operations!AE1132-Operations!AE1134-Operations!AE1135-Operations!AE1136-Operations!AE1137</f>
        <v>6.05162143636714</v>
      </c>
      <c r="AF1138" s="20" t="n">
        <f aca="false">Operations!AF1132-Operations!AF1134-Operations!AF1135-Operations!AF1136-Operations!AF1137</f>
        <v>1.48483015291043</v>
      </c>
      <c r="AG1138" s="20" t="n">
        <f aca="false">Operations!AG1132-Operations!AG1134-Operations!AG1135-Operations!AG1136-Operations!AG1137</f>
        <v>0</v>
      </c>
      <c r="AH1138" s="20" t="n">
        <f aca="false">Operations!AH1132-Operations!AH1134-Operations!AH1135-Operations!AH1136-Operations!AH1137</f>
        <v>0</v>
      </c>
      <c r="AI1138" s="20" t="n">
        <f aca="false">Operations!AI1132-Operations!AI1134-Operations!AI1135-Operations!AI1136-Operations!AI1137</f>
        <v>0</v>
      </c>
      <c r="AJ1138" s="20" t="n">
        <f aca="false">Operations!AJ1132-Operations!AJ1134-Operations!AJ1135-Operations!AJ1136-Operations!AJ1137</f>
        <v>0</v>
      </c>
      <c r="AK1138" s="20" t="n">
        <f aca="false">Operations!AK1132-Operations!AK1134-Operations!AK1135-Operations!AK1136-Operations!AK1137</f>
        <v>0</v>
      </c>
      <c r="AL1138" s="20" t="n">
        <f aca="false">Operations!AL1132-Operations!AL1134-Operations!AL1135-Operations!AL1136-Operations!AL1137</f>
        <v>0</v>
      </c>
      <c r="AM1138" s="20" t="n">
        <f aca="false">Operations!AM1132-Operations!AM1134-Operations!AM1135-Operations!AM1136-Operations!AM1137</f>
        <v>0</v>
      </c>
      <c r="AN1138" s="20" t="n">
        <f aca="false">Operations!AN1132-Operations!AN1134-Operations!AN1135-Operations!AN1136-Operations!AN1137</f>
        <v>0</v>
      </c>
      <c r="AO1138" s="20" t="n">
        <f aca="false">Operations!AO1132-Operations!AO1134-Operations!AO1135-Operations!AO1136-Operations!AO1137</f>
        <v>0</v>
      </c>
      <c r="AP1138" s="20" t="n">
        <f aca="false">Operations!AP1132-Operations!AP1134-Operations!AP1135-Operations!AP1136-Operations!AP1137</f>
        <v>0</v>
      </c>
      <c r="AQ1138" s="20" t="n">
        <f aca="false">Operations!AQ1132-Operations!AQ1134-Operations!AQ1135-Operations!AQ1136-Operations!AQ1137</f>
        <v>0</v>
      </c>
      <c r="AR1138" s="20" t="n">
        <f aca="false">Operations!AR1132-Operations!AR1134-Operations!AR1135-Operations!AR1136-Operations!AR1137</f>
        <v>0</v>
      </c>
      <c r="AS1138" s="20" t="n">
        <f aca="false">Operations!AS1132-Operations!AS1134-Operations!AS1135-Operations!AS1136-Operations!AS1137</f>
        <v>0</v>
      </c>
      <c r="AT1138" s="20" t="n">
        <f aca="false">Operations!AT1132-Operations!AT1134-Operations!AT1135-Operations!AT1136-Operations!AT1137</f>
        <v>0</v>
      </c>
      <c r="AU1138" s="20" t="n">
        <f aca="false">Operations!AU1132-Operations!AU1134-Operations!AU1135-Operations!AU1136-Operations!AU1137</f>
        <v>0</v>
      </c>
    </row>
    <row r="1139" customFormat="false" ht="15" hidden="false" customHeight="false" outlineLevel="0" collapsed="false">
      <c r="D1139" s="0" t="s">
        <v>743</v>
      </c>
      <c r="E1139" s="0" t="s">
        <v>47</v>
      </c>
      <c r="J1139" s="20" t="n">
        <f aca="false">IF(OR(Time!J$4=YEAR(Inputs!$F$157)+Inputs!$F$164,Time!J$4=YEAR(Inputs!$F$157)+Inputs!$F$165),Inputs!$F$166/100*Inputs!$F$162*Inputs!$F$167/1000*(1+Inputs!$F$194/100)^(Time!J$4-Inputs!$F$193),0)</f>
        <v>0</v>
      </c>
      <c r="K1139" s="20" t="n">
        <f aca="false">IF(OR(Time!K$4=YEAR(Inputs!$F$157)+Inputs!$F$164,Time!K$4=YEAR(Inputs!$F$157)+Inputs!$F$165),Inputs!$F$166/100*Inputs!$F$162*Inputs!$F$167/1000*(1+Inputs!$F$194/100)^(Time!K$4-Inputs!$F$193),0)</f>
        <v>0</v>
      </c>
      <c r="L1139" s="20" t="n">
        <f aca="false">IF(OR(Time!L$4=YEAR(Inputs!$F$157)+Inputs!$F$164,Time!L$4=YEAR(Inputs!$F$157)+Inputs!$F$165),Inputs!$F$166/100*Inputs!$F$162*Inputs!$F$167/1000*(1+Inputs!$F$194/100)^(Time!L$4-Inputs!$F$193),0)</f>
        <v>0</v>
      </c>
      <c r="M1139" s="20" t="n">
        <f aca="false">IF(OR(Time!M$4=YEAR(Inputs!$F$157)+Inputs!$F$164,Time!M$4=YEAR(Inputs!$F$157)+Inputs!$F$165),Inputs!$F$166/100*Inputs!$F$162*Inputs!$F$167/1000*(1+Inputs!$F$194/100)^(Time!M$4-Inputs!$F$193),0)</f>
        <v>0</v>
      </c>
      <c r="N1139" s="20" t="n">
        <f aca="false">IF(OR(Time!N$4=YEAR(Inputs!$F$157)+Inputs!$F$164,Time!N$4=YEAR(Inputs!$F$157)+Inputs!$F$165),Inputs!$F$166/100*Inputs!$F$162*Inputs!$F$167/1000*(1+Inputs!$F$194/100)^(Time!N$4-Inputs!$F$193),0)</f>
        <v>0</v>
      </c>
      <c r="O1139" s="20" t="n">
        <f aca="false">IF(OR(Time!O$4=YEAR(Inputs!$F$157)+Inputs!$F$164,Time!O$4=YEAR(Inputs!$F$157)+Inputs!$F$165),Inputs!$F$166/100*Inputs!$F$162*Inputs!$F$167/1000*(1+Inputs!$F$194/100)^(Time!O$4-Inputs!$F$193),0)</f>
        <v>0</v>
      </c>
      <c r="P1139" s="20" t="n">
        <f aca="false">IF(OR(Time!P$4=YEAR(Inputs!$F$157)+Inputs!$F$164,Time!P$4=YEAR(Inputs!$F$157)+Inputs!$F$165),Inputs!$F$166/100*Inputs!$F$162*Inputs!$F$167/1000*(1+Inputs!$F$194/100)^(Time!P$4-Inputs!$F$193),0)</f>
        <v>0</v>
      </c>
      <c r="Q1139" s="20" t="n">
        <f aca="false">IF(OR(Time!Q$4=YEAR(Inputs!$F$157)+Inputs!$F$164,Time!Q$4=YEAR(Inputs!$F$157)+Inputs!$F$165),Inputs!$F$166/100*Inputs!$F$162*Inputs!$F$167/1000*(1+Inputs!$F$194/100)^(Time!Q$4-Inputs!$F$193),0)</f>
        <v>0.81461391328125</v>
      </c>
      <c r="R1139" s="20" t="n">
        <f aca="false">IF(OR(Time!R$4=YEAR(Inputs!$F$157)+Inputs!$F$164,Time!R$4=YEAR(Inputs!$F$157)+Inputs!$F$165),Inputs!$F$166/100*Inputs!$F$162*Inputs!$F$167/1000*(1+Inputs!$F$194/100)^(Time!R$4-Inputs!$F$193),0)</f>
        <v>0</v>
      </c>
      <c r="S1139" s="20" t="n">
        <f aca="false">IF(OR(Time!S$4=YEAR(Inputs!$F$157)+Inputs!$F$164,Time!S$4=YEAR(Inputs!$F$157)+Inputs!$F$165),Inputs!$F$166/100*Inputs!$F$162*Inputs!$F$167/1000*(1+Inputs!$F$194/100)^(Time!S$4-Inputs!$F$193),0)</f>
        <v>0</v>
      </c>
      <c r="T1139" s="20" t="n">
        <f aca="false">IF(OR(Time!T$4=YEAR(Inputs!$F$157)+Inputs!$F$164,Time!T$4=YEAR(Inputs!$F$157)+Inputs!$F$165),Inputs!$F$166/100*Inputs!$F$162*Inputs!$F$167/1000*(1+Inputs!$F$194/100)^(Time!T$4-Inputs!$F$193),0)</f>
        <v>0</v>
      </c>
      <c r="U1139" s="20" t="n">
        <f aca="false">IF(OR(Time!U$4=YEAR(Inputs!$F$157)+Inputs!$F$164,Time!U$4=YEAR(Inputs!$F$157)+Inputs!$F$165),Inputs!$F$166/100*Inputs!$F$162*Inputs!$F$167/1000*(1+Inputs!$F$194/100)^(Time!U$4-Inputs!$F$193),0)</f>
        <v>0.899181338362319</v>
      </c>
      <c r="V1139" s="20" t="n">
        <f aca="false">IF(OR(Time!V$4=YEAR(Inputs!$F$157)+Inputs!$F$164,Time!V$4=YEAR(Inputs!$F$157)+Inputs!$F$165),Inputs!$F$166/100*Inputs!$F$162*Inputs!$F$167/1000*(1+Inputs!$F$194/100)^(Time!V$4-Inputs!$F$193),0)</f>
        <v>0</v>
      </c>
      <c r="W1139" s="20" t="n">
        <f aca="false">IF(OR(Time!W$4=YEAR(Inputs!$F$157)+Inputs!$F$164,Time!W$4=YEAR(Inputs!$F$157)+Inputs!$F$165),Inputs!$F$166/100*Inputs!$F$162*Inputs!$F$167/1000*(1+Inputs!$F$194/100)^(Time!W$4-Inputs!$F$193),0)</f>
        <v>0</v>
      </c>
      <c r="X1139" s="20" t="n">
        <f aca="false">IF(OR(Time!X$4=YEAR(Inputs!$F$157)+Inputs!$F$164,Time!X$4=YEAR(Inputs!$F$157)+Inputs!$F$165),Inputs!$F$166/100*Inputs!$F$162*Inputs!$F$167/1000*(1+Inputs!$F$194/100)^(Time!X$4-Inputs!$F$193),0)</f>
        <v>0</v>
      </c>
      <c r="Y1139" s="20" t="n">
        <f aca="false">IF(OR(Time!Y$4=YEAR(Inputs!$F$157)+Inputs!$F$164,Time!Y$4=YEAR(Inputs!$F$157)+Inputs!$F$165),Inputs!$F$166/100*Inputs!$F$162*Inputs!$F$167/1000*(1+Inputs!$F$194/100)^(Time!Y$4-Inputs!$F$193),0)</f>
        <v>0</v>
      </c>
      <c r="Z1139" s="20" t="n">
        <f aca="false">IF(OR(Time!Z$4=YEAR(Inputs!$F$157)+Inputs!$F$164,Time!Z$4=YEAR(Inputs!$F$157)+Inputs!$F$165),Inputs!$F$166/100*Inputs!$F$162*Inputs!$F$167/1000*(1+Inputs!$F$194/100)^(Time!Z$4-Inputs!$F$193),0)</f>
        <v>0</v>
      </c>
      <c r="AA1139" s="20" t="n">
        <f aca="false">IF(OR(Time!AA$4=YEAR(Inputs!$F$157)+Inputs!$F$164,Time!AA$4=YEAR(Inputs!$F$157)+Inputs!$F$165),Inputs!$F$166/100*Inputs!$F$162*Inputs!$F$167/1000*(1+Inputs!$F$194/100)^(Time!AA$4-Inputs!$F$193),0)</f>
        <v>0</v>
      </c>
      <c r="AB1139" s="20" t="n">
        <f aca="false">IF(OR(Time!AB$4=YEAR(Inputs!$F$157)+Inputs!$F$164,Time!AB$4=YEAR(Inputs!$F$157)+Inputs!$F$165),Inputs!$F$166/100*Inputs!$F$162*Inputs!$F$167/1000*(1+Inputs!$F$194/100)^(Time!AB$4-Inputs!$F$193),0)</f>
        <v>0</v>
      </c>
      <c r="AC1139" s="20" t="n">
        <f aca="false">IF(OR(Time!AC$4=YEAR(Inputs!$F$157)+Inputs!$F$164,Time!AC$4=YEAR(Inputs!$F$157)+Inputs!$F$165),Inputs!$F$166/100*Inputs!$F$162*Inputs!$F$167/1000*(1+Inputs!$F$194/100)^(Time!AC$4-Inputs!$F$193),0)</f>
        <v>0</v>
      </c>
      <c r="AD1139" s="20" t="n">
        <f aca="false">IF(OR(Time!AD$4=YEAR(Inputs!$F$157)+Inputs!$F$164,Time!AD$4=YEAR(Inputs!$F$157)+Inputs!$F$165),Inputs!$F$166/100*Inputs!$F$162*Inputs!$F$167/1000*(1+Inputs!$F$194/100)^(Time!AD$4-Inputs!$F$193),0)</f>
        <v>0</v>
      </c>
      <c r="AE1139" s="20" t="n">
        <f aca="false">IF(OR(Time!AE$4=YEAR(Inputs!$F$157)+Inputs!$F$164,Time!AE$4=YEAR(Inputs!$F$157)+Inputs!$F$165),Inputs!$F$166/100*Inputs!$F$162*Inputs!$F$167/1000*(1+Inputs!$F$194/100)^(Time!AE$4-Inputs!$F$193),0)</f>
        <v>0</v>
      </c>
      <c r="AF1139" s="20" t="n">
        <f aca="false">IF(OR(Time!AF$4=YEAR(Inputs!$F$157)+Inputs!$F$164,Time!AF$4=YEAR(Inputs!$F$157)+Inputs!$F$165),Inputs!$F$166/100*Inputs!$F$162*Inputs!$F$167/1000*(1+Inputs!$F$194/100)^(Time!AF$4-Inputs!$F$193),0)</f>
        <v>0</v>
      </c>
      <c r="AG1139" s="20" t="n">
        <f aca="false">IF(OR(Time!AG$4=YEAR(Inputs!$F$157)+Inputs!$F$164,Time!AG$4=YEAR(Inputs!$F$157)+Inputs!$F$165),Inputs!$F$166/100*Inputs!$F$162*Inputs!$F$167/1000*(1+Inputs!$F$194/100)^(Time!AG$4-Inputs!$F$193),0)</f>
        <v>0</v>
      </c>
      <c r="AH1139" s="20" t="n">
        <f aca="false">IF(OR(Time!AH$4=YEAR(Inputs!$F$157)+Inputs!$F$164,Time!AH$4=YEAR(Inputs!$F$157)+Inputs!$F$165),Inputs!$F$166/100*Inputs!$F$162*Inputs!$F$167/1000*(1+Inputs!$F$194/100)^(Time!AH$4-Inputs!$F$193),0)</f>
        <v>0</v>
      </c>
      <c r="AI1139" s="20" t="n">
        <f aca="false">IF(OR(Time!AI$4=YEAR(Inputs!$F$157)+Inputs!$F$164,Time!AI$4=YEAR(Inputs!$F$157)+Inputs!$F$165),Inputs!$F$166/100*Inputs!$F$162*Inputs!$F$167/1000*(1+Inputs!$F$194/100)^(Time!AI$4-Inputs!$F$193),0)</f>
        <v>0</v>
      </c>
      <c r="AJ1139" s="20" t="n">
        <f aca="false">IF(OR(Time!AJ$4=YEAR(Inputs!$F$157)+Inputs!$F$164,Time!AJ$4=YEAR(Inputs!$F$157)+Inputs!$F$165),Inputs!$F$166/100*Inputs!$F$162*Inputs!$F$167/1000*(1+Inputs!$F$194/100)^(Time!AJ$4-Inputs!$F$193),0)</f>
        <v>0</v>
      </c>
      <c r="AK1139" s="20" t="n">
        <f aca="false">IF(OR(Time!AK$4=YEAR(Inputs!$F$157)+Inputs!$F$164,Time!AK$4=YEAR(Inputs!$F$157)+Inputs!$F$165),Inputs!$F$166/100*Inputs!$F$162*Inputs!$F$167/1000*(1+Inputs!$F$194/100)^(Time!AK$4-Inputs!$F$193),0)</f>
        <v>0</v>
      </c>
      <c r="AL1139" s="20" t="n">
        <f aca="false">IF(OR(Time!AL$4=YEAR(Inputs!$F$157)+Inputs!$F$164,Time!AL$4=YEAR(Inputs!$F$157)+Inputs!$F$165),Inputs!$F$166/100*Inputs!$F$162*Inputs!$F$167/1000*(1+Inputs!$F$194/100)^(Time!AL$4-Inputs!$F$193),0)</f>
        <v>0</v>
      </c>
      <c r="AM1139" s="20" t="n">
        <f aca="false">IF(OR(Time!AM$4=YEAR(Inputs!$F$157)+Inputs!$F$164,Time!AM$4=YEAR(Inputs!$F$157)+Inputs!$F$165),Inputs!$F$166/100*Inputs!$F$162*Inputs!$F$167/1000*(1+Inputs!$F$194/100)^(Time!AM$4-Inputs!$F$193),0)</f>
        <v>0</v>
      </c>
      <c r="AN1139" s="20" t="n">
        <f aca="false">IF(OR(Time!AN$4=YEAR(Inputs!$F$157)+Inputs!$F$164,Time!AN$4=YEAR(Inputs!$F$157)+Inputs!$F$165),Inputs!$F$166/100*Inputs!$F$162*Inputs!$F$167/1000*(1+Inputs!$F$194/100)^(Time!AN$4-Inputs!$F$193),0)</f>
        <v>0</v>
      </c>
      <c r="AO1139" s="20" t="n">
        <f aca="false">IF(OR(Time!AO$4=YEAR(Inputs!$F$157)+Inputs!$F$164,Time!AO$4=YEAR(Inputs!$F$157)+Inputs!$F$165),Inputs!$F$166/100*Inputs!$F$162*Inputs!$F$167/1000*(1+Inputs!$F$194/100)^(Time!AO$4-Inputs!$F$193),0)</f>
        <v>0</v>
      </c>
      <c r="AP1139" s="20" t="n">
        <f aca="false">IF(OR(Time!AP$4=YEAR(Inputs!$F$157)+Inputs!$F$164,Time!AP$4=YEAR(Inputs!$F$157)+Inputs!$F$165),Inputs!$F$166/100*Inputs!$F$162*Inputs!$F$167/1000*(1+Inputs!$F$194/100)^(Time!AP$4-Inputs!$F$193),0)</f>
        <v>0</v>
      </c>
      <c r="AQ1139" s="20" t="n">
        <f aca="false">IF(OR(Time!AQ$4=YEAR(Inputs!$F$157)+Inputs!$F$164,Time!AQ$4=YEAR(Inputs!$F$157)+Inputs!$F$165),Inputs!$F$166/100*Inputs!$F$162*Inputs!$F$167/1000*(1+Inputs!$F$194/100)^(Time!AQ$4-Inputs!$F$193),0)</f>
        <v>0</v>
      </c>
      <c r="AR1139" s="20" t="n">
        <f aca="false">IF(OR(Time!AR$4=YEAR(Inputs!$F$157)+Inputs!$F$164,Time!AR$4=YEAR(Inputs!$F$157)+Inputs!$F$165),Inputs!$F$166/100*Inputs!$F$162*Inputs!$F$167/1000*(1+Inputs!$F$194/100)^(Time!AR$4-Inputs!$F$193),0)</f>
        <v>0</v>
      </c>
      <c r="AS1139" s="20" t="n">
        <f aca="false">IF(OR(Time!AS$4=YEAR(Inputs!$F$157)+Inputs!$F$164,Time!AS$4=YEAR(Inputs!$F$157)+Inputs!$F$165),Inputs!$F$166/100*Inputs!$F$162*Inputs!$F$167/1000*(1+Inputs!$F$194/100)^(Time!AS$4-Inputs!$F$193),0)</f>
        <v>0</v>
      </c>
      <c r="AT1139" s="20" t="n">
        <f aca="false">IF(OR(Time!AT$4=YEAR(Inputs!$F$157)+Inputs!$F$164,Time!AT$4=YEAR(Inputs!$F$157)+Inputs!$F$165),Inputs!$F$166/100*Inputs!$F$162*Inputs!$F$167/1000*(1+Inputs!$F$194/100)^(Time!AT$4-Inputs!$F$193),0)</f>
        <v>0</v>
      </c>
      <c r="AU1139" s="20" t="n">
        <f aca="false">IF(OR(Time!AU$4=YEAR(Inputs!$F$157)+Inputs!$F$164,Time!AU$4=YEAR(Inputs!$F$157)+Inputs!$F$165),Inputs!$F$166/100*Inputs!$F$162*Inputs!$F$167/1000*(1+Inputs!$F$194/100)^(Time!AU$4-Inputs!$F$193),0)</f>
        <v>0</v>
      </c>
    </row>
    <row r="1140" customFormat="false" ht="15" hidden="false" customHeight="false" outlineLevel="0" collapsed="false">
      <c r="D1140" s="0" t="s">
        <v>744</v>
      </c>
      <c r="E1140" s="0" t="s">
        <v>47</v>
      </c>
      <c r="J1140" s="20" t="n">
        <f aca="false">IF(Time!J$4=YEAR(Inputs!$F$158),Inputs!$F$161*Inputs!$F$156/1000*Time!J$9,0)</f>
        <v>0</v>
      </c>
      <c r="K1140" s="20" t="n">
        <f aca="false">IF(Time!K$4=YEAR(Inputs!$F$158),Inputs!$F$161*Inputs!$F$156/1000*Time!K$9,0)</f>
        <v>0</v>
      </c>
      <c r="L1140" s="20" t="n">
        <f aca="false">IF(Time!L$4=YEAR(Inputs!$F$158),Inputs!$F$161*Inputs!$F$156/1000*Time!L$9,0)</f>
        <v>0</v>
      </c>
      <c r="M1140" s="20" t="n">
        <f aca="false">IF(Time!M$4=YEAR(Inputs!$F$158),Inputs!$F$161*Inputs!$F$156/1000*Time!M$9,0)</f>
        <v>0</v>
      </c>
      <c r="N1140" s="20" t="n">
        <f aca="false">IF(Time!N$4=YEAR(Inputs!$F$158),Inputs!$F$161*Inputs!$F$156/1000*Time!N$9,0)</f>
        <v>0</v>
      </c>
      <c r="O1140" s="20" t="n">
        <f aca="false">IF(Time!O$4=YEAR(Inputs!$F$158),Inputs!$F$161*Inputs!$F$156/1000*Time!O$9,0)</f>
        <v>0</v>
      </c>
      <c r="P1140" s="20" t="n">
        <f aca="false">IF(Time!P$4=YEAR(Inputs!$F$158),Inputs!$F$161*Inputs!$F$156/1000*Time!P$9,0)</f>
        <v>0</v>
      </c>
      <c r="Q1140" s="20" t="n">
        <f aca="false">IF(Time!Q$4=YEAR(Inputs!$F$158),Inputs!$F$161*Inputs!$F$156/1000*Time!Q$9,0)</f>
        <v>0</v>
      </c>
      <c r="R1140" s="20" t="n">
        <f aca="false">IF(Time!R$4=YEAR(Inputs!$F$158),Inputs!$F$161*Inputs!$F$156/1000*Time!R$9,0)</f>
        <v>0</v>
      </c>
      <c r="S1140" s="20" t="n">
        <f aca="false">IF(Time!S$4=YEAR(Inputs!$F$158),Inputs!$F$161*Inputs!$F$156/1000*Time!S$9,0)</f>
        <v>0</v>
      </c>
      <c r="T1140" s="20" t="n">
        <f aca="false">IF(Time!T$4=YEAR(Inputs!$F$158),Inputs!$F$161*Inputs!$F$156/1000*Time!T$9,0)</f>
        <v>0</v>
      </c>
      <c r="U1140" s="20" t="n">
        <f aca="false">IF(Time!U$4=YEAR(Inputs!$F$158),Inputs!$F$161*Inputs!$F$156/1000*Time!U$9,0)</f>
        <v>0</v>
      </c>
      <c r="V1140" s="20" t="n">
        <f aca="false">IF(Time!V$4=YEAR(Inputs!$F$158),Inputs!$F$161*Inputs!$F$156/1000*Time!V$9,0)</f>
        <v>0</v>
      </c>
      <c r="W1140" s="20" t="n">
        <f aca="false">IF(Time!W$4=YEAR(Inputs!$F$158),Inputs!$F$161*Inputs!$F$156/1000*Time!W$9,0)</f>
        <v>0</v>
      </c>
      <c r="X1140" s="20" t="n">
        <f aca="false">IF(Time!X$4=YEAR(Inputs!$F$158),Inputs!$F$161*Inputs!$F$156/1000*Time!X$9,0)</f>
        <v>0</v>
      </c>
      <c r="Y1140" s="20" t="n">
        <f aca="false">IF(Time!Y$4=YEAR(Inputs!$F$158),Inputs!$F$161*Inputs!$F$156/1000*Time!Y$9,0)</f>
        <v>0</v>
      </c>
      <c r="Z1140" s="20" t="n">
        <f aca="false">IF(Time!Z$4=YEAR(Inputs!$F$158),Inputs!$F$161*Inputs!$F$156/1000*Time!Z$9,0)</f>
        <v>0</v>
      </c>
      <c r="AA1140" s="20" t="n">
        <f aca="false">IF(Time!AA$4=YEAR(Inputs!$F$158),Inputs!$F$161*Inputs!$F$156/1000*Time!AA$9,0)</f>
        <v>0</v>
      </c>
      <c r="AB1140" s="20" t="n">
        <f aca="false">IF(Time!AB$4=YEAR(Inputs!$F$158),Inputs!$F$161*Inputs!$F$156/1000*Time!AB$9,0)</f>
        <v>0</v>
      </c>
      <c r="AC1140" s="20" t="n">
        <f aca="false">IF(Time!AC$4=YEAR(Inputs!$F$158),Inputs!$F$161*Inputs!$F$156/1000*Time!AC$9,0)</f>
        <v>0</v>
      </c>
      <c r="AD1140" s="20" t="n">
        <f aca="false">IF(Time!AD$4=YEAR(Inputs!$F$158),Inputs!$F$161*Inputs!$F$156/1000*Time!AD$9,0)</f>
        <v>0</v>
      </c>
      <c r="AE1140" s="20" t="n">
        <f aca="false">IF(Time!AE$4=YEAR(Inputs!$F$158),Inputs!$F$161*Inputs!$F$156/1000*Time!AE$9,0)</f>
        <v>0</v>
      </c>
      <c r="AF1140" s="20" t="n">
        <f aca="false">IF(Time!AF$4=YEAR(Inputs!$F$158),Inputs!$F$161*Inputs!$F$156/1000*Time!AF$9,0)</f>
        <v>5.4229499023773</v>
      </c>
      <c r="AG1140" s="20" t="n">
        <f aca="false">IF(Time!AG$4=YEAR(Inputs!$F$158),Inputs!$F$161*Inputs!$F$156/1000*Time!AG$9,0)</f>
        <v>0</v>
      </c>
      <c r="AH1140" s="20" t="n">
        <f aca="false">IF(Time!AH$4=YEAR(Inputs!$F$158),Inputs!$F$161*Inputs!$F$156/1000*Time!AH$9,0)</f>
        <v>0</v>
      </c>
      <c r="AI1140" s="20" t="n">
        <f aca="false">IF(Time!AI$4=YEAR(Inputs!$F$158),Inputs!$F$161*Inputs!$F$156/1000*Time!AI$9,0)</f>
        <v>0</v>
      </c>
      <c r="AJ1140" s="20" t="n">
        <f aca="false">IF(Time!AJ$4=YEAR(Inputs!$F$158),Inputs!$F$161*Inputs!$F$156/1000*Time!AJ$9,0)</f>
        <v>0</v>
      </c>
      <c r="AK1140" s="20" t="n">
        <f aca="false">IF(Time!AK$4=YEAR(Inputs!$F$158),Inputs!$F$161*Inputs!$F$156/1000*Time!AK$9,0)</f>
        <v>0</v>
      </c>
      <c r="AL1140" s="20" t="n">
        <f aca="false">IF(Time!AL$4=YEAR(Inputs!$F$158),Inputs!$F$161*Inputs!$F$156/1000*Time!AL$9,0)</f>
        <v>0</v>
      </c>
      <c r="AM1140" s="20" t="n">
        <f aca="false">IF(Time!AM$4=YEAR(Inputs!$F$158),Inputs!$F$161*Inputs!$F$156/1000*Time!AM$9,0)</f>
        <v>0</v>
      </c>
      <c r="AN1140" s="20" t="n">
        <f aca="false">IF(Time!AN$4=YEAR(Inputs!$F$158),Inputs!$F$161*Inputs!$F$156/1000*Time!AN$9,0)</f>
        <v>0</v>
      </c>
      <c r="AO1140" s="20" t="n">
        <f aca="false">IF(Time!AO$4=YEAR(Inputs!$F$158),Inputs!$F$161*Inputs!$F$156/1000*Time!AO$9,0)</f>
        <v>0</v>
      </c>
      <c r="AP1140" s="20" t="n">
        <f aca="false">IF(Time!AP$4=YEAR(Inputs!$F$158),Inputs!$F$161*Inputs!$F$156/1000*Time!AP$9,0)</f>
        <v>0</v>
      </c>
      <c r="AQ1140" s="20" t="n">
        <f aca="false">IF(Time!AQ$4=YEAR(Inputs!$F$158),Inputs!$F$161*Inputs!$F$156/1000*Time!AQ$9,0)</f>
        <v>0</v>
      </c>
      <c r="AR1140" s="20" t="n">
        <f aca="false">IF(Time!AR$4=YEAR(Inputs!$F$158),Inputs!$F$161*Inputs!$F$156/1000*Time!AR$9,0)</f>
        <v>0</v>
      </c>
      <c r="AS1140" s="20" t="n">
        <f aca="false">IF(Time!AS$4=YEAR(Inputs!$F$158),Inputs!$F$161*Inputs!$F$156/1000*Time!AS$9,0)</f>
        <v>0</v>
      </c>
      <c r="AT1140" s="20" t="n">
        <f aca="false">IF(Time!AT$4=YEAR(Inputs!$F$158),Inputs!$F$161*Inputs!$F$156/1000*Time!AT$9,0)</f>
        <v>0</v>
      </c>
      <c r="AU1140" s="20" t="n">
        <f aca="false">IF(Time!AU$4=YEAR(Inputs!$F$158),Inputs!$F$161*Inputs!$F$156/1000*Time!AU$9,0)</f>
        <v>0</v>
      </c>
    </row>
    <row r="1141" customFormat="false" ht="15" hidden="false" customHeight="false" outlineLevel="0" collapsed="false">
      <c r="D1141" s="0" t="s">
        <v>745</v>
      </c>
      <c r="E1141" s="0" t="s">
        <v>47</v>
      </c>
      <c r="G1141" s="20" t="n">
        <f aca="false">SUM(J1141:AU1141)</f>
        <v>129.048195746998</v>
      </c>
      <c r="J1141" s="20" t="n">
        <f aca="false">Operations!J1138-Operations!J1139-Operations!J1140</f>
        <v>0</v>
      </c>
      <c r="K1141" s="20" t="n">
        <f aca="false">Operations!K1138-Operations!K1139-Operations!K1140</f>
        <v>0</v>
      </c>
      <c r="L1141" s="20" t="n">
        <f aca="false">Operations!L1138-Operations!L1139-Operations!L1140</f>
        <v>5.80284493816598</v>
      </c>
      <c r="M1141" s="20" t="n">
        <f aca="false">Operations!M1138-Operations!M1139-Operations!M1140</f>
        <v>7.71972191296875</v>
      </c>
      <c r="N1141" s="20" t="n">
        <f aca="false">Operations!N1138-Operations!N1139-Operations!N1140</f>
        <v>7.65830764829297</v>
      </c>
      <c r="O1141" s="20" t="n">
        <f aca="false">Operations!O1138-Operations!O1139-Operations!O1140</f>
        <v>7.5953580270003</v>
      </c>
      <c r="P1141" s="20" t="n">
        <f aca="false">Operations!P1138-Operations!P1139-Operations!P1140</f>
        <v>7.5308346651753</v>
      </c>
      <c r="Q1141" s="20" t="n">
        <f aca="false">Operations!Q1138-Operations!Q1139-Operations!Q1140</f>
        <v>6.65008430602344</v>
      </c>
      <c r="R1141" s="20" t="n">
        <f aca="false">Operations!R1138-Operations!R1139-Operations!R1140</f>
        <v>7.3969083622873</v>
      </c>
      <c r="S1141" s="20" t="n">
        <f aca="false">Operations!S1138-Operations!S1139-Operations!S1140</f>
        <v>7.32742375884449</v>
      </c>
      <c r="T1141" s="20" t="n">
        <f aca="false">Operations!T1138-Operations!T1139-Operations!T1140</f>
        <v>6.53316005296929</v>
      </c>
      <c r="U1141" s="20" t="n">
        <f aca="false">Operations!U1138-Operations!U1139-Operations!U1140</f>
        <v>5.45641130921117</v>
      </c>
      <c r="V1141" s="20" t="n">
        <f aca="false">Operations!V1138-Operations!V1139-Operations!V1140</f>
        <v>6.42042822954408</v>
      </c>
      <c r="W1141" s="20" t="n">
        <f aca="false">Operations!W1138-Operations!W1139-Operations!W1140</f>
        <v>6.48630277231393</v>
      </c>
      <c r="X1141" s="20" t="n">
        <f aca="false">Operations!X1138-Operations!X1139-Operations!X1140</f>
        <v>6.52965544086764</v>
      </c>
      <c r="Y1141" s="20" t="n">
        <f aca="false">Operations!Y1138-Operations!Y1139-Operations!Y1140</f>
        <v>6.4704930105831</v>
      </c>
      <c r="Z1141" s="20" t="n">
        <f aca="false">Operations!Z1138-Operations!Z1139-Operations!Z1140</f>
        <v>6.40720509409262</v>
      </c>
      <c r="AA1141" s="20" t="n">
        <f aca="false">Operations!AA1138-Operations!AA1139-Operations!AA1140</f>
        <v>6.34243934775425</v>
      </c>
      <c r="AB1141" s="20" t="n">
        <f aca="false">Operations!AB1138-Operations!AB1139-Operations!AB1140</f>
        <v>6.27454139094273</v>
      </c>
      <c r="AC1141" s="20" t="n">
        <f aca="false">Operations!AC1138-Operations!AC1139-Operations!AC1140</f>
        <v>6.20343287155295</v>
      </c>
      <c r="AD1141" s="20" t="n">
        <f aca="false">Operations!AD1138-Operations!AD1139-Operations!AD1140</f>
        <v>6.1291409215076</v>
      </c>
      <c r="AE1141" s="20" t="n">
        <f aca="false">Operations!AE1138-Operations!AE1139-Operations!AE1140</f>
        <v>6.05162143636714</v>
      </c>
      <c r="AF1141" s="20" t="n">
        <f aca="false">Operations!AF1138-Operations!AF1139-Operations!AF1140</f>
        <v>-3.93811974946687</v>
      </c>
      <c r="AG1141" s="20" t="n">
        <f aca="false">Operations!AG1138-Operations!AG1139-Operations!AG1140</f>
        <v>0</v>
      </c>
      <c r="AH1141" s="20" t="n">
        <f aca="false">Operations!AH1138-Operations!AH1139-Operations!AH1140</f>
        <v>0</v>
      </c>
      <c r="AI1141" s="20" t="n">
        <f aca="false">Operations!AI1138-Operations!AI1139-Operations!AI1140</f>
        <v>0</v>
      </c>
      <c r="AJ1141" s="20" t="n">
        <f aca="false">Operations!AJ1138-Operations!AJ1139-Operations!AJ1140</f>
        <v>0</v>
      </c>
      <c r="AK1141" s="20" t="n">
        <f aca="false">Operations!AK1138-Operations!AK1139-Operations!AK1140</f>
        <v>0</v>
      </c>
      <c r="AL1141" s="20" t="n">
        <f aca="false">Operations!AL1138-Operations!AL1139-Operations!AL1140</f>
        <v>0</v>
      </c>
      <c r="AM1141" s="20" t="n">
        <f aca="false">Operations!AM1138-Operations!AM1139-Operations!AM1140</f>
        <v>0</v>
      </c>
      <c r="AN1141" s="20" t="n">
        <f aca="false">Operations!AN1138-Operations!AN1139-Operations!AN1140</f>
        <v>0</v>
      </c>
      <c r="AO1141" s="20" t="n">
        <f aca="false">Operations!AO1138-Operations!AO1139-Operations!AO1140</f>
        <v>0</v>
      </c>
      <c r="AP1141" s="20" t="n">
        <f aca="false">Operations!AP1138-Operations!AP1139-Operations!AP1140</f>
        <v>0</v>
      </c>
      <c r="AQ1141" s="20" t="n">
        <f aca="false">Operations!AQ1138-Operations!AQ1139-Operations!AQ1140</f>
        <v>0</v>
      </c>
      <c r="AR1141" s="20" t="n">
        <f aca="false">Operations!AR1138-Operations!AR1139-Operations!AR1140</f>
        <v>0</v>
      </c>
      <c r="AS1141" s="20" t="n">
        <f aca="false">Operations!AS1138-Operations!AS1139-Operations!AS1140</f>
        <v>0</v>
      </c>
      <c r="AT1141" s="20" t="n">
        <f aca="false">Operations!AT1138-Operations!AT1139-Operations!AT1140</f>
        <v>0</v>
      </c>
      <c r="AU1141" s="20" t="n">
        <f aca="false">Operations!AU1138-Operations!AU1139-Operations!AU1140</f>
        <v>0</v>
      </c>
    </row>
    <row r="1142" customFormat="false" ht="15" hidden="false" customHeight="false" outlineLevel="0" collapsed="false">
      <c r="D1142" s="0" t="s">
        <v>746</v>
      </c>
      <c r="E1142" s="0" t="s">
        <v>458</v>
      </c>
      <c r="J1142" s="14" t="n">
        <f aca="false">0</f>
        <v>0</v>
      </c>
      <c r="K1142" s="14" t="n">
        <f aca="false">0</f>
        <v>0</v>
      </c>
      <c r="L1142" s="14" t="n">
        <f aca="false">0</f>
        <v>0</v>
      </c>
      <c r="M1142" s="14" t="n">
        <f aca="false">0</f>
        <v>0</v>
      </c>
      <c r="N1142" s="14" t="n">
        <f aca="false">0</f>
        <v>0</v>
      </c>
      <c r="O1142" s="14" t="n">
        <f aca="false">0</f>
        <v>0</v>
      </c>
      <c r="P1142" s="14" t="n">
        <f aca="false">0</f>
        <v>0</v>
      </c>
      <c r="Q1142" s="14" t="n">
        <f aca="false">0</f>
        <v>0</v>
      </c>
      <c r="R1142" s="14" t="n">
        <f aca="false">0</f>
        <v>0</v>
      </c>
      <c r="S1142" s="14" t="n">
        <f aca="false">0</f>
        <v>0</v>
      </c>
      <c r="T1142" s="14" t="n">
        <f aca="false">0</f>
        <v>0</v>
      </c>
      <c r="U1142" s="14" t="n">
        <f aca="false">0</f>
        <v>0</v>
      </c>
      <c r="V1142" s="14" t="n">
        <f aca="false">0</f>
        <v>0</v>
      </c>
      <c r="W1142" s="14" t="n">
        <f aca="false">0</f>
        <v>0</v>
      </c>
      <c r="X1142" s="14" t="n">
        <f aca="false">0</f>
        <v>0</v>
      </c>
      <c r="Y1142" s="14" t="n">
        <f aca="false">0</f>
        <v>0</v>
      </c>
      <c r="Z1142" s="14" t="n">
        <f aca="false">0</f>
        <v>0</v>
      </c>
      <c r="AA1142" s="14" t="n">
        <f aca="false">0</f>
        <v>0</v>
      </c>
      <c r="AB1142" s="14" t="n">
        <f aca="false">0</f>
        <v>0</v>
      </c>
      <c r="AC1142" s="14" t="n">
        <f aca="false">0</f>
        <v>0</v>
      </c>
      <c r="AD1142" s="14" t="n">
        <f aca="false">0</f>
        <v>0</v>
      </c>
      <c r="AE1142" s="14" t="n">
        <f aca="false">0</f>
        <v>0</v>
      </c>
      <c r="AF1142" s="14" t="n">
        <f aca="false">0</f>
        <v>0</v>
      </c>
      <c r="AG1142" s="14" t="n">
        <f aca="false">0</f>
        <v>0</v>
      </c>
      <c r="AH1142" s="14" t="n">
        <f aca="false">0</f>
        <v>0</v>
      </c>
      <c r="AI1142" s="14" t="n">
        <f aca="false">0</f>
        <v>0</v>
      </c>
      <c r="AJ1142" s="14" t="n">
        <f aca="false">0</f>
        <v>0</v>
      </c>
      <c r="AK1142" s="14" t="n">
        <f aca="false">0</f>
        <v>0</v>
      </c>
      <c r="AL1142" s="14" t="n">
        <f aca="false">0</f>
        <v>0</v>
      </c>
      <c r="AM1142" s="14" t="n">
        <f aca="false">0</f>
        <v>0</v>
      </c>
      <c r="AN1142" s="14" t="n">
        <f aca="false">0</f>
        <v>0</v>
      </c>
      <c r="AO1142" s="14" t="n">
        <f aca="false">0</f>
        <v>0</v>
      </c>
      <c r="AP1142" s="14" t="n">
        <f aca="false">0</f>
        <v>0</v>
      </c>
      <c r="AQ1142" s="14" t="n">
        <f aca="false">0</f>
        <v>0</v>
      </c>
      <c r="AR1142" s="14" t="n">
        <f aca="false">0</f>
        <v>0</v>
      </c>
      <c r="AS1142" s="14" t="n">
        <f aca="false">0</f>
        <v>0</v>
      </c>
      <c r="AT1142" s="14" t="n">
        <f aca="false">0</f>
        <v>0</v>
      </c>
      <c r="AU1142" s="14" t="n">
        <f aca="false">0</f>
        <v>0</v>
      </c>
    </row>
    <row r="1143" customFormat="false" ht="15" hidden="false" customHeight="false" outlineLevel="0" collapsed="false">
      <c r="D1143" s="0" t="s">
        <v>747</v>
      </c>
      <c r="E1143" s="0" t="s">
        <v>458</v>
      </c>
      <c r="J1143" s="14" t="n">
        <f aca="false">1</f>
        <v>1</v>
      </c>
      <c r="K1143" s="14" t="n">
        <f aca="false">1</f>
        <v>1</v>
      </c>
      <c r="L1143" s="14" t="n">
        <f aca="false">1</f>
        <v>1</v>
      </c>
      <c r="M1143" s="14" t="n">
        <f aca="false">1</f>
        <v>1</v>
      </c>
      <c r="N1143" s="14" t="n">
        <f aca="false">1</f>
        <v>1</v>
      </c>
      <c r="O1143" s="14" t="n">
        <f aca="false">1</f>
        <v>1</v>
      </c>
      <c r="P1143" s="14" t="n">
        <f aca="false">1</f>
        <v>1</v>
      </c>
      <c r="Q1143" s="14" t="n">
        <f aca="false">1</f>
        <v>1</v>
      </c>
      <c r="R1143" s="14" t="n">
        <f aca="false">1</f>
        <v>1</v>
      </c>
      <c r="S1143" s="14" t="n">
        <f aca="false">1</f>
        <v>1</v>
      </c>
      <c r="T1143" s="14" t="n">
        <f aca="false">1</f>
        <v>1</v>
      </c>
      <c r="U1143" s="14" t="n">
        <f aca="false">1</f>
        <v>1</v>
      </c>
      <c r="V1143" s="14" t="n">
        <f aca="false">1</f>
        <v>1</v>
      </c>
      <c r="W1143" s="14" t="n">
        <f aca="false">1</f>
        <v>1</v>
      </c>
      <c r="X1143" s="14" t="n">
        <f aca="false">1</f>
        <v>1</v>
      </c>
      <c r="Y1143" s="14" t="n">
        <f aca="false">1</f>
        <v>1</v>
      </c>
      <c r="Z1143" s="14" t="n">
        <f aca="false">1</f>
        <v>1</v>
      </c>
      <c r="AA1143" s="14" t="n">
        <f aca="false">1</f>
        <v>1</v>
      </c>
      <c r="AB1143" s="14" t="n">
        <f aca="false">1</f>
        <v>1</v>
      </c>
      <c r="AC1143" s="14" t="n">
        <f aca="false">1</f>
        <v>1</v>
      </c>
      <c r="AD1143" s="14" t="n">
        <f aca="false">1</f>
        <v>1</v>
      </c>
      <c r="AE1143" s="14" t="n">
        <f aca="false">1</f>
        <v>1</v>
      </c>
      <c r="AF1143" s="14" t="n">
        <f aca="false">1</f>
        <v>1</v>
      </c>
      <c r="AG1143" s="14" t="n">
        <f aca="false">1</f>
        <v>1</v>
      </c>
      <c r="AH1143" s="14" t="n">
        <f aca="false">1</f>
        <v>1</v>
      </c>
      <c r="AI1143" s="14" t="n">
        <f aca="false">1</f>
        <v>1</v>
      </c>
      <c r="AJ1143" s="14" t="n">
        <f aca="false">1</f>
        <v>1</v>
      </c>
      <c r="AK1143" s="14" t="n">
        <f aca="false">1</f>
        <v>1</v>
      </c>
      <c r="AL1143" s="14" t="n">
        <f aca="false">1</f>
        <v>1</v>
      </c>
      <c r="AM1143" s="14" t="n">
        <f aca="false">1</f>
        <v>1</v>
      </c>
      <c r="AN1143" s="14" t="n">
        <f aca="false">1</f>
        <v>1</v>
      </c>
      <c r="AO1143" s="14" t="n">
        <f aca="false">1</f>
        <v>1</v>
      </c>
      <c r="AP1143" s="14" t="n">
        <f aca="false">1</f>
        <v>1</v>
      </c>
      <c r="AQ1143" s="14" t="n">
        <f aca="false">1</f>
        <v>1</v>
      </c>
      <c r="AR1143" s="14" t="n">
        <f aca="false">1</f>
        <v>1</v>
      </c>
      <c r="AS1143" s="14" t="n">
        <f aca="false">1</f>
        <v>1</v>
      </c>
      <c r="AT1143" s="14" t="n">
        <f aca="false">1</f>
        <v>1</v>
      </c>
      <c r="AU1143" s="14" t="n">
        <f aca="false">1</f>
        <v>1</v>
      </c>
    </row>
    <row r="1144" customFormat="false" ht="15" hidden="false" customHeight="false" outlineLevel="0" collapsed="false">
      <c r="D1144" s="0" t="s">
        <v>748</v>
      </c>
      <c r="E1144" s="0" t="s">
        <v>47</v>
      </c>
      <c r="G1144" s="20" t="n">
        <f aca="false">SUM(J1144:AU1144)</f>
        <v>129.048195746998</v>
      </c>
      <c r="J1144" s="20" t="n">
        <f aca="false">Operations!J1141*(1-Operations!J1142)*Operations!J1110</f>
        <v>0</v>
      </c>
      <c r="K1144" s="20" t="n">
        <f aca="false">Operations!K1141*(1-Operations!K1142)*Operations!K1110</f>
        <v>0</v>
      </c>
      <c r="L1144" s="20" t="n">
        <f aca="false">Operations!L1141*(1-Operations!L1142)*Operations!L1110</f>
        <v>5.80284493816598</v>
      </c>
      <c r="M1144" s="20" t="n">
        <f aca="false">Operations!M1141*(1-Operations!M1142)*Operations!M1110</f>
        <v>7.71972191296875</v>
      </c>
      <c r="N1144" s="20" t="n">
        <f aca="false">Operations!N1141*(1-Operations!N1142)*Operations!N1110</f>
        <v>7.65830764829297</v>
      </c>
      <c r="O1144" s="20" t="n">
        <f aca="false">Operations!O1141*(1-Operations!O1142)*Operations!O1110</f>
        <v>7.5953580270003</v>
      </c>
      <c r="P1144" s="20" t="n">
        <f aca="false">Operations!P1141*(1-Operations!P1142)*Operations!P1110</f>
        <v>7.5308346651753</v>
      </c>
      <c r="Q1144" s="20" t="n">
        <f aca="false">Operations!Q1141*(1-Operations!Q1142)*Operations!Q1110</f>
        <v>6.65008430602344</v>
      </c>
      <c r="R1144" s="20" t="n">
        <f aca="false">Operations!R1141*(1-Operations!R1142)*Operations!R1110</f>
        <v>7.3969083622873</v>
      </c>
      <c r="S1144" s="20" t="n">
        <f aca="false">Operations!S1141*(1-Operations!S1142)*Operations!S1110</f>
        <v>7.32742375884449</v>
      </c>
      <c r="T1144" s="20" t="n">
        <f aca="false">Operations!T1141*(1-Operations!T1142)*Operations!T1110</f>
        <v>6.53316005296929</v>
      </c>
      <c r="U1144" s="20" t="n">
        <f aca="false">Operations!U1141*(1-Operations!U1142)*Operations!U1110</f>
        <v>5.45641130921117</v>
      </c>
      <c r="V1144" s="20" t="n">
        <f aca="false">Operations!V1141*(1-Operations!V1142)*Operations!V1110</f>
        <v>6.42042822954408</v>
      </c>
      <c r="W1144" s="20" t="n">
        <f aca="false">Operations!W1141*(1-Operations!W1142)*Operations!W1110</f>
        <v>6.48630277231393</v>
      </c>
      <c r="X1144" s="20" t="n">
        <f aca="false">Operations!X1141*(1-Operations!X1142)*Operations!X1110</f>
        <v>6.52965544086764</v>
      </c>
      <c r="Y1144" s="20" t="n">
        <f aca="false">Operations!Y1141*(1-Operations!Y1142)*Operations!Y1110</f>
        <v>6.4704930105831</v>
      </c>
      <c r="Z1144" s="20" t="n">
        <f aca="false">Operations!Z1141*(1-Operations!Z1142)*Operations!Z1110</f>
        <v>6.40720509409262</v>
      </c>
      <c r="AA1144" s="20" t="n">
        <f aca="false">Operations!AA1141*(1-Operations!AA1142)*Operations!AA1110</f>
        <v>6.34243934775425</v>
      </c>
      <c r="AB1144" s="20" t="n">
        <f aca="false">Operations!AB1141*(1-Operations!AB1142)*Operations!AB1110</f>
        <v>6.27454139094273</v>
      </c>
      <c r="AC1144" s="20" t="n">
        <f aca="false">Operations!AC1141*(1-Operations!AC1142)*Operations!AC1110</f>
        <v>6.20343287155295</v>
      </c>
      <c r="AD1144" s="20" t="n">
        <f aca="false">Operations!AD1141*(1-Operations!AD1142)*Operations!AD1110</f>
        <v>6.1291409215076</v>
      </c>
      <c r="AE1144" s="20" t="n">
        <f aca="false">Operations!AE1141*(1-Operations!AE1142)*Operations!AE1110</f>
        <v>6.05162143636714</v>
      </c>
      <c r="AF1144" s="20" t="n">
        <f aca="false">Operations!AF1141*(1-Operations!AF1142)*Operations!AF1110</f>
        <v>-3.93811974946687</v>
      </c>
      <c r="AG1144" s="20" t="n">
        <f aca="false">Operations!AG1141*(1-Operations!AG1142)*Operations!AG1110</f>
        <v>0</v>
      </c>
      <c r="AH1144" s="20" t="n">
        <f aca="false">Operations!AH1141*(1-Operations!AH1142)*Operations!AH1110</f>
        <v>0</v>
      </c>
      <c r="AI1144" s="20" t="n">
        <f aca="false">Operations!AI1141*(1-Operations!AI1142)*Operations!AI1110</f>
        <v>0</v>
      </c>
      <c r="AJ1144" s="20" t="n">
        <f aca="false">Operations!AJ1141*(1-Operations!AJ1142)*Operations!AJ1110</f>
        <v>0</v>
      </c>
      <c r="AK1144" s="20" t="n">
        <f aca="false">Operations!AK1141*(1-Operations!AK1142)*Operations!AK1110</f>
        <v>0</v>
      </c>
      <c r="AL1144" s="20" t="n">
        <f aca="false">Operations!AL1141*(1-Operations!AL1142)*Operations!AL1110</f>
        <v>0</v>
      </c>
      <c r="AM1144" s="20" t="n">
        <f aca="false">Operations!AM1141*(1-Operations!AM1142)*Operations!AM1110</f>
        <v>0</v>
      </c>
      <c r="AN1144" s="20" t="n">
        <f aca="false">Operations!AN1141*(1-Operations!AN1142)*Operations!AN1110</f>
        <v>0</v>
      </c>
      <c r="AO1144" s="20" t="n">
        <f aca="false">Operations!AO1141*(1-Operations!AO1142)*Operations!AO1110</f>
        <v>0</v>
      </c>
      <c r="AP1144" s="20" t="n">
        <f aca="false">Operations!AP1141*(1-Operations!AP1142)*Operations!AP1110</f>
        <v>0</v>
      </c>
      <c r="AQ1144" s="20" t="n">
        <f aca="false">Operations!AQ1141*(1-Operations!AQ1142)*Operations!AQ1110</f>
        <v>0</v>
      </c>
      <c r="AR1144" s="20" t="n">
        <f aca="false">Operations!AR1141*(1-Operations!AR1142)*Operations!AR1110</f>
        <v>0</v>
      </c>
      <c r="AS1144" s="20" t="n">
        <f aca="false">Operations!AS1141*(1-Operations!AS1142)*Operations!AS1110</f>
        <v>0</v>
      </c>
      <c r="AT1144" s="20" t="n">
        <f aca="false">Operations!AT1141*(1-Operations!AT1142)*Operations!AT1110</f>
        <v>0</v>
      </c>
      <c r="AU1144" s="20" t="n">
        <f aca="false">Operations!AU1141*(1-Operations!AU1142)*Operations!AU1110</f>
        <v>0</v>
      </c>
    </row>
    <row r="1145" customFormat="false" ht="15" hidden="false" customHeight="false" outlineLevel="0" collapsed="false">
      <c r="D1145" s="0" t="s">
        <v>749</v>
      </c>
      <c r="E1145" s="0" t="s">
        <v>47</v>
      </c>
      <c r="J1145" s="20" t="n">
        <f aca="false">Operations!J1141*Operations!J1143*Operations!J1110</f>
        <v>0</v>
      </c>
      <c r="K1145" s="20" t="n">
        <f aca="false">Operations!K1141*Operations!K1143*Operations!K1110</f>
        <v>0</v>
      </c>
      <c r="L1145" s="20" t="n">
        <f aca="false">Operations!L1141*Operations!L1143*Operations!L1110</f>
        <v>5.80284493816598</v>
      </c>
      <c r="M1145" s="20" t="n">
        <f aca="false">Operations!M1141*Operations!M1143*Operations!M1110</f>
        <v>7.71972191296875</v>
      </c>
      <c r="N1145" s="20" t="n">
        <f aca="false">Operations!N1141*Operations!N1143*Operations!N1110</f>
        <v>7.65830764829297</v>
      </c>
      <c r="O1145" s="20" t="n">
        <f aca="false">Operations!O1141*Operations!O1143*Operations!O1110</f>
        <v>7.5953580270003</v>
      </c>
      <c r="P1145" s="20" t="n">
        <f aca="false">Operations!P1141*Operations!P1143*Operations!P1110</f>
        <v>7.5308346651753</v>
      </c>
      <c r="Q1145" s="20" t="n">
        <f aca="false">Operations!Q1141*Operations!Q1143*Operations!Q1110</f>
        <v>6.65008430602344</v>
      </c>
      <c r="R1145" s="20" t="n">
        <f aca="false">Operations!R1141*Operations!R1143*Operations!R1110</f>
        <v>7.3969083622873</v>
      </c>
      <c r="S1145" s="20" t="n">
        <f aca="false">Operations!S1141*Operations!S1143*Operations!S1110</f>
        <v>7.32742375884449</v>
      </c>
      <c r="T1145" s="20" t="n">
        <f aca="false">Operations!T1141*Operations!T1143*Operations!T1110</f>
        <v>6.53316005296929</v>
      </c>
      <c r="U1145" s="20" t="n">
        <f aca="false">Operations!U1141*Operations!U1143*Operations!U1110</f>
        <v>5.45641130921117</v>
      </c>
      <c r="V1145" s="20" t="n">
        <f aca="false">Operations!V1141*Operations!V1143*Operations!V1110</f>
        <v>6.42042822954408</v>
      </c>
      <c r="W1145" s="20" t="n">
        <f aca="false">Operations!W1141*Operations!W1143*Operations!W1110</f>
        <v>6.48630277231393</v>
      </c>
      <c r="X1145" s="20" t="n">
        <f aca="false">Operations!X1141*Operations!X1143*Operations!X1110</f>
        <v>6.52965544086764</v>
      </c>
      <c r="Y1145" s="20" t="n">
        <f aca="false">Operations!Y1141*Operations!Y1143*Operations!Y1110</f>
        <v>6.4704930105831</v>
      </c>
      <c r="Z1145" s="20" t="n">
        <f aca="false">Operations!Z1141*Operations!Z1143*Operations!Z1110</f>
        <v>6.40720509409262</v>
      </c>
      <c r="AA1145" s="20" t="n">
        <f aca="false">Operations!AA1141*Operations!AA1143*Operations!AA1110</f>
        <v>6.34243934775425</v>
      </c>
      <c r="AB1145" s="20" t="n">
        <f aca="false">Operations!AB1141*Operations!AB1143*Operations!AB1110</f>
        <v>6.27454139094273</v>
      </c>
      <c r="AC1145" s="20" t="n">
        <f aca="false">Operations!AC1141*Operations!AC1143*Operations!AC1110</f>
        <v>6.20343287155295</v>
      </c>
      <c r="AD1145" s="20" t="n">
        <f aca="false">Operations!AD1141*Operations!AD1143*Operations!AD1110</f>
        <v>6.1291409215076</v>
      </c>
      <c r="AE1145" s="20" t="n">
        <f aca="false">Operations!AE1141*Operations!AE1143*Operations!AE1110</f>
        <v>6.05162143636714</v>
      </c>
      <c r="AF1145" s="20" t="n">
        <f aca="false">Operations!AF1141*Operations!AF1143*Operations!AF1110</f>
        <v>-3.93811974946687</v>
      </c>
      <c r="AG1145" s="20" t="n">
        <f aca="false">Operations!AG1141*Operations!AG1143*Operations!AG1110</f>
        <v>0</v>
      </c>
      <c r="AH1145" s="20" t="n">
        <f aca="false">Operations!AH1141*Operations!AH1143*Operations!AH1110</f>
        <v>0</v>
      </c>
      <c r="AI1145" s="20" t="n">
        <f aca="false">Operations!AI1141*Operations!AI1143*Operations!AI1110</f>
        <v>0</v>
      </c>
      <c r="AJ1145" s="20" t="n">
        <f aca="false">Operations!AJ1141*Operations!AJ1143*Operations!AJ1110</f>
        <v>0</v>
      </c>
      <c r="AK1145" s="20" t="n">
        <f aca="false">Operations!AK1141*Operations!AK1143*Operations!AK1110</f>
        <v>0</v>
      </c>
      <c r="AL1145" s="20" t="n">
        <f aca="false">Operations!AL1141*Operations!AL1143*Operations!AL1110</f>
        <v>0</v>
      </c>
      <c r="AM1145" s="20" t="n">
        <f aca="false">Operations!AM1141*Operations!AM1143*Operations!AM1110</f>
        <v>0</v>
      </c>
      <c r="AN1145" s="20" t="n">
        <f aca="false">Operations!AN1141*Operations!AN1143*Operations!AN1110</f>
        <v>0</v>
      </c>
      <c r="AO1145" s="20" t="n">
        <f aca="false">Operations!AO1141*Operations!AO1143*Operations!AO1110</f>
        <v>0</v>
      </c>
      <c r="AP1145" s="20" t="n">
        <f aca="false">Operations!AP1141*Operations!AP1143*Operations!AP1110</f>
        <v>0</v>
      </c>
      <c r="AQ1145" s="20" t="n">
        <f aca="false">Operations!AQ1141*Operations!AQ1143*Operations!AQ1110</f>
        <v>0</v>
      </c>
      <c r="AR1145" s="20" t="n">
        <f aca="false">Operations!AR1141*Operations!AR1143*Operations!AR1110</f>
        <v>0</v>
      </c>
      <c r="AS1145" s="20" t="n">
        <f aca="false">Operations!AS1141*Operations!AS1143*Operations!AS1110</f>
        <v>0</v>
      </c>
      <c r="AT1145" s="20" t="n">
        <f aca="false">Operations!AT1141*Operations!AT1143*Operations!AT1110</f>
        <v>0</v>
      </c>
      <c r="AU1145" s="20" t="n">
        <f aca="false">Operations!AU1141*Operations!AU1143*Operations!AU1110</f>
        <v>0</v>
      </c>
    </row>
    <row r="1146" customFormat="false" ht="15" hidden="false" customHeight="false" outlineLevel="0" collapsed="false">
      <c r="D1146" s="0" t="s">
        <v>750</v>
      </c>
      <c r="E1146" s="0" t="s">
        <v>47</v>
      </c>
      <c r="J1146" s="20" t="n">
        <f aca="false">Operations!J1144-Inputs!$F$248/100*Operations!J1145</f>
        <v>0</v>
      </c>
      <c r="K1146" s="20" t="n">
        <f aca="false">Operations!K1144-Inputs!$F$248/100*Operations!K1145</f>
        <v>0</v>
      </c>
      <c r="L1146" s="20" t="n">
        <f aca="false">Operations!L1144-Inputs!$F$248/100*Operations!L1145</f>
        <v>4.58424750115113</v>
      </c>
      <c r="M1146" s="20" t="n">
        <f aca="false">Operations!M1144-Inputs!$F$248/100*Operations!M1145</f>
        <v>6.09858031124531</v>
      </c>
      <c r="N1146" s="20" t="n">
        <f aca="false">Operations!N1144-Inputs!$F$248/100*Operations!N1145</f>
        <v>6.05006304215145</v>
      </c>
      <c r="O1146" s="20" t="n">
        <f aca="false">Operations!O1144-Inputs!$F$248/100*Operations!O1145</f>
        <v>6.00033284133023</v>
      </c>
      <c r="P1146" s="20" t="n">
        <f aca="false">Operations!P1144-Inputs!$F$248/100*Operations!P1145</f>
        <v>5.94935938548849</v>
      </c>
      <c r="Q1146" s="20" t="n">
        <f aca="false">Operations!Q1144-Inputs!$F$248/100*Operations!Q1145</f>
        <v>5.25356660175851</v>
      </c>
      <c r="R1146" s="20" t="n">
        <f aca="false">Operations!R1144-Inputs!$F$248/100*Operations!R1145</f>
        <v>5.84355760620697</v>
      </c>
      <c r="S1146" s="20" t="n">
        <f aca="false">Operations!S1144-Inputs!$F$248/100*Operations!S1145</f>
        <v>5.78866476948714</v>
      </c>
      <c r="T1146" s="20" t="n">
        <f aca="false">Operations!T1144-Inputs!$F$248/100*Operations!T1145</f>
        <v>5.16119644184574</v>
      </c>
      <c r="U1146" s="20" t="n">
        <f aca="false">Operations!U1144-Inputs!$F$248/100*Operations!U1145</f>
        <v>4.31056493427682</v>
      </c>
      <c r="V1146" s="20" t="n">
        <f aca="false">Operations!V1144-Inputs!$F$248/100*Operations!V1145</f>
        <v>5.07213830133982</v>
      </c>
      <c r="W1146" s="20" t="n">
        <f aca="false">Operations!W1144-Inputs!$F$248/100*Operations!W1145</f>
        <v>5.124179190128</v>
      </c>
      <c r="X1146" s="20" t="n">
        <f aca="false">Operations!X1144-Inputs!$F$248/100*Operations!X1145</f>
        <v>5.15842779828544</v>
      </c>
      <c r="Y1146" s="20" t="n">
        <f aca="false">Operations!Y1144-Inputs!$F$248/100*Operations!Y1145</f>
        <v>5.11168947836065</v>
      </c>
      <c r="Z1146" s="20" t="n">
        <f aca="false">Operations!Z1144-Inputs!$F$248/100*Operations!Z1145</f>
        <v>5.06169202433317</v>
      </c>
      <c r="AA1146" s="20" t="n">
        <f aca="false">Operations!AA1144-Inputs!$F$248/100*Operations!AA1145</f>
        <v>5.01052708472585</v>
      </c>
      <c r="AB1146" s="20" t="n">
        <f aca="false">Operations!AB1144-Inputs!$F$248/100*Operations!AB1145</f>
        <v>4.95688769884475</v>
      </c>
      <c r="AC1146" s="20" t="n">
        <f aca="false">Operations!AC1144-Inputs!$F$248/100*Operations!AC1145</f>
        <v>4.90071196852683</v>
      </c>
      <c r="AD1146" s="20" t="n">
        <f aca="false">Operations!AD1144-Inputs!$F$248/100*Operations!AD1145</f>
        <v>4.842021327991</v>
      </c>
      <c r="AE1146" s="20" t="n">
        <f aca="false">Operations!AE1144-Inputs!$F$248/100*Operations!AE1145</f>
        <v>4.78078093473004</v>
      </c>
      <c r="AF1146" s="20" t="n">
        <f aca="false">Operations!AF1144-Inputs!$F$248/100*Operations!AF1145</f>
        <v>-3.11111460207883</v>
      </c>
      <c r="AG1146" s="20" t="n">
        <f aca="false">Operations!AG1144-Inputs!$F$248/100*Operations!AG1145</f>
        <v>0</v>
      </c>
      <c r="AH1146" s="20" t="n">
        <f aca="false">Operations!AH1144-Inputs!$F$248/100*Operations!AH1145</f>
        <v>0</v>
      </c>
      <c r="AI1146" s="20" t="n">
        <f aca="false">Operations!AI1144-Inputs!$F$248/100*Operations!AI1145</f>
        <v>0</v>
      </c>
      <c r="AJ1146" s="20" t="n">
        <f aca="false">Operations!AJ1144-Inputs!$F$248/100*Operations!AJ1145</f>
        <v>0</v>
      </c>
      <c r="AK1146" s="20" t="n">
        <f aca="false">Operations!AK1144-Inputs!$F$248/100*Operations!AK1145</f>
        <v>0</v>
      </c>
      <c r="AL1146" s="20" t="n">
        <f aca="false">Operations!AL1144-Inputs!$F$248/100*Operations!AL1145</f>
        <v>0</v>
      </c>
      <c r="AM1146" s="20" t="n">
        <f aca="false">Operations!AM1144-Inputs!$F$248/100*Operations!AM1145</f>
        <v>0</v>
      </c>
      <c r="AN1146" s="20" t="n">
        <f aca="false">Operations!AN1144-Inputs!$F$248/100*Operations!AN1145</f>
        <v>0</v>
      </c>
      <c r="AO1146" s="20" t="n">
        <f aca="false">Operations!AO1144-Inputs!$F$248/100*Operations!AO1145</f>
        <v>0</v>
      </c>
      <c r="AP1146" s="20" t="n">
        <f aca="false">Operations!AP1144-Inputs!$F$248/100*Operations!AP1145</f>
        <v>0</v>
      </c>
      <c r="AQ1146" s="20" t="n">
        <f aca="false">Operations!AQ1144-Inputs!$F$248/100*Operations!AQ1145</f>
        <v>0</v>
      </c>
      <c r="AR1146" s="20" t="n">
        <f aca="false">Operations!AR1144-Inputs!$F$248/100*Operations!AR1145</f>
        <v>0</v>
      </c>
      <c r="AS1146" s="20" t="n">
        <f aca="false">Operations!AS1144-Inputs!$F$248/100*Operations!AS1145</f>
        <v>0</v>
      </c>
      <c r="AT1146" s="20" t="n">
        <f aca="false">Operations!AT1144-Inputs!$F$248/100*Operations!AT1145</f>
        <v>0</v>
      </c>
      <c r="AU1146" s="20" t="n">
        <f aca="false">Operations!AU1144-Inputs!$F$248/100*Operations!AU1145</f>
        <v>0</v>
      </c>
    </row>
    <row r="1147" customFormat="false" ht="15" hidden="false" customHeight="false" outlineLevel="0" collapsed="false">
      <c r="D1147" s="0" t="s">
        <v>751</v>
      </c>
      <c r="E1147" s="0" t="s">
        <v>458</v>
      </c>
      <c r="J1147" s="14" t="n">
        <f aca="false">IF(Operations!J1132=0,0,Operations!J1130/Operations!J1132)</f>
        <v>0</v>
      </c>
      <c r="K1147" s="14" t="n">
        <f aca="false">IF(Operations!K1132=0,0,Operations!K1130/Operations!K1132)</f>
        <v>0</v>
      </c>
      <c r="L1147" s="14" t="n">
        <f aca="false">IF(Operations!L1132=0,0,Operations!L1130/Operations!L1132)</f>
        <v>1</v>
      </c>
      <c r="M1147" s="14" t="n">
        <f aca="false">IF(Operations!M1132=0,0,Operations!M1130/Operations!M1132)</f>
        <v>1</v>
      </c>
      <c r="N1147" s="14" t="n">
        <f aca="false">IF(Operations!N1132=0,0,Operations!N1130/Operations!N1132)</f>
        <v>1</v>
      </c>
      <c r="O1147" s="14" t="n">
        <f aca="false">IF(Operations!O1132=0,0,Operations!O1130/Operations!O1132)</f>
        <v>1</v>
      </c>
      <c r="P1147" s="14" t="n">
        <f aca="false">IF(Operations!P1132=0,0,Operations!P1130/Operations!P1132)</f>
        <v>1</v>
      </c>
      <c r="Q1147" s="14" t="n">
        <f aca="false">IF(Operations!Q1132=0,0,Operations!Q1130/Operations!Q1132)</f>
        <v>1</v>
      </c>
      <c r="R1147" s="14" t="n">
        <f aca="false">IF(Operations!R1132=0,0,Operations!R1130/Operations!R1132)</f>
        <v>1</v>
      </c>
      <c r="S1147" s="14" t="n">
        <f aca="false">IF(Operations!S1132=0,0,Operations!S1130/Operations!S1132)</f>
        <v>1</v>
      </c>
      <c r="T1147" s="14" t="n">
        <f aca="false">IF(Operations!T1132=0,0,Operations!T1130/Operations!T1132)</f>
        <v>0.270592127068931</v>
      </c>
      <c r="U1147" s="14" t="n">
        <f aca="false">IF(Operations!U1132=0,0,Operations!U1130/Operations!U1132)</f>
        <v>0</v>
      </c>
      <c r="V1147" s="14" t="n">
        <f aca="false">IF(Operations!V1132=0,0,Operations!V1130/Operations!V1132)</f>
        <v>0</v>
      </c>
      <c r="W1147" s="14" t="n">
        <f aca="false">IF(Operations!W1132=0,0,Operations!W1130/Operations!W1132)</f>
        <v>0</v>
      </c>
      <c r="X1147" s="14" t="n">
        <f aca="false">IF(Operations!X1132=0,0,Operations!X1130/Operations!X1132)</f>
        <v>0</v>
      </c>
      <c r="Y1147" s="14" t="n">
        <f aca="false">IF(Operations!Y1132=0,0,Operations!Y1130/Operations!Y1132)</f>
        <v>0</v>
      </c>
      <c r="Z1147" s="14" t="n">
        <f aca="false">IF(Operations!Z1132=0,0,Operations!Z1130/Operations!Z1132)</f>
        <v>0</v>
      </c>
      <c r="AA1147" s="14" t="n">
        <f aca="false">IF(Operations!AA1132=0,0,Operations!AA1130/Operations!AA1132)</f>
        <v>0</v>
      </c>
      <c r="AB1147" s="14" t="n">
        <f aca="false">IF(Operations!AB1132=0,0,Operations!AB1130/Operations!AB1132)</f>
        <v>0</v>
      </c>
      <c r="AC1147" s="14" t="n">
        <f aca="false">IF(Operations!AC1132=0,0,Operations!AC1130/Operations!AC1132)</f>
        <v>0</v>
      </c>
      <c r="AD1147" s="14" t="n">
        <f aca="false">IF(Operations!AD1132=0,0,Operations!AD1130/Operations!AD1132)</f>
        <v>0</v>
      </c>
      <c r="AE1147" s="14" t="n">
        <f aca="false">IF(Operations!AE1132=0,0,Operations!AE1130/Operations!AE1132)</f>
        <v>0</v>
      </c>
      <c r="AF1147" s="14" t="n">
        <f aca="false">IF(Operations!AF1132=0,0,Operations!AF1130/Operations!AF1132)</f>
        <v>0</v>
      </c>
      <c r="AG1147" s="14" t="n">
        <f aca="false">IF(Operations!AG1132=0,0,Operations!AG1130/Operations!AG1132)</f>
        <v>0</v>
      </c>
      <c r="AH1147" s="14" t="n">
        <f aca="false">IF(Operations!AH1132=0,0,Operations!AH1130/Operations!AH1132)</f>
        <v>0</v>
      </c>
      <c r="AI1147" s="14" t="n">
        <f aca="false">IF(Operations!AI1132=0,0,Operations!AI1130/Operations!AI1132)</f>
        <v>0</v>
      </c>
      <c r="AJ1147" s="14" t="n">
        <f aca="false">IF(Operations!AJ1132=0,0,Operations!AJ1130/Operations!AJ1132)</f>
        <v>0</v>
      </c>
      <c r="AK1147" s="14" t="n">
        <f aca="false">IF(Operations!AK1132=0,0,Operations!AK1130/Operations!AK1132)</f>
        <v>0</v>
      </c>
      <c r="AL1147" s="14" t="n">
        <f aca="false">IF(Operations!AL1132=0,0,Operations!AL1130/Operations!AL1132)</f>
        <v>0</v>
      </c>
      <c r="AM1147" s="14" t="n">
        <f aca="false">IF(Operations!AM1132=0,0,Operations!AM1130/Operations!AM1132)</f>
        <v>0</v>
      </c>
      <c r="AN1147" s="14" t="n">
        <f aca="false">IF(Operations!AN1132=0,0,Operations!AN1130/Operations!AN1132)</f>
        <v>0</v>
      </c>
      <c r="AO1147" s="14" t="n">
        <f aca="false">IF(Operations!AO1132=0,0,Operations!AO1130/Operations!AO1132)</f>
        <v>0</v>
      </c>
      <c r="AP1147" s="14" t="n">
        <f aca="false">IF(Operations!AP1132=0,0,Operations!AP1130/Operations!AP1132)</f>
        <v>0</v>
      </c>
      <c r="AQ1147" s="14" t="n">
        <f aca="false">IF(Operations!AQ1132=0,0,Operations!AQ1130/Operations!AQ1132)</f>
        <v>0</v>
      </c>
      <c r="AR1147" s="14" t="n">
        <f aca="false">IF(Operations!AR1132=0,0,Operations!AR1130/Operations!AR1132)</f>
        <v>0</v>
      </c>
      <c r="AS1147" s="14" t="n">
        <f aca="false">IF(Operations!AS1132=0,0,Operations!AS1130/Operations!AS1132)</f>
        <v>0</v>
      </c>
      <c r="AT1147" s="14" t="n">
        <f aca="false">IF(Operations!AT1132=0,0,Operations!AT1130/Operations!AT1132)</f>
        <v>0</v>
      </c>
      <c r="AU1147" s="14" t="n">
        <f aca="false">IF(Operations!AU1132=0,0,Operations!AU1130/Operations!AU1132)</f>
        <v>0</v>
      </c>
    </row>
    <row r="1148" customFormat="false" ht="15" hidden="false" customHeight="false" outlineLevel="0" collapsed="false">
      <c r="D1148" s="0" t="s">
        <v>752</v>
      </c>
      <c r="E1148" s="0" t="s">
        <v>458</v>
      </c>
      <c r="J1148" s="14" t="n">
        <f aca="false">IF(Operations!J1132=0,0,Operations!J1131/Operations!J1132)</f>
        <v>0</v>
      </c>
      <c r="K1148" s="14" t="n">
        <f aca="false">IF(Operations!K1132=0,0,Operations!K1131/Operations!K1132)</f>
        <v>0</v>
      </c>
      <c r="L1148" s="14" t="n">
        <f aca="false">IF(Operations!L1132=0,0,Operations!L1131/Operations!L1132)</f>
        <v>0</v>
      </c>
      <c r="M1148" s="14" t="n">
        <f aca="false">IF(Operations!M1132=0,0,Operations!M1131/Operations!M1132)</f>
        <v>0</v>
      </c>
      <c r="N1148" s="14" t="n">
        <f aca="false">IF(Operations!N1132=0,0,Operations!N1131/Operations!N1132)</f>
        <v>0</v>
      </c>
      <c r="O1148" s="14" t="n">
        <f aca="false">IF(Operations!O1132=0,0,Operations!O1131/Operations!O1132)</f>
        <v>0</v>
      </c>
      <c r="P1148" s="14" t="n">
        <f aca="false">IF(Operations!P1132=0,0,Operations!P1131/Operations!P1132)</f>
        <v>0</v>
      </c>
      <c r="Q1148" s="14" t="n">
        <f aca="false">IF(Operations!Q1132=0,0,Operations!Q1131/Operations!Q1132)</f>
        <v>0</v>
      </c>
      <c r="R1148" s="14" t="n">
        <f aca="false">IF(Operations!R1132=0,0,Operations!R1131/Operations!R1132)</f>
        <v>0</v>
      </c>
      <c r="S1148" s="14" t="n">
        <f aca="false">IF(Operations!S1132=0,0,Operations!S1131/Operations!S1132)</f>
        <v>0</v>
      </c>
      <c r="T1148" s="14" t="n">
        <f aca="false">IF(Operations!T1132=0,0,Operations!T1131/Operations!T1132)</f>
        <v>0</v>
      </c>
      <c r="U1148" s="14" t="n">
        <f aca="false">IF(Operations!U1132=0,0,Operations!U1131/Operations!U1132)</f>
        <v>0</v>
      </c>
      <c r="V1148" s="14" t="n">
        <f aca="false">IF(Operations!V1132=0,0,Operations!V1131/Operations!V1132)</f>
        <v>0</v>
      </c>
      <c r="W1148" s="14" t="n">
        <f aca="false">IF(Operations!W1132=0,0,Operations!W1131/Operations!W1132)</f>
        <v>0</v>
      </c>
      <c r="X1148" s="14" t="n">
        <f aca="false">IF(Operations!X1132=0,0,Operations!X1131/Operations!X1132)</f>
        <v>0</v>
      </c>
      <c r="Y1148" s="14" t="n">
        <f aca="false">IF(Operations!Y1132=0,0,Operations!Y1131/Operations!Y1132)</f>
        <v>0</v>
      </c>
      <c r="Z1148" s="14" t="n">
        <f aca="false">IF(Operations!Z1132=0,0,Operations!Z1131/Operations!Z1132)</f>
        <v>0</v>
      </c>
      <c r="AA1148" s="14" t="n">
        <f aca="false">IF(Operations!AA1132=0,0,Operations!AA1131/Operations!AA1132)</f>
        <v>0</v>
      </c>
      <c r="AB1148" s="14" t="n">
        <f aca="false">IF(Operations!AB1132=0,0,Operations!AB1131/Operations!AB1132)</f>
        <v>0</v>
      </c>
      <c r="AC1148" s="14" t="n">
        <f aca="false">IF(Operations!AC1132=0,0,Operations!AC1131/Operations!AC1132)</f>
        <v>0</v>
      </c>
      <c r="AD1148" s="14" t="n">
        <f aca="false">IF(Operations!AD1132=0,0,Operations!AD1131/Operations!AD1132)</f>
        <v>0</v>
      </c>
      <c r="AE1148" s="14" t="n">
        <f aca="false">IF(Operations!AE1132=0,0,Operations!AE1131/Operations!AE1132)</f>
        <v>0</v>
      </c>
      <c r="AF1148" s="14" t="n">
        <f aca="false">IF(Operations!AF1132=0,0,Operations!AF1131/Operations!AF1132)</f>
        <v>0</v>
      </c>
      <c r="AG1148" s="14" t="n">
        <f aca="false">IF(Operations!AG1132=0,0,Operations!AG1131/Operations!AG1132)</f>
        <v>0</v>
      </c>
      <c r="AH1148" s="14" t="n">
        <f aca="false">IF(Operations!AH1132=0,0,Operations!AH1131/Operations!AH1132)</f>
        <v>0</v>
      </c>
      <c r="AI1148" s="14" t="n">
        <f aca="false">IF(Operations!AI1132=0,0,Operations!AI1131/Operations!AI1132)</f>
        <v>0</v>
      </c>
      <c r="AJ1148" s="14" t="n">
        <f aca="false">IF(Operations!AJ1132=0,0,Operations!AJ1131/Operations!AJ1132)</f>
        <v>0</v>
      </c>
      <c r="AK1148" s="14" t="n">
        <f aca="false">IF(Operations!AK1132=0,0,Operations!AK1131/Operations!AK1132)</f>
        <v>0</v>
      </c>
      <c r="AL1148" s="14" t="n">
        <f aca="false">IF(Operations!AL1132=0,0,Operations!AL1131/Operations!AL1132)</f>
        <v>0</v>
      </c>
      <c r="AM1148" s="14" t="n">
        <f aca="false">IF(Operations!AM1132=0,0,Operations!AM1131/Operations!AM1132)</f>
        <v>0</v>
      </c>
      <c r="AN1148" s="14" t="n">
        <f aca="false">IF(Operations!AN1132=0,0,Operations!AN1131/Operations!AN1132)</f>
        <v>0</v>
      </c>
      <c r="AO1148" s="14" t="n">
        <f aca="false">IF(Operations!AO1132=0,0,Operations!AO1131/Operations!AO1132)</f>
        <v>0</v>
      </c>
      <c r="AP1148" s="14" t="n">
        <f aca="false">IF(Operations!AP1132=0,0,Operations!AP1131/Operations!AP1132)</f>
        <v>0</v>
      </c>
      <c r="AQ1148" s="14" t="n">
        <f aca="false">IF(Operations!AQ1132=0,0,Operations!AQ1131/Operations!AQ1132)</f>
        <v>0</v>
      </c>
      <c r="AR1148" s="14" t="n">
        <f aca="false">IF(Operations!AR1132=0,0,Operations!AR1131/Operations!AR1132)</f>
        <v>0</v>
      </c>
      <c r="AS1148" s="14" t="n">
        <f aca="false">IF(Operations!AS1132=0,0,Operations!AS1131/Operations!AS1132)</f>
        <v>0</v>
      </c>
      <c r="AT1148" s="14" t="n">
        <f aca="false">IF(Operations!AT1132=0,0,Operations!AT1131/Operations!AT1132)</f>
        <v>0</v>
      </c>
      <c r="AU1148" s="14" t="n">
        <f aca="false">IF(Operations!AU1132=0,0,Operations!AU1131/Operations!AU1132)</f>
        <v>0</v>
      </c>
    </row>
    <row r="1149" customFormat="false" ht="15" hidden="false" customHeight="false" outlineLevel="0" collapsed="false">
      <c r="D1149" s="0" t="s">
        <v>753</v>
      </c>
      <c r="E1149" s="0" t="s">
        <v>458</v>
      </c>
      <c r="J1149" s="14" t="n">
        <f aca="false">1-Operations!J1147-Operations!J1148</f>
        <v>1</v>
      </c>
      <c r="K1149" s="14" t="n">
        <f aca="false">1-Operations!K1147-Operations!K1148</f>
        <v>1</v>
      </c>
      <c r="L1149" s="14" t="n">
        <f aca="false">1-Operations!L1147-Operations!L1148</f>
        <v>0</v>
      </c>
      <c r="M1149" s="14" t="n">
        <f aca="false">1-Operations!M1147-Operations!M1148</f>
        <v>0</v>
      </c>
      <c r="N1149" s="14" t="n">
        <f aca="false">1-Operations!N1147-Operations!N1148</f>
        <v>0</v>
      </c>
      <c r="O1149" s="14" t="n">
        <f aca="false">1-Operations!O1147-Operations!O1148</f>
        <v>0</v>
      </c>
      <c r="P1149" s="14" t="n">
        <f aca="false">1-Operations!P1147-Operations!P1148</f>
        <v>0</v>
      </c>
      <c r="Q1149" s="14" t="n">
        <f aca="false">1-Operations!Q1147-Operations!Q1148</f>
        <v>0</v>
      </c>
      <c r="R1149" s="14" t="n">
        <f aca="false">1-Operations!R1147-Operations!R1148</f>
        <v>0</v>
      </c>
      <c r="S1149" s="14" t="n">
        <f aca="false">1-Operations!S1147-Operations!S1148</f>
        <v>0</v>
      </c>
      <c r="T1149" s="14" t="n">
        <f aca="false">1-Operations!T1147-Operations!T1148</f>
        <v>0.729407872931069</v>
      </c>
      <c r="U1149" s="14" t="n">
        <f aca="false">1-Operations!U1147-Operations!U1148</f>
        <v>1</v>
      </c>
      <c r="V1149" s="14" t="n">
        <f aca="false">1-Operations!V1147-Operations!V1148</f>
        <v>1</v>
      </c>
      <c r="W1149" s="14" t="n">
        <f aca="false">1-Operations!W1147-Operations!W1148</f>
        <v>1</v>
      </c>
      <c r="X1149" s="14" t="n">
        <f aca="false">1-Operations!X1147-Operations!X1148</f>
        <v>1</v>
      </c>
      <c r="Y1149" s="14" t="n">
        <f aca="false">1-Operations!Y1147-Operations!Y1148</f>
        <v>1</v>
      </c>
      <c r="Z1149" s="14" t="n">
        <f aca="false">1-Operations!Z1147-Operations!Z1148</f>
        <v>1</v>
      </c>
      <c r="AA1149" s="14" t="n">
        <f aca="false">1-Operations!AA1147-Operations!AA1148</f>
        <v>1</v>
      </c>
      <c r="AB1149" s="14" t="n">
        <f aca="false">1-Operations!AB1147-Operations!AB1148</f>
        <v>1</v>
      </c>
      <c r="AC1149" s="14" t="n">
        <f aca="false">1-Operations!AC1147-Operations!AC1148</f>
        <v>1</v>
      </c>
      <c r="AD1149" s="14" t="n">
        <f aca="false">1-Operations!AD1147-Operations!AD1148</f>
        <v>1</v>
      </c>
      <c r="AE1149" s="14" t="n">
        <f aca="false">1-Operations!AE1147-Operations!AE1148</f>
        <v>1</v>
      </c>
      <c r="AF1149" s="14" t="n">
        <f aca="false">1-Operations!AF1147-Operations!AF1148</f>
        <v>1</v>
      </c>
      <c r="AG1149" s="14" t="n">
        <f aca="false">1-Operations!AG1147-Operations!AG1148</f>
        <v>1</v>
      </c>
      <c r="AH1149" s="14" t="n">
        <f aca="false">1-Operations!AH1147-Operations!AH1148</f>
        <v>1</v>
      </c>
      <c r="AI1149" s="14" t="n">
        <f aca="false">1-Operations!AI1147-Operations!AI1148</f>
        <v>1</v>
      </c>
      <c r="AJ1149" s="14" t="n">
        <f aca="false">1-Operations!AJ1147-Operations!AJ1148</f>
        <v>1</v>
      </c>
      <c r="AK1149" s="14" t="n">
        <f aca="false">1-Operations!AK1147-Operations!AK1148</f>
        <v>1</v>
      </c>
      <c r="AL1149" s="14" t="n">
        <f aca="false">1-Operations!AL1147-Operations!AL1148</f>
        <v>1</v>
      </c>
      <c r="AM1149" s="14" t="n">
        <f aca="false">1-Operations!AM1147-Operations!AM1148</f>
        <v>1</v>
      </c>
      <c r="AN1149" s="14" t="n">
        <f aca="false">1-Operations!AN1147-Operations!AN1148</f>
        <v>1</v>
      </c>
      <c r="AO1149" s="14" t="n">
        <f aca="false">1-Operations!AO1147-Operations!AO1148</f>
        <v>1</v>
      </c>
      <c r="AP1149" s="14" t="n">
        <f aca="false">1-Operations!AP1147-Operations!AP1148</f>
        <v>1</v>
      </c>
      <c r="AQ1149" s="14" t="n">
        <f aca="false">1-Operations!AQ1147-Operations!AQ1148</f>
        <v>1</v>
      </c>
      <c r="AR1149" s="14" t="n">
        <f aca="false">1-Operations!AR1147-Operations!AR1148</f>
        <v>1</v>
      </c>
      <c r="AS1149" s="14" t="n">
        <f aca="false">1-Operations!AS1147-Operations!AS1148</f>
        <v>1</v>
      </c>
      <c r="AT1149" s="14" t="n">
        <f aca="false">1-Operations!AT1147-Operations!AT1148</f>
        <v>1</v>
      </c>
      <c r="AU1149" s="14" t="n">
        <f aca="false">1-Operations!AU1147-Operations!AU1148</f>
        <v>1</v>
      </c>
    </row>
    <row r="1150" customFormat="false" ht="15" hidden="false" customHeight="false" outlineLevel="0" collapsed="false">
      <c r="D1150" s="0" t="s">
        <v>754</v>
      </c>
      <c r="E1150" s="0" t="s">
        <v>47</v>
      </c>
      <c r="J1150" s="20" t="n">
        <f aca="false">Operations!J1130*Operations!J1110*(1-Operations!J1142)</f>
        <v>0</v>
      </c>
      <c r="K1150" s="20" t="n">
        <f aca="false">Operations!K1130*Operations!K1110*(1-Operations!K1142)</f>
        <v>0</v>
      </c>
      <c r="L1150" s="20" t="n">
        <f aca="false">Operations!L1130*Operations!L1110*(1-Operations!L1142)</f>
        <v>7.6305737704918</v>
      </c>
      <c r="M1150" s="20" t="n">
        <f aca="false">Operations!M1130*Operations!M1110*(1-Operations!M1142)</f>
        <v>10.23</v>
      </c>
      <c r="N1150" s="20" t="n">
        <f aca="false">Operations!N1130*Operations!N1110*(1-Operations!N1142)</f>
        <v>10.23</v>
      </c>
      <c r="O1150" s="20" t="n">
        <f aca="false">Operations!O1130*Operations!O1110*(1-Operations!O1142)</f>
        <v>10.23</v>
      </c>
      <c r="P1150" s="20" t="n">
        <f aca="false">Operations!P1130*Operations!P1110*(1-Operations!P1142)</f>
        <v>10.23</v>
      </c>
      <c r="Q1150" s="20" t="n">
        <f aca="false">Operations!Q1130*Operations!Q1110*(1-Operations!Q1142)</f>
        <v>10.23</v>
      </c>
      <c r="R1150" s="20" t="n">
        <f aca="false">Operations!R1130*Operations!R1110*(1-Operations!R1142)</f>
        <v>10.23</v>
      </c>
      <c r="S1150" s="20" t="n">
        <f aca="false">Operations!S1130*Operations!S1110*(1-Operations!S1142)</f>
        <v>10.23</v>
      </c>
      <c r="T1150" s="20" t="n">
        <f aca="false">Operations!T1130*Operations!T1110*(1-Operations!T1142)</f>
        <v>2.57147540983607</v>
      </c>
      <c r="U1150" s="20" t="n">
        <f aca="false">Operations!U1130*Operations!U1110*(1-Operations!U1142)</f>
        <v>0</v>
      </c>
      <c r="V1150" s="20" t="n">
        <f aca="false">Operations!V1130*Operations!V1110*(1-Operations!V1142)</f>
        <v>0</v>
      </c>
      <c r="W1150" s="20" t="n">
        <f aca="false">Operations!W1130*Operations!W1110*(1-Operations!W1142)</f>
        <v>0</v>
      </c>
      <c r="X1150" s="20" t="n">
        <f aca="false">Operations!X1130*Operations!X1110*(1-Operations!X1142)</f>
        <v>0</v>
      </c>
      <c r="Y1150" s="20" t="n">
        <f aca="false">Operations!Y1130*Operations!Y1110*(1-Operations!Y1142)</f>
        <v>0</v>
      </c>
      <c r="Z1150" s="20" t="n">
        <f aca="false">Operations!Z1130*Operations!Z1110*(1-Operations!Z1142)</f>
        <v>0</v>
      </c>
      <c r="AA1150" s="20" t="n">
        <f aca="false">Operations!AA1130*Operations!AA1110*(1-Operations!AA1142)</f>
        <v>0</v>
      </c>
      <c r="AB1150" s="20" t="n">
        <f aca="false">Operations!AB1130*Operations!AB1110*(1-Operations!AB1142)</f>
        <v>0</v>
      </c>
      <c r="AC1150" s="20" t="n">
        <f aca="false">Operations!AC1130*Operations!AC1110*(1-Operations!AC1142)</f>
        <v>0</v>
      </c>
      <c r="AD1150" s="20" t="n">
        <f aca="false">Operations!AD1130*Operations!AD1110*(1-Operations!AD1142)</f>
        <v>0</v>
      </c>
      <c r="AE1150" s="20" t="n">
        <f aca="false">Operations!AE1130*Operations!AE1110*(1-Operations!AE1142)</f>
        <v>0</v>
      </c>
      <c r="AF1150" s="20" t="n">
        <f aca="false">Operations!AF1130*Operations!AF1110*(1-Operations!AF1142)</f>
        <v>0</v>
      </c>
      <c r="AG1150" s="20" t="n">
        <f aca="false">Operations!AG1130*Operations!AG1110*(1-Operations!AG1142)</f>
        <v>0</v>
      </c>
      <c r="AH1150" s="20" t="n">
        <f aca="false">Operations!AH1130*Operations!AH1110*(1-Operations!AH1142)</f>
        <v>0</v>
      </c>
      <c r="AI1150" s="20" t="n">
        <f aca="false">Operations!AI1130*Operations!AI1110*(1-Operations!AI1142)</f>
        <v>0</v>
      </c>
      <c r="AJ1150" s="20" t="n">
        <f aca="false">Operations!AJ1130*Operations!AJ1110*(1-Operations!AJ1142)</f>
        <v>0</v>
      </c>
      <c r="AK1150" s="20" t="n">
        <f aca="false">Operations!AK1130*Operations!AK1110*(1-Operations!AK1142)</f>
        <v>0</v>
      </c>
      <c r="AL1150" s="20" t="n">
        <f aca="false">Operations!AL1130*Operations!AL1110*(1-Operations!AL1142)</f>
        <v>0</v>
      </c>
      <c r="AM1150" s="20" t="n">
        <f aca="false">Operations!AM1130*Operations!AM1110*(1-Operations!AM1142)</f>
        <v>0</v>
      </c>
      <c r="AN1150" s="20" t="n">
        <f aca="false">Operations!AN1130*Operations!AN1110*(1-Operations!AN1142)</f>
        <v>0</v>
      </c>
      <c r="AO1150" s="20" t="n">
        <f aca="false">Operations!AO1130*Operations!AO1110*(1-Operations!AO1142)</f>
        <v>0</v>
      </c>
      <c r="AP1150" s="20" t="n">
        <f aca="false">Operations!AP1130*Operations!AP1110*(1-Operations!AP1142)</f>
        <v>0</v>
      </c>
      <c r="AQ1150" s="20" t="n">
        <f aca="false">Operations!AQ1130*Operations!AQ1110*(1-Operations!AQ1142)</f>
        <v>0</v>
      </c>
      <c r="AR1150" s="20" t="n">
        <f aca="false">Operations!AR1130*Operations!AR1110*(1-Operations!AR1142)</f>
        <v>0</v>
      </c>
      <c r="AS1150" s="20" t="n">
        <f aca="false">Operations!AS1130*Operations!AS1110*(1-Operations!AS1142)</f>
        <v>0</v>
      </c>
      <c r="AT1150" s="20" t="n">
        <f aca="false">Operations!AT1130*Operations!AT1110*(1-Operations!AT1142)</f>
        <v>0</v>
      </c>
      <c r="AU1150" s="20" t="n">
        <f aca="false">Operations!AU1130*Operations!AU1110*(1-Operations!AU1142)</f>
        <v>0</v>
      </c>
    </row>
    <row r="1151" customFormat="false" ht="15" hidden="false" customHeight="false" outlineLevel="0" collapsed="false">
      <c r="D1151" s="0" t="s">
        <v>755</v>
      </c>
      <c r="E1151" s="0" t="s">
        <v>47</v>
      </c>
      <c r="J1151" s="20" t="n">
        <f aca="false">Operations!J1131*Operations!J1110*(1-Operations!J1142)</f>
        <v>0</v>
      </c>
      <c r="K1151" s="20" t="n">
        <f aca="false">Operations!K1131*Operations!K1110*(1-Operations!K1142)</f>
        <v>0</v>
      </c>
      <c r="L1151" s="20" t="n">
        <f aca="false">Operations!L1131*Operations!L1110*(1-Operations!L1142)</f>
        <v>0</v>
      </c>
      <c r="M1151" s="20" t="n">
        <f aca="false">Operations!M1131*Operations!M1110*(1-Operations!M1142)</f>
        <v>0</v>
      </c>
      <c r="N1151" s="20" t="n">
        <f aca="false">Operations!N1131*Operations!N1110*(1-Operations!N1142)</f>
        <v>0</v>
      </c>
      <c r="O1151" s="20" t="n">
        <f aca="false">Operations!O1131*Operations!O1110*(1-Operations!O1142)</f>
        <v>0</v>
      </c>
      <c r="P1151" s="20" t="n">
        <f aca="false">Operations!P1131*Operations!P1110*(1-Operations!P1142)</f>
        <v>0</v>
      </c>
      <c r="Q1151" s="20" t="n">
        <f aca="false">Operations!Q1131*Operations!Q1110*(1-Operations!Q1142)</f>
        <v>0</v>
      </c>
      <c r="R1151" s="20" t="n">
        <f aca="false">Operations!R1131*Operations!R1110*(1-Operations!R1142)</f>
        <v>0</v>
      </c>
      <c r="S1151" s="20" t="n">
        <f aca="false">Operations!S1131*Operations!S1110*(1-Operations!S1142)</f>
        <v>0</v>
      </c>
      <c r="T1151" s="20" t="n">
        <f aca="false">Operations!T1131*Operations!T1110*(1-Operations!T1142)</f>
        <v>0</v>
      </c>
      <c r="U1151" s="20" t="n">
        <f aca="false">Operations!U1131*Operations!U1110*(1-Operations!U1142)</f>
        <v>0</v>
      </c>
      <c r="V1151" s="20" t="n">
        <f aca="false">Operations!V1131*Operations!V1110*(1-Operations!V1142)</f>
        <v>0</v>
      </c>
      <c r="W1151" s="20" t="n">
        <f aca="false">Operations!W1131*Operations!W1110*(1-Operations!W1142)</f>
        <v>0</v>
      </c>
      <c r="X1151" s="20" t="n">
        <f aca="false">Operations!X1131*Operations!X1110*(1-Operations!X1142)</f>
        <v>0</v>
      </c>
      <c r="Y1151" s="20" t="n">
        <f aca="false">Operations!Y1131*Operations!Y1110*(1-Operations!Y1142)</f>
        <v>0</v>
      </c>
      <c r="Z1151" s="20" t="n">
        <f aca="false">Operations!Z1131*Operations!Z1110*(1-Operations!Z1142)</f>
        <v>0</v>
      </c>
      <c r="AA1151" s="20" t="n">
        <f aca="false">Operations!AA1131*Operations!AA1110*(1-Operations!AA1142)</f>
        <v>0</v>
      </c>
      <c r="AB1151" s="20" t="n">
        <f aca="false">Operations!AB1131*Operations!AB1110*(1-Operations!AB1142)</f>
        <v>0</v>
      </c>
      <c r="AC1151" s="20" t="n">
        <f aca="false">Operations!AC1131*Operations!AC1110*(1-Operations!AC1142)</f>
        <v>0</v>
      </c>
      <c r="AD1151" s="20" t="n">
        <f aca="false">Operations!AD1131*Operations!AD1110*(1-Operations!AD1142)</f>
        <v>0</v>
      </c>
      <c r="AE1151" s="20" t="n">
        <f aca="false">Operations!AE1131*Operations!AE1110*(1-Operations!AE1142)</f>
        <v>0</v>
      </c>
      <c r="AF1151" s="20" t="n">
        <f aca="false">Operations!AF1131*Operations!AF1110*(1-Operations!AF1142)</f>
        <v>0</v>
      </c>
      <c r="AG1151" s="20" t="n">
        <f aca="false">Operations!AG1131*Operations!AG1110*(1-Operations!AG1142)</f>
        <v>0</v>
      </c>
      <c r="AH1151" s="20" t="n">
        <f aca="false">Operations!AH1131*Operations!AH1110*(1-Operations!AH1142)</f>
        <v>0</v>
      </c>
      <c r="AI1151" s="20" t="n">
        <f aca="false">Operations!AI1131*Operations!AI1110*(1-Operations!AI1142)</f>
        <v>0</v>
      </c>
      <c r="AJ1151" s="20" t="n">
        <f aca="false">Operations!AJ1131*Operations!AJ1110*(1-Operations!AJ1142)</f>
        <v>0</v>
      </c>
      <c r="AK1151" s="20" t="n">
        <f aca="false">Operations!AK1131*Operations!AK1110*(1-Operations!AK1142)</f>
        <v>0</v>
      </c>
      <c r="AL1151" s="20" t="n">
        <f aca="false">Operations!AL1131*Operations!AL1110*(1-Operations!AL1142)</f>
        <v>0</v>
      </c>
      <c r="AM1151" s="20" t="n">
        <f aca="false">Operations!AM1131*Operations!AM1110*(1-Operations!AM1142)</f>
        <v>0</v>
      </c>
      <c r="AN1151" s="20" t="n">
        <f aca="false">Operations!AN1131*Operations!AN1110*(1-Operations!AN1142)</f>
        <v>0</v>
      </c>
      <c r="AO1151" s="20" t="n">
        <f aca="false">Operations!AO1131*Operations!AO1110*(1-Operations!AO1142)</f>
        <v>0</v>
      </c>
      <c r="AP1151" s="20" t="n">
        <f aca="false">Operations!AP1131*Operations!AP1110*(1-Operations!AP1142)</f>
        <v>0</v>
      </c>
      <c r="AQ1151" s="20" t="n">
        <f aca="false">Operations!AQ1131*Operations!AQ1110*(1-Operations!AQ1142)</f>
        <v>0</v>
      </c>
      <c r="AR1151" s="20" t="n">
        <f aca="false">Operations!AR1131*Operations!AR1110*(1-Operations!AR1142)</f>
        <v>0</v>
      </c>
      <c r="AS1151" s="20" t="n">
        <f aca="false">Operations!AS1131*Operations!AS1110*(1-Operations!AS1142)</f>
        <v>0</v>
      </c>
      <c r="AT1151" s="20" t="n">
        <f aca="false">Operations!AT1131*Operations!AT1110*(1-Operations!AT1142)</f>
        <v>0</v>
      </c>
      <c r="AU1151" s="20" t="n">
        <f aca="false">Operations!AU1131*Operations!AU1110*(1-Operations!AU1142)</f>
        <v>0</v>
      </c>
    </row>
    <row r="1152" customFormat="false" ht="15" hidden="false" customHeight="false" outlineLevel="0" collapsed="false">
      <c r="D1152" s="0" t="s">
        <v>756</v>
      </c>
      <c r="E1152" s="0" t="s">
        <v>47</v>
      </c>
      <c r="J1152" s="20" t="n">
        <f aca="false">Operations!J1133*Operations!J1110*(1-Operations!J1142)</f>
        <v>0</v>
      </c>
      <c r="K1152" s="20" t="n">
        <f aca="false">Operations!K1133*Operations!K1110*(1-Operations!K1142)</f>
        <v>0</v>
      </c>
      <c r="L1152" s="20" t="n">
        <f aca="false">Operations!L1133*Operations!L1110*(1-Operations!L1142)</f>
        <v>0</v>
      </c>
      <c r="M1152" s="20" t="n">
        <f aca="false">Operations!M1133*Operations!M1110*(1-Operations!M1142)</f>
        <v>0</v>
      </c>
      <c r="N1152" s="20" t="n">
        <f aca="false">Operations!N1133*Operations!N1110*(1-Operations!N1142)</f>
        <v>0</v>
      </c>
      <c r="O1152" s="20" t="n">
        <f aca="false">Operations!O1133*Operations!O1110*(1-Operations!O1142)</f>
        <v>0</v>
      </c>
      <c r="P1152" s="20" t="n">
        <f aca="false">Operations!P1133*Operations!P1110*(1-Operations!P1142)</f>
        <v>0</v>
      </c>
      <c r="Q1152" s="20" t="n">
        <f aca="false">Operations!Q1133*Operations!Q1110*(1-Operations!Q1142)</f>
        <v>0</v>
      </c>
      <c r="R1152" s="20" t="n">
        <f aca="false">Operations!R1133*Operations!R1110*(1-Operations!R1142)</f>
        <v>0</v>
      </c>
      <c r="S1152" s="20" t="n">
        <f aca="false">Operations!S1133*Operations!S1110*(1-Operations!S1142)</f>
        <v>0</v>
      </c>
      <c r="T1152" s="20" t="n">
        <f aca="false">Operations!T1133*Operations!T1110*(1-Operations!T1142)</f>
        <v>6.93166659836066</v>
      </c>
      <c r="U1152" s="20" t="n">
        <f aca="false">Operations!U1133*Operations!U1110*(1-Operations!U1142)</f>
        <v>9.398025</v>
      </c>
      <c r="V1152" s="20" t="n">
        <f aca="false">Operations!V1133*Operations!V1110*(1-Operations!V1142)</f>
        <v>9.538425</v>
      </c>
      <c r="W1152" s="20" t="n">
        <f aca="false">Operations!W1133*Operations!W1110*(1-Operations!W1142)</f>
        <v>9.68175</v>
      </c>
      <c r="X1152" s="20" t="n">
        <f aca="false">Operations!X1133*Operations!X1110*(1-Operations!X1142)</f>
        <v>9.80436183167466</v>
      </c>
      <c r="Y1152" s="20" t="n">
        <f aca="false">Operations!Y1133*Operations!Y1110*(1-Operations!Y1142)</f>
        <v>9.82589327876712</v>
      </c>
      <c r="Z1152" s="20" t="n">
        <f aca="false">Operations!Z1133*Operations!Z1110*(1-Operations!Z1142)</f>
        <v>9.8453026195274</v>
      </c>
      <c r="AA1152" s="20" t="n">
        <f aca="false">Operations!AA1133*Operations!AA1110*(1-Operations!AA1142)</f>
        <v>9.86530211269521</v>
      </c>
      <c r="AB1152" s="20" t="n">
        <f aca="false">Operations!AB1133*Operations!AB1110*(1-Operations!AB1142)</f>
        <v>9.88428054085274</v>
      </c>
      <c r="AC1152" s="20" t="n">
        <f aca="false">Operations!AC1133*Operations!AC1110*(1-Operations!AC1142)</f>
        <v>9.90221233028425</v>
      </c>
      <c r="AD1152" s="20" t="n">
        <f aca="false">Operations!AD1133*Operations!AD1110*(1-Operations!AD1142)</f>
        <v>9.91917927781336</v>
      </c>
      <c r="AE1152" s="20" t="n">
        <f aca="false">Operations!AE1133*Operations!AE1110*(1-Operations!AE1142)</f>
        <v>9.93519293097945</v>
      </c>
      <c r="AF1152" s="20" t="n">
        <f aca="false">Operations!AF1133*Operations!AF1110*(1-Operations!AF1142)</f>
        <v>2.47425422056462</v>
      </c>
      <c r="AG1152" s="20" t="n">
        <f aca="false">Operations!AG1133*Operations!AG1110*(1-Operations!AG1142)</f>
        <v>0</v>
      </c>
      <c r="AH1152" s="20" t="n">
        <f aca="false">Operations!AH1133*Operations!AH1110*(1-Operations!AH1142)</f>
        <v>0</v>
      </c>
      <c r="AI1152" s="20" t="n">
        <f aca="false">Operations!AI1133*Operations!AI1110*(1-Operations!AI1142)</f>
        <v>0</v>
      </c>
      <c r="AJ1152" s="20" t="n">
        <f aca="false">Operations!AJ1133*Operations!AJ1110*(1-Operations!AJ1142)</f>
        <v>0</v>
      </c>
      <c r="AK1152" s="20" t="n">
        <f aca="false">Operations!AK1133*Operations!AK1110*(1-Operations!AK1142)</f>
        <v>0</v>
      </c>
      <c r="AL1152" s="20" t="n">
        <f aca="false">Operations!AL1133*Operations!AL1110*(1-Operations!AL1142)</f>
        <v>0</v>
      </c>
      <c r="AM1152" s="20" t="n">
        <f aca="false">Operations!AM1133*Operations!AM1110*(1-Operations!AM1142)</f>
        <v>0</v>
      </c>
      <c r="AN1152" s="20" t="n">
        <f aca="false">Operations!AN1133*Operations!AN1110*(1-Operations!AN1142)</f>
        <v>0</v>
      </c>
      <c r="AO1152" s="20" t="n">
        <f aca="false">Operations!AO1133*Operations!AO1110*(1-Operations!AO1142)</f>
        <v>0</v>
      </c>
      <c r="AP1152" s="20" t="n">
        <f aca="false">Operations!AP1133*Operations!AP1110*(1-Operations!AP1142)</f>
        <v>0</v>
      </c>
      <c r="AQ1152" s="20" t="n">
        <f aca="false">Operations!AQ1133*Operations!AQ1110*(1-Operations!AQ1142)</f>
        <v>0</v>
      </c>
      <c r="AR1152" s="20" t="n">
        <f aca="false">Operations!AR1133*Operations!AR1110*(1-Operations!AR1142)</f>
        <v>0</v>
      </c>
      <c r="AS1152" s="20" t="n">
        <f aca="false">Operations!AS1133*Operations!AS1110*(1-Operations!AS1142)</f>
        <v>0</v>
      </c>
      <c r="AT1152" s="20" t="n">
        <f aca="false">Operations!AT1133*Operations!AT1110*(1-Operations!AT1142)</f>
        <v>0</v>
      </c>
      <c r="AU1152" s="20" t="n">
        <f aca="false">Operations!AU1133*Operations!AU1110*(1-Operations!AU1142)</f>
        <v>0</v>
      </c>
    </row>
    <row r="1153" customFormat="false" ht="15" hidden="false" customHeight="false" outlineLevel="0" collapsed="false">
      <c r="D1153" s="0" t="s">
        <v>757</v>
      </c>
      <c r="E1153" s="0" t="s">
        <v>47</v>
      </c>
      <c r="J1153" s="20" t="n">
        <f aca="false">Operations!J1132*Operations!J1110*(1-Operations!J1142)</f>
        <v>0</v>
      </c>
      <c r="K1153" s="20" t="n">
        <f aca="false">Operations!K1132*Operations!K1110*(1-Operations!K1142)</f>
        <v>0</v>
      </c>
      <c r="L1153" s="20" t="n">
        <f aca="false">Operations!L1132*Operations!L1110*(1-Operations!L1142)</f>
        <v>7.6305737704918</v>
      </c>
      <c r="M1153" s="20" t="n">
        <f aca="false">Operations!M1132*Operations!M1110*(1-Operations!M1142)</f>
        <v>10.23</v>
      </c>
      <c r="N1153" s="20" t="n">
        <f aca="false">Operations!N1132*Operations!N1110*(1-Operations!N1142)</f>
        <v>10.23</v>
      </c>
      <c r="O1153" s="20" t="n">
        <f aca="false">Operations!O1132*Operations!O1110*(1-Operations!O1142)</f>
        <v>10.23</v>
      </c>
      <c r="P1153" s="20" t="n">
        <f aca="false">Operations!P1132*Operations!P1110*(1-Operations!P1142)</f>
        <v>10.23</v>
      </c>
      <c r="Q1153" s="20" t="n">
        <f aca="false">Operations!Q1132*Operations!Q1110*(1-Operations!Q1142)</f>
        <v>10.23</v>
      </c>
      <c r="R1153" s="20" t="n">
        <f aca="false">Operations!R1132*Operations!R1110*(1-Operations!R1142)</f>
        <v>10.23</v>
      </c>
      <c r="S1153" s="20" t="n">
        <f aca="false">Operations!S1132*Operations!S1110*(1-Operations!S1142)</f>
        <v>10.23</v>
      </c>
      <c r="T1153" s="20" t="n">
        <f aca="false">Operations!T1132*Operations!T1110*(1-Operations!T1142)</f>
        <v>9.50314200819672</v>
      </c>
      <c r="U1153" s="20" t="n">
        <f aca="false">Operations!U1132*Operations!U1110*(1-Operations!U1142)</f>
        <v>9.398025</v>
      </c>
      <c r="V1153" s="20" t="n">
        <f aca="false">Operations!V1132*Operations!V1110*(1-Operations!V1142)</f>
        <v>9.538425</v>
      </c>
      <c r="W1153" s="20" t="n">
        <f aca="false">Operations!W1132*Operations!W1110*(1-Operations!W1142)</f>
        <v>9.68175</v>
      </c>
      <c r="X1153" s="20" t="n">
        <f aca="false">Operations!X1132*Operations!X1110*(1-Operations!X1142)</f>
        <v>9.80436183167466</v>
      </c>
      <c r="Y1153" s="20" t="n">
        <f aca="false">Operations!Y1132*Operations!Y1110*(1-Operations!Y1142)</f>
        <v>9.82589327876712</v>
      </c>
      <c r="Z1153" s="20" t="n">
        <f aca="false">Operations!Z1132*Operations!Z1110*(1-Operations!Z1142)</f>
        <v>9.8453026195274</v>
      </c>
      <c r="AA1153" s="20" t="n">
        <f aca="false">Operations!AA1132*Operations!AA1110*(1-Operations!AA1142)</f>
        <v>9.86530211269521</v>
      </c>
      <c r="AB1153" s="20" t="n">
        <f aca="false">Operations!AB1132*Operations!AB1110*(1-Operations!AB1142)</f>
        <v>9.88428054085274</v>
      </c>
      <c r="AC1153" s="20" t="n">
        <f aca="false">Operations!AC1132*Operations!AC1110*(1-Operations!AC1142)</f>
        <v>9.90221233028425</v>
      </c>
      <c r="AD1153" s="20" t="n">
        <f aca="false">Operations!AD1132*Operations!AD1110*(1-Operations!AD1142)</f>
        <v>9.91917927781336</v>
      </c>
      <c r="AE1153" s="20" t="n">
        <f aca="false">Operations!AE1132*Operations!AE1110*(1-Operations!AE1142)</f>
        <v>9.93519293097945</v>
      </c>
      <c r="AF1153" s="20" t="n">
        <f aca="false">Operations!AF1132*Operations!AF1110*(1-Operations!AF1142)</f>
        <v>2.47425422056462</v>
      </c>
      <c r="AG1153" s="20" t="n">
        <f aca="false">Operations!AG1132*Operations!AG1110*(1-Operations!AG1142)</f>
        <v>0</v>
      </c>
      <c r="AH1153" s="20" t="n">
        <f aca="false">Operations!AH1132*Operations!AH1110*(1-Operations!AH1142)</f>
        <v>0</v>
      </c>
      <c r="AI1153" s="20" t="n">
        <f aca="false">Operations!AI1132*Operations!AI1110*(1-Operations!AI1142)</f>
        <v>0</v>
      </c>
      <c r="AJ1153" s="20" t="n">
        <f aca="false">Operations!AJ1132*Operations!AJ1110*(1-Operations!AJ1142)</f>
        <v>0</v>
      </c>
      <c r="AK1153" s="20" t="n">
        <f aca="false">Operations!AK1132*Operations!AK1110*(1-Operations!AK1142)</f>
        <v>0</v>
      </c>
      <c r="AL1153" s="20" t="n">
        <f aca="false">Operations!AL1132*Operations!AL1110*(1-Operations!AL1142)</f>
        <v>0</v>
      </c>
      <c r="AM1153" s="20" t="n">
        <f aca="false">Operations!AM1132*Operations!AM1110*(1-Operations!AM1142)</f>
        <v>0</v>
      </c>
      <c r="AN1153" s="20" t="n">
        <f aca="false">Operations!AN1132*Operations!AN1110*(1-Operations!AN1142)</f>
        <v>0</v>
      </c>
      <c r="AO1153" s="20" t="n">
        <f aca="false">Operations!AO1132*Operations!AO1110*(1-Operations!AO1142)</f>
        <v>0</v>
      </c>
      <c r="AP1153" s="20" t="n">
        <f aca="false">Operations!AP1132*Operations!AP1110*(1-Operations!AP1142)</f>
        <v>0</v>
      </c>
      <c r="AQ1153" s="20" t="n">
        <f aca="false">Operations!AQ1132*Operations!AQ1110*(1-Operations!AQ1142)</f>
        <v>0</v>
      </c>
      <c r="AR1153" s="20" t="n">
        <f aca="false">Operations!AR1132*Operations!AR1110*(1-Operations!AR1142)</f>
        <v>0</v>
      </c>
      <c r="AS1153" s="20" t="n">
        <f aca="false">Operations!AS1132*Operations!AS1110*(1-Operations!AS1142)</f>
        <v>0</v>
      </c>
      <c r="AT1153" s="20" t="n">
        <f aca="false">Operations!AT1132*Operations!AT1110*(1-Operations!AT1142)</f>
        <v>0</v>
      </c>
      <c r="AU1153" s="20" t="n">
        <f aca="false">Operations!AU1132*Operations!AU1110*(1-Operations!AU1142)</f>
        <v>0</v>
      </c>
    </row>
    <row r="1154" customFormat="false" ht="15" hidden="false" customHeight="false" outlineLevel="0" collapsed="false">
      <c r="D1154" s="19" t="s">
        <v>758</v>
      </c>
    </row>
    <row r="1155" customFormat="false" ht="15" hidden="false" customHeight="false" outlineLevel="0" collapsed="false">
      <c r="D1155" s="0" t="s">
        <v>759</v>
      </c>
      <c r="E1155" s="0" t="s">
        <v>458</v>
      </c>
      <c r="J1155" s="14" t="n">
        <f aca="false">MAX(0,MIN(Inputs!$F$171,Time!J$6)-MAX(Inputs!$F$170,Time!J$5))/Time!J$7</f>
        <v>0</v>
      </c>
      <c r="K1155" s="14" t="n">
        <f aca="false">MAX(0,MIN(Inputs!$F$171,Time!K$6)-MAX(Inputs!$F$170,Time!K$5))/Time!K$7</f>
        <v>0</v>
      </c>
      <c r="L1155" s="14" t="n">
        <f aca="false">MAX(0,MIN(Inputs!$F$171,Time!L$6)-MAX(Inputs!$F$170,Time!L$5))/Time!L$7</f>
        <v>0.0327868852459016</v>
      </c>
      <c r="M1155" s="14" t="n">
        <f aca="false">MAX(0,MIN(Inputs!$F$171,Time!M$6)-MAX(Inputs!$F$170,Time!M$5))/Time!M$7</f>
        <v>1</v>
      </c>
      <c r="N1155" s="14" t="n">
        <f aca="false">MAX(0,MIN(Inputs!$F$171,Time!N$6)-MAX(Inputs!$F$170,Time!N$5))/Time!N$7</f>
        <v>1</v>
      </c>
      <c r="O1155" s="14" t="n">
        <f aca="false">MAX(0,MIN(Inputs!$F$171,Time!O$6)-MAX(Inputs!$F$170,Time!O$5))/Time!O$7</f>
        <v>1</v>
      </c>
      <c r="P1155" s="14" t="n">
        <f aca="false">MAX(0,MIN(Inputs!$F$171,Time!P$6)-MAX(Inputs!$F$170,Time!P$5))/Time!P$7</f>
        <v>1</v>
      </c>
      <c r="Q1155" s="14" t="n">
        <f aca="false">MAX(0,MIN(Inputs!$F$171,Time!Q$6)-MAX(Inputs!$F$170,Time!Q$5))/Time!Q$7</f>
        <v>1</v>
      </c>
      <c r="R1155" s="14" t="n">
        <f aca="false">MAX(0,MIN(Inputs!$F$171,Time!R$6)-MAX(Inputs!$F$170,Time!R$5))/Time!R$7</f>
        <v>1</v>
      </c>
      <c r="S1155" s="14" t="n">
        <f aca="false">MAX(0,MIN(Inputs!$F$171,Time!S$6)-MAX(Inputs!$F$170,Time!S$5))/Time!S$7</f>
        <v>1</v>
      </c>
      <c r="T1155" s="14" t="n">
        <f aca="false">MAX(0,MIN(Inputs!$F$171,Time!T$6)-MAX(Inputs!$F$170,Time!T$5))/Time!T$7</f>
        <v>1</v>
      </c>
      <c r="U1155" s="14" t="n">
        <f aca="false">MAX(0,MIN(Inputs!$F$171,Time!U$6)-MAX(Inputs!$F$170,Time!U$5))/Time!U$7</f>
        <v>1</v>
      </c>
      <c r="V1155" s="14" t="n">
        <f aca="false">MAX(0,MIN(Inputs!$F$171,Time!V$6)-MAX(Inputs!$F$170,Time!V$5))/Time!V$7</f>
        <v>1</v>
      </c>
      <c r="W1155" s="14" t="n">
        <f aca="false">MAX(0,MIN(Inputs!$F$171,Time!W$6)-MAX(Inputs!$F$170,Time!W$5))/Time!W$7</f>
        <v>1</v>
      </c>
      <c r="X1155" s="14" t="n">
        <f aca="false">MAX(0,MIN(Inputs!$F$171,Time!X$6)-MAX(Inputs!$F$170,Time!X$5))/Time!X$7</f>
        <v>1</v>
      </c>
      <c r="Y1155" s="14" t="n">
        <f aca="false">MAX(0,MIN(Inputs!$F$171,Time!Y$6)-MAX(Inputs!$F$170,Time!Y$5))/Time!Y$7</f>
        <v>1</v>
      </c>
      <c r="Z1155" s="14" t="n">
        <f aca="false">MAX(0,MIN(Inputs!$F$171,Time!Z$6)-MAX(Inputs!$F$170,Time!Z$5))/Time!Z$7</f>
        <v>1</v>
      </c>
      <c r="AA1155" s="14" t="n">
        <f aca="false">MAX(0,MIN(Inputs!$F$171,Time!AA$6)-MAX(Inputs!$F$170,Time!AA$5))/Time!AA$7</f>
        <v>1</v>
      </c>
      <c r="AB1155" s="14" t="n">
        <f aca="false">MAX(0,MIN(Inputs!$F$171,Time!AB$6)-MAX(Inputs!$F$170,Time!AB$5))/Time!AB$7</f>
        <v>1</v>
      </c>
      <c r="AC1155" s="14" t="n">
        <f aca="false">MAX(0,MIN(Inputs!$F$171,Time!AC$6)-MAX(Inputs!$F$170,Time!AC$5))/Time!AC$7</f>
        <v>1</v>
      </c>
      <c r="AD1155" s="14" t="n">
        <f aca="false">MAX(0,MIN(Inputs!$F$171,Time!AD$6)-MAX(Inputs!$F$170,Time!AD$5))/Time!AD$7</f>
        <v>1</v>
      </c>
      <c r="AE1155" s="14" t="n">
        <f aca="false">MAX(0,MIN(Inputs!$F$171,Time!AE$6)-MAX(Inputs!$F$170,Time!AE$5))/Time!AE$7</f>
        <v>1</v>
      </c>
      <c r="AF1155" s="14" t="n">
        <f aca="false">MAX(0,MIN(Inputs!$F$171,Time!AF$6)-MAX(Inputs!$F$170,Time!AF$5))/Time!AF$7</f>
        <v>1</v>
      </c>
      <c r="AG1155" s="14" t="n">
        <f aca="false">MAX(0,MIN(Inputs!$F$171,Time!AG$6)-MAX(Inputs!$F$170,Time!AG$5))/Time!AG$7</f>
        <v>1</v>
      </c>
      <c r="AH1155" s="14" t="n">
        <f aca="false">MAX(0,MIN(Inputs!$F$171,Time!AH$6)-MAX(Inputs!$F$170,Time!AH$5))/Time!AH$7</f>
        <v>1</v>
      </c>
      <c r="AI1155" s="14" t="n">
        <f aca="false">MAX(0,MIN(Inputs!$F$171,Time!AI$6)-MAX(Inputs!$F$170,Time!AI$5))/Time!AI$7</f>
        <v>1</v>
      </c>
      <c r="AJ1155" s="14" t="n">
        <f aca="false">MAX(0,MIN(Inputs!$F$171,Time!AJ$6)-MAX(Inputs!$F$170,Time!AJ$5))/Time!AJ$7</f>
        <v>1</v>
      </c>
      <c r="AK1155" s="14" t="n">
        <f aca="false">MAX(0,MIN(Inputs!$F$171,Time!AK$6)-MAX(Inputs!$F$170,Time!AK$5))/Time!AK$7</f>
        <v>1</v>
      </c>
      <c r="AL1155" s="14" t="n">
        <f aca="false">MAX(0,MIN(Inputs!$F$171,Time!AL$6)-MAX(Inputs!$F$170,Time!AL$5))/Time!AL$7</f>
        <v>1</v>
      </c>
      <c r="AM1155" s="14" t="n">
        <f aca="false">MAX(0,MIN(Inputs!$F$171,Time!AM$6)-MAX(Inputs!$F$170,Time!AM$5))/Time!AM$7</f>
        <v>1</v>
      </c>
      <c r="AN1155" s="14" t="n">
        <f aca="false">MAX(0,MIN(Inputs!$F$171,Time!AN$6)-MAX(Inputs!$F$170,Time!AN$5))/Time!AN$7</f>
        <v>1</v>
      </c>
      <c r="AO1155" s="14" t="n">
        <f aca="false">MAX(0,MIN(Inputs!$F$171,Time!AO$6)-MAX(Inputs!$F$170,Time!AO$5))/Time!AO$7</f>
        <v>1</v>
      </c>
      <c r="AP1155" s="14" t="n">
        <f aca="false">MAX(0,MIN(Inputs!$F$171,Time!AP$6)-MAX(Inputs!$F$170,Time!AP$5))/Time!AP$7</f>
        <v>1</v>
      </c>
      <c r="AQ1155" s="14" t="n">
        <f aca="false">MAX(0,MIN(Inputs!$F$171,Time!AQ$6)-MAX(Inputs!$F$170,Time!AQ$5))/Time!AQ$7</f>
        <v>1</v>
      </c>
      <c r="AR1155" s="14" t="n">
        <f aca="false">MAX(0,MIN(Inputs!$F$171,Time!AR$6)-MAX(Inputs!$F$170,Time!AR$5))/Time!AR$7</f>
        <v>1</v>
      </c>
      <c r="AS1155" s="14" t="n">
        <f aca="false">MAX(0,MIN(Inputs!$F$171,Time!AS$6)-MAX(Inputs!$F$170,Time!AS$5))/Time!AS$7</f>
        <v>1</v>
      </c>
      <c r="AT1155" s="14" t="n">
        <f aca="false">MAX(0,MIN(Inputs!$F$171,Time!AT$6)-MAX(Inputs!$F$170,Time!AT$5))/Time!AT$7</f>
        <v>1</v>
      </c>
      <c r="AU1155" s="14" t="n">
        <f aca="false">MAX(0,MIN(Inputs!$F$171,Time!AU$6)-MAX(Inputs!$F$170,Time!AU$5))/Time!AU$7</f>
        <v>1</v>
      </c>
    </row>
    <row r="1156" customFormat="false" ht="15" hidden="false" customHeight="false" outlineLevel="0" collapsed="false">
      <c r="D1156" s="0" t="s">
        <v>760</v>
      </c>
      <c r="E1156" s="0" t="s">
        <v>458</v>
      </c>
      <c r="J1156" s="14" t="n">
        <f aca="false">MAX(0,MIN(Inputs!$F$171,Time!J$6)-MAX(MAX(Inputs!$F$172,Inputs!$F$170),Time!J$5))/Time!J$7</f>
        <v>0</v>
      </c>
      <c r="K1156" s="14" t="n">
        <f aca="false">MAX(0,MIN(Inputs!$F$171,Time!K$6)-MAX(MAX(Inputs!$F$172,Inputs!$F$170),Time!K$5))/Time!K$7</f>
        <v>0</v>
      </c>
      <c r="L1156" s="14" t="n">
        <f aca="false">MAX(0,MIN(Inputs!$F$171,Time!L$6)-MAX(MAX(Inputs!$F$172,Inputs!$F$170),Time!L$5))/Time!L$7</f>
        <v>0.0327868852459016</v>
      </c>
      <c r="M1156" s="14" t="n">
        <f aca="false">MAX(0,MIN(Inputs!$F$171,Time!M$6)-MAX(MAX(Inputs!$F$172,Inputs!$F$170),Time!M$5))/Time!M$7</f>
        <v>1</v>
      </c>
      <c r="N1156" s="14" t="n">
        <f aca="false">MAX(0,MIN(Inputs!$F$171,Time!N$6)-MAX(MAX(Inputs!$F$172,Inputs!$F$170),Time!N$5))/Time!N$7</f>
        <v>1</v>
      </c>
      <c r="O1156" s="14" t="n">
        <f aca="false">MAX(0,MIN(Inputs!$F$171,Time!O$6)-MAX(MAX(Inputs!$F$172,Inputs!$F$170),Time!O$5))/Time!O$7</f>
        <v>1</v>
      </c>
      <c r="P1156" s="14" t="n">
        <f aca="false">MAX(0,MIN(Inputs!$F$171,Time!P$6)-MAX(MAX(Inputs!$F$172,Inputs!$F$170),Time!P$5))/Time!P$7</f>
        <v>1</v>
      </c>
      <c r="Q1156" s="14" t="n">
        <f aca="false">MAX(0,MIN(Inputs!$F$171,Time!Q$6)-MAX(MAX(Inputs!$F$172,Inputs!$F$170),Time!Q$5))/Time!Q$7</f>
        <v>1</v>
      </c>
      <c r="R1156" s="14" t="n">
        <f aca="false">MAX(0,MIN(Inputs!$F$171,Time!R$6)-MAX(MAX(Inputs!$F$172,Inputs!$F$170),Time!R$5))/Time!R$7</f>
        <v>1</v>
      </c>
      <c r="S1156" s="14" t="n">
        <f aca="false">MAX(0,MIN(Inputs!$F$171,Time!S$6)-MAX(MAX(Inputs!$F$172,Inputs!$F$170),Time!S$5))/Time!S$7</f>
        <v>1</v>
      </c>
      <c r="T1156" s="14" t="n">
        <f aca="false">MAX(0,MIN(Inputs!$F$171,Time!T$6)-MAX(MAX(Inputs!$F$172,Inputs!$F$170),Time!T$5))/Time!T$7</f>
        <v>1</v>
      </c>
      <c r="U1156" s="14" t="n">
        <f aca="false">MAX(0,MIN(Inputs!$F$171,Time!U$6)-MAX(MAX(Inputs!$F$172,Inputs!$F$170),Time!U$5))/Time!U$7</f>
        <v>1</v>
      </c>
      <c r="V1156" s="14" t="n">
        <f aca="false">MAX(0,MIN(Inputs!$F$171,Time!V$6)-MAX(MAX(Inputs!$F$172,Inputs!$F$170),Time!V$5))/Time!V$7</f>
        <v>1</v>
      </c>
      <c r="W1156" s="14" t="n">
        <f aca="false">MAX(0,MIN(Inputs!$F$171,Time!W$6)-MAX(MAX(Inputs!$F$172,Inputs!$F$170),Time!W$5))/Time!W$7</f>
        <v>1</v>
      </c>
      <c r="X1156" s="14" t="n">
        <f aca="false">MAX(0,MIN(Inputs!$F$171,Time!X$6)-MAX(MAX(Inputs!$F$172,Inputs!$F$170),Time!X$5))/Time!X$7</f>
        <v>1</v>
      </c>
      <c r="Y1156" s="14" t="n">
        <f aca="false">MAX(0,MIN(Inputs!$F$171,Time!Y$6)-MAX(MAX(Inputs!$F$172,Inputs!$F$170),Time!Y$5))/Time!Y$7</f>
        <v>1</v>
      </c>
      <c r="Z1156" s="14" t="n">
        <f aca="false">MAX(0,MIN(Inputs!$F$171,Time!Z$6)-MAX(MAX(Inputs!$F$172,Inputs!$F$170),Time!Z$5))/Time!Z$7</f>
        <v>1</v>
      </c>
      <c r="AA1156" s="14" t="n">
        <f aca="false">MAX(0,MIN(Inputs!$F$171,Time!AA$6)-MAX(MAX(Inputs!$F$172,Inputs!$F$170),Time!AA$5))/Time!AA$7</f>
        <v>1</v>
      </c>
      <c r="AB1156" s="14" t="n">
        <f aca="false">MAX(0,MIN(Inputs!$F$171,Time!AB$6)-MAX(MAX(Inputs!$F$172,Inputs!$F$170),Time!AB$5))/Time!AB$7</f>
        <v>1</v>
      </c>
      <c r="AC1156" s="14" t="n">
        <f aca="false">MAX(0,MIN(Inputs!$F$171,Time!AC$6)-MAX(MAX(Inputs!$F$172,Inputs!$F$170),Time!AC$5))/Time!AC$7</f>
        <v>1</v>
      </c>
      <c r="AD1156" s="14" t="n">
        <f aca="false">MAX(0,MIN(Inputs!$F$171,Time!AD$6)-MAX(MAX(Inputs!$F$172,Inputs!$F$170),Time!AD$5))/Time!AD$7</f>
        <v>1</v>
      </c>
      <c r="AE1156" s="14" t="n">
        <f aca="false">MAX(0,MIN(Inputs!$F$171,Time!AE$6)-MAX(MAX(Inputs!$F$172,Inputs!$F$170),Time!AE$5))/Time!AE$7</f>
        <v>1</v>
      </c>
      <c r="AF1156" s="14" t="n">
        <f aca="false">MAX(0,MIN(Inputs!$F$171,Time!AF$6)-MAX(MAX(Inputs!$F$172,Inputs!$F$170),Time!AF$5))/Time!AF$7</f>
        <v>1</v>
      </c>
      <c r="AG1156" s="14" t="n">
        <f aca="false">MAX(0,MIN(Inputs!$F$171,Time!AG$6)-MAX(MAX(Inputs!$F$172,Inputs!$F$170),Time!AG$5))/Time!AG$7</f>
        <v>1</v>
      </c>
      <c r="AH1156" s="14" t="n">
        <f aca="false">MAX(0,MIN(Inputs!$F$171,Time!AH$6)-MAX(MAX(Inputs!$F$172,Inputs!$F$170),Time!AH$5))/Time!AH$7</f>
        <v>1</v>
      </c>
      <c r="AI1156" s="14" t="n">
        <f aca="false">MAX(0,MIN(Inputs!$F$171,Time!AI$6)-MAX(MAX(Inputs!$F$172,Inputs!$F$170),Time!AI$5))/Time!AI$7</f>
        <v>1</v>
      </c>
      <c r="AJ1156" s="14" t="n">
        <f aca="false">MAX(0,MIN(Inputs!$F$171,Time!AJ$6)-MAX(MAX(Inputs!$F$172,Inputs!$F$170),Time!AJ$5))/Time!AJ$7</f>
        <v>1</v>
      </c>
      <c r="AK1156" s="14" t="n">
        <f aca="false">MAX(0,MIN(Inputs!$F$171,Time!AK$6)-MAX(MAX(Inputs!$F$172,Inputs!$F$170),Time!AK$5))/Time!AK$7</f>
        <v>1</v>
      </c>
      <c r="AL1156" s="14" t="n">
        <f aca="false">MAX(0,MIN(Inputs!$F$171,Time!AL$6)-MAX(MAX(Inputs!$F$172,Inputs!$F$170),Time!AL$5))/Time!AL$7</f>
        <v>1</v>
      </c>
      <c r="AM1156" s="14" t="n">
        <f aca="false">MAX(0,MIN(Inputs!$F$171,Time!AM$6)-MAX(MAX(Inputs!$F$172,Inputs!$F$170),Time!AM$5))/Time!AM$7</f>
        <v>1</v>
      </c>
      <c r="AN1156" s="14" t="n">
        <f aca="false">MAX(0,MIN(Inputs!$F$171,Time!AN$6)-MAX(MAX(Inputs!$F$172,Inputs!$F$170),Time!AN$5))/Time!AN$7</f>
        <v>1</v>
      </c>
      <c r="AO1156" s="14" t="n">
        <f aca="false">MAX(0,MIN(Inputs!$F$171,Time!AO$6)-MAX(MAX(Inputs!$F$172,Inputs!$F$170),Time!AO$5))/Time!AO$7</f>
        <v>1</v>
      </c>
      <c r="AP1156" s="14" t="n">
        <f aca="false">MAX(0,MIN(Inputs!$F$171,Time!AP$6)-MAX(MAX(Inputs!$F$172,Inputs!$F$170),Time!AP$5))/Time!AP$7</f>
        <v>1</v>
      </c>
      <c r="AQ1156" s="14" t="n">
        <f aca="false">MAX(0,MIN(Inputs!$F$171,Time!AQ$6)-MAX(MAX(Inputs!$F$172,Inputs!$F$170),Time!AQ$5))/Time!AQ$7</f>
        <v>1</v>
      </c>
      <c r="AR1156" s="14" t="n">
        <f aca="false">MAX(0,MIN(Inputs!$F$171,Time!AR$6)-MAX(MAX(Inputs!$F$172,Inputs!$F$170),Time!AR$5))/Time!AR$7</f>
        <v>1</v>
      </c>
      <c r="AS1156" s="14" t="n">
        <f aca="false">MAX(0,MIN(Inputs!$F$171,Time!AS$6)-MAX(MAX(Inputs!$F$172,Inputs!$F$170),Time!AS$5))/Time!AS$7</f>
        <v>1</v>
      </c>
      <c r="AT1156" s="14" t="n">
        <f aca="false">MAX(0,MIN(Inputs!$F$171,Time!AT$6)-MAX(MAX(Inputs!$F$172,Inputs!$F$170),Time!AT$5))/Time!AT$7</f>
        <v>1</v>
      </c>
      <c r="AU1156" s="14" t="n">
        <f aca="false">MAX(0,MIN(Inputs!$F$171,Time!AU$6)-MAX(MAX(Inputs!$F$172,Inputs!$F$170),Time!AU$5))/Time!AU$7</f>
        <v>1</v>
      </c>
    </row>
    <row r="1157" customFormat="false" ht="15" hidden="false" customHeight="false" outlineLevel="0" collapsed="false">
      <c r="D1157" s="0" t="s">
        <v>761</v>
      </c>
      <c r="E1157" s="0" t="s">
        <v>458</v>
      </c>
      <c r="J1157" s="14" t="n">
        <f aca="false">IF(Operations!J1155&gt;0,Operations!J1156/Operations!J1155,0)</f>
        <v>0</v>
      </c>
      <c r="K1157" s="14" t="n">
        <f aca="false">IF(Operations!K1155&gt;0,Operations!K1156/Operations!K1155,0)</f>
        <v>0</v>
      </c>
      <c r="L1157" s="14" t="n">
        <f aca="false">IF(Operations!L1155&gt;0,Operations!L1156/Operations!L1155,0)</f>
        <v>1</v>
      </c>
      <c r="M1157" s="14" t="n">
        <f aca="false">IF(Operations!M1155&gt;0,Operations!M1156/Operations!M1155,0)</f>
        <v>1</v>
      </c>
      <c r="N1157" s="14" t="n">
        <f aca="false">IF(Operations!N1155&gt;0,Operations!N1156/Operations!N1155,0)</f>
        <v>1</v>
      </c>
      <c r="O1157" s="14" t="n">
        <f aca="false">IF(Operations!O1155&gt;0,Operations!O1156/Operations!O1155,0)</f>
        <v>1</v>
      </c>
      <c r="P1157" s="14" t="n">
        <f aca="false">IF(Operations!P1155&gt;0,Operations!P1156/Operations!P1155,0)</f>
        <v>1</v>
      </c>
      <c r="Q1157" s="14" t="n">
        <f aca="false">IF(Operations!Q1155&gt;0,Operations!Q1156/Operations!Q1155,0)</f>
        <v>1</v>
      </c>
      <c r="R1157" s="14" t="n">
        <f aca="false">IF(Operations!R1155&gt;0,Operations!R1156/Operations!R1155,0)</f>
        <v>1</v>
      </c>
      <c r="S1157" s="14" t="n">
        <f aca="false">IF(Operations!S1155&gt;0,Operations!S1156/Operations!S1155,0)</f>
        <v>1</v>
      </c>
      <c r="T1157" s="14" t="n">
        <f aca="false">IF(Operations!T1155&gt;0,Operations!T1156/Operations!T1155,0)</f>
        <v>1</v>
      </c>
      <c r="U1157" s="14" t="n">
        <f aca="false">IF(Operations!U1155&gt;0,Operations!U1156/Operations!U1155,0)</f>
        <v>1</v>
      </c>
      <c r="V1157" s="14" t="n">
        <f aca="false">IF(Operations!V1155&gt;0,Operations!V1156/Operations!V1155,0)</f>
        <v>1</v>
      </c>
      <c r="W1157" s="14" t="n">
        <f aca="false">IF(Operations!W1155&gt;0,Operations!W1156/Operations!W1155,0)</f>
        <v>1</v>
      </c>
      <c r="X1157" s="14" t="n">
        <f aca="false">IF(Operations!X1155&gt;0,Operations!X1156/Operations!X1155,0)</f>
        <v>1</v>
      </c>
      <c r="Y1157" s="14" t="n">
        <f aca="false">IF(Operations!Y1155&gt;0,Operations!Y1156/Operations!Y1155,0)</f>
        <v>1</v>
      </c>
      <c r="Z1157" s="14" t="n">
        <f aca="false">IF(Operations!Z1155&gt;0,Operations!Z1156/Operations!Z1155,0)</f>
        <v>1</v>
      </c>
      <c r="AA1157" s="14" t="n">
        <f aca="false">IF(Operations!AA1155&gt;0,Operations!AA1156/Operations!AA1155,0)</f>
        <v>1</v>
      </c>
      <c r="AB1157" s="14" t="n">
        <f aca="false">IF(Operations!AB1155&gt;0,Operations!AB1156/Operations!AB1155,0)</f>
        <v>1</v>
      </c>
      <c r="AC1157" s="14" t="n">
        <f aca="false">IF(Operations!AC1155&gt;0,Operations!AC1156/Operations!AC1155,0)</f>
        <v>1</v>
      </c>
      <c r="AD1157" s="14" t="n">
        <f aca="false">IF(Operations!AD1155&gt;0,Operations!AD1156/Operations!AD1155,0)</f>
        <v>1</v>
      </c>
      <c r="AE1157" s="14" t="n">
        <f aca="false">IF(Operations!AE1155&gt;0,Operations!AE1156/Operations!AE1155,0)</f>
        <v>1</v>
      </c>
      <c r="AF1157" s="14" t="n">
        <f aca="false">IF(Operations!AF1155&gt;0,Operations!AF1156/Operations!AF1155,0)</f>
        <v>1</v>
      </c>
      <c r="AG1157" s="14" t="n">
        <f aca="false">IF(Operations!AG1155&gt;0,Operations!AG1156/Operations!AG1155,0)</f>
        <v>1</v>
      </c>
      <c r="AH1157" s="14" t="n">
        <f aca="false">IF(Operations!AH1155&gt;0,Operations!AH1156/Operations!AH1155,0)</f>
        <v>1</v>
      </c>
      <c r="AI1157" s="14" t="n">
        <f aca="false">IF(Operations!AI1155&gt;0,Operations!AI1156/Operations!AI1155,0)</f>
        <v>1</v>
      </c>
      <c r="AJ1157" s="14" t="n">
        <f aca="false">IF(Operations!AJ1155&gt;0,Operations!AJ1156/Operations!AJ1155,0)</f>
        <v>1</v>
      </c>
      <c r="AK1157" s="14" t="n">
        <f aca="false">IF(Operations!AK1155&gt;0,Operations!AK1156/Operations!AK1155,0)</f>
        <v>1</v>
      </c>
      <c r="AL1157" s="14" t="n">
        <f aca="false">IF(Operations!AL1155&gt;0,Operations!AL1156/Operations!AL1155,0)</f>
        <v>1</v>
      </c>
      <c r="AM1157" s="14" t="n">
        <f aca="false">IF(Operations!AM1155&gt;0,Operations!AM1156/Operations!AM1155,0)</f>
        <v>1</v>
      </c>
      <c r="AN1157" s="14" t="n">
        <f aca="false">IF(Operations!AN1155&gt;0,Operations!AN1156/Operations!AN1155,0)</f>
        <v>1</v>
      </c>
      <c r="AO1157" s="14" t="n">
        <f aca="false">IF(Operations!AO1155&gt;0,Operations!AO1156/Operations!AO1155,0)</f>
        <v>1</v>
      </c>
      <c r="AP1157" s="14" t="n">
        <f aca="false">IF(Operations!AP1155&gt;0,Operations!AP1156/Operations!AP1155,0)</f>
        <v>1</v>
      </c>
      <c r="AQ1157" s="14" t="n">
        <f aca="false">IF(Operations!AQ1155&gt;0,Operations!AQ1156/Operations!AQ1155,0)</f>
        <v>1</v>
      </c>
      <c r="AR1157" s="14" t="n">
        <f aca="false">IF(Operations!AR1155&gt;0,Operations!AR1156/Operations!AR1155,0)</f>
        <v>1</v>
      </c>
      <c r="AS1157" s="14" t="n">
        <f aca="false">IF(Operations!AS1155&gt;0,Operations!AS1156/Operations!AS1155,0)</f>
        <v>1</v>
      </c>
      <c r="AT1157" s="14" t="n">
        <f aca="false">IF(Operations!AT1155&gt;0,Operations!AT1156/Operations!AT1155,0)</f>
        <v>1</v>
      </c>
      <c r="AU1157" s="14" t="n">
        <f aca="false">IF(Operations!AU1155&gt;0,Operations!AU1156/Operations!AU1155,0)</f>
        <v>1</v>
      </c>
    </row>
    <row r="1158" customFormat="false" ht="15" hidden="false" customHeight="false" outlineLevel="0" collapsed="false">
      <c r="D1158" s="0" t="s">
        <v>762</v>
      </c>
      <c r="E1158" s="0" t="s">
        <v>96</v>
      </c>
      <c r="J1158" s="18" t="n">
        <f aca="false">Operations!J844</f>
        <v>73.9286</v>
      </c>
      <c r="K1158" s="18" t="n">
        <f aca="false">Operations!K844</f>
        <v>60.6492</v>
      </c>
      <c r="L1158" s="18" t="n">
        <f aca="false">Operations!L844</f>
        <v>29.8291</v>
      </c>
      <c r="M1158" s="18" t="n">
        <f aca="false">Operations!M844</f>
        <v>39.4418</v>
      </c>
      <c r="N1158" s="18" t="n">
        <f aca="false">Operations!N844</f>
        <v>44.1986</v>
      </c>
      <c r="O1158" s="18" t="n">
        <f aca="false">Operations!O844</f>
        <v>46.8743</v>
      </c>
      <c r="P1158" s="18" t="n">
        <f aca="false">Operations!P844</f>
        <v>48.6581</v>
      </c>
      <c r="Q1158" s="18" t="n">
        <f aca="false">Operations!Q844</f>
        <v>49.9464</v>
      </c>
      <c r="R1158" s="18" t="n">
        <f aca="false">Operations!R844</f>
        <v>51.3338</v>
      </c>
      <c r="S1158" s="18" t="n">
        <f aca="false">Operations!S844</f>
        <v>52.36444</v>
      </c>
      <c r="T1158" s="18" t="n">
        <f aca="false">Operations!T844</f>
        <v>53.4149</v>
      </c>
      <c r="U1158" s="18" t="n">
        <f aca="false">Operations!U844</f>
        <v>54.48518</v>
      </c>
      <c r="V1158" s="18" t="n">
        <f aca="false">Operations!V844</f>
        <v>55.57528</v>
      </c>
      <c r="W1158" s="18" t="n">
        <f aca="false">Operations!W844</f>
        <v>56.6852</v>
      </c>
      <c r="X1158" s="18" t="n">
        <f aca="false">Operations!X844</f>
        <v>57.81494</v>
      </c>
      <c r="Y1158" s="18" t="n">
        <f aca="false">Operations!Y844</f>
        <v>58.97441</v>
      </c>
      <c r="Z1158" s="18" t="n">
        <f aca="false">Operations!Z844</f>
        <v>60.1537</v>
      </c>
      <c r="AA1158" s="18" t="n">
        <f aca="false">Operations!AA844</f>
        <v>61.35281</v>
      </c>
      <c r="AB1158" s="18" t="n">
        <f aca="false">Operations!AB844</f>
        <v>62.58165</v>
      </c>
      <c r="AC1158" s="18" t="n">
        <f aca="false">Operations!AC844</f>
        <v>63.83031</v>
      </c>
      <c r="AD1158" s="18" t="n">
        <f aca="false">Operations!AD844</f>
        <v>65.1087</v>
      </c>
      <c r="AE1158" s="18" t="n">
        <f aca="false">Operations!AE844</f>
        <v>66.40691</v>
      </c>
      <c r="AF1158" s="18" t="n">
        <f aca="false">Operations!AF844</f>
        <v>67.73485</v>
      </c>
      <c r="AG1158" s="18" t="n">
        <f aca="false">Operations!AG844</f>
        <v>69.09252</v>
      </c>
      <c r="AH1158" s="18" t="n">
        <f aca="false">Operations!AH844</f>
        <v>70.47001</v>
      </c>
      <c r="AI1158" s="18" t="n">
        <f aca="false">Operations!AI844</f>
        <v>71.87723</v>
      </c>
      <c r="AJ1158" s="18" t="n">
        <f aca="false">Operations!AJ844</f>
        <v>73.31418</v>
      </c>
      <c r="AK1158" s="18" t="n">
        <f aca="false">Operations!AK844</f>
        <v>74.78086</v>
      </c>
      <c r="AL1158" s="18" t="n">
        <f aca="false">Operations!AL844</f>
        <v>76.27727</v>
      </c>
      <c r="AM1158" s="18" t="n">
        <f aca="false">Operations!AM844</f>
        <v>77.80341</v>
      </c>
      <c r="AN1158" s="18" t="n">
        <f aca="false">Operations!AN844</f>
        <v>79.35928</v>
      </c>
      <c r="AO1158" s="18" t="n">
        <f aca="false">Operations!AO844</f>
        <v>80.94488</v>
      </c>
      <c r="AP1158" s="18" t="n">
        <f aca="false">Operations!AP844</f>
        <v>82.56021</v>
      </c>
      <c r="AQ1158" s="18" t="n">
        <f aca="false">Operations!AQ844</f>
        <v>84.21518</v>
      </c>
      <c r="AR1158" s="18" t="n">
        <f aca="false">Operations!AR844</f>
        <v>85.89988</v>
      </c>
      <c r="AS1158" s="18" t="n">
        <f aca="false">Operations!AS844</f>
        <v>87.61431</v>
      </c>
      <c r="AT1158" s="18" t="n">
        <f aca="false">Operations!AT844</f>
        <v>89.36838</v>
      </c>
      <c r="AU1158" s="18" t="n">
        <f aca="false">Operations!AU844</f>
        <v>91.15218</v>
      </c>
    </row>
    <row r="1159" customFormat="false" ht="15" hidden="false" customHeight="false" outlineLevel="0" collapsed="false">
      <c r="D1159" s="0" t="s">
        <v>763</v>
      </c>
      <c r="E1159" s="0" t="s">
        <v>27</v>
      </c>
      <c r="J1159" s="14" t="n">
        <f aca="false">CHOOSE(Operations!$F$837,1,Inputs!$F$176/100,Inputs!$F$177/100,Operations!$F$42/100)</f>
        <v>0.898351435705369</v>
      </c>
      <c r="K1159" s="14" t="n">
        <f aca="false">CHOOSE(Operations!$F$837,1,Inputs!$F$176/100,Inputs!$F$177/100,Operations!$F$42/100)</f>
        <v>0.898351435705369</v>
      </c>
      <c r="L1159" s="14" t="n">
        <f aca="false">CHOOSE(Operations!$F$837,1,Inputs!$F$176/100,Inputs!$F$177/100,Operations!$F$42/100)</f>
        <v>0.898351435705369</v>
      </c>
      <c r="M1159" s="14" t="n">
        <f aca="false">CHOOSE(Operations!$F$837,1,Inputs!$F$176/100,Inputs!$F$177/100,Operations!$F$42/100)</f>
        <v>0.898351435705369</v>
      </c>
      <c r="N1159" s="14" t="n">
        <f aca="false">CHOOSE(Operations!$F$837,1,Inputs!$F$176/100,Inputs!$F$177/100,Operations!$F$42/100)</f>
        <v>0.898351435705369</v>
      </c>
      <c r="O1159" s="14" t="n">
        <f aca="false">CHOOSE(Operations!$F$837,1,Inputs!$F$176/100,Inputs!$F$177/100,Operations!$F$42/100)</f>
        <v>0.898351435705369</v>
      </c>
      <c r="P1159" s="14" t="n">
        <f aca="false">CHOOSE(Operations!$F$837,1,Inputs!$F$176/100,Inputs!$F$177/100,Operations!$F$42/100)</f>
        <v>0.898351435705369</v>
      </c>
      <c r="Q1159" s="14" t="n">
        <f aca="false">CHOOSE(Operations!$F$837,1,Inputs!$F$176/100,Inputs!$F$177/100,Operations!$F$42/100)</f>
        <v>0.898351435705369</v>
      </c>
      <c r="R1159" s="14" t="n">
        <f aca="false">CHOOSE(Operations!$F$837,1,Inputs!$F$176/100,Inputs!$F$177/100,Operations!$F$42/100)</f>
        <v>0.898351435705369</v>
      </c>
      <c r="S1159" s="14" t="n">
        <f aca="false">CHOOSE(Operations!$F$837,1,Inputs!$F$176/100,Inputs!$F$177/100,Operations!$F$42/100)</f>
        <v>0.898351435705369</v>
      </c>
      <c r="T1159" s="14" t="n">
        <f aca="false">CHOOSE(Operations!$F$837,1,Inputs!$F$176/100,Inputs!$F$177/100,Operations!$F$42/100)</f>
        <v>0.898351435705369</v>
      </c>
      <c r="U1159" s="14" t="n">
        <f aca="false">CHOOSE(Operations!$F$837,1,Inputs!$F$176/100,Inputs!$F$177/100,Operations!$F$42/100)</f>
        <v>0.898351435705369</v>
      </c>
      <c r="V1159" s="14" t="n">
        <f aca="false">CHOOSE(Operations!$F$837,1,Inputs!$F$176/100,Inputs!$F$177/100,Operations!$F$42/100)</f>
        <v>0.898351435705369</v>
      </c>
      <c r="W1159" s="14" t="n">
        <f aca="false">CHOOSE(Operations!$F$837,1,Inputs!$F$176/100,Inputs!$F$177/100,Operations!$F$42/100)</f>
        <v>0.898351435705369</v>
      </c>
      <c r="X1159" s="14" t="n">
        <f aca="false">CHOOSE(Operations!$F$837,1,Inputs!$F$176/100,Inputs!$F$177/100,Operations!$F$42/100)</f>
        <v>0.898351435705369</v>
      </c>
      <c r="Y1159" s="14" t="n">
        <f aca="false">CHOOSE(Operations!$F$837,1,Inputs!$F$176/100,Inputs!$F$177/100,Operations!$F$42/100)</f>
        <v>0.898351435705369</v>
      </c>
      <c r="Z1159" s="14" t="n">
        <f aca="false">CHOOSE(Operations!$F$837,1,Inputs!$F$176/100,Inputs!$F$177/100,Operations!$F$42/100)</f>
        <v>0.898351435705369</v>
      </c>
      <c r="AA1159" s="14" t="n">
        <f aca="false">CHOOSE(Operations!$F$837,1,Inputs!$F$176/100,Inputs!$F$177/100,Operations!$F$42/100)</f>
        <v>0.898351435705369</v>
      </c>
      <c r="AB1159" s="14" t="n">
        <f aca="false">CHOOSE(Operations!$F$837,1,Inputs!$F$176/100,Inputs!$F$177/100,Operations!$F$42/100)</f>
        <v>0.898351435705369</v>
      </c>
      <c r="AC1159" s="14" t="n">
        <f aca="false">CHOOSE(Operations!$F$837,1,Inputs!$F$176/100,Inputs!$F$177/100,Operations!$F$42/100)</f>
        <v>0.898351435705369</v>
      </c>
      <c r="AD1159" s="14" t="n">
        <f aca="false">CHOOSE(Operations!$F$837,1,Inputs!$F$176/100,Inputs!$F$177/100,Operations!$F$42/100)</f>
        <v>0.898351435705369</v>
      </c>
      <c r="AE1159" s="14" t="n">
        <f aca="false">CHOOSE(Operations!$F$837,1,Inputs!$F$176/100,Inputs!$F$177/100,Operations!$F$42/100)</f>
        <v>0.898351435705369</v>
      </c>
      <c r="AF1159" s="14" t="n">
        <f aca="false">CHOOSE(Operations!$F$837,1,Inputs!$F$176/100,Inputs!$F$177/100,Operations!$F$42/100)</f>
        <v>0.898351435705369</v>
      </c>
      <c r="AG1159" s="14" t="n">
        <f aca="false">CHOOSE(Operations!$F$837,1,Inputs!$F$176/100,Inputs!$F$177/100,Operations!$F$42/100)</f>
        <v>0.898351435705369</v>
      </c>
      <c r="AH1159" s="14" t="n">
        <f aca="false">CHOOSE(Operations!$F$837,1,Inputs!$F$176/100,Inputs!$F$177/100,Operations!$F$42/100)</f>
        <v>0.898351435705369</v>
      </c>
      <c r="AI1159" s="14" t="n">
        <f aca="false">CHOOSE(Operations!$F$837,1,Inputs!$F$176/100,Inputs!$F$177/100,Operations!$F$42/100)</f>
        <v>0.898351435705369</v>
      </c>
      <c r="AJ1159" s="14" t="n">
        <f aca="false">CHOOSE(Operations!$F$837,1,Inputs!$F$176/100,Inputs!$F$177/100,Operations!$F$42/100)</f>
        <v>0.898351435705369</v>
      </c>
      <c r="AK1159" s="14" t="n">
        <f aca="false">CHOOSE(Operations!$F$837,1,Inputs!$F$176/100,Inputs!$F$177/100,Operations!$F$42/100)</f>
        <v>0.898351435705369</v>
      </c>
      <c r="AL1159" s="14" t="n">
        <f aca="false">CHOOSE(Operations!$F$837,1,Inputs!$F$176/100,Inputs!$F$177/100,Operations!$F$42/100)</f>
        <v>0.898351435705369</v>
      </c>
      <c r="AM1159" s="14" t="n">
        <f aca="false">CHOOSE(Operations!$F$837,1,Inputs!$F$176/100,Inputs!$F$177/100,Operations!$F$42/100)</f>
        <v>0.898351435705369</v>
      </c>
      <c r="AN1159" s="14" t="n">
        <f aca="false">CHOOSE(Operations!$F$837,1,Inputs!$F$176/100,Inputs!$F$177/100,Operations!$F$42/100)</f>
        <v>0.898351435705369</v>
      </c>
      <c r="AO1159" s="14" t="n">
        <f aca="false">CHOOSE(Operations!$F$837,1,Inputs!$F$176/100,Inputs!$F$177/100,Operations!$F$42/100)</f>
        <v>0.898351435705369</v>
      </c>
      <c r="AP1159" s="14" t="n">
        <f aca="false">CHOOSE(Operations!$F$837,1,Inputs!$F$176/100,Inputs!$F$177/100,Operations!$F$42/100)</f>
        <v>0.898351435705369</v>
      </c>
      <c r="AQ1159" s="14" t="n">
        <f aca="false">CHOOSE(Operations!$F$837,1,Inputs!$F$176/100,Inputs!$F$177/100,Operations!$F$42/100)</f>
        <v>0.898351435705369</v>
      </c>
      <c r="AR1159" s="14" t="n">
        <f aca="false">CHOOSE(Operations!$F$837,1,Inputs!$F$176/100,Inputs!$F$177/100,Operations!$F$42/100)</f>
        <v>0.898351435705369</v>
      </c>
      <c r="AS1159" s="14" t="n">
        <f aca="false">CHOOSE(Operations!$F$837,1,Inputs!$F$176/100,Inputs!$F$177/100,Operations!$F$42/100)</f>
        <v>0.898351435705369</v>
      </c>
      <c r="AT1159" s="14" t="n">
        <f aca="false">CHOOSE(Operations!$F$837,1,Inputs!$F$176/100,Inputs!$F$177/100,Operations!$F$42/100)</f>
        <v>0.898351435705369</v>
      </c>
      <c r="AU1159" s="14" t="n">
        <f aca="false">CHOOSE(Operations!$F$837,1,Inputs!$F$176/100,Inputs!$F$177/100,Operations!$F$42/100)</f>
        <v>0.898351435705369</v>
      </c>
    </row>
    <row r="1160" customFormat="false" ht="15" hidden="false" customHeight="false" outlineLevel="0" collapsed="false">
      <c r="D1160" s="0" t="s">
        <v>764</v>
      </c>
      <c r="E1160" s="0" t="s">
        <v>27</v>
      </c>
      <c r="J1160" s="14" t="n">
        <f aca="false">(1-Inputs!$F$178/100)^MAX(0,Time!J$4-Inputs!$F$179)</f>
        <v>1</v>
      </c>
      <c r="K1160" s="14" t="n">
        <f aca="false">(1-Inputs!$F$178/100)^MAX(0,Time!K$4-Inputs!$F$179)</f>
        <v>1</v>
      </c>
      <c r="L1160" s="14" t="n">
        <f aca="false">(1-Inputs!$F$178/100)^MAX(0,Time!L$4-Inputs!$F$179)</f>
        <v>1</v>
      </c>
      <c r="M1160" s="14" t="n">
        <f aca="false">(1-Inputs!$F$178/100)^MAX(0,Time!M$4-Inputs!$F$179)</f>
        <v>1</v>
      </c>
      <c r="N1160" s="14" t="n">
        <f aca="false">(1-Inputs!$F$178/100)^MAX(0,Time!N$4-Inputs!$F$179)</f>
        <v>0.996</v>
      </c>
      <c r="O1160" s="14" t="n">
        <f aca="false">(1-Inputs!$F$178/100)^MAX(0,Time!O$4-Inputs!$F$179)</f>
        <v>0.992016</v>
      </c>
      <c r="P1160" s="14" t="n">
        <f aca="false">(1-Inputs!$F$178/100)^MAX(0,Time!P$4-Inputs!$F$179)</f>
        <v>0.988047936</v>
      </c>
      <c r="Q1160" s="14" t="n">
        <f aca="false">(1-Inputs!$F$178/100)^MAX(0,Time!Q$4-Inputs!$F$179)</f>
        <v>0.984095744256</v>
      </c>
      <c r="R1160" s="14" t="n">
        <f aca="false">(1-Inputs!$F$178/100)^MAX(0,Time!R$4-Inputs!$F$179)</f>
        <v>0.980159361278976</v>
      </c>
      <c r="S1160" s="14" t="n">
        <f aca="false">(1-Inputs!$F$178/100)^MAX(0,Time!S$4-Inputs!$F$179)</f>
        <v>0.97623872383386</v>
      </c>
      <c r="T1160" s="14" t="n">
        <f aca="false">(1-Inputs!$F$178/100)^MAX(0,Time!T$4-Inputs!$F$179)</f>
        <v>0.972333768938525</v>
      </c>
      <c r="U1160" s="14" t="n">
        <f aca="false">(1-Inputs!$F$178/100)^MAX(0,Time!U$4-Inputs!$F$179)</f>
        <v>0.968444433862771</v>
      </c>
      <c r="V1160" s="14" t="n">
        <f aca="false">(1-Inputs!$F$178/100)^MAX(0,Time!V$4-Inputs!$F$179)</f>
        <v>0.964570656127319</v>
      </c>
      <c r="W1160" s="14" t="n">
        <f aca="false">(1-Inputs!$F$178/100)^MAX(0,Time!W$4-Inputs!$F$179)</f>
        <v>0.96071237350281</v>
      </c>
      <c r="X1160" s="14" t="n">
        <f aca="false">(1-Inputs!$F$178/100)^MAX(0,Time!X$4-Inputs!$F$179)</f>
        <v>0.956869524008799</v>
      </c>
      <c r="Y1160" s="14" t="n">
        <f aca="false">(1-Inputs!$F$178/100)^MAX(0,Time!Y$4-Inputs!$F$179)</f>
        <v>0.953042045912764</v>
      </c>
      <c r="Z1160" s="14" t="n">
        <f aca="false">(1-Inputs!$F$178/100)^MAX(0,Time!Z$4-Inputs!$F$179)</f>
        <v>0.949229877729113</v>
      </c>
      <c r="AA1160" s="14" t="n">
        <f aca="false">(1-Inputs!$F$178/100)^MAX(0,Time!AA$4-Inputs!$F$179)</f>
        <v>0.945432958218196</v>
      </c>
      <c r="AB1160" s="14" t="n">
        <f aca="false">(1-Inputs!$F$178/100)^MAX(0,Time!AB$4-Inputs!$F$179)</f>
        <v>0.941651226385323</v>
      </c>
      <c r="AC1160" s="14" t="n">
        <f aca="false">(1-Inputs!$F$178/100)^MAX(0,Time!AC$4-Inputs!$F$179)</f>
        <v>0.937884621479782</v>
      </c>
      <c r="AD1160" s="14" t="n">
        <f aca="false">(1-Inputs!$F$178/100)^MAX(0,Time!AD$4-Inputs!$F$179)</f>
        <v>0.934133082993863</v>
      </c>
      <c r="AE1160" s="14" t="n">
        <f aca="false">(1-Inputs!$F$178/100)^MAX(0,Time!AE$4-Inputs!$F$179)</f>
        <v>0.930396550661888</v>
      </c>
      <c r="AF1160" s="14" t="n">
        <f aca="false">(1-Inputs!$F$178/100)^MAX(0,Time!AF$4-Inputs!$F$179)</f>
        <v>0.92667496445924</v>
      </c>
      <c r="AG1160" s="14" t="n">
        <f aca="false">(1-Inputs!$F$178/100)^MAX(0,Time!AG$4-Inputs!$F$179)</f>
        <v>0.922968264601403</v>
      </c>
      <c r="AH1160" s="14" t="n">
        <f aca="false">(1-Inputs!$F$178/100)^MAX(0,Time!AH$4-Inputs!$F$179)</f>
        <v>0.919276391542998</v>
      </c>
      <c r="AI1160" s="14" t="n">
        <f aca="false">(1-Inputs!$F$178/100)^MAX(0,Time!AI$4-Inputs!$F$179)</f>
        <v>0.915599285976825</v>
      </c>
      <c r="AJ1160" s="14" t="n">
        <f aca="false">(1-Inputs!$F$178/100)^MAX(0,Time!AJ$4-Inputs!$F$179)</f>
        <v>0.911936888832918</v>
      </c>
      <c r="AK1160" s="14" t="n">
        <f aca="false">(1-Inputs!$F$178/100)^MAX(0,Time!AK$4-Inputs!$F$179)</f>
        <v>0.908289141277586</v>
      </c>
      <c r="AL1160" s="14" t="n">
        <f aca="false">(1-Inputs!$F$178/100)^MAX(0,Time!AL$4-Inputs!$F$179)</f>
        <v>0.904655984712476</v>
      </c>
      <c r="AM1160" s="14" t="n">
        <f aca="false">(1-Inputs!$F$178/100)^MAX(0,Time!AM$4-Inputs!$F$179)</f>
        <v>0.901037360773626</v>
      </c>
      <c r="AN1160" s="14" t="n">
        <f aca="false">(1-Inputs!$F$178/100)^MAX(0,Time!AN$4-Inputs!$F$179)</f>
        <v>0.897433211330532</v>
      </c>
      <c r="AO1160" s="14" t="n">
        <f aca="false">(1-Inputs!$F$178/100)^MAX(0,Time!AO$4-Inputs!$F$179)</f>
        <v>0.89384347848521</v>
      </c>
      <c r="AP1160" s="14" t="n">
        <f aca="false">(1-Inputs!$F$178/100)^MAX(0,Time!AP$4-Inputs!$F$179)</f>
        <v>0.890268104571269</v>
      </c>
      <c r="AQ1160" s="14" t="n">
        <f aca="false">(1-Inputs!$F$178/100)^MAX(0,Time!AQ$4-Inputs!$F$179)</f>
        <v>0.886707032152984</v>
      </c>
      <c r="AR1160" s="14" t="n">
        <f aca="false">(1-Inputs!$F$178/100)^MAX(0,Time!AR$4-Inputs!$F$179)</f>
        <v>0.883160204024372</v>
      </c>
      <c r="AS1160" s="14" t="n">
        <f aca="false">(1-Inputs!$F$178/100)^MAX(0,Time!AS$4-Inputs!$F$179)</f>
        <v>0.879627563208274</v>
      </c>
      <c r="AT1160" s="14" t="n">
        <f aca="false">(1-Inputs!$F$178/100)^MAX(0,Time!AT$4-Inputs!$F$179)</f>
        <v>0.876109052955441</v>
      </c>
      <c r="AU1160" s="14" t="n">
        <f aca="false">(1-Inputs!$F$178/100)^MAX(0,Time!AU$4-Inputs!$F$179)</f>
        <v>0.872604616743619</v>
      </c>
    </row>
    <row r="1161" customFormat="false" ht="15" hidden="false" customHeight="false" outlineLevel="0" collapsed="false">
      <c r="D1161" s="0" t="s">
        <v>765</v>
      </c>
      <c r="E1161" s="0" t="s">
        <v>458</v>
      </c>
      <c r="J1161" s="14" t="n">
        <f aca="false">(IF(Time!J$4&gt;=Inputs!$F$61,Inputs!$F$69,Inputs!$F$68+(Inputs!$F$69-Inputs!$F$68)*(Time!J$4-Inputs!$F$23)/(Inputs!$F$61-Inputs!$F$23))+Operations!$F$839)/100</f>
        <v>0.018</v>
      </c>
      <c r="K1161" s="14" t="n">
        <f aca="false">(IF(Time!K$4&gt;=Inputs!$F$61,Inputs!$F$69,Inputs!$F$68+(Inputs!$F$69-Inputs!$F$68)*(Time!K$4-Inputs!$F$23)/(Inputs!$F$61-Inputs!$F$23))+Operations!$F$839)/100</f>
        <v>0.018</v>
      </c>
      <c r="L1161" s="14" t="n">
        <f aca="false">(IF(Time!L$4&gt;=Inputs!$F$61,Inputs!$F$69,Inputs!$F$68+(Inputs!$F$69-Inputs!$F$68)*(Time!L$4-Inputs!$F$23)/(Inputs!$F$61-Inputs!$F$23))+Operations!$F$839)/100</f>
        <v>0.018</v>
      </c>
      <c r="M1161" s="14" t="n">
        <f aca="false">(IF(Time!M$4&gt;=Inputs!$F$61,Inputs!$F$69,Inputs!$F$68+(Inputs!$F$69-Inputs!$F$68)*(Time!M$4-Inputs!$F$23)/(Inputs!$F$61-Inputs!$F$23))+Operations!$F$839)/100</f>
        <v>0.018</v>
      </c>
      <c r="N1161" s="14" t="n">
        <f aca="false">(IF(Time!N$4&gt;=Inputs!$F$61,Inputs!$F$69,Inputs!$F$68+(Inputs!$F$69-Inputs!$F$68)*(Time!N$4-Inputs!$F$23)/(Inputs!$F$61-Inputs!$F$23))+Operations!$F$839)/100</f>
        <v>0.018</v>
      </c>
      <c r="O1161" s="14" t="n">
        <f aca="false">(IF(Time!O$4&gt;=Inputs!$F$61,Inputs!$F$69,Inputs!$F$68+(Inputs!$F$69-Inputs!$F$68)*(Time!O$4-Inputs!$F$23)/(Inputs!$F$61-Inputs!$F$23))+Operations!$F$839)/100</f>
        <v>0.018</v>
      </c>
      <c r="P1161" s="14" t="n">
        <f aca="false">(IF(Time!P$4&gt;=Inputs!$F$61,Inputs!$F$69,Inputs!$F$68+(Inputs!$F$69-Inputs!$F$68)*(Time!P$4-Inputs!$F$23)/(Inputs!$F$61-Inputs!$F$23))+Operations!$F$839)/100</f>
        <v>0.018</v>
      </c>
      <c r="Q1161" s="14" t="n">
        <f aca="false">(IF(Time!Q$4&gt;=Inputs!$F$61,Inputs!$F$69,Inputs!$F$68+(Inputs!$F$69-Inputs!$F$68)*(Time!Q$4-Inputs!$F$23)/(Inputs!$F$61-Inputs!$F$23))+Operations!$F$839)/100</f>
        <v>0.018</v>
      </c>
      <c r="R1161" s="14" t="n">
        <f aca="false">(IF(Time!R$4&gt;=Inputs!$F$61,Inputs!$F$69,Inputs!$F$68+(Inputs!$F$69-Inputs!$F$68)*(Time!R$4-Inputs!$F$23)/(Inputs!$F$61-Inputs!$F$23))+Operations!$F$839)/100</f>
        <v>0.018</v>
      </c>
      <c r="S1161" s="14" t="n">
        <f aca="false">(IF(Time!S$4&gt;=Inputs!$F$61,Inputs!$F$69,Inputs!$F$68+(Inputs!$F$69-Inputs!$F$68)*(Time!S$4-Inputs!$F$23)/(Inputs!$F$61-Inputs!$F$23))+Operations!$F$839)/100</f>
        <v>0.018</v>
      </c>
      <c r="T1161" s="14" t="n">
        <f aca="false">(IF(Time!T$4&gt;=Inputs!$F$61,Inputs!$F$69,Inputs!$F$68+(Inputs!$F$69-Inputs!$F$68)*(Time!T$4-Inputs!$F$23)/(Inputs!$F$61-Inputs!$F$23))+Operations!$F$839)/100</f>
        <v>0.018</v>
      </c>
      <c r="U1161" s="14" t="n">
        <f aca="false">(IF(Time!U$4&gt;=Inputs!$F$61,Inputs!$F$69,Inputs!$F$68+(Inputs!$F$69-Inputs!$F$68)*(Time!U$4-Inputs!$F$23)/(Inputs!$F$61-Inputs!$F$23))+Operations!$F$839)/100</f>
        <v>0.018</v>
      </c>
      <c r="V1161" s="14" t="n">
        <f aca="false">(IF(Time!V$4&gt;=Inputs!$F$61,Inputs!$F$69,Inputs!$F$68+(Inputs!$F$69-Inputs!$F$68)*(Time!V$4-Inputs!$F$23)/(Inputs!$F$61-Inputs!$F$23))+Operations!$F$839)/100</f>
        <v>0.018</v>
      </c>
      <c r="W1161" s="14" t="n">
        <f aca="false">(IF(Time!W$4&gt;=Inputs!$F$61,Inputs!$F$69,Inputs!$F$68+(Inputs!$F$69-Inputs!$F$68)*(Time!W$4-Inputs!$F$23)/(Inputs!$F$61-Inputs!$F$23))+Operations!$F$839)/100</f>
        <v>0.018</v>
      </c>
      <c r="X1161" s="14" t="n">
        <f aca="false">(IF(Time!X$4&gt;=Inputs!$F$61,Inputs!$F$69,Inputs!$F$68+(Inputs!$F$69-Inputs!$F$68)*(Time!X$4-Inputs!$F$23)/(Inputs!$F$61-Inputs!$F$23))+Operations!$F$839)/100</f>
        <v>0.018</v>
      </c>
      <c r="Y1161" s="14" t="n">
        <f aca="false">(IF(Time!Y$4&gt;=Inputs!$F$61,Inputs!$F$69,Inputs!$F$68+(Inputs!$F$69-Inputs!$F$68)*(Time!Y$4-Inputs!$F$23)/(Inputs!$F$61-Inputs!$F$23))+Operations!$F$839)/100</f>
        <v>0.018</v>
      </c>
      <c r="Z1161" s="14" t="n">
        <f aca="false">(IF(Time!Z$4&gt;=Inputs!$F$61,Inputs!$F$69,Inputs!$F$68+(Inputs!$F$69-Inputs!$F$68)*(Time!Z$4-Inputs!$F$23)/(Inputs!$F$61-Inputs!$F$23))+Operations!$F$839)/100</f>
        <v>0.018</v>
      </c>
      <c r="AA1161" s="14" t="n">
        <f aca="false">(IF(Time!AA$4&gt;=Inputs!$F$61,Inputs!$F$69,Inputs!$F$68+(Inputs!$F$69-Inputs!$F$68)*(Time!AA$4-Inputs!$F$23)/(Inputs!$F$61-Inputs!$F$23))+Operations!$F$839)/100</f>
        <v>0.018</v>
      </c>
      <c r="AB1161" s="14" t="n">
        <f aca="false">(IF(Time!AB$4&gt;=Inputs!$F$61,Inputs!$F$69,Inputs!$F$68+(Inputs!$F$69-Inputs!$F$68)*(Time!AB$4-Inputs!$F$23)/(Inputs!$F$61-Inputs!$F$23))+Operations!$F$839)/100</f>
        <v>0.018</v>
      </c>
      <c r="AC1161" s="14" t="n">
        <f aca="false">(IF(Time!AC$4&gt;=Inputs!$F$61,Inputs!$F$69,Inputs!$F$68+(Inputs!$F$69-Inputs!$F$68)*(Time!AC$4-Inputs!$F$23)/(Inputs!$F$61-Inputs!$F$23))+Operations!$F$839)/100</f>
        <v>0.018</v>
      </c>
      <c r="AD1161" s="14" t="n">
        <f aca="false">(IF(Time!AD$4&gt;=Inputs!$F$61,Inputs!$F$69,Inputs!$F$68+(Inputs!$F$69-Inputs!$F$68)*(Time!AD$4-Inputs!$F$23)/(Inputs!$F$61-Inputs!$F$23))+Operations!$F$839)/100</f>
        <v>0.018</v>
      </c>
      <c r="AE1161" s="14" t="n">
        <f aca="false">(IF(Time!AE$4&gt;=Inputs!$F$61,Inputs!$F$69,Inputs!$F$68+(Inputs!$F$69-Inputs!$F$68)*(Time!AE$4-Inputs!$F$23)/(Inputs!$F$61-Inputs!$F$23))+Operations!$F$839)/100</f>
        <v>0.018</v>
      </c>
      <c r="AF1161" s="14" t="n">
        <f aca="false">(IF(Time!AF$4&gt;=Inputs!$F$61,Inputs!$F$69,Inputs!$F$68+(Inputs!$F$69-Inputs!$F$68)*(Time!AF$4-Inputs!$F$23)/(Inputs!$F$61-Inputs!$F$23))+Operations!$F$839)/100</f>
        <v>0.018</v>
      </c>
      <c r="AG1161" s="14" t="n">
        <f aca="false">(IF(Time!AG$4&gt;=Inputs!$F$61,Inputs!$F$69,Inputs!$F$68+(Inputs!$F$69-Inputs!$F$68)*(Time!AG$4-Inputs!$F$23)/(Inputs!$F$61-Inputs!$F$23))+Operations!$F$839)/100</f>
        <v>0.018</v>
      </c>
      <c r="AH1161" s="14" t="n">
        <f aca="false">(IF(Time!AH$4&gt;=Inputs!$F$61,Inputs!$F$69,Inputs!$F$68+(Inputs!$F$69-Inputs!$F$68)*(Time!AH$4-Inputs!$F$23)/(Inputs!$F$61-Inputs!$F$23))+Operations!$F$839)/100</f>
        <v>0.018</v>
      </c>
      <c r="AI1161" s="14" t="n">
        <f aca="false">(IF(Time!AI$4&gt;=Inputs!$F$61,Inputs!$F$69,Inputs!$F$68+(Inputs!$F$69-Inputs!$F$68)*(Time!AI$4-Inputs!$F$23)/(Inputs!$F$61-Inputs!$F$23))+Operations!$F$839)/100</f>
        <v>0.018</v>
      </c>
      <c r="AJ1161" s="14" t="n">
        <f aca="false">(IF(Time!AJ$4&gt;=Inputs!$F$61,Inputs!$F$69,Inputs!$F$68+(Inputs!$F$69-Inputs!$F$68)*(Time!AJ$4-Inputs!$F$23)/(Inputs!$F$61-Inputs!$F$23))+Operations!$F$839)/100</f>
        <v>0.018</v>
      </c>
      <c r="AK1161" s="14" t="n">
        <f aca="false">(IF(Time!AK$4&gt;=Inputs!$F$61,Inputs!$F$69,Inputs!$F$68+(Inputs!$F$69-Inputs!$F$68)*(Time!AK$4-Inputs!$F$23)/(Inputs!$F$61-Inputs!$F$23))+Operations!$F$839)/100</f>
        <v>0.018</v>
      </c>
      <c r="AL1161" s="14" t="n">
        <f aca="false">(IF(Time!AL$4&gt;=Inputs!$F$61,Inputs!$F$69,Inputs!$F$68+(Inputs!$F$69-Inputs!$F$68)*(Time!AL$4-Inputs!$F$23)/(Inputs!$F$61-Inputs!$F$23))+Operations!$F$839)/100</f>
        <v>0.018</v>
      </c>
      <c r="AM1161" s="14" t="n">
        <f aca="false">(IF(Time!AM$4&gt;=Inputs!$F$61,Inputs!$F$69,Inputs!$F$68+(Inputs!$F$69-Inputs!$F$68)*(Time!AM$4-Inputs!$F$23)/(Inputs!$F$61-Inputs!$F$23))+Operations!$F$839)/100</f>
        <v>0.018</v>
      </c>
      <c r="AN1161" s="14" t="n">
        <f aca="false">(IF(Time!AN$4&gt;=Inputs!$F$61,Inputs!$F$69,Inputs!$F$68+(Inputs!$F$69-Inputs!$F$68)*(Time!AN$4-Inputs!$F$23)/(Inputs!$F$61-Inputs!$F$23))+Operations!$F$839)/100</f>
        <v>0.018</v>
      </c>
      <c r="AO1161" s="14" t="n">
        <f aca="false">(IF(Time!AO$4&gt;=Inputs!$F$61,Inputs!$F$69,Inputs!$F$68+(Inputs!$F$69-Inputs!$F$68)*(Time!AO$4-Inputs!$F$23)/(Inputs!$F$61-Inputs!$F$23))+Operations!$F$839)/100</f>
        <v>0.018</v>
      </c>
      <c r="AP1161" s="14" t="n">
        <f aca="false">(IF(Time!AP$4&gt;=Inputs!$F$61,Inputs!$F$69,Inputs!$F$68+(Inputs!$F$69-Inputs!$F$68)*(Time!AP$4-Inputs!$F$23)/(Inputs!$F$61-Inputs!$F$23))+Operations!$F$839)/100</f>
        <v>0.018</v>
      </c>
      <c r="AQ1161" s="14" t="n">
        <f aca="false">(IF(Time!AQ$4&gt;=Inputs!$F$61,Inputs!$F$69,Inputs!$F$68+(Inputs!$F$69-Inputs!$F$68)*(Time!AQ$4-Inputs!$F$23)/(Inputs!$F$61-Inputs!$F$23))+Operations!$F$839)/100</f>
        <v>0.018</v>
      </c>
      <c r="AR1161" s="14" t="n">
        <f aca="false">(IF(Time!AR$4&gt;=Inputs!$F$61,Inputs!$F$69,Inputs!$F$68+(Inputs!$F$69-Inputs!$F$68)*(Time!AR$4-Inputs!$F$23)/(Inputs!$F$61-Inputs!$F$23))+Operations!$F$839)/100</f>
        <v>0.018</v>
      </c>
      <c r="AS1161" s="14" t="n">
        <f aca="false">(IF(Time!AS$4&gt;=Inputs!$F$61,Inputs!$F$69,Inputs!$F$68+(Inputs!$F$69-Inputs!$F$68)*(Time!AS$4-Inputs!$F$23)/(Inputs!$F$61-Inputs!$F$23))+Operations!$F$839)/100</f>
        <v>0.018</v>
      </c>
      <c r="AT1161" s="14" t="n">
        <f aca="false">(IF(Time!AT$4&gt;=Inputs!$F$61,Inputs!$F$69,Inputs!$F$68+(Inputs!$F$69-Inputs!$F$68)*(Time!AT$4-Inputs!$F$23)/(Inputs!$F$61-Inputs!$F$23))+Operations!$F$839)/100</f>
        <v>0.018</v>
      </c>
      <c r="AU1161" s="14" t="n">
        <f aca="false">(IF(Time!AU$4&gt;=Inputs!$F$61,Inputs!$F$69,Inputs!$F$68+(Inputs!$F$69-Inputs!$F$68)*(Time!AU$4-Inputs!$F$23)/(Inputs!$F$61-Inputs!$F$23))+Operations!$F$839)/100</f>
        <v>0.018</v>
      </c>
    </row>
    <row r="1162" customFormat="false" ht="15" hidden="false" customHeight="false" outlineLevel="0" collapsed="false">
      <c r="D1162" s="0" t="s">
        <v>766</v>
      </c>
      <c r="E1162" s="0" t="s">
        <v>466</v>
      </c>
      <c r="J1162" s="20" t="n">
        <f aca="false">Inputs!$F$175*Operations!J1159*Inputs!$F$192/100*Operations!J1160*(1-Operations!J1161)</f>
        <v>255.920739971161</v>
      </c>
      <c r="K1162" s="20" t="n">
        <f aca="false">Inputs!$F$175*Operations!K1159*Inputs!$F$192/100*Operations!K1160*(1-Operations!K1161)</f>
        <v>255.920739971161</v>
      </c>
      <c r="L1162" s="20" t="n">
        <f aca="false">Inputs!$F$175*Operations!L1159*Inputs!$F$192/100*Operations!L1160*(1-Operations!L1161)</f>
        <v>255.920739971161</v>
      </c>
      <c r="M1162" s="20" t="n">
        <f aca="false">Inputs!$F$175*Operations!M1159*Inputs!$F$192/100*Operations!M1160*(1-Operations!M1161)</f>
        <v>255.920739971161</v>
      </c>
      <c r="N1162" s="20" t="n">
        <f aca="false">Inputs!$F$175*Operations!N1159*Inputs!$F$192/100*Operations!N1160*(1-Operations!N1161)</f>
        <v>254.897057011276</v>
      </c>
      <c r="O1162" s="20" t="n">
        <f aca="false">Inputs!$F$175*Operations!O1159*Inputs!$F$192/100*Operations!O1160*(1-Operations!O1161)</f>
        <v>253.877468783231</v>
      </c>
      <c r="P1162" s="20" t="n">
        <f aca="false">Inputs!$F$175*Operations!P1159*Inputs!$F$192/100*Operations!P1160*(1-Operations!P1161)</f>
        <v>252.861958908098</v>
      </c>
      <c r="Q1162" s="20" t="n">
        <f aca="false">Inputs!$F$175*Operations!Q1159*Inputs!$F$192/100*Operations!Q1160*(1-Operations!Q1161)</f>
        <v>251.850511072466</v>
      </c>
      <c r="R1162" s="20" t="n">
        <f aca="false">Inputs!$F$175*Operations!R1159*Inputs!$F$192/100*Operations!R1160*(1-Operations!R1161)</f>
        <v>250.843109028176</v>
      </c>
      <c r="S1162" s="20" t="n">
        <f aca="false">Inputs!$F$175*Operations!S1159*Inputs!$F$192/100*Operations!S1160*(1-Operations!S1161)</f>
        <v>249.839736592064</v>
      </c>
      <c r="T1162" s="20" t="n">
        <f aca="false">Inputs!$F$175*Operations!T1159*Inputs!$F$192/100*Operations!T1160*(1-Operations!T1161)</f>
        <v>248.840377645695</v>
      </c>
      <c r="U1162" s="20" t="n">
        <f aca="false">Inputs!$F$175*Operations!U1159*Inputs!$F$192/100*Operations!U1160*(1-Operations!U1161)</f>
        <v>247.845016135112</v>
      </c>
      <c r="V1162" s="20" t="n">
        <f aca="false">Inputs!$F$175*Operations!V1159*Inputs!$F$192/100*Operations!V1160*(1-Operations!V1161)</f>
        <v>246.853636070572</v>
      </c>
      <c r="W1162" s="20" t="n">
        <f aca="false">Inputs!$F$175*Operations!W1159*Inputs!$F$192/100*Operations!W1160*(1-Operations!W1161)</f>
        <v>245.86622152629</v>
      </c>
      <c r="X1162" s="20" t="n">
        <f aca="false">Inputs!$F$175*Operations!X1159*Inputs!$F$192/100*Operations!X1160*(1-Operations!X1161)</f>
        <v>244.882756640185</v>
      </c>
      <c r="Y1162" s="20" t="n">
        <f aca="false">Inputs!$F$175*Operations!Y1159*Inputs!$F$192/100*Operations!Y1160*(1-Operations!Y1161)</f>
        <v>243.903225613624</v>
      </c>
      <c r="Z1162" s="20" t="n">
        <f aca="false">Inputs!$F$175*Operations!Z1159*Inputs!$F$192/100*Operations!Z1160*(1-Operations!Z1161)</f>
        <v>242.927612711169</v>
      </c>
      <c r="AA1162" s="20" t="n">
        <f aca="false">Inputs!$F$175*Operations!AA1159*Inputs!$F$192/100*Operations!AA1160*(1-Operations!AA1161)</f>
        <v>241.955902260325</v>
      </c>
      <c r="AB1162" s="20" t="n">
        <f aca="false">Inputs!$F$175*Operations!AB1159*Inputs!$F$192/100*Operations!AB1160*(1-Operations!AB1161)</f>
        <v>240.988078651283</v>
      </c>
      <c r="AC1162" s="20" t="n">
        <f aca="false">Inputs!$F$175*Operations!AC1159*Inputs!$F$192/100*Operations!AC1160*(1-Operations!AC1161)</f>
        <v>240.024126336678</v>
      </c>
      <c r="AD1162" s="20" t="n">
        <f aca="false">Inputs!$F$175*Operations!AD1159*Inputs!$F$192/100*Operations!AD1160*(1-Operations!AD1161)</f>
        <v>239.064029831332</v>
      </c>
      <c r="AE1162" s="20" t="n">
        <f aca="false">Inputs!$F$175*Operations!AE1159*Inputs!$F$192/100*Operations!AE1160*(1-Operations!AE1161)</f>
        <v>238.107773712006</v>
      </c>
      <c r="AF1162" s="20" t="n">
        <f aca="false">Inputs!$F$175*Operations!AF1159*Inputs!$F$192/100*Operations!AF1160*(1-Operations!AF1161)</f>
        <v>237.155342617158</v>
      </c>
      <c r="AG1162" s="20" t="n">
        <f aca="false">Inputs!$F$175*Operations!AG1159*Inputs!$F$192/100*Operations!AG1160*(1-Operations!AG1161)</f>
        <v>236.20672124669</v>
      </c>
      <c r="AH1162" s="20" t="n">
        <f aca="false">Inputs!$F$175*Operations!AH1159*Inputs!$F$192/100*Operations!AH1160*(1-Operations!AH1161)</f>
        <v>235.261894361703</v>
      </c>
      <c r="AI1162" s="20" t="n">
        <f aca="false">Inputs!$F$175*Operations!AI1159*Inputs!$F$192/100*Operations!AI1160*(1-Operations!AI1161)</f>
        <v>234.320846784256</v>
      </c>
      <c r="AJ1162" s="20" t="n">
        <f aca="false">Inputs!$F$175*Operations!AJ1159*Inputs!$F$192/100*Operations!AJ1160*(1-Operations!AJ1161)</f>
        <v>233.383563397119</v>
      </c>
      <c r="AK1162" s="20" t="n">
        <f aca="false">Inputs!$F$175*Operations!AK1159*Inputs!$F$192/100*Operations!AK1160*(1-Operations!AK1161)</f>
        <v>232.45002914353</v>
      </c>
      <c r="AL1162" s="20" t="n">
        <f aca="false">Inputs!$F$175*Operations!AL1159*Inputs!$F$192/100*Operations!AL1160*(1-Operations!AL1161)</f>
        <v>231.520229026956</v>
      </c>
      <c r="AM1162" s="20" t="n">
        <f aca="false">Inputs!$F$175*Operations!AM1159*Inputs!$F$192/100*Operations!AM1160*(1-Operations!AM1161)</f>
        <v>230.594148110848</v>
      </c>
      <c r="AN1162" s="20" t="n">
        <f aca="false">Inputs!$F$175*Operations!AN1159*Inputs!$F$192/100*Operations!AN1160*(1-Operations!AN1161)</f>
        <v>229.671771518405</v>
      </c>
      <c r="AO1162" s="20" t="n">
        <f aca="false">Inputs!$F$175*Operations!AO1159*Inputs!$F$192/100*Operations!AO1160*(1-Operations!AO1161)</f>
        <v>228.753084432331</v>
      </c>
      <c r="AP1162" s="20" t="n">
        <f aca="false">Inputs!$F$175*Operations!AP1159*Inputs!$F$192/100*Operations!AP1160*(1-Operations!AP1161)</f>
        <v>227.838072094602</v>
      </c>
      <c r="AQ1162" s="20" t="n">
        <f aca="false">Inputs!$F$175*Operations!AQ1159*Inputs!$F$192/100*Operations!AQ1160*(1-Operations!AQ1161)</f>
        <v>226.926719806224</v>
      </c>
      <c r="AR1162" s="20" t="n">
        <f aca="false">Inputs!$F$175*Operations!AR1159*Inputs!$F$192/100*Operations!AR1160*(1-Operations!AR1161)</f>
        <v>226.019012926999</v>
      </c>
      <c r="AS1162" s="20" t="n">
        <f aca="false">Inputs!$F$175*Operations!AS1159*Inputs!$F$192/100*Operations!AS1160*(1-Operations!AS1161)</f>
        <v>225.114936875291</v>
      </c>
      <c r="AT1162" s="20" t="n">
        <f aca="false">Inputs!$F$175*Operations!AT1159*Inputs!$F$192/100*Operations!AT1160*(1-Operations!AT1161)</f>
        <v>224.21447712779</v>
      </c>
      <c r="AU1162" s="20" t="n">
        <f aca="false">Inputs!$F$175*Operations!AU1159*Inputs!$F$192/100*Operations!AU1160*(1-Operations!AU1161)</f>
        <v>223.317619219279</v>
      </c>
    </row>
    <row r="1163" customFormat="false" ht="15" hidden="false" customHeight="false" outlineLevel="0" collapsed="false">
      <c r="D1163" s="0" t="s">
        <v>767</v>
      </c>
      <c r="E1163" s="0" t="s">
        <v>466</v>
      </c>
      <c r="G1163" s="20" t="n">
        <f aca="false">SUM(J1163:AU1163)</f>
        <v>8382.48865112341</v>
      </c>
      <c r="J1163" s="20" t="n">
        <f aca="false">Operations!J1162*Operations!J1155</f>
        <v>0</v>
      </c>
      <c r="K1163" s="20" t="n">
        <f aca="false">Operations!K1162*Operations!K1155</f>
        <v>0</v>
      </c>
      <c r="L1163" s="20" t="n">
        <f aca="false">Operations!L1162*Operations!L1155</f>
        <v>8.39084393348069</v>
      </c>
      <c r="M1163" s="20" t="n">
        <f aca="false">Operations!M1162*Operations!M1155</f>
        <v>255.920739971161</v>
      </c>
      <c r="N1163" s="20" t="n">
        <f aca="false">Operations!N1162*Operations!N1155</f>
        <v>254.897057011276</v>
      </c>
      <c r="O1163" s="20" t="n">
        <f aca="false">Operations!O1162*Operations!O1155</f>
        <v>253.877468783231</v>
      </c>
      <c r="P1163" s="20" t="n">
        <f aca="false">Operations!P1162*Operations!P1155</f>
        <v>252.861958908098</v>
      </c>
      <c r="Q1163" s="20" t="n">
        <f aca="false">Operations!Q1162*Operations!Q1155</f>
        <v>251.850511072466</v>
      </c>
      <c r="R1163" s="20" t="n">
        <f aca="false">Operations!R1162*Operations!R1155</f>
        <v>250.843109028176</v>
      </c>
      <c r="S1163" s="20" t="n">
        <f aca="false">Operations!S1162*Operations!S1155</f>
        <v>249.839736592064</v>
      </c>
      <c r="T1163" s="20" t="n">
        <f aca="false">Operations!T1162*Operations!T1155</f>
        <v>248.840377645695</v>
      </c>
      <c r="U1163" s="20" t="n">
        <f aca="false">Operations!U1162*Operations!U1155</f>
        <v>247.845016135112</v>
      </c>
      <c r="V1163" s="20" t="n">
        <f aca="false">Operations!V1162*Operations!V1155</f>
        <v>246.853636070572</v>
      </c>
      <c r="W1163" s="20" t="n">
        <f aca="false">Operations!W1162*Operations!W1155</f>
        <v>245.86622152629</v>
      </c>
      <c r="X1163" s="20" t="n">
        <f aca="false">Operations!X1162*Operations!X1155</f>
        <v>244.882756640185</v>
      </c>
      <c r="Y1163" s="20" t="n">
        <f aca="false">Operations!Y1162*Operations!Y1155</f>
        <v>243.903225613624</v>
      </c>
      <c r="Z1163" s="20" t="n">
        <f aca="false">Operations!Z1162*Operations!Z1155</f>
        <v>242.927612711169</v>
      </c>
      <c r="AA1163" s="20" t="n">
        <f aca="false">Operations!AA1162*Operations!AA1155</f>
        <v>241.955902260325</v>
      </c>
      <c r="AB1163" s="20" t="n">
        <f aca="false">Operations!AB1162*Operations!AB1155</f>
        <v>240.988078651283</v>
      </c>
      <c r="AC1163" s="20" t="n">
        <f aca="false">Operations!AC1162*Operations!AC1155</f>
        <v>240.024126336678</v>
      </c>
      <c r="AD1163" s="20" t="n">
        <f aca="false">Operations!AD1162*Operations!AD1155</f>
        <v>239.064029831332</v>
      </c>
      <c r="AE1163" s="20" t="n">
        <f aca="false">Operations!AE1162*Operations!AE1155</f>
        <v>238.107773712006</v>
      </c>
      <c r="AF1163" s="20" t="n">
        <f aca="false">Operations!AF1162*Operations!AF1155</f>
        <v>237.155342617158</v>
      </c>
      <c r="AG1163" s="20" t="n">
        <f aca="false">Operations!AG1162*Operations!AG1155</f>
        <v>236.20672124669</v>
      </c>
      <c r="AH1163" s="20" t="n">
        <f aca="false">Operations!AH1162*Operations!AH1155</f>
        <v>235.261894361703</v>
      </c>
      <c r="AI1163" s="20" t="n">
        <f aca="false">Operations!AI1162*Operations!AI1155</f>
        <v>234.320846784256</v>
      </c>
      <c r="AJ1163" s="20" t="n">
        <f aca="false">Operations!AJ1162*Operations!AJ1155</f>
        <v>233.383563397119</v>
      </c>
      <c r="AK1163" s="20" t="n">
        <f aca="false">Operations!AK1162*Operations!AK1155</f>
        <v>232.45002914353</v>
      </c>
      <c r="AL1163" s="20" t="n">
        <f aca="false">Operations!AL1162*Operations!AL1155</f>
        <v>231.520229026956</v>
      </c>
      <c r="AM1163" s="20" t="n">
        <f aca="false">Operations!AM1162*Operations!AM1155</f>
        <v>230.594148110848</v>
      </c>
      <c r="AN1163" s="20" t="n">
        <f aca="false">Operations!AN1162*Operations!AN1155</f>
        <v>229.671771518405</v>
      </c>
      <c r="AO1163" s="20" t="n">
        <f aca="false">Operations!AO1162*Operations!AO1155</f>
        <v>228.753084432331</v>
      </c>
      <c r="AP1163" s="20" t="n">
        <f aca="false">Operations!AP1162*Operations!AP1155</f>
        <v>227.838072094602</v>
      </c>
      <c r="AQ1163" s="20" t="n">
        <f aca="false">Operations!AQ1162*Operations!AQ1155</f>
        <v>226.926719806224</v>
      </c>
      <c r="AR1163" s="20" t="n">
        <f aca="false">Operations!AR1162*Operations!AR1155</f>
        <v>226.019012926999</v>
      </c>
      <c r="AS1163" s="20" t="n">
        <f aca="false">Operations!AS1162*Operations!AS1155</f>
        <v>225.114936875291</v>
      </c>
      <c r="AT1163" s="20" t="n">
        <f aca="false">Operations!AT1162*Operations!AT1155</f>
        <v>224.21447712779</v>
      </c>
      <c r="AU1163" s="20" t="n">
        <f aca="false">Operations!AU1162*Operations!AU1155</f>
        <v>223.317619219279</v>
      </c>
    </row>
    <row r="1164" customFormat="false" ht="15" hidden="false" customHeight="false" outlineLevel="0" collapsed="false">
      <c r="D1164" s="0" t="s">
        <v>768</v>
      </c>
      <c r="E1164" s="0" t="s">
        <v>54</v>
      </c>
      <c r="J1164" s="14" t="n">
        <f aca="false">Operations!J850</f>
        <v>0.9</v>
      </c>
      <c r="K1164" s="14" t="n">
        <f aca="false">Operations!K850</f>
        <v>0.882</v>
      </c>
      <c r="L1164" s="14" t="n">
        <f aca="false">Operations!L850</f>
        <v>0.864</v>
      </c>
      <c r="M1164" s="14" t="n">
        <f aca="false">Operations!M850</f>
        <v>0.846</v>
      </c>
      <c r="N1164" s="14" t="n">
        <f aca="false">Operations!N850</f>
        <v>0.828</v>
      </c>
      <c r="O1164" s="14" t="n">
        <f aca="false">Operations!O850</f>
        <v>0.81</v>
      </c>
      <c r="P1164" s="14" t="n">
        <f aca="false">Operations!P850</f>
        <v>0.792</v>
      </c>
      <c r="Q1164" s="14" t="n">
        <f aca="false">Operations!Q850</f>
        <v>0.774</v>
      </c>
      <c r="R1164" s="14" t="n">
        <f aca="false">Operations!R850</f>
        <v>0.756</v>
      </c>
      <c r="S1164" s="14" t="n">
        <f aca="false">Operations!S850</f>
        <v>0.738</v>
      </c>
      <c r="T1164" s="14" t="n">
        <f aca="false">Operations!T850</f>
        <v>0.72</v>
      </c>
      <c r="U1164" s="14" t="n">
        <f aca="false">Operations!U850</f>
        <v>0.702</v>
      </c>
      <c r="V1164" s="14" t="n">
        <f aca="false">Operations!V850</f>
        <v>0.684</v>
      </c>
      <c r="W1164" s="14" t="n">
        <f aca="false">Operations!W850</f>
        <v>0.666</v>
      </c>
      <c r="X1164" s="14" t="n">
        <f aca="false">Operations!X850</f>
        <v>0.648</v>
      </c>
      <c r="Y1164" s="14" t="n">
        <f aca="false">Operations!Y850</f>
        <v>0.64</v>
      </c>
      <c r="Z1164" s="14" t="n">
        <f aca="false">Operations!Z850</f>
        <v>0.64</v>
      </c>
      <c r="AA1164" s="14" t="n">
        <f aca="false">Operations!AA850</f>
        <v>0.64</v>
      </c>
      <c r="AB1164" s="14" t="n">
        <f aca="false">Operations!AB850</f>
        <v>0.64</v>
      </c>
      <c r="AC1164" s="14" t="n">
        <f aca="false">Operations!AC850</f>
        <v>0.64</v>
      </c>
      <c r="AD1164" s="14" t="n">
        <f aca="false">Operations!AD850</f>
        <v>0.64</v>
      </c>
      <c r="AE1164" s="14" t="n">
        <f aca="false">Operations!AE850</f>
        <v>0.64</v>
      </c>
      <c r="AF1164" s="14" t="n">
        <f aca="false">Operations!AF850</f>
        <v>0.64</v>
      </c>
      <c r="AG1164" s="14" t="n">
        <f aca="false">Operations!AG850</f>
        <v>0.64</v>
      </c>
      <c r="AH1164" s="14" t="n">
        <f aca="false">Operations!AH850</f>
        <v>0.64</v>
      </c>
      <c r="AI1164" s="14" t="n">
        <f aca="false">Operations!AI850</f>
        <v>0.64</v>
      </c>
      <c r="AJ1164" s="14" t="n">
        <f aca="false">Operations!AJ850</f>
        <v>0.64</v>
      </c>
      <c r="AK1164" s="14" t="n">
        <f aca="false">Operations!AK850</f>
        <v>0.64</v>
      </c>
      <c r="AL1164" s="14" t="n">
        <f aca="false">Operations!AL850</f>
        <v>0.64</v>
      </c>
      <c r="AM1164" s="14" t="n">
        <f aca="false">Operations!AM850</f>
        <v>0.64</v>
      </c>
      <c r="AN1164" s="14" t="n">
        <f aca="false">Operations!AN850</f>
        <v>0.64</v>
      </c>
      <c r="AO1164" s="14" t="n">
        <f aca="false">Operations!AO850</f>
        <v>0.64</v>
      </c>
      <c r="AP1164" s="14" t="n">
        <f aca="false">Operations!AP850</f>
        <v>0.64</v>
      </c>
      <c r="AQ1164" s="14" t="n">
        <f aca="false">Operations!AQ850</f>
        <v>0.64</v>
      </c>
      <c r="AR1164" s="14" t="n">
        <f aca="false">Operations!AR850</f>
        <v>0.64</v>
      </c>
      <c r="AS1164" s="14" t="n">
        <f aca="false">Operations!AS850</f>
        <v>0.64</v>
      </c>
      <c r="AT1164" s="14" t="n">
        <f aca="false">Operations!AT850</f>
        <v>0.64</v>
      </c>
      <c r="AU1164" s="14" t="n">
        <f aca="false">Operations!AU850</f>
        <v>0.64</v>
      </c>
    </row>
    <row r="1165" customFormat="false" ht="15" hidden="false" customHeight="false" outlineLevel="0" collapsed="false">
      <c r="D1165" s="0" t="s">
        <v>769</v>
      </c>
      <c r="E1165" s="0" t="s">
        <v>54</v>
      </c>
      <c r="J1165" s="14" t="n">
        <f aca="false">Operations!J1164-Inputs!$F$56</f>
        <v>0.88</v>
      </c>
      <c r="K1165" s="14" t="n">
        <f aca="false">Operations!K1164-Inputs!$F$56</f>
        <v>0.862</v>
      </c>
      <c r="L1165" s="14" t="n">
        <f aca="false">Operations!L1164-Inputs!$F$56</f>
        <v>0.844</v>
      </c>
      <c r="M1165" s="14" t="n">
        <f aca="false">Operations!M1164-Inputs!$F$56</f>
        <v>0.826</v>
      </c>
      <c r="N1165" s="14" t="n">
        <f aca="false">Operations!N1164-Inputs!$F$56</f>
        <v>0.808</v>
      </c>
      <c r="O1165" s="14" t="n">
        <f aca="false">Operations!O1164-Inputs!$F$56</f>
        <v>0.79</v>
      </c>
      <c r="P1165" s="14" t="n">
        <f aca="false">Operations!P1164-Inputs!$F$56</f>
        <v>0.772</v>
      </c>
      <c r="Q1165" s="14" t="n">
        <f aca="false">Operations!Q1164-Inputs!$F$56</f>
        <v>0.754</v>
      </c>
      <c r="R1165" s="14" t="n">
        <f aca="false">Operations!R1164-Inputs!$F$56</f>
        <v>0.736</v>
      </c>
      <c r="S1165" s="14" t="n">
        <f aca="false">Operations!S1164-Inputs!$F$56</f>
        <v>0.718</v>
      </c>
      <c r="T1165" s="14" t="n">
        <f aca="false">Operations!T1164-Inputs!$F$56</f>
        <v>0.7</v>
      </c>
      <c r="U1165" s="14" t="n">
        <f aca="false">Operations!U1164-Inputs!$F$56</f>
        <v>0.682</v>
      </c>
      <c r="V1165" s="14" t="n">
        <f aca="false">Operations!V1164-Inputs!$F$56</f>
        <v>0.664</v>
      </c>
      <c r="W1165" s="14" t="n">
        <f aca="false">Operations!W1164-Inputs!$F$56</f>
        <v>0.646</v>
      </c>
      <c r="X1165" s="14" t="n">
        <f aca="false">Operations!X1164-Inputs!$F$56</f>
        <v>0.628</v>
      </c>
      <c r="Y1165" s="14" t="n">
        <f aca="false">Operations!Y1164-Inputs!$F$56</f>
        <v>0.62</v>
      </c>
      <c r="Z1165" s="14" t="n">
        <f aca="false">Operations!Z1164-Inputs!$F$56</f>
        <v>0.62</v>
      </c>
      <c r="AA1165" s="14" t="n">
        <f aca="false">Operations!AA1164-Inputs!$F$56</f>
        <v>0.62</v>
      </c>
      <c r="AB1165" s="14" t="n">
        <f aca="false">Operations!AB1164-Inputs!$F$56</f>
        <v>0.62</v>
      </c>
      <c r="AC1165" s="14" t="n">
        <f aca="false">Operations!AC1164-Inputs!$F$56</f>
        <v>0.62</v>
      </c>
      <c r="AD1165" s="14" t="n">
        <f aca="false">Operations!AD1164-Inputs!$F$56</f>
        <v>0.62</v>
      </c>
      <c r="AE1165" s="14" t="n">
        <f aca="false">Operations!AE1164-Inputs!$F$56</f>
        <v>0.62</v>
      </c>
      <c r="AF1165" s="14" t="n">
        <f aca="false">Operations!AF1164-Inputs!$F$56</f>
        <v>0.62</v>
      </c>
      <c r="AG1165" s="14" t="n">
        <f aca="false">Operations!AG1164-Inputs!$F$56</f>
        <v>0.62</v>
      </c>
      <c r="AH1165" s="14" t="n">
        <f aca="false">Operations!AH1164-Inputs!$F$56</f>
        <v>0.62</v>
      </c>
      <c r="AI1165" s="14" t="n">
        <f aca="false">Operations!AI1164-Inputs!$F$56</f>
        <v>0.62</v>
      </c>
      <c r="AJ1165" s="14" t="n">
        <f aca="false">Operations!AJ1164-Inputs!$F$56</f>
        <v>0.62</v>
      </c>
      <c r="AK1165" s="14" t="n">
        <f aca="false">Operations!AK1164-Inputs!$F$56</f>
        <v>0.62</v>
      </c>
      <c r="AL1165" s="14" t="n">
        <f aca="false">Operations!AL1164-Inputs!$F$56</f>
        <v>0.62</v>
      </c>
      <c r="AM1165" s="14" t="n">
        <f aca="false">Operations!AM1164-Inputs!$F$56</f>
        <v>0.62</v>
      </c>
      <c r="AN1165" s="14" t="n">
        <f aca="false">Operations!AN1164-Inputs!$F$56</f>
        <v>0.62</v>
      </c>
      <c r="AO1165" s="14" t="n">
        <f aca="false">Operations!AO1164-Inputs!$F$56</f>
        <v>0.62</v>
      </c>
      <c r="AP1165" s="14" t="n">
        <f aca="false">Operations!AP1164-Inputs!$F$56</f>
        <v>0.62</v>
      </c>
      <c r="AQ1165" s="14" t="n">
        <f aca="false">Operations!AQ1164-Inputs!$F$56</f>
        <v>0.62</v>
      </c>
      <c r="AR1165" s="14" t="n">
        <f aca="false">Operations!AR1164-Inputs!$F$56</f>
        <v>0.62</v>
      </c>
      <c r="AS1165" s="14" t="n">
        <f aca="false">Operations!AS1164-Inputs!$F$56</f>
        <v>0.62</v>
      </c>
      <c r="AT1165" s="14" t="n">
        <f aca="false">Operations!AT1164-Inputs!$F$56</f>
        <v>0.62</v>
      </c>
      <c r="AU1165" s="14" t="n">
        <f aca="false">Operations!AU1164-Inputs!$F$56</f>
        <v>0.62</v>
      </c>
    </row>
    <row r="1166" customFormat="false" ht="15" hidden="false" customHeight="false" outlineLevel="0" collapsed="false">
      <c r="D1166" s="0" t="s">
        <v>770</v>
      </c>
      <c r="E1166" s="0" t="s">
        <v>96</v>
      </c>
      <c r="J1166" s="18" t="n">
        <f aca="false">Operations!J1158*Operations!J1165</f>
        <v>65.057168</v>
      </c>
      <c r="K1166" s="18" t="n">
        <f aca="false">Operations!K1158*Operations!K1165</f>
        <v>52.2796104</v>
      </c>
      <c r="L1166" s="18" t="n">
        <f aca="false">Operations!L1158*Operations!L1165</f>
        <v>25.1757604</v>
      </c>
      <c r="M1166" s="18" t="n">
        <f aca="false">Operations!M1158*Operations!M1165</f>
        <v>32.5789268</v>
      </c>
      <c r="N1166" s="18" t="n">
        <f aca="false">Operations!N1158*Operations!N1165</f>
        <v>35.7124688</v>
      </c>
      <c r="O1166" s="18" t="n">
        <f aca="false">Operations!O1158*Operations!O1165</f>
        <v>37.030697</v>
      </c>
      <c r="P1166" s="18" t="n">
        <f aca="false">Operations!P1158*Operations!P1165</f>
        <v>37.5640532</v>
      </c>
      <c r="Q1166" s="18" t="n">
        <f aca="false">Operations!Q1158*Operations!Q1165</f>
        <v>37.6595856</v>
      </c>
      <c r="R1166" s="18" t="n">
        <f aca="false">Operations!R1158*Operations!R1165</f>
        <v>37.7816768</v>
      </c>
      <c r="S1166" s="18" t="n">
        <f aca="false">Operations!S1158*Operations!S1165</f>
        <v>37.59766792</v>
      </c>
      <c r="T1166" s="18" t="n">
        <f aca="false">Operations!T1158*Operations!T1165</f>
        <v>37.39043</v>
      </c>
      <c r="U1166" s="18" t="n">
        <f aca="false">Operations!U1158*Operations!U1165</f>
        <v>37.15889276</v>
      </c>
      <c r="V1166" s="18" t="n">
        <f aca="false">Operations!V1158*Operations!V1165</f>
        <v>36.90198592</v>
      </c>
      <c r="W1166" s="18" t="n">
        <f aca="false">Operations!W1158*Operations!W1165</f>
        <v>36.6186392</v>
      </c>
      <c r="X1166" s="18" t="n">
        <f aca="false">Operations!X1158*Operations!X1165</f>
        <v>36.30778232</v>
      </c>
      <c r="Y1166" s="18" t="n">
        <f aca="false">Operations!Y1158*Operations!Y1165</f>
        <v>36.5641342</v>
      </c>
      <c r="Z1166" s="18" t="n">
        <f aca="false">Operations!Z1158*Operations!Z1165</f>
        <v>37.295294</v>
      </c>
      <c r="AA1166" s="18" t="n">
        <f aca="false">Operations!AA1158*Operations!AA1165</f>
        <v>38.0387422</v>
      </c>
      <c r="AB1166" s="18" t="n">
        <f aca="false">Operations!AB1158*Operations!AB1165</f>
        <v>38.800623</v>
      </c>
      <c r="AC1166" s="18" t="n">
        <f aca="false">Operations!AC1158*Operations!AC1165</f>
        <v>39.5747922</v>
      </c>
      <c r="AD1166" s="18" t="n">
        <f aca="false">Operations!AD1158*Operations!AD1165</f>
        <v>40.367394</v>
      </c>
      <c r="AE1166" s="18" t="n">
        <f aca="false">Operations!AE1158*Operations!AE1165</f>
        <v>41.1722842</v>
      </c>
      <c r="AF1166" s="18" t="n">
        <f aca="false">Operations!AF1158*Operations!AF1165</f>
        <v>41.995607</v>
      </c>
      <c r="AG1166" s="18" t="n">
        <f aca="false">Operations!AG1158*Operations!AG1165</f>
        <v>42.8373624</v>
      </c>
      <c r="AH1166" s="18" t="n">
        <f aca="false">Operations!AH1158*Operations!AH1165</f>
        <v>43.6914062</v>
      </c>
      <c r="AI1166" s="18" t="n">
        <f aca="false">Operations!AI1158*Operations!AI1165</f>
        <v>44.5638826</v>
      </c>
      <c r="AJ1166" s="18" t="n">
        <f aca="false">Operations!AJ1158*Operations!AJ1165</f>
        <v>45.4547916</v>
      </c>
      <c r="AK1166" s="18" t="n">
        <f aca="false">Operations!AK1158*Operations!AK1165</f>
        <v>46.3641332</v>
      </c>
      <c r="AL1166" s="18" t="n">
        <f aca="false">Operations!AL1158*Operations!AL1165</f>
        <v>47.2919074</v>
      </c>
      <c r="AM1166" s="18" t="n">
        <f aca="false">Operations!AM1158*Operations!AM1165</f>
        <v>48.2381142</v>
      </c>
      <c r="AN1166" s="18" t="n">
        <f aca="false">Operations!AN1158*Operations!AN1165</f>
        <v>49.2027536</v>
      </c>
      <c r="AO1166" s="18" t="n">
        <f aca="false">Operations!AO1158*Operations!AO1165</f>
        <v>50.1858256</v>
      </c>
      <c r="AP1166" s="18" t="n">
        <f aca="false">Operations!AP1158*Operations!AP1165</f>
        <v>51.1873302</v>
      </c>
      <c r="AQ1166" s="18" t="n">
        <f aca="false">Operations!AQ1158*Operations!AQ1165</f>
        <v>52.2134116</v>
      </c>
      <c r="AR1166" s="18" t="n">
        <f aca="false">Operations!AR1158*Operations!AR1165</f>
        <v>53.2579256</v>
      </c>
      <c r="AS1166" s="18" t="n">
        <f aca="false">Operations!AS1158*Operations!AS1165</f>
        <v>54.3208722</v>
      </c>
      <c r="AT1166" s="18" t="n">
        <f aca="false">Operations!AT1158*Operations!AT1165</f>
        <v>55.4083956</v>
      </c>
      <c r="AU1166" s="18" t="n">
        <f aca="false">Operations!AU1158*Operations!AU1165</f>
        <v>56.5143516</v>
      </c>
    </row>
    <row r="1167" customFormat="false" ht="15" hidden="false" customHeight="false" outlineLevel="0" collapsed="false">
      <c r="D1167" s="0" t="s">
        <v>771</v>
      </c>
      <c r="E1167" s="0" t="s">
        <v>458</v>
      </c>
      <c r="J1167" s="14" t="n">
        <f aca="false">MAX(0,MIN(Inputs!$F$227,Time!J$6)-MAX(Inputs!$F$226-1,Time!J$5))/Time!J$7</f>
        <v>0</v>
      </c>
      <c r="K1167" s="14" t="n">
        <f aca="false">MAX(0,MIN(Inputs!$F$227,Time!K$6)-MAX(Inputs!$F$226-1,Time!K$5))/Time!K$7</f>
        <v>0</v>
      </c>
      <c r="L1167" s="14" t="n">
        <f aca="false">MAX(0,MIN(Inputs!$F$227,Time!L$6)-MAX(Inputs!$F$226-1,Time!L$5))/Time!L$7</f>
        <v>0</v>
      </c>
      <c r="M1167" s="14" t="n">
        <f aca="false">MAX(0,MIN(Inputs!$F$227,Time!M$6)-MAX(Inputs!$F$226-1,Time!M$5))/Time!M$7</f>
        <v>1</v>
      </c>
      <c r="N1167" s="14" t="n">
        <f aca="false">MAX(0,MIN(Inputs!$F$227,Time!N$6)-MAX(Inputs!$F$226-1,Time!N$5))/Time!N$7</f>
        <v>1</v>
      </c>
      <c r="O1167" s="14" t="n">
        <f aca="false">MAX(0,MIN(Inputs!$F$227,Time!O$6)-MAX(Inputs!$F$226-1,Time!O$5))/Time!O$7</f>
        <v>1</v>
      </c>
      <c r="P1167" s="14" t="n">
        <f aca="false">MAX(0,MIN(Inputs!$F$227,Time!P$6)-MAX(Inputs!$F$226-1,Time!P$5))/Time!P$7</f>
        <v>1</v>
      </c>
      <c r="Q1167" s="14" t="n">
        <f aca="false">MAX(0,MIN(Inputs!$F$227,Time!Q$6)-MAX(Inputs!$F$226-1,Time!Q$5))/Time!Q$7</f>
        <v>1</v>
      </c>
      <c r="R1167" s="14" t="n">
        <f aca="false">MAX(0,MIN(Inputs!$F$227,Time!R$6)-MAX(Inputs!$F$226-1,Time!R$5))/Time!R$7</f>
        <v>1</v>
      </c>
      <c r="S1167" s="14" t="n">
        <f aca="false">MAX(0,MIN(Inputs!$F$227,Time!S$6)-MAX(Inputs!$F$226-1,Time!S$5))/Time!S$7</f>
        <v>1</v>
      </c>
      <c r="T1167" s="14" t="n">
        <f aca="false">MAX(0,MIN(Inputs!$F$227,Time!T$6)-MAX(Inputs!$F$226-1,Time!T$5))/Time!T$7</f>
        <v>1</v>
      </c>
      <c r="U1167" s="14" t="n">
        <f aca="false">MAX(0,MIN(Inputs!$F$227,Time!U$6)-MAX(Inputs!$F$226-1,Time!U$5))/Time!U$7</f>
        <v>1</v>
      </c>
      <c r="V1167" s="14" t="n">
        <f aca="false">MAX(0,MIN(Inputs!$F$227,Time!V$6)-MAX(Inputs!$F$226-1,Time!V$5))/Time!V$7</f>
        <v>1</v>
      </c>
      <c r="W1167" s="14" t="n">
        <f aca="false">MAX(0,MIN(Inputs!$F$227,Time!W$6)-MAX(Inputs!$F$226-1,Time!W$5))/Time!W$7</f>
        <v>0</v>
      </c>
      <c r="X1167" s="14" t="n">
        <f aca="false">MAX(0,MIN(Inputs!$F$227,Time!X$6)-MAX(Inputs!$F$226-1,Time!X$5))/Time!X$7</f>
        <v>0</v>
      </c>
      <c r="Y1167" s="14" t="n">
        <f aca="false">MAX(0,MIN(Inputs!$F$227,Time!Y$6)-MAX(Inputs!$F$226-1,Time!Y$5))/Time!Y$7</f>
        <v>0</v>
      </c>
      <c r="Z1167" s="14" t="n">
        <f aca="false">MAX(0,MIN(Inputs!$F$227,Time!Z$6)-MAX(Inputs!$F$226-1,Time!Z$5))/Time!Z$7</f>
        <v>0</v>
      </c>
      <c r="AA1167" s="14" t="n">
        <f aca="false">MAX(0,MIN(Inputs!$F$227,Time!AA$6)-MAX(Inputs!$F$226-1,Time!AA$5))/Time!AA$7</f>
        <v>0</v>
      </c>
      <c r="AB1167" s="14" t="n">
        <f aca="false">MAX(0,MIN(Inputs!$F$227,Time!AB$6)-MAX(Inputs!$F$226-1,Time!AB$5))/Time!AB$7</f>
        <v>0</v>
      </c>
      <c r="AC1167" s="14" t="n">
        <f aca="false">MAX(0,MIN(Inputs!$F$227,Time!AC$6)-MAX(Inputs!$F$226-1,Time!AC$5))/Time!AC$7</f>
        <v>0</v>
      </c>
      <c r="AD1167" s="14" t="n">
        <f aca="false">MAX(0,MIN(Inputs!$F$227,Time!AD$6)-MAX(Inputs!$F$226-1,Time!AD$5))/Time!AD$7</f>
        <v>0</v>
      </c>
      <c r="AE1167" s="14" t="n">
        <f aca="false">MAX(0,MIN(Inputs!$F$227,Time!AE$6)-MAX(Inputs!$F$226-1,Time!AE$5))/Time!AE$7</f>
        <v>0</v>
      </c>
      <c r="AF1167" s="14" t="n">
        <f aca="false">MAX(0,MIN(Inputs!$F$227,Time!AF$6)-MAX(Inputs!$F$226-1,Time!AF$5))/Time!AF$7</f>
        <v>0</v>
      </c>
      <c r="AG1167" s="14" t="n">
        <f aca="false">MAX(0,MIN(Inputs!$F$227,Time!AG$6)-MAX(Inputs!$F$226-1,Time!AG$5))/Time!AG$7</f>
        <v>0</v>
      </c>
      <c r="AH1167" s="14" t="n">
        <f aca="false">MAX(0,MIN(Inputs!$F$227,Time!AH$6)-MAX(Inputs!$F$226-1,Time!AH$5))/Time!AH$7</f>
        <v>0</v>
      </c>
      <c r="AI1167" s="14" t="n">
        <f aca="false">MAX(0,MIN(Inputs!$F$227,Time!AI$6)-MAX(Inputs!$F$226-1,Time!AI$5))/Time!AI$7</f>
        <v>0</v>
      </c>
      <c r="AJ1167" s="14" t="n">
        <f aca="false">MAX(0,MIN(Inputs!$F$227,Time!AJ$6)-MAX(Inputs!$F$226-1,Time!AJ$5))/Time!AJ$7</f>
        <v>0</v>
      </c>
      <c r="AK1167" s="14" t="n">
        <f aca="false">MAX(0,MIN(Inputs!$F$227,Time!AK$6)-MAX(Inputs!$F$226-1,Time!AK$5))/Time!AK$7</f>
        <v>0</v>
      </c>
      <c r="AL1167" s="14" t="n">
        <f aca="false">MAX(0,MIN(Inputs!$F$227,Time!AL$6)-MAX(Inputs!$F$226-1,Time!AL$5))/Time!AL$7</f>
        <v>0</v>
      </c>
      <c r="AM1167" s="14" t="n">
        <f aca="false">MAX(0,MIN(Inputs!$F$227,Time!AM$6)-MAX(Inputs!$F$226-1,Time!AM$5))/Time!AM$7</f>
        <v>0</v>
      </c>
      <c r="AN1167" s="14" t="n">
        <f aca="false">MAX(0,MIN(Inputs!$F$227,Time!AN$6)-MAX(Inputs!$F$226-1,Time!AN$5))/Time!AN$7</f>
        <v>0</v>
      </c>
      <c r="AO1167" s="14" t="n">
        <f aca="false">MAX(0,MIN(Inputs!$F$227,Time!AO$6)-MAX(Inputs!$F$226-1,Time!AO$5))/Time!AO$7</f>
        <v>0</v>
      </c>
      <c r="AP1167" s="14" t="n">
        <f aca="false">MAX(0,MIN(Inputs!$F$227,Time!AP$6)-MAX(Inputs!$F$226-1,Time!AP$5))/Time!AP$7</f>
        <v>0</v>
      </c>
      <c r="AQ1167" s="14" t="n">
        <f aca="false">MAX(0,MIN(Inputs!$F$227,Time!AQ$6)-MAX(Inputs!$F$226-1,Time!AQ$5))/Time!AQ$7</f>
        <v>0</v>
      </c>
      <c r="AR1167" s="14" t="n">
        <f aca="false">MAX(0,MIN(Inputs!$F$227,Time!AR$6)-MAX(Inputs!$F$226-1,Time!AR$5))/Time!AR$7</f>
        <v>0</v>
      </c>
      <c r="AS1167" s="14" t="n">
        <f aca="false">MAX(0,MIN(Inputs!$F$227,Time!AS$6)-MAX(Inputs!$F$226-1,Time!AS$5))/Time!AS$7</f>
        <v>0</v>
      </c>
      <c r="AT1167" s="14" t="n">
        <f aca="false">MAX(0,MIN(Inputs!$F$227,Time!AT$6)-MAX(Inputs!$F$226-1,Time!AT$5))/Time!AT$7</f>
        <v>0</v>
      </c>
      <c r="AU1167" s="14" t="n">
        <f aca="false">MAX(0,MIN(Inputs!$F$227,Time!AU$6)-MAX(Inputs!$F$226-1,Time!AU$5))/Time!AU$7</f>
        <v>0</v>
      </c>
    </row>
    <row r="1168" customFormat="false" ht="15" hidden="false" customHeight="false" outlineLevel="0" collapsed="false">
      <c r="D1168" s="0" t="s">
        <v>260</v>
      </c>
      <c r="E1168" s="0" t="s">
        <v>466</v>
      </c>
      <c r="J1168" s="20" t="n">
        <f aca="false">Inputs!$F$224*Operations!J1167</f>
        <v>0</v>
      </c>
      <c r="K1168" s="20" t="n">
        <f aca="false">Inputs!$F$224*Operations!K1167</f>
        <v>0</v>
      </c>
      <c r="L1168" s="20" t="n">
        <f aca="false">Inputs!$F$224*Operations!L1167</f>
        <v>0</v>
      </c>
      <c r="M1168" s="20" t="n">
        <f aca="false">Inputs!$F$224*Operations!M1167</f>
        <v>174.1</v>
      </c>
      <c r="N1168" s="20" t="n">
        <f aca="false">Inputs!$F$224*Operations!N1167</f>
        <v>174.1</v>
      </c>
      <c r="O1168" s="20" t="n">
        <f aca="false">Inputs!$F$224*Operations!O1167</f>
        <v>174.1</v>
      </c>
      <c r="P1168" s="20" t="n">
        <f aca="false">Inputs!$F$224*Operations!P1167</f>
        <v>174.1</v>
      </c>
      <c r="Q1168" s="20" t="n">
        <f aca="false">Inputs!$F$224*Operations!Q1167</f>
        <v>174.1</v>
      </c>
      <c r="R1168" s="20" t="n">
        <f aca="false">Inputs!$F$224*Operations!R1167</f>
        <v>174.1</v>
      </c>
      <c r="S1168" s="20" t="n">
        <f aca="false">Inputs!$F$224*Operations!S1167</f>
        <v>174.1</v>
      </c>
      <c r="T1168" s="20" t="n">
        <f aca="false">Inputs!$F$224*Operations!T1167</f>
        <v>174.1</v>
      </c>
      <c r="U1168" s="20" t="n">
        <f aca="false">Inputs!$F$224*Operations!U1167</f>
        <v>174.1</v>
      </c>
      <c r="V1168" s="20" t="n">
        <f aca="false">Inputs!$F$224*Operations!V1167</f>
        <v>174.1</v>
      </c>
      <c r="W1168" s="20" t="n">
        <f aca="false">Inputs!$F$224*Operations!W1167</f>
        <v>0</v>
      </c>
      <c r="X1168" s="20" t="n">
        <f aca="false">Inputs!$F$224*Operations!X1167</f>
        <v>0</v>
      </c>
      <c r="Y1168" s="20" t="n">
        <f aca="false">Inputs!$F$224*Operations!Y1167</f>
        <v>0</v>
      </c>
      <c r="Z1168" s="20" t="n">
        <f aca="false">Inputs!$F$224*Operations!Z1167</f>
        <v>0</v>
      </c>
      <c r="AA1168" s="20" t="n">
        <f aca="false">Inputs!$F$224*Operations!AA1167</f>
        <v>0</v>
      </c>
      <c r="AB1168" s="20" t="n">
        <f aca="false">Inputs!$F$224*Operations!AB1167</f>
        <v>0</v>
      </c>
      <c r="AC1168" s="20" t="n">
        <f aca="false">Inputs!$F$224*Operations!AC1167</f>
        <v>0</v>
      </c>
      <c r="AD1168" s="20" t="n">
        <f aca="false">Inputs!$F$224*Operations!AD1167</f>
        <v>0</v>
      </c>
      <c r="AE1168" s="20" t="n">
        <f aca="false">Inputs!$F$224*Operations!AE1167</f>
        <v>0</v>
      </c>
      <c r="AF1168" s="20" t="n">
        <f aca="false">Inputs!$F$224*Operations!AF1167</f>
        <v>0</v>
      </c>
      <c r="AG1168" s="20" t="n">
        <f aca="false">Inputs!$F$224*Operations!AG1167</f>
        <v>0</v>
      </c>
      <c r="AH1168" s="20" t="n">
        <f aca="false">Inputs!$F$224*Operations!AH1167</f>
        <v>0</v>
      </c>
      <c r="AI1168" s="20" t="n">
        <f aca="false">Inputs!$F$224*Operations!AI1167</f>
        <v>0</v>
      </c>
      <c r="AJ1168" s="20" t="n">
        <f aca="false">Inputs!$F$224*Operations!AJ1167</f>
        <v>0</v>
      </c>
      <c r="AK1168" s="20" t="n">
        <f aca="false">Inputs!$F$224*Operations!AK1167</f>
        <v>0</v>
      </c>
      <c r="AL1168" s="20" t="n">
        <f aca="false">Inputs!$F$224*Operations!AL1167</f>
        <v>0</v>
      </c>
      <c r="AM1168" s="20" t="n">
        <f aca="false">Inputs!$F$224*Operations!AM1167</f>
        <v>0</v>
      </c>
      <c r="AN1168" s="20" t="n">
        <f aca="false">Inputs!$F$224*Operations!AN1167</f>
        <v>0</v>
      </c>
      <c r="AO1168" s="20" t="n">
        <f aca="false">Inputs!$F$224*Operations!AO1167</f>
        <v>0</v>
      </c>
      <c r="AP1168" s="20" t="n">
        <f aca="false">Inputs!$F$224*Operations!AP1167</f>
        <v>0</v>
      </c>
      <c r="AQ1168" s="20" t="n">
        <f aca="false">Inputs!$F$224*Operations!AQ1167</f>
        <v>0</v>
      </c>
      <c r="AR1168" s="20" t="n">
        <f aca="false">Inputs!$F$224*Operations!AR1167</f>
        <v>0</v>
      </c>
      <c r="AS1168" s="20" t="n">
        <f aca="false">Inputs!$F$224*Operations!AS1167</f>
        <v>0</v>
      </c>
      <c r="AT1168" s="20" t="n">
        <f aca="false">Inputs!$F$224*Operations!AT1167</f>
        <v>0</v>
      </c>
      <c r="AU1168" s="20" t="n">
        <f aca="false">Inputs!$F$224*Operations!AU1167</f>
        <v>0</v>
      </c>
    </row>
    <row r="1169" customFormat="false" ht="15" hidden="false" customHeight="false" outlineLevel="0" collapsed="false">
      <c r="D1169" s="0" t="s">
        <v>772</v>
      </c>
      <c r="E1169" s="0" t="s">
        <v>47</v>
      </c>
      <c r="G1169" s="20" t="n">
        <f aca="false">SUM(J1169:AU1169)</f>
        <v>2.03657987672</v>
      </c>
      <c r="J1169" s="20" t="n">
        <f aca="false">Operations!J1168*(Inputs!$F$225-Operations!J1158*Operations!J1164)/1000</f>
        <v>-0</v>
      </c>
      <c r="K1169" s="20" t="n">
        <f aca="false">Operations!K1168*(Inputs!$F$225-Operations!K1158*Operations!K1164)/1000</f>
        <v>-0</v>
      </c>
      <c r="L1169" s="20" t="n">
        <f aca="false">Operations!L1168*(Inputs!$F$225-Operations!L1158*Operations!L1164)/1000</f>
        <v>0</v>
      </c>
      <c r="M1169" s="20" t="n">
        <f aca="false">Operations!M1168*(Inputs!$F$225-Operations!M1158*Operations!M1164)/1000</f>
        <v>0.963162496520001</v>
      </c>
      <c r="N1169" s="20" t="n">
        <f aca="false">Operations!N1168*(Inputs!$F$225-Operations!N1158*Operations!N1164)/1000</f>
        <v>0.401049656719999</v>
      </c>
      <c r="O1169" s="20" t="n">
        <f aca="false">Operations!O1168*(Inputs!$F$225-Operations!O1158*Operations!O1164)/1000</f>
        <v>0.162229339699999</v>
      </c>
      <c r="P1169" s="20" t="n">
        <f aca="false">Operations!P1168*(Inputs!$F$225-Operations!P1158*Operations!P1164)/1000</f>
        <v>0.06316083368</v>
      </c>
      <c r="Q1169" s="20" t="n">
        <f aca="false">Operations!Q1168*(Inputs!$F$225-Operations!Q1158*Operations!Q1164)/1000</f>
        <v>0.0420427822399999</v>
      </c>
      <c r="R1169" s="20" t="n">
        <f aca="false">Operations!R1168*(Inputs!$F$225-Operations!R1158*Operations!R1164)/1000</f>
        <v>0.0159557775200007</v>
      </c>
      <c r="S1169" s="20" t="n">
        <f aca="false">Operations!S1168*(Inputs!$F$225-Operations!S1158*Operations!S1164)/1000</f>
        <v>0.0444030350479992</v>
      </c>
      <c r="T1169" s="20" t="n">
        <f aca="false">Operations!T1168*(Inputs!$F$225-Operations!T1158*Operations!T1164)/1000</f>
        <v>0.0768254552000009</v>
      </c>
      <c r="U1169" s="20" t="n">
        <f aca="false">Operations!U1168*(Inputs!$F$225-Operations!U1158*Operations!U1164)/1000</f>
        <v>0.113409373724</v>
      </c>
      <c r="V1169" s="20" t="n">
        <f aca="false">Operations!V1168*(Inputs!$F$225-Operations!V1158*Operations!V1164)/1000</f>
        <v>0.154341126368001</v>
      </c>
      <c r="W1169" s="20" t="n">
        <f aca="false">Operations!W1168*(Inputs!$F$225-Operations!W1158*Operations!W1164)/1000</f>
        <v>0</v>
      </c>
      <c r="X1169" s="20" t="n">
        <f aca="false">Operations!X1168*(Inputs!$F$225-Operations!X1158*Operations!X1164)/1000</f>
        <v>0</v>
      </c>
      <c r="Y1169" s="20" t="n">
        <f aca="false">Operations!Y1168*(Inputs!$F$225-Operations!Y1158*Operations!Y1164)/1000</f>
        <v>0</v>
      </c>
      <c r="Z1169" s="20" t="n">
        <f aca="false">Operations!Z1168*(Inputs!$F$225-Operations!Z1158*Operations!Z1164)/1000</f>
        <v>0</v>
      </c>
      <c r="AA1169" s="20" t="n">
        <f aca="false">Operations!AA1168*(Inputs!$F$225-Operations!AA1158*Operations!AA1164)/1000</f>
        <v>-0</v>
      </c>
      <c r="AB1169" s="20" t="n">
        <f aca="false">Operations!AB1168*(Inputs!$F$225-Operations!AB1158*Operations!AB1164)/1000</f>
        <v>-0</v>
      </c>
      <c r="AC1169" s="20" t="n">
        <f aca="false">Operations!AC1168*(Inputs!$F$225-Operations!AC1158*Operations!AC1164)/1000</f>
        <v>-0</v>
      </c>
      <c r="AD1169" s="20" t="n">
        <f aca="false">Operations!AD1168*(Inputs!$F$225-Operations!AD1158*Operations!AD1164)/1000</f>
        <v>-0</v>
      </c>
      <c r="AE1169" s="20" t="n">
        <f aca="false">Operations!AE1168*(Inputs!$F$225-Operations!AE1158*Operations!AE1164)/1000</f>
        <v>-0</v>
      </c>
      <c r="AF1169" s="20" t="n">
        <f aca="false">Operations!AF1168*(Inputs!$F$225-Operations!AF1158*Operations!AF1164)/1000</f>
        <v>-0</v>
      </c>
      <c r="AG1169" s="20" t="n">
        <f aca="false">Operations!AG1168*(Inputs!$F$225-Operations!AG1158*Operations!AG1164)/1000</f>
        <v>-0</v>
      </c>
      <c r="AH1169" s="20" t="n">
        <f aca="false">Operations!AH1168*(Inputs!$F$225-Operations!AH1158*Operations!AH1164)/1000</f>
        <v>-0</v>
      </c>
      <c r="AI1169" s="20" t="n">
        <f aca="false">Operations!AI1168*(Inputs!$F$225-Operations!AI1158*Operations!AI1164)/1000</f>
        <v>-0</v>
      </c>
      <c r="AJ1169" s="20" t="n">
        <f aca="false">Operations!AJ1168*(Inputs!$F$225-Operations!AJ1158*Operations!AJ1164)/1000</f>
        <v>-0</v>
      </c>
      <c r="AK1169" s="20" t="n">
        <f aca="false">Operations!AK1168*(Inputs!$F$225-Operations!AK1158*Operations!AK1164)/1000</f>
        <v>-0</v>
      </c>
      <c r="AL1169" s="20" t="n">
        <f aca="false">Operations!AL1168*(Inputs!$F$225-Operations!AL1158*Operations!AL1164)/1000</f>
        <v>-0</v>
      </c>
      <c r="AM1169" s="20" t="n">
        <f aca="false">Operations!AM1168*(Inputs!$F$225-Operations!AM1158*Operations!AM1164)/1000</f>
        <v>-0</v>
      </c>
      <c r="AN1169" s="20" t="n">
        <f aca="false">Operations!AN1168*(Inputs!$F$225-Operations!AN1158*Operations!AN1164)/1000</f>
        <v>-0</v>
      </c>
      <c r="AO1169" s="20" t="n">
        <f aca="false">Operations!AO1168*(Inputs!$F$225-Operations!AO1158*Operations!AO1164)/1000</f>
        <v>-0</v>
      </c>
      <c r="AP1169" s="20" t="n">
        <f aca="false">Operations!AP1168*(Inputs!$F$225-Operations!AP1158*Operations!AP1164)/1000</f>
        <v>-0</v>
      </c>
      <c r="AQ1169" s="20" t="n">
        <f aca="false">Operations!AQ1168*(Inputs!$F$225-Operations!AQ1158*Operations!AQ1164)/1000</f>
        <v>-0</v>
      </c>
      <c r="AR1169" s="20" t="n">
        <f aca="false">Operations!AR1168*(Inputs!$F$225-Operations!AR1158*Operations!AR1164)/1000</f>
        <v>-0</v>
      </c>
      <c r="AS1169" s="20" t="n">
        <f aca="false">Operations!AS1168*(Inputs!$F$225-Operations!AS1158*Operations!AS1164)/1000</f>
        <v>-0</v>
      </c>
      <c r="AT1169" s="20" t="n">
        <f aca="false">Operations!AT1168*(Inputs!$F$225-Operations!AT1158*Operations!AT1164)/1000</f>
        <v>-0</v>
      </c>
      <c r="AU1169" s="20" t="n">
        <f aca="false">Operations!AU1168*(Inputs!$F$225-Operations!AU1158*Operations!AU1164)/1000</f>
        <v>-0</v>
      </c>
    </row>
    <row r="1170" customFormat="false" ht="15" hidden="false" customHeight="false" outlineLevel="0" collapsed="false">
      <c r="D1170" s="0" t="s">
        <v>773</v>
      </c>
      <c r="E1170" s="0" t="s">
        <v>466</v>
      </c>
      <c r="J1170" s="20" t="n">
        <f aca="false">Operations!J1163</f>
        <v>0</v>
      </c>
      <c r="K1170" s="20" t="n">
        <f aca="false">Operations!K1163</f>
        <v>0</v>
      </c>
      <c r="L1170" s="20" t="n">
        <f aca="false">Operations!L1163</f>
        <v>8.39084393348069</v>
      </c>
      <c r="M1170" s="20" t="n">
        <f aca="false">Operations!M1163</f>
        <v>255.920739971161</v>
      </c>
      <c r="N1170" s="20" t="n">
        <f aca="false">Operations!N1163</f>
        <v>254.897057011276</v>
      </c>
      <c r="O1170" s="20" t="n">
        <f aca="false">Operations!O1163</f>
        <v>253.877468783231</v>
      </c>
      <c r="P1170" s="20" t="n">
        <f aca="false">Operations!P1163</f>
        <v>252.861958908098</v>
      </c>
      <c r="Q1170" s="20" t="n">
        <f aca="false">Operations!Q1163</f>
        <v>251.850511072466</v>
      </c>
      <c r="R1170" s="20" t="n">
        <f aca="false">Operations!R1163</f>
        <v>250.843109028176</v>
      </c>
      <c r="S1170" s="20" t="n">
        <f aca="false">Operations!S1163</f>
        <v>249.839736592064</v>
      </c>
      <c r="T1170" s="20" t="n">
        <f aca="false">Operations!T1163</f>
        <v>248.840377645695</v>
      </c>
      <c r="U1170" s="20" t="n">
        <f aca="false">Operations!U1163</f>
        <v>247.845016135112</v>
      </c>
      <c r="V1170" s="20" t="n">
        <f aca="false">Operations!V1163</f>
        <v>246.853636070572</v>
      </c>
      <c r="W1170" s="20" t="n">
        <f aca="false">Operations!W1163</f>
        <v>245.86622152629</v>
      </c>
      <c r="X1170" s="20" t="n">
        <f aca="false">Operations!X1163</f>
        <v>244.882756640185</v>
      </c>
      <c r="Y1170" s="20" t="n">
        <f aca="false">Operations!Y1163</f>
        <v>243.903225613624</v>
      </c>
      <c r="Z1170" s="20" t="n">
        <f aca="false">Operations!Z1163</f>
        <v>242.927612711169</v>
      </c>
      <c r="AA1170" s="20" t="n">
        <f aca="false">Operations!AA1163</f>
        <v>241.955902260325</v>
      </c>
      <c r="AB1170" s="20" t="n">
        <f aca="false">Operations!AB1163</f>
        <v>240.988078651283</v>
      </c>
      <c r="AC1170" s="20" t="n">
        <f aca="false">Operations!AC1163</f>
        <v>240.024126336678</v>
      </c>
      <c r="AD1170" s="20" t="n">
        <f aca="false">Operations!AD1163</f>
        <v>239.064029831332</v>
      </c>
      <c r="AE1170" s="20" t="n">
        <f aca="false">Operations!AE1163</f>
        <v>238.107773712006</v>
      </c>
      <c r="AF1170" s="20" t="n">
        <f aca="false">Operations!AF1163</f>
        <v>237.155342617158</v>
      </c>
      <c r="AG1170" s="20" t="n">
        <f aca="false">Operations!AG1163</f>
        <v>236.20672124669</v>
      </c>
      <c r="AH1170" s="20" t="n">
        <f aca="false">Operations!AH1163</f>
        <v>235.261894361703</v>
      </c>
      <c r="AI1170" s="20" t="n">
        <f aca="false">Operations!AI1163</f>
        <v>234.320846784256</v>
      </c>
      <c r="AJ1170" s="20" t="n">
        <f aca="false">Operations!AJ1163</f>
        <v>233.383563397119</v>
      </c>
      <c r="AK1170" s="20" t="n">
        <f aca="false">Operations!AK1163</f>
        <v>232.45002914353</v>
      </c>
      <c r="AL1170" s="20" t="n">
        <f aca="false">Operations!AL1163</f>
        <v>231.520229026956</v>
      </c>
      <c r="AM1170" s="20" t="n">
        <f aca="false">Operations!AM1163</f>
        <v>230.594148110848</v>
      </c>
      <c r="AN1170" s="20" t="n">
        <f aca="false">Operations!AN1163</f>
        <v>229.671771518405</v>
      </c>
      <c r="AO1170" s="20" t="n">
        <f aca="false">Operations!AO1163</f>
        <v>228.753084432331</v>
      </c>
      <c r="AP1170" s="20" t="n">
        <f aca="false">Operations!AP1163</f>
        <v>227.838072094602</v>
      </c>
      <c r="AQ1170" s="20" t="n">
        <f aca="false">Operations!AQ1163</f>
        <v>226.926719806224</v>
      </c>
      <c r="AR1170" s="20" t="n">
        <f aca="false">Operations!AR1163</f>
        <v>226.019012926999</v>
      </c>
      <c r="AS1170" s="20" t="n">
        <f aca="false">Operations!AS1163</f>
        <v>225.114936875291</v>
      </c>
      <c r="AT1170" s="20" t="n">
        <f aca="false">Operations!AT1163</f>
        <v>224.21447712779</v>
      </c>
      <c r="AU1170" s="20" t="n">
        <f aca="false">Operations!AU1163</f>
        <v>223.317619219279</v>
      </c>
    </row>
    <row r="1171" customFormat="false" ht="15" hidden="false" customHeight="false" outlineLevel="0" collapsed="false">
      <c r="D1171" s="0" t="s">
        <v>774</v>
      </c>
      <c r="E1171" s="0" t="s">
        <v>47</v>
      </c>
      <c r="J1171" s="20" t="n">
        <f aca="false">0</f>
        <v>0</v>
      </c>
      <c r="K1171" s="20" t="n">
        <f aca="false">0</f>
        <v>0</v>
      </c>
      <c r="L1171" s="20" t="n">
        <f aca="false">0</f>
        <v>0</v>
      </c>
      <c r="M1171" s="20" t="n">
        <f aca="false">0</f>
        <v>0</v>
      </c>
      <c r="N1171" s="20" t="n">
        <f aca="false">0</f>
        <v>0</v>
      </c>
      <c r="O1171" s="20" t="n">
        <f aca="false">0</f>
        <v>0</v>
      </c>
      <c r="P1171" s="20" t="n">
        <f aca="false">0</f>
        <v>0</v>
      </c>
      <c r="Q1171" s="20" t="n">
        <f aca="false">0</f>
        <v>0</v>
      </c>
      <c r="R1171" s="20" t="n">
        <f aca="false">0</f>
        <v>0</v>
      </c>
      <c r="S1171" s="20" t="n">
        <f aca="false">0</f>
        <v>0</v>
      </c>
      <c r="T1171" s="20" t="n">
        <f aca="false">0</f>
        <v>0</v>
      </c>
      <c r="U1171" s="20" t="n">
        <f aca="false">0</f>
        <v>0</v>
      </c>
      <c r="V1171" s="20" t="n">
        <f aca="false">0</f>
        <v>0</v>
      </c>
      <c r="W1171" s="20" t="n">
        <f aca="false">0</f>
        <v>0</v>
      </c>
      <c r="X1171" s="20" t="n">
        <f aca="false">0</f>
        <v>0</v>
      </c>
      <c r="Y1171" s="20" t="n">
        <f aca="false">0</f>
        <v>0</v>
      </c>
      <c r="Z1171" s="20" t="n">
        <f aca="false">0</f>
        <v>0</v>
      </c>
      <c r="AA1171" s="20" t="n">
        <f aca="false">0</f>
        <v>0</v>
      </c>
      <c r="AB1171" s="20" t="n">
        <f aca="false">0</f>
        <v>0</v>
      </c>
      <c r="AC1171" s="20" t="n">
        <f aca="false">0</f>
        <v>0</v>
      </c>
      <c r="AD1171" s="20" t="n">
        <f aca="false">0</f>
        <v>0</v>
      </c>
      <c r="AE1171" s="20" t="n">
        <f aca="false">0</f>
        <v>0</v>
      </c>
      <c r="AF1171" s="20" t="n">
        <f aca="false">0</f>
        <v>0</v>
      </c>
      <c r="AG1171" s="20" t="n">
        <f aca="false">0</f>
        <v>0</v>
      </c>
      <c r="AH1171" s="20" t="n">
        <f aca="false">0</f>
        <v>0</v>
      </c>
      <c r="AI1171" s="20" t="n">
        <f aca="false">0</f>
        <v>0</v>
      </c>
      <c r="AJ1171" s="20" t="n">
        <f aca="false">0</f>
        <v>0</v>
      </c>
      <c r="AK1171" s="20" t="n">
        <f aca="false">0</f>
        <v>0</v>
      </c>
      <c r="AL1171" s="20" t="n">
        <f aca="false">0</f>
        <v>0</v>
      </c>
      <c r="AM1171" s="20" t="n">
        <f aca="false">0</f>
        <v>0</v>
      </c>
      <c r="AN1171" s="20" t="n">
        <f aca="false">0</f>
        <v>0</v>
      </c>
      <c r="AO1171" s="20" t="n">
        <f aca="false">0</f>
        <v>0</v>
      </c>
      <c r="AP1171" s="20" t="n">
        <f aca="false">0</f>
        <v>0</v>
      </c>
      <c r="AQ1171" s="20" t="n">
        <f aca="false">0</f>
        <v>0</v>
      </c>
      <c r="AR1171" s="20" t="n">
        <f aca="false">0</f>
        <v>0</v>
      </c>
      <c r="AS1171" s="20" t="n">
        <f aca="false">0</f>
        <v>0</v>
      </c>
      <c r="AT1171" s="20" t="n">
        <f aca="false">0</f>
        <v>0</v>
      </c>
      <c r="AU1171" s="20" t="n">
        <f aca="false">0</f>
        <v>0</v>
      </c>
    </row>
    <row r="1172" customFormat="false" ht="15" hidden="false" customHeight="false" outlineLevel="0" collapsed="false">
      <c r="D1172" s="0" t="s">
        <v>775</v>
      </c>
      <c r="E1172" s="0" t="s">
        <v>47</v>
      </c>
      <c r="J1172" s="20" t="n">
        <f aca="false">Operations!J1168*Inputs!$F$225/1000</f>
        <v>0</v>
      </c>
      <c r="K1172" s="20" t="n">
        <f aca="false">Operations!K1168*Inputs!$F$225/1000</f>
        <v>0</v>
      </c>
      <c r="L1172" s="20" t="n">
        <f aca="false">Operations!L1168*Inputs!$F$225/1000</f>
        <v>0</v>
      </c>
      <c r="M1172" s="20" t="n">
        <f aca="false">Operations!M1168*Inputs!$F$225/1000</f>
        <v>6.77249</v>
      </c>
      <c r="N1172" s="20" t="n">
        <f aca="false">Operations!N1168*Inputs!$F$225/1000</f>
        <v>6.77249</v>
      </c>
      <c r="O1172" s="20" t="n">
        <f aca="false">Operations!O1168*Inputs!$F$225/1000</f>
        <v>6.77249</v>
      </c>
      <c r="P1172" s="20" t="n">
        <f aca="false">Operations!P1168*Inputs!$F$225/1000</f>
        <v>6.77249</v>
      </c>
      <c r="Q1172" s="20" t="n">
        <f aca="false">Operations!Q1168*Inputs!$F$225/1000</f>
        <v>6.77249</v>
      </c>
      <c r="R1172" s="20" t="n">
        <f aca="false">Operations!R1168*Inputs!$F$225/1000</f>
        <v>6.77249</v>
      </c>
      <c r="S1172" s="20" t="n">
        <f aca="false">Operations!S1168*Inputs!$F$225/1000</f>
        <v>6.77249</v>
      </c>
      <c r="T1172" s="20" t="n">
        <f aca="false">Operations!T1168*Inputs!$F$225/1000</f>
        <v>6.77249</v>
      </c>
      <c r="U1172" s="20" t="n">
        <f aca="false">Operations!U1168*Inputs!$F$225/1000</f>
        <v>6.77249</v>
      </c>
      <c r="V1172" s="20" t="n">
        <f aca="false">Operations!V1168*Inputs!$F$225/1000</f>
        <v>6.77249</v>
      </c>
      <c r="W1172" s="20" t="n">
        <f aca="false">Operations!W1168*Inputs!$F$225/1000</f>
        <v>0</v>
      </c>
      <c r="X1172" s="20" t="n">
        <f aca="false">Operations!X1168*Inputs!$F$225/1000</f>
        <v>0</v>
      </c>
      <c r="Y1172" s="20" t="n">
        <f aca="false">Operations!Y1168*Inputs!$F$225/1000</f>
        <v>0</v>
      </c>
      <c r="Z1172" s="20" t="n">
        <f aca="false">Operations!Z1168*Inputs!$F$225/1000</f>
        <v>0</v>
      </c>
      <c r="AA1172" s="20" t="n">
        <f aca="false">Operations!AA1168*Inputs!$F$225/1000</f>
        <v>0</v>
      </c>
      <c r="AB1172" s="20" t="n">
        <f aca="false">Operations!AB1168*Inputs!$F$225/1000</f>
        <v>0</v>
      </c>
      <c r="AC1172" s="20" t="n">
        <f aca="false">Operations!AC1168*Inputs!$F$225/1000</f>
        <v>0</v>
      </c>
      <c r="AD1172" s="20" t="n">
        <f aca="false">Operations!AD1168*Inputs!$F$225/1000</f>
        <v>0</v>
      </c>
      <c r="AE1172" s="20" t="n">
        <f aca="false">Operations!AE1168*Inputs!$F$225/1000</f>
        <v>0</v>
      </c>
      <c r="AF1172" s="20" t="n">
        <f aca="false">Operations!AF1168*Inputs!$F$225/1000</f>
        <v>0</v>
      </c>
      <c r="AG1172" s="20" t="n">
        <f aca="false">Operations!AG1168*Inputs!$F$225/1000</f>
        <v>0</v>
      </c>
      <c r="AH1172" s="20" t="n">
        <f aca="false">Operations!AH1168*Inputs!$F$225/1000</f>
        <v>0</v>
      </c>
      <c r="AI1172" s="20" t="n">
        <f aca="false">Operations!AI1168*Inputs!$F$225/1000</f>
        <v>0</v>
      </c>
      <c r="AJ1172" s="20" t="n">
        <f aca="false">Operations!AJ1168*Inputs!$F$225/1000</f>
        <v>0</v>
      </c>
      <c r="AK1172" s="20" t="n">
        <f aca="false">Operations!AK1168*Inputs!$F$225/1000</f>
        <v>0</v>
      </c>
      <c r="AL1172" s="20" t="n">
        <f aca="false">Operations!AL1168*Inputs!$F$225/1000</f>
        <v>0</v>
      </c>
      <c r="AM1172" s="20" t="n">
        <f aca="false">Operations!AM1168*Inputs!$F$225/1000</f>
        <v>0</v>
      </c>
      <c r="AN1172" s="20" t="n">
        <f aca="false">Operations!AN1168*Inputs!$F$225/1000</f>
        <v>0</v>
      </c>
      <c r="AO1172" s="20" t="n">
        <f aca="false">Operations!AO1168*Inputs!$F$225/1000</f>
        <v>0</v>
      </c>
      <c r="AP1172" s="20" t="n">
        <f aca="false">Operations!AP1168*Inputs!$F$225/1000</f>
        <v>0</v>
      </c>
      <c r="AQ1172" s="20" t="n">
        <f aca="false">Operations!AQ1168*Inputs!$F$225/1000</f>
        <v>0</v>
      </c>
      <c r="AR1172" s="20" t="n">
        <f aca="false">Operations!AR1168*Inputs!$F$225/1000</f>
        <v>0</v>
      </c>
      <c r="AS1172" s="20" t="n">
        <f aca="false">Operations!AS1168*Inputs!$F$225/1000</f>
        <v>0</v>
      </c>
      <c r="AT1172" s="20" t="n">
        <f aca="false">Operations!AT1168*Inputs!$F$225/1000</f>
        <v>0</v>
      </c>
      <c r="AU1172" s="20" t="n">
        <f aca="false">Operations!AU1168*Inputs!$F$225/1000</f>
        <v>0</v>
      </c>
    </row>
    <row r="1173" customFormat="false" ht="15" hidden="false" customHeight="false" outlineLevel="0" collapsed="false">
      <c r="D1173" s="0" t="s">
        <v>776</v>
      </c>
      <c r="E1173" s="0" t="s">
        <v>47</v>
      </c>
      <c r="G1173" s="20" t="n">
        <f aca="false">SUM(J1173:AU1173)</f>
        <v>355.768489571581</v>
      </c>
      <c r="J1173" s="20" t="n">
        <f aca="false">Operations!J1170*Operations!J1166/1000</f>
        <v>0</v>
      </c>
      <c r="K1173" s="20" t="n">
        <f aca="false">Operations!K1170*Operations!K1166/1000</f>
        <v>0</v>
      </c>
      <c r="L1173" s="20" t="n">
        <f aca="false">Operations!L1170*Operations!L1166/1000</f>
        <v>0.211245876423104</v>
      </c>
      <c r="M1173" s="20" t="n">
        <f aca="false">Operations!M1170*Operations!M1166/1000</f>
        <v>8.33762305412229</v>
      </c>
      <c r="N1173" s="20" t="n">
        <f aca="false">Operations!N1170*Operations!N1166/1000</f>
        <v>9.10300319572703</v>
      </c>
      <c r="O1173" s="20" t="n">
        <f aca="false">Operations!O1170*Operations!O1166/1000</f>
        <v>9.4012596216388</v>
      </c>
      <c r="P1173" s="20" t="n">
        <f aca="false">Operations!P1170*Operations!P1166/1000</f>
        <v>9.49852007668002</v>
      </c>
      <c r="Q1173" s="20" t="n">
        <f aca="false">Operations!Q1170*Operations!Q1166/1000</f>
        <v>9.48458588013728</v>
      </c>
      <c r="R1173" s="20" t="n">
        <f aca="false">Operations!R1170*Operations!R1166/1000</f>
        <v>9.47727327280972</v>
      </c>
      <c r="S1173" s="20" t="n">
        <f aca="false">Operations!S1170*Operations!S1166/1000</f>
        <v>9.39339144960868</v>
      </c>
      <c r="T1173" s="20" t="n">
        <f aca="false">Operations!T1170*Operations!T1166/1000</f>
        <v>9.30424872153493</v>
      </c>
      <c r="U1173" s="20" t="n">
        <f aca="false">Operations!U1170*Operations!U1166/1000</f>
        <v>9.20964637566511</v>
      </c>
      <c r="V1173" s="20" t="n">
        <f aca="false">Operations!V1170*Operations!V1166/1000</f>
        <v>9.10938940257705</v>
      </c>
      <c r="W1173" s="20" t="n">
        <f aca="false">Operations!W1170*Operations!W1166/1000</f>
        <v>9.00328645753848</v>
      </c>
      <c r="X1173" s="20" t="n">
        <f aca="false">Operations!X1170*Operations!X1166/1000</f>
        <v>8.89114982201336</v>
      </c>
      <c r="Y1173" s="20" t="n">
        <f aca="false">Operations!Y1170*Operations!Y1166/1000</f>
        <v>8.91811027314942</v>
      </c>
      <c r="Z1173" s="20" t="n">
        <f aca="false">Operations!Z1170*Operations!Z1166/1000</f>
        <v>9.0600567367812</v>
      </c>
      <c r="AA1173" s="20" t="n">
        <f aca="false">Operations!AA1170*Operations!AA1166/1000</f>
        <v>9.20369818984889</v>
      </c>
      <c r="AB1173" s="20" t="n">
        <f aca="false">Operations!AB1170*Operations!AB1166/1000</f>
        <v>9.35048758724279</v>
      </c>
      <c r="AC1173" s="20" t="n">
        <f aca="false">Operations!AC1170*Operations!AC1166/1000</f>
        <v>9.49890492276059</v>
      </c>
      <c r="AD1173" s="20" t="n">
        <f aca="false">Operations!AD1170*Operations!AD1166/1000</f>
        <v>9.65039188342911</v>
      </c>
      <c r="AE1173" s="20" t="n">
        <f aca="false">Operations!AE1170*Operations!AE1166/1000</f>
        <v>9.80344092950001</v>
      </c>
      <c r="AF1173" s="20" t="n">
        <f aca="false">Operations!AF1170*Operations!AF1166/1000</f>
        <v>9.95948256650052</v>
      </c>
      <c r="AG1173" s="20" t="n">
        <f aca="false">Operations!AG1170*Operations!AG1166/1000</f>
        <v>10.1184729193602</v>
      </c>
      <c r="AH1173" s="20" t="n">
        <f aca="false">Operations!AH1170*Operations!AH1166/1000</f>
        <v>10.2789229899386</v>
      </c>
      <c r="AI1173" s="20" t="n">
        <f aca="false">Operations!AI1170*Operations!AI1166/1000</f>
        <v>10.4422467068262</v>
      </c>
      <c r="AJ1173" s="20" t="n">
        <f aca="false">Operations!AJ1170*Operations!AJ1166/1000</f>
        <v>10.6084012370814</v>
      </c>
      <c r="AK1173" s="20" t="n">
        <f aca="false">Operations!AK1170*Operations!AK1166/1000</f>
        <v>10.7773441135545</v>
      </c>
      <c r="AL1173" s="20" t="n">
        <f aca="false">Operations!AL1170*Operations!AL1166/1000</f>
        <v>10.9490332323696</v>
      </c>
      <c r="AM1173" s="20" t="n">
        <f aca="false">Operations!AM1170*Operations!AM1166/1000</f>
        <v>11.1234268504228</v>
      </c>
      <c r="AN1173" s="20" t="n">
        <f aca="false">Operations!AN1170*Operations!AN1166/1000</f>
        <v>11.3004835828956</v>
      </c>
      <c r="AO1173" s="20" t="n">
        <f aca="false">Operations!AO1170*Operations!AO1166/1000</f>
        <v>11.4801624007831</v>
      </c>
      <c r="AP1173" s="20" t="n">
        <f aca="false">Operations!AP1170*Operations!AP1166/1000</f>
        <v>11.6624226284378</v>
      </c>
      <c r="AQ1173" s="20" t="n">
        <f aca="false">Operations!AQ1170*Operations!AQ1166/1000</f>
        <v>11.8486182242802</v>
      </c>
      <c r="AR1173" s="20" t="n">
        <f aca="false">Operations!AR1170*Operations!AR1166/1000</f>
        <v>12.0373037746515</v>
      </c>
      <c r="AS1173" s="20" t="n">
        <f aca="false">Operations!AS1170*Operations!AS1166/1000</f>
        <v>12.2284397163137</v>
      </c>
      <c r="AT1173" s="20" t="n">
        <f aca="false">Operations!AT1170*Operations!AT1166/1000</f>
        <v>12.4233644479437</v>
      </c>
      <c r="AU1173" s="20" t="n">
        <f aca="false">Operations!AU1170*Operations!AU1166/1000</f>
        <v>12.6206504510332</v>
      </c>
    </row>
    <row r="1174" customFormat="false" ht="15" hidden="false" customHeight="false" outlineLevel="0" collapsed="false">
      <c r="D1174" s="0" t="s">
        <v>777</v>
      </c>
      <c r="E1174" s="0" t="s">
        <v>47</v>
      </c>
      <c r="G1174" s="20" t="n">
        <f aca="false">SUM(J1174:AU1174)</f>
        <v>357.805069448301</v>
      </c>
      <c r="J1174" s="20" t="n">
        <f aca="false">Operations!J1173+Operations!J1169</f>
        <v>0</v>
      </c>
      <c r="K1174" s="20" t="n">
        <f aca="false">Operations!K1173+Operations!K1169</f>
        <v>0</v>
      </c>
      <c r="L1174" s="20" t="n">
        <f aca="false">Operations!L1173+Operations!L1169</f>
        <v>0.211245876423104</v>
      </c>
      <c r="M1174" s="20" t="n">
        <f aca="false">Operations!M1173+Operations!M1169</f>
        <v>9.30078555064229</v>
      </c>
      <c r="N1174" s="20" t="n">
        <f aca="false">Operations!N1173+Operations!N1169</f>
        <v>9.50405285244703</v>
      </c>
      <c r="O1174" s="20" t="n">
        <f aca="false">Operations!O1173+Operations!O1169</f>
        <v>9.5634889613388</v>
      </c>
      <c r="P1174" s="20" t="n">
        <f aca="false">Operations!P1173+Operations!P1169</f>
        <v>9.56168091036002</v>
      </c>
      <c r="Q1174" s="20" t="n">
        <f aca="false">Operations!Q1173+Operations!Q1169</f>
        <v>9.52662866237728</v>
      </c>
      <c r="R1174" s="20" t="n">
        <f aca="false">Operations!R1173+Operations!R1169</f>
        <v>9.49322905032972</v>
      </c>
      <c r="S1174" s="20" t="n">
        <f aca="false">Operations!S1173+Operations!S1169</f>
        <v>9.43779448465668</v>
      </c>
      <c r="T1174" s="20" t="n">
        <f aca="false">Operations!T1173+Operations!T1169</f>
        <v>9.38107417673493</v>
      </c>
      <c r="U1174" s="20" t="n">
        <f aca="false">Operations!U1173+Operations!U1169</f>
        <v>9.32305574938911</v>
      </c>
      <c r="V1174" s="20" t="n">
        <f aca="false">Operations!V1173+Operations!V1169</f>
        <v>9.26373052894505</v>
      </c>
      <c r="W1174" s="20" t="n">
        <f aca="false">Operations!W1173+Operations!W1169</f>
        <v>9.00328645753848</v>
      </c>
      <c r="X1174" s="20" t="n">
        <f aca="false">Operations!X1173+Operations!X1169</f>
        <v>8.89114982201336</v>
      </c>
      <c r="Y1174" s="20" t="n">
        <f aca="false">Operations!Y1173+Operations!Y1169</f>
        <v>8.91811027314942</v>
      </c>
      <c r="Z1174" s="20" t="n">
        <f aca="false">Operations!Z1173+Operations!Z1169</f>
        <v>9.0600567367812</v>
      </c>
      <c r="AA1174" s="20" t="n">
        <f aca="false">Operations!AA1173+Operations!AA1169</f>
        <v>9.20369818984889</v>
      </c>
      <c r="AB1174" s="20" t="n">
        <f aca="false">Operations!AB1173+Operations!AB1169</f>
        <v>9.35048758724279</v>
      </c>
      <c r="AC1174" s="20" t="n">
        <f aca="false">Operations!AC1173+Operations!AC1169</f>
        <v>9.49890492276059</v>
      </c>
      <c r="AD1174" s="20" t="n">
        <f aca="false">Operations!AD1173+Operations!AD1169</f>
        <v>9.65039188342911</v>
      </c>
      <c r="AE1174" s="20" t="n">
        <f aca="false">Operations!AE1173+Operations!AE1169</f>
        <v>9.80344092950001</v>
      </c>
      <c r="AF1174" s="20" t="n">
        <f aca="false">Operations!AF1173+Operations!AF1169</f>
        <v>9.95948256650052</v>
      </c>
      <c r="AG1174" s="20" t="n">
        <f aca="false">Operations!AG1173+Operations!AG1169</f>
        <v>10.1184729193602</v>
      </c>
      <c r="AH1174" s="20" t="n">
        <f aca="false">Operations!AH1173+Operations!AH1169</f>
        <v>10.2789229899386</v>
      </c>
      <c r="AI1174" s="20" t="n">
        <f aca="false">Operations!AI1173+Operations!AI1169</f>
        <v>10.4422467068262</v>
      </c>
      <c r="AJ1174" s="20" t="n">
        <f aca="false">Operations!AJ1173+Operations!AJ1169</f>
        <v>10.6084012370814</v>
      </c>
      <c r="AK1174" s="20" t="n">
        <f aca="false">Operations!AK1173+Operations!AK1169</f>
        <v>10.7773441135545</v>
      </c>
      <c r="AL1174" s="20" t="n">
        <f aca="false">Operations!AL1173+Operations!AL1169</f>
        <v>10.9490332323696</v>
      </c>
      <c r="AM1174" s="20" t="n">
        <f aca="false">Operations!AM1173+Operations!AM1169</f>
        <v>11.1234268504228</v>
      </c>
      <c r="AN1174" s="20" t="n">
        <f aca="false">Operations!AN1173+Operations!AN1169</f>
        <v>11.3004835828956</v>
      </c>
      <c r="AO1174" s="20" t="n">
        <f aca="false">Operations!AO1173+Operations!AO1169</f>
        <v>11.4801624007831</v>
      </c>
      <c r="AP1174" s="20" t="n">
        <f aca="false">Operations!AP1173+Operations!AP1169</f>
        <v>11.6624226284378</v>
      </c>
      <c r="AQ1174" s="20" t="n">
        <f aca="false">Operations!AQ1173+Operations!AQ1169</f>
        <v>11.8486182242802</v>
      </c>
      <c r="AR1174" s="20" t="n">
        <f aca="false">Operations!AR1173+Operations!AR1169</f>
        <v>12.0373037746515</v>
      </c>
      <c r="AS1174" s="20" t="n">
        <f aca="false">Operations!AS1173+Operations!AS1169</f>
        <v>12.2284397163137</v>
      </c>
      <c r="AT1174" s="20" t="n">
        <f aca="false">Operations!AT1173+Operations!AT1169</f>
        <v>12.4233644479437</v>
      </c>
      <c r="AU1174" s="20" t="n">
        <f aca="false">Operations!AU1173+Operations!AU1169</f>
        <v>12.6206504510332</v>
      </c>
    </row>
    <row r="1175" customFormat="false" ht="15" hidden="false" customHeight="false" outlineLevel="0" collapsed="false">
      <c r="D1175" s="0" t="s">
        <v>778</v>
      </c>
      <c r="E1175" s="0" t="s">
        <v>47</v>
      </c>
      <c r="J1175" s="20" t="n">
        <f aca="false">Operations!J1174-Operations!J1171-Operations!J1172</f>
        <v>0</v>
      </c>
      <c r="K1175" s="20" t="n">
        <f aca="false">Operations!K1174-Operations!K1171-Operations!K1172</f>
        <v>0</v>
      </c>
      <c r="L1175" s="20" t="n">
        <f aca="false">Operations!L1174-Operations!L1171-Operations!L1172</f>
        <v>0.211245876423104</v>
      </c>
      <c r="M1175" s="20" t="n">
        <f aca="false">Operations!M1174-Operations!M1171-Operations!M1172</f>
        <v>2.52829555064229</v>
      </c>
      <c r="N1175" s="20" t="n">
        <f aca="false">Operations!N1174-Operations!N1171-Operations!N1172</f>
        <v>2.73156285244703</v>
      </c>
      <c r="O1175" s="20" t="n">
        <f aca="false">Operations!O1174-Operations!O1171-Operations!O1172</f>
        <v>2.7909989613388</v>
      </c>
      <c r="P1175" s="20" t="n">
        <f aca="false">Operations!P1174-Operations!P1171-Operations!P1172</f>
        <v>2.78919091036002</v>
      </c>
      <c r="Q1175" s="20" t="n">
        <f aca="false">Operations!Q1174-Operations!Q1171-Operations!Q1172</f>
        <v>2.75413866237728</v>
      </c>
      <c r="R1175" s="20" t="n">
        <f aca="false">Operations!R1174-Operations!R1171-Operations!R1172</f>
        <v>2.72073905032972</v>
      </c>
      <c r="S1175" s="20" t="n">
        <f aca="false">Operations!S1174-Operations!S1171-Operations!S1172</f>
        <v>2.66530448465668</v>
      </c>
      <c r="T1175" s="20" t="n">
        <f aca="false">Operations!T1174-Operations!T1171-Operations!T1172</f>
        <v>2.60858417673493</v>
      </c>
      <c r="U1175" s="20" t="n">
        <f aca="false">Operations!U1174-Operations!U1171-Operations!U1172</f>
        <v>2.55056574938911</v>
      </c>
      <c r="V1175" s="20" t="n">
        <f aca="false">Operations!V1174-Operations!V1171-Operations!V1172</f>
        <v>2.49124052894505</v>
      </c>
      <c r="W1175" s="20" t="n">
        <f aca="false">Operations!W1174-Operations!W1171-Operations!W1172</f>
        <v>9.00328645753848</v>
      </c>
      <c r="X1175" s="20" t="n">
        <f aca="false">Operations!X1174-Operations!X1171-Operations!X1172</f>
        <v>8.89114982201336</v>
      </c>
      <c r="Y1175" s="20" t="n">
        <f aca="false">Operations!Y1174-Operations!Y1171-Operations!Y1172</f>
        <v>8.91811027314942</v>
      </c>
      <c r="Z1175" s="20" t="n">
        <f aca="false">Operations!Z1174-Operations!Z1171-Operations!Z1172</f>
        <v>9.0600567367812</v>
      </c>
      <c r="AA1175" s="20" t="n">
        <f aca="false">Operations!AA1174-Operations!AA1171-Operations!AA1172</f>
        <v>9.20369818984889</v>
      </c>
      <c r="AB1175" s="20" t="n">
        <f aca="false">Operations!AB1174-Operations!AB1171-Operations!AB1172</f>
        <v>9.35048758724279</v>
      </c>
      <c r="AC1175" s="20" t="n">
        <f aca="false">Operations!AC1174-Operations!AC1171-Operations!AC1172</f>
        <v>9.49890492276059</v>
      </c>
      <c r="AD1175" s="20" t="n">
        <f aca="false">Operations!AD1174-Operations!AD1171-Operations!AD1172</f>
        <v>9.65039188342911</v>
      </c>
      <c r="AE1175" s="20" t="n">
        <f aca="false">Operations!AE1174-Operations!AE1171-Operations!AE1172</f>
        <v>9.80344092950001</v>
      </c>
      <c r="AF1175" s="20" t="n">
        <f aca="false">Operations!AF1174-Operations!AF1171-Operations!AF1172</f>
        <v>9.95948256650052</v>
      </c>
      <c r="AG1175" s="20" t="n">
        <f aca="false">Operations!AG1174-Operations!AG1171-Operations!AG1172</f>
        <v>10.1184729193602</v>
      </c>
      <c r="AH1175" s="20" t="n">
        <f aca="false">Operations!AH1174-Operations!AH1171-Operations!AH1172</f>
        <v>10.2789229899386</v>
      </c>
      <c r="AI1175" s="20" t="n">
        <f aca="false">Operations!AI1174-Operations!AI1171-Operations!AI1172</f>
        <v>10.4422467068262</v>
      </c>
      <c r="AJ1175" s="20" t="n">
        <f aca="false">Operations!AJ1174-Operations!AJ1171-Operations!AJ1172</f>
        <v>10.6084012370814</v>
      </c>
      <c r="AK1175" s="20" t="n">
        <f aca="false">Operations!AK1174-Operations!AK1171-Operations!AK1172</f>
        <v>10.7773441135545</v>
      </c>
      <c r="AL1175" s="20" t="n">
        <f aca="false">Operations!AL1174-Operations!AL1171-Operations!AL1172</f>
        <v>10.9490332323696</v>
      </c>
      <c r="AM1175" s="20" t="n">
        <f aca="false">Operations!AM1174-Operations!AM1171-Operations!AM1172</f>
        <v>11.1234268504228</v>
      </c>
      <c r="AN1175" s="20" t="n">
        <f aca="false">Operations!AN1174-Operations!AN1171-Operations!AN1172</f>
        <v>11.3004835828956</v>
      </c>
      <c r="AO1175" s="20" t="n">
        <f aca="false">Operations!AO1174-Operations!AO1171-Operations!AO1172</f>
        <v>11.4801624007831</v>
      </c>
      <c r="AP1175" s="20" t="n">
        <f aca="false">Operations!AP1174-Operations!AP1171-Operations!AP1172</f>
        <v>11.6624226284378</v>
      </c>
      <c r="AQ1175" s="20" t="n">
        <f aca="false">Operations!AQ1174-Operations!AQ1171-Operations!AQ1172</f>
        <v>11.8486182242802</v>
      </c>
      <c r="AR1175" s="20" t="n">
        <f aca="false">Operations!AR1174-Operations!AR1171-Operations!AR1172</f>
        <v>12.0373037746515</v>
      </c>
      <c r="AS1175" s="20" t="n">
        <f aca="false">Operations!AS1174-Operations!AS1171-Operations!AS1172</f>
        <v>12.2284397163137</v>
      </c>
      <c r="AT1175" s="20" t="n">
        <f aca="false">Operations!AT1174-Operations!AT1171-Operations!AT1172</f>
        <v>12.4233644479437</v>
      </c>
      <c r="AU1175" s="20" t="n">
        <f aca="false">Operations!AU1174-Operations!AU1171-Operations!AU1172</f>
        <v>12.6206504510332</v>
      </c>
    </row>
    <row r="1176" customFormat="false" ht="15" hidden="false" customHeight="false" outlineLevel="0" collapsed="false">
      <c r="D1176" s="0" t="s">
        <v>779</v>
      </c>
      <c r="E1176" s="0" t="s">
        <v>47</v>
      </c>
      <c r="J1176" s="20" t="n">
        <f aca="false">Inputs!$F$173*Inputs!$F$169/1000*Time!J$9*Time!J$10*Operations!J1155*Operations!$F$840</f>
        <v>0</v>
      </c>
      <c r="K1176" s="20" t="n">
        <f aca="false">Inputs!$F$173*Inputs!$F$169/1000*Time!K$9*Time!K$10*Operations!K1155*Operations!$F$840</f>
        <v>0</v>
      </c>
      <c r="L1176" s="20" t="n">
        <f aca="false">Inputs!$F$173*Inputs!$F$169/1000*Time!L$9*Time!L$10*Operations!L1155*Operations!$F$840</f>
        <v>0.0785682865573771</v>
      </c>
      <c r="M1176" s="20" t="n">
        <f aca="false">Inputs!$F$173*Inputs!$F$169/1000*Time!M$9*Time!M$10*Operations!M1155*Operations!$F$840</f>
        <v>2.4562410585</v>
      </c>
      <c r="N1176" s="20" t="n">
        <f aca="false">Inputs!$F$173*Inputs!$F$169/1000*Time!N$9*Time!N$10*Operations!N1155*Operations!$F$840</f>
        <v>2.5176470849625</v>
      </c>
      <c r="O1176" s="20" t="n">
        <f aca="false">Inputs!$F$173*Inputs!$F$169/1000*Time!O$9*Time!O$10*Operations!O1155*Operations!$F$840</f>
        <v>2.58058826208656</v>
      </c>
      <c r="P1176" s="20" t="n">
        <f aca="false">Inputs!$F$173*Inputs!$F$169/1000*Time!P$9*Time!P$10*Operations!P1155*Operations!$F$840</f>
        <v>2.64510296863873</v>
      </c>
      <c r="Q1176" s="20" t="n">
        <f aca="false">Inputs!$F$173*Inputs!$F$169/1000*Time!Q$9*Time!Q$10*Operations!Q1155*Operations!$F$840</f>
        <v>2.71123054285469</v>
      </c>
      <c r="R1176" s="20" t="n">
        <f aca="false">Inputs!$F$173*Inputs!$F$169/1000*Time!R$9*Time!R$10*Operations!R1155*Operations!$F$840</f>
        <v>2.77901130642606</v>
      </c>
      <c r="S1176" s="20" t="n">
        <f aca="false">Inputs!$F$173*Inputs!$F$169/1000*Time!S$9*Time!S$10*Operations!S1155*Operations!$F$840</f>
        <v>2.84848658908671</v>
      </c>
      <c r="T1176" s="20" t="n">
        <f aca="false">Inputs!$F$173*Inputs!$F$169/1000*Time!T$9*Time!T$10*Operations!T1155*Operations!$F$840</f>
        <v>2.91969875381388</v>
      </c>
      <c r="U1176" s="20" t="n">
        <f aca="false">Inputs!$F$173*Inputs!$F$169/1000*Time!U$9*Time!U$10*Operations!U1155*Operations!$F$840</f>
        <v>2.99269122265923</v>
      </c>
      <c r="V1176" s="20" t="n">
        <f aca="false">Inputs!$F$173*Inputs!$F$169/1000*Time!V$9*Time!V$10*Operations!V1155*Operations!$F$840</f>
        <v>3.06750850322571</v>
      </c>
      <c r="W1176" s="20" t="n">
        <f aca="false">Inputs!$F$173*Inputs!$F$169/1000*Time!W$9*Time!W$10*Operations!W1155*Operations!$F$840</f>
        <v>3.14419621580635</v>
      </c>
      <c r="X1176" s="20" t="n">
        <f aca="false">Inputs!$F$173*Inputs!$F$169/1000*Time!X$9*Time!X$10*Operations!X1155*Operations!$F$840</f>
        <v>3.22280112120151</v>
      </c>
      <c r="Y1176" s="20" t="n">
        <f aca="false">Inputs!$F$173*Inputs!$F$169/1000*Time!Y$9*Time!Y$10*Operations!Y1155*Operations!$F$840</f>
        <v>3.30337114923154</v>
      </c>
      <c r="Z1176" s="20" t="n">
        <f aca="false">Inputs!$F$173*Inputs!$F$169/1000*Time!Z$9*Time!Z$10*Operations!Z1155*Operations!$F$840</f>
        <v>3.38595542796233</v>
      </c>
      <c r="AA1176" s="20" t="n">
        <f aca="false">Inputs!$F$173*Inputs!$F$169/1000*Time!AA$9*Time!AA$10*Operations!AA1155*Operations!$F$840</f>
        <v>3.47060431366139</v>
      </c>
      <c r="AB1176" s="20" t="n">
        <f aca="false">Inputs!$F$173*Inputs!$F$169/1000*Time!AB$9*Time!AB$10*Operations!AB1155*Operations!$F$840</f>
        <v>3.55736942150293</v>
      </c>
      <c r="AC1176" s="20" t="n">
        <f aca="false">Inputs!$F$173*Inputs!$F$169/1000*Time!AC$9*Time!AC$10*Operations!AC1155*Operations!$F$840</f>
        <v>3.6463036570405</v>
      </c>
      <c r="AD1176" s="20" t="n">
        <f aca="false">Inputs!$F$173*Inputs!$F$169/1000*Time!AD$9*Time!AD$10*Operations!AD1155*Operations!$F$840</f>
        <v>3.73746124846651</v>
      </c>
      <c r="AE1176" s="20" t="n">
        <f aca="false">Inputs!$F$173*Inputs!$F$169/1000*Time!AE$9*Time!AE$10*Operations!AE1155*Operations!$F$840</f>
        <v>3.83089777967817</v>
      </c>
      <c r="AF1176" s="20" t="n">
        <f aca="false">Inputs!$F$173*Inputs!$F$169/1000*Time!AF$9*Time!AF$10*Operations!AF1155*Operations!$F$840</f>
        <v>3.92667022417013</v>
      </c>
      <c r="AG1176" s="20" t="n">
        <f aca="false">Inputs!$F$173*Inputs!$F$169/1000*Time!AG$9*Time!AG$10*Operations!AG1155*Operations!$F$840</f>
        <v>4.02483697977438</v>
      </c>
      <c r="AH1176" s="20" t="n">
        <f aca="false">Inputs!$F$173*Inputs!$F$169/1000*Time!AH$9*Time!AH$10*Operations!AH1155*Operations!$F$840</f>
        <v>4.12545790426874</v>
      </c>
      <c r="AI1176" s="20" t="n">
        <f aca="false">Inputs!$F$173*Inputs!$F$169/1000*Time!AI$9*Time!AI$10*Operations!AI1155*Operations!$F$840</f>
        <v>4.22859435187546</v>
      </c>
      <c r="AJ1176" s="20" t="n">
        <f aca="false">Inputs!$F$173*Inputs!$F$169/1000*Time!AJ$9*Time!AJ$10*Operations!AJ1155*Operations!$F$840</f>
        <v>4.33430921067234</v>
      </c>
      <c r="AK1176" s="20" t="n">
        <f aca="false">Inputs!$F$173*Inputs!$F$169/1000*Time!AK$9*Time!AK$10*Operations!AK1155*Operations!$F$840</f>
        <v>4.44266694093915</v>
      </c>
      <c r="AL1176" s="20" t="n">
        <f aca="false">Inputs!$F$173*Inputs!$F$169/1000*Time!AL$9*Time!AL$10*Operations!AL1155*Operations!$F$840</f>
        <v>4.55373361446263</v>
      </c>
      <c r="AM1176" s="20" t="n">
        <f aca="false">Inputs!$F$173*Inputs!$F$169/1000*Time!AM$9*Time!AM$10*Operations!AM1155*Operations!$F$840</f>
        <v>4.6675769548242</v>
      </c>
      <c r="AN1176" s="20" t="n">
        <f aca="false">Inputs!$F$173*Inputs!$F$169/1000*Time!AN$9*Time!AN$10*Operations!AN1155*Operations!$F$840</f>
        <v>4.7842663786948</v>
      </c>
      <c r="AO1176" s="20" t="n">
        <f aca="false">Inputs!$F$173*Inputs!$F$169/1000*Time!AO$9*Time!AO$10*Operations!AO1155*Operations!$F$840</f>
        <v>4.90387303816217</v>
      </c>
      <c r="AP1176" s="20" t="n">
        <f aca="false">Inputs!$F$173*Inputs!$F$169/1000*Time!AP$9*Time!AP$10*Operations!AP1155*Operations!$F$840</f>
        <v>5.02646986411622</v>
      </c>
      <c r="AQ1176" s="20" t="n">
        <f aca="false">Inputs!$F$173*Inputs!$F$169/1000*Time!AQ$9*Time!AQ$10*Operations!AQ1155*Operations!$F$840</f>
        <v>5.15213161071913</v>
      </c>
      <c r="AR1176" s="20" t="n">
        <f aca="false">Inputs!$F$173*Inputs!$F$169/1000*Time!AR$9*Time!AR$10*Operations!AR1155*Operations!$F$840</f>
        <v>5.28093490098711</v>
      </c>
      <c r="AS1176" s="20" t="n">
        <f aca="false">Inputs!$F$173*Inputs!$F$169/1000*Time!AS$9*Time!AS$10*Operations!AS1155*Operations!$F$840</f>
        <v>5.41295827351178</v>
      </c>
      <c r="AT1176" s="20" t="n">
        <f aca="false">Inputs!$F$173*Inputs!$F$169/1000*Time!AT$9*Time!AT$10*Operations!AT1155*Operations!$F$840</f>
        <v>5.54828223034958</v>
      </c>
      <c r="AU1176" s="20" t="n">
        <f aca="false">Inputs!$F$173*Inputs!$F$169/1000*Time!AU$9*Time!AU$10*Operations!AU1155*Operations!$F$840</f>
        <v>5.68698928610832</v>
      </c>
    </row>
    <row r="1177" customFormat="false" ht="15" hidden="false" customHeight="false" outlineLevel="0" collapsed="false">
      <c r="D1177" s="0" t="s">
        <v>780</v>
      </c>
      <c r="E1177" s="0" t="s">
        <v>47</v>
      </c>
      <c r="J1177" s="20" t="n">
        <f aca="false">0</f>
        <v>0</v>
      </c>
      <c r="K1177" s="20" t="n">
        <f aca="false">0</f>
        <v>0</v>
      </c>
      <c r="L1177" s="20" t="n">
        <f aca="false">0</f>
        <v>0</v>
      </c>
      <c r="M1177" s="20" t="n">
        <f aca="false">0</f>
        <v>0</v>
      </c>
      <c r="N1177" s="20" t="n">
        <f aca="false">0</f>
        <v>0</v>
      </c>
      <c r="O1177" s="20" t="n">
        <f aca="false">0</f>
        <v>0</v>
      </c>
      <c r="P1177" s="20" t="n">
        <f aca="false">0</f>
        <v>0</v>
      </c>
      <c r="Q1177" s="20" t="n">
        <f aca="false">0</f>
        <v>0</v>
      </c>
      <c r="R1177" s="20" t="n">
        <f aca="false">0</f>
        <v>0</v>
      </c>
      <c r="S1177" s="20" t="n">
        <f aca="false">0</f>
        <v>0</v>
      </c>
      <c r="T1177" s="20" t="n">
        <f aca="false">0</f>
        <v>0</v>
      </c>
      <c r="U1177" s="20" t="n">
        <f aca="false">0</f>
        <v>0</v>
      </c>
      <c r="V1177" s="20" t="n">
        <f aca="false">0</f>
        <v>0</v>
      </c>
      <c r="W1177" s="20" t="n">
        <f aca="false">0</f>
        <v>0</v>
      </c>
      <c r="X1177" s="20" t="n">
        <f aca="false">0</f>
        <v>0</v>
      </c>
      <c r="Y1177" s="20" t="n">
        <f aca="false">0</f>
        <v>0</v>
      </c>
      <c r="Z1177" s="20" t="n">
        <f aca="false">0</f>
        <v>0</v>
      </c>
      <c r="AA1177" s="20" t="n">
        <f aca="false">0</f>
        <v>0</v>
      </c>
      <c r="AB1177" s="20" t="n">
        <f aca="false">0</f>
        <v>0</v>
      </c>
      <c r="AC1177" s="20" t="n">
        <f aca="false">0</f>
        <v>0</v>
      </c>
      <c r="AD1177" s="20" t="n">
        <f aca="false">0</f>
        <v>0</v>
      </c>
      <c r="AE1177" s="20" t="n">
        <f aca="false">0</f>
        <v>0</v>
      </c>
      <c r="AF1177" s="20" t="n">
        <f aca="false">0</f>
        <v>0</v>
      </c>
      <c r="AG1177" s="20" t="n">
        <f aca="false">0</f>
        <v>0</v>
      </c>
      <c r="AH1177" s="20" t="n">
        <f aca="false">0</f>
        <v>0</v>
      </c>
      <c r="AI1177" s="20" t="n">
        <f aca="false">0</f>
        <v>0</v>
      </c>
      <c r="AJ1177" s="20" t="n">
        <f aca="false">0</f>
        <v>0</v>
      </c>
      <c r="AK1177" s="20" t="n">
        <f aca="false">0</f>
        <v>0</v>
      </c>
      <c r="AL1177" s="20" t="n">
        <f aca="false">0</f>
        <v>0</v>
      </c>
      <c r="AM1177" s="20" t="n">
        <f aca="false">0</f>
        <v>0</v>
      </c>
      <c r="AN1177" s="20" t="n">
        <f aca="false">0</f>
        <v>0</v>
      </c>
      <c r="AO1177" s="20" t="n">
        <f aca="false">0</f>
        <v>0</v>
      </c>
      <c r="AP1177" s="20" t="n">
        <f aca="false">0</f>
        <v>0</v>
      </c>
      <c r="AQ1177" s="20" t="n">
        <f aca="false">0</f>
        <v>0</v>
      </c>
      <c r="AR1177" s="20" t="n">
        <f aca="false">0</f>
        <v>0</v>
      </c>
      <c r="AS1177" s="20" t="n">
        <f aca="false">0</f>
        <v>0</v>
      </c>
      <c r="AT1177" s="20" t="n">
        <f aca="false">0</f>
        <v>0</v>
      </c>
      <c r="AU1177" s="20" t="n">
        <f aca="false">0</f>
        <v>0</v>
      </c>
    </row>
    <row r="1178" customFormat="false" ht="15" hidden="false" customHeight="false" outlineLevel="0" collapsed="false">
      <c r="D1178" s="0" t="s">
        <v>781</v>
      </c>
      <c r="E1178" s="0" t="s">
        <v>47</v>
      </c>
      <c r="J1178" s="20" t="n">
        <f aca="false">Inputs!$F$243/100*Inputs!$F$174*Inputs!$F$169/1000*Time!J$9*Operations!J1155</f>
        <v>0</v>
      </c>
      <c r="K1178" s="20" t="n">
        <f aca="false">Inputs!$F$243/100*Inputs!$F$174*Inputs!$F$169/1000*Time!K$9*Operations!K1155</f>
        <v>0</v>
      </c>
      <c r="L1178" s="20" t="n">
        <f aca="false">Inputs!$F$243/100*Inputs!$F$174*Inputs!$F$169/1000*Time!L$9*Operations!L1155</f>
        <v>0.000942462295081967</v>
      </c>
      <c r="M1178" s="20" t="n">
        <f aca="false">Inputs!$F$243/100*Inputs!$F$174*Inputs!$F$169/1000*Time!M$9*Operations!M1155</f>
        <v>0.0294637275</v>
      </c>
      <c r="N1178" s="20" t="n">
        <f aca="false">Inputs!$F$243/100*Inputs!$F$174*Inputs!$F$169/1000*Time!N$9*Operations!N1155</f>
        <v>0.0302003206875</v>
      </c>
      <c r="O1178" s="20" t="n">
        <f aca="false">Inputs!$F$243/100*Inputs!$F$174*Inputs!$F$169/1000*Time!O$9*Operations!O1155</f>
        <v>0.0309553287046875</v>
      </c>
      <c r="P1178" s="20" t="n">
        <f aca="false">Inputs!$F$243/100*Inputs!$F$174*Inputs!$F$169/1000*Time!P$9*Operations!P1155</f>
        <v>0.0317292119223047</v>
      </c>
      <c r="Q1178" s="20" t="n">
        <f aca="false">Inputs!$F$243/100*Inputs!$F$174*Inputs!$F$169/1000*Time!Q$9*Operations!Q1155</f>
        <v>0.0325224422203623</v>
      </c>
      <c r="R1178" s="20" t="n">
        <f aca="false">Inputs!$F$243/100*Inputs!$F$174*Inputs!$F$169/1000*Time!R$9*Operations!R1155</f>
        <v>0.0333355032758713</v>
      </c>
      <c r="S1178" s="20" t="n">
        <f aca="false">Inputs!$F$243/100*Inputs!$F$174*Inputs!$F$169/1000*Time!S$9*Operations!S1155</f>
        <v>0.0341688908577681</v>
      </c>
      <c r="T1178" s="20" t="n">
        <f aca="false">Inputs!$F$243/100*Inputs!$F$174*Inputs!$F$169/1000*Time!T$9*Operations!T1155</f>
        <v>0.0350231131292123</v>
      </c>
      <c r="U1178" s="20" t="n">
        <f aca="false">Inputs!$F$243/100*Inputs!$F$174*Inputs!$F$169/1000*Time!U$9*Operations!U1155</f>
        <v>0.0358986909574426</v>
      </c>
      <c r="V1178" s="20" t="n">
        <f aca="false">Inputs!$F$243/100*Inputs!$F$174*Inputs!$F$169/1000*Time!V$9*Operations!V1155</f>
        <v>0.0367961582313787</v>
      </c>
      <c r="W1178" s="20" t="n">
        <f aca="false">Inputs!$F$243/100*Inputs!$F$174*Inputs!$F$169/1000*Time!W$9*Operations!W1155</f>
        <v>0.0377160621871632</v>
      </c>
      <c r="X1178" s="20" t="n">
        <f aca="false">Inputs!$F$243/100*Inputs!$F$174*Inputs!$F$169/1000*Time!X$9*Operations!X1155</f>
        <v>0.0386589637418422</v>
      </c>
      <c r="Y1178" s="20" t="n">
        <f aca="false">Inputs!$F$243/100*Inputs!$F$174*Inputs!$F$169/1000*Time!Y$9*Operations!Y1155</f>
        <v>0.0396254378353883</v>
      </c>
      <c r="Z1178" s="20" t="n">
        <f aca="false">Inputs!$F$243/100*Inputs!$F$174*Inputs!$F$169/1000*Time!Z$9*Operations!Z1155</f>
        <v>0.040616073781273</v>
      </c>
      <c r="AA1178" s="20" t="n">
        <f aca="false">Inputs!$F$243/100*Inputs!$F$174*Inputs!$F$169/1000*Time!AA$9*Operations!AA1155</f>
        <v>0.0416314756258048</v>
      </c>
      <c r="AB1178" s="20" t="n">
        <f aca="false">Inputs!$F$243/100*Inputs!$F$174*Inputs!$F$169/1000*Time!AB$9*Operations!AB1155</f>
        <v>0.0426722625164499</v>
      </c>
      <c r="AC1178" s="20" t="n">
        <f aca="false">Inputs!$F$243/100*Inputs!$F$174*Inputs!$F$169/1000*Time!AC$9*Operations!AC1155</f>
        <v>0.0437390690793612</v>
      </c>
      <c r="AD1178" s="20" t="n">
        <f aca="false">Inputs!$F$243/100*Inputs!$F$174*Inputs!$F$169/1000*Time!AD$9*Operations!AD1155</f>
        <v>0.0448325458063452</v>
      </c>
      <c r="AE1178" s="20" t="n">
        <f aca="false">Inputs!$F$243/100*Inputs!$F$174*Inputs!$F$169/1000*Time!AE$9*Operations!AE1155</f>
        <v>0.0459533594515038</v>
      </c>
      <c r="AF1178" s="20" t="n">
        <f aca="false">Inputs!$F$243/100*Inputs!$F$174*Inputs!$F$169/1000*Time!AF$9*Operations!AF1155</f>
        <v>0.0471021934377914</v>
      </c>
      <c r="AG1178" s="20" t="n">
        <f aca="false">Inputs!$F$243/100*Inputs!$F$174*Inputs!$F$169/1000*Time!AG$9*Operations!AG1155</f>
        <v>0.0482797482737362</v>
      </c>
      <c r="AH1178" s="20" t="n">
        <f aca="false">Inputs!$F$243/100*Inputs!$F$174*Inputs!$F$169/1000*Time!AH$9*Operations!AH1155</f>
        <v>0.0494867419805796</v>
      </c>
      <c r="AI1178" s="20" t="n">
        <f aca="false">Inputs!$F$243/100*Inputs!$F$174*Inputs!$F$169/1000*Time!AI$9*Operations!AI1155</f>
        <v>0.0507239105300941</v>
      </c>
      <c r="AJ1178" s="20" t="n">
        <f aca="false">Inputs!$F$243/100*Inputs!$F$174*Inputs!$F$169/1000*Time!AJ$9*Operations!AJ1155</f>
        <v>0.0519920082933464</v>
      </c>
      <c r="AK1178" s="20" t="n">
        <f aca="false">Inputs!$F$243/100*Inputs!$F$174*Inputs!$F$169/1000*Time!AK$9*Operations!AK1155</f>
        <v>0.0532918085006801</v>
      </c>
      <c r="AL1178" s="20" t="n">
        <f aca="false">Inputs!$F$243/100*Inputs!$F$174*Inputs!$F$169/1000*Time!AL$9*Operations!AL1155</f>
        <v>0.0546241037131971</v>
      </c>
      <c r="AM1178" s="20" t="n">
        <f aca="false">Inputs!$F$243/100*Inputs!$F$174*Inputs!$F$169/1000*Time!AM$9*Operations!AM1155</f>
        <v>0.055989706306027</v>
      </c>
      <c r="AN1178" s="20" t="n">
        <f aca="false">Inputs!$F$243/100*Inputs!$F$174*Inputs!$F$169/1000*Time!AN$9*Operations!AN1155</f>
        <v>0.0573894489636777</v>
      </c>
      <c r="AO1178" s="20" t="n">
        <f aca="false">Inputs!$F$243/100*Inputs!$F$174*Inputs!$F$169/1000*Time!AO$9*Operations!AO1155</f>
        <v>0.0588241851877696</v>
      </c>
      <c r="AP1178" s="20" t="n">
        <f aca="false">Inputs!$F$243/100*Inputs!$F$174*Inputs!$F$169/1000*Time!AP$9*Operations!AP1155</f>
        <v>0.0602947898174638</v>
      </c>
      <c r="AQ1178" s="20" t="n">
        <f aca="false">Inputs!$F$243/100*Inputs!$F$174*Inputs!$F$169/1000*Time!AQ$9*Operations!AQ1155</f>
        <v>0.0618021595629004</v>
      </c>
      <c r="AR1178" s="20" t="n">
        <f aca="false">Inputs!$F$243/100*Inputs!$F$174*Inputs!$F$169/1000*Time!AR$9*Operations!AR1155</f>
        <v>0.0633472135519729</v>
      </c>
      <c r="AS1178" s="20" t="n">
        <f aca="false">Inputs!$F$243/100*Inputs!$F$174*Inputs!$F$169/1000*Time!AS$9*Operations!AS1155</f>
        <v>0.0649308938907723</v>
      </c>
      <c r="AT1178" s="20" t="n">
        <f aca="false">Inputs!$F$243/100*Inputs!$F$174*Inputs!$F$169/1000*Time!AT$9*Operations!AT1155</f>
        <v>0.0665541662380415</v>
      </c>
      <c r="AU1178" s="20" t="n">
        <f aca="false">Inputs!$F$243/100*Inputs!$F$174*Inputs!$F$169/1000*Time!AU$9*Operations!AU1155</f>
        <v>0.0682180203939926</v>
      </c>
    </row>
    <row r="1179" customFormat="false" ht="15" hidden="false" customHeight="false" outlineLevel="0" collapsed="false">
      <c r="D1179" s="0" t="s">
        <v>782</v>
      </c>
      <c r="E1179" s="0" t="s">
        <v>47</v>
      </c>
      <c r="J1179" s="20" t="n">
        <f aca="false">Inputs!$F$244/100*Inputs!$F$245/100*Operations!J1174</f>
        <v>0</v>
      </c>
      <c r="K1179" s="20" t="n">
        <f aca="false">Inputs!$F$244/100*Inputs!$F$245/100*Operations!K1174</f>
        <v>0</v>
      </c>
      <c r="L1179" s="20" t="n">
        <f aca="false">Inputs!$F$244/100*Inputs!$F$245/100*Operations!L1174</f>
        <v>0.00110904085122129</v>
      </c>
      <c r="M1179" s="20" t="n">
        <f aca="false">Inputs!$F$244/100*Inputs!$F$245/100*Operations!M1174</f>
        <v>0.048829124140872</v>
      </c>
      <c r="N1179" s="20" t="n">
        <f aca="false">Inputs!$F$244/100*Inputs!$F$245/100*Operations!N1174</f>
        <v>0.0498962774753469</v>
      </c>
      <c r="O1179" s="20" t="n">
        <f aca="false">Inputs!$F$244/100*Inputs!$F$245/100*Operations!O1174</f>
        <v>0.0502083170470287</v>
      </c>
      <c r="P1179" s="20" t="n">
        <f aca="false">Inputs!$F$244/100*Inputs!$F$245/100*Operations!P1174</f>
        <v>0.0501988247793901</v>
      </c>
      <c r="Q1179" s="20" t="n">
        <f aca="false">Inputs!$F$244/100*Inputs!$F$245/100*Operations!Q1174</f>
        <v>0.0500148004774807</v>
      </c>
      <c r="R1179" s="20" t="n">
        <f aca="false">Inputs!$F$244/100*Inputs!$F$245/100*Operations!R1174</f>
        <v>0.049839452514231</v>
      </c>
      <c r="S1179" s="20" t="n">
        <f aca="false">Inputs!$F$244/100*Inputs!$F$245/100*Operations!S1174</f>
        <v>0.0495484210444476</v>
      </c>
      <c r="T1179" s="20" t="n">
        <f aca="false">Inputs!$F$244/100*Inputs!$F$245/100*Operations!T1174</f>
        <v>0.0492506394278584</v>
      </c>
      <c r="U1179" s="20" t="n">
        <f aca="false">Inputs!$F$244/100*Inputs!$F$245/100*Operations!U1174</f>
        <v>0.0489460426842929</v>
      </c>
      <c r="V1179" s="20" t="n">
        <f aca="false">Inputs!$F$244/100*Inputs!$F$245/100*Operations!V1174</f>
        <v>0.0486345852769615</v>
      </c>
      <c r="W1179" s="20" t="n">
        <f aca="false">Inputs!$F$244/100*Inputs!$F$245/100*Operations!W1174</f>
        <v>0.047267253902077</v>
      </c>
      <c r="X1179" s="20" t="n">
        <f aca="false">Inputs!$F$244/100*Inputs!$F$245/100*Operations!X1174</f>
        <v>0.0466785365655701</v>
      </c>
      <c r="Y1179" s="20" t="n">
        <f aca="false">Inputs!$F$244/100*Inputs!$F$245/100*Operations!Y1174</f>
        <v>0.0468200789340345</v>
      </c>
      <c r="Z1179" s="20" t="n">
        <f aca="false">Inputs!$F$244/100*Inputs!$F$245/100*Operations!Z1174</f>
        <v>0.0475652978681013</v>
      </c>
      <c r="AA1179" s="20" t="n">
        <f aca="false">Inputs!$F$244/100*Inputs!$F$245/100*Operations!AA1174</f>
        <v>0.0483194154967067</v>
      </c>
      <c r="AB1179" s="20" t="n">
        <f aca="false">Inputs!$F$244/100*Inputs!$F$245/100*Operations!AB1174</f>
        <v>0.0490900598330247</v>
      </c>
      <c r="AC1179" s="20" t="n">
        <f aca="false">Inputs!$F$244/100*Inputs!$F$245/100*Operations!AC1174</f>
        <v>0.0498692508444931</v>
      </c>
      <c r="AD1179" s="20" t="n">
        <f aca="false">Inputs!$F$244/100*Inputs!$F$245/100*Operations!AD1174</f>
        <v>0.0506645573880028</v>
      </c>
      <c r="AE1179" s="20" t="n">
        <f aca="false">Inputs!$F$244/100*Inputs!$F$245/100*Operations!AE1174</f>
        <v>0.0514680648798751</v>
      </c>
      <c r="AF1179" s="20" t="n">
        <f aca="false">Inputs!$F$244/100*Inputs!$F$245/100*Operations!AF1174</f>
        <v>0.0522872834741278</v>
      </c>
      <c r="AG1179" s="20" t="n">
        <f aca="false">Inputs!$F$244/100*Inputs!$F$245/100*Operations!AG1174</f>
        <v>0.0531219828266412</v>
      </c>
      <c r="AH1179" s="20" t="n">
        <f aca="false">Inputs!$F$244/100*Inputs!$F$245/100*Operations!AH1174</f>
        <v>0.0539643456971779</v>
      </c>
      <c r="AI1179" s="20" t="n">
        <f aca="false">Inputs!$F$244/100*Inputs!$F$245/100*Operations!AI1174</f>
        <v>0.0548217952108374</v>
      </c>
      <c r="AJ1179" s="20" t="n">
        <f aca="false">Inputs!$F$244/100*Inputs!$F$245/100*Operations!AJ1174</f>
        <v>0.0556941064946775</v>
      </c>
      <c r="AK1179" s="20" t="n">
        <f aca="false">Inputs!$F$244/100*Inputs!$F$245/100*Operations!AK1174</f>
        <v>0.0565810565961613</v>
      </c>
      <c r="AL1179" s="20" t="n">
        <f aca="false">Inputs!$F$244/100*Inputs!$F$245/100*Operations!AL1174</f>
        <v>0.0574824244699405</v>
      </c>
      <c r="AM1179" s="20" t="n">
        <f aca="false">Inputs!$F$244/100*Inputs!$F$245/100*Operations!AM1174</f>
        <v>0.0583979909647198</v>
      </c>
      <c r="AN1179" s="20" t="n">
        <f aca="false">Inputs!$F$244/100*Inputs!$F$245/100*Operations!AN1174</f>
        <v>0.0593275388102018</v>
      </c>
      <c r="AO1179" s="20" t="n">
        <f aca="false">Inputs!$F$244/100*Inputs!$F$245/100*Operations!AO1174</f>
        <v>0.0602708526041111</v>
      </c>
      <c r="AP1179" s="20" t="n">
        <f aca="false">Inputs!$F$244/100*Inputs!$F$245/100*Operations!AP1174</f>
        <v>0.0612277187992985</v>
      </c>
      <c r="AQ1179" s="20" t="n">
        <f aca="false">Inputs!$F$244/100*Inputs!$F$245/100*Operations!AQ1174</f>
        <v>0.0622052456774712</v>
      </c>
      <c r="AR1179" s="20" t="n">
        <f aca="false">Inputs!$F$244/100*Inputs!$F$245/100*Operations!AR1174</f>
        <v>0.0631958448169206</v>
      </c>
      <c r="AS1179" s="20" t="n">
        <f aca="false">Inputs!$F$244/100*Inputs!$F$245/100*Operations!AS1174</f>
        <v>0.0641993085106472</v>
      </c>
      <c r="AT1179" s="20" t="n">
        <f aca="false">Inputs!$F$244/100*Inputs!$F$245/100*Operations!AT1174</f>
        <v>0.0652226633517045</v>
      </c>
      <c r="AU1179" s="20" t="n">
        <f aca="false">Inputs!$F$244/100*Inputs!$F$245/100*Operations!AU1174</f>
        <v>0.0662584148679244</v>
      </c>
    </row>
    <row r="1180" customFormat="false" ht="15" hidden="false" customHeight="false" outlineLevel="0" collapsed="false">
      <c r="D1180" s="0" t="s">
        <v>783</v>
      </c>
      <c r="E1180" s="0" t="s">
        <v>47</v>
      </c>
      <c r="G1180" s="20" t="n">
        <f aca="false">SUM(J1180:AU1180)</f>
        <v>219.31177395825</v>
      </c>
      <c r="J1180" s="20" t="n">
        <f aca="false">Operations!J1174-Operations!J1176-Operations!J1177-Operations!J1178-Operations!J1179</f>
        <v>0</v>
      </c>
      <c r="K1180" s="20" t="n">
        <f aca="false">Operations!K1174-Operations!K1176-Operations!K1177-Operations!K1178-Operations!K1179</f>
        <v>0</v>
      </c>
      <c r="L1180" s="20" t="n">
        <f aca="false">Operations!L1174-Operations!L1176-Operations!L1177-Operations!L1178-Operations!L1179</f>
        <v>0.130626086719423</v>
      </c>
      <c r="M1180" s="20" t="n">
        <f aca="false">Operations!M1174-Operations!M1176-Operations!M1177-Operations!M1178-Operations!M1179</f>
        <v>6.76625164050142</v>
      </c>
      <c r="N1180" s="20" t="n">
        <f aca="false">Operations!N1174-Operations!N1176-Operations!N1177-Operations!N1178-Operations!N1179</f>
        <v>6.90630916932169</v>
      </c>
      <c r="O1180" s="20" t="n">
        <f aca="false">Operations!O1174-Operations!O1176-Operations!O1177-Operations!O1178-Operations!O1179</f>
        <v>6.90173705350052</v>
      </c>
      <c r="P1180" s="20" t="n">
        <f aca="false">Operations!P1174-Operations!P1176-Operations!P1177-Operations!P1178-Operations!P1179</f>
        <v>6.8346499050196</v>
      </c>
      <c r="Q1180" s="20" t="n">
        <f aca="false">Operations!Q1174-Operations!Q1176-Operations!Q1177-Operations!Q1178-Operations!Q1179</f>
        <v>6.73286087682475</v>
      </c>
      <c r="R1180" s="20" t="n">
        <f aca="false">Operations!R1174-Operations!R1176-Operations!R1177-Operations!R1178-Operations!R1179</f>
        <v>6.63104278811355</v>
      </c>
      <c r="S1180" s="20" t="n">
        <f aca="false">Operations!S1174-Operations!S1176-Operations!S1177-Operations!S1178-Operations!S1179</f>
        <v>6.50559058366775</v>
      </c>
      <c r="T1180" s="20" t="n">
        <f aca="false">Operations!T1174-Operations!T1176-Operations!T1177-Operations!T1178-Operations!T1179</f>
        <v>6.37710167036398</v>
      </c>
      <c r="U1180" s="20" t="n">
        <f aca="false">Operations!U1174-Operations!U1176-Operations!U1177-Operations!U1178-Operations!U1179</f>
        <v>6.24551979308815</v>
      </c>
      <c r="V1180" s="20" t="n">
        <f aca="false">Operations!V1174-Operations!V1176-Operations!V1177-Operations!V1178-Operations!V1179</f>
        <v>6.11079128221101</v>
      </c>
      <c r="W1180" s="20" t="n">
        <f aca="false">Operations!W1174-Operations!W1176-Operations!W1177-Operations!W1178-Operations!W1179</f>
        <v>5.77410692564289</v>
      </c>
      <c r="X1180" s="20" t="n">
        <f aca="false">Operations!X1174-Operations!X1176-Operations!X1177-Operations!X1178-Operations!X1179</f>
        <v>5.58301120050444</v>
      </c>
      <c r="Y1180" s="20" t="n">
        <f aca="false">Operations!Y1174-Operations!Y1176-Operations!Y1177-Operations!Y1178-Operations!Y1179</f>
        <v>5.52829360714845</v>
      </c>
      <c r="Z1180" s="20" t="n">
        <f aca="false">Operations!Z1174-Operations!Z1176-Operations!Z1177-Operations!Z1178-Operations!Z1179</f>
        <v>5.58591993716949</v>
      </c>
      <c r="AA1180" s="20" t="n">
        <f aca="false">Operations!AA1174-Operations!AA1176-Operations!AA1177-Operations!AA1178-Operations!AA1179</f>
        <v>5.64314298506498</v>
      </c>
      <c r="AB1180" s="20" t="n">
        <f aca="false">Operations!AB1174-Operations!AB1176-Operations!AB1177-Operations!AB1178-Operations!AB1179</f>
        <v>5.70135584339039</v>
      </c>
      <c r="AC1180" s="20" t="n">
        <f aca="false">Operations!AC1174-Operations!AC1176-Operations!AC1177-Operations!AC1178-Operations!AC1179</f>
        <v>5.75899294579623</v>
      </c>
      <c r="AD1180" s="20" t="n">
        <f aca="false">Operations!AD1174-Operations!AD1176-Operations!AD1177-Operations!AD1178-Operations!AD1179</f>
        <v>5.81743353176826</v>
      </c>
      <c r="AE1180" s="20" t="n">
        <f aca="false">Operations!AE1174-Operations!AE1176-Operations!AE1177-Operations!AE1178-Operations!AE1179</f>
        <v>5.87512172549046</v>
      </c>
      <c r="AF1180" s="20" t="n">
        <f aca="false">Operations!AF1174-Operations!AF1176-Operations!AF1177-Operations!AF1178-Operations!AF1179</f>
        <v>5.93342286541848</v>
      </c>
      <c r="AG1180" s="20" t="n">
        <f aca="false">Operations!AG1174-Operations!AG1176-Operations!AG1177-Operations!AG1178-Operations!AG1179</f>
        <v>5.99223420848546</v>
      </c>
      <c r="AH1180" s="20" t="n">
        <f aca="false">Operations!AH1174-Operations!AH1176-Operations!AH1177-Operations!AH1178-Operations!AH1179</f>
        <v>6.05001399799215</v>
      </c>
      <c r="AI1180" s="20" t="n">
        <f aca="false">Operations!AI1174-Operations!AI1176-Operations!AI1177-Operations!AI1178-Operations!AI1179</f>
        <v>6.10810664920978</v>
      </c>
      <c r="AJ1180" s="20" t="n">
        <f aca="false">Operations!AJ1174-Operations!AJ1176-Operations!AJ1177-Operations!AJ1178-Operations!AJ1179</f>
        <v>6.16640591162106</v>
      </c>
      <c r="AK1180" s="20" t="n">
        <f aca="false">Operations!AK1174-Operations!AK1176-Operations!AK1177-Operations!AK1178-Operations!AK1179</f>
        <v>6.22480430751853</v>
      </c>
      <c r="AL1180" s="20" t="n">
        <f aca="false">Operations!AL1174-Operations!AL1176-Operations!AL1177-Operations!AL1178-Operations!AL1179</f>
        <v>6.28319308972384</v>
      </c>
      <c r="AM1180" s="20" t="n">
        <f aca="false">Operations!AM1174-Operations!AM1176-Operations!AM1177-Operations!AM1178-Operations!AM1179</f>
        <v>6.34146219832788</v>
      </c>
      <c r="AN1180" s="20" t="n">
        <f aca="false">Operations!AN1174-Operations!AN1176-Operations!AN1177-Operations!AN1178-Operations!AN1179</f>
        <v>6.39950021642691</v>
      </c>
      <c r="AO1180" s="20" t="n">
        <f aca="false">Operations!AO1174-Operations!AO1176-Operations!AO1177-Operations!AO1178-Operations!AO1179</f>
        <v>6.45719432482902</v>
      </c>
      <c r="AP1180" s="20" t="n">
        <f aca="false">Operations!AP1174-Operations!AP1176-Operations!AP1177-Operations!AP1178-Operations!AP1179</f>
        <v>6.51443025570482</v>
      </c>
      <c r="AQ1180" s="20" t="n">
        <f aca="false">Operations!AQ1174-Operations!AQ1176-Operations!AQ1177-Operations!AQ1178-Operations!AQ1179</f>
        <v>6.57247920832073</v>
      </c>
      <c r="AR1180" s="20" t="n">
        <f aca="false">Operations!AR1174-Operations!AR1176-Operations!AR1177-Operations!AR1178-Operations!AR1179</f>
        <v>6.62982581529555</v>
      </c>
      <c r="AS1180" s="20" t="n">
        <f aca="false">Operations!AS1174-Operations!AS1176-Operations!AS1177-Operations!AS1178-Operations!AS1179</f>
        <v>6.68635124040054</v>
      </c>
      <c r="AT1180" s="20" t="n">
        <f aca="false">Operations!AT1174-Operations!AT1176-Operations!AT1177-Operations!AT1178-Operations!AT1179</f>
        <v>6.7433053880044</v>
      </c>
      <c r="AU1180" s="20" t="n">
        <f aca="false">Operations!AU1174-Operations!AU1176-Operations!AU1177-Operations!AU1178-Operations!AU1179</f>
        <v>6.79918472966299</v>
      </c>
    </row>
    <row r="1181" customFormat="false" ht="15" hidden="false" customHeight="false" outlineLevel="0" collapsed="false">
      <c r="D1181" s="0" t="s">
        <v>784</v>
      </c>
      <c r="E1181" s="0" t="s">
        <v>47</v>
      </c>
      <c r="J1181" s="20" t="n">
        <f aca="false">0</f>
        <v>0</v>
      </c>
      <c r="K1181" s="20" t="n">
        <f aca="false">0</f>
        <v>0</v>
      </c>
      <c r="L1181" s="20" t="n">
        <f aca="false">0</f>
        <v>0</v>
      </c>
      <c r="M1181" s="20" t="n">
        <f aca="false">0</f>
        <v>0</v>
      </c>
      <c r="N1181" s="20" t="n">
        <f aca="false">0</f>
        <v>0</v>
      </c>
      <c r="O1181" s="20" t="n">
        <f aca="false">0</f>
        <v>0</v>
      </c>
      <c r="P1181" s="20" t="n">
        <f aca="false">0</f>
        <v>0</v>
      </c>
      <c r="Q1181" s="20" t="n">
        <f aca="false">0</f>
        <v>0</v>
      </c>
      <c r="R1181" s="20" t="n">
        <f aca="false">0</f>
        <v>0</v>
      </c>
      <c r="S1181" s="20" t="n">
        <f aca="false">0</f>
        <v>0</v>
      </c>
      <c r="T1181" s="20" t="n">
        <f aca="false">0</f>
        <v>0</v>
      </c>
      <c r="U1181" s="20" t="n">
        <f aca="false">0</f>
        <v>0</v>
      </c>
      <c r="V1181" s="20" t="n">
        <f aca="false">0</f>
        <v>0</v>
      </c>
      <c r="W1181" s="20" t="n">
        <f aca="false">0</f>
        <v>0</v>
      </c>
      <c r="X1181" s="20" t="n">
        <f aca="false">0</f>
        <v>0</v>
      </c>
      <c r="Y1181" s="20" t="n">
        <f aca="false">0</f>
        <v>0</v>
      </c>
      <c r="Z1181" s="20" t="n">
        <f aca="false">0</f>
        <v>0</v>
      </c>
      <c r="AA1181" s="20" t="n">
        <f aca="false">0</f>
        <v>0</v>
      </c>
      <c r="AB1181" s="20" t="n">
        <f aca="false">0</f>
        <v>0</v>
      </c>
      <c r="AC1181" s="20" t="n">
        <f aca="false">0</f>
        <v>0</v>
      </c>
      <c r="AD1181" s="20" t="n">
        <f aca="false">0</f>
        <v>0</v>
      </c>
      <c r="AE1181" s="20" t="n">
        <f aca="false">0</f>
        <v>0</v>
      </c>
      <c r="AF1181" s="20" t="n">
        <f aca="false">0</f>
        <v>0</v>
      </c>
      <c r="AG1181" s="20" t="n">
        <f aca="false">0</f>
        <v>0</v>
      </c>
      <c r="AH1181" s="20" t="n">
        <f aca="false">0</f>
        <v>0</v>
      </c>
      <c r="AI1181" s="20" t="n">
        <f aca="false">0</f>
        <v>0</v>
      </c>
      <c r="AJ1181" s="20" t="n">
        <f aca="false">0</f>
        <v>0</v>
      </c>
      <c r="AK1181" s="20" t="n">
        <f aca="false">0</f>
        <v>0</v>
      </c>
      <c r="AL1181" s="20" t="n">
        <f aca="false">0</f>
        <v>0</v>
      </c>
      <c r="AM1181" s="20" t="n">
        <f aca="false">0</f>
        <v>0</v>
      </c>
      <c r="AN1181" s="20" t="n">
        <f aca="false">0</f>
        <v>0</v>
      </c>
      <c r="AO1181" s="20" t="n">
        <f aca="false">0</f>
        <v>0</v>
      </c>
      <c r="AP1181" s="20" t="n">
        <f aca="false">0</f>
        <v>0</v>
      </c>
      <c r="AQ1181" s="20" t="n">
        <f aca="false">0</f>
        <v>0</v>
      </c>
      <c r="AR1181" s="20" t="n">
        <f aca="false">0</f>
        <v>0</v>
      </c>
      <c r="AS1181" s="20" t="n">
        <f aca="false">0</f>
        <v>0</v>
      </c>
      <c r="AT1181" s="20" t="n">
        <f aca="false">0</f>
        <v>0</v>
      </c>
      <c r="AU1181" s="20" t="n">
        <f aca="false">0</f>
        <v>0</v>
      </c>
    </row>
    <row r="1182" customFormat="false" ht="15" hidden="false" customHeight="false" outlineLevel="0" collapsed="false">
      <c r="D1182" s="0" t="s">
        <v>785</v>
      </c>
      <c r="E1182" s="0" t="s">
        <v>47</v>
      </c>
      <c r="J1182" s="20" t="n">
        <f aca="false">IF(Time!J$4=YEAR(Inputs!$F$171),Inputs!$F$174*Inputs!$F$169/1000*Time!J$9,0)</f>
        <v>0</v>
      </c>
      <c r="K1182" s="20" t="n">
        <f aca="false">IF(Time!K$4=YEAR(Inputs!$F$171),Inputs!$F$174*Inputs!$F$169/1000*Time!K$9,0)</f>
        <v>0</v>
      </c>
      <c r="L1182" s="20" t="n">
        <f aca="false">IF(Time!L$4=YEAR(Inputs!$F$171),Inputs!$F$174*Inputs!$F$169/1000*Time!L$9,0)</f>
        <v>0</v>
      </c>
      <c r="M1182" s="20" t="n">
        <f aca="false">IF(Time!M$4=YEAR(Inputs!$F$171),Inputs!$F$174*Inputs!$F$169/1000*Time!M$9,0)</f>
        <v>0</v>
      </c>
      <c r="N1182" s="20" t="n">
        <f aca="false">IF(Time!N$4=YEAR(Inputs!$F$171),Inputs!$F$174*Inputs!$F$169/1000*Time!N$9,0)</f>
        <v>0</v>
      </c>
      <c r="O1182" s="20" t="n">
        <f aca="false">IF(Time!O$4=YEAR(Inputs!$F$171),Inputs!$F$174*Inputs!$F$169/1000*Time!O$9,0)</f>
        <v>0</v>
      </c>
      <c r="P1182" s="20" t="n">
        <f aca="false">IF(Time!P$4=YEAR(Inputs!$F$171),Inputs!$F$174*Inputs!$F$169/1000*Time!P$9,0)</f>
        <v>0</v>
      </c>
      <c r="Q1182" s="20" t="n">
        <f aca="false">IF(Time!Q$4=YEAR(Inputs!$F$171),Inputs!$F$174*Inputs!$F$169/1000*Time!Q$9,0)</f>
        <v>0</v>
      </c>
      <c r="R1182" s="20" t="n">
        <f aca="false">IF(Time!R$4=YEAR(Inputs!$F$171),Inputs!$F$174*Inputs!$F$169/1000*Time!R$9,0)</f>
        <v>0</v>
      </c>
      <c r="S1182" s="20" t="n">
        <f aca="false">IF(Time!S$4=YEAR(Inputs!$F$171),Inputs!$F$174*Inputs!$F$169/1000*Time!S$9,0)</f>
        <v>0</v>
      </c>
      <c r="T1182" s="20" t="n">
        <f aca="false">IF(Time!T$4=YEAR(Inputs!$F$171),Inputs!$F$174*Inputs!$F$169/1000*Time!T$9,0)</f>
        <v>0</v>
      </c>
      <c r="U1182" s="20" t="n">
        <f aca="false">IF(Time!U$4=YEAR(Inputs!$F$171),Inputs!$F$174*Inputs!$F$169/1000*Time!U$9,0)</f>
        <v>0</v>
      </c>
      <c r="V1182" s="20" t="n">
        <f aca="false">IF(Time!V$4=YEAR(Inputs!$F$171),Inputs!$F$174*Inputs!$F$169/1000*Time!V$9,0)</f>
        <v>0</v>
      </c>
      <c r="W1182" s="20" t="n">
        <f aca="false">IF(Time!W$4=YEAR(Inputs!$F$171),Inputs!$F$174*Inputs!$F$169/1000*Time!W$9,0)</f>
        <v>0</v>
      </c>
      <c r="X1182" s="20" t="n">
        <f aca="false">IF(Time!X$4=YEAR(Inputs!$F$171),Inputs!$F$174*Inputs!$F$169/1000*Time!X$9,0)</f>
        <v>0</v>
      </c>
      <c r="Y1182" s="20" t="n">
        <f aca="false">IF(Time!Y$4=YEAR(Inputs!$F$171),Inputs!$F$174*Inputs!$F$169/1000*Time!Y$9,0)</f>
        <v>0</v>
      </c>
      <c r="Z1182" s="20" t="n">
        <f aca="false">IF(Time!Z$4=YEAR(Inputs!$F$171),Inputs!$F$174*Inputs!$F$169/1000*Time!Z$9,0)</f>
        <v>0</v>
      </c>
      <c r="AA1182" s="20" t="n">
        <f aca="false">IF(Time!AA$4=YEAR(Inputs!$F$171),Inputs!$F$174*Inputs!$F$169/1000*Time!AA$9,0)</f>
        <v>0</v>
      </c>
      <c r="AB1182" s="20" t="n">
        <f aca="false">IF(Time!AB$4=YEAR(Inputs!$F$171),Inputs!$F$174*Inputs!$F$169/1000*Time!AB$9,0)</f>
        <v>0</v>
      </c>
      <c r="AC1182" s="20" t="n">
        <f aca="false">IF(Time!AC$4=YEAR(Inputs!$F$171),Inputs!$F$174*Inputs!$F$169/1000*Time!AC$9,0)</f>
        <v>0</v>
      </c>
      <c r="AD1182" s="20" t="n">
        <f aca="false">IF(Time!AD$4=YEAR(Inputs!$F$171),Inputs!$F$174*Inputs!$F$169/1000*Time!AD$9,0)</f>
        <v>0</v>
      </c>
      <c r="AE1182" s="20" t="n">
        <f aca="false">IF(Time!AE$4=YEAR(Inputs!$F$171),Inputs!$F$174*Inputs!$F$169/1000*Time!AE$9,0)</f>
        <v>0</v>
      </c>
      <c r="AF1182" s="20" t="n">
        <f aca="false">IF(Time!AF$4=YEAR(Inputs!$F$171),Inputs!$F$174*Inputs!$F$169/1000*Time!AF$9,0)</f>
        <v>0</v>
      </c>
      <c r="AG1182" s="20" t="n">
        <f aca="false">IF(Time!AG$4=YEAR(Inputs!$F$171),Inputs!$F$174*Inputs!$F$169/1000*Time!AG$9,0)</f>
        <v>0</v>
      </c>
      <c r="AH1182" s="20" t="n">
        <f aca="false">IF(Time!AH$4=YEAR(Inputs!$F$171),Inputs!$F$174*Inputs!$F$169/1000*Time!AH$9,0)</f>
        <v>0</v>
      </c>
      <c r="AI1182" s="20" t="n">
        <f aca="false">IF(Time!AI$4=YEAR(Inputs!$F$171),Inputs!$F$174*Inputs!$F$169/1000*Time!AI$9,0)</f>
        <v>0</v>
      </c>
      <c r="AJ1182" s="20" t="n">
        <f aca="false">IF(Time!AJ$4=YEAR(Inputs!$F$171),Inputs!$F$174*Inputs!$F$169/1000*Time!AJ$9,0)</f>
        <v>0</v>
      </c>
      <c r="AK1182" s="20" t="n">
        <f aca="false">IF(Time!AK$4=YEAR(Inputs!$F$171),Inputs!$F$174*Inputs!$F$169/1000*Time!AK$9,0)</f>
        <v>0</v>
      </c>
      <c r="AL1182" s="20" t="n">
        <f aca="false">IF(Time!AL$4=YEAR(Inputs!$F$171),Inputs!$F$174*Inputs!$F$169/1000*Time!AL$9,0)</f>
        <v>0</v>
      </c>
      <c r="AM1182" s="20" t="n">
        <f aca="false">IF(Time!AM$4=YEAR(Inputs!$F$171),Inputs!$F$174*Inputs!$F$169/1000*Time!AM$9,0)</f>
        <v>0</v>
      </c>
      <c r="AN1182" s="20" t="n">
        <f aca="false">IF(Time!AN$4=YEAR(Inputs!$F$171),Inputs!$F$174*Inputs!$F$169/1000*Time!AN$9,0)</f>
        <v>0</v>
      </c>
      <c r="AO1182" s="20" t="n">
        <f aca="false">IF(Time!AO$4=YEAR(Inputs!$F$171),Inputs!$F$174*Inputs!$F$169/1000*Time!AO$9,0)</f>
        <v>0</v>
      </c>
      <c r="AP1182" s="20" t="n">
        <f aca="false">IF(Time!AP$4=YEAR(Inputs!$F$171),Inputs!$F$174*Inputs!$F$169/1000*Time!AP$9,0)</f>
        <v>0</v>
      </c>
      <c r="AQ1182" s="20" t="n">
        <f aca="false">IF(Time!AQ$4=YEAR(Inputs!$F$171),Inputs!$F$174*Inputs!$F$169/1000*Time!AQ$9,0)</f>
        <v>0</v>
      </c>
      <c r="AR1182" s="20" t="n">
        <f aca="false">IF(Time!AR$4=YEAR(Inputs!$F$171),Inputs!$F$174*Inputs!$F$169/1000*Time!AR$9,0)</f>
        <v>0</v>
      </c>
      <c r="AS1182" s="20" t="n">
        <f aca="false">IF(Time!AS$4=YEAR(Inputs!$F$171),Inputs!$F$174*Inputs!$F$169/1000*Time!AS$9,0)</f>
        <v>0</v>
      </c>
      <c r="AT1182" s="20" t="n">
        <f aca="false">IF(Time!AT$4=YEAR(Inputs!$F$171),Inputs!$F$174*Inputs!$F$169/1000*Time!AT$9,0)</f>
        <v>0</v>
      </c>
      <c r="AU1182" s="20" t="n">
        <f aca="false">IF(Time!AU$4=YEAR(Inputs!$F$171),Inputs!$F$174*Inputs!$F$169/1000*Time!AU$9,0)</f>
        <v>11.3696700656654</v>
      </c>
    </row>
    <row r="1183" customFormat="false" ht="15" hidden="false" customHeight="false" outlineLevel="0" collapsed="false">
      <c r="D1183" s="0" t="s">
        <v>786</v>
      </c>
      <c r="E1183" s="0" t="s">
        <v>47</v>
      </c>
      <c r="G1183" s="20" t="n">
        <f aca="false">SUM(J1183:AU1183)</f>
        <v>207.942103892584</v>
      </c>
      <c r="J1183" s="20" t="n">
        <f aca="false">Operations!J1180-Operations!J1181-Operations!J1182</f>
        <v>0</v>
      </c>
      <c r="K1183" s="20" t="n">
        <f aca="false">Operations!K1180-Operations!K1181-Operations!K1182</f>
        <v>0</v>
      </c>
      <c r="L1183" s="20" t="n">
        <f aca="false">Operations!L1180-Operations!L1181-Operations!L1182</f>
        <v>0.130626086719423</v>
      </c>
      <c r="M1183" s="20" t="n">
        <f aca="false">Operations!M1180-Operations!M1181-Operations!M1182</f>
        <v>6.76625164050142</v>
      </c>
      <c r="N1183" s="20" t="n">
        <f aca="false">Operations!N1180-Operations!N1181-Operations!N1182</f>
        <v>6.90630916932169</v>
      </c>
      <c r="O1183" s="20" t="n">
        <f aca="false">Operations!O1180-Operations!O1181-Operations!O1182</f>
        <v>6.90173705350052</v>
      </c>
      <c r="P1183" s="20" t="n">
        <f aca="false">Operations!P1180-Operations!P1181-Operations!P1182</f>
        <v>6.8346499050196</v>
      </c>
      <c r="Q1183" s="20" t="n">
        <f aca="false">Operations!Q1180-Operations!Q1181-Operations!Q1182</f>
        <v>6.73286087682475</v>
      </c>
      <c r="R1183" s="20" t="n">
        <f aca="false">Operations!R1180-Operations!R1181-Operations!R1182</f>
        <v>6.63104278811355</v>
      </c>
      <c r="S1183" s="20" t="n">
        <f aca="false">Operations!S1180-Operations!S1181-Operations!S1182</f>
        <v>6.50559058366775</v>
      </c>
      <c r="T1183" s="20" t="n">
        <f aca="false">Operations!T1180-Operations!T1181-Operations!T1182</f>
        <v>6.37710167036398</v>
      </c>
      <c r="U1183" s="20" t="n">
        <f aca="false">Operations!U1180-Operations!U1181-Operations!U1182</f>
        <v>6.24551979308815</v>
      </c>
      <c r="V1183" s="20" t="n">
        <f aca="false">Operations!V1180-Operations!V1181-Operations!V1182</f>
        <v>6.11079128221101</v>
      </c>
      <c r="W1183" s="20" t="n">
        <f aca="false">Operations!W1180-Operations!W1181-Operations!W1182</f>
        <v>5.77410692564289</v>
      </c>
      <c r="X1183" s="20" t="n">
        <f aca="false">Operations!X1180-Operations!X1181-Operations!X1182</f>
        <v>5.58301120050444</v>
      </c>
      <c r="Y1183" s="20" t="n">
        <f aca="false">Operations!Y1180-Operations!Y1181-Operations!Y1182</f>
        <v>5.52829360714845</v>
      </c>
      <c r="Z1183" s="20" t="n">
        <f aca="false">Operations!Z1180-Operations!Z1181-Operations!Z1182</f>
        <v>5.58591993716949</v>
      </c>
      <c r="AA1183" s="20" t="n">
        <f aca="false">Operations!AA1180-Operations!AA1181-Operations!AA1182</f>
        <v>5.64314298506498</v>
      </c>
      <c r="AB1183" s="20" t="n">
        <f aca="false">Operations!AB1180-Operations!AB1181-Operations!AB1182</f>
        <v>5.70135584339039</v>
      </c>
      <c r="AC1183" s="20" t="n">
        <f aca="false">Operations!AC1180-Operations!AC1181-Operations!AC1182</f>
        <v>5.75899294579623</v>
      </c>
      <c r="AD1183" s="20" t="n">
        <f aca="false">Operations!AD1180-Operations!AD1181-Operations!AD1182</f>
        <v>5.81743353176826</v>
      </c>
      <c r="AE1183" s="20" t="n">
        <f aca="false">Operations!AE1180-Operations!AE1181-Operations!AE1182</f>
        <v>5.87512172549046</v>
      </c>
      <c r="AF1183" s="20" t="n">
        <f aca="false">Operations!AF1180-Operations!AF1181-Operations!AF1182</f>
        <v>5.93342286541848</v>
      </c>
      <c r="AG1183" s="20" t="n">
        <f aca="false">Operations!AG1180-Operations!AG1181-Operations!AG1182</f>
        <v>5.99223420848546</v>
      </c>
      <c r="AH1183" s="20" t="n">
        <f aca="false">Operations!AH1180-Operations!AH1181-Operations!AH1182</f>
        <v>6.05001399799215</v>
      </c>
      <c r="AI1183" s="20" t="n">
        <f aca="false">Operations!AI1180-Operations!AI1181-Operations!AI1182</f>
        <v>6.10810664920978</v>
      </c>
      <c r="AJ1183" s="20" t="n">
        <f aca="false">Operations!AJ1180-Operations!AJ1181-Operations!AJ1182</f>
        <v>6.16640591162106</v>
      </c>
      <c r="AK1183" s="20" t="n">
        <f aca="false">Operations!AK1180-Operations!AK1181-Operations!AK1182</f>
        <v>6.22480430751853</v>
      </c>
      <c r="AL1183" s="20" t="n">
        <f aca="false">Operations!AL1180-Operations!AL1181-Operations!AL1182</f>
        <v>6.28319308972384</v>
      </c>
      <c r="AM1183" s="20" t="n">
        <f aca="false">Operations!AM1180-Operations!AM1181-Operations!AM1182</f>
        <v>6.34146219832788</v>
      </c>
      <c r="AN1183" s="20" t="n">
        <f aca="false">Operations!AN1180-Operations!AN1181-Operations!AN1182</f>
        <v>6.39950021642691</v>
      </c>
      <c r="AO1183" s="20" t="n">
        <f aca="false">Operations!AO1180-Operations!AO1181-Operations!AO1182</f>
        <v>6.45719432482902</v>
      </c>
      <c r="AP1183" s="20" t="n">
        <f aca="false">Operations!AP1180-Operations!AP1181-Operations!AP1182</f>
        <v>6.51443025570482</v>
      </c>
      <c r="AQ1183" s="20" t="n">
        <f aca="false">Operations!AQ1180-Operations!AQ1181-Operations!AQ1182</f>
        <v>6.57247920832073</v>
      </c>
      <c r="AR1183" s="20" t="n">
        <f aca="false">Operations!AR1180-Operations!AR1181-Operations!AR1182</f>
        <v>6.62982581529555</v>
      </c>
      <c r="AS1183" s="20" t="n">
        <f aca="false">Operations!AS1180-Operations!AS1181-Operations!AS1182</f>
        <v>6.68635124040054</v>
      </c>
      <c r="AT1183" s="20" t="n">
        <f aca="false">Operations!AT1180-Operations!AT1181-Operations!AT1182</f>
        <v>6.7433053880044</v>
      </c>
      <c r="AU1183" s="20" t="n">
        <f aca="false">Operations!AU1180-Operations!AU1181-Operations!AU1182</f>
        <v>-4.57048533600244</v>
      </c>
    </row>
    <row r="1184" customFormat="false" ht="15" hidden="false" customHeight="false" outlineLevel="0" collapsed="false">
      <c r="D1184" s="0" t="s">
        <v>787</v>
      </c>
      <c r="E1184" s="0" t="s">
        <v>458</v>
      </c>
      <c r="J1184" s="14" t="n">
        <f aca="false">0</f>
        <v>0</v>
      </c>
      <c r="K1184" s="14" t="n">
        <f aca="false">0</f>
        <v>0</v>
      </c>
      <c r="L1184" s="14" t="n">
        <f aca="false">0</f>
        <v>0</v>
      </c>
      <c r="M1184" s="14" t="n">
        <f aca="false">0</f>
        <v>0</v>
      </c>
      <c r="N1184" s="14" t="n">
        <f aca="false">0</f>
        <v>0</v>
      </c>
      <c r="O1184" s="14" t="n">
        <f aca="false">0</f>
        <v>0</v>
      </c>
      <c r="P1184" s="14" t="n">
        <f aca="false">0</f>
        <v>0</v>
      </c>
      <c r="Q1184" s="14" t="n">
        <f aca="false">0</f>
        <v>0</v>
      </c>
      <c r="R1184" s="14" t="n">
        <f aca="false">0</f>
        <v>0</v>
      </c>
      <c r="S1184" s="14" t="n">
        <f aca="false">0</f>
        <v>0</v>
      </c>
      <c r="T1184" s="14" t="n">
        <f aca="false">0</f>
        <v>0</v>
      </c>
      <c r="U1184" s="14" t="n">
        <f aca="false">0</f>
        <v>0</v>
      </c>
      <c r="V1184" s="14" t="n">
        <f aca="false">0</f>
        <v>0</v>
      </c>
      <c r="W1184" s="14" t="n">
        <f aca="false">0</f>
        <v>0</v>
      </c>
      <c r="X1184" s="14" t="n">
        <f aca="false">0</f>
        <v>0</v>
      </c>
      <c r="Y1184" s="14" t="n">
        <f aca="false">0</f>
        <v>0</v>
      </c>
      <c r="Z1184" s="14" t="n">
        <f aca="false">0</f>
        <v>0</v>
      </c>
      <c r="AA1184" s="14" t="n">
        <f aca="false">0</f>
        <v>0</v>
      </c>
      <c r="AB1184" s="14" t="n">
        <f aca="false">0</f>
        <v>0</v>
      </c>
      <c r="AC1184" s="14" t="n">
        <f aca="false">0</f>
        <v>0</v>
      </c>
      <c r="AD1184" s="14" t="n">
        <f aca="false">0</f>
        <v>0</v>
      </c>
      <c r="AE1184" s="14" t="n">
        <f aca="false">0</f>
        <v>0</v>
      </c>
      <c r="AF1184" s="14" t="n">
        <f aca="false">0</f>
        <v>0</v>
      </c>
      <c r="AG1184" s="14" t="n">
        <f aca="false">0</f>
        <v>0</v>
      </c>
      <c r="AH1184" s="14" t="n">
        <f aca="false">0</f>
        <v>0</v>
      </c>
      <c r="AI1184" s="14" t="n">
        <f aca="false">0</f>
        <v>0</v>
      </c>
      <c r="AJ1184" s="14" t="n">
        <f aca="false">0</f>
        <v>0</v>
      </c>
      <c r="AK1184" s="14" t="n">
        <f aca="false">0</f>
        <v>0</v>
      </c>
      <c r="AL1184" s="14" t="n">
        <f aca="false">0</f>
        <v>0</v>
      </c>
      <c r="AM1184" s="14" t="n">
        <f aca="false">0</f>
        <v>0</v>
      </c>
      <c r="AN1184" s="14" t="n">
        <f aca="false">0</f>
        <v>0</v>
      </c>
      <c r="AO1184" s="14" t="n">
        <f aca="false">0</f>
        <v>0</v>
      </c>
      <c r="AP1184" s="14" t="n">
        <f aca="false">0</f>
        <v>0</v>
      </c>
      <c r="AQ1184" s="14" t="n">
        <f aca="false">0</f>
        <v>0</v>
      </c>
      <c r="AR1184" s="14" t="n">
        <f aca="false">0</f>
        <v>0</v>
      </c>
      <c r="AS1184" s="14" t="n">
        <f aca="false">0</f>
        <v>0</v>
      </c>
      <c r="AT1184" s="14" t="n">
        <f aca="false">0</f>
        <v>0</v>
      </c>
      <c r="AU1184" s="14" t="n">
        <f aca="false">0</f>
        <v>0</v>
      </c>
    </row>
    <row r="1185" customFormat="false" ht="15" hidden="false" customHeight="false" outlineLevel="0" collapsed="false">
      <c r="D1185" s="0" t="s">
        <v>788</v>
      </c>
      <c r="E1185" s="0" t="s">
        <v>458</v>
      </c>
      <c r="J1185" s="14" t="n">
        <f aca="false">1</f>
        <v>1</v>
      </c>
      <c r="K1185" s="14" t="n">
        <f aca="false">1</f>
        <v>1</v>
      </c>
      <c r="L1185" s="14" t="n">
        <f aca="false">1</f>
        <v>1</v>
      </c>
      <c r="M1185" s="14" t="n">
        <f aca="false">1</f>
        <v>1</v>
      </c>
      <c r="N1185" s="14" t="n">
        <f aca="false">1</f>
        <v>1</v>
      </c>
      <c r="O1185" s="14" t="n">
        <f aca="false">1</f>
        <v>1</v>
      </c>
      <c r="P1185" s="14" t="n">
        <f aca="false">1</f>
        <v>1</v>
      </c>
      <c r="Q1185" s="14" t="n">
        <f aca="false">1</f>
        <v>1</v>
      </c>
      <c r="R1185" s="14" t="n">
        <f aca="false">1</f>
        <v>1</v>
      </c>
      <c r="S1185" s="14" t="n">
        <f aca="false">1</f>
        <v>1</v>
      </c>
      <c r="T1185" s="14" t="n">
        <f aca="false">1</f>
        <v>1</v>
      </c>
      <c r="U1185" s="14" t="n">
        <f aca="false">1</f>
        <v>1</v>
      </c>
      <c r="V1185" s="14" t="n">
        <f aca="false">1</f>
        <v>1</v>
      </c>
      <c r="W1185" s="14" t="n">
        <f aca="false">1</f>
        <v>1</v>
      </c>
      <c r="X1185" s="14" t="n">
        <f aca="false">1</f>
        <v>1</v>
      </c>
      <c r="Y1185" s="14" t="n">
        <f aca="false">1</f>
        <v>1</v>
      </c>
      <c r="Z1185" s="14" t="n">
        <f aca="false">1</f>
        <v>1</v>
      </c>
      <c r="AA1185" s="14" t="n">
        <f aca="false">1</f>
        <v>1</v>
      </c>
      <c r="AB1185" s="14" t="n">
        <f aca="false">1</f>
        <v>1</v>
      </c>
      <c r="AC1185" s="14" t="n">
        <f aca="false">1</f>
        <v>1</v>
      </c>
      <c r="AD1185" s="14" t="n">
        <f aca="false">1</f>
        <v>1</v>
      </c>
      <c r="AE1185" s="14" t="n">
        <f aca="false">1</f>
        <v>1</v>
      </c>
      <c r="AF1185" s="14" t="n">
        <f aca="false">1</f>
        <v>1</v>
      </c>
      <c r="AG1185" s="14" t="n">
        <f aca="false">1</f>
        <v>1</v>
      </c>
      <c r="AH1185" s="14" t="n">
        <f aca="false">1</f>
        <v>1</v>
      </c>
      <c r="AI1185" s="14" t="n">
        <f aca="false">1</f>
        <v>1</v>
      </c>
      <c r="AJ1185" s="14" t="n">
        <f aca="false">1</f>
        <v>1</v>
      </c>
      <c r="AK1185" s="14" t="n">
        <f aca="false">1</f>
        <v>1</v>
      </c>
      <c r="AL1185" s="14" t="n">
        <f aca="false">1</f>
        <v>1</v>
      </c>
      <c r="AM1185" s="14" t="n">
        <f aca="false">1</f>
        <v>1</v>
      </c>
      <c r="AN1185" s="14" t="n">
        <f aca="false">1</f>
        <v>1</v>
      </c>
      <c r="AO1185" s="14" t="n">
        <f aca="false">1</f>
        <v>1</v>
      </c>
      <c r="AP1185" s="14" t="n">
        <f aca="false">1</f>
        <v>1</v>
      </c>
      <c r="AQ1185" s="14" t="n">
        <f aca="false">1</f>
        <v>1</v>
      </c>
      <c r="AR1185" s="14" t="n">
        <f aca="false">1</f>
        <v>1</v>
      </c>
      <c r="AS1185" s="14" t="n">
        <f aca="false">1</f>
        <v>1</v>
      </c>
      <c r="AT1185" s="14" t="n">
        <f aca="false">1</f>
        <v>1</v>
      </c>
      <c r="AU1185" s="14" t="n">
        <f aca="false">1</f>
        <v>1</v>
      </c>
    </row>
    <row r="1186" customFormat="false" ht="15" hidden="false" customHeight="false" outlineLevel="0" collapsed="false">
      <c r="D1186" s="0" t="s">
        <v>789</v>
      </c>
      <c r="E1186" s="0" t="s">
        <v>47</v>
      </c>
      <c r="G1186" s="20" t="n">
        <f aca="false">SUM(J1186:AU1186)</f>
        <v>207.942103892584</v>
      </c>
      <c r="J1186" s="20" t="n">
        <f aca="false">Operations!J1183*(1-Operations!J1184)*Operations!J1157</f>
        <v>0</v>
      </c>
      <c r="K1186" s="20" t="n">
        <f aca="false">Operations!K1183*(1-Operations!K1184)*Operations!K1157</f>
        <v>0</v>
      </c>
      <c r="L1186" s="20" t="n">
        <f aca="false">Operations!L1183*(1-Operations!L1184)*Operations!L1157</f>
        <v>0.130626086719423</v>
      </c>
      <c r="M1186" s="20" t="n">
        <f aca="false">Operations!M1183*(1-Operations!M1184)*Operations!M1157</f>
        <v>6.76625164050142</v>
      </c>
      <c r="N1186" s="20" t="n">
        <f aca="false">Operations!N1183*(1-Operations!N1184)*Operations!N1157</f>
        <v>6.90630916932169</v>
      </c>
      <c r="O1186" s="20" t="n">
        <f aca="false">Operations!O1183*(1-Operations!O1184)*Operations!O1157</f>
        <v>6.90173705350052</v>
      </c>
      <c r="P1186" s="20" t="n">
        <f aca="false">Operations!P1183*(1-Operations!P1184)*Operations!P1157</f>
        <v>6.8346499050196</v>
      </c>
      <c r="Q1186" s="20" t="n">
        <f aca="false">Operations!Q1183*(1-Operations!Q1184)*Operations!Q1157</f>
        <v>6.73286087682475</v>
      </c>
      <c r="R1186" s="20" t="n">
        <f aca="false">Operations!R1183*(1-Operations!R1184)*Operations!R1157</f>
        <v>6.63104278811355</v>
      </c>
      <c r="S1186" s="20" t="n">
        <f aca="false">Operations!S1183*(1-Operations!S1184)*Operations!S1157</f>
        <v>6.50559058366775</v>
      </c>
      <c r="T1186" s="20" t="n">
        <f aca="false">Operations!T1183*(1-Operations!T1184)*Operations!T1157</f>
        <v>6.37710167036398</v>
      </c>
      <c r="U1186" s="20" t="n">
        <f aca="false">Operations!U1183*(1-Operations!U1184)*Operations!U1157</f>
        <v>6.24551979308815</v>
      </c>
      <c r="V1186" s="20" t="n">
        <f aca="false">Operations!V1183*(1-Operations!V1184)*Operations!V1157</f>
        <v>6.11079128221101</v>
      </c>
      <c r="W1186" s="20" t="n">
        <f aca="false">Operations!W1183*(1-Operations!W1184)*Operations!W1157</f>
        <v>5.77410692564289</v>
      </c>
      <c r="X1186" s="20" t="n">
        <f aca="false">Operations!X1183*(1-Operations!X1184)*Operations!X1157</f>
        <v>5.58301120050444</v>
      </c>
      <c r="Y1186" s="20" t="n">
        <f aca="false">Operations!Y1183*(1-Operations!Y1184)*Operations!Y1157</f>
        <v>5.52829360714845</v>
      </c>
      <c r="Z1186" s="20" t="n">
        <f aca="false">Operations!Z1183*(1-Operations!Z1184)*Operations!Z1157</f>
        <v>5.58591993716949</v>
      </c>
      <c r="AA1186" s="20" t="n">
        <f aca="false">Operations!AA1183*(1-Operations!AA1184)*Operations!AA1157</f>
        <v>5.64314298506498</v>
      </c>
      <c r="AB1186" s="20" t="n">
        <f aca="false">Operations!AB1183*(1-Operations!AB1184)*Operations!AB1157</f>
        <v>5.70135584339039</v>
      </c>
      <c r="AC1186" s="20" t="n">
        <f aca="false">Operations!AC1183*(1-Operations!AC1184)*Operations!AC1157</f>
        <v>5.75899294579623</v>
      </c>
      <c r="AD1186" s="20" t="n">
        <f aca="false">Operations!AD1183*(1-Operations!AD1184)*Operations!AD1157</f>
        <v>5.81743353176826</v>
      </c>
      <c r="AE1186" s="20" t="n">
        <f aca="false">Operations!AE1183*(1-Operations!AE1184)*Operations!AE1157</f>
        <v>5.87512172549046</v>
      </c>
      <c r="AF1186" s="20" t="n">
        <f aca="false">Operations!AF1183*(1-Operations!AF1184)*Operations!AF1157</f>
        <v>5.93342286541848</v>
      </c>
      <c r="AG1186" s="20" t="n">
        <f aca="false">Operations!AG1183*(1-Operations!AG1184)*Operations!AG1157</f>
        <v>5.99223420848546</v>
      </c>
      <c r="AH1186" s="20" t="n">
        <f aca="false">Operations!AH1183*(1-Operations!AH1184)*Operations!AH1157</f>
        <v>6.05001399799215</v>
      </c>
      <c r="AI1186" s="20" t="n">
        <f aca="false">Operations!AI1183*(1-Operations!AI1184)*Operations!AI1157</f>
        <v>6.10810664920978</v>
      </c>
      <c r="AJ1186" s="20" t="n">
        <f aca="false">Operations!AJ1183*(1-Operations!AJ1184)*Operations!AJ1157</f>
        <v>6.16640591162106</v>
      </c>
      <c r="AK1186" s="20" t="n">
        <f aca="false">Operations!AK1183*(1-Operations!AK1184)*Operations!AK1157</f>
        <v>6.22480430751853</v>
      </c>
      <c r="AL1186" s="20" t="n">
        <f aca="false">Operations!AL1183*(1-Operations!AL1184)*Operations!AL1157</f>
        <v>6.28319308972384</v>
      </c>
      <c r="AM1186" s="20" t="n">
        <f aca="false">Operations!AM1183*(1-Operations!AM1184)*Operations!AM1157</f>
        <v>6.34146219832788</v>
      </c>
      <c r="AN1186" s="20" t="n">
        <f aca="false">Operations!AN1183*(1-Operations!AN1184)*Operations!AN1157</f>
        <v>6.39950021642691</v>
      </c>
      <c r="AO1186" s="20" t="n">
        <f aca="false">Operations!AO1183*(1-Operations!AO1184)*Operations!AO1157</f>
        <v>6.45719432482902</v>
      </c>
      <c r="AP1186" s="20" t="n">
        <f aca="false">Operations!AP1183*(1-Operations!AP1184)*Operations!AP1157</f>
        <v>6.51443025570482</v>
      </c>
      <c r="AQ1186" s="20" t="n">
        <f aca="false">Operations!AQ1183*(1-Operations!AQ1184)*Operations!AQ1157</f>
        <v>6.57247920832073</v>
      </c>
      <c r="AR1186" s="20" t="n">
        <f aca="false">Operations!AR1183*(1-Operations!AR1184)*Operations!AR1157</f>
        <v>6.62982581529555</v>
      </c>
      <c r="AS1186" s="20" t="n">
        <f aca="false">Operations!AS1183*(1-Operations!AS1184)*Operations!AS1157</f>
        <v>6.68635124040054</v>
      </c>
      <c r="AT1186" s="20" t="n">
        <f aca="false">Operations!AT1183*(1-Operations!AT1184)*Operations!AT1157</f>
        <v>6.7433053880044</v>
      </c>
      <c r="AU1186" s="20" t="n">
        <f aca="false">Operations!AU1183*(1-Operations!AU1184)*Operations!AU1157</f>
        <v>-4.57048533600244</v>
      </c>
    </row>
    <row r="1187" customFormat="false" ht="15" hidden="false" customHeight="false" outlineLevel="0" collapsed="false">
      <c r="D1187" s="0" t="s">
        <v>790</v>
      </c>
      <c r="E1187" s="0" t="s">
        <v>47</v>
      </c>
      <c r="J1187" s="20" t="n">
        <f aca="false">Operations!J1183*Operations!J1185*Operations!J1157</f>
        <v>0</v>
      </c>
      <c r="K1187" s="20" t="n">
        <f aca="false">Operations!K1183*Operations!K1185*Operations!K1157</f>
        <v>0</v>
      </c>
      <c r="L1187" s="20" t="n">
        <f aca="false">Operations!L1183*Operations!L1185*Operations!L1157</f>
        <v>0.130626086719423</v>
      </c>
      <c r="M1187" s="20" t="n">
        <f aca="false">Operations!M1183*Operations!M1185*Operations!M1157</f>
        <v>6.76625164050142</v>
      </c>
      <c r="N1187" s="20" t="n">
        <f aca="false">Operations!N1183*Operations!N1185*Operations!N1157</f>
        <v>6.90630916932169</v>
      </c>
      <c r="O1187" s="20" t="n">
        <f aca="false">Operations!O1183*Operations!O1185*Operations!O1157</f>
        <v>6.90173705350052</v>
      </c>
      <c r="P1187" s="20" t="n">
        <f aca="false">Operations!P1183*Operations!P1185*Operations!P1157</f>
        <v>6.8346499050196</v>
      </c>
      <c r="Q1187" s="20" t="n">
        <f aca="false">Operations!Q1183*Operations!Q1185*Operations!Q1157</f>
        <v>6.73286087682475</v>
      </c>
      <c r="R1187" s="20" t="n">
        <f aca="false">Operations!R1183*Operations!R1185*Operations!R1157</f>
        <v>6.63104278811355</v>
      </c>
      <c r="S1187" s="20" t="n">
        <f aca="false">Operations!S1183*Operations!S1185*Operations!S1157</f>
        <v>6.50559058366775</v>
      </c>
      <c r="T1187" s="20" t="n">
        <f aca="false">Operations!T1183*Operations!T1185*Operations!T1157</f>
        <v>6.37710167036398</v>
      </c>
      <c r="U1187" s="20" t="n">
        <f aca="false">Operations!U1183*Operations!U1185*Operations!U1157</f>
        <v>6.24551979308815</v>
      </c>
      <c r="V1187" s="20" t="n">
        <f aca="false">Operations!V1183*Operations!V1185*Operations!V1157</f>
        <v>6.11079128221101</v>
      </c>
      <c r="W1187" s="20" t="n">
        <f aca="false">Operations!W1183*Operations!W1185*Operations!W1157</f>
        <v>5.77410692564289</v>
      </c>
      <c r="X1187" s="20" t="n">
        <f aca="false">Operations!X1183*Operations!X1185*Operations!X1157</f>
        <v>5.58301120050444</v>
      </c>
      <c r="Y1187" s="20" t="n">
        <f aca="false">Operations!Y1183*Operations!Y1185*Operations!Y1157</f>
        <v>5.52829360714845</v>
      </c>
      <c r="Z1187" s="20" t="n">
        <f aca="false">Operations!Z1183*Operations!Z1185*Operations!Z1157</f>
        <v>5.58591993716949</v>
      </c>
      <c r="AA1187" s="20" t="n">
        <f aca="false">Operations!AA1183*Operations!AA1185*Operations!AA1157</f>
        <v>5.64314298506498</v>
      </c>
      <c r="AB1187" s="20" t="n">
        <f aca="false">Operations!AB1183*Operations!AB1185*Operations!AB1157</f>
        <v>5.70135584339039</v>
      </c>
      <c r="AC1187" s="20" t="n">
        <f aca="false">Operations!AC1183*Operations!AC1185*Operations!AC1157</f>
        <v>5.75899294579623</v>
      </c>
      <c r="AD1187" s="20" t="n">
        <f aca="false">Operations!AD1183*Operations!AD1185*Operations!AD1157</f>
        <v>5.81743353176826</v>
      </c>
      <c r="AE1187" s="20" t="n">
        <f aca="false">Operations!AE1183*Operations!AE1185*Operations!AE1157</f>
        <v>5.87512172549046</v>
      </c>
      <c r="AF1187" s="20" t="n">
        <f aca="false">Operations!AF1183*Operations!AF1185*Operations!AF1157</f>
        <v>5.93342286541848</v>
      </c>
      <c r="AG1187" s="20" t="n">
        <f aca="false">Operations!AG1183*Operations!AG1185*Operations!AG1157</f>
        <v>5.99223420848546</v>
      </c>
      <c r="AH1187" s="20" t="n">
        <f aca="false">Operations!AH1183*Operations!AH1185*Operations!AH1157</f>
        <v>6.05001399799215</v>
      </c>
      <c r="AI1187" s="20" t="n">
        <f aca="false">Operations!AI1183*Operations!AI1185*Operations!AI1157</f>
        <v>6.10810664920978</v>
      </c>
      <c r="AJ1187" s="20" t="n">
        <f aca="false">Operations!AJ1183*Operations!AJ1185*Operations!AJ1157</f>
        <v>6.16640591162106</v>
      </c>
      <c r="AK1187" s="20" t="n">
        <f aca="false">Operations!AK1183*Operations!AK1185*Operations!AK1157</f>
        <v>6.22480430751853</v>
      </c>
      <c r="AL1187" s="20" t="n">
        <f aca="false">Operations!AL1183*Operations!AL1185*Operations!AL1157</f>
        <v>6.28319308972384</v>
      </c>
      <c r="AM1187" s="20" t="n">
        <f aca="false">Operations!AM1183*Operations!AM1185*Operations!AM1157</f>
        <v>6.34146219832788</v>
      </c>
      <c r="AN1187" s="20" t="n">
        <f aca="false">Operations!AN1183*Operations!AN1185*Operations!AN1157</f>
        <v>6.39950021642691</v>
      </c>
      <c r="AO1187" s="20" t="n">
        <f aca="false">Operations!AO1183*Operations!AO1185*Operations!AO1157</f>
        <v>6.45719432482902</v>
      </c>
      <c r="AP1187" s="20" t="n">
        <f aca="false">Operations!AP1183*Operations!AP1185*Operations!AP1157</f>
        <v>6.51443025570482</v>
      </c>
      <c r="AQ1187" s="20" t="n">
        <f aca="false">Operations!AQ1183*Operations!AQ1185*Operations!AQ1157</f>
        <v>6.57247920832073</v>
      </c>
      <c r="AR1187" s="20" t="n">
        <f aca="false">Operations!AR1183*Operations!AR1185*Operations!AR1157</f>
        <v>6.62982581529555</v>
      </c>
      <c r="AS1187" s="20" t="n">
        <f aca="false">Operations!AS1183*Operations!AS1185*Operations!AS1157</f>
        <v>6.68635124040054</v>
      </c>
      <c r="AT1187" s="20" t="n">
        <f aca="false">Operations!AT1183*Operations!AT1185*Operations!AT1157</f>
        <v>6.7433053880044</v>
      </c>
      <c r="AU1187" s="20" t="n">
        <f aca="false">Operations!AU1183*Operations!AU1185*Operations!AU1157</f>
        <v>-4.57048533600244</v>
      </c>
    </row>
    <row r="1188" customFormat="false" ht="15" hidden="false" customHeight="false" outlineLevel="0" collapsed="false">
      <c r="D1188" s="0" t="s">
        <v>791</v>
      </c>
      <c r="E1188" s="0" t="s">
        <v>47</v>
      </c>
      <c r="J1188" s="20" t="n">
        <f aca="false">Operations!J1186-Inputs!$F$248/100*Operations!J1187</f>
        <v>0</v>
      </c>
      <c r="K1188" s="20" t="n">
        <f aca="false">Operations!K1186-Inputs!$F$248/100*Operations!K1187</f>
        <v>0</v>
      </c>
      <c r="L1188" s="20" t="n">
        <f aca="false">Operations!L1186-Inputs!$F$248/100*Operations!L1187</f>
        <v>0.103194608508344</v>
      </c>
      <c r="M1188" s="20" t="n">
        <f aca="false">Operations!M1186-Inputs!$F$248/100*Operations!M1187</f>
        <v>5.34533879599612</v>
      </c>
      <c r="N1188" s="20" t="n">
        <f aca="false">Operations!N1186-Inputs!$F$248/100*Operations!N1187</f>
        <v>5.45598424376413</v>
      </c>
      <c r="O1188" s="20" t="n">
        <f aca="false">Operations!O1186-Inputs!$F$248/100*Operations!O1187</f>
        <v>5.45237227226541</v>
      </c>
      <c r="P1188" s="20" t="n">
        <f aca="false">Operations!P1186-Inputs!$F$248/100*Operations!P1187</f>
        <v>5.39937342496549</v>
      </c>
      <c r="Q1188" s="20" t="n">
        <f aca="false">Operations!Q1186-Inputs!$F$248/100*Operations!Q1187</f>
        <v>5.31896009269155</v>
      </c>
      <c r="R1188" s="20" t="n">
        <f aca="false">Operations!R1186-Inputs!$F$248/100*Operations!R1187</f>
        <v>5.23852380260971</v>
      </c>
      <c r="S1188" s="20" t="n">
        <f aca="false">Operations!S1186-Inputs!$F$248/100*Operations!S1187</f>
        <v>5.13941656109752</v>
      </c>
      <c r="T1188" s="20" t="n">
        <f aca="false">Operations!T1186-Inputs!$F$248/100*Operations!T1187</f>
        <v>5.03791031958755</v>
      </c>
      <c r="U1188" s="20" t="n">
        <f aca="false">Operations!U1186-Inputs!$F$248/100*Operations!U1187</f>
        <v>4.93396063653964</v>
      </c>
      <c r="V1188" s="20" t="n">
        <f aca="false">Operations!V1186-Inputs!$F$248/100*Operations!V1187</f>
        <v>4.82752511294669</v>
      </c>
      <c r="W1188" s="20" t="n">
        <f aca="false">Operations!W1186-Inputs!$F$248/100*Operations!W1187</f>
        <v>4.56154447125788</v>
      </c>
      <c r="X1188" s="20" t="n">
        <f aca="false">Operations!X1186-Inputs!$F$248/100*Operations!X1187</f>
        <v>4.4105788483985</v>
      </c>
      <c r="Y1188" s="20" t="n">
        <f aca="false">Operations!Y1186-Inputs!$F$248/100*Operations!Y1187</f>
        <v>4.36735194964728</v>
      </c>
      <c r="Z1188" s="20" t="n">
        <f aca="false">Operations!Z1186-Inputs!$F$248/100*Operations!Z1187</f>
        <v>4.4128767503639</v>
      </c>
      <c r="AA1188" s="20" t="n">
        <f aca="false">Operations!AA1186-Inputs!$F$248/100*Operations!AA1187</f>
        <v>4.45808295820134</v>
      </c>
      <c r="AB1188" s="20" t="n">
        <f aca="false">Operations!AB1186-Inputs!$F$248/100*Operations!AB1187</f>
        <v>4.50407111627841</v>
      </c>
      <c r="AC1188" s="20" t="n">
        <f aca="false">Operations!AC1186-Inputs!$F$248/100*Operations!AC1187</f>
        <v>4.54960442717902</v>
      </c>
      <c r="AD1188" s="20" t="n">
        <f aca="false">Operations!AD1186-Inputs!$F$248/100*Operations!AD1187</f>
        <v>4.59577249009692</v>
      </c>
      <c r="AE1188" s="20" t="n">
        <f aca="false">Operations!AE1186-Inputs!$F$248/100*Operations!AE1187</f>
        <v>4.64134616313746</v>
      </c>
      <c r="AF1188" s="20" t="n">
        <f aca="false">Operations!AF1186-Inputs!$F$248/100*Operations!AF1187</f>
        <v>4.6874040636806</v>
      </c>
      <c r="AG1188" s="20" t="n">
        <f aca="false">Operations!AG1186-Inputs!$F$248/100*Operations!AG1187</f>
        <v>4.73386502470352</v>
      </c>
      <c r="AH1188" s="20" t="n">
        <f aca="false">Operations!AH1186-Inputs!$F$248/100*Operations!AH1187</f>
        <v>4.7795110584138</v>
      </c>
      <c r="AI1188" s="20" t="n">
        <f aca="false">Operations!AI1186-Inputs!$F$248/100*Operations!AI1187</f>
        <v>4.82540425287573</v>
      </c>
      <c r="AJ1188" s="20" t="n">
        <f aca="false">Operations!AJ1186-Inputs!$F$248/100*Operations!AJ1187</f>
        <v>4.87146067018064</v>
      </c>
      <c r="AK1188" s="20" t="n">
        <f aca="false">Operations!AK1186-Inputs!$F$248/100*Operations!AK1187</f>
        <v>4.91759540293964</v>
      </c>
      <c r="AL1188" s="20" t="n">
        <f aca="false">Operations!AL1186-Inputs!$F$248/100*Operations!AL1187</f>
        <v>4.96372254088184</v>
      </c>
      <c r="AM1188" s="20" t="n">
        <f aca="false">Operations!AM1186-Inputs!$F$248/100*Operations!AM1187</f>
        <v>5.00975513667903</v>
      </c>
      <c r="AN1188" s="20" t="n">
        <f aca="false">Operations!AN1186-Inputs!$F$248/100*Operations!AN1187</f>
        <v>5.05560517097726</v>
      </c>
      <c r="AO1188" s="20" t="n">
        <f aca="false">Operations!AO1186-Inputs!$F$248/100*Operations!AO1187</f>
        <v>5.10118351661492</v>
      </c>
      <c r="AP1188" s="20" t="n">
        <f aca="false">Operations!AP1186-Inputs!$F$248/100*Operations!AP1187</f>
        <v>5.14639990200681</v>
      </c>
      <c r="AQ1188" s="20" t="n">
        <f aca="false">Operations!AQ1186-Inputs!$F$248/100*Operations!AQ1187</f>
        <v>5.19225857457338</v>
      </c>
      <c r="AR1188" s="20" t="n">
        <f aca="false">Operations!AR1186-Inputs!$F$248/100*Operations!AR1187</f>
        <v>5.23756239408348</v>
      </c>
      <c r="AS1188" s="20" t="n">
        <f aca="false">Operations!AS1186-Inputs!$F$248/100*Operations!AS1187</f>
        <v>5.28221747991643</v>
      </c>
      <c r="AT1188" s="20" t="n">
        <f aca="false">Operations!AT1186-Inputs!$F$248/100*Operations!AT1187</f>
        <v>5.32721125652348</v>
      </c>
      <c r="AU1188" s="20" t="n">
        <f aca="false">Operations!AU1186-Inputs!$F$248/100*Operations!AU1187</f>
        <v>-3.61068341544193</v>
      </c>
    </row>
    <row r="1189" customFormat="false" ht="15" hidden="false" customHeight="false" outlineLevel="0" collapsed="false">
      <c r="D1189" s="0" t="s">
        <v>792</v>
      </c>
      <c r="E1189" s="0" t="s">
        <v>458</v>
      </c>
      <c r="J1189" s="14" t="n">
        <f aca="false">IF(Operations!J1174=0,0,Operations!J1171/Operations!J1174)</f>
        <v>0</v>
      </c>
      <c r="K1189" s="14" t="n">
        <f aca="false">IF(Operations!K1174=0,0,Operations!K1171/Operations!K1174)</f>
        <v>0</v>
      </c>
      <c r="L1189" s="14" t="n">
        <f aca="false">IF(Operations!L1174=0,0,Operations!L1171/Operations!L1174)</f>
        <v>0</v>
      </c>
      <c r="M1189" s="14" t="n">
        <f aca="false">IF(Operations!M1174=0,0,Operations!M1171/Operations!M1174)</f>
        <v>0</v>
      </c>
      <c r="N1189" s="14" t="n">
        <f aca="false">IF(Operations!N1174=0,0,Operations!N1171/Operations!N1174)</f>
        <v>0</v>
      </c>
      <c r="O1189" s="14" t="n">
        <f aca="false">IF(Operations!O1174=0,0,Operations!O1171/Operations!O1174)</f>
        <v>0</v>
      </c>
      <c r="P1189" s="14" t="n">
        <f aca="false">IF(Operations!P1174=0,0,Operations!P1171/Operations!P1174)</f>
        <v>0</v>
      </c>
      <c r="Q1189" s="14" t="n">
        <f aca="false">IF(Operations!Q1174=0,0,Operations!Q1171/Operations!Q1174)</f>
        <v>0</v>
      </c>
      <c r="R1189" s="14" t="n">
        <f aca="false">IF(Operations!R1174=0,0,Operations!R1171/Operations!R1174)</f>
        <v>0</v>
      </c>
      <c r="S1189" s="14" t="n">
        <f aca="false">IF(Operations!S1174=0,0,Operations!S1171/Operations!S1174)</f>
        <v>0</v>
      </c>
      <c r="T1189" s="14" t="n">
        <f aca="false">IF(Operations!T1174=0,0,Operations!T1171/Operations!T1174)</f>
        <v>0</v>
      </c>
      <c r="U1189" s="14" t="n">
        <f aca="false">IF(Operations!U1174=0,0,Operations!U1171/Operations!U1174)</f>
        <v>0</v>
      </c>
      <c r="V1189" s="14" t="n">
        <f aca="false">IF(Operations!V1174=0,0,Operations!V1171/Operations!V1174)</f>
        <v>0</v>
      </c>
      <c r="W1189" s="14" t="n">
        <f aca="false">IF(Operations!W1174=0,0,Operations!W1171/Operations!W1174)</f>
        <v>0</v>
      </c>
      <c r="X1189" s="14" t="n">
        <f aca="false">IF(Operations!X1174=0,0,Operations!X1171/Operations!X1174)</f>
        <v>0</v>
      </c>
      <c r="Y1189" s="14" t="n">
        <f aca="false">IF(Operations!Y1174=0,0,Operations!Y1171/Operations!Y1174)</f>
        <v>0</v>
      </c>
      <c r="Z1189" s="14" t="n">
        <f aca="false">IF(Operations!Z1174=0,0,Operations!Z1171/Operations!Z1174)</f>
        <v>0</v>
      </c>
      <c r="AA1189" s="14" t="n">
        <f aca="false">IF(Operations!AA1174=0,0,Operations!AA1171/Operations!AA1174)</f>
        <v>0</v>
      </c>
      <c r="AB1189" s="14" t="n">
        <f aca="false">IF(Operations!AB1174=0,0,Operations!AB1171/Operations!AB1174)</f>
        <v>0</v>
      </c>
      <c r="AC1189" s="14" t="n">
        <f aca="false">IF(Operations!AC1174=0,0,Operations!AC1171/Operations!AC1174)</f>
        <v>0</v>
      </c>
      <c r="AD1189" s="14" t="n">
        <f aca="false">IF(Operations!AD1174=0,0,Operations!AD1171/Operations!AD1174)</f>
        <v>0</v>
      </c>
      <c r="AE1189" s="14" t="n">
        <f aca="false">IF(Operations!AE1174=0,0,Operations!AE1171/Operations!AE1174)</f>
        <v>0</v>
      </c>
      <c r="AF1189" s="14" t="n">
        <f aca="false">IF(Operations!AF1174=0,0,Operations!AF1171/Operations!AF1174)</f>
        <v>0</v>
      </c>
      <c r="AG1189" s="14" t="n">
        <f aca="false">IF(Operations!AG1174=0,0,Operations!AG1171/Operations!AG1174)</f>
        <v>0</v>
      </c>
      <c r="AH1189" s="14" t="n">
        <f aca="false">IF(Operations!AH1174=0,0,Operations!AH1171/Operations!AH1174)</f>
        <v>0</v>
      </c>
      <c r="AI1189" s="14" t="n">
        <f aca="false">IF(Operations!AI1174=0,0,Operations!AI1171/Operations!AI1174)</f>
        <v>0</v>
      </c>
      <c r="AJ1189" s="14" t="n">
        <f aca="false">IF(Operations!AJ1174=0,0,Operations!AJ1171/Operations!AJ1174)</f>
        <v>0</v>
      </c>
      <c r="AK1189" s="14" t="n">
        <f aca="false">IF(Operations!AK1174=0,0,Operations!AK1171/Operations!AK1174)</f>
        <v>0</v>
      </c>
      <c r="AL1189" s="14" t="n">
        <f aca="false">IF(Operations!AL1174=0,0,Operations!AL1171/Operations!AL1174)</f>
        <v>0</v>
      </c>
      <c r="AM1189" s="14" t="n">
        <f aca="false">IF(Operations!AM1174=0,0,Operations!AM1171/Operations!AM1174)</f>
        <v>0</v>
      </c>
      <c r="AN1189" s="14" t="n">
        <f aca="false">IF(Operations!AN1174=0,0,Operations!AN1171/Operations!AN1174)</f>
        <v>0</v>
      </c>
      <c r="AO1189" s="14" t="n">
        <f aca="false">IF(Operations!AO1174=0,0,Operations!AO1171/Operations!AO1174)</f>
        <v>0</v>
      </c>
      <c r="AP1189" s="14" t="n">
        <f aca="false">IF(Operations!AP1174=0,0,Operations!AP1171/Operations!AP1174)</f>
        <v>0</v>
      </c>
      <c r="AQ1189" s="14" t="n">
        <f aca="false">IF(Operations!AQ1174=0,0,Operations!AQ1171/Operations!AQ1174)</f>
        <v>0</v>
      </c>
      <c r="AR1189" s="14" t="n">
        <f aca="false">IF(Operations!AR1174=0,0,Operations!AR1171/Operations!AR1174)</f>
        <v>0</v>
      </c>
      <c r="AS1189" s="14" t="n">
        <f aca="false">IF(Operations!AS1174=0,0,Operations!AS1171/Operations!AS1174)</f>
        <v>0</v>
      </c>
      <c r="AT1189" s="14" t="n">
        <f aca="false">IF(Operations!AT1174=0,0,Operations!AT1171/Operations!AT1174)</f>
        <v>0</v>
      </c>
      <c r="AU1189" s="14" t="n">
        <f aca="false">IF(Operations!AU1174=0,0,Operations!AU1171/Operations!AU1174)</f>
        <v>0</v>
      </c>
    </row>
    <row r="1190" customFormat="false" ht="15" hidden="false" customHeight="false" outlineLevel="0" collapsed="false">
      <c r="D1190" s="0" t="s">
        <v>793</v>
      </c>
      <c r="E1190" s="0" t="s">
        <v>458</v>
      </c>
      <c r="J1190" s="14" t="n">
        <f aca="false">IF(Operations!J1174=0,0,Operations!J1172/Operations!J1174)</f>
        <v>0</v>
      </c>
      <c r="K1190" s="14" t="n">
        <f aca="false">IF(Operations!K1174=0,0,Operations!K1172/Operations!K1174)</f>
        <v>0</v>
      </c>
      <c r="L1190" s="14" t="n">
        <f aca="false">IF(Operations!L1174=0,0,Operations!L1172/Operations!L1174)</f>
        <v>0</v>
      </c>
      <c r="M1190" s="14" t="n">
        <f aca="false">IF(Operations!M1174=0,0,Operations!M1172/Operations!M1174)</f>
        <v>0.728163224829144</v>
      </c>
      <c r="N1190" s="14" t="n">
        <f aca="false">IF(Operations!N1174=0,0,Operations!N1172/Operations!N1174)</f>
        <v>0.712589682017211</v>
      </c>
      <c r="O1190" s="14" t="n">
        <f aca="false">IF(Operations!O1174=0,0,Operations!O1172/Operations!O1174)</f>
        <v>0.708161009792384</v>
      </c>
      <c r="P1190" s="14" t="n">
        <f aca="false">IF(Operations!P1174=0,0,Operations!P1172/Operations!P1174)</f>
        <v>0.70829491838219</v>
      </c>
      <c r="Q1190" s="14" t="n">
        <f aca="false">IF(Operations!Q1174=0,0,Operations!Q1172/Operations!Q1174)</f>
        <v>0.710901016510282</v>
      </c>
      <c r="R1190" s="14" t="n">
        <f aca="false">IF(Operations!R1174=0,0,Operations!R1172/Operations!R1174)</f>
        <v>0.713402148425438</v>
      </c>
      <c r="S1190" s="14" t="n">
        <f aca="false">IF(Operations!S1174=0,0,Operations!S1172/Operations!S1174)</f>
        <v>0.717592442917702</v>
      </c>
      <c r="T1190" s="14" t="n">
        <f aca="false">IF(Operations!T1174=0,0,Operations!T1172/Operations!T1174)</f>
        <v>0.721931185321589</v>
      </c>
      <c r="U1190" s="14" t="n">
        <f aca="false">IF(Operations!U1174=0,0,Operations!U1172/Operations!U1174)</f>
        <v>0.72642384450439</v>
      </c>
      <c r="V1190" s="14" t="n">
        <f aca="false">IF(Operations!V1174=0,0,Operations!V1172/Operations!V1174)</f>
        <v>0.731075885555929</v>
      </c>
      <c r="W1190" s="14" t="n">
        <f aca="false">IF(Operations!W1174=0,0,Operations!W1172/Operations!W1174)</f>
        <v>0</v>
      </c>
      <c r="X1190" s="14" t="n">
        <f aca="false">IF(Operations!X1174=0,0,Operations!X1172/Operations!X1174)</f>
        <v>0</v>
      </c>
      <c r="Y1190" s="14" t="n">
        <f aca="false">IF(Operations!Y1174=0,0,Operations!Y1172/Operations!Y1174)</f>
        <v>0</v>
      </c>
      <c r="Z1190" s="14" t="n">
        <f aca="false">IF(Operations!Z1174=0,0,Operations!Z1172/Operations!Z1174)</f>
        <v>0</v>
      </c>
      <c r="AA1190" s="14" t="n">
        <f aca="false">IF(Operations!AA1174=0,0,Operations!AA1172/Operations!AA1174)</f>
        <v>0</v>
      </c>
      <c r="AB1190" s="14" t="n">
        <f aca="false">IF(Operations!AB1174=0,0,Operations!AB1172/Operations!AB1174)</f>
        <v>0</v>
      </c>
      <c r="AC1190" s="14" t="n">
        <f aca="false">IF(Operations!AC1174=0,0,Operations!AC1172/Operations!AC1174)</f>
        <v>0</v>
      </c>
      <c r="AD1190" s="14" t="n">
        <f aca="false">IF(Operations!AD1174=0,0,Operations!AD1172/Operations!AD1174)</f>
        <v>0</v>
      </c>
      <c r="AE1190" s="14" t="n">
        <f aca="false">IF(Operations!AE1174=0,0,Operations!AE1172/Operations!AE1174)</f>
        <v>0</v>
      </c>
      <c r="AF1190" s="14" t="n">
        <f aca="false">IF(Operations!AF1174=0,0,Operations!AF1172/Operations!AF1174)</f>
        <v>0</v>
      </c>
      <c r="AG1190" s="14" t="n">
        <f aca="false">IF(Operations!AG1174=0,0,Operations!AG1172/Operations!AG1174)</f>
        <v>0</v>
      </c>
      <c r="AH1190" s="14" t="n">
        <f aca="false">IF(Operations!AH1174=0,0,Operations!AH1172/Operations!AH1174)</f>
        <v>0</v>
      </c>
      <c r="AI1190" s="14" t="n">
        <f aca="false">IF(Operations!AI1174=0,0,Operations!AI1172/Operations!AI1174)</f>
        <v>0</v>
      </c>
      <c r="AJ1190" s="14" t="n">
        <f aca="false">IF(Operations!AJ1174=0,0,Operations!AJ1172/Operations!AJ1174)</f>
        <v>0</v>
      </c>
      <c r="AK1190" s="14" t="n">
        <f aca="false">IF(Operations!AK1174=0,0,Operations!AK1172/Operations!AK1174)</f>
        <v>0</v>
      </c>
      <c r="AL1190" s="14" t="n">
        <f aca="false">IF(Operations!AL1174=0,0,Operations!AL1172/Operations!AL1174)</f>
        <v>0</v>
      </c>
      <c r="AM1190" s="14" t="n">
        <f aca="false">IF(Operations!AM1174=0,0,Operations!AM1172/Operations!AM1174)</f>
        <v>0</v>
      </c>
      <c r="AN1190" s="14" t="n">
        <f aca="false">IF(Operations!AN1174=0,0,Operations!AN1172/Operations!AN1174)</f>
        <v>0</v>
      </c>
      <c r="AO1190" s="14" t="n">
        <f aca="false">IF(Operations!AO1174=0,0,Operations!AO1172/Operations!AO1174)</f>
        <v>0</v>
      </c>
      <c r="AP1190" s="14" t="n">
        <f aca="false">IF(Operations!AP1174=0,0,Operations!AP1172/Operations!AP1174)</f>
        <v>0</v>
      </c>
      <c r="AQ1190" s="14" t="n">
        <f aca="false">IF(Operations!AQ1174=0,0,Operations!AQ1172/Operations!AQ1174)</f>
        <v>0</v>
      </c>
      <c r="AR1190" s="14" t="n">
        <f aca="false">IF(Operations!AR1174=0,0,Operations!AR1172/Operations!AR1174)</f>
        <v>0</v>
      </c>
      <c r="AS1190" s="14" t="n">
        <f aca="false">IF(Operations!AS1174=0,0,Operations!AS1172/Operations!AS1174)</f>
        <v>0</v>
      </c>
      <c r="AT1190" s="14" t="n">
        <f aca="false">IF(Operations!AT1174=0,0,Operations!AT1172/Operations!AT1174)</f>
        <v>0</v>
      </c>
      <c r="AU1190" s="14" t="n">
        <f aca="false">IF(Operations!AU1174=0,0,Operations!AU1172/Operations!AU1174)</f>
        <v>0</v>
      </c>
    </row>
    <row r="1191" customFormat="false" ht="15" hidden="false" customHeight="false" outlineLevel="0" collapsed="false">
      <c r="D1191" s="0" t="s">
        <v>794</v>
      </c>
      <c r="E1191" s="0" t="s">
        <v>458</v>
      </c>
      <c r="J1191" s="14" t="n">
        <f aca="false">1-Operations!J1189-Operations!J1190</f>
        <v>1</v>
      </c>
      <c r="K1191" s="14" t="n">
        <f aca="false">1-Operations!K1189-Operations!K1190</f>
        <v>1</v>
      </c>
      <c r="L1191" s="14" t="n">
        <f aca="false">1-Operations!L1189-Operations!L1190</f>
        <v>1</v>
      </c>
      <c r="M1191" s="14" t="n">
        <f aca="false">1-Operations!M1189-Operations!M1190</f>
        <v>0.271836775170856</v>
      </c>
      <c r="N1191" s="14" t="n">
        <f aca="false">1-Operations!N1189-Operations!N1190</f>
        <v>0.287410317982789</v>
      </c>
      <c r="O1191" s="14" t="n">
        <f aca="false">1-Operations!O1189-Operations!O1190</f>
        <v>0.291838990207616</v>
      </c>
      <c r="P1191" s="14" t="n">
        <f aca="false">1-Operations!P1189-Operations!P1190</f>
        <v>0.29170508161781</v>
      </c>
      <c r="Q1191" s="14" t="n">
        <f aca="false">1-Operations!Q1189-Operations!Q1190</f>
        <v>0.289098983489718</v>
      </c>
      <c r="R1191" s="14" t="n">
        <f aca="false">1-Operations!R1189-Operations!R1190</f>
        <v>0.286597851574562</v>
      </c>
      <c r="S1191" s="14" t="n">
        <f aca="false">1-Operations!S1189-Operations!S1190</f>
        <v>0.282407557082298</v>
      </c>
      <c r="T1191" s="14" t="n">
        <f aca="false">1-Operations!T1189-Operations!T1190</f>
        <v>0.278068814678411</v>
      </c>
      <c r="U1191" s="14" t="n">
        <f aca="false">1-Operations!U1189-Operations!U1190</f>
        <v>0.27357615549561</v>
      </c>
      <c r="V1191" s="14" t="n">
        <f aca="false">1-Operations!V1189-Operations!V1190</f>
        <v>0.268924114444071</v>
      </c>
      <c r="W1191" s="14" t="n">
        <f aca="false">1-Operations!W1189-Operations!W1190</f>
        <v>1</v>
      </c>
      <c r="X1191" s="14" t="n">
        <f aca="false">1-Operations!X1189-Operations!X1190</f>
        <v>1</v>
      </c>
      <c r="Y1191" s="14" t="n">
        <f aca="false">1-Operations!Y1189-Operations!Y1190</f>
        <v>1</v>
      </c>
      <c r="Z1191" s="14" t="n">
        <f aca="false">1-Operations!Z1189-Operations!Z1190</f>
        <v>1</v>
      </c>
      <c r="AA1191" s="14" t="n">
        <f aca="false">1-Operations!AA1189-Operations!AA1190</f>
        <v>1</v>
      </c>
      <c r="AB1191" s="14" t="n">
        <f aca="false">1-Operations!AB1189-Operations!AB1190</f>
        <v>1</v>
      </c>
      <c r="AC1191" s="14" t="n">
        <f aca="false">1-Operations!AC1189-Operations!AC1190</f>
        <v>1</v>
      </c>
      <c r="AD1191" s="14" t="n">
        <f aca="false">1-Operations!AD1189-Operations!AD1190</f>
        <v>1</v>
      </c>
      <c r="AE1191" s="14" t="n">
        <f aca="false">1-Operations!AE1189-Operations!AE1190</f>
        <v>1</v>
      </c>
      <c r="AF1191" s="14" t="n">
        <f aca="false">1-Operations!AF1189-Operations!AF1190</f>
        <v>1</v>
      </c>
      <c r="AG1191" s="14" t="n">
        <f aca="false">1-Operations!AG1189-Operations!AG1190</f>
        <v>1</v>
      </c>
      <c r="AH1191" s="14" t="n">
        <f aca="false">1-Operations!AH1189-Operations!AH1190</f>
        <v>1</v>
      </c>
      <c r="AI1191" s="14" t="n">
        <f aca="false">1-Operations!AI1189-Operations!AI1190</f>
        <v>1</v>
      </c>
      <c r="AJ1191" s="14" t="n">
        <f aca="false">1-Operations!AJ1189-Operations!AJ1190</f>
        <v>1</v>
      </c>
      <c r="AK1191" s="14" t="n">
        <f aca="false">1-Operations!AK1189-Operations!AK1190</f>
        <v>1</v>
      </c>
      <c r="AL1191" s="14" t="n">
        <f aca="false">1-Operations!AL1189-Operations!AL1190</f>
        <v>1</v>
      </c>
      <c r="AM1191" s="14" t="n">
        <f aca="false">1-Operations!AM1189-Operations!AM1190</f>
        <v>1</v>
      </c>
      <c r="AN1191" s="14" t="n">
        <f aca="false">1-Operations!AN1189-Operations!AN1190</f>
        <v>1</v>
      </c>
      <c r="AO1191" s="14" t="n">
        <f aca="false">1-Operations!AO1189-Operations!AO1190</f>
        <v>1</v>
      </c>
      <c r="AP1191" s="14" t="n">
        <f aca="false">1-Operations!AP1189-Operations!AP1190</f>
        <v>1</v>
      </c>
      <c r="AQ1191" s="14" t="n">
        <f aca="false">1-Operations!AQ1189-Operations!AQ1190</f>
        <v>1</v>
      </c>
      <c r="AR1191" s="14" t="n">
        <f aca="false">1-Operations!AR1189-Operations!AR1190</f>
        <v>1</v>
      </c>
      <c r="AS1191" s="14" t="n">
        <f aca="false">1-Operations!AS1189-Operations!AS1190</f>
        <v>1</v>
      </c>
      <c r="AT1191" s="14" t="n">
        <f aca="false">1-Operations!AT1189-Operations!AT1190</f>
        <v>1</v>
      </c>
      <c r="AU1191" s="14" t="n">
        <f aca="false">1-Operations!AU1189-Operations!AU1190</f>
        <v>1</v>
      </c>
    </row>
    <row r="1192" customFormat="false" ht="15" hidden="false" customHeight="false" outlineLevel="0" collapsed="false">
      <c r="D1192" s="0" t="s">
        <v>795</v>
      </c>
      <c r="E1192" s="0" t="s">
        <v>47</v>
      </c>
      <c r="J1192" s="20" t="n">
        <f aca="false">Operations!J1171*Operations!J1157*(1-Operations!J1184)</f>
        <v>0</v>
      </c>
      <c r="K1192" s="20" t="n">
        <f aca="false">Operations!K1171*Operations!K1157*(1-Operations!K1184)</f>
        <v>0</v>
      </c>
      <c r="L1192" s="20" t="n">
        <f aca="false">Operations!L1171*Operations!L1157*(1-Operations!L1184)</f>
        <v>0</v>
      </c>
      <c r="M1192" s="20" t="n">
        <f aca="false">Operations!M1171*Operations!M1157*(1-Operations!M1184)</f>
        <v>0</v>
      </c>
      <c r="N1192" s="20" t="n">
        <f aca="false">Operations!N1171*Operations!N1157*(1-Operations!N1184)</f>
        <v>0</v>
      </c>
      <c r="O1192" s="20" t="n">
        <f aca="false">Operations!O1171*Operations!O1157*(1-Operations!O1184)</f>
        <v>0</v>
      </c>
      <c r="P1192" s="20" t="n">
        <f aca="false">Operations!P1171*Operations!P1157*(1-Operations!P1184)</f>
        <v>0</v>
      </c>
      <c r="Q1192" s="20" t="n">
        <f aca="false">Operations!Q1171*Operations!Q1157*(1-Operations!Q1184)</f>
        <v>0</v>
      </c>
      <c r="R1192" s="20" t="n">
        <f aca="false">Operations!R1171*Operations!R1157*(1-Operations!R1184)</f>
        <v>0</v>
      </c>
      <c r="S1192" s="20" t="n">
        <f aca="false">Operations!S1171*Operations!S1157*(1-Operations!S1184)</f>
        <v>0</v>
      </c>
      <c r="T1192" s="20" t="n">
        <f aca="false">Operations!T1171*Operations!T1157*(1-Operations!T1184)</f>
        <v>0</v>
      </c>
      <c r="U1192" s="20" t="n">
        <f aca="false">Operations!U1171*Operations!U1157*(1-Operations!U1184)</f>
        <v>0</v>
      </c>
      <c r="V1192" s="20" t="n">
        <f aca="false">Operations!V1171*Operations!V1157*(1-Operations!V1184)</f>
        <v>0</v>
      </c>
      <c r="W1192" s="20" t="n">
        <f aca="false">Operations!W1171*Operations!W1157*(1-Operations!W1184)</f>
        <v>0</v>
      </c>
      <c r="X1192" s="20" t="n">
        <f aca="false">Operations!X1171*Operations!X1157*(1-Operations!X1184)</f>
        <v>0</v>
      </c>
      <c r="Y1192" s="20" t="n">
        <f aca="false">Operations!Y1171*Operations!Y1157*(1-Operations!Y1184)</f>
        <v>0</v>
      </c>
      <c r="Z1192" s="20" t="n">
        <f aca="false">Operations!Z1171*Operations!Z1157*(1-Operations!Z1184)</f>
        <v>0</v>
      </c>
      <c r="AA1192" s="20" t="n">
        <f aca="false">Operations!AA1171*Operations!AA1157*(1-Operations!AA1184)</f>
        <v>0</v>
      </c>
      <c r="AB1192" s="20" t="n">
        <f aca="false">Operations!AB1171*Operations!AB1157*(1-Operations!AB1184)</f>
        <v>0</v>
      </c>
      <c r="AC1192" s="20" t="n">
        <f aca="false">Operations!AC1171*Operations!AC1157*(1-Operations!AC1184)</f>
        <v>0</v>
      </c>
      <c r="AD1192" s="20" t="n">
        <f aca="false">Operations!AD1171*Operations!AD1157*(1-Operations!AD1184)</f>
        <v>0</v>
      </c>
      <c r="AE1192" s="20" t="n">
        <f aca="false">Operations!AE1171*Operations!AE1157*(1-Operations!AE1184)</f>
        <v>0</v>
      </c>
      <c r="AF1192" s="20" t="n">
        <f aca="false">Operations!AF1171*Operations!AF1157*(1-Operations!AF1184)</f>
        <v>0</v>
      </c>
      <c r="AG1192" s="20" t="n">
        <f aca="false">Operations!AG1171*Operations!AG1157*(1-Operations!AG1184)</f>
        <v>0</v>
      </c>
      <c r="AH1192" s="20" t="n">
        <f aca="false">Operations!AH1171*Operations!AH1157*(1-Operations!AH1184)</f>
        <v>0</v>
      </c>
      <c r="AI1192" s="20" t="n">
        <f aca="false">Operations!AI1171*Operations!AI1157*(1-Operations!AI1184)</f>
        <v>0</v>
      </c>
      <c r="AJ1192" s="20" t="n">
        <f aca="false">Operations!AJ1171*Operations!AJ1157*(1-Operations!AJ1184)</f>
        <v>0</v>
      </c>
      <c r="AK1192" s="20" t="n">
        <f aca="false">Operations!AK1171*Operations!AK1157*(1-Operations!AK1184)</f>
        <v>0</v>
      </c>
      <c r="AL1192" s="20" t="n">
        <f aca="false">Operations!AL1171*Operations!AL1157*(1-Operations!AL1184)</f>
        <v>0</v>
      </c>
      <c r="AM1192" s="20" t="n">
        <f aca="false">Operations!AM1171*Operations!AM1157*(1-Operations!AM1184)</f>
        <v>0</v>
      </c>
      <c r="AN1192" s="20" t="n">
        <f aca="false">Operations!AN1171*Operations!AN1157*(1-Operations!AN1184)</f>
        <v>0</v>
      </c>
      <c r="AO1192" s="20" t="n">
        <f aca="false">Operations!AO1171*Operations!AO1157*(1-Operations!AO1184)</f>
        <v>0</v>
      </c>
      <c r="AP1192" s="20" t="n">
        <f aca="false">Operations!AP1171*Operations!AP1157*(1-Operations!AP1184)</f>
        <v>0</v>
      </c>
      <c r="AQ1192" s="20" t="n">
        <f aca="false">Operations!AQ1171*Operations!AQ1157*(1-Operations!AQ1184)</f>
        <v>0</v>
      </c>
      <c r="AR1192" s="20" t="n">
        <f aca="false">Operations!AR1171*Operations!AR1157*(1-Operations!AR1184)</f>
        <v>0</v>
      </c>
      <c r="AS1192" s="20" t="n">
        <f aca="false">Operations!AS1171*Operations!AS1157*(1-Operations!AS1184)</f>
        <v>0</v>
      </c>
      <c r="AT1192" s="20" t="n">
        <f aca="false">Operations!AT1171*Operations!AT1157*(1-Operations!AT1184)</f>
        <v>0</v>
      </c>
      <c r="AU1192" s="20" t="n">
        <f aca="false">Operations!AU1171*Operations!AU1157*(1-Operations!AU1184)</f>
        <v>0</v>
      </c>
    </row>
    <row r="1193" customFormat="false" ht="15" hidden="false" customHeight="false" outlineLevel="0" collapsed="false">
      <c r="D1193" s="0" t="s">
        <v>796</v>
      </c>
      <c r="E1193" s="0" t="s">
        <v>47</v>
      </c>
      <c r="J1193" s="20" t="n">
        <f aca="false">Operations!J1172*Operations!J1157*(1-Operations!J1184)</f>
        <v>0</v>
      </c>
      <c r="K1193" s="20" t="n">
        <f aca="false">Operations!K1172*Operations!K1157*(1-Operations!K1184)</f>
        <v>0</v>
      </c>
      <c r="L1193" s="20" t="n">
        <f aca="false">Operations!L1172*Operations!L1157*(1-Operations!L1184)</f>
        <v>0</v>
      </c>
      <c r="M1193" s="20" t="n">
        <f aca="false">Operations!M1172*Operations!M1157*(1-Operations!M1184)</f>
        <v>6.77249</v>
      </c>
      <c r="N1193" s="20" t="n">
        <f aca="false">Operations!N1172*Operations!N1157*(1-Operations!N1184)</f>
        <v>6.77249</v>
      </c>
      <c r="O1193" s="20" t="n">
        <f aca="false">Operations!O1172*Operations!O1157*(1-Operations!O1184)</f>
        <v>6.77249</v>
      </c>
      <c r="P1193" s="20" t="n">
        <f aca="false">Operations!P1172*Operations!P1157*(1-Operations!P1184)</f>
        <v>6.77249</v>
      </c>
      <c r="Q1193" s="20" t="n">
        <f aca="false">Operations!Q1172*Operations!Q1157*(1-Operations!Q1184)</f>
        <v>6.77249</v>
      </c>
      <c r="R1193" s="20" t="n">
        <f aca="false">Operations!R1172*Operations!R1157*(1-Operations!R1184)</f>
        <v>6.77249</v>
      </c>
      <c r="S1193" s="20" t="n">
        <f aca="false">Operations!S1172*Operations!S1157*(1-Operations!S1184)</f>
        <v>6.77249</v>
      </c>
      <c r="T1193" s="20" t="n">
        <f aca="false">Operations!T1172*Operations!T1157*(1-Operations!T1184)</f>
        <v>6.77249</v>
      </c>
      <c r="U1193" s="20" t="n">
        <f aca="false">Operations!U1172*Operations!U1157*(1-Operations!U1184)</f>
        <v>6.77249</v>
      </c>
      <c r="V1193" s="20" t="n">
        <f aca="false">Operations!V1172*Operations!V1157*(1-Operations!V1184)</f>
        <v>6.77249</v>
      </c>
      <c r="W1193" s="20" t="n">
        <f aca="false">Operations!W1172*Operations!W1157*(1-Operations!W1184)</f>
        <v>0</v>
      </c>
      <c r="X1193" s="20" t="n">
        <f aca="false">Operations!X1172*Operations!X1157*(1-Operations!X1184)</f>
        <v>0</v>
      </c>
      <c r="Y1193" s="20" t="n">
        <f aca="false">Operations!Y1172*Operations!Y1157*(1-Operations!Y1184)</f>
        <v>0</v>
      </c>
      <c r="Z1193" s="20" t="n">
        <f aca="false">Operations!Z1172*Operations!Z1157*(1-Operations!Z1184)</f>
        <v>0</v>
      </c>
      <c r="AA1193" s="20" t="n">
        <f aca="false">Operations!AA1172*Operations!AA1157*(1-Operations!AA1184)</f>
        <v>0</v>
      </c>
      <c r="AB1193" s="20" t="n">
        <f aca="false">Operations!AB1172*Operations!AB1157*(1-Operations!AB1184)</f>
        <v>0</v>
      </c>
      <c r="AC1193" s="20" t="n">
        <f aca="false">Operations!AC1172*Operations!AC1157*(1-Operations!AC1184)</f>
        <v>0</v>
      </c>
      <c r="AD1193" s="20" t="n">
        <f aca="false">Operations!AD1172*Operations!AD1157*(1-Operations!AD1184)</f>
        <v>0</v>
      </c>
      <c r="AE1193" s="20" t="n">
        <f aca="false">Operations!AE1172*Operations!AE1157*(1-Operations!AE1184)</f>
        <v>0</v>
      </c>
      <c r="AF1193" s="20" t="n">
        <f aca="false">Operations!AF1172*Operations!AF1157*(1-Operations!AF1184)</f>
        <v>0</v>
      </c>
      <c r="AG1193" s="20" t="n">
        <f aca="false">Operations!AG1172*Operations!AG1157*(1-Operations!AG1184)</f>
        <v>0</v>
      </c>
      <c r="AH1193" s="20" t="n">
        <f aca="false">Operations!AH1172*Operations!AH1157*(1-Operations!AH1184)</f>
        <v>0</v>
      </c>
      <c r="AI1193" s="20" t="n">
        <f aca="false">Operations!AI1172*Operations!AI1157*(1-Operations!AI1184)</f>
        <v>0</v>
      </c>
      <c r="AJ1193" s="20" t="n">
        <f aca="false">Operations!AJ1172*Operations!AJ1157*(1-Operations!AJ1184)</f>
        <v>0</v>
      </c>
      <c r="AK1193" s="20" t="n">
        <f aca="false">Operations!AK1172*Operations!AK1157*(1-Operations!AK1184)</f>
        <v>0</v>
      </c>
      <c r="AL1193" s="20" t="n">
        <f aca="false">Operations!AL1172*Operations!AL1157*(1-Operations!AL1184)</f>
        <v>0</v>
      </c>
      <c r="AM1193" s="20" t="n">
        <f aca="false">Operations!AM1172*Operations!AM1157*(1-Operations!AM1184)</f>
        <v>0</v>
      </c>
      <c r="AN1193" s="20" t="n">
        <f aca="false">Operations!AN1172*Operations!AN1157*(1-Operations!AN1184)</f>
        <v>0</v>
      </c>
      <c r="AO1193" s="20" t="n">
        <f aca="false">Operations!AO1172*Operations!AO1157*(1-Operations!AO1184)</f>
        <v>0</v>
      </c>
      <c r="AP1193" s="20" t="n">
        <f aca="false">Operations!AP1172*Operations!AP1157*(1-Operations!AP1184)</f>
        <v>0</v>
      </c>
      <c r="AQ1193" s="20" t="n">
        <f aca="false">Operations!AQ1172*Operations!AQ1157*(1-Operations!AQ1184)</f>
        <v>0</v>
      </c>
      <c r="AR1193" s="20" t="n">
        <f aca="false">Operations!AR1172*Operations!AR1157*(1-Operations!AR1184)</f>
        <v>0</v>
      </c>
      <c r="AS1193" s="20" t="n">
        <f aca="false">Operations!AS1172*Operations!AS1157*(1-Operations!AS1184)</f>
        <v>0</v>
      </c>
      <c r="AT1193" s="20" t="n">
        <f aca="false">Operations!AT1172*Operations!AT1157*(1-Operations!AT1184)</f>
        <v>0</v>
      </c>
      <c r="AU1193" s="20" t="n">
        <f aca="false">Operations!AU1172*Operations!AU1157*(1-Operations!AU1184)</f>
        <v>0</v>
      </c>
    </row>
    <row r="1194" customFormat="false" ht="15" hidden="false" customHeight="false" outlineLevel="0" collapsed="false">
      <c r="D1194" s="0" t="s">
        <v>797</v>
      </c>
      <c r="E1194" s="0" t="s">
        <v>47</v>
      </c>
      <c r="J1194" s="20" t="n">
        <f aca="false">Operations!J1175*Operations!J1157*(1-Operations!J1184)</f>
        <v>0</v>
      </c>
      <c r="K1194" s="20" t="n">
        <f aca="false">Operations!K1175*Operations!K1157*(1-Operations!K1184)</f>
        <v>0</v>
      </c>
      <c r="L1194" s="20" t="n">
        <f aca="false">Operations!L1175*Operations!L1157*(1-Operations!L1184)</f>
        <v>0.211245876423104</v>
      </c>
      <c r="M1194" s="20" t="n">
        <f aca="false">Operations!M1175*Operations!M1157*(1-Operations!M1184)</f>
        <v>2.52829555064229</v>
      </c>
      <c r="N1194" s="20" t="n">
        <f aca="false">Operations!N1175*Operations!N1157*(1-Operations!N1184)</f>
        <v>2.73156285244703</v>
      </c>
      <c r="O1194" s="20" t="n">
        <f aca="false">Operations!O1175*Operations!O1157*(1-Operations!O1184)</f>
        <v>2.7909989613388</v>
      </c>
      <c r="P1194" s="20" t="n">
        <f aca="false">Operations!P1175*Operations!P1157*(1-Operations!P1184)</f>
        <v>2.78919091036002</v>
      </c>
      <c r="Q1194" s="20" t="n">
        <f aca="false">Operations!Q1175*Operations!Q1157*(1-Operations!Q1184)</f>
        <v>2.75413866237728</v>
      </c>
      <c r="R1194" s="20" t="n">
        <f aca="false">Operations!R1175*Operations!R1157*(1-Operations!R1184)</f>
        <v>2.72073905032972</v>
      </c>
      <c r="S1194" s="20" t="n">
        <f aca="false">Operations!S1175*Operations!S1157*(1-Operations!S1184)</f>
        <v>2.66530448465668</v>
      </c>
      <c r="T1194" s="20" t="n">
        <f aca="false">Operations!T1175*Operations!T1157*(1-Operations!T1184)</f>
        <v>2.60858417673493</v>
      </c>
      <c r="U1194" s="20" t="n">
        <f aca="false">Operations!U1175*Operations!U1157*(1-Operations!U1184)</f>
        <v>2.55056574938911</v>
      </c>
      <c r="V1194" s="20" t="n">
        <f aca="false">Operations!V1175*Operations!V1157*(1-Operations!V1184)</f>
        <v>2.49124052894505</v>
      </c>
      <c r="W1194" s="20" t="n">
        <f aca="false">Operations!W1175*Operations!W1157*(1-Operations!W1184)</f>
        <v>9.00328645753848</v>
      </c>
      <c r="X1194" s="20" t="n">
        <f aca="false">Operations!X1175*Operations!X1157*(1-Operations!X1184)</f>
        <v>8.89114982201336</v>
      </c>
      <c r="Y1194" s="20" t="n">
        <f aca="false">Operations!Y1175*Operations!Y1157*(1-Operations!Y1184)</f>
        <v>8.91811027314942</v>
      </c>
      <c r="Z1194" s="20" t="n">
        <f aca="false">Operations!Z1175*Operations!Z1157*(1-Operations!Z1184)</f>
        <v>9.0600567367812</v>
      </c>
      <c r="AA1194" s="20" t="n">
        <f aca="false">Operations!AA1175*Operations!AA1157*(1-Operations!AA1184)</f>
        <v>9.20369818984889</v>
      </c>
      <c r="AB1194" s="20" t="n">
        <f aca="false">Operations!AB1175*Operations!AB1157*(1-Operations!AB1184)</f>
        <v>9.35048758724279</v>
      </c>
      <c r="AC1194" s="20" t="n">
        <f aca="false">Operations!AC1175*Operations!AC1157*(1-Operations!AC1184)</f>
        <v>9.49890492276059</v>
      </c>
      <c r="AD1194" s="20" t="n">
        <f aca="false">Operations!AD1175*Operations!AD1157*(1-Operations!AD1184)</f>
        <v>9.65039188342911</v>
      </c>
      <c r="AE1194" s="20" t="n">
        <f aca="false">Operations!AE1175*Operations!AE1157*(1-Operations!AE1184)</f>
        <v>9.80344092950001</v>
      </c>
      <c r="AF1194" s="20" t="n">
        <f aca="false">Operations!AF1175*Operations!AF1157*(1-Operations!AF1184)</f>
        <v>9.95948256650052</v>
      </c>
      <c r="AG1194" s="20" t="n">
        <f aca="false">Operations!AG1175*Operations!AG1157*(1-Operations!AG1184)</f>
        <v>10.1184729193602</v>
      </c>
      <c r="AH1194" s="20" t="n">
        <f aca="false">Operations!AH1175*Operations!AH1157*(1-Operations!AH1184)</f>
        <v>10.2789229899386</v>
      </c>
      <c r="AI1194" s="20" t="n">
        <f aca="false">Operations!AI1175*Operations!AI1157*(1-Operations!AI1184)</f>
        <v>10.4422467068262</v>
      </c>
      <c r="AJ1194" s="20" t="n">
        <f aca="false">Operations!AJ1175*Operations!AJ1157*(1-Operations!AJ1184)</f>
        <v>10.6084012370814</v>
      </c>
      <c r="AK1194" s="20" t="n">
        <f aca="false">Operations!AK1175*Operations!AK1157*(1-Operations!AK1184)</f>
        <v>10.7773441135545</v>
      </c>
      <c r="AL1194" s="20" t="n">
        <f aca="false">Operations!AL1175*Operations!AL1157*(1-Operations!AL1184)</f>
        <v>10.9490332323696</v>
      </c>
      <c r="AM1194" s="20" t="n">
        <f aca="false">Operations!AM1175*Operations!AM1157*(1-Operations!AM1184)</f>
        <v>11.1234268504228</v>
      </c>
      <c r="AN1194" s="20" t="n">
        <f aca="false">Operations!AN1175*Operations!AN1157*(1-Operations!AN1184)</f>
        <v>11.3004835828956</v>
      </c>
      <c r="AO1194" s="20" t="n">
        <f aca="false">Operations!AO1175*Operations!AO1157*(1-Operations!AO1184)</f>
        <v>11.4801624007831</v>
      </c>
      <c r="AP1194" s="20" t="n">
        <f aca="false">Operations!AP1175*Operations!AP1157*(1-Operations!AP1184)</f>
        <v>11.6624226284378</v>
      </c>
      <c r="AQ1194" s="20" t="n">
        <f aca="false">Operations!AQ1175*Operations!AQ1157*(1-Operations!AQ1184)</f>
        <v>11.8486182242802</v>
      </c>
      <c r="AR1194" s="20" t="n">
        <f aca="false">Operations!AR1175*Operations!AR1157*(1-Operations!AR1184)</f>
        <v>12.0373037746515</v>
      </c>
      <c r="AS1194" s="20" t="n">
        <f aca="false">Operations!AS1175*Operations!AS1157*(1-Operations!AS1184)</f>
        <v>12.2284397163137</v>
      </c>
      <c r="AT1194" s="20" t="n">
        <f aca="false">Operations!AT1175*Operations!AT1157*(1-Operations!AT1184)</f>
        <v>12.4233644479437</v>
      </c>
      <c r="AU1194" s="20" t="n">
        <f aca="false">Operations!AU1175*Operations!AU1157*(1-Operations!AU1184)</f>
        <v>12.6206504510332</v>
      </c>
    </row>
    <row r="1195" customFormat="false" ht="15" hidden="false" customHeight="false" outlineLevel="0" collapsed="false">
      <c r="D1195" s="0" t="s">
        <v>798</v>
      </c>
      <c r="E1195" s="0" t="s">
        <v>47</v>
      </c>
      <c r="J1195" s="20" t="n">
        <f aca="false">Operations!J1174*Operations!J1157*(1-Operations!J1184)</f>
        <v>0</v>
      </c>
      <c r="K1195" s="20" t="n">
        <f aca="false">Operations!K1174*Operations!K1157*(1-Operations!K1184)</f>
        <v>0</v>
      </c>
      <c r="L1195" s="20" t="n">
        <f aca="false">Operations!L1174*Operations!L1157*(1-Operations!L1184)</f>
        <v>0.211245876423104</v>
      </c>
      <c r="M1195" s="20" t="n">
        <f aca="false">Operations!M1174*Operations!M1157*(1-Operations!M1184)</f>
        <v>9.30078555064229</v>
      </c>
      <c r="N1195" s="20" t="n">
        <f aca="false">Operations!N1174*Operations!N1157*(1-Operations!N1184)</f>
        <v>9.50405285244703</v>
      </c>
      <c r="O1195" s="20" t="n">
        <f aca="false">Operations!O1174*Operations!O1157*(1-Operations!O1184)</f>
        <v>9.5634889613388</v>
      </c>
      <c r="P1195" s="20" t="n">
        <f aca="false">Operations!P1174*Operations!P1157*(1-Operations!P1184)</f>
        <v>9.56168091036002</v>
      </c>
      <c r="Q1195" s="20" t="n">
        <f aca="false">Operations!Q1174*Operations!Q1157*(1-Operations!Q1184)</f>
        <v>9.52662866237728</v>
      </c>
      <c r="R1195" s="20" t="n">
        <f aca="false">Operations!R1174*Operations!R1157*(1-Operations!R1184)</f>
        <v>9.49322905032972</v>
      </c>
      <c r="S1195" s="20" t="n">
        <f aca="false">Operations!S1174*Operations!S1157*(1-Operations!S1184)</f>
        <v>9.43779448465668</v>
      </c>
      <c r="T1195" s="20" t="n">
        <f aca="false">Operations!T1174*Operations!T1157*(1-Operations!T1184)</f>
        <v>9.38107417673493</v>
      </c>
      <c r="U1195" s="20" t="n">
        <f aca="false">Operations!U1174*Operations!U1157*(1-Operations!U1184)</f>
        <v>9.32305574938911</v>
      </c>
      <c r="V1195" s="20" t="n">
        <f aca="false">Operations!V1174*Operations!V1157*(1-Operations!V1184)</f>
        <v>9.26373052894505</v>
      </c>
      <c r="W1195" s="20" t="n">
        <f aca="false">Operations!W1174*Operations!W1157*(1-Operations!W1184)</f>
        <v>9.00328645753848</v>
      </c>
      <c r="X1195" s="20" t="n">
        <f aca="false">Operations!X1174*Operations!X1157*(1-Operations!X1184)</f>
        <v>8.89114982201336</v>
      </c>
      <c r="Y1195" s="20" t="n">
        <f aca="false">Operations!Y1174*Operations!Y1157*(1-Operations!Y1184)</f>
        <v>8.91811027314942</v>
      </c>
      <c r="Z1195" s="20" t="n">
        <f aca="false">Operations!Z1174*Operations!Z1157*(1-Operations!Z1184)</f>
        <v>9.0600567367812</v>
      </c>
      <c r="AA1195" s="20" t="n">
        <f aca="false">Operations!AA1174*Operations!AA1157*(1-Operations!AA1184)</f>
        <v>9.20369818984889</v>
      </c>
      <c r="AB1195" s="20" t="n">
        <f aca="false">Operations!AB1174*Operations!AB1157*(1-Operations!AB1184)</f>
        <v>9.35048758724279</v>
      </c>
      <c r="AC1195" s="20" t="n">
        <f aca="false">Operations!AC1174*Operations!AC1157*(1-Operations!AC1184)</f>
        <v>9.49890492276059</v>
      </c>
      <c r="AD1195" s="20" t="n">
        <f aca="false">Operations!AD1174*Operations!AD1157*(1-Operations!AD1184)</f>
        <v>9.65039188342911</v>
      </c>
      <c r="AE1195" s="20" t="n">
        <f aca="false">Operations!AE1174*Operations!AE1157*(1-Operations!AE1184)</f>
        <v>9.80344092950001</v>
      </c>
      <c r="AF1195" s="20" t="n">
        <f aca="false">Operations!AF1174*Operations!AF1157*(1-Operations!AF1184)</f>
        <v>9.95948256650052</v>
      </c>
      <c r="AG1195" s="20" t="n">
        <f aca="false">Operations!AG1174*Operations!AG1157*(1-Operations!AG1184)</f>
        <v>10.1184729193602</v>
      </c>
      <c r="AH1195" s="20" t="n">
        <f aca="false">Operations!AH1174*Operations!AH1157*(1-Operations!AH1184)</f>
        <v>10.2789229899386</v>
      </c>
      <c r="AI1195" s="20" t="n">
        <f aca="false">Operations!AI1174*Operations!AI1157*(1-Operations!AI1184)</f>
        <v>10.4422467068262</v>
      </c>
      <c r="AJ1195" s="20" t="n">
        <f aca="false">Operations!AJ1174*Operations!AJ1157*(1-Operations!AJ1184)</f>
        <v>10.6084012370814</v>
      </c>
      <c r="AK1195" s="20" t="n">
        <f aca="false">Operations!AK1174*Operations!AK1157*(1-Operations!AK1184)</f>
        <v>10.7773441135545</v>
      </c>
      <c r="AL1195" s="20" t="n">
        <f aca="false">Operations!AL1174*Operations!AL1157*(1-Operations!AL1184)</f>
        <v>10.9490332323696</v>
      </c>
      <c r="AM1195" s="20" t="n">
        <f aca="false">Operations!AM1174*Operations!AM1157*(1-Operations!AM1184)</f>
        <v>11.1234268504228</v>
      </c>
      <c r="AN1195" s="20" t="n">
        <f aca="false">Operations!AN1174*Operations!AN1157*(1-Operations!AN1184)</f>
        <v>11.3004835828956</v>
      </c>
      <c r="AO1195" s="20" t="n">
        <f aca="false">Operations!AO1174*Operations!AO1157*(1-Operations!AO1184)</f>
        <v>11.4801624007831</v>
      </c>
      <c r="AP1195" s="20" t="n">
        <f aca="false">Operations!AP1174*Operations!AP1157*(1-Operations!AP1184)</f>
        <v>11.6624226284378</v>
      </c>
      <c r="AQ1195" s="20" t="n">
        <f aca="false">Operations!AQ1174*Operations!AQ1157*(1-Operations!AQ1184)</f>
        <v>11.8486182242802</v>
      </c>
      <c r="AR1195" s="20" t="n">
        <f aca="false">Operations!AR1174*Operations!AR1157*(1-Operations!AR1184)</f>
        <v>12.0373037746515</v>
      </c>
      <c r="AS1195" s="20" t="n">
        <f aca="false">Operations!AS1174*Operations!AS1157*(1-Operations!AS1184)</f>
        <v>12.2284397163137</v>
      </c>
      <c r="AT1195" s="20" t="n">
        <f aca="false">Operations!AT1174*Operations!AT1157*(1-Operations!AT1184)</f>
        <v>12.4233644479437</v>
      </c>
      <c r="AU1195" s="20" t="n">
        <f aca="false">Operations!AU1174*Operations!AU1157*(1-Operations!AU1184)</f>
        <v>12.6206504510332</v>
      </c>
    </row>
    <row r="1197" customFormat="false" ht="15" hidden="false" customHeight="false" outlineLevel="0" collapsed="false">
      <c r="A1197" s="4" t="s">
        <v>834</v>
      </c>
      <c r="B1197" s="5"/>
      <c r="C1197" s="5"/>
      <c r="D1197" s="5"/>
      <c r="E1197" s="5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</row>
    <row r="1198" customFormat="false" ht="15" hidden="false" customHeight="false" outlineLevel="0" collapsed="false">
      <c r="D1198" s="0" t="s">
        <v>800</v>
      </c>
      <c r="E1198" s="0" t="s">
        <v>47</v>
      </c>
      <c r="J1198" s="20" t="n">
        <f aca="false">Inputs!$F$246*Time!J$9*MAX(0,MIN(Inputs!$F$26,Time!J$6)-MAX(Inputs!$F$247,Time!J$5))/Time!J$7</f>
        <v>2.48986301369863</v>
      </c>
      <c r="K1198" s="20" t="n">
        <f aca="false">Inputs!$F$246*Time!K$9*MAX(0,MIN(Inputs!$F$26,Time!K$6)-MAX(Inputs!$F$247,Time!K$5))/Time!K$7</f>
        <v>3.28</v>
      </c>
      <c r="L1198" s="20" t="n">
        <f aca="false">Inputs!$F$246*Time!L$9*MAX(0,MIN(Inputs!$F$26,Time!L$6)-MAX(Inputs!$F$247,Time!L$5))/Time!L$7</f>
        <v>3.362</v>
      </c>
      <c r="M1198" s="20" t="n">
        <f aca="false">Inputs!$F$246*Time!M$9*MAX(0,MIN(Inputs!$F$26,Time!M$6)-MAX(Inputs!$F$247,Time!M$5))/Time!M$7</f>
        <v>3.44605</v>
      </c>
      <c r="N1198" s="20" t="n">
        <f aca="false">Inputs!$F$246*Time!N$9*MAX(0,MIN(Inputs!$F$26,Time!N$6)-MAX(Inputs!$F$247,Time!N$5))/Time!N$7</f>
        <v>3.53220125</v>
      </c>
      <c r="O1198" s="20" t="n">
        <f aca="false">Inputs!$F$246*Time!O$9*MAX(0,MIN(Inputs!$F$26,Time!O$6)-MAX(Inputs!$F$247,Time!O$5))/Time!O$7</f>
        <v>3.62050628125</v>
      </c>
      <c r="P1198" s="20" t="n">
        <f aca="false">Inputs!$F$246*Time!P$9*MAX(0,MIN(Inputs!$F$26,Time!P$6)-MAX(Inputs!$F$247,Time!P$5))/Time!P$7</f>
        <v>3.71101893828125</v>
      </c>
      <c r="Q1198" s="20" t="n">
        <f aca="false">Inputs!$F$246*Time!Q$9*MAX(0,MIN(Inputs!$F$26,Time!Q$6)-MAX(Inputs!$F$247,Time!Q$5))/Time!Q$7</f>
        <v>3.80379441173828</v>
      </c>
      <c r="R1198" s="20" t="n">
        <f aca="false">Inputs!$F$246*Time!R$9*MAX(0,MIN(Inputs!$F$26,Time!R$6)-MAX(Inputs!$F$247,Time!R$5))/Time!R$7</f>
        <v>3.89888927203174</v>
      </c>
      <c r="S1198" s="20" t="n">
        <f aca="false">Inputs!$F$246*Time!S$9*MAX(0,MIN(Inputs!$F$26,Time!S$6)-MAX(Inputs!$F$247,Time!S$5))/Time!S$7</f>
        <v>3.99636150383253</v>
      </c>
      <c r="T1198" s="20" t="n">
        <f aca="false">Inputs!$F$246*Time!T$9*MAX(0,MIN(Inputs!$F$26,Time!T$6)-MAX(Inputs!$F$247,Time!T$5))/Time!T$7</f>
        <v>4.09627054142834</v>
      </c>
      <c r="U1198" s="20" t="n">
        <f aca="false">Inputs!$F$246*Time!U$9*MAX(0,MIN(Inputs!$F$26,Time!U$6)-MAX(Inputs!$F$247,Time!U$5))/Time!U$7</f>
        <v>4.19867730496405</v>
      </c>
      <c r="V1198" s="20" t="n">
        <f aca="false">Inputs!$F$246*Time!V$9*MAX(0,MIN(Inputs!$F$26,Time!V$6)-MAX(Inputs!$F$247,Time!V$5))/Time!V$7</f>
        <v>4.30364423758815</v>
      </c>
      <c r="W1198" s="20" t="n">
        <f aca="false">Inputs!$F$246*Time!W$9*MAX(0,MIN(Inputs!$F$26,Time!W$6)-MAX(Inputs!$F$247,Time!W$5))/Time!W$7</f>
        <v>4.41123534352785</v>
      </c>
      <c r="X1198" s="20" t="n">
        <f aca="false">Inputs!$F$246*Time!X$9*MAX(0,MIN(Inputs!$F$26,Time!X$6)-MAX(Inputs!$F$247,Time!X$5))/Time!X$7</f>
        <v>4.52151622711605</v>
      </c>
      <c r="Y1198" s="20" t="n">
        <f aca="false">Inputs!$F$246*Time!Y$9*MAX(0,MIN(Inputs!$F$26,Time!Y$6)-MAX(Inputs!$F$247,Time!Y$5))/Time!Y$7</f>
        <v>4.63455413279395</v>
      </c>
      <c r="Z1198" s="20" t="n">
        <f aca="false">Inputs!$F$246*Time!Z$9*MAX(0,MIN(Inputs!$F$26,Time!Z$6)-MAX(Inputs!$F$247,Time!Z$5))/Time!Z$7</f>
        <v>4.7504179861138</v>
      </c>
      <c r="AA1198" s="20" t="n">
        <f aca="false">Inputs!$F$246*Time!AA$9*MAX(0,MIN(Inputs!$F$26,Time!AA$6)-MAX(Inputs!$F$247,Time!AA$5))/Time!AA$7</f>
        <v>4.86917843576664</v>
      </c>
      <c r="AB1198" s="20" t="n">
        <f aca="false">Inputs!$F$246*Time!AB$9*MAX(0,MIN(Inputs!$F$26,Time!AB$6)-MAX(Inputs!$F$247,Time!AB$5))/Time!AB$7</f>
        <v>4.99090789666081</v>
      </c>
      <c r="AC1198" s="20" t="n">
        <f aca="false">Inputs!$F$246*Time!AC$9*MAX(0,MIN(Inputs!$F$26,Time!AC$6)-MAX(Inputs!$F$247,Time!AC$5))/Time!AC$7</f>
        <v>5.11568059407733</v>
      </c>
      <c r="AD1198" s="20" t="n">
        <f aca="false">Inputs!$F$246*Time!AD$9*MAX(0,MIN(Inputs!$F$26,Time!AD$6)-MAX(Inputs!$F$247,Time!AD$5))/Time!AD$7</f>
        <v>5.24357260892926</v>
      </c>
      <c r="AE1198" s="20" t="n">
        <f aca="false">Inputs!$F$246*Time!AE$9*MAX(0,MIN(Inputs!$F$26,Time!AE$6)-MAX(Inputs!$F$247,Time!AE$5))/Time!AE$7</f>
        <v>5.37466192415249</v>
      </c>
      <c r="AF1198" s="20" t="n">
        <f aca="false">Inputs!$F$246*Time!AF$9*MAX(0,MIN(Inputs!$F$26,Time!AF$6)-MAX(Inputs!$F$247,Time!AF$5))/Time!AF$7</f>
        <v>5.50902847225631</v>
      </c>
      <c r="AG1198" s="20" t="n">
        <f aca="false">Inputs!$F$246*Time!AG$9*MAX(0,MIN(Inputs!$F$26,Time!AG$6)-MAX(Inputs!$F$247,Time!AG$5))/Time!AG$7</f>
        <v>5.64675418406271</v>
      </c>
      <c r="AH1198" s="20" t="n">
        <f aca="false">Inputs!$F$246*Time!AH$9*MAX(0,MIN(Inputs!$F$26,Time!AH$6)-MAX(Inputs!$F$247,Time!AH$5))/Time!AH$7</f>
        <v>5.78792303866428</v>
      </c>
      <c r="AI1198" s="20" t="n">
        <f aca="false">Inputs!$F$246*Time!AI$9*MAX(0,MIN(Inputs!$F$26,Time!AI$6)-MAX(Inputs!$F$247,Time!AI$5))/Time!AI$7</f>
        <v>5.93262111463089</v>
      </c>
      <c r="AJ1198" s="20" t="n">
        <f aca="false">Inputs!$F$246*Time!AJ$9*MAX(0,MIN(Inputs!$F$26,Time!AJ$6)-MAX(Inputs!$F$247,Time!AJ$5))/Time!AJ$7</f>
        <v>6.08093664249666</v>
      </c>
      <c r="AK1198" s="20" t="n">
        <f aca="false">Inputs!$F$246*Time!AK$9*MAX(0,MIN(Inputs!$F$26,Time!AK$6)-MAX(Inputs!$F$247,Time!AK$5))/Time!AK$7</f>
        <v>6.23296005855907</v>
      </c>
      <c r="AL1198" s="20" t="n">
        <f aca="false">Inputs!$F$246*Time!AL$9*MAX(0,MIN(Inputs!$F$26,Time!AL$6)-MAX(Inputs!$F$247,Time!AL$5))/Time!AL$7</f>
        <v>6.38878406002305</v>
      </c>
      <c r="AM1198" s="20" t="n">
        <f aca="false">Inputs!$F$246*Time!AM$9*MAX(0,MIN(Inputs!$F$26,Time!AM$6)-MAX(Inputs!$F$247,Time!AM$5))/Time!AM$7</f>
        <v>6.54850366152362</v>
      </c>
      <c r="AN1198" s="20" t="n">
        <f aca="false">Inputs!$F$246*Time!AN$9*MAX(0,MIN(Inputs!$F$26,Time!AN$6)-MAX(Inputs!$F$247,Time!AN$5))/Time!AN$7</f>
        <v>6.71221625306172</v>
      </c>
      <c r="AO1198" s="20" t="n">
        <f aca="false">Inputs!$F$246*Time!AO$9*MAX(0,MIN(Inputs!$F$26,Time!AO$6)-MAX(Inputs!$F$247,Time!AO$5))/Time!AO$7</f>
        <v>6.88002165938826</v>
      </c>
      <c r="AP1198" s="20" t="n">
        <f aca="false">Inputs!$F$246*Time!AP$9*MAX(0,MIN(Inputs!$F$26,Time!AP$6)-MAX(Inputs!$F$247,Time!AP$5))/Time!AP$7</f>
        <v>7.05202220087296</v>
      </c>
      <c r="AQ1198" s="20" t="n">
        <f aca="false">Inputs!$F$246*Time!AQ$9*MAX(0,MIN(Inputs!$F$26,Time!AQ$6)-MAX(Inputs!$F$247,Time!AQ$5))/Time!AQ$7</f>
        <v>7.22832275589479</v>
      </c>
      <c r="AR1198" s="20" t="n">
        <f aca="false">Inputs!$F$246*Time!AR$9*MAX(0,MIN(Inputs!$F$26,Time!AR$6)-MAX(Inputs!$F$247,Time!AR$5))/Time!AR$7</f>
        <v>7.40903082479216</v>
      </c>
      <c r="AS1198" s="20" t="n">
        <f aca="false">Inputs!$F$246*Time!AS$9*MAX(0,MIN(Inputs!$F$26,Time!AS$6)-MAX(Inputs!$F$247,Time!AS$5))/Time!AS$7</f>
        <v>7.59425659541196</v>
      </c>
      <c r="AT1198" s="20" t="n">
        <f aca="false">Inputs!$F$246*Time!AT$9*MAX(0,MIN(Inputs!$F$26,Time!AT$6)-MAX(Inputs!$F$247,Time!AT$5))/Time!AT$7</f>
        <v>7.78411301029726</v>
      </c>
      <c r="AU1198" s="20" t="n">
        <f aca="false">Inputs!$F$246*Time!AU$9*MAX(0,MIN(Inputs!$F$26,Time!AU$6)-MAX(Inputs!$F$247,Time!AU$5))/Time!AU$7</f>
        <v>7.97871583555469</v>
      </c>
    </row>
    <row r="1199" customFormat="false" ht="15" hidden="false" customHeight="false" outlineLevel="0" collapsed="false">
      <c r="D1199" s="0" t="s">
        <v>801</v>
      </c>
      <c r="E1199" s="0" t="s">
        <v>47</v>
      </c>
      <c r="J1199" s="20" t="n">
        <f aca="false">Operations!J884+Operations!J926+Operations!J969+Operations!J1012+Operations!J1055</f>
        <v>37.0324000477976</v>
      </c>
      <c r="K1199" s="20" t="n">
        <f aca="false">Operations!K884+Operations!K926+Operations!K969+Operations!K1012+Operations!K1055</f>
        <v>37.3205281727451</v>
      </c>
      <c r="L1199" s="20" t="n">
        <f aca="false">Operations!L884+Operations!L926+Operations!L969+Operations!L1012+Operations!L1055</f>
        <v>36.2435780682344</v>
      </c>
      <c r="M1199" s="20" t="n">
        <f aca="false">Operations!M884+Operations!M926+Operations!M969+Operations!M1012+Operations!M1055</f>
        <v>35.0430150051587</v>
      </c>
      <c r="N1199" s="20" t="n">
        <f aca="false">Operations!N884+Operations!N926+Operations!N969+Operations!N1012+Operations!N1055</f>
        <v>33.9535370607253</v>
      </c>
      <c r="O1199" s="20" t="n">
        <f aca="false">Operations!O884+Operations!O926+Operations!O969+Operations!O1012+Operations!O1055</f>
        <v>31.7513660972113</v>
      </c>
      <c r="P1199" s="20" t="n">
        <f aca="false">Operations!P884+Operations!P926+Operations!P969+Operations!P1012+Operations!P1055</f>
        <v>30.8792942684429</v>
      </c>
      <c r="Q1199" s="20" t="n">
        <f aca="false">Operations!Q884+Operations!Q926+Operations!Q969+Operations!Q1012+Operations!Q1055</f>
        <v>33.9682287516867</v>
      </c>
      <c r="R1199" s="20" t="n">
        <f aca="false">Operations!R884+Operations!R926+Operations!R969+Operations!R1012+Operations!R1055</f>
        <v>31.9518832706895</v>
      </c>
      <c r="S1199" s="20" t="n">
        <f aca="false">Operations!S884+Operations!S926+Operations!S969+Operations!S1012+Operations!S1055</f>
        <v>31.4953611294769</v>
      </c>
      <c r="T1199" s="20" t="n">
        <f aca="false">Operations!T884+Operations!T926+Operations!T969+Operations!T1012+Operations!T1055</f>
        <v>31.015293299321</v>
      </c>
      <c r="U1199" s="20" t="n">
        <f aca="false">Operations!U884+Operations!U926+Operations!U969+Operations!U1012+Operations!U1055</f>
        <v>31.6098891692936</v>
      </c>
      <c r="V1199" s="20" t="n">
        <f aca="false">Operations!V884+Operations!V926+Operations!V969+Operations!V1012+Operations!V1055</f>
        <v>32.0096104934905</v>
      </c>
      <c r="W1199" s="20" t="n">
        <f aca="false">Operations!W884+Operations!W926+Operations!W969+Operations!W1012+Operations!W1055</f>
        <v>31.2914300387692</v>
      </c>
      <c r="X1199" s="20" t="n">
        <f aca="false">Operations!X884+Operations!X926+Operations!X969+Operations!X1012+Operations!X1055</f>
        <v>31.1416829468079</v>
      </c>
      <c r="Y1199" s="20" t="n">
        <f aca="false">Operations!Y884+Operations!Y926+Operations!Y969+Operations!Y1012+Operations!Y1055</f>
        <v>30.9837235203242</v>
      </c>
      <c r="Z1199" s="20" t="n">
        <f aca="false">Operations!Z884+Operations!Z926+Operations!Z969+Operations!Z1012+Operations!Z1055</f>
        <v>30.8036602095661</v>
      </c>
      <c r="AA1199" s="20" t="n">
        <f aca="false">Operations!AA884+Operations!AA926+Operations!AA969+Operations!AA1012+Operations!AA1055</f>
        <v>30.715668992969</v>
      </c>
      <c r="AB1199" s="20" t="n">
        <f aca="false">Operations!AB884+Operations!AB926+Operations!AB969+Operations!AB1012+Operations!AB1055</f>
        <v>30.6197630206342</v>
      </c>
      <c r="AC1199" s="20" t="n">
        <f aca="false">Operations!AC884+Operations!AC926+Operations!AC969+Operations!AC1012+Operations!AC1055</f>
        <v>30.5023852980468</v>
      </c>
      <c r="AD1199" s="20" t="n">
        <f aca="false">Operations!AD884+Operations!AD926+Operations!AD969+Operations!AD1012+Operations!AD1055</f>
        <v>30.374644183135</v>
      </c>
      <c r="AE1199" s="20" t="n">
        <f aca="false">Operations!AE884+Operations!AE926+Operations!AE969+Operations!AE1012+Operations!AE1055</f>
        <v>30.4036853246223</v>
      </c>
      <c r="AF1199" s="20" t="n">
        <f aca="false">Operations!AF884+Operations!AF926+Operations!AF969+Operations!AF1012+Operations!AF1055</f>
        <v>8.90807763354782</v>
      </c>
      <c r="AG1199" s="20" t="n">
        <f aca="false">Operations!AG884+Operations!AG926+Operations!AG969+Operations!AG1012+Operations!AG1055</f>
        <v>27.7351027028002</v>
      </c>
      <c r="AH1199" s="20" t="n">
        <f aca="false">Operations!AH884+Operations!AH926+Operations!AH969+Operations!AH1012+Operations!AH1055</f>
        <v>27.8701379078657</v>
      </c>
      <c r="AI1199" s="20" t="n">
        <f aca="false">Operations!AI884+Operations!AI926+Operations!AI969+Operations!AI1012+Operations!AI1055</f>
        <v>-7.66515356070458</v>
      </c>
      <c r="AJ1199" s="20" t="n">
        <f aca="false">Operations!AJ884+Operations!AJ926+Operations!AJ969+Operations!AJ1012+Operations!AJ1055</f>
        <v>13.9031400906517</v>
      </c>
      <c r="AK1199" s="20" t="n">
        <f aca="false">Operations!AK884+Operations!AK926+Operations!AK969+Operations!AK1012+Operations!AK1055</f>
        <v>-3.85871815064656</v>
      </c>
      <c r="AL1199" s="20" t="n">
        <f aca="false">Operations!AL884+Operations!AL926+Operations!AL969+Operations!AL1012+Operations!AL1055</f>
        <v>10.9591203028503</v>
      </c>
      <c r="AM1199" s="20" t="n">
        <f aca="false">Operations!AM884+Operations!AM926+Operations!AM969+Operations!AM1012+Operations!AM1055</f>
        <v>11.0280004028826</v>
      </c>
      <c r="AN1199" s="20" t="n">
        <f aca="false">Operations!AN884+Operations!AN926+Operations!AN969+Operations!AN1012+Operations!AN1055</f>
        <v>11.095216578933</v>
      </c>
      <c r="AO1199" s="20" t="n">
        <f aca="false">Operations!AO884+Operations!AO926+Operations!AO969+Operations!AO1012+Operations!AO1055</f>
        <v>11.1605179669391</v>
      </c>
      <c r="AP1199" s="20" t="n">
        <f aca="false">Operations!AP884+Operations!AP926+Operations!AP969+Operations!AP1012+Operations!AP1055</f>
        <v>11.2236504807117</v>
      </c>
      <c r="AQ1199" s="20" t="n">
        <f aca="false">Operations!AQ884+Operations!AQ926+Operations!AQ969+Operations!AQ1012+Operations!AQ1055</f>
        <v>2.16186874331256</v>
      </c>
      <c r="AR1199" s="20" t="n">
        <f aca="false">Operations!AR884+Operations!AR926+Operations!AR969+Operations!AR1012+Operations!AR1055</f>
        <v>-11.5556401350168</v>
      </c>
      <c r="AS1199" s="20" t="n">
        <f aca="false">Operations!AS884+Operations!AS926+Operations!AS969+Operations!AS1012+Operations!AS1055</f>
        <v>0</v>
      </c>
      <c r="AT1199" s="20" t="n">
        <f aca="false">Operations!AT884+Operations!AT926+Operations!AT969+Operations!AT1012+Operations!AT1055</f>
        <v>0</v>
      </c>
      <c r="AU1199" s="20" t="n">
        <f aca="false">Operations!AU884+Operations!AU926+Operations!AU969+Operations!AU1012+Operations!AU1055</f>
        <v>0</v>
      </c>
    </row>
    <row r="1200" customFormat="false" ht="15" hidden="false" customHeight="false" outlineLevel="0" collapsed="false">
      <c r="D1200" s="0" t="s">
        <v>802</v>
      </c>
      <c r="E1200" s="0" t="s">
        <v>47</v>
      </c>
      <c r="J1200" s="20" t="n">
        <f aca="false">Operations!J890+Operations!J932+Operations!J975+Operations!J1018+Operations!J1061</f>
        <v>34.1345579216108</v>
      </c>
      <c r="K1200" s="20" t="n">
        <f aca="false">Operations!K890+Operations!K932+Operations!K975+Operations!K1018+Operations!K1061</f>
        <v>43.7464322848435</v>
      </c>
      <c r="L1200" s="20" t="n">
        <f aca="false">Operations!L890+Operations!L932+Operations!L975+Operations!L1018+Operations!L1061</f>
        <v>43.6234069512045</v>
      </c>
      <c r="M1200" s="20" t="n">
        <f aca="false">Operations!M890+Operations!M932+Operations!M975+Operations!M1018+Operations!M1061</f>
        <v>43.5010387676345</v>
      </c>
      <c r="N1200" s="20" t="n">
        <f aca="false">Operations!N890+Operations!N932+Operations!N975+Operations!N1018+Operations!N1061</f>
        <v>43.4235898859988</v>
      </c>
      <c r="O1200" s="20" t="n">
        <f aca="false">Operations!O890+Operations!O932+Operations!O975+Operations!O1018+Operations!O1061</f>
        <v>44.1502762993255</v>
      </c>
      <c r="P1200" s="20" t="n">
        <f aca="false">Operations!P890+Operations!P932+Operations!P975+Operations!P1018+Operations!P1061</f>
        <v>44.8569304437272</v>
      </c>
      <c r="Q1200" s="20" t="n">
        <f aca="false">Operations!Q890+Operations!Q932+Operations!Q975+Operations!Q1018+Operations!Q1061</f>
        <v>35.0638068789997</v>
      </c>
      <c r="R1200" s="20" t="n">
        <f aca="false">Operations!R890+Operations!R932+Operations!R975+Operations!R1018+Operations!R1061</f>
        <v>9.96378814715871</v>
      </c>
      <c r="S1200" s="20" t="n">
        <f aca="false">Operations!S890+Operations!S932+Operations!S975+Operations!S1018+Operations!S1061</f>
        <v>9.9189511004965</v>
      </c>
      <c r="T1200" s="20" t="n">
        <f aca="false">Operations!T890+Operations!T932+Operations!T975+Operations!T1018+Operations!T1061</f>
        <v>9.87431582054426</v>
      </c>
      <c r="U1200" s="20" t="n">
        <f aca="false">Operations!U890+Operations!U932+Operations!U975+Operations!U1018+Operations!U1061</f>
        <v>4.87454392680186</v>
      </c>
      <c r="V1200" s="20" t="n">
        <f aca="false">Operations!V890+Operations!V932+Operations!V975+Operations!V1018+Operations!V1061</f>
        <v>0</v>
      </c>
      <c r="W1200" s="20" t="n">
        <f aca="false">Operations!W890+Operations!W932+Operations!W975+Operations!W1018+Operations!W1061</f>
        <v>0</v>
      </c>
      <c r="X1200" s="20" t="n">
        <f aca="false">Operations!X890+Operations!X932+Operations!X975+Operations!X1018+Operations!X1061</f>
        <v>0</v>
      </c>
      <c r="Y1200" s="20" t="n">
        <f aca="false">Operations!Y890+Operations!Y932+Operations!Y975+Operations!Y1018+Operations!Y1061</f>
        <v>0</v>
      </c>
      <c r="Z1200" s="20" t="n">
        <f aca="false">Operations!Z890+Operations!Z932+Operations!Z975+Operations!Z1018+Operations!Z1061</f>
        <v>0</v>
      </c>
      <c r="AA1200" s="20" t="n">
        <f aca="false">Operations!AA890+Operations!AA932+Operations!AA975+Operations!AA1018+Operations!AA1061</f>
        <v>0</v>
      </c>
      <c r="AB1200" s="20" t="n">
        <f aca="false">Operations!AB890+Operations!AB932+Operations!AB975+Operations!AB1018+Operations!AB1061</f>
        <v>0</v>
      </c>
      <c r="AC1200" s="20" t="n">
        <f aca="false">Operations!AC890+Operations!AC932+Operations!AC975+Operations!AC1018+Operations!AC1061</f>
        <v>0</v>
      </c>
      <c r="AD1200" s="20" t="n">
        <f aca="false">Operations!AD890+Operations!AD932+Operations!AD975+Operations!AD1018+Operations!AD1061</f>
        <v>0</v>
      </c>
      <c r="AE1200" s="20" t="n">
        <f aca="false">Operations!AE890+Operations!AE932+Operations!AE975+Operations!AE1018+Operations!AE1061</f>
        <v>0</v>
      </c>
      <c r="AF1200" s="20" t="n">
        <f aca="false">Operations!AF890+Operations!AF932+Operations!AF975+Operations!AF1018+Operations!AF1061</f>
        <v>0</v>
      </c>
      <c r="AG1200" s="20" t="n">
        <f aca="false">Operations!AG890+Operations!AG932+Operations!AG975+Operations!AG1018+Operations!AG1061</f>
        <v>0</v>
      </c>
      <c r="AH1200" s="20" t="n">
        <f aca="false">Operations!AH890+Operations!AH932+Operations!AH975+Operations!AH1018+Operations!AH1061</f>
        <v>0</v>
      </c>
      <c r="AI1200" s="20" t="n">
        <f aca="false">Operations!AI890+Operations!AI932+Operations!AI975+Operations!AI1018+Operations!AI1061</f>
        <v>0</v>
      </c>
      <c r="AJ1200" s="20" t="n">
        <f aca="false">Operations!AJ890+Operations!AJ932+Operations!AJ975+Operations!AJ1018+Operations!AJ1061</f>
        <v>0</v>
      </c>
      <c r="AK1200" s="20" t="n">
        <f aca="false">Operations!AK890+Operations!AK932+Operations!AK975+Operations!AK1018+Operations!AK1061</f>
        <v>0</v>
      </c>
      <c r="AL1200" s="20" t="n">
        <f aca="false">Operations!AL890+Operations!AL932+Operations!AL975+Operations!AL1018+Operations!AL1061</f>
        <v>0</v>
      </c>
      <c r="AM1200" s="20" t="n">
        <f aca="false">Operations!AM890+Operations!AM932+Operations!AM975+Operations!AM1018+Operations!AM1061</f>
        <v>0</v>
      </c>
      <c r="AN1200" s="20" t="n">
        <f aca="false">Operations!AN890+Operations!AN932+Operations!AN975+Operations!AN1018+Operations!AN1061</f>
        <v>0</v>
      </c>
      <c r="AO1200" s="20" t="n">
        <f aca="false">Operations!AO890+Operations!AO932+Operations!AO975+Operations!AO1018+Operations!AO1061</f>
        <v>0</v>
      </c>
      <c r="AP1200" s="20" t="n">
        <f aca="false">Operations!AP890+Operations!AP932+Operations!AP975+Operations!AP1018+Operations!AP1061</f>
        <v>0</v>
      </c>
      <c r="AQ1200" s="20" t="n">
        <f aca="false">Operations!AQ890+Operations!AQ932+Operations!AQ975+Operations!AQ1018+Operations!AQ1061</f>
        <v>0</v>
      </c>
      <c r="AR1200" s="20" t="n">
        <f aca="false">Operations!AR890+Operations!AR932+Operations!AR975+Operations!AR1018+Operations!AR1061</f>
        <v>0</v>
      </c>
      <c r="AS1200" s="20" t="n">
        <f aca="false">Operations!AS890+Operations!AS932+Operations!AS975+Operations!AS1018+Operations!AS1061</f>
        <v>0</v>
      </c>
      <c r="AT1200" s="20" t="n">
        <f aca="false">Operations!AT890+Operations!AT932+Operations!AT975+Operations!AT1018+Operations!AT1061</f>
        <v>0</v>
      </c>
      <c r="AU1200" s="20" t="n">
        <f aca="false">Operations!AU890+Operations!AU932+Operations!AU975+Operations!AU1018+Operations!AU1061</f>
        <v>0</v>
      </c>
    </row>
    <row r="1201" customFormat="false" ht="15" hidden="false" customHeight="false" outlineLevel="0" collapsed="false">
      <c r="D1201" s="0" t="s">
        <v>803</v>
      </c>
      <c r="E1201" s="0" t="s">
        <v>47</v>
      </c>
      <c r="J1201" s="20" t="n">
        <f aca="false">Operations!J891+Operations!J933+Operations!J976+Operations!J1019+Operations!J1062</f>
        <v>5.77838071232877</v>
      </c>
      <c r="K1201" s="20" t="n">
        <f aca="false">Operations!K891+Operations!K933+Operations!K976+Operations!K1019+Operations!K1062</f>
        <v>24.33324</v>
      </c>
      <c r="L1201" s="20" t="n">
        <f aca="false">Operations!L891+Operations!L933+Operations!L976+Operations!L1019+Operations!L1062</f>
        <v>24.37956</v>
      </c>
      <c r="M1201" s="20" t="n">
        <f aca="false">Operations!M891+Operations!M933+Operations!M976+Operations!M1019+Operations!M1062</f>
        <v>24.33324</v>
      </c>
      <c r="N1201" s="20" t="n">
        <f aca="false">Operations!N891+Operations!N933+Operations!N976+Operations!N1019+Operations!N1062</f>
        <v>24.33324</v>
      </c>
      <c r="O1201" s="20" t="n">
        <f aca="false">Operations!O891+Operations!O933+Operations!O976+Operations!O1019+Operations!O1062</f>
        <v>16.9068</v>
      </c>
      <c r="P1201" s="20" t="n">
        <f aca="false">Operations!P891+Operations!P933+Operations!P976+Operations!P1019+Operations!P1062</f>
        <v>0</v>
      </c>
      <c r="Q1201" s="20" t="n">
        <f aca="false">Operations!Q891+Operations!Q933+Operations!Q976+Operations!Q1019+Operations!Q1062</f>
        <v>0</v>
      </c>
      <c r="R1201" s="20" t="n">
        <f aca="false">Operations!R891+Operations!R933+Operations!R976+Operations!R1019+Operations!R1062</f>
        <v>0</v>
      </c>
      <c r="S1201" s="20" t="n">
        <f aca="false">Operations!S891+Operations!S933+Operations!S976+Operations!S1019+Operations!S1062</f>
        <v>0</v>
      </c>
      <c r="T1201" s="20" t="n">
        <f aca="false">Operations!T891+Operations!T933+Operations!T976+Operations!T1019+Operations!T1062</f>
        <v>0</v>
      </c>
      <c r="U1201" s="20" t="n">
        <f aca="false">Operations!U891+Operations!U933+Operations!U976+Operations!U1019+Operations!U1062</f>
        <v>0</v>
      </c>
      <c r="V1201" s="20" t="n">
        <f aca="false">Operations!V891+Operations!V933+Operations!V976+Operations!V1019+Operations!V1062</f>
        <v>0</v>
      </c>
      <c r="W1201" s="20" t="n">
        <f aca="false">Operations!W891+Operations!W933+Operations!W976+Operations!W1019+Operations!W1062</f>
        <v>0</v>
      </c>
      <c r="X1201" s="20" t="n">
        <f aca="false">Operations!X891+Operations!X933+Operations!X976+Operations!X1019+Operations!X1062</f>
        <v>0</v>
      </c>
      <c r="Y1201" s="20" t="n">
        <f aca="false">Operations!Y891+Operations!Y933+Operations!Y976+Operations!Y1019+Operations!Y1062</f>
        <v>0</v>
      </c>
      <c r="Z1201" s="20" t="n">
        <f aca="false">Operations!Z891+Operations!Z933+Operations!Z976+Operations!Z1019+Operations!Z1062</f>
        <v>0</v>
      </c>
      <c r="AA1201" s="20" t="n">
        <f aca="false">Operations!AA891+Operations!AA933+Operations!AA976+Operations!AA1019+Operations!AA1062</f>
        <v>0</v>
      </c>
      <c r="AB1201" s="20" t="n">
        <f aca="false">Operations!AB891+Operations!AB933+Operations!AB976+Operations!AB1019+Operations!AB1062</f>
        <v>0</v>
      </c>
      <c r="AC1201" s="20" t="n">
        <f aca="false">Operations!AC891+Operations!AC933+Operations!AC976+Operations!AC1019+Operations!AC1062</f>
        <v>0</v>
      </c>
      <c r="AD1201" s="20" t="n">
        <f aca="false">Operations!AD891+Operations!AD933+Operations!AD976+Operations!AD1019+Operations!AD1062</f>
        <v>0</v>
      </c>
      <c r="AE1201" s="20" t="n">
        <f aca="false">Operations!AE891+Operations!AE933+Operations!AE976+Operations!AE1019+Operations!AE1062</f>
        <v>0</v>
      </c>
      <c r="AF1201" s="20" t="n">
        <f aca="false">Operations!AF891+Operations!AF933+Operations!AF976+Operations!AF1019+Operations!AF1062</f>
        <v>0</v>
      </c>
      <c r="AG1201" s="20" t="n">
        <f aca="false">Operations!AG891+Operations!AG933+Operations!AG976+Operations!AG1019+Operations!AG1062</f>
        <v>0</v>
      </c>
      <c r="AH1201" s="20" t="n">
        <f aca="false">Operations!AH891+Operations!AH933+Operations!AH976+Operations!AH1019+Operations!AH1062</f>
        <v>0</v>
      </c>
      <c r="AI1201" s="20" t="n">
        <f aca="false">Operations!AI891+Operations!AI933+Operations!AI976+Operations!AI1019+Operations!AI1062</f>
        <v>0</v>
      </c>
      <c r="AJ1201" s="20" t="n">
        <f aca="false">Operations!AJ891+Operations!AJ933+Operations!AJ976+Operations!AJ1019+Operations!AJ1062</f>
        <v>0</v>
      </c>
      <c r="AK1201" s="20" t="n">
        <f aca="false">Operations!AK891+Operations!AK933+Operations!AK976+Operations!AK1019+Operations!AK1062</f>
        <v>0</v>
      </c>
      <c r="AL1201" s="20" t="n">
        <f aca="false">Operations!AL891+Operations!AL933+Operations!AL976+Operations!AL1019+Operations!AL1062</f>
        <v>0</v>
      </c>
      <c r="AM1201" s="20" t="n">
        <f aca="false">Operations!AM891+Operations!AM933+Operations!AM976+Operations!AM1019+Operations!AM1062</f>
        <v>0</v>
      </c>
      <c r="AN1201" s="20" t="n">
        <f aca="false">Operations!AN891+Operations!AN933+Operations!AN976+Operations!AN1019+Operations!AN1062</f>
        <v>0</v>
      </c>
      <c r="AO1201" s="20" t="n">
        <f aca="false">Operations!AO891+Operations!AO933+Operations!AO976+Operations!AO1019+Operations!AO1062</f>
        <v>0</v>
      </c>
      <c r="AP1201" s="20" t="n">
        <f aca="false">Operations!AP891+Operations!AP933+Operations!AP976+Operations!AP1019+Operations!AP1062</f>
        <v>0</v>
      </c>
      <c r="AQ1201" s="20" t="n">
        <f aca="false">Operations!AQ891+Operations!AQ933+Operations!AQ976+Operations!AQ1019+Operations!AQ1062</f>
        <v>0</v>
      </c>
      <c r="AR1201" s="20" t="n">
        <f aca="false">Operations!AR891+Operations!AR933+Operations!AR976+Operations!AR1019+Operations!AR1062</f>
        <v>0</v>
      </c>
      <c r="AS1201" s="20" t="n">
        <f aca="false">Operations!AS891+Operations!AS933+Operations!AS976+Operations!AS1019+Operations!AS1062</f>
        <v>0</v>
      </c>
      <c r="AT1201" s="20" t="n">
        <f aca="false">Operations!AT891+Operations!AT933+Operations!AT976+Operations!AT1019+Operations!AT1062</f>
        <v>0</v>
      </c>
      <c r="AU1201" s="20" t="n">
        <f aca="false">Operations!AU891+Operations!AU933+Operations!AU976+Operations!AU1019+Operations!AU1062</f>
        <v>0</v>
      </c>
    </row>
    <row r="1202" customFormat="false" ht="15" hidden="false" customHeight="false" outlineLevel="0" collapsed="false">
      <c r="D1202" s="0" t="s">
        <v>804</v>
      </c>
      <c r="E1202" s="0" t="s">
        <v>47</v>
      </c>
      <c r="J1202" s="20" t="n">
        <f aca="false">Operations!J892+Operations!J934+Operations!J977+Operations!J1020+Operations!J1063</f>
        <v>20.1834561074995</v>
      </c>
      <c r="K1202" s="20" t="n">
        <f aca="false">Operations!K892+Operations!K934+Operations!K977+Operations!K1020+Operations!K1063</f>
        <v>0.0598911769971021</v>
      </c>
      <c r="L1202" s="20" t="n">
        <f aca="false">Operations!L892+Operations!L934+Operations!L977+Operations!L1020+Operations!L1063</f>
        <v>-0.221783490473603</v>
      </c>
      <c r="M1202" s="20" t="n">
        <f aca="false">Operations!M892+Operations!M934+Operations!M977+Operations!M1020+Operations!M1063</f>
        <v>-0.546044727329972</v>
      </c>
      <c r="N1202" s="20" t="n">
        <f aca="false">Operations!N892+Operations!N934+Operations!N977+Operations!N1020+Operations!N1063</f>
        <v>-0.82606632239937</v>
      </c>
      <c r="O1202" s="20" t="n">
        <f aca="false">Operations!O892+Operations!O934+Operations!O977+Operations!O1020+Operations!O1063</f>
        <v>4.71946902131488</v>
      </c>
      <c r="P1202" s="20" t="n">
        <f aca="false">Operations!P892+Operations!P934+Operations!P977+Operations!P1020+Operations!P1063</f>
        <v>21.1221524421091</v>
      </c>
      <c r="Q1202" s="20" t="n">
        <f aca="false">Operations!Q892+Operations!Q934+Operations!Q977+Operations!Q1020+Operations!Q1063</f>
        <v>35.012834229158</v>
      </c>
      <c r="R1202" s="20" t="n">
        <f aca="false">Operations!R892+Operations!R934+Operations!R977+Operations!R1020+Operations!R1063</f>
        <v>61.5359928838353</v>
      </c>
      <c r="S1202" s="20" t="n">
        <f aca="false">Operations!S892+Operations!S934+Operations!S977+Operations!S1020+Operations!S1063</f>
        <v>62.0766365956728</v>
      </c>
      <c r="T1202" s="20" t="n">
        <f aca="false">Operations!T892+Operations!T934+Operations!T977+Operations!T1020+Operations!T1063</f>
        <v>62.6168022458144</v>
      </c>
      <c r="U1202" s="20" t="n">
        <f aca="false">Operations!U892+Operations!U934+Operations!U977+Operations!U1020+Operations!U1063</f>
        <v>69.2163966255536</v>
      </c>
      <c r="V1202" s="20" t="n">
        <f aca="false">Operations!V892+Operations!V934+Operations!V977+Operations!V1020+Operations!V1063</f>
        <v>75.5193942953096</v>
      </c>
      <c r="W1202" s="20" t="n">
        <f aca="false">Operations!W892+Operations!W934+Operations!W977+Operations!W1020+Operations!W1063</f>
        <v>75.8491732410743</v>
      </c>
      <c r="X1202" s="20" t="n">
        <f aca="false">Operations!X892+Operations!X934+Operations!X977+Operations!X1020+Operations!X1063</f>
        <v>76.7761205421164</v>
      </c>
      <c r="Y1202" s="20" t="n">
        <f aca="false">Operations!Y892+Operations!Y934+Operations!Y977+Operations!Y1020+Operations!Y1063</f>
        <v>77.7215768891192</v>
      </c>
      <c r="Z1202" s="20" t="n">
        <f aca="false">Operations!Z892+Operations!Z934+Operations!Z977+Operations!Z1020+Operations!Z1063</f>
        <v>78.671804454139</v>
      </c>
      <c r="AA1202" s="20" t="n">
        <f aca="false">Operations!AA892+Operations!AA934+Operations!AA977+Operations!AA1020+Operations!AA1063</f>
        <v>79.7470944112288</v>
      </c>
      <c r="AB1202" s="20" t="n">
        <f aca="false">Operations!AB892+Operations!AB934+Operations!AB977+Operations!AB1020+Operations!AB1063</f>
        <v>80.8433199292554</v>
      </c>
      <c r="AC1202" s="20" t="n">
        <f aca="false">Operations!AC892+Operations!AC934+Operations!AC977+Operations!AC1020+Operations!AC1063</f>
        <v>81.9471444366471</v>
      </c>
      <c r="AD1202" s="20" t="n">
        <f aca="false">Operations!AD892+Operations!AD934+Operations!AD977+Operations!AD1020+Operations!AD1063</f>
        <v>83.0708390603795</v>
      </c>
      <c r="AE1202" s="20" t="n">
        <f aca="false">Operations!AE892+Operations!AE934+Operations!AE977+Operations!AE1020+Operations!AE1063</f>
        <v>84.3903703392929</v>
      </c>
      <c r="AF1202" s="20" t="n">
        <f aca="false">Operations!AF892+Operations!AF934+Operations!AF977+Operations!AF1020+Operations!AF1063</f>
        <v>85.7355147776096</v>
      </c>
      <c r="AG1202" s="20" t="n">
        <f aca="false">Operations!AG892+Operations!AG934+Operations!AG977+Operations!AG1020+Operations!AG1063</f>
        <v>68.1592146930418</v>
      </c>
      <c r="AH1202" s="20" t="n">
        <f aca="false">Operations!AH892+Operations!AH934+Operations!AH977+Operations!AH1020+Operations!AH1063</f>
        <v>69.2864521294978</v>
      </c>
      <c r="AI1202" s="20" t="n">
        <f aca="false">Operations!AI892+Operations!AI934+Operations!AI977+Operations!AI1020+Operations!AI1063</f>
        <v>52.4685725136673</v>
      </c>
      <c r="AJ1202" s="20" t="n">
        <f aca="false">Operations!AJ892+Operations!AJ934+Operations!AJ977+Operations!AJ1020+Operations!AJ1063</f>
        <v>35.3251587648481</v>
      </c>
      <c r="AK1202" s="20" t="n">
        <f aca="false">Operations!AK892+Operations!AK934+Operations!AK977+Operations!AK1020+Operations!AK1063</f>
        <v>34.6566873569153</v>
      </c>
      <c r="AL1202" s="20" t="n">
        <f aca="false">Operations!AL892+Operations!AL934+Operations!AL977+Operations!AL1020+Operations!AL1063</f>
        <v>21.5169269375178</v>
      </c>
      <c r="AM1202" s="20" t="n">
        <f aca="false">Operations!AM892+Operations!AM934+Operations!AM977+Operations!AM1020+Operations!AM1063</f>
        <v>21.8486697565562</v>
      </c>
      <c r="AN1202" s="20" t="n">
        <f aca="false">Operations!AN892+Operations!AN934+Operations!AN977+Operations!AN1020+Operations!AN1063</f>
        <v>22.1853023496567</v>
      </c>
      <c r="AO1202" s="20" t="n">
        <f aca="false">Operations!AO892+Operations!AO934+Operations!AO977+Operations!AO1020+Operations!AO1063</f>
        <v>22.5267365907632</v>
      </c>
      <c r="AP1202" s="20" t="n">
        <f aca="false">Operations!AP892+Operations!AP934+Operations!AP977+Operations!AP1020+Operations!AP1063</f>
        <v>22.8728852162376</v>
      </c>
      <c r="AQ1202" s="20" t="n">
        <f aca="false">Operations!AQ892+Operations!AQ934+Operations!AQ977+Operations!AQ1020+Operations!AQ1063</f>
        <v>21.8493028917565</v>
      </c>
      <c r="AR1202" s="20" t="n">
        <f aca="false">Operations!AR892+Operations!AR934+Operations!AR977+Operations!AR1020+Operations!AR1063</f>
        <v>7.5671366561157</v>
      </c>
      <c r="AS1202" s="20" t="n">
        <f aca="false">Operations!AS892+Operations!AS934+Operations!AS977+Operations!AS1020+Operations!AS1063</f>
        <v>0</v>
      </c>
      <c r="AT1202" s="20" t="n">
        <f aca="false">Operations!AT892+Operations!AT934+Operations!AT977+Operations!AT1020+Operations!AT1063</f>
        <v>0</v>
      </c>
      <c r="AU1202" s="20" t="n">
        <f aca="false">Operations!AU892+Operations!AU934+Operations!AU977+Operations!AU1020+Operations!AU1063</f>
        <v>0</v>
      </c>
    </row>
    <row r="1203" customFormat="false" ht="15" hidden="false" customHeight="false" outlineLevel="0" collapsed="false">
      <c r="D1203" s="0" t="s">
        <v>805</v>
      </c>
      <c r="E1203" s="0" t="s">
        <v>47</v>
      </c>
      <c r="J1203" s="20" t="n">
        <f aca="false">Operations!J1200+Operations!J1201+Operations!J1202</f>
        <v>60.0963947414391</v>
      </c>
      <c r="K1203" s="20" t="n">
        <f aca="false">Operations!K1200+Operations!K1201+Operations!K1202</f>
        <v>68.1395634618406</v>
      </c>
      <c r="L1203" s="20" t="n">
        <f aca="false">Operations!L1200+Operations!L1201+Operations!L1202</f>
        <v>67.7811834607309</v>
      </c>
      <c r="M1203" s="20" t="n">
        <f aca="false">Operations!M1200+Operations!M1201+Operations!M1202</f>
        <v>67.2882340403045</v>
      </c>
      <c r="N1203" s="20" t="n">
        <f aca="false">Operations!N1200+Operations!N1201+Operations!N1202</f>
        <v>66.9307635635994</v>
      </c>
      <c r="O1203" s="20" t="n">
        <f aca="false">Operations!O1200+Operations!O1201+Operations!O1202</f>
        <v>65.7765453206404</v>
      </c>
      <c r="P1203" s="20" t="n">
        <f aca="false">Operations!P1200+Operations!P1201+Operations!P1202</f>
        <v>65.9790828858363</v>
      </c>
      <c r="Q1203" s="20" t="n">
        <f aca="false">Operations!Q1200+Operations!Q1201+Operations!Q1202</f>
        <v>70.0766411081577</v>
      </c>
      <c r="R1203" s="20" t="n">
        <f aca="false">Operations!R1200+Operations!R1201+Operations!R1202</f>
        <v>71.499781030994</v>
      </c>
      <c r="S1203" s="20" t="n">
        <f aca="false">Operations!S1200+Operations!S1201+Operations!S1202</f>
        <v>71.9955876961693</v>
      </c>
      <c r="T1203" s="20" t="n">
        <f aca="false">Operations!T1200+Operations!T1201+Operations!T1202</f>
        <v>72.4911180663586</v>
      </c>
      <c r="U1203" s="20" t="n">
        <f aca="false">Operations!U1200+Operations!U1201+Operations!U1202</f>
        <v>74.0909405523554</v>
      </c>
      <c r="V1203" s="20" t="n">
        <f aca="false">Operations!V1200+Operations!V1201+Operations!V1202</f>
        <v>75.5193942953096</v>
      </c>
      <c r="W1203" s="20" t="n">
        <f aca="false">Operations!W1200+Operations!W1201+Operations!W1202</f>
        <v>75.8491732410743</v>
      </c>
      <c r="X1203" s="20" t="n">
        <f aca="false">Operations!X1200+Operations!X1201+Operations!X1202</f>
        <v>76.7761205421164</v>
      </c>
      <c r="Y1203" s="20" t="n">
        <f aca="false">Operations!Y1200+Operations!Y1201+Operations!Y1202</f>
        <v>77.7215768891192</v>
      </c>
      <c r="Z1203" s="20" t="n">
        <f aca="false">Operations!Z1200+Operations!Z1201+Operations!Z1202</f>
        <v>78.671804454139</v>
      </c>
      <c r="AA1203" s="20" t="n">
        <f aca="false">Operations!AA1200+Operations!AA1201+Operations!AA1202</f>
        <v>79.7470944112288</v>
      </c>
      <c r="AB1203" s="20" t="n">
        <f aca="false">Operations!AB1200+Operations!AB1201+Operations!AB1202</f>
        <v>80.8433199292554</v>
      </c>
      <c r="AC1203" s="20" t="n">
        <f aca="false">Operations!AC1200+Operations!AC1201+Operations!AC1202</f>
        <v>81.9471444366471</v>
      </c>
      <c r="AD1203" s="20" t="n">
        <f aca="false">Operations!AD1200+Operations!AD1201+Operations!AD1202</f>
        <v>83.0708390603795</v>
      </c>
      <c r="AE1203" s="20" t="n">
        <f aca="false">Operations!AE1200+Operations!AE1201+Operations!AE1202</f>
        <v>84.3903703392929</v>
      </c>
      <c r="AF1203" s="20" t="n">
        <f aca="false">Operations!AF1200+Operations!AF1201+Operations!AF1202</f>
        <v>85.7355147776096</v>
      </c>
      <c r="AG1203" s="20" t="n">
        <f aca="false">Operations!AG1200+Operations!AG1201+Operations!AG1202</f>
        <v>68.1592146930418</v>
      </c>
      <c r="AH1203" s="20" t="n">
        <f aca="false">Operations!AH1200+Operations!AH1201+Operations!AH1202</f>
        <v>69.2864521294978</v>
      </c>
      <c r="AI1203" s="20" t="n">
        <f aca="false">Operations!AI1200+Operations!AI1201+Operations!AI1202</f>
        <v>52.4685725136673</v>
      </c>
      <c r="AJ1203" s="20" t="n">
        <f aca="false">Operations!AJ1200+Operations!AJ1201+Operations!AJ1202</f>
        <v>35.3251587648481</v>
      </c>
      <c r="AK1203" s="20" t="n">
        <f aca="false">Operations!AK1200+Operations!AK1201+Operations!AK1202</f>
        <v>34.6566873569153</v>
      </c>
      <c r="AL1203" s="20" t="n">
        <f aca="false">Operations!AL1200+Operations!AL1201+Operations!AL1202</f>
        <v>21.5169269375178</v>
      </c>
      <c r="AM1203" s="20" t="n">
        <f aca="false">Operations!AM1200+Operations!AM1201+Operations!AM1202</f>
        <v>21.8486697565562</v>
      </c>
      <c r="AN1203" s="20" t="n">
        <f aca="false">Operations!AN1200+Operations!AN1201+Operations!AN1202</f>
        <v>22.1853023496567</v>
      </c>
      <c r="AO1203" s="20" t="n">
        <f aca="false">Operations!AO1200+Operations!AO1201+Operations!AO1202</f>
        <v>22.5267365907632</v>
      </c>
      <c r="AP1203" s="20" t="n">
        <f aca="false">Operations!AP1200+Operations!AP1201+Operations!AP1202</f>
        <v>22.8728852162376</v>
      </c>
      <c r="AQ1203" s="20" t="n">
        <f aca="false">Operations!AQ1200+Operations!AQ1201+Operations!AQ1202</f>
        <v>21.8493028917565</v>
      </c>
      <c r="AR1203" s="20" t="n">
        <f aca="false">Operations!AR1200+Operations!AR1201+Operations!AR1202</f>
        <v>7.5671366561157</v>
      </c>
      <c r="AS1203" s="20" t="n">
        <f aca="false">Operations!AS1200+Operations!AS1201+Operations!AS1202</f>
        <v>0</v>
      </c>
      <c r="AT1203" s="20" t="n">
        <f aca="false">Operations!AT1200+Operations!AT1201+Operations!AT1202</f>
        <v>0</v>
      </c>
      <c r="AU1203" s="20" t="n">
        <f aca="false">Operations!AU1200+Operations!AU1201+Operations!AU1202</f>
        <v>0</v>
      </c>
    </row>
    <row r="1204" customFormat="false" ht="15" hidden="false" customHeight="false" outlineLevel="0" collapsed="false">
      <c r="D1204" s="0" t="s">
        <v>806</v>
      </c>
      <c r="E1204" s="0" t="s">
        <v>47</v>
      </c>
      <c r="J1204" s="20" t="n">
        <f aca="false">Operations!J884+Operations!J926+Operations!J969+Operations!J1012+Operations!J1055+Operations!J1097+Operations!J1144+Operations!J1186</f>
        <v>37.0324000477976</v>
      </c>
      <c r="K1204" s="20" t="n">
        <f aca="false">Operations!K884+Operations!K926+Operations!K969+Operations!K1012+Operations!K1055+Operations!K1097+Operations!K1144+Operations!K1186</f>
        <v>40.4502645316492</v>
      </c>
      <c r="L1204" s="20" t="n">
        <f aca="false">Operations!L884+Operations!L926+Operations!L969+Operations!L1012+Operations!L1055+Operations!L1097+Operations!L1144+Operations!L1186</f>
        <v>51.5016346056199</v>
      </c>
      <c r="M1204" s="20" t="n">
        <f aca="false">Operations!M884+Operations!M926+Operations!M969+Operations!M1012+Operations!M1055+Operations!M1097+Operations!M1144+Operations!M1186</f>
        <v>58.8136298339413</v>
      </c>
      <c r="N1204" s="20" t="n">
        <f aca="false">Operations!N884+Operations!N926+Operations!N969+Operations!N1012+Operations!N1055+Operations!N1097+Operations!N1144+Operations!N1186</f>
        <v>57.7618523105353</v>
      </c>
      <c r="O1204" s="20" t="n">
        <f aca="false">Operations!O884+Operations!O926+Operations!O969+Operations!O1012+Operations!O1055+Operations!O1097+Operations!O1144+Operations!O1186</f>
        <v>55.4501931957123</v>
      </c>
      <c r="P1204" s="20" t="n">
        <f aca="false">Operations!P884+Operations!P926+Operations!P969+Operations!P1012+Operations!P1055+Operations!P1097+Operations!P1144+Operations!P1186</f>
        <v>53.873665094588</v>
      </c>
      <c r="Q1204" s="20" t="n">
        <f aca="false">Operations!Q884+Operations!Q926+Operations!Q969+Operations!Q1012+Operations!Q1055+Operations!Q1097+Operations!Q1144+Operations!Q1186</f>
        <v>56.4657994140713</v>
      </c>
      <c r="R1204" s="20" t="n">
        <f aca="false">Operations!R884+Operations!R926+Operations!R969+Operations!R1012+Operations!R1055+Operations!R1097+Operations!R1144+Operations!R1186</f>
        <v>52.7243999861597</v>
      </c>
      <c r="S1204" s="20" t="n">
        <f aca="false">Operations!S884+Operations!S926+Operations!S969+Operations!S1012+Operations!S1055+Operations!S1097+Operations!S1144+Operations!S1186</f>
        <v>49.4782790008022</v>
      </c>
      <c r="T1204" s="20" t="n">
        <f aca="false">Operations!T884+Operations!T926+Operations!T969+Operations!T1012+Operations!T1055+Operations!T1097+Operations!T1144+Operations!T1186</f>
        <v>47.5343128524765</v>
      </c>
      <c r="U1204" s="20" t="n">
        <f aca="false">Operations!U884+Operations!U926+Operations!U969+Operations!U1012+Operations!U1055+Operations!U1097+Operations!U1144+Operations!U1186</f>
        <v>47.5488820366419</v>
      </c>
      <c r="V1204" s="20" t="n">
        <f aca="false">Operations!V884+Operations!V926+Operations!V969+Operations!V1012+Operations!V1055+Operations!V1097+Operations!V1144+Operations!V1186</f>
        <v>48.8211154916082</v>
      </c>
      <c r="W1204" s="20" t="n">
        <f aca="false">Operations!W884+Operations!W926+Operations!W969+Operations!W1012+Operations!W1055+Operations!W1097+Operations!W1144+Operations!W1186</f>
        <v>47.8760415849353</v>
      </c>
      <c r="X1204" s="20" t="n">
        <f aca="false">Operations!X884+Operations!X926+Operations!X969+Operations!X1012+Operations!X1055+Operations!X1097+Operations!X1144+Operations!X1186</f>
        <v>47.5449792452609</v>
      </c>
      <c r="Y1204" s="20" t="n">
        <f aca="false">Operations!Y884+Operations!Y926+Operations!Y969+Operations!Y1012+Operations!Y1055+Operations!Y1097+Operations!Y1144+Operations!Y1186</f>
        <v>47.232767221276</v>
      </c>
      <c r="Z1204" s="20" t="n">
        <f aca="false">Operations!Z884+Operations!Z926+Operations!Z969+Operations!Z1012+Operations!Z1055+Operations!Z1097+Operations!Z1144+Operations!Z1186</f>
        <v>47.0049118816187</v>
      </c>
      <c r="AA1204" s="20" t="n">
        <f aca="false">Operations!AA884+Operations!AA926+Operations!AA969+Operations!AA1012+Operations!AA1055+Operations!AA1097+Operations!AA1144+Operations!AA1186</f>
        <v>46.8662656523336</v>
      </c>
      <c r="AB1204" s="20" t="n">
        <f aca="false">Operations!AB884+Operations!AB926+Operations!AB969+Operations!AB1012+Operations!AB1055+Operations!AB1097+Operations!AB1144+Operations!AB1186</f>
        <v>46.7144636108664</v>
      </c>
      <c r="AC1204" s="20" t="n">
        <f aca="false">Operations!AC884+Operations!AC926+Operations!AC969+Operations!AC1012+Operations!AC1055+Operations!AC1097+Operations!AC1144+Operations!AC1186</f>
        <v>46.5352537677041</v>
      </c>
      <c r="AD1204" s="20" t="n">
        <f aca="false">Operations!AD884+Operations!AD926+Operations!AD969+Operations!AD1012+Operations!AD1055+Operations!AD1097+Operations!AD1144+Operations!AD1186</f>
        <v>46.3422235468861</v>
      </c>
      <c r="AE1204" s="20" t="n">
        <f aca="false">Operations!AE884+Operations!AE926+Operations!AE969+Operations!AE1012+Operations!AE1055+Operations!AE1097+Operations!AE1144+Operations!AE1186</f>
        <v>41.1088383409844</v>
      </c>
      <c r="AF1204" s="20" t="n">
        <f aca="false">Operations!AF884+Operations!AF926+Operations!AF969+Operations!AF1012+Operations!AF1055+Operations!AF1097+Operations!AF1144+Operations!AF1186</f>
        <v>10.9033807494994</v>
      </c>
      <c r="AG1204" s="20" t="n">
        <f aca="false">Operations!AG884+Operations!AG926+Operations!AG969+Operations!AG1012+Operations!AG1055+Operations!AG1097+Operations!AG1144+Operations!AG1186</f>
        <v>33.7273369112857</v>
      </c>
      <c r="AH1204" s="20" t="n">
        <f aca="false">Operations!AH884+Operations!AH926+Operations!AH969+Operations!AH1012+Operations!AH1055+Operations!AH1097+Operations!AH1144+Operations!AH1186</f>
        <v>33.9201519058578</v>
      </c>
      <c r="AI1204" s="20" t="n">
        <f aca="false">Operations!AI884+Operations!AI926+Operations!AI969+Operations!AI1012+Operations!AI1055+Operations!AI1097+Operations!AI1144+Operations!AI1186</f>
        <v>-1.5570469114948</v>
      </c>
      <c r="AJ1204" s="20" t="n">
        <f aca="false">Operations!AJ884+Operations!AJ926+Operations!AJ969+Operations!AJ1012+Operations!AJ1055+Operations!AJ1097+Operations!AJ1144+Operations!AJ1186</f>
        <v>20.0695460022728</v>
      </c>
      <c r="AK1204" s="20" t="n">
        <f aca="false">Operations!AK884+Operations!AK926+Operations!AK969+Operations!AK1012+Operations!AK1055+Operations!AK1097+Operations!AK1144+Operations!AK1186</f>
        <v>2.36608615687198</v>
      </c>
      <c r="AL1204" s="20" t="n">
        <f aca="false">Operations!AL884+Operations!AL926+Operations!AL969+Operations!AL1012+Operations!AL1055+Operations!AL1097+Operations!AL1144+Operations!AL1186</f>
        <v>17.2423133925741</v>
      </c>
      <c r="AM1204" s="20" t="n">
        <f aca="false">Operations!AM884+Operations!AM926+Operations!AM969+Operations!AM1012+Operations!AM1055+Operations!AM1097+Operations!AM1144+Operations!AM1186</f>
        <v>17.3694626012105</v>
      </c>
      <c r="AN1204" s="20" t="n">
        <f aca="false">Operations!AN884+Operations!AN926+Operations!AN969+Operations!AN1012+Operations!AN1055+Operations!AN1097+Operations!AN1144+Operations!AN1186</f>
        <v>17.49471679536</v>
      </c>
      <c r="AO1204" s="20" t="n">
        <f aca="false">Operations!AO884+Operations!AO926+Operations!AO969+Operations!AO1012+Operations!AO1055+Operations!AO1097+Operations!AO1144+Operations!AO1186</f>
        <v>17.6177122917681</v>
      </c>
      <c r="AP1204" s="20" t="n">
        <f aca="false">Operations!AP884+Operations!AP926+Operations!AP969+Operations!AP1012+Operations!AP1055+Operations!AP1097+Operations!AP1144+Operations!AP1186</f>
        <v>17.7380807364165</v>
      </c>
      <c r="AQ1204" s="20" t="n">
        <f aca="false">Operations!AQ884+Operations!AQ926+Operations!AQ969+Operations!AQ1012+Operations!AQ1055+Operations!AQ1097+Operations!AQ1144+Operations!AQ1186</f>
        <v>8.73434795163329</v>
      </c>
      <c r="AR1204" s="20" t="n">
        <f aca="false">Operations!AR884+Operations!AR926+Operations!AR969+Operations!AR1012+Operations!AR1055+Operations!AR1097+Operations!AR1144+Operations!AR1186</f>
        <v>-4.92581431972126</v>
      </c>
      <c r="AS1204" s="20" t="n">
        <f aca="false">Operations!AS884+Operations!AS926+Operations!AS969+Operations!AS1012+Operations!AS1055+Operations!AS1097+Operations!AS1144+Operations!AS1186</f>
        <v>6.68635124040054</v>
      </c>
      <c r="AT1204" s="20" t="n">
        <f aca="false">Operations!AT884+Operations!AT926+Operations!AT969+Operations!AT1012+Operations!AT1055+Operations!AT1097+Operations!AT1144+Operations!AT1186</f>
        <v>6.7433053880044</v>
      </c>
      <c r="AU1204" s="20" t="n">
        <f aca="false">Operations!AU884+Operations!AU926+Operations!AU969+Operations!AU1012+Operations!AU1055+Operations!AU1097+Operations!AU1144+Operations!AU1186</f>
        <v>-4.57048533600244</v>
      </c>
    </row>
    <row r="1205" customFormat="false" ht="15" hidden="false" customHeight="false" outlineLevel="0" collapsed="false">
      <c r="D1205" s="0" t="s">
        <v>807</v>
      </c>
      <c r="E1205" s="0" t="s">
        <v>47</v>
      </c>
      <c r="J1205" s="20" t="n">
        <f aca="false">Operations!J890+Operations!J932+Operations!J975+Operations!J1018+Operations!J1061+Operations!J1103+Operations!J1150+Operations!J1192</f>
        <v>34.1345579216108</v>
      </c>
      <c r="K1205" s="20" t="n">
        <f aca="false">Operations!K890+Operations!K932+Operations!K975+Operations!K1018+Operations!K1061+Operations!K1103+Operations!K1150+Operations!K1192</f>
        <v>47.4164596821037</v>
      </c>
      <c r="L1205" s="20" t="n">
        <f aca="false">Operations!L890+Operations!L932+Operations!L975+Operations!L1018+Operations!L1061+Operations!L1103+Operations!L1150+Operations!L1192</f>
        <v>62.2339807216963</v>
      </c>
      <c r="M1205" s="20" t="n">
        <f aca="false">Operations!M890+Operations!M932+Operations!M975+Operations!M1018+Operations!M1061+Operations!M1103+Operations!M1150+Operations!M1192</f>
        <v>64.7110387676345</v>
      </c>
      <c r="N1205" s="20" t="n">
        <f aca="false">Operations!N890+Operations!N932+Operations!N975+Operations!N1018+Operations!N1061+Operations!N1103+Operations!N1150+Operations!N1192</f>
        <v>64.6335898859988</v>
      </c>
      <c r="O1205" s="20" t="n">
        <f aca="false">Operations!O890+Operations!O932+Operations!O975+Operations!O1018+Operations!O1061+Operations!O1103+Operations!O1150+Operations!O1192</f>
        <v>65.3602762993255</v>
      </c>
      <c r="P1205" s="20" t="n">
        <f aca="false">Operations!P890+Operations!P932+Operations!P975+Operations!P1018+Operations!P1061+Operations!P1103+Operations!P1150+Operations!P1192</f>
        <v>66.0669304437272</v>
      </c>
      <c r="Q1205" s="20" t="n">
        <f aca="false">Operations!Q890+Operations!Q932+Operations!Q975+Operations!Q1018+Operations!Q1061+Operations!Q1103+Operations!Q1150+Operations!Q1192</f>
        <v>56.2738068789997</v>
      </c>
      <c r="R1205" s="20" t="n">
        <f aca="false">Operations!R890+Operations!R932+Operations!R975+Operations!R1018+Operations!R1061+Operations!R1103+Operations!R1150+Operations!R1192</f>
        <v>26.0297333526382</v>
      </c>
      <c r="S1205" s="20" t="n">
        <f aca="false">Operations!S890+Operations!S932+Operations!S975+Operations!S1018+Operations!S1061+Operations!S1103+Operations!S1150+Operations!S1192</f>
        <v>20.1489511004965</v>
      </c>
      <c r="T1205" s="20" t="n">
        <f aca="false">Operations!T890+Operations!T932+Operations!T975+Operations!T1018+Operations!T1061+Operations!T1103+Operations!T1150+Operations!T1192</f>
        <v>12.4457912303803</v>
      </c>
      <c r="U1205" s="20" t="n">
        <f aca="false">Operations!U890+Operations!U932+Operations!U975+Operations!U1018+Operations!U1061+Operations!U1103+Operations!U1150+Operations!U1192</f>
        <v>4.87454392680186</v>
      </c>
      <c r="V1205" s="20" t="n">
        <f aca="false">Operations!V890+Operations!V932+Operations!V975+Operations!V1018+Operations!V1061+Operations!V1103+Operations!V1150+Operations!V1192</f>
        <v>0</v>
      </c>
      <c r="W1205" s="20" t="n">
        <f aca="false">Operations!W890+Operations!W932+Operations!W975+Operations!W1018+Operations!W1061+Operations!W1103+Operations!W1150+Operations!W1192</f>
        <v>0</v>
      </c>
      <c r="X1205" s="20" t="n">
        <f aca="false">Operations!X890+Operations!X932+Operations!X975+Operations!X1018+Operations!X1061+Operations!X1103+Operations!X1150+Operations!X1192</f>
        <v>0</v>
      </c>
      <c r="Y1205" s="20" t="n">
        <f aca="false">Operations!Y890+Operations!Y932+Operations!Y975+Operations!Y1018+Operations!Y1061+Operations!Y1103+Operations!Y1150+Operations!Y1192</f>
        <v>0</v>
      </c>
      <c r="Z1205" s="20" t="n">
        <f aca="false">Operations!Z890+Operations!Z932+Operations!Z975+Operations!Z1018+Operations!Z1061+Operations!Z1103+Operations!Z1150+Operations!Z1192</f>
        <v>0</v>
      </c>
      <c r="AA1205" s="20" t="n">
        <f aca="false">Operations!AA890+Operations!AA932+Operations!AA975+Operations!AA1018+Operations!AA1061+Operations!AA1103+Operations!AA1150+Operations!AA1192</f>
        <v>0</v>
      </c>
      <c r="AB1205" s="20" t="n">
        <f aca="false">Operations!AB890+Operations!AB932+Operations!AB975+Operations!AB1018+Operations!AB1061+Operations!AB1103+Operations!AB1150+Operations!AB1192</f>
        <v>0</v>
      </c>
      <c r="AC1205" s="20" t="n">
        <f aca="false">Operations!AC890+Operations!AC932+Operations!AC975+Operations!AC1018+Operations!AC1061+Operations!AC1103+Operations!AC1150+Operations!AC1192</f>
        <v>0</v>
      </c>
      <c r="AD1205" s="20" t="n">
        <f aca="false">Operations!AD890+Operations!AD932+Operations!AD975+Operations!AD1018+Operations!AD1061+Operations!AD1103+Operations!AD1150+Operations!AD1192</f>
        <v>0</v>
      </c>
      <c r="AE1205" s="20" t="n">
        <f aca="false">Operations!AE890+Operations!AE932+Operations!AE975+Operations!AE1018+Operations!AE1061+Operations!AE1103+Operations!AE1150+Operations!AE1192</f>
        <v>0</v>
      </c>
      <c r="AF1205" s="20" t="n">
        <f aca="false">Operations!AF890+Operations!AF932+Operations!AF975+Operations!AF1018+Operations!AF1061+Operations!AF1103+Operations!AF1150+Operations!AF1192</f>
        <v>0</v>
      </c>
      <c r="AG1205" s="20" t="n">
        <f aca="false">Operations!AG890+Operations!AG932+Operations!AG975+Operations!AG1018+Operations!AG1061+Operations!AG1103+Operations!AG1150+Operations!AG1192</f>
        <v>0</v>
      </c>
      <c r="AH1205" s="20" t="n">
        <f aca="false">Operations!AH890+Operations!AH932+Operations!AH975+Operations!AH1018+Operations!AH1061+Operations!AH1103+Operations!AH1150+Operations!AH1192</f>
        <v>0</v>
      </c>
      <c r="AI1205" s="20" t="n">
        <f aca="false">Operations!AI890+Operations!AI932+Operations!AI975+Operations!AI1018+Operations!AI1061+Operations!AI1103+Operations!AI1150+Operations!AI1192</f>
        <v>0</v>
      </c>
      <c r="AJ1205" s="20" t="n">
        <f aca="false">Operations!AJ890+Operations!AJ932+Operations!AJ975+Operations!AJ1018+Operations!AJ1061+Operations!AJ1103+Operations!AJ1150+Operations!AJ1192</f>
        <v>0</v>
      </c>
      <c r="AK1205" s="20" t="n">
        <f aca="false">Operations!AK890+Operations!AK932+Operations!AK975+Operations!AK1018+Operations!AK1061+Operations!AK1103+Operations!AK1150+Operations!AK1192</f>
        <v>0</v>
      </c>
      <c r="AL1205" s="20" t="n">
        <f aca="false">Operations!AL890+Operations!AL932+Operations!AL975+Operations!AL1018+Operations!AL1061+Operations!AL1103+Operations!AL1150+Operations!AL1192</f>
        <v>0</v>
      </c>
      <c r="AM1205" s="20" t="n">
        <f aca="false">Operations!AM890+Operations!AM932+Operations!AM975+Operations!AM1018+Operations!AM1061+Operations!AM1103+Operations!AM1150+Operations!AM1192</f>
        <v>0</v>
      </c>
      <c r="AN1205" s="20" t="n">
        <f aca="false">Operations!AN890+Operations!AN932+Operations!AN975+Operations!AN1018+Operations!AN1061+Operations!AN1103+Operations!AN1150+Operations!AN1192</f>
        <v>0</v>
      </c>
      <c r="AO1205" s="20" t="n">
        <f aca="false">Operations!AO890+Operations!AO932+Operations!AO975+Operations!AO1018+Operations!AO1061+Operations!AO1103+Operations!AO1150+Operations!AO1192</f>
        <v>0</v>
      </c>
      <c r="AP1205" s="20" t="n">
        <f aca="false">Operations!AP890+Operations!AP932+Operations!AP975+Operations!AP1018+Operations!AP1061+Operations!AP1103+Operations!AP1150+Operations!AP1192</f>
        <v>0</v>
      </c>
      <c r="AQ1205" s="20" t="n">
        <f aca="false">Operations!AQ890+Operations!AQ932+Operations!AQ975+Operations!AQ1018+Operations!AQ1061+Operations!AQ1103+Operations!AQ1150+Operations!AQ1192</f>
        <v>0</v>
      </c>
      <c r="AR1205" s="20" t="n">
        <f aca="false">Operations!AR890+Operations!AR932+Operations!AR975+Operations!AR1018+Operations!AR1061+Operations!AR1103+Operations!AR1150+Operations!AR1192</f>
        <v>0</v>
      </c>
      <c r="AS1205" s="20" t="n">
        <f aca="false">Operations!AS890+Operations!AS932+Operations!AS975+Operations!AS1018+Operations!AS1061+Operations!AS1103+Operations!AS1150+Operations!AS1192</f>
        <v>0</v>
      </c>
      <c r="AT1205" s="20" t="n">
        <f aca="false">Operations!AT890+Operations!AT932+Operations!AT975+Operations!AT1018+Operations!AT1061+Operations!AT1103+Operations!AT1150+Operations!AT1192</f>
        <v>0</v>
      </c>
      <c r="AU1205" s="20" t="n">
        <f aca="false">Operations!AU890+Operations!AU932+Operations!AU975+Operations!AU1018+Operations!AU1061+Operations!AU1103+Operations!AU1150+Operations!AU1192</f>
        <v>0</v>
      </c>
    </row>
    <row r="1206" customFormat="false" ht="15" hidden="false" customHeight="false" outlineLevel="0" collapsed="false">
      <c r="D1206" s="0" t="s">
        <v>808</v>
      </c>
      <c r="E1206" s="0" t="s">
        <v>47</v>
      </c>
      <c r="J1206" s="20" t="n">
        <f aca="false">Operations!J891+Operations!J933+Operations!J976+Operations!J1019+Operations!J1062+Operations!J1104+Operations!J1151+Operations!J1193</f>
        <v>5.77838071232877</v>
      </c>
      <c r="K1206" s="20" t="n">
        <f aca="false">Operations!K891+Operations!K933+Operations!K976+Operations!K1019+Operations!K1062+Operations!K1104+Operations!K1151+Operations!K1193</f>
        <v>24.33324</v>
      </c>
      <c r="L1206" s="20" t="n">
        <f aca="false">Operations!L891+Operations!L933+Operations!L976+Operations!L1019+Operations!L1062+Operations!L1104+Operations!L1151+Operations!L1193</f>
        <v>24.37956</v>
      </c>
      <c r="M1206" s="20" t="n">
        <f aca="false">Operations!M891+Operations!M933+Operations!M976+Operations!M1019+Operations!M1062+Operations!M1104+Operations!M1151+Operations!M1193</f>
        <v>31.10573</v>
      </c>
      <c r="N1206" s="20" t="n">
        <f aca="false">Operations!N891+Operations!N933+Operations!N976+Operations!N1019+Operations!N1062+Operations!N1104+Operations!N1151+Operations!N1193</f>
        <v>31.10573</v>
      </c>
      <c r="O1206" s="20" t="n">
        <f aca="false">Operations!O891+Operations!O933+Operations!O976+Operations!O1019+Operations!O1062+Operations!O1104+Operations!O1151+Operations!O1193</f>
        <v>23.67929</v>
      </c>
      <c r="P1206" s="20" t="n">
        <f aca="false">Operations!P891+Operations!P933+Operations!P976+Operations!P1019+Operations!P1062+Operations!P1104+Operations!P1151+Operations!P1193</f>
        <v>6.77249</v>
      </c>
      <c r="Q1206" s="20" t="n">
        <f aca="false">Operations!Q891+Operations!Q933+Operations!Q976+Operations!Q1019+Operations!Q1062+Operations!Q1104+Operations!Q1151+Operations!Q1193</f>
        <v>6.77249</v>
      </c>
      <c r="R1206" s="20" t="n">
        <f aca="false">Operations!R891+Operations!R933+Operations!R976+Operations!R1019+Operations!R1062+Operations!R1104+Operations!R1151+Operations!R1193</f>
        <v>6.77249</v>
      </c>
      <c r="S1206" s="20" t="n">
        <f aca="false">Operations!S891+Operations!S933+Operations!S976+Operations!S1019+Operations!S1062+Operations!S1104+Operations!S1151+Operations!S1193</f>
        <v>6.77249</v>
      </c>
      <c r="T1206" s="20" t="n">
        <f aca="false">Operations!T891+Operations!T933+Operations!T976+Operations!T1019+Operations!T1062+Operations!T1104+Operations!T1151+Operations!T1193</f>
        <v>6.77249</v>
      </c>
      <c r="U1206" s="20" t="n">
        <f aca="false">Operations!U891+Operations!U933+Operations!U976+Operations!U1019+Operations!U1062+Operations!U1104+Operations!U1151+Operations!U1193</f>
        <v>6.77249</v>
      </c>
      <c r="V1206" s="20" t="n">
        <f aca="false">Operations!V891+Operations!V933+Operations!V976+Operations!V1019+Operations!V1062+Operations!V1104+Operations!V1151+Operations!V1193</f>
        <v>6.77249</v>
      </c>
      <c r="W1206" s="20" t="n">
        <f aca="false">Operations!W891+Operations!W933+Operations!W976+Operations!W1019+Operations!W1062+Operations!W1104+Operations!W1151+Operations!W1193</f>
        <v>0</v>
      </c>
      <c r="X1206" s="20" t="n">
        <f aca="false">Operations!X891+Operations!X933+Operations!X976+Operations!X1019+Operations!X1062+Operations!X1104+Operations!X1151+Operations!X1193</f>
        <v>0</v>
      </c>
      <c r="Y1206" s="20" t="n">
        <f aca="false">Operations!Y891+Operations!Y933+Operations!Y976+Operations!Y1019+Operations!Y1062+Operations!Y1104+Operations!Y1151+Operations!Y1193</f>
        <v>0</v>
      </c>
      <c r="Z1206" s="20" t="n">
        <f aca="false">Operations!Z891+Operations!Z933+Operations!Z976+Operations!Z1019+Operations!Z1062+Operations!Z1104+Operations!Z1151+Operations!Z1193</f>
        <v>0</v>
      </c>
      <c r="AA1206" s="20" t="n">
        <f aca="false">Operations!AA891+Operations!AA933+Operations!AA976+Operations!AA1019+Operations!AA1062+Operations!AA1104+Operations!AA1151+Operations!AA1193</f>
        <v>0</v>
      </c>
      <c r="AB1206" s="20" t="n">
        <f aca="false">Operations!AB891+Operations!AB933+Operations!AB976+Operations!AB1019+Operations!AB1062+Operations!AB1104+Operations!AB1151+Operations!AB1193</f>
        <v>0</v>
      </c>
      <c r="AC1206" s="20" t="n">
        <f aca="false">Operations!AC891+Operations!AC933+Operations!AC976+Operations!AC1019+Operations!AC1062+Operations!AC1104+Operations!AC1151+Operations!AC1193</f>
        <v>0</v>
      </c>
      <c r="AD1206" s="20" t="n">
        <f aca="false">Operations!AD891+Operations!AD933+Operations!AD976+Operations!AD1019+Operations!AD1062+Operations!AD1104+Operations!AD1151+Operations!AD1193</f>
        <v>0</v>
      </c>
      <c r="AE1206" s="20" t="n">
        <f aca="false">Operations!AE891+Operations!AE933+Operations!AE976+Operations!AE1019+Operations!AE1062+Operations!AE1104+Operations!AE1151+Operations!AE1193</f>
        <v>0</v>
      </c>
      <c r="AF1206" s="20" t="n">
        <f aca="false">Operations!AF891+Operations!AF933+Operations!AF976+Operations!AF1019+Operations!AF1062+Operations!AF1104+Operations!AF1151+Operations!AF1193</f>
        <v>0</v>
      </c>
      <c r="AG1206" s="20" t="n">
        <f aca="false">Operations!AG891+Operations!AG933+Operations!AG976+Operations!AG1019+Operations!AG1062+Operations!AG1104+Operations!AG1151+Operations!AG1193</f>
        <v>0</v>
      </c>
      <c r="AH1206" s="20" t="n">
        <f aca="false">Operations!AH891+Operations!AH933+Operations!AH976+Operations!AH1019+Operations!AH1062+Operations!AH1104+Operations!AH1151+Operations!AH1193</f>
        <v>0</v>
      </c>
      <c r="AI1206" s="20" t="n">
        <f aca="false">Operations!AI891+Operations!AI933+Operations!AI976+Operations!AI1019+Operations!AI1062+Operations!AI1104+Operations!AI1151+Operations!AI1193</f>
        <v>0</v>
      </c>
      <c r="AJ1206" s="20" t="n">
        <f aca="false">Operations!AJ891+Operations!AJ933+Operations!AJ976+Operations!AJ1019+Operations!AJ1062+Operations!AJ1104+Operations!AJ1151+Operations!AJ1193</f>
        <v>0</v>
      </c>
      <c r="AK1206" s="20" t="n">
        <f aca="false">Operations!AK891+Operations!AK933+Operations!AK976+Operations!AK1019+Operations!AK1062+Operations!AK1104+Operations!AK1151+Operations!AK1193</f>
        <v>0</v>
      </c>
      <c r="AL1206" s="20" t="n">
        <f aca="false">Operations!AL891+Operations!AL933+Operations!AL976+Operations!AL1019+Operations!AL1062+Operations!AL1104+Operations!AL1151+Operations!AL1193</f>
        <v>0</v>
      </c>
      <c r="AM1206" s="20" t="n">
        <f aca="false">Operations!AM891+Operations!AM933+Operations!AM976+Operations!AM1019+Operations!AM1062+Operations!AM1104+Operations!AM1151+Operations!AM1193</f>
        <v>0</v>
      </c>
      <c r="AN1206" s="20" t="n">
        <f aca="false">Operations!AN891+Operations!AN933+Operations!AN976+Operations!AN1019+Operations!AN1062+Operations!AN1104+Operations!AN1151+Operations!AN1193</f>
        <v>0</v>
      </c>
      <c r="AO1206" s="20" t="n">
        <f aca="false">Operations!AO891+Operations!AO933+Operations!AO976+Operations!AO1019+Operations!AO1062+Operations!AO1104+Operations!AO1151+Operations!AO1193</f>
        <v>0</v>
      </c>
      <c r="AP1206" s="20" t="n">
        <f aca="false">Operations!AP891+Operations!AP933+Operations!AP976+Operations!AP1019+Operations!AP1062+Operations!AP1104+Operations!AP1151+Operations!AP1193</f>
        <v>0</v>
      </c>
      <c r="AQ1206" s="20" t="n">
        <f aca="false">Operations!AQ891+Operations!AQ933+Operations!AQ976+Operations!AQ1019+Operations!AQ1062+Operations!AQ1104+Operations!AQ1151+Operations!AQ1193</f>
        <v>0</v>
      </c>
      <c r="AR1206" s="20" t="n">
        <f aca="false">Operations!AR891+Operations!AR933+Operations!AR976+Operations!AR1019+Operations!AR1062+Operations!AR1104+Operations!AR1151+Operations!AR1193</f>
        <v>0</v>
      </c>
      <c r="AS1206" s="20" t="n">
        <f aca="false">Operations!AS891+Operations!AS933+Operations!AS976+Operations!AS1019+Operations!AS1062+Operations!AS1104+Operations!AS1151+Operations!AS1193</f>
        <v>0</v>
      </c>
      <c r="AT1206" s="20" t="n">
        <f aca="false">Operations!AT891+Operations!AT933+Operations!AT976+Operations!AT1019+Operations!AT1062+Operations!AT1104+Operations!AT1151+Operations!AT1193</f>
        <v>0</v>
      </c>
      <c r="AU1206" s="20" t="n">
        <f aca="false">Operations!AU891+Operations!AU933+Operations!AU976+Operations!AU1019+Operations!AU1062+Operations!AU1104+Operations!AU1151+Operations!AU1193</f>
        <v>0</v>
      </c>
    </row>
    <row r="1207" customFormat="false" ht="15" hidden="false" customHeight="false" outlineLevel="0" collapsed="false">
      <c r="D1207" s="0" t="s">
        <v>809</v>
      </c>
      <c r="E1207" s="0" t="s">
        <v>47</v>
      </c>
      <c r="J1207" s="20" t="n">
        <f aca="false">Operations!J892+Operations!J934+Operations!J977+Operations!J1020+Operations!J1063+Operations!J1105+Operations!J1152+Operations!J1194</f>
        <v>20.1834561074995</v>
      </c>
      <c r="K1207" s="20" t="n">
        <f aca="false">Operations!K892+Operations!K934+Operations!K977+Operations!K1020+Operations!K1063+Operations!K1105+Operations!K1152+Operations!K1194</f>
        <v>0.0598911769971021</v>
      </c>
      <c r="L1207" s="20" t="n">
        <f aca="false">Operations!L892+Operations!L934+Operations!L977+Operations!L1020+Operations!L1063+Operations!L1105+Operations!L1152+Operations!L1194</f>
        <v>-0.0105376140504997</v>
      </c>
      <c r="M1207" s="20" t="n">
        <f aca="false">Operations!M892+Operations!M934+Operations!M977+Operations!M1020+Operations!M1063+Operations!M1105+Operations!M1152+Operations!M1194</f>
        <v>1.98225082331232</v>
      </c>
      <c r="N1207" s="20" t="n">
        <f aca="false">Operations!N892+Operations!N934+Operations!N977+Operations!N1020+Operations!N1063+Operations!N1105+Operations!N1152+Operations!N1194</f>
        <v>1.90549653004766</v>
      </c>
      <c r="O1207" s="20" t="n">
        <f aca="false">Operations!O892+Operations!O934+Operations!O977+Operations!O1020+Operations!O1063+Operations!O1105+Operations!O1152+Operations!O1194</f>
        <v>7.51046798265368</v>
      </c>
      <c r="P1207" s="20" t="n">
        <f aca="false">Operations!P892+Operations!P934+Operations!P977+Operations!P1020+Operations!P1063+Operations!P1105+Operations!P1152+Operations!P1194</f>
        <v>23.9113433524692</v>
      </c>
      <c r="Q1207" s="20" t="n">
        <f aca="false">Operations!Q892+Operations!Q934+Operations!Q977+Operations!Q1020+Operations!Q1063+Operations!Q1105+Operations!Q1152+Operations!Q1194</f>
        <v>37.7669728915353</v>
      </c>
      <c r="R1207" s="20" t="n">
        <f aca="false">Operations!R892+Operations!R934+Operations!R977+Operations!R1020+Operations!R1063+Operations!R1105+Operations!R1152+Operations!R1194</f>
        <v>67.0636500848499</v>
      </c>
      <c r="S1207" s="20" t="n">
        <f aca="false">Operations!S892+Operations!S934+Operations!S977+Operations!S1020+Operations!S1063+Operations!S1105+Operations!S1152+Operations!S1194</f>
        <v>70.8230160803294</v>
      </c>
      <c r="T1207" s="20" t="n">
        <f aca="false">Operations!T892+Operations!T934+Operations!T977+Operations!T1020+Operations!T1063+Operations!T1105+Operations!T1152+Operations!T1194</f>
        <v>78.32977802091</v>
      </c>
      <c r="U1207" s="20" t="n">
        <f aca="false">Operations!U892+Operations!U934+Operations!U977+Operations!U1020+Operations!U1063+Operations!U1105+Operations!U1152+Operations!U1194</f>
        <v>87.4303373749427</v>
      </c>
      <c r="V1207" s="20" t="n">
        <f aca="false">Operations!V892+Operations!V934+Operations!V977+Operations!V1020+Operations!V1063+Operations!V1105+Operations!V1152+Operations!V1194</f>
        <v>93.9080098242547</v>
      </c>
      <c r="W1207" s="20" t="n">
        <f aca="false">Operations!W892+Operations!W934+Operations!W977+Operations!W1020+Operations!W1063+Operations!W1105+Operations!W1152+Operations!W1194</f>
        <v>100.988709698613</v>
      </c>
      <c r="X1207" s="20" t="n">
        <f aca="false">Operations!X892+Operations!X934+Operations!X977+Operations!X1020+Operations!X1063+Operations!X1105+Operations!X1152+Operations!X1194</f>
        <v>101.945069727387</v>
      </c>
      <c r="Y1207" s="20" t="n">
        <f aca="false">Operations!Y892+Operations!Y934+Operations!Y977+Operations!Y1020+Operations!Y1063+Operations!Y1105+Operations!Y1152+Operations!Y1194</f>
        <v>102.952436403707</v>
      </c>
      <c r="Z1207" s="20" t="n">
        <f aca="false">Operations!Z892+Operations!Z934+Operations!Z977+Operations!Z1020+Operations!Z1063+Operations!Z1105+Operations!Z1152+Operations!Z1194</f>
        <v>104.077021160112</v>
      </c>
      <c r="AA1207" s="20" t="n">
        <f aca="false">Operations!AA892+Operations!AA934+Operations!AA977+Operations!AA1020+Operations!AA1063+Operations!AA1105+Operations!AA1152+Operations!AA1194</f>
        <v>105.329350251122</v>
      </c>
      <c r="AB1207" s="20" t="n">
        <f aca="false">Operations!AB892+Operations!AB934+Operations!AB977+Operations!AB1020+Operations!AB1063+Operations!AB1105+Operations!AB1152+Operations!AB1194</f>
        <v>106.603045223084</v>
      </c>
      <c r="AC1207" s="20" t="n">
        <f aca="false">Operations!AC892+Operations!AC934+Operations!AC977+Operations!AC1020+Operations!AC1063+Operations!AC1105+Operations!AC1152+Operations!AC1194</f>
        <v>107.884213317377</v>
      </c>
      <c r="AD1207" s="20" t="n">
        <f aca="false">Operations!AD892+Operations!AD934+Operations!AD977+Operations!AD1020+Operations!AD1063+Operations!AD1105+Operations!AD1152+Operations!AD1194</f>
        <v>109.187763848704</v>
      </c>
      <c r="AE1207" s="20" t="n">
        <f aca="false">Operations!AE892+Operations!AE934+Operations!AE977+Operations!AE1020+Operations!AE1063+Operations!AE1105+Operations!AE1152+Operations!AE1194</f>
        <v>107.9381123665</v>
      </c>
      <c r="AF1207" s="20" t="n">
        <f aca="false">Operations!AF892+Operations!AF934+Operations!AF977+Operations!AF1020+Operations!AF1063+Operations!AF1105+Operations!AF1152+Operations!AF1194</f>
        <v>98.1692515646747</v>
      </c>
      <c r="AG1207" s="20" t="n">
        <f aca="false">Operations!AG892+Operations!AG934+Operations!AG977+Operations!AG1020+Operations!AG1063+Operations!AG1105+Operations!AG1152+Operations!AG1194</f>
        <v>78.277687612402</v>
      </c>
      <c r="AH1207" s="20" t="n">
        <f aca="false">Operations!AH892+Operations!AH934+Operations!AH977+Operations!AH1020+Operations!AH1063+Operations!AH1105+Operations!AH1152+Operations!AH1194</f>
        <v>79.5653751194365</v>
      </c>
      <c r="AI1207" s="20" t="n">
        <f aca="false">Operations!AI892+Operations!AI934+Operations!AI977+Operations!AI1020+Operations!AI1063+Operations!AI1105+Operations!AI1152+Operations!AI1194</f>
        <v>62.9108192204934</v>
      </c>
      <c r="AJ1207" s="20" t="n">
        <f aca="false">Operations!AJ892+Operations!AJ934+Operations!AJ977+Operations!AJ1020+Operations!AJ1063+Operations!AJ1105+Operations!AJ1152+Operations!AJ1194</f>
        <v>45.9335600019296</v>
      </c>
      <c r="AK1207" s="20" t="n">
        <f aca="false">Operations!AK892+Operations!AK934+Operations!AK977+Operations!AK1020+Operations!AK1063+Operations!AK1105+Operations!AK1152+Operations!AK1194</f>
        <v>45.4340314704699</v>
      </c>
      <c r="AL1207" s="20" t="n">
        <f aca="false">Operations!AL892+Operations!AL934+Operations!AL977+Operations!AL1020+Operations!AL1063+Operations!AL1105+Operations!AL1152+Operations!AL1194</f>
        <v>32.4659601698874</v>
      </c>
      <c r="AM1207" s="20" t="n">
        <f aca="false">Operations!AM892+Operations!AM934+Operations!AM977+Operations!AM1020+Operations!AM1063+Operations!AM1105+Operations!AM1152+Operations!AM1194</f>
        <v>32.972096606979</v>
      </c>
      <c r="AN1207" s="20" t="n">
        <f aca="false">Operations!AN892+Operations!AN934+Operations!AN977+Operations!AN1020+Operations!AN1063+Operations!AN1105+Operations!AN1152+Operations!AN1194</f>
        <v>33.4857859325523</v>
      </c>
      <c r="AO1207" s="20" t="n">
        <f aca="false">Operations!AO892+Operations!AO934+Operations!AO977+Operations!AO1020+Operations!AO1063+Operations!AO1105+Operations!AO1152+Operations!AO1194</f>
        <v>34.0068989915463</v>
      </c>
      <c r="AP1207" s="20" t="n">
        <f aca="false">Operations!AP892+Operations!AP934+Operations!AP977+Operations!AP1020+Operations!AP1063+Operations!AP1105+Operations!AP1152+Operations!AP1194</f>
        <v>34.5353078446754</v>
      </c>
      <c r="AQ1207" s="20" t="n">
        <f aca="false">Operations!AQ892+Operations!AQ934+Operations!AQ977+Operations!AQ1020+Operations!AQ1063+Operations!AQ1105+Operations!AQ1152+Operations!AQ1194</f>
        <v>33.6979211160367</v>
      </c>
      <c r="AR1207" s="20" t="n">
        <f aca="false">Operations!AR892+Operations!AR934+Operations!AR977+Operations!AR1020+Operations!AR1063+Operations!AR1105+Operations!AR1152+Operations!AR1194</f>
        <v>19.6044404307672</v>
      </c>
      <c r="AS1207" s="20" t="n">
        <f aca="false">Operations!AS892+Operations!AS934+Operations!AS977+Operations!AS1020+Operations!AS1063+Operations!AS1105+Operations!AS1152+Operations!AS1194</f>
        <v>12.2284397163137</v>
      </c>
      <c r="AT1207" s="20" t="n">
        <f aca="false">Operations!AT892+Operations!AT934+Operations!AT977+Operations!AT1020+Operations!AT1063+Operations!AT1105+Operations!AT1152+Operations!AT1194</f>
        <v>12.4233644479437</v>
      </c>
      <c r="AU1207" s="20" t="n">
        <f aca="false">Operations!AU892+Operations!AU934+Operations!AU977+Operations!AU1020+Operations!AU1063+Operations!AU1105+Operations!AU1152+Operations!AU1194</f>
        <v>12.6206504510332</v>
      </c>
    </row>
    <row r="1208" customFormat="false" ht="15" hidden="false" customHeight="false" outlineLevel="0" collapsed="false">
      <c r="D1208" s="0" t="s">
        <v>810</v>
      </c>
      <c r="E1208" s="0" t="s">
        <v>47</v>
      </c>
      <c r="J1208" s="20" t="n">
        <f aca="false">Operations!J1205+Operations!J1206+Operations!J1207</f>
        <v>60.0963947414391</v>
      </c>
      <c r="K1208" s="20" t="n">
        <f aca="false">Operations!K1205+Operations!K1206+Operations!K1207</f>
        <v>71.8095908591008</v>
      </c>
      <c r="L1208" s="20" t="n">
        <f aca="false">Operations!L1205+Operations!L1206+Operations!L1207</f>
        <v>86.6030031076458</v>
      </c>
      <c r="M1208" s="20" t="n">
        <f aca="false">Operations!M1205+Operations!M1206+Operations!M1207</f>
        <v>97.7990195909468</v>
      </c>
      <c r="N1208" s="20" t="n">
        <f aca="false">Operations!N1205+Operations!N1206+Operations!N1207</f>
        <v>97.6448164160465</v>
      </c>
      <c r="O1208" s="20" t="n">
        <f aca="false">Operations!O1205+Operations!O1206+Operations!O1207</f>
        <v>96.5500342819792</v>
      </c>
      <c r="P1208" s="20" t="n">
        <f aca="false">Operations!P1205+Operations!P1206+Operations!P1207</f>
        <v>96.7507637961963</v>
      </c>
      <c r="Q1208" s="20" t="n">
        <f aca="false">Operations!Q1205+Operations!Q1206+Operations!Q1207</f>
        <v>100.813269770535</v>
      </c>
      <c r="R1208" s="20" t="n">
        <f aca="false">Operations!R1205+Operations!R1206+Operations!R1207</f>
        <v>99.8658734374881</v>
      </c>
      <c r="S1208" s="20" t="n">
        <f aca="false">Operations!S1205+Operations!S1206+Operations!S1207</f>
        <v>97.744457180826</v>
      </c>
      <c r="T1208" s="20" t="n">
        <f aca="false">Operations!T1205+Operations!T1206+Operations!T1207</f>
        <v>97.5480592512903</v>
      </c>
      <c r="U1208" s="20" t="n">
        <f aca="false">Operations!U1205+Operations!U1206+Operations!U1207</f>
        <v>99.0773713017445</v>
      </c>
      <c r="V1208" s="20" t="n">
        <f aca="false">Operations!V1205+Operations!V1206+Operations!V1207</f>
        <v>100.680499824255</v>
      </c>
      <c r="W1208" s="20" t="n">
        <f aca="false">Operations!W1205+Operations!W1206+Operations!W1207</f>
        <v>100.988709698613</v>
      </c>
      <c r="X1208" s="20" t="n">
        <f aca="false">Operations!X1205+Operations!X1206+Operations!X1207</f>
        <v>101.945069727387</v>
      </c>
      <c r="Y1208" s="20" t="n">
        <f aca="false">Operations!Y1205+Operations!Y1206+Operations!Y1207</f>
        <v>102.952436403707</v>
      </c>
      <c r="Z1208" s="20" t="n">
        <f aca="false">Operations!Z1205+Operations!Z1206+Operations!Z1207</f>
        <v>104.077021160112</v>
      </c>
      <c r="AA1208" s="20" t="n">
        <f aca="false">Operations!AA1205+Operations!AA1206+Operations!AA1207</f>
        <v>105.329350251122</v>
      </c>
      <c r="AB1208" s="20" t="n">
        <f aca="false">Operations!AB1205+Operations!AB1206+Operations!AB1207</f>
        <v>106.603045223084</v>
      </c>
      <c r="AC1208" s="20" t="n">
        <f aca="false">Operations!AC1205+Operations!AC1206+Operations!AC1207</f>
        <v>107.884213317377</v>
      </c>
      <c r="AD1208" s="20" t="n">
        <f aca="false">Operations!AD1205+Operations!AD1206+Operations!AD1207</f>
        <v>109.187763848704</v>
      </c>
      <c r="AE1208" s="20" t="n">
        <f aca="false">Operations!AE1205+Operations!AE1206+Operations!AE1207</f>
        <v>107.9381123665</v>
      </c>
      <c r="AF1208" s="20" t="n">
        <f aca="false">Operations!AF1205+Operations!AF1206+Operations!AF1207</f>
        <v>98.1692515646747</v>
      </c>
      <c r="AG1208" s="20" t="n">
        <f aca="false">Operations!AG1205+Operations!AG1206+Operations!AG1207</f>
        <v>78.277687612402</v>
      </c>
      <c r="AH1208" s="20" t="n">
        <f aca="false">Operations!AH1205+Operations!AH1206+Operations!AH1207</f>
        <v>79.5653751194365</v>
      </c>
      <c r="AI1208" s="20" t="n">
        <f aca="false">Operations!AI1205+Operations!AI1206+Operations!AI1207</f>
        <v>62.9108192204934</v>
      </c>
      <c r="AJ1208" s="20" t="n">
        <f aca="false">Operations!AJ1205+Operations!AJ1206+Operations!AJ1207</f>
        <v>45.9335600019296</v>
      </c>
      <c r="AK1208" s="20" t="n">
        <f aca="false">Operations!AK1205+Operations!AK1206+Operations!AK1207</f>
        <v>45.4340314704699</v>
      </c>
      <c r="AL1208" s="20" t="n">
        <f aca="false">Operations!AL1205+Operations!AL1206+Operations!AL1207</f>
        <v>32.4659601698874</v>
      </c>
      <c r="AM1208" s="20" t="n">
        <f aca="false">Operations!AM1205+Operations!AM1206+Operations!AM1207</f>
        <v>32.972096606979</v>
      </c>
      <c r="AN1208" s="20" t="n">
        <f aca="false">Operations!AN1205+Operations!AN1206+Operations!AN1207</f>
        <v>33.4857859325523</v>
      </c>
      <c r="AO1208" s="20" t="n">
        <f aca="false">Operations!AO1205+Operations!AO1206+Operations!AO1207</f>
        <v>34.0068989915463</v>
      </c>
      <c r="AP1208" s="20" t="n">
        <f aca="false">Operations!AP1205+Operations!AP1206+Operations!AP1207</f>
        <v>34.5353078446754</v>
      </c>
      <c r="AQ1208" s="20" t="n">
        <f aca="false">Operations!AQ1205+Operations!AQ1206+Operations!AQ1207</f>
        <v>33.6979211160367</v>
      </c>
      <c r="AR1208" s="20" t="n">
        <f aca="false">Operations!AR1205+Operations!AR1206+Operations!AR1207</f>
        <v>19.6044404307672</v>
      </c>
      <c r="AS1208" s="20" t="n">
        <f aca="false">Operations!AS1205+Operations!AS1206+Operations!AS1207</f>
        <v>12.2284397163137</v>
      </c>
      <c r="AT1208" s="20" t="n">
        <f aca="false">Operations!AT1205+Operations!AT1206+Operations!AT1207</f>
        <v>12.4233644479437</v>
      </c>
      <c r="AU1208" s="20" t="n">
        <f aca="false">Operations!AU1205+Operations!AU1206+Operations!AU1207</f>
        <v>12.6206504510332</v>
      </c>
    </row>
    <row r="1209" customFormat="false" ht="15" hidden="false" customHeight="false" outlineLevel="0" collapsed="false">
      <c r="D1209" s="0" t="s">
        <v>811</v>
      </c>
      <c r="E1209" s="0" t="s">
        <v>47</v>
      </c>
      <c r="J1209" s="20" t="n">
        <f aca="false">Operations!J1144+Operations!J1186</f>
        <v>0</v>
      </c>
      <c r="K1209" s="20" t="n">
        <f aca="false">Operations!K1144+Operations!K1186</f>
        <v>0</v>
      </c>
      <c r="L1209" s="20" t="n">
        <f aca="false">Operations!L1144+Operations!L1186</f>
        <v>5.93347102488541</v>
      </c>
      <c r="M1209" s="20" t="n">
        <f aca="false">Operations!M1144+Operations!M1186</f>
        <v>14.4859735534702</v>
      </c>
      <c r="N1209" s="20" t="n">
        <f aca="false">Operations!N1144+Operations!N1186</f>
        <v>14.5646168176147</v>
      </c>
      <c r="O1209" s="20" t="n">
        <f aca="false">Operations!O1144+Operations!O1186</f>
        <v>14.4970950805008</v>
      </c>
      <c r="P1209" s="20" t="n">
        <f aca="false">Operations!P1144+Operations!P1186</f>
        <v>14.3654845701949</v>
      </c>
      <c r="Q1209" s="20" t="n">
        <f aca="false">Operations!Q1144+Operations!Q1186</f>
        <v>13.3829451828482</v>
      </c>
      <c r="R1209" s="20" t="n">
        <f aca="false">Operations!R1144+Operations!R1186</f>
        <v>14.0279511504009</v>
      </c>
      <c r="S1209" s="20" t="n">
        <f aca="false">Operations!S1144+Operations!S1186</f>
        <v>13.8330143425122</v>
      </c>
      <c r="T1209" s="20" t="n">
        <f aca="false">Operations!T1144+Operations!T1186</f>
        <v>12.9102617233333</v>
      </c>
      <c r="U1209" s="20" t="n">
        <f aca="false">Operations!U1144+Operations!U1186</f>
        <v>11.7019311022993</v>
      </c>
      <c r="V1209" s="20" t="n">
        <f aca="false">Operations!V1144+Operations!V1186</f>
        <v>12.5312195117551</v>
      </c>
      <c r="W1209" s="20" t="n">
        <f aca="false">Operations!W1144+Operations!W1186</f>
        <v>12.2604096979568</v>
      </c>
      <c r="X1209" s="20" t="n">
        <f aca="false">Operations!X1144+Operations!X1186</f>
        <v>12.1126666413721</v>
      </c>
      <c r="Y1209" s="20" t="n">
        <f aca="false">Operations!Y1144+Operations!Y1186</f>
        <v>11.9987866177316</v>
      </c>
      <c r="Z1209" s="20" t="n">
        <f aca="false">Operations!Z1144+Operations!Z1186</f>
        <v>11.9931250312621</v>
      </c>
      <c r="AA1209" s="20" t="n">
        <f aca="false">Operations!AA1144+Operations!AA1186</f>
        <v>11.9855823328192</v>
      </c>
      <c r="AB1209" s="20" t="n">
        <f aca="false">Operations!AB1144+Operations!AB1186</f>
        <v>11.9758972343331</v>
      </c>
      <c r="AC1209" s="20" t="n">
        <f aca="false">Operations!AC1144+Operations!AC1186</f>
        <v>11.9624258173492</v>
      </c>
      <c r="AD1209" s="20" t="n">
        <f aca="false">Operations!AD1144+Operations!AD1186</f>
        <v>11.9465744532759</v>
      </c>
      <c r="AE1209" s="20" t="n">
        <f aca="false">Operations!AE1144+Operations!AE1186</f>
        <v>11.9267431618576</v>
      </c>
      <c r="AF1209" s="20" t="n">
        <f aca="false">Operations!AF1144+Operations!AF1186</f>
        <v>1.99530311595161</v>
      </c>
      <c r="AG1209" s="20" t="n">
        <f aca="false">Operations!AG1144+Operations!AG1186</f>
        <v>5.99223420848546</v>
      </c>
      <c r="AH1209" s="20" t="n">
        <f aca="false">Operations!AH1144+Operations!AH1186</f>
        <v>6.05001399799215</v>
      </c>
      <c r="AI1209" s="20" t="n">
        <f aca="false">Operations!AI1144+Operations!AI1186</f>
        <v>6.10810664920978</v>
      </c>
      <c r="AJ1209" s="20" t="n">
        <f aca="false">Operations!AJ1144+Operations!AJ1186</f>
        <v>6.16640591162106</v>
      </c>
      <c r="AK1209" s="20" t="n">
        <f aca="false">Operations!AK1144+Operations!AK1186</f>
        <v>6.22480430751853</v>
      </c>
      <c r="AL1209" s="20" t="n">
        <f aca="false">Operations!AL1144+Operations!AL1186</f>
        <v>6.28319308972384</v>
      </c>
      <c r="AM1209" s="20" t="n">
        <f aca="false">Operations!AM1144+Operations!AM1186</f>
        <v>6.34146219832788</v>
      </c>
      <c r="AN1209" s="20" t="n">
        <f aca="false">Operations!AN1144+Operations!AN1186</f>
        <v>6.39950021642691</v>
      </c>
      <c r="AO1209" s="20" t="n">
        <f aca="false">Operations!AO1144+Operations!AO1186</f>
        <v>6.45719432482902</v>
      </c>
      <c r="AP1209" s="20" t="n">
        <f aca="false">Operations!AP1144+Operations!AP1186</f>
        <v>6.51443025570482</v>
      </c>
      <c r="AQ1209" s="20" t="n">
        <f aca="false">Operations!AQ1144+Operations!AQ1186</f>
        <v>6.57247920832073</v>
      </c>
      <c r="AR1209" s="20" t="n">
        <f aca="false">Operations!AR1144+Operations!AR1186</f>
        <v>6.62982581529555</v>
      </c>
      <c r="AS1209" s="20" t="n">
        <f aca="false">Operations!AS1144+Operations!AS1186</f>
        <v>6.68635124040054</v>
      </c>
      <c r="AT1209" s="20" t="n">
        <f aca="false">Operations!AT1144+Operations!AT1186</f>
        <v>6.7433053880044</v>
      </c>
      <c r="AU1209" s="20" t="n">
        <f aca="false">Operations!AU1144+Operations!AU1186</f>
        <v>-4.57048533600244</v>
      </c>
    </row>
    <row r="1210" customFormat="false" ht="15" hidden="false" customHeight="false" outlineLevel="0" collapsed="false">
      <c r="D1210" s="0" t="s">
        <v>812</v>
      </c>
      <c r="E1210" s="0" t="s">
        <v>47</v>
      </c>
      <c r="J1210" s="20" t="n">
        <f aca="false">Operations!J1150+Operations!J1192</f>
        <v>0</v>
      </c>
      <c r="K1210" s="20" t="n">
        <f aca="false">Operations!K1150+Operations!K1192</f>
        <v>0</v>
      </c>
      <c r="L1210" s="20" t="n">
        <f aca="false">Operations!L1150+Operations!L1192</f>
        <v>7.6305737704918</v>
      </c>
      <c r="M1210" s="20" t="n">
        <f aca="false">Operations!M1150+Operations!M1192</f>
        <v>10.23</v>
      </c>
      <c r="N1210" s="20" t="n">
        <f aca="false">Operations!N1150+Operations!N1192</f>
        <v>10.23</v>
      </c>
      <c r="O1210" s="20" t="n">
        <f aca="false">Operations!O1150+Operations!O1192</f>
        <v>10.23</v>
      </c>
      <c r="P1210" s="20" t="n">
        <f aca="false">Operations!P1150+Operations!P1192</f>
        <v>10.23</v>
      </c>
      <c r="Q1210" s="20" t="n">
        <f aca="false">Operations!Q1150+Operations!Q1192</f>
        <v>10.23</v>
      </c>
      <c r="R1210" s="20" t="n">
        <f aca="false">Operations!R1150+Operations!R1192</f>
        <v>10.23</v>
      </c>
      <c r="S1210" s="20" t="n">
        <f aca="false">Operations!S1150+Operations!S1192</f>
        <v>10.23</v>
      </c>
      <c r="T1210" s="20" t="n">
        <f aca="false">Operations!T1150+Operations!T1192</f>
        <v>2.57147540983607</v>
      </c>
      <c r="U1210" s="20" t="n">
        <f aca="false">Operations!U1150+Operations!U1192</f>
        <v>0</v>
      </c>
      <c r="V1210" s="20" t="n">
        <f aca="false">Operations!V1150+Operations!V1192</f>
        <v>0</v>
      </c>
      <c r="W1210" s="20" t="n">
        <f aca="false">Operations!W1150+Operations!W1192</f>
        <v>0</v>
      </c>
      <c r="X1210" s="20" t="n">
        <f aca="false">Operations!X1150+Operations!X1192</f>
        <v>0</v>
      </c>
      <c r="Y1210" s="20" t="n">
        <f aca="false">Operations!Y1150+Operations!Y1192</f>
        <v>0</v>
      </c>
      <c r="Z1210" s="20" t="n">
        <f aca="false">Operations!Z1150+Operations!Z1192</f>
        <v>0</v>
      </c>
      <c r="AA1210" s="20" t="n">
        <f aca="false">Operations!AA1150+Operations!AA1192</f>
        <v>0</v>
      </c>
      <c r="AB1210" s="20" t="n">
        <f aca="false">Operations!AB1150+Operations!AB1192</f>
        <v>0</v>
      </c>
      <c r="AC1210" s="20" t="n">
        <f aca="false">Operations!AC1150+Operations!AC1192</f>
        <v>0</v>
      </c>
      <c r="AD1210" s="20" t="n">
        <f aca="false">Operations!AD1150+Operations!AD1192</f>
        <v>0</v>
      </c>
      <c r="AE1210" s="20" t="n">
        <f aca="false">Operations!AE1150+Operations!AE1192</f>
        <v>0</v>
      </c>
      <c r="AF1210" s="20" t="n">
        <f aca="false">Operations!AF1150+Operations!AF1192</f>
        <v>0</v>
      </c>
      <c r="AG1210" s="20" t="n">
        <f aca="false">Operations!AG1150+Operations!AG1192</f>
        <v>0</v>
      </c>
      <c r="AH1210" s="20" t="n">
        <f aca="false">Operations!AH1150+Operations!AH1192</f>
        <v>0</v>
      </c>
      <c r="AI1210" s="20" t="n">
        <f aca="false">Operations!AI1150+Operations!AI1192</f>
        <v>0</v>
      </c>
      <c r="AJ1210" s="20" t="n">
        <f aca="false">Operations!AJ1150+Operations!AJ1192</f>
        <v>0</v>
      </c>
      <c r="AK1210" s="20" t="n">
        <f aca="false">Operations!AK1150+Operations!AK1192</f>
        <v>0</v>
      </c>
      <c r="AL1210" s="20" t="n">
        <f aca="false">Operations!AL1150+Operations!AL1192</f>
        <v>0</v>
      </c>
      <c r="AM1210" s="20" t="n">
        <f aca="false">Operations!AM1150+Operations!AM1192</f>
        <v>0</v>
      </c>
      <c r="AN1210" s="20" t="n">
        <f aca="false">Operations!AN1150+Operations!AN1192</f>
        <v>0</v>
      </c>
      <c r="AO1210" s="20" t="n">
        <f aca="false">Operations!AO1150+Operations!AO1192</f>
        <v>0</v>
      </c>
      <c r="AP1210" s="20" t="n">
        <f aca="false">Operations!AP1150+Operations!AP1192</f>
        <v>0</v>
      </c>
      <c r="AQ1210" s="20" t="n">
        <f aca="false">Operations!AQ1150+Operations!AQ1192</f>
        <v>0</v>
      </c>
      <c r="AR1210" s="20" t="n">
        <f aca="false">Operations!AR1150+Operations!AR1192</f>
        <v>0</v>
      </c>
      <c r="AS1210" s="20" t="n">
        <f aca="false">Operations!AS1150+Operations!AS1192</f>
        <v>0</v>
      </c>
      <c r="AT1210" s="20" t="n">
        <f aca="false">Operations!AT1150+Operations!AT1192</f>
        <v>0</v>
      </c>
      <c r="AU1210" s="20" t="n">
        <f aca="false">Operations!AU1150+Operations!AU1192</f>
        <v>0</v>
      </c>
    </row>
    <row r="1211" customFormat="false" ht="15" hidden="false" customHeight="false" outlineLevel="0" collapsed="false">
      <c r="D1211" s="0" t="s">
        <v>813</v>
      </c>
      <c r="E1211" s="0" t="s">
        <v>47</v>
      </c>
      <c r="J1211" s="20" t="n">
        <f aca="false">Operations!J1151+Operations!J1193</f>
        <v>0</v>
      </c>
      <c r="K1211" s="20" t="n">
        <f aca="false">Operations!K1151+Operations!K1193</f>
        <v>0</v>
      </c>
      <c r="L1211" s="20" t="n">
        <f aca="false">Operations!L1151+Operations!L1193</f>
        <v>0</v>
      </c>
      <c r="M1211" s="20" t="n">
        <f aca="false">Operations!M1151+Operations!M1193</f>
        <v>6.77249</v>
      </c>
      <c r="N1211" s="20" t="n">
        <f aca="false">Operations!N1151+Operations!N1193</f>
        <v>6.77249</v>
      </c>
      <c r="O1211" s="20" t="n">
        <f aca="false">Operations!O1151+Operations!O1193</f>
        <v>6.77249</v>
      </c>
      <c r="P1211" s="20" t="n">
        <f aca="false">Operations!P1151+Operations!P1193</f>
        <v>6.77249</v>
      </c>
      <c r="Q1211" s="20" t="n">
        <f aca="false">Operations!Q1151+Operations!Q1193</f>
        <v>6.77249</v>
      </c>
      <c r="R1211" s="20" t="n">
        <f aca="false">Operations!R1151+Operations!R1193</f>
        <v>6.77249</v>
      </c>
      <c r="S1211" s="20" t="n">
        <f aca="false">Operations!S1151+Operations!S1193</f>
        <v>6.77249</v>
      </c>
      <c r="T1211" s="20" t="n">
        <f aca="false">Operations!T1151+Operations!T1193</f>
        <v>6.77249</v>
      </c>
      <c r="U1211" s="20" t="n">
        <f aca="false">Operations!U1151+Operations!U1193</f>
        <v>6.77249</v>
      </c>
      <c r="V1211" s="20" t="n">
        <f aca="false">Operations!V1151+Operations!V1193</f>
        <v>6.77249</v>
      </c>
      <c r="W1211" s="20" t="n">
        <f aca="false">Operations!W1151+Operations!W1193</f>
        <v>0</v>
      </c>
      <c r="X1211" s="20" t="n">
        <f aca="false">Operations!X1151+Operations!X1193</f>
        <v>0</v>
      </c>
      <c r="Y1211" s="20" t="n">
        <f aca="false">Operations!Y1151+Operations!Y1193</f>
        <v>0</v>
      </c>
      <c r="Z1211" s="20" t="n">
        <f aca="false">Operations!Z1151+Operations!Z1193</f>
        <v>0</v>
      </c>
      <c r="AA1211" s="20" t="n">
        <f aca="false">Operations!AA1151+Operations!AA1193</f>
        <v>0</v>
      </c>
      <c r="AB1211" s="20" t="n">
        <f aca="false">Operations!AB1151+Operations!AB1193</f>
        <v>0</v>
      </c>
      <c r="AC1211" s="20" t="n">
        <f aca="false">Operations!AC1151+Operations!AC1193</f>
        <v>0</v>
      </c>
      <c r="AD1211" s="20" t="n">
        <f aca="false">Operations!AD1151+Operations!AD1193</f>
        <v>0</v>
      </c>
      <c r="AE1211" s="20" t="n">
        <f aca="false">Operations!AE1151+Operations!AE1193</f>
        <v>0</v>
      </c>
      <c r="AF1211" s="20" t="n">
        <f aca="false">Operations!AF1151+Operations!AF1193</f>
        <v>0</v>
      </c>
      <c r="AG1211" s="20" t="n">
        <f aca="false">Operations!AG1151+Operations!AG1193</f>
        <v>0</v>
      </c>
      <c r="AH1211" s="20" t="n">
        <f aca="false">Operations!AH1151+Operations!AH1193</f>
        <v>0</v>
      </c>
      <c r="AI1211" s="20" t="n">
        <f aca="false">Operations!AI1151+Operations!AI1193</f>
        <v>0</v>
      </c>
      <c r="AJ1211" s="20" t="n">
        <f aca="false">Operations!AJ1151+Operations!AJ1193</f>
        <v>0</v>
      </c>
      <c r="AK1211" s="20" t="n">
        <f aca="false">Operations!AK1151+Operations!AK1193</f>
        <v>0</v>
      </c>
      <c r="AL1211" s="20" t="n">
        <f aca="false">Operations!AL1151+Operations!AL1193</f>
        <v>0</v>
      </c>
      <c r="AM1211" s="20" t="n">
        <f aca="false">Operations!AM1151+Operations!AM1193</f>
        <v>0</v>
      </c>
      <c r="AN1211" s="20" t="n">
        <f aca="false">Operations!AN1151+Operations!AN1193</f>
        <v>0</v>
      </c>
      <c r="AO1211" s="20" t="n">
        <f aca="false">Operations!AO1151+Operations!AO1193</f>
        <v>0</v>
      </c>
      <c r="AP1211" s="20" t="n">
        <f aca="false">Operations!AP1151+Operations!AP1193</f>
        <v>0</v>
      </c>
      <c r="AQ1211" s="20" t="n">
        <f aca="false">Operations!AQ1151+Operations!AQ1193</f>
        <v>0</v>
      </c>
      <c r="AR1211" s="20" t="n">
        <f aca="false">Operations!AR1151+Operations!AR1193</f>
        <v>0</v>
      </c>
      <c r="AS1211" s="20" t="n">
        <f aca="false">Operations!AS1151+Operations!AS1193</f>
        <v>0</v>
      </c>
      <c r="AT1211" s="20" t="n">
        <f aca="false">Operations!AT1151+Operations!AT1193</f>
        <v>0</v>
      </c>
      <c r="AU1211" s="20" t="n">
        <f aca="false">Operations!AU1151+Operations!AU1193</f>
        <v>0</v>
      </c>
    </row>
    <row r="1212" customFormat="false" ht="15" hidden="false" customHeight="false" outlineLevel="0" collapsed="false">
      <c r="D1212" s="0" t="s">
        <v>814</v>
      </c>
      <c r="E1212" s="0" t="s">
        <v>47</v>
      </c>
      <c r="J1212" s="20" t="n">
        <f aca="false">Operations!J1152+Operations!J1194</f>
        <v>0</v>
      </c>
      <c r="K1212" s="20" t="n">
        <f aca="false">Operations!K1152+Operations!K1194</f>
        <v>0</v>
      </c>
      <c r="L1212" s="20" t="n">
        <f aca="false">Operations!L1152+Operations!L1194</f>
        <v>0.211245876423104</v>
      </c>
      <c r="M1212" s="20" t="n">
        <f aca="false">Operations!M1152+Operations!M1194</f>
        <v>2.52829555064229</v>
      </c>
      <c r="N1212" s="20" t="n">
        <f aca="false">Operations!N1152+Operations!N1194</f>
        <v>2.73156285244703</v>
      </c>
      <c r="O1212" s="20" t="n">
        <f aca="false">Operations!O1152+Operations!O1194</f>
        <v>2.7909989613388</v>
      </c>
      <c r="P1212" s="20" t="n">
        <f aca="false">Operations!P1152+Operations!P1194</f>
        <v>2.78919091036002</v>
      </c>
      <c r="Q1212" s="20" t="n">
        <f aca="false">Operations!Q1152+Operations!Q1194</f>
        <v>2.75413866237728</v>
      </c>
      <c r="R1212" s="20" t="n">
        <f aca="false">Operations!R1152+Operations!R1194</f>
        <v>2.72073905032972</v>
      </c>
      <c r="S1212" s="20" t="n">
        <f aca="false">Operations!S1152+Operations!S1194</f>
        <v>2.66530448465668</v>
      </c>
      <c r="T1212" s="20" t="n">
        <f aca="false">Operations!T1152+Operations!T1194</f>
        <v>9.54025077509559</v>
      </c>
      <c r="U1212" s="20" t="n">
        <f aca="false">Operations!U1152+Operations!U1194</f>
        <v>11.9485907493891</v>
      </c>
      <c r="V1212" s="20" t="n">
        <f aca="false">Operations!V1152+Operations!V1194</f>
        <v>12.0296655289451</v>
      </c>
      <c r="W1212" s="20" t="n">
        <f aca="false">Operations!W1152+Operations!W1194</f>
        <v>18.6850364575385</v>
      </c>
      <c r="X1212" s="20" t="n">
        <f aca="false">Operations!X1152+Operations!X1194</f>
        <v>18.695511653688</v>
      </c>
      <c r="Y1212" s="20" t="n">
        <f aca="false">Operations!Y1152+Operations!Y1194</f>
        <v>18.7440035519165</v>
      </c>
      <c r="Z1212" s="20" t="n">
        <f aca="false">Operations!Z1152+Operations!Z1194</f>
        <v>18.9053593563086</v>
      </c>
      <c r="AA1212" s="20" t="n">
        <f aca="false">Operations!AA1152+Operations!AA1194</f>
        <v>19.0690003025441</v>
      </c>
      <c r="AB1212" s="20" t="n">
        <f aca="false">Operations!AB1152+Operations!AB1194</f>
        <v>19.2347681280955</v>
      </c>
      <c r="AC1212" s="20" t="n">
        <f aca="false">Operations!AC1152+Operations!AC1194</f>
        <v>19.4011172530448</v>
      </c>
      <c r="AD1212" s="20" t="n">
        <f aca="false">Operations!AD1152+Operations!AD1194</f>
        <v>19.5695711612425</v>
      </c>
      <c r="AE1212" s="20" t="n">
        <f aca="false">Operations!AE1152+Operations!AE1194</f>
        <v>19.7386338604795</v>
      </c>
      <c r="AF1212" s="20" t="n">
        <f aca="false">Operations!AF1152+Operations!AF1194</f>
        <v>12.4337367870651</v>
      </c>
      <c r="AG1212" s="20" t="n">
        <f aca="false">Operations!AG1152+Operations!AG1194</f>
        <v>10.1184729193602</v>
      </c>
      <c r="AH1212" s="20" t="n">
        <f aca="false">Operations!AH1152+Operations!AH1194</f>
        <v>10.2789229899386</v>
      </c>
      <c r="AI1212" s="20" t="n">
        <f aca="false">Operations!AI1152+Operations!AI1194</f>
        <v>10.4422467068262</v>
      </c>
      <c r="AJ1212" s="20" t="n">
        <f aca="false">Operations!AJ1152+Operations!AJ1194</f>
        <v>10.6084012370814</v>
      </c>
      <c r="AK1212" s="20" t="n">
        <f aca="false">Operations!AK1152+Operations!AK1194</f>
        <v>10.7773441135545</v>
      </c>
      <c r="AL1212" s="20" t="n">
        <f aca="false">Operations!AL1152+Operations!AL1194</f>
        <v>10.9490332323696</v>
      </c>
      <c r="AM1212" s="20" t="n">
        <f aca="false">Operations!AM1152+Operations!AM1194</f>
        <v>11.1234268504228</v>
      </c>
      <c r="AN1212" s="20" t="n">
        <f aca="false">Operations!AN1152+Operations!AN1194</f>
        <v>11.3004835828956</v>
      </c>
      <c r="AO1212" s="20" t="n">
        <f aca="false">Operations!AO1152+Operations!AO1194</f>
        <v>11.4801624007831</v>
      </c>
      <c r="AP1212" s="20" t="n">
        <f aca="false">Operations!AP1152+Operations!AP1194</f>
        <v>11.6624226284378</v>
      </c>
      <c r="AQ1212" s="20" t="n">
        <f aca="false">Operations!AQ1152+Operations!AQ1194</f>
        <v>11.8486182242802</v>
      </c>
      <c r="AR1212" s="20" t="n">
        <f aca="false">Operations!AR1152+Operations!AR1194</f>
        <v>12.0373037746515</v>
      </c>
      <c r="AS1212" s="20" t="n">
        <f aca="false">Operations!AS1152+Operations!AS1194</f>
        <v>12.2284397163137</v>
      </c>
      <c r="AT1212" s="20" t="n">
        <f aca="false">Operations!AT1152+Operations!AT1194</f>
        <v>12.4233644479437</v>
      </c>
      <c r="AU1212" s="20" t="n">
        <f aca="false">Operations!AU1152+Operations!AU1194</f>
        <v>12.6206504510332</v>
      </c>
    </row>
    <row r="1213" customFormat="false" ht="15" hidden="false" customHeight="false" outlineLevel="0" collapsed="false">
      <c r="D1213" s="0" t="s">
        <v>815</v>
      </c>
      <c r="E1213" s="0" t="s">
        <v>47</v>
      </c>
      <c r="J1213" s="20" t="n">
        <f aca="false">Operations!J1210+Operations!J1211+Operations!J1212</f>
        <v>0</v>
      </c>
      <c r="K1213" s="20" t="n">
        <f aca="false">Operations!K1210+Operations!K1211+Operations!K1212</f>
        <v>0</v>
      </c>
      <c r="L1213" s="20" t="n">
        <f aca="false">Operations!L1210+Operations!L1211+Operations!L1212</f>
        <v>7.84181964691491</v>
      </c>
      <c r="M1213" s="20" t="n">
        <f aca="false">Operations!M1210+Operations!M1211+Operations!M1212</f>
        <v>19.5307855506423</v>
      </c>
      <c r="N1213" s="20" t="n">
        <f aca="false">Operations!N1210+Operations!N1211+Operations!N1212</f>
        <v>19.734052852447</v>
      </c>
      <c r="O1213" s="20" t="n">
        <f aca="false">Operations!O1210+Operations!O1211+Operations!O1212</f>
        <v>19.7934889613388</v>
      </c>
      <c r="P1213" s="20" t="n">
        <f aca="false">Operations!P1210+Operations!P1211+Operations!P1212</f>
        <v>19.79168091036</v>
      </c>
      <c r="Q1213" s="20" t="n">
        <f aca="false">Operations!Q1210+Operations!Q1211+Operations!Q1212</f>
        <v>19.7566286623773</v>
      </c>
      <c r="R1213" s="20" t="n">
        <f aca="false">Operations!R1210+Operations!R1211+Operations!R1212</f>
        <v>19.7232290503297</v>
      </c>
      <c r="S1213" s="20" t="n">
        <f aca="false">Operations!S1210+Operations!S1211+Operations!S1212</f>
        <v>19.6677944846567</v>
      </c>
      <c r="T1213" s="20" t="n">
        <f aca="false">Operations!T1210+Operations!T1211+Operations!T1212</f>
        <v>18.8842161849317</v>
      </c>
      <c r="U1213" s="20" t="n">
        <f aca="false">Operations!U1210+Operations!U1211+Operations!U1212</f>
        <v>18.7210807493891</v>
      </c>
      <c r="V1213" s="20" t="n">
        <f aca="false">Operations!V1210+Operations!V1211+Operations!V1212</f>
        <v>18.8021555289451</v>
      </c>
      <c r="W1213" s="20" t="n">
        <f aca="false">Operations!W1210+Operations!W1211+Operations!W1212</f>
        <v>18.6850364575385</v>
      </c>
      <c r="X1213" s="20" t="n">
        <f aca="false">Operations!X1210+Operations!X1211+Operations!X1212</f>
        <v>18.695511653688</v>
      </c>
      <c r="Y1213" s="20" t="n">
        <f aca="false">Operations!Y1210+Operations!Y1211+Operations!Y1212</f>
        <v>18.7440035519165</v>
      </c>
      <c r="Z1213" s="20" t="n">
        <f aca="false">Operations!Z1210+Operations!Z1211+Operations!Z1212</f>
        <v>18.9053593563086</v>
      </c>
      <c r="AA1213" s="20" t="n">
        <f aca="false">Operations!AA1210+Operations!AA1211+Operations!AA1212</f>
        <v>19.0690003025441</v>
      </c>
      <c r="AB1213" s="20" t="n">
        <f aca="false">Operations!AB1210+Operations!AB1211+Operations!AB1212</f>
        <v>19.2347681280955</v>
      </c>
      <c r="AC1213" s="20" t="n">
        <f aca="false">Operations!AC1210+Operations!AC1211+Operations!AC1212</f>
        <v>19.4011172530448</v>
      </c>
      <c r="AD1213" s="20" t="n">
        <f aca="false">Operations!AD1210+Operations!AD1211+Operations!AD1212</f>
        <v>19.5695711612425</v>
      </c>
      <c r="AE1213" s="20" t="n">
        <f aca="false">Operations!AE1210+Operations!AE1211+Operations!AE1212</f>
        <v>19.7386338604795</v>
      </c>
      <c r="AF1213" s="20" t="n">
        <f aca="false">Operations!AF1210+Operations!AF1211+Operations!AF1212</f>
        <v>12.4337367870651</v>
      </c>
      <c r="AG1213" s="20" t="n">
        <f aca="false">Operations!AG1210+Operations!AG1211+Operations!AG1212</f>
        <v>10.1184729193602</v>
      </c>
      <c r="AH1213" s="20" t="n">
        <f aca="false">Operations!AH1210+Operations!AH1211+Operations!AH1212</f>
        <v>10.2789229899386</v>
      </c>
      <c r="AI1213" s="20" t="n">
        <f aca="false">Operations!AI1210+Operations!AI1211+Operations!AI1212</f>
        <v>10.4422467068262</v>
      </c>
      <c r="AJ1213" s="20" t="n">
        <f aca="false">Operations!AJ1210+Operations!AJ1211+Operations!AJ1212</f>
        <v>10.6084012370814</v>
      </c>
      <c r="AK1213" s="20" t="n">
        <f aca="false">Operations!AK1210+Operations!AK1211+Operations!AK1212</f>
        <v>10.7773441135545</v>
      </c>
      <c r="AL1213" s="20" t="n">
        <f aca="false">Operations!AL1210+Operations!AL1211+Operations!AL1212</f>
        <v>10.9490332323696</v>
      </c>
      <c r="AM1213" s="20" t="n">
        <f aca="false">Operations!AM1210+Operations!AM1211+Operations!AM1212</f>
        <v>11.1234268504228</v>
      </c>
      <c r="AN1213" s="20" t="n">
        <f aca="false">Operations!AN1210+Operations!AN1211+Operations!AN1212</f>
        <v>11.3004835828956</v>
      </c>
      <c r="AO1213" s="20" t="n">
        <f aca="false">Operations!AO1210+Operations!AO1211+Operations!AO1212</f>
        <v>11.4801624007831</v>
      </c>
      <c r="AP1213" s="20" t="n">
        <f aca="false">Operations!AP1210+Operations!AP1211+Operations!AP1212</f>
        <v>11.6624226284378</v>
      </c>
      <c r="AQ1213" s="20" t="n">
        <f aca="false">Operations!AQ1210+Operations!AQ1211+Operations!AQ1212</f>
        <v>11.8486182242802</v>
      </c>
      <c r="AR1213" s="20" t="n">
        <f aca="false">Operations!AR1210+Operations!AR1211+Operations!AR1212</f>
        <v>12.0373037746515</v>
      </c>
      <c r="AS1213" s="20" t="n">
        <f aca="false">Operations!AS1210+Operations!AS1211+Operations!AS1212</f>
        <v>12.2284397163137</v>
      </c>
      <c r="AT1213" s="20" t="n">
        <f aca="false">Operations!AT1210+Operations!AT1211+Operations!AT1212</f>
        <v>12.4233644479437</v>
      </c>
      <c r="AU1213" s="20" t="n">
        <f aca="false">Operations!AU1210+Operations!AU1211+Operations!AU1212</f>
        <v>12.6206504510332</v>
      </c>
    </row>
    <row r="1214" customFormat="false" ht="15" hidden="false" customHeight="false" outlineLevel="0" collapsed="false">
      <c r="D1214" s="0" t="s">
        <v>816</v>
      </c>
      <c r="E1214" s="0" t="s">
        <v>47</v>
      </c>
      <c r="G1214" s="20" t="n">
        <f aca="false">SUM(J1214:AU1214)</f>
        <v>625.658737061833</v>
      </c>
      <c r="J1214" s="20" t="n">
        <f aca="false">Operations!J1199-Operations!J1198</f>
        <v>34.5425370340989</v>
      </c>
      <c r="K1214" s="20" t="n">
        <f aca="false">Operations!K1199-Operations!K1198</f>
        <v>34.0405281727451</v>
      </c>
      <c r="L1214" s="20" t="n">
        <f aca="false">Operations!L1199-Operations!L1198</f>
        <v>32.8815780682344</v>
      </c>
      <c r="M1214" s="20" t="n">
        <f aca="false">Operations!M1199-Operations!M1198</f>
        <v>31.5969650051587</v>
      </c>
      <c r="N1214" s="20" t="n">
        <f aca="false">Operations!N1199-Operations!N1198</f>
        <v>30.4213358107253</v>
      </c>
      <c r="O1214" s="20" t="n">
        <f aca="false">Operations!O1199-Operations!O1198</f>
        <v>28.1308598159613</v>
      </c>
      <c r="P1214" s="20" t="n">
        <f aca="false">Operations!P1199-Operations!P1198</f>
        <v>27.1682753301617</v>
      </c>
      <c r="Q1214" s="20" t="n">
        <f aca="false">Operations!Q1199-Operations!Q1198</f>
        <v>30.1644343399484</v>
      </c>
      <c r="R1214" s="20" t="n">
        <f aca="false">Operations!R1199-Operations!R1198</f>
        <v>28.0529939986578</v>
      </c>
      <c r="S1214" s="20" t="n">
        <f aca="false">Operations!S1199-Operations!S1198</f>
        <v>27.4989996256444</v>
      </c>
      <c r="T1214" s="20" t="n">
        <f aca="false">Operations!T1199-Operations!T1198</f>
        <v>26.9190227578926</v>
      </c>
      <c r="U1214" s="20" t="n">
        <f aca="false">Operations!U1199-Operations!U1198</f>
        <v>27.4112118643296</v>
      </c>
      <c r="V1214" s="20" t="n">
        <f aca="false">Operations!V1199-Operations!V1198</f>
        <v>27.7059662559023</v>
      </c>
      <c r="W1214" s="20" t="n">
        <f aca="false">Operations!W1199-Operations!W1198</f>
        <v>26.8801946952413</v>
      </c>
      <c r="X1214" s="20" t="n">
        <f aca="false">Operations!X1199-Operations!X1198</f>
        <v>26.6201667196918</v>
      </c>
      <c r="Y1214" s="20" t="n">
        <f aca="false">Operations!Y1199-Operations!Y1198</f>
        <v>26.3491693875303</v>
      </c>
      <c r="Z1214" s="20" t="n">
        <f aca="false">Operations!Z1199-Operations!Z1198</f>
        <v>26.0532422234523</v>
      </c>
      <c r="AA1214" s="20" t="n">
        <f aca="false">Operations!AA1199-Operations!AA1198</f>
        <v>25.8464905572023</v>
      </c>
      <c r="AB1214" s="20" t="n">
        <f aca="false">Operations!AB1199-Operations!AB1198</f>
        <v>25.6288551239734</v>
      </c>
      <c r="AC1214" s="20" t="n">
        <f aca="false">Operations!AC1199-Operations!AC1198</f>
        <v>25.3867047039695</v>
      </c>
      <c r="AD1214" s="20" t="n">
        <f aca="false">Operations!AD1199-Operations!AD1198</f>
        <v>25.1310715742058</v>
      </c>
      <c r="AE1214" s="20" t="n">
        <f aca="false">Operations!AE1199-Operations!AE1198</f>
        <v>25.0290234004698</v>
      </c>
      <c r="AF1214" s="20" t="n">
        <f aca="false">Operations!AF1199-Operations!AF1198</f>
        <v>3.39904916129152</v>
      </c>
      <c r="AG1214" s="20" t="n">
        <f aca="false">Operations!AG1199-Operations!AG1198</f>
        <v>22.0883485187375</v>
      </c>
      <c r="AH1214" s="20" t="n">
        <f aca="false">Operations!AH1199-Operations!AH1198</f>
        <v>22.0822148692014</v>
      </c>
      <c r="AI1214" s="20" t="n">
        <f aca="false">Operations!AI1199-Operations!AI1198</f>
        <v>-13.5977746753355</v>
      </c>
      <c r="AJ1214" s="20" t="n">
        <f aca="false">Operations!AJ1199-Operations!AJ1198</f>
        <v>7.82220344815503</v>
      </c>
      <c r="AK1214" s="20" t="n">
        <f aca="false">Operations!AK1199-Operations!AK1198</f>
        <v>-10.0916782092056</v>
      </c>
      <c r="AL1214" s="20" t="n">
        <f aca="false">Operations!AL1199-Operations!AL1198</f>
        <v>4.57033624282723</v>
      </c>
      <c r="AM1214" s="20" t="n">
        <f aca="false">Operations!AM1199-Operations!AM1198</f>
        <v>4.47949674135899</v>
      </c>
      <c r="AN1214" s="20" t="n">
        <f aca="false">Operations!AN1199-Operations!AN1198</f>
        <v>4.38300032587133</v>
      </c>
      <c r="AO1214" s="20" t="n">
        <f aca="false">Operations!AO1199-Operations!AO1198</f>
        <v>4.28049630755081</v>
      </c>
      <c r="AP1214" s="20" t="n">
        <f aca="false">Operations!AP1199-Operations!AP1198</f>
        <v>4.17162827983871</v>
      </c>
      <c r="AQ1214" s="20" t="n">
        <f aca="false">Operations!AQ1199-Operations!AQ1198</f>
        <v>-5.06645401258223</v>
      </c>
      <c r="AR1214" s="20" t="n">
        <f aca="false">Operations!AR1199-Operations!AR1198</f>
        <v>-18.964670959809</v>
      </c>
      <c r="AS1214" s="20" t="n">
        <f aca="false">Operations!AS1199-Operations!AS1198</f>
        <v>-7.59425659541196</v>
      </c>
      <c r="AT1214" s="20" t="n">
        <f aca="false">Operations!AT1199-Operations!AT1198</f>
        <v>-7.78411301029726</v>
      </c>
      <c r="AU1214" s="20" t="n">
        <f aca="false">Operations!AU1199-Operations!AU1198</f>
        <v>-7.97871583555469</v>
      </c>
    </row>
    <row r="1215" customFormat="false" ht="15" hidden="false" customHeight="false" outlineLevel="0" collapsed="false">
      <c r="D1215" s="0" t="s">
        <v>817</v>
      </c>
      <c r="E1215" s="0" t="s">
        <v>47</v>
      </c>
      <c r="G1215" s="20" t="n">
        <f aca="false">SUM(J1215:AU1215)</f>
        <v>1075.82440653796</v>
      </c>
      <c r="J1215" s="20" t="n">
        <f aca="false">Operations!J1204-Operations!J1198</f>
        <v>34.5425370340989</v>
      </c>
      <c r="K1215" s="20" t="n">
        <f aca="false">Operations!K1204-Operations!K1198</f>
        <v>37.1702645316492</v>
      </c>
      <c r="L1215" s="20" t="n">
        <f aca="false">Operations!L1204-Operations!L1198</f>
        <v>48.1396346056199</v>
      </c>
      <c r="M1215" s="20" t="n">
        <f aca="false">Operations!M1204-Operations!M1198</f>
        <v>55.3675798339413</v>
      </c>
      <c r="N1215" s="20" t="n">
        <f aca="false">Operations!N1204-Operations!N1198</f>
        <v>54.2296510605353</v>
      </c>
      <c r="O1215" s="20" t="n">
        <f aca="false">Operations!O1204-Operations!O1198</f>
        <v>51.8296869144623</v>
      </c>
      <c r="P1215" s="20" t="n">
        <f aca="false">Operations!P1204-Operations!P1198</f>
        <v>50.1626461563068</v>
      </c>
      <c r="Q1215" s="20" t="n">
        <f aca="false">Operations!Q1204-Operations!Q1198</f>
        <v>52.662005002333</v>
      </c>
      <c r="R1215" s="20" t="n">
        <f aca="false">Operations!R1204-Operations!R1198</f>
        <v>48.825510714128</v>
      </c>
      <c r="S1215" s="20" t="n">
        <f aca="false">Operations!S1204-Operations!S1198</f>
        <v>45.4819174969696</v>
      </c>
      <c r="T1215" s="20" t="n">
        <f aca="false">Operations!T1204-Operations!T1198</f>
        <v>43.4380423110482</v>
      </c>
      <c r="U1215" s="20" t="n">
        <f aca="false">Operations!U1204-Operations!U1198</f>
        <v>43.3502047316779</v>
      </c>
      <c r="V1215" s="20" t="n">
        <f aca="false">Operations!V1204-Operations!V1198</f>
        <v>44.5174712540201</v>
      </c>
      <c r="W1215" s="20" t="n">
        <f aca="false">Operations!W1204-Operations!W1198</f>
        <v>43.4648062414074</v>
      </c>
      <c r="X1215" s="20" t="n">
        <f aca="false">Operations!X1204-Operations!X1198</f>
        <v>43.0234630181448</v>
      </c>
      <c r="Y1215" s="20" t="n">
        <f aca="false">Operations!Y1204-Operations!Y1198</f>
        <v>42.5982130884821</v>
      </c>
      <c r="Z1215" s="20" t="n">
        <f aca="false">Operations!Z1204-Operations!Z1198</f>
        <v>42.2544938955049</v>
      </c>
      <c r="AA1215" s="20" t="n">
        <f aca="false">Operations!AA1204-Operations!AA1198</f>
        <v>41.9970872165669</v>
      </c>
      <c r="AB1215" s="20" t="n">
        <f aca="false">Operations!AB1204-Operations!AB1198</f>
        <v>41.7235557142056</v>
      </c>
      <c r="AC1215" s="20" t="n">
        <f aca="false">Operations!AC1204-Operations!AC1198</f>
        <v>41.4195731736267</v>
      </c>
      <c r="AD1215" s="20" t="n">
        <f aca="false">Operations!AD1204-Operations!AD1198</f>
        <v>41.0986509379568</v>
      </c>
      <c r="AE1215" s="20" t="n">
        <f aca="false">Operations!AE1204-Operations!AE1198</f>
        <v>35.7341764168319</v>
      </c>
      <c r="AF1215" s="20" t="n">
        <f aca="false">Operations!AF1204-Operations!AF1198</f>
        <v>5.39435227724313</v>
      </c>
      <c r="AG1215" s="20" t="n">
        <f aca="false">Operations!AG1204-Operations!AG1198</f>
        <v>28.080582727223</v>
      </c>
      <c r="AH1215" s="20" t="n">
        <f aca="false">Operations!AH1204-Operations!AH1198</f>
        <v>28.1322288671935</v>
      </c>
      <c r="AI1215" s="20" t="n">
        <f aca="false">Operations!AI1204-Operations!AI1198</f>
        <v>-7.48966802612568</v>
      </c>
      <c r="AJ1215" s="20" t="n">
        <f aca="false">Operations!AJ1204-Operations!AJ1198</f>
        <v>13.9886093597761</v>
      </c>
      <c r="AK1215" s="20" t="n">
        <f aca="false">Operations!AK1204-Operations!AK1198</f>
        <v>-3.8668739016871</v>
      </c>
      <c r="AL1215" s="20" t="n">
        <f aca="false">Operations!AL1204-Operations!AL1198</f>
        <v>10.8535293325511</v>
      </c>
      <c r="AM1215" s="20" t="n">
        <f aca="false">Operations!AM1204-Operations!AM1198</f>
        <v>10.8209589396869</v>
      </c>
      <c r="AN1215" s="20" t="n">
        <f aca="false">Operations!AN1204-Operations!AN1198</f>
        <v>10.7825005422982</v>
      </c>
      <c r="AO1215" s="20" t="n">
        <f aca="false">Operations!AO1204-Operations!AO1198</f>
        <v>10.7376906323798</v>
      </c>
      <c r="AP1215" s="20" t="n">
        <f aca="false">Operations!AP1204-Operations!AP1198</f>
        <v>10.6860585355435</v>
      </c>
      <c r="AQ1215" s="20" t="n">
        <f aca="false">Operations!AQ1204-Operations!AQ1198</f>
        <v>1.50602519573851</v>
      </c>
      <c r="AR1215" s="20" t="n">
        <f aca="false">Operations!AR1204-Operations!AR1198</f>
        <v>-12.3348451445134</v>
      </c>
      <c r="AS1215" s="20" t="n">
        <f aca="false">Operations!AS1204-Operations!AS1198</f>
        <v>-0.907905355011421</v>
      </c>
      <c r="AT1215" s="20" t="n">
        <f aca="false">Operations!AT1204-Operations!AT1198</f>
        <v>-1.04080762229286</v>
      </c>
      <c r="AU1215" s="20" t="n">
        <f aca="false">Operations!AU1204-Operations!AU1198</f>
        <v>-12.5492011715571</v>
      </c>
    </row>
    <row r="1216" customFormat="false" ht="15" hidden="false" customHeight="false" outlineLevel="0" collapsed="false">
      <c r="D1216" s="0" t="s">
        <v>818</v>
      </c>
      <c r="E1216" s="0" t="s">
        <v>47</v>
      </c>
      <c r="J1216" s="20" t="n">
        <f aca="false">Operations!J1209</f>
        <v>0</v>
      </c>
      <c r="K1216" s="20" t="n">
        <f aca="false">Operations!K1209</f>
        <v>0</v>
      </c>
      <c r="L1216" s="20" t="n">
        <f aca="false">Operations!L1209</f>
        <v>5.93347102488541</v>
      </c>
      <c r="M1216" s="20" t="n">
        <f aca="false">Operations!M1209</f>
        <v>14.4859735534702</v>
      </c>
      <c r="N1216" s="20" t="n">
        <f aca="false">Operations!N1209</f>
        <v>14.5646168176147</v>
      </c>
      <c r="O1216" s="20" t="n">
        <f aca="false">Operations!O1209</f>
        <v>14.4970950805008</v>
      </c>
      <c r="P1216" s="20" t="n">
        <f aca="false">Operations!P1209</f>
        <v>14.3654845701949</v>
      </c>
      <c r="Q1216" s="20" t="n">
        <f aca="false">Operations!Q1209</f>
        <v>13.3829451828482</v>
      </c>
      <c r="R1216" s="20" t="n">
        <f aca="false">Operations!R1209</f>
        <v>14.0279511504009</v>
      </c>
      <c r="S1216" s="20" t="n">
        <f aca="false">Operations!S1209</f>
        <v>13.8330143425122</v>
      </c>
      <c r="T1216" s="20" t="n">
        <f aca="false">Operations!T1209</f>
        <v>12.9102617233333</v>
      </c>
      <c r="U1216" s="20" t="n">
        <f aca="false">Operations!U1209</f>
        <v>11.7019311022993</v>
      </c>
      <c r="V1216" s="20" t="n">
        <f aca="false">Operations!V1209</f>
        <v>12.5312195117551</v>
      </c>
      <c r="W1216" s="20" t="n">
        <f aca="false">Operations!W1209</f>
        <v>12.2604096979568</v>
      </c>
      <c r="X1216" s="20" t="n">
        <f aca="false">Operations!X1209</f>
        <v>12.1126666413721</v>
      </c>
      <c r="Y1216" s="20" t="n">
        <f aca="false">Operations!Y1209</f>
        <v>11.9987866177316</v>
      </c>
      <c r="Z1216" s="20" t="n">
        <f aca="false">Operations!Z1209</f>
        <v>11.9931250312621</v>
      </c>
      <c r="AA1216" s="20" t="n">
        <f aca="false">Operations!AA1209</f>
        <v>11.9855823328192</v>
      </c>
      <c r="AB1216" s="20" t="n">
        <f aca="false">Operations!AB1209</f>
        <v>11.9758972343331</v>
      </c>
      <c r="AC1216" s="20" t="n">
        <f aca="false">Operations!AC1209</f>
        <v>11.9624258173492</v>
      </c>
      <c r="AD1216" s="20" t="n">
        <f aca="false">Operations!AD1209</f>
        <v>11.9465744532759</v>
      </c>
      <c r="AE1216" s="20" t="n">
        <f aca="false">Operations!AE1209</f>
        <v>11.9267431618576</v>
      </c>
      <c r="AF1216" s="20" t="n">
        <f aca="false">Operations!AF1209</f>
        <v>1.99530311595161</v>
      </c>
      <c r="AG1216" s="20" t="n">
        <f aca="false">Operations!AG1209</f>
        <v>5.99223420848546</v>
      </c>
      <c r="AH1216" s="20" t="n">
        <f aca="false">Operations!AH1209</f>
        <v>6.05001399799215</v>
      </c>
      <c r="AI1216" s="20" t="n">
        <f aca="false">Operations!AI1209</f>
        <v>6.10810664920978</v>
      </c>
      <c r="AJ1216" s="20" t="n">
        <f aca="false">Operations!AJ1209</f>
        <v>6.16640591162106</v>
      </c>
      <c r="AK1216" s="20" t="n">
        <f aca="false">Operations!AK1209</f>
        <v>6.22480430751853</v>
      </c>
      <c r="AL1216" s="20" t="n">
        <f aca="false">Operations!AL1209</f>
        <v>6.28319308972384</v>
      </c>
      <c r="AM1216" s="20" t="n">
        <f aca="false">Operations!AM1209</f>
        <v>6.34146219832788</v>
      </c>
      <c r="AN1216" s="20" t="n">
        <f aca="false">Operations!AN1209</f>
        <v>6.39950021642691</v>
      </c>
      <c r="AO1216" s="20" t="n">
        <f aca="false">Operations!AO1209</f>
        <v>6.45719432482902</v>
      </c>
      <c r="AP1216" s="20" t="n">
        <f aca="false">Operations!AP1209</f>
        <v>6.51443025570482</v>
      </c>
      <c r="AQ1216" s="20" t="n">
        <f aca="false">Operations!AQ1209</f>
        <v>6.57247920832073</v>
      </c>
      <c r="AR1216" s="20" t="n">
        <f aca="false">Operations!AR1209</f>
        <v>6.62982581529555</v>
      </c>
      <c r="AS1216" s="20" t="n">
        <f aca="false">Operations!AS1209</f>
        <v>6.68635124040054</v>
      </c>
      <c r="AT1216" s="20" t="n">
        <f aca="false">Operations!AT1209</f>
        <v>6.7433053880044</v>
      </c>
      <c r="AU1216" s="20" t="n">
        <f aca="false">Operations!AU1209</f>
        <v>-4.57048533600244</v>
      </c>
    </row>
    <row r="1217" customFormat="false" ht="15" hidden="false" customHeight="false" outlineLevel="0" collapsed="false">
      <c r="D1217" s="0" t="s">
        <v>819</v>
      </c>
      <c r="E1217" s="0" t="s">
        <v>458</v>
      </c>
      <c r="J1217" s="14" t="n">
        <f aca="false">IF(Operations!J1203=0,0,Operations!J1200/Operations!J1203)</f>
        <v>0.567996767001958</v>
      </c>
      <c r="K1217" s="14" t="n">
        <f aca="false">IF(Operations!K1203=0,0,Operations!K1200/Operations!K1203)</f>
        <v>0.642012218193066</v>
      </c>
      <c r="L1217" s="14" t="n">
        <f aca="false">IF(Operations!L1203=0,0,Operations!L1200/Operations!L1203)</f>
        <v>0.643591697930116</v>
      </c>
      <c r="M1217" s="14" t="n">
        <f aca="false">IF(Operations!M1203=0,0,Operations!M1200/Operations!M1203)</f>
        <v>0.646488043386279</v>
      </c>
      <c r="N1217" s="14" t="n">
        <f aca="false">IF(Operations!N1203=0,0,Operations!N1200/Operations!N1203)</f>
        <v>0.648783721774465</v>
      </c>
      <c r="O1217" s="14" t="n">
        <f aca="false">IF(Operations!O1203=0,0,Operations!O1200/Operations!O1203)</f>
        <v>0.671216101181759</v>
      </c>
      <c r="P1217" s="14" t="n">
        <f aca="false">IF(Operations!P1203=0,0,Operations!P1200/Operations!P1203)</f>
        <v>0.679865928438914</v>
      </c>
      <c r="Q1217" s="14" t="n">
        <f aca="false">IF(Operations!Q1203=0,0,Operations!Q1200/Operations!Q1203)</f>
        <v>0.500363692159296</v>
      </c>
      <c r="R1217" s="14" t="n">
        <f aca="false">IF(Operations!R1203=0,0,Operations!R1200/Operations!R1203)</f>
        <v>0.139354107152294</v>
      </c>
      <c r="S1217" s="14" t="n">
        <f aca="false">IF(Operations!S1203=0,0,Operations!S1200/Operations!S1203)</f>
        <v>0.137771652651212</v>
      </c>
      <c r="T1217" s="14" t="n">
        <f aca="false">IF(Operations!T1203=0,0,Operations!T1200/Operations!T1203)</f>
        <v>0.136214147111171</v>
      </c>
      <c r="U1217" s="14" t="n">
        <f aca="false">IF(Operations!U1203=0,0,Operations!U1200/Operations!U1203)</f>
        <v>0.0657913624859078</v>
      </c>
      <c r="V1217" s="14" t="n">
        <f aca="false">IF(Operations!V1203=0,0,Operations!V1200/Operations!V1203)</f>
        <v>0</v>
      </c>
      <c r="W1217" s="14" t="n">
        <f aca="false">IF(Operations!W1203=0,0,Operations!W1200/Operations!W1203)</f>
        <v>0</v>
      </c>
      <c r="X1217" s="14" t="n">
        <f aca="false">IF(Operations!X1203=0,0,Operations!X1200/Operations!X1203)</f>
        <v>0</v>
      </c>
      <c r="Y1217" s="14" t="n">
        <f aca="false">IF(Operations!Y1203=0,0,Operations!Y1200/Operations!Y1203)</f>
        <v>0</v>
      </c>
      <c r="Z1217" s="14" t="n">
        <f aca="false">IF(Operations!Z1203=0,0,Operations!Z1200/Operations!Z1203)</f>
        <v>0</v>
      </c>
      <c r="AA1217" s="14" t="n">
        <f aca="false">IF(Operations!AA1203=0,0,Operations!AA1200/Operations!AA1203)</f>
        <v>0</v>
      </c>
      <c r="AB1217" s="14" t="n">
        <f aca="false">IF(Operations!AB1203=0,0,Operations!AB1200/Operations!AB1203)</f>
        <v>0</v>
      </c>
      <c r="AC1217" s="14" t="n">
        <f aca="false">IF(Operations!AC1203=0,0,Operations!AC1200/Operations!AC1203)</f>
        <v>0</v>
      </c>
      <c r="AD1217" s="14" t="n">
        <f aca="false">IF(Operations!AD1203=0,0,Operations!AD1200/Operations!AD1203)</f>
        <v>0</v>
      </c>
      <c r="AE1217" s="14" t="n">
        <f aca="false">IF(Operations!AE1203=0,0,Operations!AE1200/Operations!AE1203)</f>
        <v>0</v>
      </c>
      <c r="AF1217" s="14" t="n">
        <f aca="false">IF(Operations!AF1203=0,0,Operations!AF1200/Operations!AF1203)</f>
        <v>0</v>
      </c>
      <c r="AG1217" s="14" t="n">
        <f aca="false">IF(Operations!AG1203=0,0,Operations!AG1200/Operations!AG1203)</f>
        <v>0</v>
      </c>
      <c r="AH1217" s="14" t="n">
        <f aca="false">IF(Operations!AH1203=0,0,Operations!AH1200/Operations!AH1203)</f>
        <v>0</v>
      </c>
      <c r="AI1217" s="14" t="n">
        <f aca="false">IF(Operations!AI1203=0,0,Operations!AI1200/Operations!AI1203)</f>
        <v>0</v>
      </c>
      <c r="AJ1217" s="14" t="n">
        <f aca="false">IF(Operations!AJ1203=0,0,Operations!AJ1200/Operations!AJ1203)</f>
        <v>0</v>
      </c>
      <c r="AK1217" s="14" t="n">
        <f aca="false">IF(Operations!AK1203=0,0,Operations!AK1200/Operations!AK1203)</f>
        <v>0</v>
      </c>
      <c r="AL1217" s="14" t="n">
        <f aca="false">IF(Operations!AL1203=0,0,Operations!AL1200/Operations!AL1203)</f>
        <v>0</v>
      </c>
      <c r="AM1217" s="14" t="n">
        <f aca="false">IF(Operations!AM1203=0,0,Operations!AM1200/Operations!AM1203)</f>
        <v>0</v>
      </c>
      <c r="AN1217" s="14" t="n">
        <f aca="false">IF(Operations!AN1203=0,0,Operations!AN1200/Operations!AN1203)</f>
        <v>0</v>
      </c>
      <c r="AO1217" s="14" t="n">
        <f aca="false">IF(Operations!AO1203=0,0,Operations!AO1200/Operations!AO1203)</f>
        <v>0</v>
      </c>
      <c r="AP1217" s="14" t="n">
        <f aca="false">IF(Operations!AP1203=0,0,Operations!AP1200/Operations!AP1203)</f>
        <v>0</v>
      </c>
      <c r="AQ1217" s="14" t="n">
        <f aca="false">IF(Operations!AQ1203=0,0,Operations!AQ1200/Operations!AQ1203)</f>
        <v>0</v>
      </c>
      <c r="AR1217" s="14" t="n">
        <f aca="false">IF(Operations!AR1203=0,0,Operations!AR1200/Operations!AR1203)</f>
        <v>0</v>
      </c>
      <c r="AS1217" s="14" t="n">
        <f aca="false">IF(Operations!AS1203=0,0,Operations!AS1200/Operations!AS1203)</f>
        <v>0</v>
      </c>
      <c r="AT1217" s="14" t="n">
        <f aca="false">IF(Operations!AT1203=0,0,Operations!AT1200/Operations!AT1203)</f>
        <v>0</v>
      </c>
      <c r="AU1217" s="14" t="n">
        <f aca="false">IF(Operations!AU1203=0,0,Operations!AU1200/Operations!AU1203)</f>
        <v>0</v>
      </c>
    </row>
    <row r="1218" customFormat="false" ht="15" hidden="false" customHeight="false" outlineLevel="0" collapsed="false">
      <c r="D1218" s="0" t="s">
        <v>820</v>
      </c>
      <c r="E1218" s="0" t="s">
        <v>458</v>
      </c>
      <c r="J1218" s="14" t="n">
        <f aca="false">IF(Operations!J1203=0,0,Operations!J1201/Operations!J1203)</f>
        <v>0.0961518696286173</v>
      </c>
      <c r="K1218" s="14" t="n">
        <f aca="false">IF(Operations!K1203=0,0,Operations!K1201/Operations!K1203)</f>
        <v>0.357108833161619</v>
      </c>
      <c r="L1218" s="14" t="n">
        <f aca="false">IF(Operations!L1203=0,0,Operations!L1201/Operations!L1203)</f>
        <v>0.359680353089797</v>
      </c>
      <c r="M1218" s="14" t="n">
        <f aca="false">IF(Operations!M1203=0,0,Operations!M1201/Operations!M1203)</f>
        <v>0.361626967137</v>
      </c>
      <c r="N1218" s="14" t="n">
        <f aca="false">IF(Operations!N1203=0,0,Operations!N1201/Operations!N1203)</f>
        <v>0.363558380398244</v>
      </c>
      <c r="O1218" s="14" t="n">
        <f aca="false">IF(Operations!O1203=0,0,Operations!O1201/Operations!O1203)</f>
        <v>0.257033870015285</v>
      </c>
      <c r="P1218" s="14" t="n">
        <f aca="false">IF(Operations!P1203=0,0,Operations!P1201/Operations!P1203)</f>
        <v>0</v>
      </c>
      <c r="Q1218" s="14" t="n">
        <f aca="false">IF(Operations!Q1203=0,0,Operations!Q1201/Operations!Q1203)</f>
        <v>0</v>
      </c>
      <c r="R1218" s="14" t="n">
        <f aca="false">IF(Operations!R1203=0,0,Operations!R1201/Operations!R1203)</f>
        <v>0</v>
      </c>
      <c r="S1218" s="14" t="n">
        <f aca="false">IF(Operations!S1203=0,0,Operations!S1201/Operations!S1203)</f>
        <v>0</v>
      </c>
      <c r="T1218" s="14" t="n">
        <f aca="false">IF(Operations!T1203=0,0,Operations!T1201/Operations!T1203)</f>
        <v>0</v>
      </c>
      <c r="U1218" s="14" t="n">
        <f aca="false">IF(Operations!U1203=0,0,Operations!U1201/Operations!U1203)</f>
        <v>0</v>
      </c>
      <c r="V1218" s="14" t="n">
        <f aca="false">IF(Operations!V1203=0,0,Operations!V1201/Operations!V1203)</f>
        <v>0</v>
      </c>
      <c r="W1218" s="14" t="n">
        <f aca="false">IF(Operations!W1203=0,0,Operations!W1201/Operations!W1203)</f>
        <v>0</v>
      </c>
      <c r="X1218" s="14" t="n">
        <f aca="false">IF(Operations!X1203=0,0,Operations!X1201/Operations!X1203)</f>
        <v>0</v>
      </c>
      <c r="Y1218" s="14" t="n">
        <f aca="false">IF(Operations!Y1203=0,0,Operations!Y1201/Operations!Y1203)</f>
        <v>0</v>
      </c>
      <c r="Z1218" s="14" t="n">
        <f aca="false">IF(Operations!Z1203=0,0,Operations!Z1201/Operations!Z1203)</f>
        <v>0</v>
      </c>
      <c r="AA1218" s="14" t="n">
        <f aca="false">IF(Operations!AA1203=0,0,Operations!AA1201/Operations!AA1203)</f>
        <v>0</v>
      </c>
      <c r="AB1218" s="14" t="n">
        <f aca="false">IF(Operations!AB1203=0,0,Operations!AB1201/Operations!AB1203)</f>
        <v>0</v>
      </c>
      <c r="AC1218" s="14" t="n">
        <f aca="false">IF(Operations!AC1203=0,0,Operations!AC1201/Operations!AC1203)</f>
        <v>0</v>
      </c>
      <c r="AD1218" s="14" t="n">
        <f aca="false">IF(Operations!AD1203=0,0,Operations!AD1201/Operations!AD1203)</f>
        <v>0</v>
      </c>
      <c r="AE1218" s="14" t="n">
        <f aca="false">IF(Operations!AE1203=0,0,Operations!AE1201/Operations!AE1203)</f>
        <v>0</v>
      </c>
      <c r="AF1218" s="14" t="n">
        <f aca="false">IF(Operations!AF1203=0,0,Operations!AF1201/Operations!AF1203)</f>
        <v>0</v>
      </c>
      <c r="AG1218" s="14" t="n">
        <f aca="false">IF(Operations!AG1203=0,0,Operations!AG1201/Operations!AG1203)</f>
        <v>0</v>
      </c>
      <c r="AH1218" s="14" t="n">
        <f aca="false">IF(Operations!AH1203=0,0,Operations!AH1201/Operations!AH1203)</f>
        <v>0</v>
      </c>
      <c r="AI1218" s="14" t="n">
        <f aca="false">IF(Operations!AI1203=0,0,Operations!AI1201/Operations!AI1203)</f>
        <v>0</v>
      </c>
      <c r="AJ1218" s="14" t="n">
        <f aca="false">IF(Operations!AJ1203=0,0,Operations!AJ1201/Operations!AJ1203)</f>
        <v>0</v>
      </c>
      <c r="AK1218" s="14" t="n">
        <f aca="false">IF(Operations!AK1203=0,0,Operations!AK1201/Operations!AK1203)</f>
        <v>0</v>
      </c>
      <c r="AL1218" s="14" t="n">
        <f aca="false">IF(Operations!AL1203=0,0,Operations!AL1201/Operations!AL1203)</f>
        <v>0</v>
      </c>
      <c r="AM1218" s="14" t="n">
        <f aca="false">IF(Operations!AM1203=0,0,Operations!AM1201/Operations!AM1203)</f>
        <v>0</v>
      </c>
      <c r="AN1218" s="14" t="n">
        <f aca="false">IF(Operations!AN1203=0,0,Operations!AN1201/Operations!AN1203)</f>
        <v>0</v>
      </c>
      <c r="AO1218" s="14" t="n">
        <f aca="false">IF(Operations!AO1203=0,0,Operations!AO1201/Operations!AO1203)</f>
        <v>0</v>
      </c>
      <c r="AP1218" s="14" t="n">
        <f aca="false">IF(Operations!AP1203=0,0,Operations!AP1201/Operations!AP1203)</f>
        <v>0</v>
      </c>
      <c r="AQ1218" s="14" t="n">
        <f aca="false">IF(Operations!AQ1203=0,0,Operations!AQ1201/Operations!AQ1203)</f>
        <v>0</v>
      </c>
      <c r="AR1218" s="14" t="n">
        <f aca="false">IF(Operations!AR1203=0,0,Operations!AR1201/Operations!AR1203)</f>
        <v>0</v>
      </c>
      <c r="AS1218" s="14" t="n">
        <f aca="false">IF(Operations!AS1203=0,0,Operations!AS1201/Operations!AS1203)</f>
        <v>0</v>
      </c>
      <c r="AT1218" s="14" t="n">
        <f aca="false">IF(Operations!AT1203=0,0,Operations!AT1201/Operations!AT1203)</f>
        <v>0</v>
      </c>
      <c r="AU1218" s="14" t="n">
        <f aca="false">IF(Operations!AU1203=0,0,Operations!AU1201/Operations!AU1203)</f>
        <v>0</v>
      </c>
    </row>
    <row r="1219" customFormat="false" ht="15" hidden="false" customHeight="false" outlineLevel="0" collapsed="false">
      <c r="D1219" s="0" t="s">
        <v>821</v>
      </c>
      <c r="E1219" s="0" t="s">
        <v>458</v>
      </c>
      <c r="J1219" s="14" t="n">
        <f aca="false">1-Operations!J1217-Operations!J1218</f>
        <v>0.335851363369425</v>
      </c>
      <c r="K1219" s="14" t="n">
        <f aca="false">1-Operations!K1217-Operations!K1218</f>
        <v>0.000878948645314404</v>
      </c>
      <c r="L1219" s="14" t="n">
        <f aca="false">1-Operations!L1217-Operations!L1218</f>
        <v>-0.00327205101991301</v>
      </c>
      <c r="M1219" s="14" t="n">
        <f aca="false">1-Operations!M1217-Operations!M1218</f>
        <v>-0.00811501052327951</v>
      </c>
      <c r="N1219" s="14" t="n">
        <f aca="false">1-Operations!N1217-Operations!N1218</f>
        <v>-0.0123421021727089</v>
      </c>
      <c r="O1219" s="14" t="n">
        <f aca="false">1-Operations!O1217-Operations!O1218</f>
        <v>0.0717500288029558</v>
      </c>
      <c r="P1219" s="14" t="n">
        <f aca="false">1-Operations!P1217-Operations!P1218</f>
        <v>0.320134071561086</v>
      </c>
      <c r="Q1219" s="14" t="n">
        <f aca="false">1-Operations!Q1217-Operations!Q1218</f>
        <v>0.499636307840704</v>
      </c>
      <c r="R1219" s="14" t="n">
        <f aca="false">1-Operations!R1217-Operations!R1218</f>
        <v>0.860645892847706</v>
      </c>
      <c r="S1219" s="14" t="n">
        <f aca="false">1-Operations!S1217-Operations!S1218</f>
        <v>0.862228347348788</v>
      </c>
      <c r="T1219" s="14" t="n">
        <f aca="false">1-Operations!T1217-Operations!T1218</f>
        <v>0.863785852888829</v>
      </c>
      <c r="U1219" s="14" t="n">
        <f aca="false">1-Operations!U1217-Operations!U1218</f>
        <v>0.934208637514092</v>
      </c>
      <c r="V1219" s="14" t="n">
        <f aca="false">1-Operations!V1217-Operations!V1218</f>
        <v>1</v>
      </c>
      <c r="W1219" s="14" t="n">
        <f aca="false">1-Operations!W1217-Operations!W1218</f>
        <v>1</v>
      </c>
      <c r="X1219" s="14" t="n">
        <f aca="false">1-Operations!X1217-Operations!X1218</f>
        <v>1</v>
      </c>
      <c r="Y1219" s="14" t="n">
        <f aca="false">1-Operations!Y1217-Operations!Y1218</f>
        <v>1</v>
      </c>
      <c r="Z1219" s="14" t="n">
        <f aca="false">1-Operations!Z1217-Operations!Z1218</f>
        <v>1</v>
      </c>
      <c r="AA1219" s="14" t="n">
        <f aca="false">1-Operations!AA1217-Operations!AA1218</f>
        <v>1</v>
      </c>
      <c r="AB1219" s="14" t="n">
        <f aca="false">1-Operations!AB1217-Operations!AB1218</f>
        <v>1</v>
      </c>
      <c r="AC1219" s="14" t="n">
        <f aca="false">1-Operations!AC1217-Operations!AC1218</f>
        <v>1</v>
      </c>
      <c r="AD1219" s="14" t="n">
        <f aca="false">1-Operations!AD1217-Operations!AD1218</f>
        <v>1</v>
      </c>
      <c r="AE1219" s="14" t="n">
        <f aca="false">1-Operations!AE1217-Operations!AE1218</f>
        <v>1</v>
      </c>
      <c r="AF1219" s="14" t="n">
        <f aca="false">1-Operations!AF1217-Operations!AF1218</f>
        <v>1</v>
      </c>
      <c r="AG1219" s="14" t="n">
        <f aca="false">1-Operations!AG1217-Operations!AG1218</f>
        <v>1</v>
      </c>
      <c r="AH1219" s="14" t="n">
        <f aca="false">1-Operations!AH1217-Operations!AH1218</f>
        <v>1</v>
      </c>
      <c r="AI1219" s="14" t="n">
        <f aca="false">1-Operations!AI1217-Operations!AI1218</f>
        <v>1</v>
      </c>
      <c r="AJ1219" s="14" t="n">
        <f aca="false">1-Operations!AJ1217-Operations!AJ1218</f>
        <v>1</v>
      </c>
      <c r="AK1219" s="14" t="n">
        <f aca="false">1-Operations!AK1217-Operations!AK1218</f>
        <v>1</v>
      </c>
      <c r="AL1219" s="14" t="n">
        <f aca="false">1-Operations!AL1217-Operations!AL1218</f>
        <v>1</v>
      </c>
      <c r="AM1219" s="14" t="n">
        <f aca="false">1-Operations!AM1217-Operations!AM1218</f>
        <v>1</v>
      </c>
      <c r="AN1219" s="14" t="n">
        <f aca="false">1-Operations!AN1217-Operations!AN1218</f>
        <v>1</v>
      </c>
      <c r="AO1219" s="14" t="n">
        <f aca="false">1-Operations!AO1217-Operations!AO1218</f>
        <v>1</v>
      </c>
      <c r="AP1219" s="14" t="n">
        <f aca="false">1-Operations!AP1217-Operations!AP1218</f>
        <v>1</v>
      </c>
      <c r="AQ1219" s="14" t="n">
        <f aca="false">1-Operations!AQ1217-Operations!AQ1218</f>
        <v>1</v>
      </c>
      <c r="AR1219" s="14" t="n">
        <f aca="false">1-Operations!AR1217-Operations!AR1218</f>
        <v>1</v>
      </c>
      <c r="AS1219" s="14" t="n">
        <f aca="false">1-Operations!AS1217-Operations!AS1218</f>
        <v>1</v>
      </c>
      <c r="AT1219" s="14" t="n">
        <f aca="false">1-Operations!AT1217-Operations!AT1218</f>
        <v>1</v>
      </c>
      <c r="AU1219" s="14" t="n">
        <f aca="false">1-Operations!AU1217-Operations!AU1218</f>
        <v>1</v>
      </c>
    </row>
    <row r="1220" customFormat="false" ht="15" hidden="false" customHeight="false" outlineLevel="0" collapsed="false">
      <c r="D1220" s="0" t="s">
        <v>822</v>
      </c>
      <c r="E1220" s="0" t="s">
        <v>47</v>
      </c>
      <c r="J1220" s="20" t="n">
        <f aca="false">Operations!J1214*Operations!J1217</f>
        <v>19.6200493594136</v>
      </c>
      <c r="K1220" s="20" t="n">
        <f aca="false">Operations!K1214*Operations!K1217</f>
        <v>21.8544350006476</v>
      </c>
      <c r="L1220" s="20" t="n">
        <f aca="false">Operations!L1214*Operations!L1217</f>
        <v>21.1623106595567</v>
      </c>
      <c r="M1220" s="20" t="n">
        <f aca="false">Operations!M1214*Operations!M1217</f>
        <v>20.4270600831298</v>
      </c>
      <c r="N1220" s="20" t="n">
        <f aca="false">Operations!N1214*Operations!N1217</f>
        <v>19.7368674686332</v>
      </c>
      <c r="O1220" s="20" t="n">
        <f aca="false">Operations!O1214*Operations!O1217</f>
        <v>18.8818860485602</v>
      </c>
      <c r="P1220" s="20" t="n">
        <f aca="false">Operations!P1214*Operations!P1217</f>
        <v>18.4707847314244</v>
      </c>
      <c r="Q1220" s="20" t="n">
        <f aca="false">Operations!Q1214*Operations!Q1217</f>
        <v>15.0931877382332</v>
      </c>
      <c r="R1220" s="20" t="n">
        <f aca="false">Operations!R1214*Operations!R1217</f>
        <v>3.90929993163162</v>
      </c>
      <c r="S1220" s="20" t="n">
        <f aca="false">Operations!S1214*Operations!S1217</f>
        <v>3.78858262468009</v>
      </c>
      <c r="T1220" s="20" t="n">
        <f aca="false">Operations!T1214*Operations!T1217</f>
        <v>3.66675172603255</v>
      </c>
      <c r="U1220" s="20" t="n">
        <f aca="false">Operations!U1214*Operations!U1217</f>
        <v>1.80342097594412</v>
      </c>
      <c r="V1220" s="20" t="n">
        <f aca="false">Operations!V1214*Operations!V1217</f>
        <v>0</v>
      </c>
      <c r="W1220" s="20" t="n">
        <f aca="false">Operations!W1214*Operations!W1217</f>
        <v>0</v>
      </c>
      <c r="X1220" s="20" t="n">
        <f aca="false">Operations!X1214*Operations!X1217</f>
        <v>0</v>
      </c>
      <c r="Y1220" s="20" t="n">
        <f aca="false">Operations!Y1214*Operations!Y1217</f>
        <v>0</v>
      </c>
      <c r="Z1220" s="20" t="n">
        <f aca="false">Operations!Z1214*Operations!Z1217</f>
        <v>0</v>
      </c>
      <c r="AA1220" s="20" t="n">
        <f aca="false">Operations!AA1214*Operations!AA1217</f>
        <v>0</v>
      </c>
      <c r="AB1220" s="20" t="n">
        <f aca="false">Operations!AB1214*Operations!AB1217</f>
        <v>0</v>
      </c>
      <c r="AC1220" s="20" t="n">
        <f aca="false">Operations!AC1214*Operations!AC1217</f>
        <v>0</v>
      </c>
      <c r="AD1220" s="20" t="n">
        <f aca="false">Operations!AD1214*Operations!AD1217</f>
        <v>0</v>
      </c>
      <c r="AE1220" s="20" t="n">
        <f aca="false">Operations!AE1214*Operations!AE1217</f>
        <v>0</v>
      </c>
      <c r="AF1220" s="20" t="n">
        <f aca="false">Operations!AF1214*Operations!AF1217</f>
        <v>0</v>
      </c>
      <c r="AG1220" s="20" t="n">
        <f aca="false">Operations!AG1214*Operations!AG1217</f>
        <v>0</v>
      </c>
      <c r="AH1220" s="20" t="n">
        <f aca="false">Operations!AH1214*Operations!AH1217</f>
        <v>0</v>
      </c>
      <c r="AI1220" s="20" t="n">
        <f aca="false">Operations!AI1214*Operations!AI1217</f>
        <v>-0</v>
      </c>
      <c r="AJ1220" s="20" t="n">
        <f aca="false">Operations!AJ1214*Operations!AJ1217</f>
        <v>0</v>
      </c>
      <c r="AK1220" s="20" t="n">
        <f aca="false">Operations!AK1214*Operations!AK1217</f>
        <v>-0</v>
      </c>
      <c r="AL1220" s="20" t="n">
        <f aca="false">Operations!AL1214*Operations!AL1217</f>
        <v>0</v>
      </c>
      <c r="AM1220" s="20" t="n">
        <f aca="false">Operations!AM1214*Operations!AM1217</f>
        <v>0</v>
      </c>
      <c r="AN1220" s="20" t="n">
        <f aca="false">Operations!AN1214*Operations!AN1217</f>
        <v>0</v>
      </c>
      <c r="AO1220" s="20" t="n">
        <f aca="false">Operations!AO1214*Operations!AO1217</f>
        <v>0</v>
      </c>
      <c r="AP1220" s="20" t="n">
        <f aca="false">Operations!AP1214*Operations!AP1217</f>
        <v>0</v>
      </c>
      <c r="AQ1220" s="20" t="n">
        <f aca="false">Operations!AQ1214*Operations!AQ1217</f>
        <v>-0</v>
      </c>
      <c r="AR1220" s="20" t="n">
        <f aca="false">Operations!AR1214*Operations!AR1217</f>
        <v>-0</v>
      </c>
      <c r="AS1220" s="20" t="n">
        <f aca="false">Operations!AS1214*Operations!AS1217</f>
        <v>-0</v>
      </c>
      <c r="AT1220" s="20" t="n">
        <f aca="false">Operations!AT1214*Operations!AT1217</f>
        <v>-0</v>
      </c>
      <c r="AU1220" s="20" t="n">
        <f aca="false">Operations!AU1214*Operations!AU1217</f>
        <v>-0</v>
      </c>
    </row>
    <row r="1221" customFormat="false" ht="15" hidden="false" customHeight="false" outlineLevel="0" collapsed="false">
      <c r="D1221" s="0" t="s">
        <v>823</v>
      </c>
      <c r="E1221" s="0" t="s">
        <v>47</v>
      </c>
      <c r="J1221" s="20" t="n">
        <f aca="false">Operations!J1214*Operations!J1218</f>
        <v>3.32132951754436</v>
      </c>
      <c r="K1221" s="20" t="n">
        <f aca="false">Operations!K1214*Operations!K1218</f>
        <v>12.1561732959742</v>
      </c>
      <c r="L1221" s="20" t="n">
        <f aca="false">Operations!L1214*Operations!L1218</f>
        <v>11.8268576097323</v>
      </c>
      <c r="M1221" s="20" t="n">
        <f aca="false">Operations!M1214*Operations!M1218</f>
        <v>11.4263146255495</v>
      </c>
      <c r="N1221" s="20" t="n">
        <f aca="false">Operations!N1214*Operations!N1218</f>
        <v>11.0599315768984</v>
      </c>
      <c r="O1221" s="20" t="n">
        <f aca="false">Operations!O1214*Operations!O1218</f>
        <v>7.23058376535401</v>
      </c>
      <c r="P1221" s="20" t="n">
        <f aca="false">Operations!P1214*Operations!P1218</f>
        <v>0</v>
      </c>
      <c r="Q1221" s="20" t="n">
        <f aca="false">Operations!Q1214*Operations!Q1218</f>
        <v>0</v>
      </c>
      <c r="R1221" s="20" t="n">
        <f aca="false">Operations!R1214*Operations!R1218</f>
        <v>0</v>
      </c>
      <c r="S1221" s="20" t="n">
        <f aca="false">Operations!S1214*Operations!S1218</f>
        <v>0</v>
      </c>
      <c r="T1221" s="20" t="n">
        <f aca="false">Operations!T1214*Operations!T1218</f>
        <v>0</v>
      </c>
      <c r="U1221" s="20" t="n">
        <f aca="false">Operations!U1214*Operations!U1218</f>
        <v>0</v>
      </c>
      <c r="V1221" s="20" t="n">
        <f aca="false">Operations!V1214*Operations!V1218</f>
        <v>0</v>
      </c>
      <c r="W1221" s="20" t="n">
        <f aca="false">Operations!W1214*Operations!W1218</f>
        <v>0</v>
      </c>
      <c r="X1221" s="20" t="n">
        <f aca="false">Operations!X1214*Operations!X1218</f>
        <v>0</v>
      </c>
      <c r="Y1221" s="20" t="n">
        <f aca="false">Operations!Y1214*Operations!Y1218</f>
        <v>0</v>
      </c>
      <c r="Z1221" s="20" t="n">
        <f aca="false">Operations!Z1214*Operations!Z1218</f>
        <v>0</v>
      </c>
      <c r="AA1221" s="20" t="n">
        <f aca="false">Operations!AA1214*Operations!AA1218</f>
        <v>0</v>
      </c>
      <c r="AB1221" s="20" t="n">
        <f aca="false">Operations!AB1214*Operations!AB1218</f>
        <v>0</v>
      </c>
      <c r="AC1221" s="20" t="n">
        <f aca="false">Operations!AC1214*Operations!AC1218</f>
        <v>0</v>
      </c>
      <c r="AD1221" s="20" t="n">
        <f aca="false">Operations!AD1214*Operations!AD1218</f>
        <v>0</v>
      </c>
      <c r="AE1221" s="20" t="n">
        <f aca="false">Operations!AE1214*Operations!AE1218</f>
        <v>0</v>
      </c>
      <c r="AF1221" s="20" t="n">
        <f aca="false">Operations!AF1214*Operations!AF1218</f>
        <v>0</v>
      </c>
      <c r="AG1221" s="20" t="n">
        <f aca="false">Operations!AG1214*Operations!AG1218</f>
        <v>0</v>
      </c>
      <c r="AH1221" s="20" t="n">
        <f aca="false">Operations!AH1214*Operations!AH1218</f>
        <v>0</v>
      </c>
      <c r="AI1221" s="20" t="n">
        <f aca="false">Operations!AI1214*Operations!AI1218</f>
        <v>-0</v>
      </c>
      <c r="AJ1221" s="20" t="n">
        <f aca="false">Operations!AJ1214*Operations!AJ1218</f>
        <v>0</v>
      </c>
      <c r="AK1221" s="20" t="n">
        <f aca="false">Operations!AK1214*Operations!AK1218</f>
        <v>-0</v>
      </c>
      <c r="AL1221" s="20" t="n">
        <f aca="false">Operations!AL1214*Operations!AL1218</f>
        <v>0</v>
      </c>
      <c r="AM1221" s="20" t="n">
        <f aca="false">Operations!AM1214*Operations!AM1218</f>
        <v>0</v>
      </c>
      <c r="AN1221" s="20" t="n">
        <f aca="false">Operations!AN1214*Operations!AN1218</f>
        <v>0</v>
      </c>
      <c r="AO1221" s="20" t="n">
        <f aca="false">Operations!AO1214*Operations!AO1218</f>
        <v>0</v>
      </c>
      <c r="AP1221" s="20" t="n">
        <f aca="false">Operations!AP1214*Operations!AP1218</f>
        <v>0</v>
      </c>
      <c r="AQ1221" s="20" t="n">
        <f aca="false">Operations!AQ1214*Operations!AQ1218</f>
        <v>-0</v>
      </c>
      <c r="AR1221" s="20" t="n">
        <f aca="false">Operations!AR1214*Operations!AR1218</f>
        <v>-0</v>
      </c>
      <c r="AS1221" s="20" t="n">
        <f aca="false">Operations!AS1214*Operations!AS1218</f>
        <v>-0</v>
      </c>
      <c r="AT1221" s="20" t="n">
        <f aca="false">Operations!AT1214*Operations!AT1218</f>
        <v>-0</v>
      </c>
      <c r="AU1221" s="20" t="n">
        <f aca="false">Operations!AU1214*Operations!AU1218</f>
        <v>-0</v>
      </c>
    </row>
    <row r="1222" customFormat="false" ht="15" hidden="false" customHeight="false" outlineLevel="0" collapsed="false">
      <c r="D1222" s="0" t="s">
        <v>824</v>
      </c>
      <c r="E1222" s="0" t="s">
        <v>47</v>
      </c>
      <c r="J1222" s="20" t="n">
        <f aca="false">Operations!J1214*Operations!J1219</f>
        <v>11.601158157141</v>
      </c>
      <c r="K1222" s="20" t="n">
        <f aca="false">Operations!K1214*Operations!K1219</f>
        <v>0.0299198761232211</v>
      </c>
      <c r="L1222" s="20" t="n">
        <f aca="false">Operations!L1214*Operations!L1219</f>
        <v>-0.107590201054516</v>
      </c>
      <c r="M1222" s="20" t="n">
        <f aca="false">Operations!M1214*Operations!M1219</f>
        <v>-0.256409703520557</v>
      </c>
      <c r="N1222" s="20" t="n">
        <f aca="false">Operations!N1214*Operations!N1219</f>
        <v>-0.375463234806259</v>
      </c>
      <c r="O1222" s="20" t="n">
        <f aca="false">Operations!O1214*Operations!O1219</f>
        <v>2.01839000204713</v>
      </c>
      <c r="P1222" s="20" t="n">
        <f aca="false">Operations!P1214*Operations!P1219</f>
        <v>8.69749059873726</v>
      </c>
      <c r="Q1222" s="20" t="n">
        <f aca="false">Operations!Q1214*Operations!Q1219</f>
        <v>15.0712466017151</v>
      </c>
      <c r="R1222" s="20" t="n">
        <f aca="false">Operations!R1214*Operations!R1219</f>
        <v>24.1436940670261</v>
      </c>
      <c r="S1222" s="20" t="n">
        <f aca="false">Operations!S1214*Operations!S1219</f>
        <v>23.7104170009643</v>
      </c>
      <c r="T1222" s="20" t="n">
        <f aca="false">Operations!T1214*Operations!T1219</f>
        <v>23.2522710318601</v>
      </c>
      <c r="U1222" s="20" t="n">
        <f aca="false">Operations!U1214*Operations!U1219</f>
        <v>25.6077908883854</v>
      </c>
      <c r="V1222" s="20" t="n">
        <f aca="false">Operations!V1214*Operations!V1219</f>
        <v>27.7059662559023</v>
      </c>
      <c r="W1222" s="20" t="n">
        <f aca="false">Operations!W1214*Operations!W1219</f>
        <v>26.8801946952413</v>
      </c>
      <c r="X1222" s="20" t="n">
        <f aca="false">Operations!X1214*Operations!X1219</f>
        <v>26.6201667196918</v>
      </c>
      <c r="Y1222" s="20" t="n">
        <f aca="false">Operations!Y1214*Operations!Y1219</f>
        <v>26.3491693875303</v>
      </c>
      <c r="Z1222" s="20" t="n">
        <f aca="false">Operations!Z1214*Operations!Z1219</f>
        <v>26.0532422234523</v>
      </c>
      <c r="AA1222" s="20" t="n">
        <f aca="false">Operations!AA1214*Operations!AA1219</f>
        <v>25.8464905572023</v>
      </c>
      <c r="AB1222" s="20" t="n">
        <f aca="false">Operations!AB1214*Operations!AB1219</f>
        <v>25.6288551239734</v>
      </c>
      <c r="AC1222" s="20" t="n">
        <f aca="false">Operations!AC1214*Operations!AC1219</f>
        <v>25.3867047039695</v>
      </c>
      <c r="AD1222" s="20" t="n">
        <f aca="false">Operations!AD1214*Operations!AD1219</f>
        <v>25.1310715742058</v>
      </c>
      <c r="AE1222" s="20" t="n">
        <f aca="false">Operations!AE1214*Operations!AE1219</f>
        <v>25.0290234004698</v>
      </c>
      <c r="AF1222" s="20" t="n">
        <f aca="false">Operations!AF1214*Operations!AF1219</f>
        <v>3.39904916129152</v>
      </c>
      <c r="AG1222" s="20" t="n">
        <f aca="false">Operations!AG1214*Operations!AG1219</f>
        <v>22.0883485187375</v>
      </c>
      <c r="AH1222" s="20" t="n">
        <f aca="false">Operations!AH1214*Operations!AH1219</f>
        <v>22.0822148692014</v>
      </c>
      <c r="AI1222" s="20" t="n">
        <f aca="false">Operations!AI1214*Operations!AI1219</f>
        <v>-13.5977746753355</v>
      </c>
      <c r="AJ1222" s="20" t="n">
        <f aca="false">Operations!AJ1214*Operations!AJ1219</f>
        <v>7.82220344815503</v>
      </c>
      <c r="AK1222" s="20" t="n">
        <f aca="false">Operations!AK1214*Operations!AK1219</f>
        <v>-10.0916782092056</v>
      </c>
      <c r="AL1222" s="20" t="n">
        <f aca="false">Operations!AL1214*Operations!AL1219</f>
        <v>4.57033624282723</v>
      </c>
      <c r="AM1222" s="20" t="n">
        <f aca="false">Operations!AM1214*Operations!AM1219</f>
        <v>4.47949674135899</v>
      </c>
      <c r="AN1222" s="20" t="n">
        <f aca="false">Operations!AN1214*Operations!AN1219</f>
        <v>4.38300032587133</v>
      </c>
      <c r="AO1222" s="20" t="n">
        <f aca="false">Operations!AO1214*Operations!AO1219</f>
        <v>4.28049630755081</v>
      </c>
      <c r="AP1222" s="20" t="n">
        <f aca="false">Operations!AP1214*Operations!AP1219</f>
        <v>4.17162827983871</v>
      </c>
      <c r="AQ1222" s="20" t="n">
        <f aca="false">Operations!AQ1214*Operations!AQ1219</f>
        <v>-5.06645401258223</v>
      </c>
      <c r="AR1222" s="20" t="n">
        <f aca="false">Operations!AR1214*Operations!AR1219</f>
        <v>-18.964670959809</v>
      </c>
      <c r="AS1222" s="20" t="n">
        <f aca="false">Operations!AS1214*Operations!AS1219</f>
        <v>-7.59425659541196</v>
      </c>
      <c r="AT1222" s="20" t="n">
        <f aca="false">Operations!AT1214*Operations!AT1219</f>
        <v>-7.78411301029726</v>
      </c>
      <c r="AU1222" s="20" t="n">
        <f aca="false">Operations!AU1214*Operations!AU1219</f>
        <v>-7.97871583555469</v>
      </c>
    </row>
    <row r="1223" customFormat="false" ht="15" hidden="false" customHeight="false" outlineLevel="0" collapsed="false">
      <c r="D1223" s="0" t="s">
        <v>825</v>
      </c>
      <c r="E1223" s="0" t="s">
        <v>458</v>
      </c>
      <c r="J1223" s="14" t="n">
        <f aca="false">IF(Operations!J1208=0,0,Operations!J1205/Operations!J1208)</f>
        <v>0.567996767001958</v>
      </c>
      <c r="K1223" s="14" t="n">
        <f aca="false">IF(Operations!K1208=0,0,Operations!K1205/Operations!K1208)</f>
        <v>0.660308172137349</v>
      </c>
      <c r="L1223" s="14" t="n">
        <f aca="false">IF(Operations!L1208=0,0,Operations!L1205/Operations!L1208)</f>
        <v>0.718612270804752</v>
      </c>
      <c r="M1223" s="14" t="n">
        <f aca="false">IF(Operations!M1208=0,0,Operations!M1205/Operations!M1208)</f>
        <v>0.66167369609935</v>
      </c>
      <c r="N1223" s="14" t="n">
        <f aca="false">IF(Operations!N1208=0,0,Operations!N1205/Operations!N1208)</f>
        <v>0.661925458598919</v>
      </c>
      <c r="O1223" s="14" t="n">
        <f aca="false">IF(Operations!O1208=0,0,Operations!O1205/Operations!O1208)</f>
        <v>0.676957566979599</v>
      </c>
      <c r="P1223" s="14" t="n">
        <f aca="false">IF(Operations!P1208=0,0,Operations!P1205/Operations!P1208)</f>
        <v>0.682856939330173</v>
      </c>
      <c r="Q1223" s="14" t="n">
        <f aca="false">IF(Operations!Q1208=0,0,Operations!Q1205/Operations!Q1208)</f>
        <v>0.558198409862975</v>
      </c>
      <c r="R1223" s="14" t="n">
        <f aca="false">IF(Operations!R1208=0,0,Operations!R1205/Operations!R1208)</f>
        <v>0.260646930294278</v>
      </c>
      <c r="S1223" s="14" t="n">
        <f aca="false">IF(Operations!S1208=0,0,Operations!S1205/Operations!S1208)</f>
        <v>0.206139065903463</v>
      </c>
      <c r="T1223" s="14" t="n">
        <f aca="false">IF(Operations!T1208=0,0,Operations!T1205/Operations!T1208)</f>
        <v>0.127586251596448</v>
      </c>
      <c r="U1223" s="14" t="n">
        <f aca="false">IF(Operations!U1208=0,0,Operations!U1205/Operations!U1208)</f>
        <v>0.0491993667449676</v>
      </c>
      <c r="V1223" s="14" t="n">
        <f aca="false">IF(Operations!V1208=0,0,Operations!V1205/Operations!V1208)</f>
        <v>0</v>
      </c>
      <c r="W1223" s="14" t="n">
        <f aca="false">IF(Operations!W1208=0,0,Operations!W1205/Operations!W1208)</f>
        <v>0</v>
      </c>
      <c r="X1223" s="14" t="n">
        <f aca="false">IF(Operations!X1208=0,0,Operations!X1205/Operations!X1208)</f>
        <v>0</v>
      </c>
      <c r="Y1223" s="14" t="n">
        <f aca="false">IF(Operations!Y1208=0,0,Operations!Y1205/Operations!Y1208)</f>
        <v>0</v>
      </c>
      <c r="Z1223" s="14" t="n">
        <f aca="false">IF(Operations!Z1208=0,0,Operations!Z1205/Operations!Z1208)</f>
        <v>0</v>
      </c>
      <c r="AA1223" s="14" t="n">
        <f aca="false">IF(Operations!AA1208=0,0,Operations!AA1205/Operations!AA1208)</f>
        <v>0</v>
      </c>
      <c r="AB1223" s="14" t="n">
        <f aca="false">IF(Operations!AB1208=0,0,Operations!AB1205/Operations!AB1208)</f>
        <v>0</v>
      </c>
      <c r="AC1223" s="14" t="n">
        <f aca="false">IF(Operations!AC1208=0,0,Operations!AC1205/Operations!AC1208)</f>
        <v>0</v>
      </c>
      <c r="AD1223" s="14" t="n">
        <f aca="false">IF(Operations!AD1208=0,0,Operations!AD1205/Operations!AD1208)</f>
        <v>0</v>
      </c>
      <c r="AE1223" s="14" t="n">
        <f aca="false">IF(Operations!AE1208=0,0,Operations!AE1205/Operations!AE1208)</f>
        <v>0</v>
      </c>
      <c r="AF1223" s="14" t="n">
        <f aca="false">IF(Operations!AF1208=0,0,Operations!AF1205/Operations!AF1208)</f>
        <v>0</v>
      </c>
      <c r="AG1223" s="14" t="n">
        <f aca="false">IF(Operations!AG1208=0,0,Operations!AG1205/Operations!AG1208)</f>
        <v>0</v>
      </c>
      <c r="AH1223" s="14" t="n">
        <f aca="false">IF(Operations!AH1208=0,0,Operations!AH1205/Operations!AH1208)</f>
        <v>0</v>
      </c>
      <c r="AI1223" s="14" t="n">
        <f aca="false">IF(Operations!AI1208=0,0,Operations!AI1205/Operations!AI1208)</f>
        <v>0</v>
      </c>
      <c r="AJ1223" s="14" t="n">
        <f aca="false">IF(Operations!AJ1208=0,0,Operations!AJ1205/Operations!AJ1208)</f>
        <v>0</v>
      </c>
      <c r="AK1223" s="14" t="n">
        <f aca="false">IF(Operations!AK1208=0,0,Operations!AK1205/Operations!AK1208)</f>
        <v>0</v>
      </c>
      <c r="AL1223" s="14" t="n">
        <f aca="false">IF(Operations!AL1208=0,0,Operations!AL1205/Operations!AL1208)</f>
        <v>0</v>
      </c>
      <c r="AM1223" s="14" t="n">
        <f aca="false">IF(Operations!AM1208=0,0,Operations!AM1205/Operations!AM1208)</f>
        <v>0</v>
      </c>
      <c r="AN1223" s="14" t="n">
        <f aca="false">IF(Operations!AN1208=0,0,Operations!AN1205/Operations!AN1208)</f>
        <v>0</v>
      </c>
      <c r="AO1223" s="14" t="n">
        <f aca="false">IF(Operations!AO1208=0,0,Operations!AO1205/Operations!AO1208)</f>
        <v>0</v>
      </c>
      <c r="AP1223" s="14" t="n">
        <f aca="false">IF(Operations!AP1208=0,0,Operations!AP1205/Operations!AP1208)</f>
        <v>0</v>
      </c>
      <c r="AQ1223" s="14" t="n">
        <f aca="false">IF(Operations!AQ1208=0,0,Operations!AQ1205/Operations!AQ1208)</f>
        <v>0</v>
      </c>
      <c r="AR1223" s="14" t="n">
        <f aca="false">IF(Operations!AR1208=0,0,Operations!AR1205/Operations!AR1208)</f>
        <v>0</v>
      </c>
      <c r="AS1223" s="14" t="n">
        <f aca="false">IF(Operations!AS1208=0,0,Operations!AS1205/Operations!AS1208)</f>
        <v>0</v>
      </c>
      <c r="AT1223" s="14" t="n">
        <f aca="false">IF(Operations!AT1208=0,0,Operations!AT1205/Operations!AT1208)</f>
        <v>0</v>
      </c>
      <c r="AU1223" s="14" t="n">
        <f aca="false">IF(Operations!AU1208=0,0,Operations!AU1205/Operations!AU1208)</f>
        <v>0</v>
      </c>
    </row>
    <row r="1224" customFormat="false" ht="15" hidden="false" customHeight="false" outlineLevel="0" collapsed="false">
      <c r="D1224" s="0" t="s">
        <v>826</v>
      </c>
      <c r="E1224" s="0" t="s">
        <v>458</v>
      </c>
      <c r="J1224" s="14" t="n">
        <f aca="false">IF(Operations!J1208=0,0,Operations!J1206/Operations!J1208)</f>
        <v>0.0961518696286173</v>
      </c>
      <c r="K1224" s="14" t="n">
        <f aca="false">IF(Operations!K1208=0,0,Operations!K1206/Operations!K1208)</f>
        <v>0.338857800314512</v>
      </c>
      <c r="L1224" s="14" t="n">
        <f aca="false">IF(Operations!L1208=0,0,Operations!L1206/Operations!L1208)</f>
        <v>0.281509406431284</v>
      </c>
      <c r="M1224" s="14" t="n">
        <f aca="false">IF(Operations!M1208=0,0,Operations!M1206/Operations!M1208)</f>
        <v>0.318057687388918</v>
      </c>
      <c r="N1224" s="14" t="n">
        <f aca="false">IF(Operations!N1208=0,0,Operations!N1206/Operations!N1208)</f>
        <v>0.318559972169585</v>
      </c>
      <c r="O1224" s="14" t="n">
        <f aca="false">IF(Operations!O1208=0,0,Operations!O1206/Operations!O1208)</f>
        <v>0.245254081742151</v>
      </c>
      <c r="P1224" s="14" t="n">
        <f aca="false">IF(Operations!P1208=0,0,Operations!P1206/Operations!P1208)</f>
        <v>0.0699993440286024</v>
      </c>
      <c r="Q1224" s="14" t="n">
        <f aca="false">IF(Operations!Q1208=0,0,Operations!Q1206/Operations!Q1208)</f>
        <v>0.0671785571028014</v>
      </c>
      <c r="R1224" s="14" t="n">
        <f aca="false">IF(Operations!R1208=0,0,Operations!R1206/Operations!R1208)</f>
        <v>0.0678158590806228</v>
      </c>
      <c r="S1224" s="14" t="n">
        <f aca="false">IF(Operations!S1208=0,0,Operations!S1206/Operations!S1208)</f>
        <v>0.0692877140590283</v>
      </c>
      <c r="T1224" s="14" t="n">
        <f aca="false">IF(Operations!T1208=0,0,Operations!T1206/Operations!T1208)</f>
        <v>0.0694272141545494</v>
      </c>
      <c r="U1224" s="14" t="n">
        <f aca="false">IF(Operations!U1208=0,0,Operations!U1206/Operations!U1208)</f>
        <v>0.0683555680880358</v>
      </c>
      <c r="V1224" s="14" t="n">
        <f aca="false">IF(Operations!V1208=0,0,Operations!V1206/Operations!V1208)</f>
        <v>0.0672671471816478</v>
      </c>
      <c r="W1224" s="14" t="n">
        <f aca="false">IF(Operations!W1208=0,0,Operations!W1206/Operations!W1208)</f>
        <v>0</v>
      </c>
      <c r="X1224" s="14" t="n">
        <f aca="false">IF(Operations!X1208=0,0,Operations!X1206/Operations!X1208)</f>
        <v>0</v>
      </c>
      <c r="Y1224" s="14" t="n">
        <f aca="false">IF(Operations!Y1208=0,0,Operations!Y1206/Operations!Y1208)</f>
        <v>0</v>
      </c>
      <c r="Z1224" s="14" t="n">
        <f aca="false">IF(Operations!Z1208=0,0,Operations!Z1206/Operations!Z1208)</f>
        <v>0</v>
      </c>
      <c r="AA1224" s="14" t="n">
        <f aca="false">IF(Operations!AA1208=0,0,Operations!AA1206/Operations!AA1208)</f>
        <v>0</v>
      </c>
      <c r="AB1224" s="14" t="n">
        <f aca="false">IF(Operations!AB1208=0,0,Operations!AB1206/Operations!AB1208)</f>
        <v>0</v>
      </c>
      <c r="AC1224" s="14" t="n">
        <f aca="false">IF(Operations!AC1208=0,0,Operations!AC1206/Operations!AC1208)</f>
        <v>0</v>
      </c>
      <c r="AD1224" s="14" t="n">
        <f aca="false">IF(Operations!AD1208=0,0,Operations!AD1206/Operations!AD1208)</f>
        <v>0</v>
      </c>
      <c r="AE1224" s="14" t="n">
        <f aca="false">IF(Operations!AE1208=0,0,Operations!AE1206/Operations!AE1208)</f>
        <v>0</v>
      </c>
      <c r="AF1224" s="14" t="n">
        <f aca="false">IF(Operations!AF1208=0,0,Operations!AF1206/Operations!AF1208)</f>
        <v>0</v>
      </c>
      <c r="AG1224" s="14" t="n">
        <f aca="false">IF(Operations!AG1208=0,0,Operations!AG1206/Operations!AG1208)</f>
        <v>0</v>
      </c>
      <c r="AH1224" s="14" t="n">
        <f aca="false">IF(Operations!AH1208=0,0,Operations!AH1206/Operations!AH1208)</f>
        <v>0</v>
      </c>
      <c r="AI1224" s="14" t="n">
        <f aca="false">IF(Operations!AI1208=0,0,Operations!AI1206/Operations!AI1208)</f>
        <v>0</v>
      </c>
      <c r="AJ1224" s="14" t="n">
        <f aca="false">IF(Operations!AJ1208=0,0,Operations!AJ1206/Operations!AJ1208)</f>
        <v>0</v>
      </c>
      <c r="AK1224" s="14" t="n">
        <f aca="false">IF(Operations!AK1208=0,0,Operations!AK1206/Operations!AK1208)</f>
        <v>0</v>
      </c>
      <c r="AL1224" s="14" t="n">
        <f aca="false">IF(Operations!AL1208=0,0,Operations!AL1206/Operations!AL1208)</f>
        <v>0</v>
      </c>
      <c r="AM1224" s="14" t="n">
        <f aca="false">IF(Operations!AM1208=0,0,Operations!AM1206/Operations!AM1208)</f>
        <v>0</v>
      </c>
      <c r="AN1224" s="14" t="n">
        <f aca="false">IF(Operations!AN1208=0,0,Operations!AN1206/Operations!AN1208)</f>
        <v>0</v>
      </c>
      <c r="AO1224" s="14" t="n">
        <f aca="false">IF(Operations!AO1208=0,0,Operations!AO1206/Operations!AO1208)</f>
        <v>0</v>
      </c>
      <c r="AP1224" s="14" t="n">
        <f aca="false">IF(Operations!AP1208=0,0,Operations!AP1206/Operations!AP1208)</f>
        <v>0</v>
      </c>
      <c r="AQ1224" s="14" t="n">
        <f aca="false">IF(Operations!AQ1208=0,0,Operations!AQ1206/Operations!AQ1208)</f>
        <v>0</v>
      </c>
      <c r="AR1224" s="14" t="n">
        <f aca="false">IF(Operations!AR1208=0,0,Operations!AR1206/Operations!AR1208)</f>
        <v>0</v>
      </c>
      <c r="AS1224" s="14" t="n">
        <f aca="false">IF(Operations!AS1208=0,0,Operations!AS1206/Operations!AS1208)</f>
        <v>0</v>
      </c>
      <c r="AT1224" s="14" t="n">
        <f aca="false">IF(Operations!AT1208=0,0,Operations!AT1206/Operations!AT1208)</f>
        <v>0</v>
      </c>
      <c r="AU1224" s="14" t="n">
        <f aca="false">IF(Operations!AU1208=0,0,Operations!AU1206/Operations!AU1208)</f>
        <v>0</v>
      </c>
    </row>
    <row r="1225" customFormat="false" ht="15" hidden="false" customHeight="false" outlineLevel="0" collapsed="false">
      <c r="D1225" s="0" t="s">
        <v>827</v>
      </c>
      <c r="E1225" s="0" t="s">
        <v>458</v>
      </c>
      <c r="J1225" s="14" t="n">
        <f aca="false">1-Operations!J1223-Operations!J1224</f>
        <v>0.335851363369425</v>
      </c>
      <c r="K1225" s="14" t="n">
        <f aca="false">1-Operations!K1223-Operations!K1224</f>
        <v>0.00083402754813916</v>
      </c>
      <c r="L1225" s="14" t="n">
        <f aca="false">1-Operations!L1223-Operations!L1224</f>
        <v>-0.0001216772360354</v>
      </c>
      <c r="M1225" s="14" t="n">
        <f aca="false">1-Operations!M1223-Operations!M1224</f>
        <v>0.0202686165117324</v>
      </c>
      <c r="N1225" s="14" t="n">
        <f aca="false">1-Operations!N1223-Operations!N1224</f>
        <v>0.0195145692314962</v>
      </c>
      <c r="O1225" s="14" t="n">
        <f aca="false">1-Operations!O1223-Operations!O1224</f>
        <v>0.07778835127825</v>
      </c>
      <c r="P1225" s="14" t="n">
        <f aca="false">1-Operations!P1223-Operations!P1224</f>
        <v>0.247143716641224</v>
      </c>
      <c r="Q1225" s="14" t="n">
        <f aca="false">1-Operations!Q1223-Operations!Q1224</f>
        <v>0.374623033034224</v>
      </c>
      <c r="R1225" s="14" t="n">
        <f aca="false">1-Operations!R1223-Operations!R1224</f>
        <v>0.671537210625099</v>
      </c>
      <c r="S1225" s="14" t="n">
        <f aca="false">1-Operations!S1223-Operations!S1224</f>
        <v>0.724573220037509</v>
      </c>
      <c r="T1225" s="14" t="n">
        <f aca="false">1-Operations!T1223-Operations!T1224</f>
        <v>0.802986534249003</v>
      </c>
      <c r="U1225" s="14" t="n">
        <f aca="false">1-Operations!U1223-Operations!U1224</f>
        <v>0.882445065166997</v>
      </c>
      <c r="V1225" s="14" t="n">
        <f aca="false">1-Operations!V1223-Operations!V1224</f>
        <v>0.932732852818352</v>
      </c>
      <c r="W1225" s="14" t="n">
        <f aca="false">1-Operations!W1223-Operations!W1224</f>
        <v>1</v>
      </c>
      <c r="X1225" s="14" t="n">
        <f aca="false">1-Operations!X1223-Operations!X1224</f>
        <v>1</v>
      </c>
      <c r="Y1225" s="14" t="n">
        <f aca="false">1-Operations!Y1223-Operations!Y1224</f>
        <v>1</v>
      </c>
      <c r="Z1225" s="14" t="n">
        <f aca="false">1-Operations!Z1223-Operations!Z1224</f>
        <v>1</v>
      </c>
      <c r="AA1225" s="14" t="n">
        <f aca="false">1-Operations!AA1223-Operations!AA1224</f>
        <v>1</v>
      </c>
      <c r="AB1225" s="14" t="n">
        <f aca="false">1-Operations!AB1223-Operations!AB1224</f>
        <v>1</v>
      </c>
      <c r="AC1225" s="14" t="n">
        <f aca="false">1-Operations!AC1223-Operations!AC1224</f>
        <v>1</v>
      </c>
      <c r="AD1225" s="14" t="n">
        <f aca="false">1-Operations!AD1223-Operations!AD1224</f>
        <v>1</v>
      </c>
      <c r="AE1225" s="14" t="n">
        <f aca="false">1-Operations!AE1223-Operations!AE1224</f>
        <v>1</v>
      </c>
      <c r="AF1225" s="14" t="n">
        <f aca="false">1-Operations!AF1223-Operations!AF1224</f>
        <v>1</v>
      </c>
      <c r="AG1225" s="14" t="n">
        <f aca="false">1-Operations!AG1223-Operations!AG1224</f>
        <v>1</v>
      </c>
      <c r="AH1225" s="14" t="n">
        <f aca="false">1-Operations!AH1223-Operations!AH1224</f>
        <v>1</v>
      </c>
      <c r="AI1225" s="14" t="n">
        <f aca="false">1-Operations!AI1223-Operations!AI1224</f>
        <v>1</v>
      </c>
      <c r="AJ1225" s="14" t="n">
        <f aca="false">1-Operations!AJ1223-Operations!AJ1224</f>
        <v>1</v>
      </c>
      <c r="AK1225" s="14" t="n">
        <f aca="false">1-Operations!AK1223-Operations!AK1224</f>
        <v>1</v>
      </c>
      <c r="AL1225" s="14" t="n">
        <f aca="false">1-Operations!AL1223-Operations!AL1224</f>
        <v>1</v>
      </c>
      <c r="AM1225" s="14" t="n">
        <f aca="false">1-Operations!AM1223-Operations!AM1224</f>
        <v>1</v>
      </c>
      <c r="AN1225" s="14" t="n">
        <f aca="false">1-Operations!AN1223-Operations!AN1224</f>
        <v>1</v>
      </c>
      <c r="AO1225" s="14" t="n">
        <f aca="false">1-Operations!AO1223-Operations!AO1224</f>
        <v>1</v>
      </c>
      <c r="AP1225" s="14" t="n">
        <f aca="false">1-Operations!AP1223-Operations!AP1224</f>
        <v>1</v>
      </c>
      <c r="AQ1225" s="14" t="n">
        <f aca="false">1-Operations!AQ1223-Operations!AQ1224</f>
        <v>1</v>
      </c>
      <c r="AR1225" s="14" t="n">
        <f aca="false">1-Operations!AR1223-Operations!AR1224</f>
        <v>1</v>
      </c>
      <c r="AS1225" s="14" t="n">
        <f aca="false">1-Operations!AS1223-Operations!AS1224</f>
        <v>1</v>
      </c>
      <c r="AT1225" s="14" t="n">
        <f aca="false">1-Operations!AT1223-Operations!AT1224</f>
        <v>1</v>
      </c>
      <c r="AU1225" s="14" t="n">
        <f aca="false">1-Operations!AU1223-Operations!AU1224</f>
        <v>1</v>
      </c>
    </row>
    <row r="1226" customFormat="false" ht="15" hidden="false" customHeight="false" outlineLevel="0" collapsed="false">
      <c r="D1226" s="0" t="s">
        <v>828</v>
      </c>
      <c r="E1226" s="0" t="s">
        <v>47</v>
      </c>
      <c r="J1226" s="20" t="n">
        <f aca="false">Operations!J1215*Operations!J1223</f>
        <v>19.6200493594136</v>
      </c>
      <c r="K1226" s="20" t="n">
        <f aca="false">Operations!K1215*Operations!K1223</f>
        <v>24.543829430755</v>
      </c>
      <c r="L1226" s="20" t="n">
        <f aca="false">Operations!L1215*Operations!L1223</f>
        <v>34.5937321396555</v>
      </c>
      <c r="M1226" s="20" t="n">
        <f aca="false">Operations!M1215*Operations!M1223</f>
        <v>36.6352711927998</v>
      </c>
      <c r="N1226" s="20" t="n">
        <f aca="false">Operations!N1215*Operations!N1223</f>
        <v>35.8959866479042</v>
      </c>
      <c r="O1226" s="20" t="n">
        <f aca="false">Operations!O1215*Operations!O1223</f>
        <v>35.0864987509288</v>
      </c>
      <c r="P1226" s="20" t="n">
        <f aca="false">Operations!P1215*Operations!P1223</f>
        <v>34.2539110229981</v>
      </c>
      <c r="Q1226" s="20" t="n">
        <f aca="false">Operations!Q1215*Operations!Q1223</f>
        <v>29.3958474524983</v>
      </c>
      <c r="R1226" s="20" t="n">
        <f aca="false">Operations!R1215*Operations!R1223</f>
        <v>12.7262194876879</v>
      </c>
      <c r="S1226" s="20" t="n">
        <f aca="false">Operations!S1215*Operations!S1223</f>
        <v>9.37559998832369</v>
      </c>
      <c r="T1226" s="20" t="n">
        <f aca="false">Operations!T1215*Operations!T1223</f>
        <v>5.54209699515454</v>
      </c>
      <c r="U1226" s="20" t="n">
        <f aca="false">Operations!U1215*Operations!U1223</f>
        <v>2.13280262106325</v>
      </c>
      <c r="V1226" s="20" t="n">
        <f aca="false">Operations!V1215*Operations!V1223</f>
        <v>0</v>
      </c>
      <c r="W1226" s="20" t="n">
        <f aca="false">Operations!W1215*Operations!W1223</f>
        <v>0</v>
      </c>
      <c r="X1226" s="20" t="n">
        <f aca="false">Operations!X1215*Operations!X1223</f>
        <v>0</v>
      </c>
      <c r="Y1226" s="20" t="n">
        <f aca="false">Operations!Y1215*Operations!Y1223</f>
        <v>0</v>
      </c>
      <c r="Z1226" s="20" t="n">
        <f aca="false">Operations!Z1215*Operations!Z1223</f>
        <v>0</v>
      </c>
      <c r="AA1226" s="20" t="n">
        <f aca="false">Operations!AA1215*Operations!AA1223</f>
        <v>0</v>
      </c>
      <c r="AB1226" s="20" t="n">
        <f aca="false">Operations!AB1215*Operations!AB1223</f>
        <v>0</v>
      </c>
      <c r="AC1226" s="20" t="n">
        <f aca="false">Operations!AC1215*Operations!AC1223</f>
        <v>0</v>
      </c>
      <c r="AD1226" s="20" t="n">
        <f aca="false">Operations!AD1215*Operations!AD1223</f>
        <v>0</v>
      </c>
      <c r="AE1226" s="20" t="n">
        <f aca="false">Operations!AE1215*Operations!AE1223</f>
        <v>0</v>
      </c>
      <c r="AF1226" s="20" t="n">
        <f aca="false">Operations!AF1215*Operations!AF1223</f>
        <v>0</v>
      </c>
      <c r="AG1226" s="20" t="n">
        <f aca="false">Operations!AG1215*Operations!AG1223</f>
        <v>0</v>
      </c>
      <c r="AH1226" s="20" t="n">
        <f aca="false">Operations!AH1215*Operations!AH1223</f>
        <v>0</v>
      </c>
      <c r="AI1226" s="20" t="n">
        <f aca="false">Operations!AI1215*Operations!AI1223</f>
        <v>-0</v>
      </c>
      <c r="AJ1226" s="20" t="n">
        <f aca="false">Operations!AJ1215*Operations!AJ1223</f>
        <v>0</v>
      </c>
      <c r="AK1226" s="20" t="n">
        <f aca="false">Operations!AK1215*Operations!AK1223</f>
        <v>-0</v>
      </c>
      <c r="AL1226" s="20" t="n">
        <f aca="false">Operations!AL1215*Operations!AL1223</f>
        <v>0</v>
      </c>
      <c r="AM1226" s="20" t="n">
        <f aca="false">Operations!AM1215*Operations!AM1223</f>
        <v>0</v>
      </c>
      <c r="AN1226" s="20" t="n">
        <f aca="false">Operations!AN1215*Operations!AN1223</f>
        <v>0</v>
      </c>
      <c r="AO1226" s="20" t="n">
        <f aca="false">Operations!AO1215*Operations!AO1223</f>
        <v>0</v>
      </c>
      <c r="AP1226" s="20" t="n">
        <f aca="false">Operations!AP1215*Operations!AP1223</f>
        <v>0</v>
      </c>
      <c r="AQ1226" s="20" t="n">
        <f aca="false">Operations!AQ1215*Operations!AQ1223</f>
        <v>0</v>
      </c>
      <c r="AR1226" s="20" t="n">
        <f aca="false">Operations!AR1215*Operations!AR1223</f>
        <v>-0</v>
      </c>
      <c r="AS1226" s="20" t="n">
        <f aca="false">Operations!AS1215*Operations!AS1223</f>
        <v>-0</v>
      </c>
      <c r="AT1226" s="20" t="n">
        <f aca="false">Operations!AT1215*Operations!AT1223</f>
        <v>-0</v>
      </c>
      <c r="AU1226" s="20" t="n">
        <f aca="false">Operations!AU1215*Operations!AU1223</f>
        <v>-0</v>
      </c>
    </row>
    <row r="1227" customFormat="false" ht="15" hidden="false" customHeight="false" outlineLevel="0" collapsed="false">
      <c r="D1227" s="0" t="s">
        <v>829</v>
      </c>
      <c r="E1227" s="0" t="s">
        <v>47</v>
      </c>
      <c r="J1227" s="20" t="n">
        <f aca="false">Operations!J1215*Operations!J1224</f>
        <v>3.32132951754436</v>
      </c>
      <c r="K1227" s="20" t="n">
        <f aca="false">Operations!K1215*Operations!K1224</f>
        <v>12.5954340763032</v>
      </c>
      <c r="L1227" s="20" t="n">
        <f aca="false">Operations!L1215*Operations!L1224</f>
        <v>13.5517599636469</v>
      </c>
      <c r="M1227" s="20" t="n">
        <f aca="false">Operations!M1215*Operations!M1224</f>
        <v>17.6100843983047</v>
      </c>
      <c r="N1227" s="20" t="n">
        <f aca="false">Operations!N1215*Operations!N1224</f>
        <v>17.2753961326104</v>
      </c>
      <c r="O1227" s="20" t="n">
        <f aca="false">Operations!O1215*Operations!O1224</f>
        <v>12.7114422711896</v>
      </c>
      <c r="P1227" s="20" t="n">
        <f aca="false">Operations!P1215*Operations!P1224</f>
        <v>3.51135232568037</v>
      </c>
      <c r="Q1227" s="20" t="n">
        <f aca="false">Operations!Q1215*Operations!Q1224</f>
        <v>3.53775751019724</v>
      </c>
      <c r="R1227" s="20" t="n">
        <f aca="false">Operations!R1215*Operations!R1224</f>
        <v>3.31114395412874</v>
      </c>
      <c r="S1227" s="20" t="n">
        <f aca="false">Operations!S1215*Operations!S1224</f>
        <v>3.15133809438635</v>
      </c>
      <c r="T1227" s="20" t="n">
        <f aca="false">Operations!T1215*Operations!T1224</f>
        <v>3.01578226598352</v>
      </c>
      <c r="U1227" s="20" t="n">
        <f aca="false">Operations!U1215*Operations!U1224</f>
        <v>2.9632278711665</v>
      </c>
      <c r="V1227" s="20" t="n">
        <f aca="false">Operations!V1215*Operations!V1224</f>
        <v>2.99456329099894</v>
      </c>
      <c r="W1227" s="20" t="n">
        <f aca="false">Operations!W1215*Operations!W1224</f>
        <v>0</v>
      </c>
      <c r="X1227" s="20" t="n">
        <f aca="false">Operations!X1215*Operations!X1224</f>
        <v>0</v>
      </c>
      <c r="Y1227" s="20" t="n">
        <f aca="false">Operations!Y1215*Operations!Y1224</f>
        <v>0</v>
      </c>
      <c r="Z1227" s="20" t="n">
        <f aca="false">Operations!Z1215*Operations!Z1224</f>
        <v>0</v>
      </c>
      <c r="AA1227" s="20" t="n">
        <f aca="false">Operations!AA1215*Operations!AA1224</f>
        <v>0</v>
      </c>
      <c r="AB1227" s="20" t="n">
        <f aca="false">Operations!AB1215*Operations!AB1224</f>
        <v>0</v>
      </c>
      <c r="AC1227" s="20" t="n">
        <f aca="false">Operations!AC1215*Operations!AC1224</f>
        <v>0</v>
      </c>
      <c r="AD1227" s="20" t="n">
        <f aca="false">Operations!AD1215*Operations!AD1224</f>
        <v>0</v>
      </c>
      <c r="AE1227" s="20" t="n">
        <f aca="false">Operations!AE1215*Operations!AE1224</f>
        <v>0</v>
      </c>
      <c r="AF1227" s="20" t="n">
        <f aca="false">Operations!AF1215*Operations!AF1224</f>
        <v>0</v>
      </c>
      <c r="AG1227" s="20" t="n">
        <f aca="false">Operations!AG1215*Operations!AG1224</f>
        <v>0</v>
      </c>
      <c r="AH1227" s="20" t="n">
        <f aca="false">Operations!AH1215*Operations!AH1224</f>
        <v>0</v>
      </c>
      <c r="AI1227" s="20" t="n">
        <f aca="false">Operations!AI1215*Operations!AI1224</f>
        <v>-0</v>
      </c>
      <c r="AJ1227" s="20" t="n">
        <f aca="false">Operations!AJ1215*Operations!AJ1224</f>
        <v>0</v>
      </c>
      <c r="AK1227" s="20" t="n">
        <f aca="false">Operations!AK1215*Operations!AK1224</f>
        <v>-0</v>
      </c>
      <c r="AL1227" s="20" t="n">
        <f aca="false">Operations!AL1215*Operations!AL1224</f>
        <v>0</v>
      </c>
      <c r="AM1227" s="20" t="n">
        <f aca="false">Operations!AM1215*Operations!AM1224</f>
        <v>0</v>
      </c>
      <c r="AN1227" s="20" t="n">
        <f aca="false">Operations!AN1215*Operations!AN1224</f>
        <v>0</v>
      </c>
      <c r="AO1227" s="20" t="n">
        <f aca="false">Operations!AO1215*Operations!AO1224</f>
        <v>0</v>
      </c>
      <c r="AP1227" s="20" t="n">
        <f aca="false">Operations!AP1215*Operations!AP1224</f>
        <v>0</v>
      </c>
      <c r="AQ1227" s="20" t="n">
        <f aca="false">Operations!AQ1215*Operations!AQ1224</f>
        <v>0</v>
      </c>
      <c r="AR1227" s="20" t="n">
        <f aca="false">Operations!AR1215*Operations!AR1224</f>
        <v>-0</v>
      </c>
      <c r="AS1227" s="20" t="n">
        <f aca="false">Operations!AS1215*Operations!AS1224</f>
        <v>-0</v>
      </c>
      <c r="AT1227" s="20" t="n">
        <f aca="false">Operations!AT1215*Operations!AT1224</f>
        <v>-0</v>
      </c>
      <c r="AU1227" s="20" t="n">
        <f aca="false">Operations!AU1215*Operations!AU1224</f>
        <v>-0</v>
      </c>
    </row>
    <row r="1228" customFormat="false" ht="15" hidden="false" customHeight="false" outlineLevel="0" collapsed="false">
      <c r="D1228" s="0" t="s">
        <v>830</v>
      </c>
      <c r="E1228" s="0" t="s">
        <v>47</v>
      </c>
      <c r="J1228" s="20" t="n">
        <f aca="false">Operations!J1215*Operations!J1225</f>
        <v>11.601158157141</v>
      </c>
      <c r="K1228" s="20" t="n">
        <f aca="false">Operations!K1215*Operations!K1225</f>
        <v>0.0310010245910153</v>
      </c>
      <c r="L1228" s="20" t="n">
        <f aca="false">Operations!L1215*Operations!L1225</f>
        <v>-0.00585749768256592</v>
      </c>
      <c r="M1228" s="20" t="n">
        <f aca="false">Operations!M1215*Operations!M1225</f>
        <v>1.12222424283689</v>
      </c>
      <c r="N1228" s="20" t="n">
        <f aca="false">Operations!N1215*Operations!N1225</f>
        <v>1.0582682800207</v>
      </c>
      <c r="O1228" s="20" t="n">
        <f aca="false">Operations!O1215*Operations!O1225</f>
        <v>4.03174589234391</v>
      </c>
      <c r="P1228" s="20" t="n">
        <f aca="false">Operations!P1215*Operations!P1225</f>
        <v>12.3973828076283</v>
      </c>
      <c r="Q1228" s="20" t="n">
        <f aca="false">Operations!Q1215*Operations!Q1225</f>
        <v>19.7284000396375</v>
      </c>
      <c r="R1228" s="20" t="n">
        <f aca="false">Operations!R1215*Operations!R1225</f>
        <v>32.7881472723114</v>
      </c>
      <c r="S1228" s="20" t="n">
        <f aca="false">Operations!S1215*Operations!S1225</f>
        <v>32.9549794142596</v>
      </c>
      <c r="T1228" s="20" t="n">
        <f aca="false">Operations!T1215*Operations!T1225</f>
        <v>34.8801630499101</v>
      </c>
      <c r="U1228" s="20" t="n">
        <f aca="false">Operations!U1215*Operations!U1225</f>
        <v>38.2541742394481</v>
      </c>
      <c r="V1228" s="20" t="n">
        <f aca="false">Operations!V1215*Operations!V1225</f>
        <v>41.5229079630212</v>
      </c>
      <c r="W1228" s="20" t="n">
        <f aca="false">Operations!W1215*Operations!W1225</f>
        <v>43.4648062414074</v>
      </c>
      <c r="X1228" s="20" t="n">
        <f aca="false">Operations!X1215*Operations!X1225</f>
        <v>43.0234630181448</v>
      </c>
      <c r="Y1228" s="20" t="n">
        <f aca="false">Operations!Y1215*Operations!Y1225</f>
        <v>42.5982130884821</v>
      </c>
      <c r="Z1228" s="20" t="n">
        <f aca="false">Operations!Z1215*Operations!Z1225</f>
        <v>42.2544938955049</v>
      </c>
      <c r="AA1228" s="20" t="n">
        <f aca="false">Operations!AA1215*Operations!AA1225</f>
        <v>41.9970872165669</v>
      </c>
      <c r="AB1228" s="20" t="n">
        <f aca="false">Operations!AB1215*Operations!AB1225</f>
        <v>41.7235557142056</v>
      </c>
      <c r="AC1228" s="20" t="n">
        <f aca="false">Operations!AC1215*Operations!AC1225</f>
        <v>41.4195731736267</v>
      </c>
      <c r="AD1228" s="20" t="n">
        <f aca="false">Operations!AD1215*Operations!AD1225</f>
        <v>41.0986509379568</v>
      </c>
      <c r="AE1228" s="20" t="n">
        <f aca="false">Operations!AE1215*Operations!AE1225</f>
        <v>35.7341764168319</v>
      </c>
      <c r="AF1228" s="20" t="n">
        <f aca="false">Operations!AF1215*Operations!AF1225</f>
        <v>5.39435227724313</v>
      </c>
      <c r="AG1228" s="20" t="n">
        <f aca="false">Operations!AG1215*Operations!AG1225</f>
        <v>28.080582727223</v>
      </c>
      <c r="AH1228" s="20" t="n">
        <f aca="false">Operations!AH1215*Operations!AH1225</f>
        <v>28.1322288671935</v>
      </c>
      <c r="AI1228" s="20" t="n">
        <f aca="false">Operations!AI1215*Operations!AI1225</f>
        <v>-7.48966802612568</v>
      </c>
      <c r="AJ1228" s="20" t="n">
        <f aca="false">Operations!AJ1215*Operations!AJ1225</f>
        <v>13.9886093597761</v>
      </c>
      <c r="AK1228" s="20" t="n">
        <f aca="false">Operations!AK1215*Operations!AK1225</f>
        <v>-3.8668739016871</v>
      </c>
      <c r="AL1228" s="20" t="n">
        <f aca="false">Operations!AL1215*Operations!AL1225</f>
        <v>10.8535293325511</v>
      </c>
      <c r="AM1228" s="20" t="n">
        <f aca="false">Operations!AM1215*Operations!AM1225</f>
        <v>10.8209589396869</v>
      </c>
      <c r="AN1228" s="20" t="n">
        <f aca="false">Operations!AN1215*Operations!AN1225</f>
        <v>10.7825005422982</v>
      </c>
      <c r="AO1228" s="20" t="n">
        <f aca="false">Operations!AO1215*Operations!AO1225</f>
        <v>10.7376906323798</v>
      </c>
      <c r="AP1228" s="20" t="n">
        <f aca="false">Operations!AP1215*Operations!AP1225</f>
        <v>10.6860585355435</v>
      </c>
      <c r="AQ1228" s="20" t="n">
        <f aca="false">Operations!AQ1215*Operations!AQ1225</f>
        <v>1.50602519573851</v>
      </c>
      <c r="AR1228" s="20" t="n">
        <f aca="false">Operations!AR1215*Operations!AR1225</f>
        <v>-12.3348451445134</v>
      </c>
      <c r="AS1228" s="20" t="n">
        <f aca="false">Operations!AS1215*Operations!AS1225</f>
        <v>-0.907905355011421</v>
      </c>
      <c r="AT1228" s="20" t="n">
        <f aca="false">Operations!AT1215*Operations!AT1225</f>
        <v>-1.04080762229286</v>
      </c>
      <c r="AU1228" s="20" t="n">
        <f aca="false">Operations!AU1215*Operations!AU1225</f>
        <v>-12.5492011715571</v>
      </c>
    </row>
    <row r="1230" customFormat="false" ht="15" hidden="false" customHeight="false" outlineLevel="0" collapsed="false">
      <c r="A1230" s="4" t="s">
        <v>835</v>
      </c>
      <c r="B1230" s="5"/>
      <c r="C1230" s="5"/>
      <c r="D1230" s="5"/>
      <c r="E1230" s="5"/>
      <c r="F1230" s="5"/>
      <c r="G1230" s="5"/>
      <c r="H1230" s="5"/>
      <c r="I1230" s="5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</row>
    <row r="1231" customFormat="false" ht="15" hidden="false" customHeight="false" outlineLevel="0" collapsed="false">
      <c r="D1231" s="0" t="s">
        <v>836</v>
      </c>
      <c r="E1231" s="0" t="s">
        <v>176</v>
      </c>
      <c r="F1231" s="20" t="n">
        <f aca="false">Inputs!$F$88*Inputs!$F$352/100*Inputs!$F$350</f>
        <v>2177.28</v>
      </c>
    </row>
    <row r="1232" customFormat="false" ht="15" hidden="false" customHeight="false" outlineLevel="0" collapsed="false">
      <c r="D1232" s="0" t="s">
        <v>837</v>
      </c>
      <c r="E1232" s="0" t="s">
        <v>176</v>
      </c>
      <c r="F1232" s="20" t="n">
        <f aca="false">Inputs!$F$197*Inputs!$F$350</f>
        <v>2880</v>
      </c>
    </row>
    <row r="1233" customFormat="false" ht="15" hidden="false" customHeight="false" outlineLevel="0" collapsed="false">
      <c r="D1233" s="0" t="s">
        <v>838</v>
      </c>
      <c r="E1233" s="0" t="s">
        <v>176</v>
      </c>
      <c r="F1233" s="20" t="n">
        <f aca="false">Operations!$F$1232-Operations!$F$1231</f>
        <v>702.72</v>
      </c>
    </row>
    <row r="1234" customFormat="false" ht="15" hidden="false" customHeight="false" outlineLevel="0" collapsed="false">
      <c r="D1234" s="0" t="s">
        <v>839</v>
      </c>
      <c r="E1234" s="0" t="s">
        <v>47</v>
      </c>
      <c r="F1234" s="20" t="n">
        <f aca="false">Operations!$F$1232*(Inputs!$F$351-Inputs!$F$198)/1000000</f>
        <v>14.26104</v>
      </c>
    </row>
    <row r="1235" customFormat="false" ht="15" hidden="false" customHeight="false" outlineLevel="0" collapsed="false">
      <c r="D1235" s="0" t="s">
        <v>840</v>
      </c>
      <c r="E1235" s="0" t="s">
        <v>47</v>
      </c>
      <c r="F1235" s="20" t="n">
        <f aca="false">Operations!$F$1231*Inputs!$F$351/1000000</f>
        <v>10.8864</v>
      </c>
    </row>
    <row r="1236" customFormat="false" ht="15" hidden="false" customHeight="false" outlineLevel="0" collapsed="false">
      <c r="D1236" s="0" t="s">
        <v>841</v>
      </c>
      <c r="E1236" s="0" t="s">
        <v>47</v>
      </c>
      <c r="F1236" s="20" t="n">
        <f aca="false">Operations!$F$1235-Operations!$F$1234</f>
        <v>-3.37464</v>
      </c>
    </row>
    <row r="1237" customFormat="false" ht="15" hidden="false" customHeight="false" outlineLevel="0" collapsed="false">
      <c r="D1237" s="0" t="s">
        <v>842</v>
      </c>
      <c r="E1237" s="0" t="s">
        <v>47</v>
      </c>
      <c r="F1237" s="20" t="n">
        <f aca="false">Operations!$F$1236-Operations!$F$1232*Inputs!$F$198/1000000</f>
        <v>-3.5136</v>
      </c>
    </row>
    <row r="1239" customFormat="false" ht="15" hidden="false" customHeight="false" outlineLevel="0" collapsed="false">
      <c r="A1239" s="4" t="s">
        <v>843</v>
      </c>
      <c r="B1239" s="5"/>
      <c r="C1239" s="5"/>
      <c r="D1239" s="5"/>
      <c r="E1239" s="5"/>
      <c r="F1239" s="5"/>
      <c r="G1239" s="5"/>
      <c r="H1239" s="5"/>
      <c r="I1239" s="5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</row>
    <row r="1240" customFormat="false" ht="15" hidden="false" customHeight="false" outlineLevel="0" collapsed="false">
      <c r="D1240" s="0" t="s">
        <v>844</v>
      </c>
      <c r="E1240" s="0" t="s">
        <v>466</v>
      </c>
      <c r="F1240" s="20" t="n">
        <f aca="false">Inputs!$F$94+Inputs!$F$105+Inputs!$F$116+Inputs!$F$127+Inputs!$F$138</f>
        <v>2787</v>
      </c>
    </row>
    <row r="1241" customFormat="false" ht="15" hidden="false" customHeight="false" outlineLevel="0" collapsed="false">
      <c r="D1241" s="0" t="s">
        <v>845</v>
      </c>
      <c r="E1241" s="0" t="s">
        <v>846</v>
      </c>
      <c r="F1241" s="20" t="n">
        <f aca="false">Inputs!$F$94*Operations!$F$11*Inputs!$F$94*Operations!$F$11*1+Inputs!$F$94*Operations!$F$11*Inputs!$F$105*Operations!$F$17*Inputs!$F$185+Inputs!$F$94*Operations!$F$11*Inputs!$F$116*Operations!$F$23*Inputs!$F$185+Inputs!$F$94*Operations!$F$11*Inputs!$F$127*Operations!$F$29*Inputs!$F$186+Inputs!$F$94*Operations!$F$11*Inputs!$F$138*Operations!$F$35*Inputs!$F$186+Inputs!$F$105*Operations!$F$17*Inputs!$F$94*Operations!$F$11*Inputs!$F$185+Inputs!$F$105*Operations!$F$17*Inputs!$F$105*Operations!$F$17*1+Inputs!$F$105*Operations!$F$17*Inputs!$F$116*Operations!$F$23*Inputs!$F$185+Inputs!$F$105*Operations!$F$17*Inputs!$F$127*Operations!$F$29*Inputs!$F$186+Inputs!$F$105*Operations!$F$17*Inputs!$F$138*Operations!$F$35*Inputs!$F$186+Inputs!$F$116*Operations!$F$23*Inputs!$F$94*Operations!$F$11*Inputs!$F$185+Inputs!$F$116*Operations!$F$23*Inputs!$F$105*Operations!$F$17*Inputs!$F$185+Inputs!$F$116*Operations!$F$23*Inputs!$F$116*Operations!$F$23*1+Inputs!$F$116*Operations!$F$23*Inputs!$F$127*Operations!$F$29*Inputs!$F$186+Inputs!$F$116*Operations!$F$23*Inputs!$F$138*Operations!$F$35*Inputs!$F$186+Inputs!$F$127*Operations!$F$29*Inputs!$F$94*Operations!$F$11*Inputs!$F$186+Inputs!$F$127*Operations!$F$29*Inputs!$F$105*Operations!$F$17*Inputs!$F$186+Inputs!$F$127*Operations!$F$29*Inputs!$F$116*Operations!$F$23*Inputs!$F$186+Inputs!$F$127*Operations!$F$29*Inputs!$F$127*Operations!$F$29*1+Inputs!$F$127*Operations!$F$29*Inputs!$F$138*Operations!$F$35*Inputs!$F$185+Inputs!$F$138*Operations!$F$35*Inputs!$F$94*Operations!$F$11*Inputs!$F$186+Inputs!$F$138*Operations!$F$35*Inputs!$F$105*Operations!$F$17*Inputs!$F$186+Inputs!$F$138*Operations!$F$35*Inputs!$F$116*Operations!$F$23*Inputs!$F$186+Inputs!$F$138*Operations!$F$35*Inputs!$F$127*Operations!$F$29*Inputs!$F$185+Inputs!$F$138*Operations!$F$35*Inputs!$F$138*Operations!$F$35*1</f>
        <v>6535.0761829358</v>
      </c>
    </row>
    <row r="1242" customFormat="false" ht="15" hidden="false" customHeight="false" outlineLevel="0" collapsed="false">
      <c r="D1242" s="0" t="s">
        <v>847</v>
      </c>
      <c r="E1242" s="0" t="s">
        <v>846</v>
      </c>
      <c r="F1242" s="20" t="n">
        <f aca="false">Inputs!$F$94*Operations!$F$10*Inputs!$F$94*Operations!$F$10*1+Inputs!$F$94*Operations!$F$10*Inputs!$F$105*Operations!$F$16*Inputs!$F$181+Inputs!$F$94*Operations!$F$10*Inputs!$F$116*Operations!$F$22*Inputs!$F$180+Inputs!$F$94*Operations!$F$10*Inputs!$F$127*Operations!$F$28*Inputs!$F$184+Inputs!$F$94*Operations!$F$10*Inputs!$F$138*Operations!$F$34*Inputs!$F$184+Inputs!$F$105*Operations!$F$16*Inputs!$F$94*Operations!$F$10*Inputs!$F$181+Inputs!$F$105*Operations!$F$16*Inputs!$F$105*Operations!$F$16*1+Inputs!$F$105*Operations!$F$16*Inputs!$F$116*Operations!$F$22*Inputs!$F$181+Inputs!$F$105*Operations!$F$16*Inputs!$F$127*Operations!$F$28*Inputs!$F$184+Inputs!$F$105*Operations!$F$16*Inputs!$F$138*Operations!$F$34*Inputs!$F$184+Inputs!$F$116*Operations!$F$22*Inputs!$F$94*Operations!$F$10*Inputs!$F$180+Inputs!$F$116*Operations!$F$22*Inputs!$F$105*Operations!$F$16*Inputs!$F$181+Inputs!$F$116*Operations!$F$22*Inputs!$F$116*Operations!$F$22*1+Inputs!$F$116*Operations!$F$22*Inputs!$F$127*Operations!$F$28*Inputs!$F$184+Inputs!$F$116*Operations!$F$22*Inputs!$F$138*Operations!$F$34*Inputs!$F$184+Inputs!$F$127*Operations!$F$28*Inputs!$F$94*Operations!$F$10*Inputs!$F$184+Inputs!$F$127*Operations!$F$28*Inputs!$F$105*Operations!$F$16*Inputs!$F$184+Inputs!$F$127*Operations!$F$28*Inputs!$F$116*Operations!$F$22*Inputs!$F$184+Inputs!$F$127*Operations!$F$28*Inputs!$F$127*Operations!$F$28*1+Inputs!$F$127*Operations!$F$28*Inputs!$F$138*Operations!$F$34*Inputs!$F$182+Inputs!$F$138*Operations!$F$34*Inputs!$F$94*Operations!$F$10*Inputs!$F$184+Inputs!$F$138*Operations!$F$34*Inputs!$F$105*Operations!$F$16*Inputs!$F$184+Inputs!$F$138*Operations!$F$34*Inputs!$F$116*Operations!$F$22*Inputs!$F$184+Inputs!$F$138*Operations!$F$34*Inputs!$F$127*Operations!$F$28*Inputs!$F$182+Inputs!$F$138*Operations!$F$34*Inputs!$F$138*Operations!$F$34*1</f>
        <v>17229.0257036465</v>
      </c>
    </row>
    <row r="1243" customFormat="false" ht="15" hidden="false" customHeight="false" outlineLevel="0" collapsed="false">
      <c r="D1243" s="0" t="s">
        <v>848</v>
      </c>
      <c r="E1243" s="0" t="s">
        <v>466</v>
      </c>
      <c r="F1243" s="20" t="n">
        <f aca="false">SQRT(Operations!$F$1241+Operations!$F$1242/1)</f>
        <v>154.156095846328</v>
      </c>
    </row>
    <row r="1244" customFormat="false" ht="15" hidden="false" customHeight="false" outlineLevel="0" collapsed="false">
      <c r="D1244" s="0" t="s">
        <v>849</v>
      </c>
      <c r="E1244" s="0" t="s">
        <v>466</v>
      </c>
      <c r="F1244" s="20" t="n">
        <f aca="false">Operations!$F$1240-Inputs!$F$30*Operations!$F$1243</f>
        <v>2589.43354756335</v>
      </c>
    </row>
    <row r="1245" customFormat="false" ht="15" hidden="false" customHeight="false" outlineLevel="0" collapsed="false">
      <c r="D1245" s="0" t="s">
        <v>850</v>
      </c>
      <c r="E1245" s="0" t="s">
        <v>466</v>
      </c>
      <c r="F1245" s="20" t="n">
        <f aca="false">Operations!$F$1240-Inputs!$F$31*Operations!$F$1243</f>
        <v>2428.38667423269</v>
      </c>
    </row>
    <row r="1246" customFormat="false" ht="15" hidden="false" customHeight="false" outlineLevel="0" collapsed="false">
      <c r="D1246" s="0" t="s">
        <v>851</v>
      </c>
      <c r="E1246" s="0" t="s">
        <v>466</v>
      </c>
      <c r="F1246" s="20" t="n">
        <f aca="false">Operations!$F$1240-Inputs!$F$30*(Inputs!$F$94*Operations!$F$8+Inputs!$F$105*Operations!$F$14+Inputs!$F$116*Operations!$F$20+Inputs!$F$127*Operations!$F$26+Inputs!$F$138*Operations!$F$32)</f>
        <v>2495.8918</v>
      </c>
    </row>
    <row r="1247" customFormat="false" ht="15" hidden="false" customHeight="false" outlineLevel="0" collapsed="false">
      <c r="D1247" s="0" t="s">
        <v>852</v>
      </c>
      <c r="E1247" s="0" t="s">
        <v>466</v>
      </c>
      <c r="F1247" s="20" t="n">
        <f aca="false">Operations!$F$1240-Inputs!$F$30*SQRT((Inputs!$F$94*Operations!$F$8)^2+(Inputs!$F$105*Operations!$F$14)^2+(Inputs!$F$116*Operations!$F$20)^2+(Inputs!$F$127*Operations!$F$26)^2+(Inputs!$F$138*Operations!$F$32)^2)</f>
        <v>2638.44513220268</v>
      </c>
    </row>
    <row r="1248" customFormat="false" ht="15" hidden="false" customHeight="false" outlineLevel="0" collapsed="false">
      <c r="D1248" s="0" t="s">
        <v>853</v>
      </c>
      <c r="E1248" s="0" t="s">
        <v>466</v>
      </c>
      <c r="F1248" s="20" t="n">
        <f aca="false">SQRT(Operations!$F$1241+Operations!$F$1242/Inputs!$F$32)</f>
        <v>90.8734216000501</v>
      </c>
    </row>
    <row r="1249" customFormat="false" ht="15" hidden="false" customHeight="false" outlineLevel="0" collapsed="false">
      <c r="D1249" s="0" t="s">
        <v>854</v>
      </c>
      <c r="E1249" s="0" t="s">
        <v>466</v>
      </c>
      <c r="F1249" s="20" t="n">
        <f aca="false">Operations!$F$1240-Inputs!$F$30*Operations!$F$1248</f>
        <v>2670.53662287738</v>
      </c>
    </row>
    <row r="1250" customFormat="false" ht="15" hidden="false" customHeight="false" outlineLevel="0" collapsed="false">
      <c r="D1250" s="0" t="s">
        <v>855</v>
      </c>
      <c r="E1250" s="0" t="s">
        <v>466</v>
      </c>
      <c r="F1250" s="20" t="n">
        <f aca="false">Operations!$F$1240-Inputs!$F$31*Operations!$F$1248</f>
        <v>2575.6011593318</v>
      </c>
    </row>
    <row r="1251" customFormat="false" ht="15" hidden="false" customHeight="false" outlineLevel="0" collapsed="false">
      <c r="D1251" s="0" t="s">
        <v>856</v>
      </c>
      <c r="E1251" s="0" t="s">
        <v>466</v>
      </c>
      <c r="F1251" s="20" t="n">
        <f aca="false">Operations!$F$1240-Inputs!$F$30*(Inputs!$F$94*Operations!$F$9+Inputs!$F$105*Operations!$F$15+Inputs!$F$116*Operations!$F$21+Inputs!$F$127*Operations!$F$27+Inputs!$F$138*Operations!$F$33)</f>
        <v>2620.8699</v>
      </c>
    </row>
    <row r="1252" customFormat="false" ht="15" hidden="false" customHeight="false" outlineLevel="0" collapsed="false">
      <c r="D1252" s="0" t="s">
        <v>857</v>
      </c>
      <c r="E1252" s="0" t="s">
        <v>466</v>
      </c>
      <c r="F1252" s="20" t="n">
        <f aca="false">Operations!$F$1240-Inputs!$F$30*SQRT((Inputs!$F$94*Operations!$F$9)^2+(Inputs!$F$105*Operations!$F$15)^2+(Inputs!$F$116*Operations!$F$21)^2+(Inputs!$F$127*Operations!$F$27)^2+(Inputs!$F$138*Operations!$F$33)^2)</f>
        <v>2702.68139729046</v>
      </c>
    </row>
    <row r="1253" customFormat="false" ht="15" hidden="false" customHeight="false" outlineLevel="0" collapsed="false">
      <c r="D1253" s="0" t="s">
        <v>858</v>
      </c>
      <c r="E1253" s="0" t="s">
        <v>466</v>
      </c>
      <c r="F1253" s="20" t="n">
        <f aca="false">Inputs!$F$94+Inputs!$F$105+Inputs!$F$116+Inputs!$F$127+Inputs!$F$138+Inputs!$F$175</f>
        <v>3077.1</v>
      </c>
    </row>
    <row r="1254" customFormat="false" ht="15" hidden="false" customHeight="false" outlineLevel="0" collapsed="false">
      <c r="D1254" s="0" t="s">
        <v>859</v>
      </c>
      <c r="E1254" s="0" t="s">
        <v>846</v>
      </c>
      <c r="F1254" s="20" t="n">
        <f aca="false">Inputs!$F$94*Operations!$F$11*Inputs!$F$94*Operations!$F$11*1+Inputs!$F$94*Operations!$F$11*Inputs!$F$105*Operations!$F$17*Inputs!$F$185+Inputs!$F$94*Operations!$F$11*Inputs!$F$116*Operations!$F$23*Inputs!$F$185+Inputs!$F$94*Operations!$F$11*Inputs!$F$127*Operations!$F$29*Inputs!$F$186+Inputs!$F$94*Operations!$F$11*Inputs!$F$138*Operations!$F$35*Inputs!$F$186+Inputs!$F$94*Operations!$F$11*Inputs!$F$175*Operations!$F$41*Inputs!$F$186+Inputs!$F$105*Operations!$F$17*Inputs!$F$94*Operations!$F$11*Inputs!$F$185+Inputs!$F$105*Operations!$F$17*Inputs!$F$105*Operations!$F$17*1+Inputs!$F$105*Operations!$F$17*Inputs!$F$116*Operations!$F$23*Inputs!$F$185+Inputs!$F$105*Operations!$F$17*Inputs!$F$127*Operations!$F$29*Inputs!$F$186+Inputs!$F$105*Operations!$F$17*Inputs!$F$138*Operations!$F$35*Inputs!$F$186+Inputs!$F$105*Operations!$F$17*Inputs!$F$175*Operations!$F$41*Inputs!$F$186+Inputs!$F$116*Operations!$F$23*Inputs!$F$94*Operations!$F$11*Inputs!$F$185+Inputs!$F$116*Operations!$F$23*Inputs!$F$105*Operations!$F$17*Inputs!$F$185+Inputs!$F$116*Operations!$F$23*Inputs!$F$116*Operations!$F$23*1+Inputs!$F$116*Operations!$F$23*Inputs!$F$127*Operations!$F$29*Inputs!$F$186+Inputs!$F$116*Operations!$F$23*Inputs!$F$138*Operations!$F$35*Inputs!$F$186+Inputs!$F$116*Operations!$F$23*Inputs!$F$175*Operations!$F$41*Inputs!$F$186+Inputs!$F$127*Operations!$F$29*Inputs!$F$94*Operations!$F$11*Inputs!$F$186+Inputs!$F$127*Operations!$F$29*Inputs!$F$105*Operations!$F$17*Inputs!$F$186+Inputs!$F$127*Operations!$F$29*Inputs!$F$116*Operations!$F$23*Inputs!$F$186+Inputs!$F$127*Operations!$F$29*Inputs!$F$127*Operations!$F$29*1+Inputs!$F$127*Operations!$F$29*Inputs!$F$138*Operations!$F$35*Inputs!$F$185+Inputs!$F$127*Operations!$F$29*Inputs!$F$175*Operations!$F$41*Inputs!$F$185+Inputs!$F$138*Operations!$F$35*Inputs!$F$94*Operations!$F$11*Inputs!$F$186+Inputs!$F$138*Operations!$F$35*Inputs!$F$105*Operations!$F$17*Inputs!$F$186+Inputs!$F$138*Operations!$F$35*Inputs!$F$116*Operations!$F$23*Inputs!$F$186+Inputs!$F$138*Operations!$F$35*Inputs!$F$127*Operations!$F$29*Inputs!$F$185+Inputs!$F$138*Operations!$F$35*Inputs!$F$138*Operations!$F$35*1+Inputs!$F$138*Operations!$F$35*Inputs!$F$175*Operations!$F$41*Inputs!$F$185+Inputs!$F$175*Operations!$F$41*Inputs!$F$94*Operations!$F$11*Inputs!$F$186+Inputs!$F$175*Operations!$F$41*Inputs!$F$105*Operations!$F$17*Inputs!$F$186+Inputs!$F$175*Operations!$F$41*Inputs!$F$116*Operations!$F$23*Inputs!$F$186+Inputs!$F$175*Operations!$F$41*Inputs!$F$127*Operations!$F$29*Inputs!$F$185+Inputs!$F$175*Operations!$F$41*Inputs!$F$138*Operations!$F$35*Inputs!$F$185+Inputs!$F$175*Operations!$F$41*Inputs!$F$175*Operations!$F$41*1</f>
        <v>6695.93039590954</v>
      </c>
    </row>
    <row r="1255" customFormat="false" ht="15" hidden="false" customHeight="false" outlineLevel="0" collapsed="false">
      <c r="D1255" s="0" t="s">
        <v>860</v>
      </c>
      <c r="E1255" s="0" t="s">
        <v>846</v>
      </c>
      <c r="F1255" s="20" t="n">
        <f aca="false">Inputs!$F$94*Operations!$F$10*Inputs!$F$94*Operations!$F$10*1+Inputs!$F$94*Operations!$F$10*Inputs!$F$105*Operations!$F$16*Inputs!$F$181+Inputs!$F$94*Operations!$F$10*Inputs!$F$116*Operations!$F$22*Inputs!$F$180+Inputs!$F$94*Operations!$F$10*Inputs!$F$127*Operations!$F$28*Inputs!$F$184+Inputs!$F$94*Operations!$F$10*Inputs!$F$138*Operations!$F$34*Inputs!$F$184+Inputs!$F$94*Operations!$F$10*Inputs!$F$175*Operations!$F$40*Inputs!$F$184+Inputs!$F$105*Operations!$F$16*Inputs!$F$94*Operations!$F$10*Inputs!$F$181+Inputs!$F$105*Operations!$F$16*Inputs!$F$105*Operations!$F$16*1+Inputs!$F$105*Operations!$F$16*Inputs!$F$116*Operations!$F$22*Inputs!$F$181+Inputs!$F$105*Operations!$F$16*Inputs!$F$127*Operations!$F$28*Inputs!$F$184+Inputs!$F$105*Operations!$F$16*Inputs!$F$138*Operations!$F$34*Inputs!$F$184+Inputs!$F$105*Operations!$F$16*Inputs!$F$175*Operations!$F$40*Inputs!$F$184+Inputs!$F$116*Operations!$F$22*Inputs!$F$94*Operations!$F$10*Inputs!$F$180+Inputs!$F$116*Operations!$F$22*Inputs!$F$105*Operations!$F$16*Inputs!$F$181+Inputs!$F$116*Operations!$F$22*Inputs!$F$116*Operations!$F$22*1+Inputs!$F$116*Operations!$F$22*Inputs!$F$127*Operations!$F$28*Inputs!$F$184+Inputs!$F$116*Operations!$F$22*Inputs!$F$138*Operations!$F$34*Inputs!$F$184+Inputs!$F$116*Operations!$F$22*Inputs!$F$175*Operations!$F$40*Inputs!$F$184+Inputs!$F$127*Operations!$F$28*Inputs!$F$94*Operations!$F$10*Inputs!$F$184+Inputs!$F$127*Operations!$F$28*Inputs!$F$105*Operations!$F$16*Inputs!$F$184+Inputs!$F$127*Operations!$F$28*Inputs!$F$116*Operations!$F$22*Inputs!$F$184+Inputs!$F$127*Operations!$F$28*Inputs!$F$127*Operations!$F$28*1+Inputs!$F$127*Operations!$F$28*Inputs!$F$138*Operations!$F$34*Inputs!$F$182+Inputs!$F$127*Operations!$F$28*Inputs!$F$175*Operations!$F$40*Inputs!$F$183+Inputs!$F$138*Operations!$F$34*Inputs!$F$94*Operations!$F$10*Inputs!$F$184+Inputs!$F$138*Operations!$F$34*Inputs!$F$105*Operations!$F$16*Inputs!$F$184+Inputs!$F$138*Operations!$F$34*Inputs!$F$116*Operations!$F$22*Inputs!$F$184+Inputs!$F$138*Operations!$F$34*Inputs!$F$127*Operations!$F$28*Inputs!$F$182+Inputs!$F$138*Operations!$F$34*Inputs!$F$138*Operations!$F$34*1+Inputs!$F$138*Operations!$F$34*Inputs!$F$175*Operations!$F$40*Inputs!$F$183+Inputs!$F$175*Operations!$F$40*Inputs!$F$94*Operations!$F$10*Inputs!$F$184+Inputs!$F$175*Operations!$F$40*Inputs!$F$105*Operations!$F$16*Inputs!$F$184+Inputs!$F$175*Operations!$F$40*Inputs!$F$116*Operations!$F$22*Inputs!$F$184+Inputs!$F$175*Operations!$F$40*Inputs!$F$127*Operations!$F$28*Inputs!$F$183+Inputs!$F$175*Operations!$F$40*Inputs!$F$138*Operations!$F$34*Inputs!$F$183+Inputs!$F$175*Operations!$F$40*Inputs!$F$175*Operations!$F$40*1</f>
        <v>17250.3478761975</v>
      </c>
    </row>
    <row r="1256" customFormat="false" ht="15" hidden="false" customHeight="false" outlineLevel="0" collapsed="false">
      <c r="D1256" s="0" t="s">
        <v>861</v>
      </c>
      <c r="E1256" s="0" t="s">
        <v>466</v>
      </c>
      <c r="F1256" s="20" t="n">
        <f aca="false">SQRT(Operations!$F$1254+Operations!$F$1255/1)</f>
        <v>154.745850581226</v>
      </c>
    </row>
    <row r="1257" customFormat="false" ht="15" hidden="false" customHeight="false" outlineLevel="0" collapsed="false">
      <c r="D1257" s="0" t="s">
        <v>862</v>
      </c>
      <c r="E1257" s="0" t="s">
        <v>466</v>
      </c>
      <c r="F1257" s="20" t="n">
        <f aca="false">Operations!$F$1253-Inputs!$F$30*Operations!$F$1256</f>
        <v>2878.7777178951</v>
      </c>
    </row>
    <row r="1258" customFormat="false" ht="15" hidden="false" customHeight="false" outlineLevel="0" collapsed="false">
      <c r="D1258" s="0" t="s">
        <v>863</v>
      </c>
      <c r="E1258" s="0" t="s">
        <v>466</v>
      </c>
      <c r="F1258" s="20" t="n">
        <f aca="false">Operations!$F$1253-Inputs!$F$31*Operations!$F$1256</f>
        <v>2717.11472779289</v>
      </c>
    </row>
    <row r="1259" customFormat="false" ht="15" hidden="false" customHeight="false" outlineLevel="0" collapsed="false">
      <c r="D1259" s="0" t="s">
        <v>864</v>
      </c>
      <c r="E1259" s="0" t="s">
        <v>466</v>
      </c>
      <c r="F1259" s="20" t="n">
        <f aca="false">Operations!$F$1253-Inputs!$F$30*(Inputs!$F$94*Operations!$F$8+Inputs!$F$105*Operations!$F$14+Inputs!$F$116*Operations!$F$20+Inputs!$F$127*Operations!$F$26+Inputs!$F$138*Operations!$F$32+Inputs!$F$175*Operations!$F$38)</f>
        <v>2769.7462</v>
      </c>
    </row>
    <row r="1260" customFormat="false" ht="15" hidden="false" customHeight="false" outlineLevel="0" collapsed="false">
      <c r="D1260" s="0" t="s">
        <v>865</v>
      </c>
      <c r="E1260" s="0" t="s">
        <v>466</v>
      </c>
      <c r="F1260" s="20" t="n">
        <f aca="false">Operations!$F$1253-Inputs!$F$30*SQRT((Inputs!$F$94*Operations!$F$8)^2+(Inputs!$F$105*Operations!$F$14)^2+(Inputs!$F$116*Operations!$F$20)^2+(Inputs!$F$127*Operations!$F$26)^2+(Inputs!$F$138*Operations!$F$32)^2+(Inputs!$F$175*Operations!$F$38)^2)</f>
        <v>2927.65948251682</v>
      </c>
    </row>
    <row r="1261" customFormat="false" ht="15" hidden="false" customHeight="false" outlineLevel="0" collapsed="false">
      <c r="D1261" s="0" t="s">
        <v>866</v>
      </c>
      <c r="E1261" s="0" t="s">
        <v>466</v>
      </c>
      <c r="F1261" s="20" t="n">
        <f aca="false">SQRT(Operations!$F$1254+Operations!$F$1255/Inputs!$F$32)</f>
        <v>91.7658170754737</v>
      </c>
    </row>
    <row r="1262" customFormat="false" ht="15" hidden="false" customHeight="false" outlineLevel="0" collapsed="false">
      <c r="D1262" s="0" t="s">
        <v>867</v>
      </c>
      <c r="E1262" s="0" t="s">
        <v>466</v>
      </c>
      <c r="F1262" s="20" t="n">
        <f aca="false">Operations!$F$1253-Inputs!$F$30*Operations!$F$1261</f>
        <v>2959.49292883607</v>
      </c>
    </row>
    <row r="1263" customFormat="false" ht="15" hidden="false" customHeight="false" outlineLevel="0" collapsed="false">
      <c r="D1263" s="0" t="s">
        <v>868</v>
      </c>
      <c r="E1263" s="0" t="s">
        <v>466</v>
      </c>
      <c r="F1263" s="20" t="n">
        <f aca="false">Operations!$F$1253-Inputs!$F$31*Operations!$F$1261</f>
        <v>2863.62517973733</v>
      </c>
    </row>
    <row r="1264" customFormat="false" ht="15" hidden="false" customHeight="false" outlineLevel="0" collapsed="false">
      <c r="D1264" s="0" t="s">
        <v>869</v>
      </c>
      <c r="E1264" s="0" t="s">
        <v>466</v>
      </c>
      <c r="F1264" s="20" t="n">
        <f aca="false">Operations!$F$1253-Inputs!$F$30*(Inputs!$F$94*Operations!$F$9+Inputs!$F$105*Operations!$F$15+Inputs!$F$116*Operations!$F$21+Inputs!$F$127*Operations!$F$27+Inputs!$F$138*Operations!$F$33+Inputs!$F$175*Operations!$F$39)</f>
        <v>2901.1065</v>
      </c>
    </row>
    <row r="1265" customFormat="false" ht="15" hidden="false" customHeight="false" outlineLevel="0" collapsed="false">
      <c r="D1265" s="0" t="s">
        <v>870</v>
      </c>
      <c r="E1265" s="0" t="s">
        <v>466</v>
      </c>
      <c r="F1265" s="20" t="n">
        <f aca="false">Operations!$F$1253-Inputs!$F$30*SQRT((Inputs!$F$94*Operations!$F$9)^2+(Inputs!$F$105*Operations!$F$15)^2+(Inputs!$F$116*Operations!$F$21)^2+(Inputs!$F$127*Operations!$F$27)^2+(Inputs!$F$138*Operations!$F$33)^2+(Inputs!$F$175*Operations!$F$39)^2)</f>
        <v>2992.20645829953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871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872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873</v>
      </c>
      <c r="E8" s="0" t="s">
        <v>47</v>
      </c>
      <c r="F8" s="20" t="n">
        <f aca="false">Inputs!$F$255/100*Inputs!$F$256/100*Inputs!$F$270</f>
        <v>24.1224</v>
      </c>
    </row>
    <row r="9" customFormat="false" ht="15" hidden="false" customHeight="false" outlineLevel="0" collapsed="false">
      <c r="D9" s="0" t="s">
        <v>874</v>
      </c>
      <c r="E9" s="0" t="s">
        <v>47</v>
      </c>
      <c r="F9" s="20" t="n">
        <f aca="false">Inputs!$F$257/100*Inputs!$F$258/100*Inputs!$F$271</f>
        <v>28.7358</v>
      </c>
    </row>
    <row r="11" customFormat="false" ht="15" hidden="false" customHeight="false" outlineLevel="0" collapsed="false">
      <c r="A11" s="4" t="s">
        <v>875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</row>
    <row r="12" customFormat="false" ht="15" hidden="false" customHeight="false" outlineLevel="0" collapsed="false">
      <c r="D12" s="0" t="s">
        <v>876</v>
      </c>
      <c r="E12" s="0" t="s">
        <v>47</v>
      </c>
      <c r="F12" s="20" t="n">
        <f aca="false">Inputs!$F$264</f>
        <v>446.3</v>
      </c>
    </row>
    <row r="13" customFormat="false" ht="15" hidden="false" customHeight="false" outlineLevel="0" collapsed="false">
      <c r="D13" s="0" t="s">
        <v>877</v>
      </c>
      <c r="E13" s="0" t="s">
        <v>51</v>
      </c>
      <c r="J13" s="12" t="n">
        <f aca="false">Time!J$4-YEAR(Inputs!$F$263)</f>
        <v>0</v>
      </c>
      <c r="K13" s="12" t="n">
        <f aca="false">Time!K$4-YEAR(Inputs!$F$263)</f>
        <v>1</v>
      </c>
      <c r="L13" s="12" t="n">
        <f aca="false">Time!L$4-YEAR(Inputs!$F$263)</f>
        <v>2</v>
      </c>
      <c r="M13" s="12" t="n">
        <f aca="false">Time!M$4-YEAR(Inputs!$F$263)</f>
        <v>3</v>
      </c>
      <c r="N13" s="12" t="n">
        <f aca="false">Time!N$4-YEAR(Inputs!$F$263)</f>
        <v>4</v>
      </c>
      <c r="O13" s="12" t="n">
        <f aca="false">Time!O$4-YEAR(Inputs!$F$263)</f>
        <v>5</v>
      </c>
      <c r="P13" s="12" t="n">
        <f aca="false">Time!P$4-YEAR(Inputs!$F$263)</f>
        <v>6</v>
      </c>
      <c r="Q13" s="12" t="n">
        <f aca="false">Time!Q$4-YEAR(Inputs!$F$263)</f>
        <v>7</v>
      </c>
      <c r="R13" s="12" t="n">
        <f aca="false">Time!R$4-YEAR(Inputs!$F$263)</f>
        <v>8</v>
      </c>
      <c r="S13" s="12" t="n">
        <f aca="false">Time!S$4-YEAR(Inputs!$F$263)</f>
        <v>9</v>
      </c>
      <c r="T13" s="12" t="n">
        <f aca="false">Time!T$4-YEAR(Inputs!$F$263)</f>
        <v>10</v>
      </c>
      <c r="U13" s="12" t="n">
        <f aca="false">Time!U$4-YEAR(Inputs!$F$263)</f>
        <v>11</v>
      </c>
      <c r="V13" s="12" t="n">
        <f aca="false">Time!V$4-YEAR(Inputs!$F$263)</f>
        <v>12</v>
      </c>
      <c r="W13" s="12" t="n">
        <f aca="false">Time!W$4-YEAR(Inputs!$F$263)</f>
        <v>13</v>
      </c>
      <c r="X13" s="12" t="n">
        <f aca="false">Time!X$4-YEAR(Inputs!$F$263)</f>
        <v>14</v>
      </c>
      <c r="Y13" s="12" t="n">
        <f aca="false">Time!Y$4-YEAR(Inputs!$F$263)</f>
        <v>15</v>
      </c>
      <c r="Z13" s="12" t="n">
        <f aca="false">Time!Z$4-YEAR(Inputs!$F$263)</f>
        <v>16</v>
      </c>
      <c r="AA13" s="12" t="n">
        <f aca="false">Time!AA$4-YEAR(Inputs!$F$263)</f>
        <v>17</v>
      </c>
      <c r="AB13" s="12" t="n">
        <f aca="false">Time!AB$4-YEAR(Inputs!$F$263)</f>
        <v>18</v>
      </c>
      <c r="AC13" s="12" t="n">
        <f aca="false">Time!AC$4-YEAR(Inputs!$F$263)</f>
        <v>19</v>
      </c>
      <c r="AD13" s="12" t="n">
        <f aca="false">Time!AD$4-YEAR(Inputs!$F$263)</f>
        <v>20</v>
      </c>
      <c r="AE13" s="12" t="n">
        <f aca="false">Time!AE$4-YEAR(Inputs!$F$263)</f>
        <v>21</v>
      </c>
      <c r="AF13" s="12" t="n">
        <f aca="false">Time!AF$4-YEAR(Inputs!$F$263)</f>
        <v>22</v>
      </c>
      <c r="AG13" s="12" t="n">
        <f aca="false">Time!AG$4-YEAR(Inputs!$F$263)</f>
        <v>23</v>
      </c>
      <c r="AH13" s="12" t="n">
        <f aca="false">Time!AH$4-YEAR(Inputs!$F$263)</f>
        <v>24</v>
      </c>
      <c r="AI13" s="12" t="n">
        <f aca="false">Time!AI$4-YEAR(Inputs!$F$263)</f>
        <v>25</v>
      </c>
      <c r="AJ13" s="12" t="n">
        <f aca="false">Time!AJ$4-YEAR(Inputs!$F$263)</f>
        <v>26</v>
      </c>
      <c r="AK13" s="12" t="n">
        <f aca="false">Time!AK$4-YEAR(Inputs!$F$263)</f>
        <v>27</v>
      </c>
      <c r="AL13" s="12" t="n">
        <f aca="false">Time!AL$4-YEAR(Inputs!$F$263)</f>
        <v>28</v>
      </c>
      <c r="AM13" s="12" t="n">
        <f aca="false">Time!AM$4-YEAR(Inputs!$F$263)</f>
        <v>29</v>
      </c>
      <c r="AN13" s="12" t="n">
        <f aca="false">Time!AN$4-YEAR(Inputs!$F$263)</f>
        <v>30</v>
      </c>
      <c r="AO13" s="12" t="n">
        <f aca="false">Time!AO$4-YEAR(Inputs!$F$263)</f>
        <v>31</v>
      </c>
      <c r="AP13" s="12" t="n">
        <f aca="false">Time!AP$4-YEAR(Inputs!$F$263)</f>
        <v>32</v>
      </c>
      <c r="AQ13" s="12" t="n">
        <f aca="false">Time!AQ$4-YEAR(Inputs!$F$263)</f>
        <v>33</v>
      </c>
      <c r="AR13" s="12" t="n">
        <f aca="false">Time!AR$4-YEAR(Inputs!$F$263)</f>
        <v>34</v>
      </c>
      <c r="AS13" s="12" t="n">
        <f aca="false">Time!AS$4-YEAR(Inputs!$F$263)</f>
        <v>35</v>
      </c>
      <c r="AT13" s="12" t="n">
        <f aca="false">Time!AT$4-YEAR(Inputs!$F$263)</f>
        <v>36</v>
      </c>
      <c r="AU13" s="12" t="n">
        <f aca="false">Time!AU$4-YEAR(Inputs!$F$263)</f>
        <v>37</v>
      </c>
    </row>
    <row r="14" customFormat="false" ht="15" hidden="false" customHeight="false" outlineLevel="0" collapsed="false">
      <c r="D14" s="0" t="s">
        <v>878</v>
      </c>
      <c r="E14" s="0" t="s">
        <v>47</v>
      </c>
      <c r="G14" s="20" t="n">
        <f aca="false">SUM(J14:AU14)</f>
        <v>423.985</v>
      </c>
      <c r="J14" s="20" t="n">
        <f aca="false">Tax!$F$12*((Inputs!$F$250+Inputs!$F$251)/100*IF(Tax!J13=0,Inputs!$F$252/100,0)+(1-Inputs!$F$252/100)*(Inputs!$F$250/100*IF(AND(Tax!J13&gt;=0,Tax!J13&lt;Inputs!$F$84),INDEX(Inputs!$J$82:$AU$82,Tax!J13+1),0)+Inputs!$F$251/100*IF(AND(Tax!J13&gt;=0,Tax!J13&lt;Inputs!$F$85),INDEX(Inputs!$J$83:$AU$83,Tax!J13+1),0)))</f>
        <v>423.985</v>
      </c>
      <c r="K14" s="20" t="n">
        <f aca="false">Tax!$F$12*((Inputs!$F$250+Inputs!$F$251)/100*IF(Tax!K13=0,Inputs!$F$252/100,0)+(1-Inputs!$F$252/100)*(Inputs!$F$250/100*IF(AND(Tax!K13&gt;=0,Tax!K13&lt;Inputs!$F$84),INDEX(Inputs!$J$82:$AU$82,Tax!K13+1),0)+Inputs!$F$251/100*IF(AND(Tax!K13&gt;=0,Tax!K13&lt;Inputs!$F$85),INDEX(Inputs!$J$83:$AU$83,Tax!K13+1),0)))</f>
        <v>0</v>
      </c>
      <c r="L14" s="20" t="n">
        <f aca="false">Tax!$F$12*((Inputs!$F$250+Inputs!$F$251)/100*IF(Tax!L13=0,Inputs!$F$252/100,0)+(1-Inputs!$F$252/100)*(Inputs!$F$250/100*IF(AND(Tax!L13&gt;=0,Tax!L13&lt;Inputs!$F$84),INDEX(Inputs!$J$82:$AU$82,Tax!L13+1),0)+Inputs!$F$251/100*IF(AND(Tax!L13&gt;=0,Tax!L13&lt;Inputs!$F$85),INDEX(Inputs!$J$83:$AU$83,Tax!L13+1),0)))</f>
        <v>0</v>
      </c>
      <c r="M14" s="20" t="n">
        <f aca="false">Tax!$F$12*((Inputs!$F$250+Inputs!$F$251)/100*IF(Tax!M13=0,Inputs!$F$252/100,0)+(1-Inputs!$F$252/100)*(Inputs!$F$250/100*IF(AND(Tax!M13&gt;=0,Tax!M13&lt;Inputs!$F$84),INDEX(Inputs!$J$82:$AU$82,Tax!M13+1),0)+Inputs!$F$251/100*IF(AND(Tax!M13&gt;=0,Tax!M13&lt;Inputs!$F$85),INDEX(Inputs!$J$83:$AU$83,Tax!M13+1),0)))</f>
        <v>0</v>
      </c>
      <c r="N14" s="20" t="n">
        <f aca="false">Tax!$F$12*((Inputs!$F$250+Inputs!$F$251)/100*IF(Tax!N13=0,Inputs!$F$252/100,0)+(1-Inputs!$F$252/100)*(Inputs!$F$250/100*IF(AND(Tax!N13&gt;=0,Tax!N13&lt;Inputs!$F$84),INDEX(Inputs!$J$82:$AU$82,Tax!N13+1),0)+Inputs!$F$251/100*IF(AND(Tax!N13&gt;=0,Tax!N13&lt;Inputs!$F$85),INDEX(Inputs!$J$83:$AU$83,Tax!N13+1),0)))</f>
        <v>0</v>
      </c>
      <c r="O14" s="20" t="n">
        <f aca="false">Tax!$F$12*((Inputs!$F$250+Inputs!$F$251)/100*IF(Tax!O13=0,Inputs!$F$252/100,0)+(1-Inputs!$F$252/100)*(Inputs!$F$250/100*IF(AND(Tax!O13&gt;=0,Tax!O13&lt;Inputs!$F$84),INDEX(Inputs!$J$82:$AU$82,Tax!O13+1),0)+Inputs!$F$251/100*IF(AND(Tax!O13&gt;=0,Tax!O13&lt;Inputs!$F$85),INDEX(Inputs!$J$83:$AU$83,Tax!O13+1),0)))</f>
        <v>0</v>
      </c>
      <c r="P14" s="20" t="n">
        <f aca="false">Tax!$F$12*((Inputs!$F$250+Inputs!$F$251)/100*IF(Tax!P13=0,Inputs!$F$252/100,0)+(1-Inputs!$F$252/100)*(Inputs!$F$250/100*IF(AND(Tax!P13&gt;=0,Tax!P13&lt;Inputs!$F$84),INDEX(Inputs!$J$82:$AU$82,Tax!P13+1),0)+Inputs!$F$251/100*IF(AND(Tax!P13&gt;=0,Tax!P13&lt;Inputs!$F$85),INDEX(Inputs!$J$83:$AU$83,Tax!P13+1),0)))</f>
        <v>0</v>
      </c>
      <c r="Q14" s="20" t="n">
        <f aca="false">Tax!$F$12*((Inputs!$F$250+Inputs!$F$251)/100*IF(Tax!Q13=0,Inputs!$F$252/100,0)+(1-Inputs!$F$252/100)*(Inputs!$F$250/100*IF(AND(Tax!Q13&gt;=0,Tax!Q13&lt;Inputs!$F$84),INDEX(Inputs!$J$82:$AU$82,Tax!Q13+1),0)+Inputs!$F$251/100*IF(AND(Tax!Q13&gt;=0,Tax!Q13&lt;Inputs!$F$85),INDEX(Inputs!$J$83:$AU$83,Tax!Q13+1),0)))</f>
        <v>0</v>
      </c>
      <c r="R14" s="20" t="n">
        <f aca="false">Tax!$F$12*((Inputs!$F$250+Inputs!$F$251)/100*IF(Tax!R13=0,Inputs!$F$252/100,0)+(1-Inputs!$F$252/100)*(Inputs!$F$250/100*IF(AND(Tax!R13&gt;=0,Tax!R13&lt;Inputs!$F$84),INDEX(Inputs!$J$82:$AU$82,Tax!R13+1),0)+Inputs!$F$251/100*IF(AND(Tax!R13&gt;=0,Tax!R13&lt;Inputs!$F$85),INDEX(Inputs!$J$83:$AU$83,Tax!R13+1),0)))</f>
        <v>0</v>
      </c>
      <c r="S14" s="20" t="n">
        <f aca="false">Tax!$F$12*((Inputs!$F$250+Inputs!$F$251)/100*IF(Tax!S13=0,Inputs!$F$252/100,0)+(1-Inputs!$F$252/100)*(Inputs!$F$250/100*IF(AND(Tax!S13&gt;=0,Tax!S13&lt;Inputs!$F$84),INDEX(Inputs!$J$82:$AU$82,Tax!S13+1),0)+Inputs!$F$251/100*IF(AND(Tax!S13&gt;=0,Tax!S13&lt;Inputs!$F$85),INDEX(Inputs!$J$83:$AU$83,Tax!S13+1),0)))</f>
        <v>0</v>
      </c>
      <c r="T14" s="20" t="n">
        <f aca="false">Tax!$F$12*((Inputs!$F$250+Inputs!$F$251)/100*IF(Tax!T13=0,Inputs!$F$252/100,0)+(1-Inputs!$F$252/100)*(Inputs!$F$250/100*IF(AND(Tax!T13&gt;=0,Tax!T13&lt;Inputs!$F$84),INDEX(Inputs!$J$82:$AU$82,Tax!T13+1),0)+Inputs!$F$251/100*IF(AND(Tax!T13&gt;=0,Tax!T13&lt;Inputs!$F$85),INDEX(Inputs!$J$83:$AU$83,Tax!T13+1),0)))</f>
        <v>0</v>
      </c>
      <c r="U14" s="20" t="n">
        <f aca="false">Tax!$F$12*((Inputs!$F$250+Inputs!$F$251)/100*IF(Tax!U13=0,Inputs!$F$252/100,0)+(1-Inputs!$F$252/100)*(Inputs!$F$250/100*IF(AND(Tax!U13&gt;=0,Tax!U13&lt;Inputs!$F$84),INDEX(Inputs!$J$82:$AU$82,Tax!U13+1),0)+Inputs!$F$251/100*IF(AND(Tax!U13&gt;=0,Tax!U13&lt;Inputs!$F$85),INDEX(Inputs!$J$83:$AU$83,Tax!U13+1),0)))</f>
        <v>0</v>
      </c>
      <c r="V14" s="20" t="n">
        <f aca="false">Tax!$F$12*((Inputs!$F$250+Inputs!$F$251)/100*IF(Tax!V13=0,Inputs!$F$252/100,0)+(1-Inputs!$F$252/100)*(Inputs!$F$250/100*IF(AND(Tax!V13&gt;=0,Tax!V13&lt;Inputs!$F$84),INDEX(Inputs!$J$82:$AU$82,Tax!V13+1),0)+Inputs!$F$251/100*IF(AND(Tax!V13&gt;=0,Tax!V13&lt;Inputs!$F$85),INDEX(Inputs!$J$83:$AU$83,Tax!V13+1),0)))</f>
        <v>0</v>
      </c>
      <c r="W14" s="20" t="n">
        <f aca="false">Tax!$F$12*((Inputs!$F$250+Inputs!$F$251)/100*IF(Tax!W13=0,Inputs!$F$252/100,0)+(1-Inputs!$F$252/100)*(Inputs!$F$250/100*IF(AND(Tax!W13&gt;=0,Tax!W13&lt;Inputs!$F$84),INDEX(Inputs!$J$82:$AU$82,Tax!W13+1),0)+Inputs!$F$251/100*IF(AND(Tax!W13&gt;=0,Tax!W13&lt;Inputs!$F$85),INDEX(Inputs!$J$83:$AU$83,Tax!W13+1),0)))</f>
        <v>0</v>
      </c>
      <c r="X14" s="20" t="n">
        <f aca="false">Tax!$F$12*((Inputs!$F$250+Inputs!$F$251)/100*IF(Tax!X13=0,Inputs!$F$252/100,0)+(1-Inputs!$F$252/100)*(Inputs!$F$250/100*IF(AND(Tax!X13&gt;=0,Tax!X13&lt;Inputs!$F$84),INDEX(Inputs!$J$82:$AU$82,Tax!X13+1),0)+Inputs!$F$251/100*IF(AND(Tax!X13&gt;=0,Tax!X13&lt;Inputs!$F$85),INDEX(Inputs!$J$83:$AU$83,Tax!X13+1),0)))</f>
        <v>0</v>
      </c>
      <c r="Y14" s="20" t="n">
        <f aca="false">Tax!$F$12*((Inputs!$F$250+Inputs!$F$251)/100*IF(Tax!Y13=0,Inputs!$F$252/100,0)+(1-Inputs!$F$252/100)*(Inputs!$F$250/100*IF(AND(Tax!Y13&gt;=0,Tax!Y13&lt;Inputs!$F$84),INDEX(Inputs!$J$82:$AU$82,Tax!Y13+1),0)+Inputs!$F$251/100*IF(AND(Tax!Y13&gt;=0,Tax!Y13&lt;Inputs!$F$85),INDEX(Inputs!$J$83:$AU$83,Tax!Y13+1),0)))</f>
        <v>0</v>
      </c>
      <c r="Z14" s="20" t="n">
        <f aca="false">Tax!$F$12*((Inputs!$F$250+Inputs!$F$251)/100*IF(Tax!Z13=0,Inputs!$F$252/100,0)+(1-Inputs!$F$252/100)*(Inputs!$F$250/100*IF(AND(Tax!Z13&gt;=0,Tax!Z13&lt;Inputs!$F$84),INDEX(Inputs!$J$82:$AU$82,Tax!Z13+1),0)+Inputs!$F$251/100*IF(AND(Tax!Z13&gt;=0,Tax!Z13&lt;Inputs!$F$85),INDEX(Inputs!$J$83:$AU$83,Tax!Z13+1),0)))</f>
        <v>0</v>
      </c>
      <c r="AA14" s="20" t="n">
        <f aca="false">Tax!$F$12*((Inputs!$F$250+Inputs!$F$251)/100*IF(Tax!AA13=0,Inputs!$F$252/100,0)+(1-Inputs!$F$252/100)*(Inputs!$F$250/100*IF(AND(Tax!AA13&gt;=0,Tax!AA13&lt;Inputs!$F$84),INDEX(Inputs!$J$82:$AU$82,Tax!AA13+1),0)+Inputs!$F$251/100*IF(AND(Tax!AA13&gt;=0,Tax!AA13&lt;Inputs!$F$85),INDEX(Inputs!$J$83:$AU$83,Tax!AA13+1),0)))</f>
        <v>0</v>
      </c>
      <c r="AB14" s="20" t="n">
        <f aca="false">Tax!$F$12*((Inputs!$F$250+Inputs!$F$251)/100*IF(Tax!AB13=0,Inputs!$F$252/100,0)+(1-Inputs!$F$252/100)*(Inputs!$F$250/100*IF(AND(Tax!AB13&gt;=0,Tax!AB13&lt;Inputs!$F$84),INDEX(Inputs!$J$82:$AU$82,Tax!AB13+1),0)+Inputs!$F$251/100*IF(AND(Tax!AB13&gt;=0,Tax!AB13&lt;Inputs!$F$85),INDEX(Inputs!$J$83:$AU$83,Tax!AB13+1),0)))</f>
        <v>0</v>
      </c>
      <c r="AC14" s="20" t="n">
        <f aca="false">Tax!$F$12*((Inputs!$F$250+Inputs!$F$251)/100*IF(Tax!AC13=0,Inputs!$F$252/100,0)+(1-Inputs!$F$252/100)*(Inputs!$F$250/100*IF(AND(Tax!AC13&gt;=0,Tax!AC13&lt;Inputs!$F$84),INDEX(Inputs!$J$82:$AU$82,Tax!AC13+1),0)+Inputs!$F$251/100*IF(AND(Tax!AC13&gt;=0,Tax!AC13&lt;Inputs!$F$85),INDEX(Inputs!$J$83:$AU$83,Tax!AC13+1),0)))</f>
        <v>0</v>
      </c>
      <c r="AD14" s="20" t="n">
        <f aca="false">Tax!$F$12*((Inputs!$F$250+Inputs!$F$251)/100*IF(Tax!AD13=0,Inputs!$F$252/100,0)+(1-Inputs!$F$252/100)*(Inputs!$F$250/100*IF(AND(Tax!AD13&gt;=0,Tax!AD13&lt;Inputs!$F$84),INDEX(Inputs!$J$82:$AU$82,Tax!AD13+1),0)+Inputs!$F$251/100*IF(AND(Tax!AD13&gt;=0,Tax!AD13&lt;Inputs!$F$85),INDEX(Inputs!$J$83:$AU$83,Tax!AD13+1),0)))</f>
        <v>0</v>
      </c>
      <c r="AE14" s="20" t="n">
        <f aca="false">Tax!$F$12*((Inputs!$F$250+Inputs!$F$251)/100*IF(Tax!AE13=0,Inputs!$F$252/100,0)+(1-Inputs!$F$252/100)*(Inputs!$F$250/100*IF(AND(Tax!AE13&gt;=0,Tax!AE13&lt;Inputs!$F$84),INDEX(Inputs!$J$82:$AU$82,Tax!AE13+1),0)+Inputs!$F$251/100*IF(AND(Tax!AE13&gt;=0,Tax!AE13&lt;Inputs!$F$85),INDEX(Inputs!$J$83:$AU$83,Tax!AE13+1),0)))</f>
        <v>0</v>
      </c>
      <c r="AF14" s="20" t="n">
        <f aca="false">Tax!$F$12*((Inputs!$F$250+Inputs!$F$251)/100*IF(Tax!AF13=0,Inputs!$F$252/100,0)+(1-Inputs!$F$252/100)*(Inputs!$F$250/100*IF(AND(Tax!AF13&gt;=0,Tax!AF13&lt;Inputs!$F$84),INDEX(Inputs!$J$82:$AU$82,Tax!AF13+1),0)+Inputs!$F$251/100*IF(AND(Tax!AF13&gt;=0,Tax!AF13&lt;Inputs!$F$85),INDEX(Inputs!$J$83:$AU$83,Tax!AF13+1),0)))</f>
        <v>0</v>
      </c>
      <c r="AG14" s="20" t="n">
        <f aca="false">Tax!$F$12*((Inputs!$F$250+Inputs!$F$251)/100*IF(Tax!AG13=0,Inputs!$F$252/100,0)+(1-Inputs!$F$252/100)*(Inputs!$F$250/100*IF(AND(Tax!AG13&gt;=0,Tax!AG13&lt;Inputs!$F$84),INDEX(Inputs!$J$82:$AU$82,Tax!AG13+1),0)+Inputs!$F$251/100*IF(AND(Tax!AG13&gt;=0,Tax!AG13&lt;Inputs!$F$85),INDEX(Inputs!$J$83:$AU$83,Tax!AG13+1),0)))</f>
        <v>0</v>
      </c>
      <c r="AH14" s="20" t="n">
        <f aca="false">Tax!$F$12*((Inputs!$F$250+Inputs!$F$251)/100*IF(Tax!AH13=0,Inputs!$F$252/100,0)+(1-Inputs!$F$252/100)*(Inputs!$F$250/100*IF(AND(Tax!AH13&gt;=0,Tax!AH13&lt;Inputs!$F$84),INDEX(Inputs!$J$82:$AU$82,Tax!AH13+1),0)+Inputs!$F$251/100*IF(AND(Tax!AH13&gt;=0,Tax!AH13&lt;Inputs!$F$85),INDEX(Inputs!$J$83:$AU$83,Tax!AH13+1),0)))</f>
        <v>0</v>
      </c>
      <c r="AI14" s="20" t="n">
        <f aca="false">Tax!$F$12*((Inputs!$F$250+Inputs!$F$251)/100*IF(Tax!AI13=0,Inputs!$F$252/100,0)+(1-Inputs!$F$252/100)*(Inputs!$F$250/100*IF(AND(Tax!AI13&gt;=0,Tax!AI13&lt;Inputs!$F$84),INDEX(Inputs!$J$82:$AU$82,Tax!AI13+1),0)+Inputs!$F$251/100*IF(AND(Tax!AI13&gt;=0,Tax!AI13&lt;Inputs!$F$85),INDEX(Inputs!$J$83:$AU$83,Tax!AI13+1),0)))</f>
        <v>0</v>
      </c>
      <c r="AJ14" s="20" t="n">
        <f aca="false">Tax!$F$12*((Inputs!$F$250+Inputs!$F$251)/100*IF(Tax!AJ13=0,Inputs!$F$252/100,0)+(1-Inputs!$F$252/100)*(Inputs!$F$250/100*IF(AND(Tax!AJ13&gt;=0,Tax!AJ13&lt;Inputs!$F$84),INDEX(Inputs!$J$82:$AU$82,Tax!AJ13+1),0)+Inputs!$F$251/100*IF(AND(Tax!AJ13&gt;=0,Tax!AJ13&lt;Inputs!$F$85),INDEX(Inputs!$J$83:$AU$83,Tax!AJ13+1),0)))</f>
        <v>0</v>
      </c>
      <c r="AK14" s="20" t="n">
        <f aca="false">Tax!$F$12*((Inputs!$F$250+Inputs!$F$251)/100*IF(Tax!AK13=0,Inputs!$F$252/100,0)+(1-Inputs!$F$252/100)*(Inputs!$F$250/100*IF(AND(Tax!AK13&gt;=0,Tax!AK13&lt;Inputs!$F$84),INDEX(Inputs!$J$82:$AU$82,Tax!AK13+1),0)+Inputs!$F$251/100*IF(AND(Tax!AK13&gt;=0,Tax!AK13&lt;Inputs!$F$85),INDEX(Inputs!$J$83:$AU$83,Tax!AK13+1),0)))</f>
        <v>0</v>
      </c>
      <c r="AL14" s="20" t="n">
        <f aca="false">Tax!$F$12*((Inputs!$F$250+Inputs!$F$251)/100*IF(Tax!AL13=0,Inputs!$F$252/100,0)+(1-Inputs!$F$252/100)*(Inputs!$F$250/100*IF(AND(Tax!AL13&gt;=0,Tax!AL13&lt;Inputs!$F$84),INDEX(Inputs!$J$82:$AU$82,Tax!AL13+1),0)+Inputs!$F$251/100*IF(AND(Tax!AL13&gt;=0,Tax!AL13&lt;Inputs!$F$85),INDEX(Inputs!$J$83:$AU$83,Tax!AL13+1),0)))</f>
        <v>0</v>
      </c>
      <c r="AM14" s="20" t="n">
        <f aca="false">Tax!$F$12*((Inputs!$F$250+Inputs!$F$251)/100*IF(Tax!AM13=0,Inputs!$F$252/100,0)+(1-Inputs!$F$252/100)*(Inputs!$F$250/100*IF(AND(Tax!AM13&gt;=0,Tax!AM13&lt;Inputs!$F$84),INDEX(Inputs!$J$82:$AU$82,Tax!AM13+1),0)+Inputs!$F$251/100*IF(AND(Tax!AM13&gt;=0,Tax!AM13&lt;Inputs!$F$85),INDEX(Inputs!$J$83:$AU$83,Tax!AM13+1),0)))</f>
        <v>0</v>
      </c>
      <c r="AN14" s="20" t="n">
        <f aca="false">Tax!$F$12*((Inputs!$F$250+Inputs!$F$251)/100*IF(Tax!AN13=0,Inputs!$F$252/100,0)+(1-Inputs!$F$252/100)*(Inputs!$F$250/100*IF(AND(Tax!AN13&gt;=0,Tax!AN13&lt;Inputs!$F$84),INDEX(Inputs!$J$82:$AU$82,Tax!AN13+1),0)+Inputs!$F$251/100*IF(AND(Tax!AN13&gt;=0,Tax!AN13&lt;Inputs!$F$85),INDEX(Inputs!$J$83:$AU$83,Tax!AN13+1),0)))</f>
        <v>0</v>
      </c>
      <c r="AO14" s="20" t="n">
        <f aca="false">Tax!$F$12*((Inputs!$F$250+Inputs!$F$251)/100*IF(Tax!AO13=0,Inputs!$F$252/100,0)+(1-Inputs!$F$252/100)*(Inputs!$F$250/100*IF(AND(Tax!AO13&gt;=0,Tax!AO13&lt;Inputs!$F$84),INDEX(Inputs!$J$82:$AU$82,Tax!AO13+1),0)+Inputs!$F$251/100*IF(AND(Tax!AO13&gt;=0,Tax!AO13&lt;Inputs!$F$85),INDEX(Inputs!$J$83:$AU$83,Tax!AO13+1),0)))</f>
        <v>0</v>
      </c>
      <c r="AP14" s="20" t="n">
        <f aca="false">Tax!$F$12*((Inputs!$F$250+Inputs!$F$251)/100*IF(Tax!AP13=0,Inputs!$F$252/100,0)+(1-Inputs!$F$252/100)*(Inputs!$F$250/100*IF(AND(Tax!AP13&gt;=0,Tax!AP13&lt;Inputs!$F$84),INDEX(Inputs!$J$82:$AU$82,Tax!AP13+1),0)+Inputs!$F$251/100*IF(AND(Tax!AP13&gt;=0,Tax!AP13&lt;Inputs!$F$85),INDEX(Inputs!$J$83:$AU$83,Tax!AP13+1),0)))</f>
        <v>0</v>
      </c>
      <c r="AQ14" s="20" t="n">
        <f aca="false">Tax!$F$12*((Inputs!$F$250+Inputs!$F$251)/100*IF(Tax!AQ13=0,Inputs!$F$252/100,0)+(1-Inputs!$F$252/100)*(Inputs!$F$250/100*IF(AND(Tax!AQ13&gt;=0,Tax!AQ13&lt;Inputs!$F$84),INDEX(Inputs!$J$82:$AU$82,Tax!AQ13+1),0)+Inputs!$F$251/100*IF(AND(Tax!AQ13&gt;=0,Tax!AQ13&lt;Inputs!$F$85),INDEX(Inputs!$J$83:$AU$83,Tax!AQ13+1),0)))</f>
        <v>0</v>
      </c>
      <c r="AR14" s="20" t="n">
        <f aca="false">Tax!$F$12*((Inputs!$F$250+Inputs!$F$251)/100*IF(Tax!AR13=0,Inputs!$F$252/100,0)+(1-Inputs!$F$252/100)*(Inputs!$F$250/100*IF(AND(Tax!AR13&gt;=0,Tax!AR13&lt;Inputs!$F$84),INDEX(Inputs!$J$82:$AU$82,Tax!AR13+1),0)+Inputs!$F$251/100*IF(AND(Tax!AR13&gt;=0,Tax!AR13&lt;Inputs!$F$85),INDEX(Inputs!$J$83:$AU$83,Tax!AR13+1),0)))</f>
        <v>0</v>
      </c>
      <c r="AS14" s="20" t="n">
        <f aca="false">Tax!$F$12*((Inputs!$F$250+Inputs!$F$251)/100*IF(Tax!AS13=0,Inputs!$F$252/100,0)+(1-Inputs!$F$252/100)*(Inputs!$F$250/100*IF(AND(Tax!AS13&gt;=0,Tax!AS13&lt;Inputs!$F$84),INDEX(Inputs!$J$82:$AU$82,Tax!AS13+1),0)+Inputs!$F$251/100*IF(AND(Tax!AS13&gt;=0,Tax!AS13&lt;Inputs!$F$85),INDEX(Inputs!$J$83:$AU$83,Tax!AS13+1),0)))</f>
        <v>0</v>
      </c>
      <c r="AT14" s="20" t="n">
        <f aca="false">Tax!$F$12*((Inputs!$F$250+Inputs!$F$251)/100*IF(Tax!AT13=0,Inputs!$F$252/100,0)+(1-Inputs!$F$252/100)*(Inputs!$F$250/100*IF(AND(Tax!AT13&gt;=0,Tax!AT13&lt;Inputs!$F$84),INDEX(Inputs!$J$82:$AU$82,Tax!AT13+1),0)+Inputs!$F$251/100*IF(AND(Tax!AT13&gt;=0,Tax!AT13&lt;Inputs!$F$85),INDEX(Inputs!$J$83:$AU$83,Tax!AT13+1),0)))</f>
        <v>0</v>
      </c>
      <c r="AU14" s="20" t="n">
        <f aca="false">Tax!$F$12*((Inputs!$F$250+Inputs!$F$251)/100*IF(Tax!AU13=0,Inputs!$F$252/100,0)+(1-Inputs!$F$252/100)*(Inputs!$F$250/100*IF(AND(Tax!AU13&gt;=0,Tax!AU13&lt;Inputs!$F$84),INDEX(Inputs!$J$82:$AU$82,Tax!AU13+1),0)+Inputs!$F$251/100*IF(AND(Tax!AU13&gt;=0,Tax!AU13&lt;Inputs!$F$85),INDEX(Inputs!$J$83:$AU$83,Tax!AU13+1),0)))</f>
        <v>0</v>
      </c>
    </row>
    <row r="15" customFormat="false" ht="15" hidden="false" customHeight="false" outlineLevel="0" collapsed="false">
      <c r="D15" s="0" t="s">
        <v>879</v>
      </c>
      <c r="E15" s="0" t="s">
        <v>47</v>
      </c>
      <c r="F15" s="20" t="n">
        <f aca="false">Inputs!$F$267</f>
        <v>63.7</v>
      </c>
    </row>
    <row r="16" customFormat="false" ht="15" hidden="false" customHeight="false" outlineLevel="0" collapsed="false">
      <c r="D16" s="0" t="s">
        <v>880</v>
      </c>
      <c r="E16" s="0" t="s">
        <v>51</v>
      </c>
      <c r="J16" s="12" t="n">
        <f aca="false">Time!J$4-YEAR(Inputs!$F$266)</f>
        <v>-1</v>
      </c>
      <c r="K16" s="12" t="n">
        <f aca="false">Time!K$4-YEAR(Inputs!$F$266)</f>
        <v>0</v>
      </c>
      <c r="L16" s="12" t="n">
        <f aca="false">Time!L$4-YEAR(Inputs!$F$266)</f>
        <v>1</v>
      </c>
      <c r="M16" s="12" t="n">
        <f aca="false">Time!M$4-YEAR(Inputs!$F$266)</f>
        <v>2</v>
      </c>
      <c r="N16" s="12" t="n">
        <f aca="false">Time!N$4-YEAR(Inputs!$F$266)</f>
        <v>3</v>
      </c>
      <c r="O16" s="12" t="n">
        <f aca="false">Time!O$4-YEAR(Inputs!$F$266)</f>
        <v>4</v>
      </c>
      <c r="P16" s="12" t="n">
        <f aca="false">Time!P$4-YEAR(Inputs!$F$266)</f>
        <v>5</v>
      </c>
      <c r="Q16" s="12" t="n">
        <f aca="false">Time!Q$4-YEAR(Inputs!$F$266)</f>
        <v>6</v>
      </c>
      <c r="R16" s="12" t="n">
        <f aca="false">Time!R$4-YEAR(Inputs!$F$266)</f>
        <v>7</v>
      </c>
      <c r="S16" s="12" t="n">
        <f aca="false">Time!S$4-YEAR(Inputs!$F$266)</f>
        <v>8</v>
      </c>
      <c r="T16" s="12" t="n">
        <f aca="false">Time!T$4-YEAR(Inputs!$F$266)</f>
        <v>9</v>
      </c>
      <c r="U16" s="12" t="n">
        <f aca="false">Time!U$4-YEAR(Inputs!$F$266)</f>
        <v>10</v>
      </c>
      <c r="V16" s="12" t="n">
        <f aca="false">Time!V$4-YEAR(Inputs!$F$266)</f>
        <v>11</v>
      </c>
      <c r="W16" s="12" t="n">
        <f aca="false">Time!W$4-YEAR(Inputs!$F$266)</f>
        <v>12</v>
      </c>
      <c r="X16" s="12" t="n">
        <f aca="false">Time!X$4-YEAR(Inputs!$F$266)</f>
        <v>13</v>
      </c>
      <c r="Y16" s="12" t="n">
        <f aca="false">Time!Y$4-YEAR(Inputs!$F$266)</f>
        <v>14</v>
      </c>
      <c r="Z16" s="12" t="n">
        <f aca="false">Time!Z$4-YEAR(Inputs!$F$266)</f>
        <v>15</v>
      </c>
      <c r="AA16" s="12" t="n">
        <f aca="false">Time!AA$4-YEAR(Inputs!$F$266)</f>
        <v>16</v>
      </c>
      <c r="AB16" s="12" t="n">
        <f aca="false">Time!AB$4-YEAR(Inputs!$F$266)</f>
        <v>17</v>
      </c>
      <c r="AC16" s="12" t="n">
        <f aca="false">Time!AC$4-YEAR(Inputs!$F$266)</f>
        <v>18</v>
      </c>
      <c r="AD16" s="12" t="n">
        <f aca="false">Time!AD$4-YEAR(Inputs!$F$266)</f>
        <v>19</v>
      </c>
      <c r="AE16" s="12" t="n">
        <f aca="false">Time!AE$4-YEAR(Inputs!$F$266)</f>
        <v>20</v>
      </c>
      <c r="AF16" s="12" t="n">
        <f aca="false">Time!AF$4-YEAR(Inputs!$F$266)</f>
        <v>21</v>
      </c>
      <c r="AG16" s="12" t="n">
        <f aca="false">Time!AG$4-YEAR(Inputs!$F$266)</f>
        <v>22</v>
      </c>
      <c r="AH16" s="12" t="n">
        <f aca="false">Time!AH$4-YEAR(Inputs!$F$266)</f>
        <v>23</v>
      </c>
      <c r="AI16" s="12" t="n">
        <f aca="false">Time!AI$4-YEAR(Inputs!$F$266)</f>
        <v>24</v>
      </c>
      <c r="AJ16" s="12" t="n">
        <f aca="false">Time!AJ$4-YEAR(Inputs!$F$266)</f>
        <v>25</v>
      </c>
      <c r="AK16" s="12" t="n">
        <f aca="false">Time!AK$4-YEAR(Inputs!$F$266)</f>
        <v>26</v>
      </c>
      <c r="AL16" s="12" t="n">
        <f aca="false">Time!AL$4-YEAR(Inputs!$F$266)</f>
        <v>27</v>
      </c>
      <c r="AM16" s="12" t="n">
        <f aca="false">Time!AM$4-YEAR(Inputs!$F$266)</f>
        <v>28</v>
      </c>
      <c r="AN16" s="12" t="n">
        <f aca="false">Time!AN$4-YEAR(Inputs!$F$266)</f>
        <v>29</v>
      </c>
      <c r="AO16" s="12" t="n">
        <f aca="false">Time!AO$4-YEAR(Inputs!$F$266)</f>
        <v>30</v>
      </c>
      <c r="AP16" s="12" t="n">
        <f aca="false">Time!AP$4-YEAR(Inputs!$F$266)</f>
        <v>31</v>
      </c>
      <c r="AQ16" s="12" t="n">
        <f aca="false">Time!AQ$4-YEAR(Inputs!$F$266)</f>
        <v>32</v>
      </c>
      <c r="AR16" s="12" t="n">
        <f aca="false">Time!AR$4-YEAR(Inputs!$F$266)</f>
        <v>33</v>
      </c>
      <c r="AS16" s="12" t="n">
        <f aca="false">Time!AS$4-YEAR(Inputs!$F$266)</f>
        <v>34</v>
      </c>
      <c r="AT16" s="12" t="n">
        <f aca="false">Time!AT$4-YEAR(Inputs!$F$266)</f>
        <v>35</v>
      </c>
      <c r="AU16" s="12" t="n">
        <f aca="false">Time!AU$4-YEAR(Inputs!$F$266)</f>
        <v>36</v>
      </c>
    </row>
    <row r="17" customFormat="false" ht="15" hidden="false" customHeight="false" outlineLevel="0" collapsed="false">
      <c r="D17" s="0" t="s">
        <v>881</v>
      </c>
      <c r="E17" s="0" t="s">
        <v>47</v>
      </c>
      <c r="G17" s="20" t="n">
        <f aca="false">SUM(J17:AU17)</f>
        <v>60.515</v>
      </c>
      <c r="J17" s="20" t="n">
        <f aca="false">Tax!$F$15*((Inputs!$F$250+Inputs!$F$251)/100*IF(Tax!J16=0,Inputs!$F$253/100,0)+(1-Inputs!$F$253/100)*(Inputs!$F$250/100*IF(AND(Tax!J16&gt;=0,Tax!J16&lt;Inputs!$F$84),INDEX(Inputs!$J$82:$AU$82,Tax!J16+1),0)+Inputs!$F$251/100*IF(AND(Tax!J16&gt;=0,Tax!J16&lt;Inputs!$F$85),INDEX(Inputs!$J$83:$AU$83,Tax!J16+1),0)))</f>
        <v>0</v>
      </c>
      <c r="K17" s="20" t="n">
        <f aca="false">Tax!$F$15*((Inputs!$F$250+Inputs!$F$251)/100*IF(Tax!K16=0,Inputs!$F$253/100,0)+(1-Inputs!$F$253/100)*(Inputs!$F$250/100*IF(AND(Tax!K16&gt;=0,Tax!K16&lt;Inputs!$F$84),INDEX(Inputs!$J$82:$AU$82,Tax!K16+1),0)+Inputs!$F$251/100*IF(AND(Tax!K16&gt;=0,Tax!K16&lt;Inputs!$F$85),INDEX(Inputs!$J$83:$AU$83,Tax!K16+1),0)))</f>
        <v>50.6415</v>
      </c>
      <c r="L17" s="20" t="n">
        <f aca="false">Tax!$F$15*((Inputs!$F$250+Inputs!$F$251)/100*IF(Tax!L16=0,Inputs!$F$253/100,0)+(1-Inputs!$F$253/100)*(Inputs!$F$250/100*IF(AND(Tax!L16&gt;=0,Tax!L16&lt;Inputs!$F$84),INDEX(Inputs!$J$82:$AU$82,Tax!L16+1),0)+Inputs!$F$251/100*IF(AND(Tax!L16&gt;=0,Tax!L16&lt;Inputs!$F$85),INDEX(Inputs!$J$83:$AU$83,Tax!L16+1),0)))</f>
        <v>3.58631</v>
      </c>
      <c r="M17" s="20" t="n">
        <f aca="false">Tax!$F$15*((Inputs!$F$250+Inputs!$F$251)/100*IF(Tax!M16=0,Inputs!$F$253/100,0)+(1-Inputs!$F$253/100)*(Inputs!$F$250/100*IF(AND(Tax!M16&gt;=0,Tax!M16&lt;Inputs!$F$84),INDEX(Inputs!$J$82:$AU$82,Tax!M16+1),0)+Inputs!$F$251/100*IF(AND(Tax!M16&gt;=0,Tax!M16&lt;Inputs!$F$85),INDEX(Inputs!$J$83:$AU$83,Tax!M16+1),0)))</f>
        <v>2.188095</v>
      </c>
      <c r="N17" s="20" t="n">
        <f aca="false">Tax!$F$15*((Inputs!$F$250+Inputs!$F$251)/100*IF(Tax!N16=0,Inputs!$F$253/100,0)+(1-Inputs!$F$253/100)*(Inputs!$F$250/100*IF(AND(Tax!N16&gt;=0,Tax!N16&lt;Inputs!$F$84),INDEX(Inputs!$J$82:$AU$82,Tax!N16+1),0)+Inputs!$F$251/100*IF(AND(Tax!N16&gt;=0,Tax!N16&lt;Inputs!$F$85),INDEX(Inputs!$J$83:$AU$83,Tax!N16+1),0)))</f>
        <v>1.3455988</v>
      </c>
      <c r="O17" s="20" t="n">
        <f aca="false">Tax!$F$15*((Inputs!$F$250+Inputs!$F$251)/100*IF(Tax!O16=0,Inputs!$F$253/100,0)+(1-Inputs!$F$253/100)*(Inputs!$F$250/100*IF(AND(Tax!O16&gt;=0,Tax!O16&lt;Inputs!$F$84),INDEX(Inputs!$J$82:$AU$82,Tax!O16+1),0)+Inputs!$F$251/100*IF(AND(Tax!O16&gt;=0,Tax!O16&lt;Inputs!$F$85),INDEX(Inputs!$J$83:$AU$83,Tax!O16+1),0)))</f>
        <v>1.335789</v>
      </c>
      <c r="P17" s="20" t="n">
        <f aca="false">Tax!$F$15*((Inputs!$F$250+Inputs!$F$251)/100*IF(Tax!P16=0,Inputs!$F$253/100,0)+(1-Inputs!$F$253/100)*(Inputs!$F$250/100*IF(AND(Tax!P16&gt;=0,Tax!P16&lt;Inputs!$F$84),INDEX(Inputs!$J$82:$AU$82,Tax!P16+1),0)+Inputs!$F$251/100*IF(AND(Tax!P16&gt;=0,Tax!P16&lt;Inputs!$F$85),INDEX(Inputs!$J$83:$AU$83,Tax!P16+1),0)))</f>
        <v>0.7031206</v>
      </c>
      <c r="Q17" s="20" t="n">
        <f aca="false">Tax!$F$15*((Inputs!$F$250+Inputs!$F$251)/100*IF(Tax!Q16=0,Inputs!$F$253/100,0)+(1-Inputs!$F$253/100)*(Inputs!$F$250/100*IF(AND(Tax!Q16&gt;=0,Tax!Q16&lt;Inputs!$F$84),INDEX(Inputs!$J$82:$AU$82,Tax!Q16+1),0)+Inputs!$F$251/100*IF(AND(Tax!Q16&gt;=0,Tax!Q16&lt;Inputs!$F$85),INDEX(Inputs!$J$83:$AU$83,Tax!Q16+1),0)))</f>
        <v>0.075166</v>
      </c>
      <c r="R17" s="20" t="n">
        <f aca="false">Tax!$F$15*((Inputs!$F$250+Inputs!$F$251)/100*IF(Tax!R16=0,Inputs!$F$253/100,0)+(1-Inputs!$F$253/100)*(Inputs!$F$250/100*IF(AND(Tax!R16&gt;=0,Tax!R16&lt;Inputs!$F$84),INDEX(Inputs!$J$82:$AU$82,Tax!R16+1),0)+Inputs!$F$251/100*IF(AND(Tax!R16&gt;=0,Tax!R16&lt;Inputs!$F$85),INDEX(Inputs!$J$83:$AU$83,Tax!R16+1),0)))</f>
        <v>0.075166</v>
      </c>
      <c r="S17" s="20" t="n">
        <f aca="false">Tax!$F$15*((Inputs!$F$250+Inputs!$F$251)/100*IF(Tax!S16=0,Inputs!$F$253/100,0)+(1-Inputs!$F$253/100)*(Inputs!$F$250/100*IF(AND(Tax!S16&gt;=0,Tax!S16&lt;Inputs!$F$84),INDEX(Inputs!$J$82:$AU$82,Tax!S16+1),0)+Inputs!$F$251/100*IF(AND(Tax!S16&gt;=0,Tax!S16&lt;Inputs!$F$85),INDEX(Inputs!$J$83:$AU$83,Tax!S16+1),0)))</f>
        <v>0.0752934</v>
      </c>
      <c r="T17" s="20" t="n">
        <f aca="false">Tax!$F$15*((Inputs!$F$250+Inputs!$F$251)/100*IF(Tax!T16=0,Inputs!$F$253/100,0)+(1-Inputs!$F$253/100)*(Inputs!$F$250/100*IF(AND(Tax!T16&gt;=0,Tax!T16&lt;Inputs!$F$84),INDEX(Inputs!$J$82:$AU$82,Tax!T16+1),0)+Inputs!$F$251/100*IF(AND(Tax!T16&gt;=0,Tax!T16&lt;Inputs!$F$85),INDEX(Inputs!$J$83:$AU$83,Tax!T16+1),0)))</f>
        <v>0.075166</v>
      </c>
      <c r="U17" s="20" t="n">
        <f aca="false">Tax!$F$15*((Inputs!$F$250+Inputs!$F$251)/100*IF(Tax!U16=0,Inputs!$F$253/100,0)+(1-Inputs!$F$253/100)*(Inputs!$F$250/100*IF(AND(Tax!U16&gt;=0,Tax!U16&lt;Inputs!$F$84),INDEX(Inputs!$J$82:$AU$82,Tax!U16+1),0)+Inputs!$F$251/100*IF(AND(Tax!U16&gt;=0,Tax!U16&lt;Inputs!$F$85),INDEX(Inputs!$J$83:$AU$83,Tax!U16+1),0)))</f>
        <v>0.0752934</v>
      </c>
      <c r="V17" s="20" t="n">
        <f aca="false">Tax!$F$15*((Inputs!$F$250+Inputs!$F$251)/100*IF(Tax!V16=0,Inputs!$F$253/100,0)+(1-Inputs!$F$253/100)*(Inputs!$F$250/100*IF(AND(Tax!V16&gt;=0,Tax!V16&lt;Inputs!$F$84),INDEX(Inputs!$J$82:$AU$82,Tax!V16+1),0)+Inputs!$F$251/100*IF(AND(Tax!V16&gt;=0,Tax!V16&lt;Inputs!$F$85),INDEX(Inputs!$J$83:$AU$83,Tax!V16+1),0)))</f>
        <v>0.075166</v>
      </c>
      <c r="W17" s="20" t="n">
        <f aca="false">Tax!$F$15*((Inputs!$F$250+Inputs!$F$251)/100*IF(Tax!W16=0,Inputs!$F$253/100,0)+(1-Inputs!$F$253/100)*(Inputs!$F$250/100*IF(AND(Tax!W16&gt;=0,Tax!W16&lt;Inputs!$F$84),INDEX(Inputs!$J$82:$AU$82,Tax!W16+1),0)+Inputs!$F$251/100*IF(AND(Tax!W16&gt;=0,Tax!W16&lt;Inputs!$F$85),INDEX(Inputs!$J$83:$AU$83,Tax!W16+1),0)))</f>
        <v>0.0752934</v>
      </c>
      <c r="X17" s="20" t="n">
        <f aca="false">Tax!$F$15*((Inputs!$F$250+Inputs!$F$251)/100*IF(Tax!X16=0,Inputs!$F$253/100,0)+(1-Inputs!$F$253/100)*(Inputs!$F$250/100*IF(AND(Tax!X16&gt;=0,Tax!X16&lt;Inputs!$F$84),INDEX(Inputs!$J$82:$AU$82,Tax!X16+1),0)+Inputs!$F$251/100*IF(AND(Tax!X16&gt;=0,Tax!X16&lt;Inputs!$F$85),INDEX(Inputs!$J$83:$AU$83,Tax!X16+1),0)))</f>
        <v>0.075166</v>
      </c>
      <c r="Y17" s="20" t="n">
        <f aca="false">Tax!$F$15*((Inputs!$F$250+Inputs!$F$251)/100*IF(Tax!Y16=0,Inputs!$F$253/100,0)+(1-Inputs!$F$253/100)*(Inputs!$F$250/100*IF(AND(Tax!Y16&gt;=0,Tax!Y16&lt;Inputs!$F$84),INDEX(Inputs!$J$82:$AU$82,Tax!Y16+1),0)+Inputs!$F$251/100*IF(AND(Tax!Y16&gt;=0,Tax!Y16&lt;Inputs!$F$85),INDEX(Inputs!$J$83:$AU$83,Tax!Y16+1),0)))</f>
        <v>0.0752934</v>
      </c>
      <c r="Z17" s="20" t="n">
        <f aca="false">Tax!$F$15*((Inputs!$F$250+Inputs!$F$251)/100*IF(Tax!Z16=0,Inputs!$F$253/100,0)+(1-Inputs!$F$253/100)*(Inputs!$F$250/100*IF(AND(Tax!Z16&gt;=0,Tax!Z16&lt;Inputs!$F$84),INDEX(Inputs!$J$82:$AU$82,Tax!Z16+1),0)+Inputs!$F$251/100*IF(AND(Tax!Z16&gt;=0,Tax!Z16&lt;Inputs!$F$85),INDEX(Inputs!$J$83:$AU$83,Tax!Z16+1),0)))</f>
        <v>0.037583</v>
      </c>
      <c r="AA17" s="20" t="n">
        <f aca="false">Tax!$F$15*((Inputs!$F$250+Inputs!$F$251)/100*IF(Tax!AA16=0,Inputs!$F$253/100,0)+(1-Inputs!$F$253/100)*(Inputs!$F$250/100*IF(AND(Tax!AA16&gt;=0,Tax!AA16&lt;Inputs!$F$84),INDEX(Inputs!$J$82:$AU$82,Tax!AA16+1),0)+Inputs!$F$251/100*IF(AND(Tax!AA16&gt;=0,Tax!AA16&lt;Inputs!$F$85),INDEX(Inputs!$J$83:$AU$83,Tax!AA16+1),0)))</f>
        <v>0</v>
      </c>
      <c r="AB17" s="20" t="n">
        <f aca="false">Tax!$F$15*((Inputs!$F$250+Inputs!$F$251)/100*IF(Tax!AB16=0,Inputs!$F$253/100,0)+(1-Inputs!$F$253/100)*(Inputs!$F$250/100*IF(AND(Tax!AB16&gt;=0,Tax!AB16&lt;Inputs!$F$84),INDEX(Inputs!$J$82:$AU$82,Tax!AB16+1),0)+Inputs!$F$251/100*IF(AND(Tax!AB16&gt;=0,Tax!AB16&lt;Inputs!$F$85),INDEX(Inputs!$J$83:$AU$83,Tax!AB16+1),0)))</f>
        <v>0</v>
      </c>
      <c r="AC17" s="20" t="n">
        <f aca="false">Tax!$F$15*((Inputs!$F$250+Inputs!$F$251)/100*IF(Tax!AC16=0,Inputs!$F$253/100,0)+(1-Inputs!$F$253/100)*(Inputs!$F$250/100*IF(AND(Tax!AC16&gt;=0,Tax!AC16&lt;Inputs!$F$84),INDEX(Inputs!$J$82:$AU$82,Tax!AC16+1),0)+Inputs!$F$251/100*IF(AND(Tax!AC16&gt;=0,Tax!AC16&lt;Inputs!$F$85),INDEX(Inputs!$J$83:$AU$83,Tax!AC16+1),0)))</f>
        <v>0</v>
      </c>
      <c r="AD17" s="20" t="n">
        <f aca="false">Tax!$F$15*((Inputs!$F$250+Inputs!$F$251)/100*IF(Tax!AD16=0,Inputs!$F$253/100,0)+(1-Inputs!$F$253/100)*(Inputs!$F$250/100*IF(AND(Tax!AD16&gt;=0,Tax!AD16&lt;Inputs!$F$84),INDEX(Inputs!$J$82:$AU$82,Tax!AD16+1),0)+Inputs!$F$251/100*IF(AND(Tax!AD16&gt;=0,Tax!AD16&lt;Inputs!$F$85),INDEX(Inputs!$J$83:$AU$83,Tax!AD16+1),0)))</f>
        <v>0</v>
      </c>
      <c r="AE17" s="20" t="n">
        <f aca="false">Tax!$F$15*((Inputs!$F$250+Inputs!$F$251)/100*IF(Tax!AE16=0,Inputs!$F$253/100,0)+(1-Inputs!$F$253/100)*(Inputs!$F$250/100*IF(AND(Tax!AE16&gt;=0,Tax!AE16&lt;Inputs!$F$84),INDEX(Inputs!$J$82:$AU$82,Tax!AE16+1),0)+Inputs!$F$251/100*IF(AND(Tax!AE16&gt;=0,Tax!AE16&lt;Inputs!$F$85),INDEX(Inputs!$J$83:$AU$83,Tax!AE16+1),0)))</f>
        <v>0</v>
      </c>
      <c r="AF17" s="20" t="n">
        <f aca="false">Tax!$F$15*((Inputs!$F$250+Inputs!$F$251)/100*IF(Tax!AF16=0,Inputs!$F$253/100,0)+(1-Inputs!$F$253/100)*(Inputs!$F$250/100*IF(AND(Tax!AF16&gt;=0,Tax!AF16&lt;Inputs!$F$84),INDEX(Inputs!$J$82:$AU$82,Tax!AF16+1),0)+Inputs!$F$251/100*IF(AND(Tax!AF16&gt;=0,Tax!AF16&lt;Inputs!$F$85),INDEX(Inputs!$J$83:$AU$83,Tax!AF16+1),0)))</f>
        <v>0</v>
      </c>
      <c r="AG17" s="20" t="n">
        <f aca="false">Tax!$F$15*((Inputs!$F$250+Inputs!$F$251)/100*IF(Tax!AG16=0,Inputs!$F$253/100,0)+(1-Inputs!$F$253/100)*(Inputs!$F$250/100*IF(AND(Tax!AG16&gt;=0,Tax!AG16&lt;Inputs!$F$84),INDEX(Inputs!$J$82:$AU$82,Tax!AG16+1),0)+Inputs!$F$251/100*IF(AND(Tax!AG16&gt;=0,Tax!AG16&lt;Inputs!$F$85),INDEX(Inputs!$J$83:$AU$83,Tax!AG16+1),0)))</f>
        <v>0</v>
      </c>
      <c r="AH17" s="20" t="n">
        <f aca="false">Tax!$F$15*((Inputs!$F$250+Inputs!$F$251)/100*IF(Tax!AH16=0,Inputs!$F$253/100,0)+(1-Inputs!$F$253/100)*(Inputs!$F$250/100*IF(AND(Tax!AH16&gt;=0,Tax!AH16&lt;Inputs!$F$84),INDEX(Inputs!$J$82:$AU$82,Tax!AH16+1),0)+Inputs!$F$251/100*IF(AND(Tax!AH16&gt;=0,Tax!AH16&lt;Inputs!$F$85),INDEX(Inputs!$J$83:$AU$83,Tax!AH16+1),0)))</f>
        <v>0</v>
      </c>
      <c r="AI17" s="20" t="n">
        <f aca="false">Tax!$F$15*((Inputs!$F$250+Inputs!$F$251)/100*IF(Tax!AI16=0,Inputs!$F$253/100,0)+(1-Inputs!$F$253/100)*(Inputs!$F$250/100*IF(AND(Tax!AI16&gt;=0,Tax!AI16&lt;Inputs!$F$84),INDEX(Inputs!$J$82:$AU$82,Tax!AI16+1),0)+Inputs!$F$251/100*IF(AND(Tax!AI16&gt;=0,Tax!AI16&lt;Inputs!$F$85),INDEX(Inputs!$J$83:$AU$83,Tax!AI16+1),0)))</f>
        <v>0</v>
      </c>
      <c r="AJ17" s="20" t="n">
        <f aca="false">Tax!$F$15*((Inputs!$F$250+Inputs!$F$251)/100*IF(Tax!AJ16=0,Inputs!$F$253/100,0)+(1-Inputs!$F$253/100)*(Inputs!$F$250/100*IF(AND(Tax!AJ16&gt;=0,Tax!AJ16&lt;Inputs!$F$84),INDEX(Inputs!$J$82:$AU$82,Tax!AJ16+1),0)+Inputs!$F$251/100*IF(AND(Tax!AJ16&gt;=0,Tax!AJ16&lt;Inputs!$F$85),INDEX(Inputs!$J$83:$AU$83,Tax!AJ16+1),0)))</f>
        <v>0</v>
      </c>
      <c r="AK17" s="20" t="n">
        <f aca="false">Tax!$F$15*((Inputs!$F$250+Inputs!$F$251)/100*IF(Tax!AK16=0,Inputs!$F$253/100,0)+(1-Inputs!$F$253/100)*(Inputs!$F$250/100*IF(AND(Tax!AK16&gt;=0,Tax!AK16&lt;Inputs!$F$84),INDEX(Inputs!$J$82:$AU$82,Tax!AK16+1),0)+Inputs!$F$251/100*IF(AND(Tax!AK16&gt;=0,Tax!AK16&lt;Inputs!$F$85),INDEX(Inputs!$J$83:$AU$83,Tax!AK16+1),0)))</f>
        <v>0</v>
      </c>
      <c r="AL17" s="20" t="n">
        <f aca="false">Tax!$F$15*((Inputs!$F$250+Inputs!$F$251)/100*IF(Tax!AL16=0,Inputs!$F$253/100,0)+(1-Inputs!$F$253/100)*(Inputs!$F$250/100*IF(AND(Tax!AL16&gt;=0,Tax!AL16&lt;Inputs!$F$84),INDEX(Inputs!$J$82:$AU$82,Tax!AL16+1),0)+Inputs!$F$251/100*IF(AND(Tax!AL16&gt;=0,Tax!AL16&lt;Inputs!$F$85),INDEX(Inputs!$J$83:$AU$83,Tax!AL16+1),0)))</f>
        <v>0</v>
      </c>
      <c r="AM17" s="20" t="n">
        <f aca="false">Tax!$F$15*((Inputs!$F$250+Inputs!$F$251)/100*IF(Tax!AM16=0,Inputs!$F$253/100,0)+(1-Inputs!$F$253/100)*(Inputs!$F$250/100*IF(AND(Tax!AM16&gt;=0,Tax!AM16&lt;Inputs!$F$84),INDEX(Inputs!$J$82:$AU$82,Tax!AM16+1),0)+Inputs!$F$251/100*IF(AND(Tax!AM16&gt;=0,Tax!AM16&lt;Inputs!$F$85),INDEX(Inputs!$J$83:$AU$83,Tax!AM16+1),0)))</f>
        <v>0</v>
      </c>
      <c r="AN17" s="20" t="n">
        <f aca="false">Tax!$F$15*((Inputs!$F$250+Inputs!$F$251)/100*IF(Tax!AN16=0,Inputs!$F$253/100,0)+(1-Inputs!$F$253/100)*(Inputs!$F$250/100*IF(AND(Tax!AN16&gt;=0,Tax!AN16&lt;Inputs!$F$84),INDEX(Inputs!$J$82:$AU$82,Tax!AN16+1),0)+Inputs!$F$251/100*IF(AND(Tax!AN16&gt;=0,Tax!AN16&lt;Inputs!$F$85),INDEX(Inputs!$J$83:$AU$83,Tax!AN16+1),0)))</f>
        <v>0</v>
      </c>
      <c r="AO17" s="20" t="n">
        <f aca="false">Tax!$F$15*((Inputs!$F$250+Inputs!$F$251)/100*IF(Tax!AO16=0,Inputs!$F$253/100,0)+(1-Inputs!$F$253/100)*(Inputs!$F$250/100*IF(AND(Tax!AO16&gt;=0,Tax!AO16&lt;Inputs!$F$84),INDEX(Inputs!$J$82:$AU$82,Tax!AO16+1),0)+Inputs!$F$251/100*IF(AND(Tax!AO16&gt;=0,Tax!AO16&lt;Inputs!$F$85),INDEX(Inputs!$J$83:$AU$83,Tax!AO16+1),0)))</f>
        <v>0</v>
      </c>
      <c r="AP17" s="20" t="n">
        <f aca="false">Tax!$F$15*((Inputs!$F$250+Inputs!$F$251)/100*IF(Tax!AP16=0,Inputs!$F$253/100,0)+(1-Inputs!$F$253/100)*(Inputs!$F$250/100*IF(AND(Tax!AP16&gt;=0,Tax!AP16&lt;Inputs!$F$84),INDEX(Inputs!$J$82:$AU$82,Tax!AP16+1),0)+Inputs!$F$251/100*IF(AND(Tax!AP16&gt;=0,Tax!AP16&lt;Inputs!$F$85),INDEX(Inputs!$J$83:$AU$83,Tax!AP16+1),0)))</f>
        <v>0</v>
      </c>
      <c r="AQ17" s="20" t="n">
        <f aca="false">Tax!$F$15*((Inputs!$F$250+Inputs!$F$251)/100*IF(Tax!AQ16=0,Inputs!$F$253/100,0)+(1-Inputs!$F$253/100)*(Inputs!$F$250/100*IF(AND(Tax!AQ16&gt;=0,Tax!AQ16&lt;Inputs!$F$84),INDEX(Inputs!$J$82:$AU$82,Tax!AQ16+1),0)+Inputs!$F$251/100*IF(AND(Tax!AQ16&gt;=0,Tax!AQ16&lt;Inputs!$F$85),INDEX(Inputs!$J$83:$AU$83,Tax!AQ16+1),0)))</f>
        <v>0</v>
      </c>
      <c r="AR17" s="20" t="n">
        <f aca="false">Tax!$F$15*((Inputs!$F$250+Inputs!$F$251)/100*IF(Tax!AR16=0,Inputs!$F$253/100,0)+(1-Inputs!$F$253/100)*(Inputs!$F$250/100*IF(AND(Tax!AR16&gt;=0,Tax!AR16&lt;Inputs!$F$84),INDEX(Inputs!$J$82:$AU$82,Tax!AR16+1),0)+Inputs!$F$251/100*IF(AND(Tax!AR16&gt;=0,Tax!AR16&lt;Inputs!$F$85),INDEX(Inputs!$J$83:$AU$83,Tax!AR16+1),0)))</f>
        <v>0</v>
      </c>
      <c r="AS17" s="20" t="n">
        <f aca="false">Tax!$F$15*((Inputs!$F$250+Inputs!$F$251)/100*IF(Tax!AS16=0,Inputs!$F$253/100,0)+(1-Inputs!$F$253/100)*(Inputs!$F$250/100*IF(AND(Tax!AS16&gt;=0,Tax!AS16&lt;Inputs!$F$84),INDEX(Inputs!$J$82:$AU$82,Tax!AS16+1),0)+Inputs!$F$251/100*IF(AND(Tax!AS16&gt;=0,Tax!AS16&lt;Inputs!$F$85),INDEX(Inputs!$J$83:$AU$83,Tax!AS16+1),0)))</f>
        <v>0</v>
      </c>
      <c r="AT17" s="20" t="n">
        <f aca="false">Tax!$F$15*((Inputs!$F$250+Inputs!$F$251)/100*IF(Tax!AT16=0,Inputs!$F$253/100,0)+(1-Inputs!$F$253/100)*(Inputs!$F$250/100*IF(AND(Tax!AT16&gt;=0,Tax!AT16&lt;Inputs!$F$84),INDEX(Inputs!$J$82:$AU$82,Tax!AT16+1),0)+Inputs!$F$251/100*IF(AND(Tax!AT16&gt;=0,Tax!AT16&lt;Inputs!$F$85),INDEX(Inputs!$J$83:$AU$83,Tax!AT16+1),0)))</f>
        <v>0</v>
      </c>
      <c r="AU17" s="20" t="n">
        <f aca="false">Tax!$F$15*((Inputs!$F$250+Inputs!$F$251)/100*IF(Tax!AU16=0,Inputs!$F$253/100,0)+(1-Inputs!$F$253/100)*(Inputs!$F$250/100*IF(AND(Tax!AU16&gt;=0,Tax!AU16&lt;Inputs!$F$84),INDEX(Inputs!$J$82:$AU$82,Tax!AU16+1),0)+Inputs!$F$251/100*IF(AND(Tax!AU16&gt;=0,Tax!AU16&lt;Inputs!$F$85),INDEX(Inputs!$J$83:$AU$83,Tax!AU16+1),0)))</f>
        <v>0</v>
      </c>
    </row>
    <row r="18" customFormat="false" ht="15" hidden="false" customHeight="false" outlineLevel="0" collapsed="false">
      <c r="D18" s="0" t="s">
        <v>882</v>
      </c>
      <c r="E18" s="0" t="s">
        <v>47</v>
      </c>
      <c r="F18" s="20" t="n">
        <f aca="false">Inputs!$F$270-Inputs!$F$260*Tax!$F$8</f>
        <v>75.3388</v>
      </c>
    </row>
    <row r="19" customFormat="false" ht="15" hidden="false" customHeight="false" outlineLevel="0" collapsed="false">
      <c r="D19" s="0" t="s">
        <v>883</v>
      </c>
      <c r="E19" s="0" t="s">
        <v>51</v>
      </c>
      <c r="J19" s="12" t="n">
        <f aca="false">Time!J$4-YEAR(Inputs!$F$269)</f>
        <v>-2</v>
      </c>
      <c r="K19" s="12" t="n">
        <f aca="false">Time!K$4-YEAR(Inputs!$F$269)</f>
        <v>-1</v>
      </c>
      <c r="L19" s="12" t="n">
        <f aca="false">Time!L$4-YEAR(Inputs!$F$269)</f>
        <v>0</v>
      </c>
      <c r="M19" s="12" t="n">
        <f aca="false">Time!M$4-YEAR(Inputs!$F$269)</f>
        <v>1</v>
      </c>
      <c r="N19" s="12" t="n">
        <f aca="false">Time!N$4-YEAR(Inputs!$F$269)</f>
        <v>2</v>
      </c>
      <c r="O19" s="12" t="n">
        <f aca="false">Time!O$4-YEAR(Inputs!$F$269)</f>
        <v>3</v>
      </c>
      <c r="P19" s="12" t="n">
        <f aca="false">Time!P$4-YEAR(Inputs!$F$269)</f>
        <v>4</v>
      </c>
      <c r="Q19" s="12" t="n">
        <f aca="false">Time!Q$4-YEAR(Inputs!$F$269)</f>
        <v>5</v>
      </c>
      <c r="R19" s="12" t="n">
        <f aca="false">Time!R$4-YEAR(Inputs!$F$269)</f>
        <v>6</v>
      </c>
      <c r="S19" s="12" t="n">
        <f aca="false">Time!S$4-YEAR(Inputs!$F$269)</f>
        <v>7</v>
      </c>
      <c r="T19" s="12" t="n">
        <f aca="false">Time!T$4-YEAR(Inputs!$F$269)</f>
        <v>8</v>
      </c>
      <c r="U19" s="12" t="n">
        <f aca="false">Time!U$4-YEAR(Inputs!$F$269)</f>
        <v>9</v>
      </c>
      <c r="V19" s="12" t="n">
        <f aca="false">Time!V$4-YEAR(Inputs!$F$269)</f>
        <v>10</v>
      </c>
      <c r="W19" s="12" t="n">
        <f aca="false">Time!W$4-YEAR(Inputs!$F$269)</f>
        <v>11</v>
      </c>
      <c r="X19" s="12" t="n">
        <f aca="false">Time!X$4-YEAR(Inputs!$F$269)</f>
        <v>12</v>
      </c>
      <c r="Y19" s="12" t="n">
        <f aca="false">Time!Y$4-YEAR(Inputs!$F$269)</f>
        <v>13</v>
      </c>
      <c r="Z19" s="12" t="n">
        <f aca="false">Time!Z$4-YEAR(Inputs!$F$269)</f>
        <v>14</v>
      </c>
      <c r="AA19" s="12" t="n">
        <f aca="false">Time!AA$4-YEAR(Inputs!$F$269)</f>
        <v>15</v>
      </c>
      <c r="AB19" s="12" t="n">
        <f aca="false">Time!AB$4-YEAR(Inputs!$F$269)</f>
        <v>16</v>
      </c>
      <c r="AC19" s="12" t="n">
        <f aca="false">Time!AC$4-YEAR(Inputs!$F$269)</f>
        <v>17</v>
      </c>
      <c r="AD19" s="12" t="n">
        <f aca="false">Time!AD$4-YEAR(Inputs!$F$269)</f>
        <v>18</v>
      </c>
      <c r="AE19" s="12" t="n">
        <f aca="false">Time!AE$4-YEAR(Inputs!$F$269)</f>
        <v>19</v>
      </c>
      <c r="AF19" s="12" t="n">
        <f aca="false">Time!AF$4-YEAR(Inputs!$F$269)</f>
        <v>20</v>
      </c>
      <c r="AG19" s="12" t="n">
        <f aca="false">Time!AG$4-YEAR(Inputs!$F$269)</f>
        <v>21</v>
      </c>
      <c r="AH19" s="12" t="n">
        <f aca="false">Time!AH$4-YEAR(Inputs!$F$269)</f>
        <v>22</v>
      </c>
      <c r="AI19" s="12" t="n">
        <f aca="false">Time!AI$4-YEAR(Inputs!$F$269)</f>
        <v>23</v>
      </c>
      <c r="AJ19" s="12" t="n">
        <f aca="false">Time!AJ$4-YEAR(Inputs!$F$269)</f>
        <v>24</v>
      </c>
      <c r="AK19" s="12" t="n">
        <f aca="false">Time!AK$4-YEAR(Inputs!$F$269)</f>
        <v>25</v>
      </c>
      <c r="AL19" s="12" t="n">
        <f aca="false">Time!AL$4-YEAR(Inputs!$F$269)</f>
        <v>26</v>
      </c>
      <c r="AM19" s="12" t="n">
        <f aca="false">Time!AM$4-YEAR(Inputs!$F$269)</f>
        <v>27</v>
      </c>
      <c r="AN19" s="12" t="n">
        <f aca="false">Time!AN$4-YEAR(Inputs!$F$269)</f>
        <v>28</v>
      </c>
      <c r="AO19" s="12" t="n">
        <f aca="false">Time!AO$4-YEAR(Inputs!$F$269)</f>
        <v>29</v>
      </c>
      <c r="AP19" s="12" t="n">
        <f aca="false">Time!AP$4-YEAR(Inputs!$F$269)</f>
        <v>30</v>
      </c>
      <c r="AQ19" s="12" t="n">
        <f aca="false">Time!AQ$4-YEAR(Inputs!$F$269)</f>
        <v>31</v>
      </c>
      <c r="AR19" s="12" t="n">
        <f aca="false">Time!AR$4-YEAR(Inputs!$F$269)</f>
        <v>32</v>
      </c>
      <c r="AS19" s="12" t="n">
        <f aca="false">Time!AS$4-YEAR(Inputs!$F$269)</f>
        <v>33</v>
      </c>
      <c r="AT19" s="12" t="n">
        <f aca="false">Time!AT$4-YEAR(Inputs!$F$269)</f>
        <v>34</v>
      </c>
      <c r="AU19" s="12" t="n">
        <f aca="false">Time!AU$4-YEAR(Inputs!$F$269)</f>
        <v>35</v>
      </c>
    </row>
    <row r="20" customFormat="false" ht="15" hidden="false" customHeight="false" outlineLevel="0" collapsed="false">
      <c r="D20" s="0" t="s">
        <v>884</v>
      </c>
      <c r="E20" s="0" t="s">
        <v>47</v>
      </c>
      <c r="G20" s="20" t="n">
        <f aca="false">SUM(J20:AU20)</f>
        <v>71.57186</v>
      </c>
      <c r="J20" s="20" t="n">
        <f aca="false">Tax!$F$18*((Inputs!$F$250+Inputs!$F$251)/100*IF(Tax!J19=0,Inputs!$F$254/100,0)+(1-Inputs!$F$254/100)*(Inputs!$F$250/100*IF(AND(Tax!J19&gt;=0,Tax!J19&lt;Inputs!$F$84),INDEX(Inputs!$J$82:$AU$82,Tax!J19+1),0)+Inputs!$F$251/100*IF(AND(Tax!J19&gt;=0,Tax!J19&lt;Inputs!$F$85),INDEX(Inputs!$J$83:$AU$83,Tax!J19+1),0)))</f>
        <v>0</v>
      </c>
      <c r="K20" s="20" t="n">
        <f aca="false">Tax!$F$18*((Inputs!$F$250+Inputs!$F$251)/100*IF(Tax!K19=0,Inputs!$F$254/100,0)+(1-Inputs!$F$254/100)*(Inputs!$F$250/100*IF(AND(Tax!K19&gt;=0,Tax!K19&lt;Inputs!$F$84),INDEX(Inputs!$J$82:$AU$82,Tax!K19+1),0)+Inputs!$F$251/100*IF(AND(Tax!K19&gt;=0,Tax!K19&lt;Inputs!$F$85),INDEX(Inputs!$J$83:$AU$83,Tax!K19+1),0)))</f>
        <v>0</v>
      </c>
      <c r="L20" s="20" t="n">
        <f aca="false">Tax!$F$18*((Inputs!$F$250+Inputs!$F$251)/100*IF(Tax!L19=0,Inputs!$F$254/100,0)+(1-Inputs!$F$254/100)*(Inputs!$F$250/100*IF(AND(Tax!L19&gt;=0,Tax!L19&lt;Inputs!$F$84),INDEX(Inputs!$J$82:$AU$82,Tax!L19+1),0)+Inputs!$F$251/100*IF(AND(Tax!L19&gt;=0,Tax!L19&lt;Inputs!$F$85),INDEX(Inputs!$J$83:$AU$83,Tax!L19+1),0)))</f>
        <v>48.216832</v>
      </c>
      <c r="M20" s="20" t="n">
        <f aca="false">Tax!$F$18*((Inputs!$F$250+Inputs!$F$251)/100*IF(Tax!M19=0,Inputs!$F$254/100,0)+(1-Inputs!$F$254/100)*(Inputs!$F$250/100*IF(AND(Tax!M19&gt;=0,Tax!M19&lt;Inputs!$F$84),INDEX(Inputs!$J$82:$AU$82,Tax!M19+1),0)+Inputs!$F$251/100*IF(AND(Tax!M19&gt;=0,Tax!M19&lt;Inputs!$F$85),INDEX(Inputs!$J$83:$AU$83,Tax!M19+1),0)))</f>
        <v>8.48314888</v>
      </c>
      <c r="N20" s="20" t="n">
        <f aca="false">Tax!$F$18*((Inputs!$F$250+Inputs!$F$251)/100*IF(Tax!N19=0,Inputs!$F$254/100,0)+(1-Inputs!$F$254/100)*(Inputs!$F$250/100*IF(AND(Tax!N19&gt;=0,Tax!N19&lt;Inputs!$F$84),INDEX(Inputs!$J$82:$AU$82,Tax!N19+1),0)+Inputs!$F$251/100*IF(AND(Tax!N19&gt;=0,Tax!N19&lt;Inputs!$F$85),INDEX(Inputs!$J$83:$AU$83,Tax!N19+1),0)))</f>
        <v>5.17577556</v>
      </c>
      <c r="O20" s="20" t="n">
        <f aca="false">Tax!$F$18*((Inputs!$F$250+Inputs!$F$251)/100*IF(Tax!O19=0,Inputs!$F$254/100,0)+(1-Inputs!$F$254/100)*(Inputs!$F$250/100*IF(AND(Tax!O19&gt;=0,Tax!O19&lt;Inputs!$F$84),INDEX(Inputs!$J$82:$AU$82,Tax!O19+1),0)+Inputs!$F$251/100*IF(AND(Tax!O19&gt;=0,Tax!O19&lt;Inputs!$F$85),INDEX(Inputs!$J$83:$AU$83,Tax!O19+1),0)))</f>
        <v>3.1829136224</v>
      </c>
      <c r="P20" s="20" t="n">
        <f aca="false">Tax!$F$18*((Inputs!$F$250+Inputs!$F$251)/100*IF(Tax!P19=0,Inputs!$F$254/100,0)+(1-Inputs!$F$254/100)*(Inputs!$F$250/100*IF(AND(Tax!P19&gt;=0,Tax!P19&lt;Inputs!$F$84),INDEX(Inputs!$J$82:$AU$82,Tax!P19+1),0)+Inputs!$F$251/100*IF(AND(Tax!P19&gt;=0,Tax!P19&lt;Inputs!$F$85),INDEX(Inputs!$J$83:$AU$83,Tax!P19+1),0)))</f>
        <v>3.159709272</v>
      </c>
      <c r="Q20" s="20" t="n">
        <f aca="false">Tax!$F$18*((Inputs!$F$250+Inputs!$F$251)/100*IF(Tax!Q19=0,Inputs!$F$254/100,0)+(1-Inputs!$F$254/100)*(Inputs!$F$250/100*IF(AND(Tax!Q19&gt;=0,Tax!Q19&lt;Inputs!$F$84),INDEX(Inputs!$J$82:$AU$82,Tax!Q19+1),0)+Inputs!$F$251/100*IF(AND(Tax!Q19&gt;=0,Tax!Q19&lt;Inputs!$F$85),INDEX(Inputs!$J$83:$AU$83,Tax!Q19+1),0)))</f>
        <v>1.6631793488</v>
      </c>
      <c r="R20" s="20" t="n">
        <f aca="false">Tax!$F$18*((Inputs!$F$250+Inputs!$F$251)/100*IF(Tax!R19=0,Inputs!$F$254/100,0)+(1-Inputs!$F$254/100)*(Inputs!$F$250/100*IF(AND(Tax!R19&gt;=0,Tax!R19&lt;Inputs!$F$84),INDEX(Inputs!$J$82:$AU$82,Tax!R19+1),0)+Inputs!$F$251/100*IF(AND(Tax!R19&gt;=0,Tax!R19&lt;Inputs!$F$85),INDEX(Inputs!$J$83:$AU$83,Tax!R19+1),0)))</f>
        <v>0.177799568</v>
      </c>
      <c r="S20" s="20" t="n">
        <f aca="false">Tax!$F$18*((Inputs!$F$250+Inputs!$F$251)/100*IF(Tax!S19=0,Inputs!$F$254/100,0)+(1-Inputs!$F$254/100)*(Inputs!$F$250/100*IF(AND(Tax!S19&gt;=0,Tax!S19&lt;Inputs!$F$84),INDEX(Inputs!$J$82:$AU$82,Tax!S19+1),0)+Inputs!$F$251/100*IF(AND(Tax!S19&gt;=0,Tax!S19&lt;Inputs!$F$85),INDEX(Inputs!$J$83:$AU$83,Tax!S19+1),0)))</f>
        <v>0.177799568</v>
      </c>
      <c r="T20" s="20" t="n">
        <f aca="false">Tax!$F$18*((Inputs!$F$250+Inputs!$F$251)/100*IF(Tax!T19=0,Inputs!$F$254/100,0)+(1-Inputs!$F$254/100)*(Inputs!$F$250/100*IF(AND(Tax!T19&gt;=0,Tax!T19&lt;Inputs!$F$84),INDEX(Inputs!$J$82:$AU$82,Tax!T19+1),0)+Inputs!$F$251/100*IF(AND(Tax!T19&gt;=0,Tax!T19&lt;Inputs!$F$85),INDEX(Inputs!$J$83:$AU$83,Tax!T19+1),0)))</f>
        <v>0.1781009232</v>
      </c>
      <c r="U20" s="20" t="n">
        <f aca="false">Tax!$F$18*((Inputs!$F$250+Inputs!$F$251)/100*IF(Tax!U19=0,Inputs!$F$254/100,0)+(1-Inputs!$F$254/100)*(Inputs!$F$250/100*IF(AND(Tax!U19&gt;=0,Tax!U19&lt;Inputs!$F$84),INDEX(Inputs!$J$82:$AU$82,Tax!U19+1),0)+Inputs!$F$251/100*IF(AND(Tax!U19&gt;=0,Tax!U19&lt;Inputs!$F$85),INDEX(Inputs!$J$83:$AU$83,Tax!U19+1),0)))</f>
        <v>0.177799568</v>
      </c>
      <c r="V20" s="20" t="n">
        <f aca="false">Tax!$F$18*((Inputs!$F$250+Inputs!$F$251)/100*IF(Tax!V19=0,Inputs!$F$254/100,0)+(1-Inputs!$F$254/100)*(Inputs!$F$250/100*IF(AND(Tax!V19&gt;=0,Tax!V19&lt;Inputs!$F$84),INDEX(Inputs!$J$82:$AU$82,Tax!V19+1),0)+Inputs!$F$251/100*IF(AND(Tax!V19&gt;=0,Tax!V19&lt;Inputs!$F$85),INDEX(Inputs!$J$83:$AU$83,Tax!V19+1),0)))</f>
        <v>0.1781009232</v>
      </c>
      <c r="W20" s="20" t="n">
        <f aca="false">Tax!$F$18*((Inputs!$F$250+Inputs!$F$251)/100*IF(Tax!W19=0,Inputs!$F$254/100,0)+(1-Inputs!$F$254/100)*(Inputs!$F$250/100*IF(AND(Tax!W19&gt;=0,Tax!W19&lt;Inputs!$F$84),INDEX(Inputs!$J$82:$AU$82,Tax!W19+1),0)+Inputs!$F$251/100*IF(AND(Tax!W19&gt;=0,Tax!W19&lt;Inputs!$F$85),INDEX(Inputs!$J$83:$AU$83,Tax!W19+1),0)))</f>
        <v>0.177799568</v>
      </c>
      <c r="X20" s="20" t="n">
        <f aca="false">Tax!$F$18*((Inputs!$F$250+Inputs!$F$251)/100*IF(Tax!X19=0,Inputs!$F$254/100,0)+(1-Inputs!$F$254/100)*(Inputs!$F$250/100*IF(AND(Tax!X19&gt;=0,Tax!X19&lt;Inputs!$F$84),INDEX(Inputs!$J$82:$AU$82,Tax!X19+1),0)+Inputs!$F$251/100*IF(AND(Tax!X19&gt;=0,Tax!X19&lt;Inputs!$F$85),INDEX(Inputs!$J$83:$AU$83,Tax!X19+1),0)))</f>
        <v>0.1781009232</v>
      </c>
      <c r="Y20" s="20" t="n">
        <f aca="false">Tax!$F$18*((Inputs!$F$250+Inputs!$F$251)/100*IF(Tax!Y19=0,Inputs!$F$254/100,0)+(1-Inputs!$F$254/100)*(Inputs!$F$250/100*IF(AND(Tax!Y19&gt;=0,Tax!Y19&lt;Inputs!$F$84),INDEX(Inputs!$J$82:$AU$82,Tax!Y19+1),0)+Inputs!$F$251/100*IF(AND(Tax!Y19&gt;=0,Tax!Y19&lt;Inputs!$F$85),INDEX(Inputs!$J$83:$AU$83,Tax!Y19+1),0)))</f>
        <v>0.177799568</v>
      </c>
      <c r="Z20" s="20" t="n">
        <f aca="false">Tax!$F$18*((Inputs!$F$250+Inputs!$F$251)/100*IF(Tax!Z19=0,Inputs!$F$254/100,0)+(1-Inputs!$F$254/100)*(Inputs!$F$250/100*IF(AND(Tax!Z19&gt;=0,Tax!Z19&lt;Inputs!$F$84),INDEX(Inputs!$J$82:$AU$82,Tax!Z19+1),0)+Inputs!$F$251/100*IF(AND(Tax!Z19&gt;=0,Tax!Z19&lt;Inputs!$F$85),INDEX(Inputs!$J$83:$AU$83,Tax!Z19+1),0)))</f>
        <v>0.1781009232</v>
      </c>
      <c r="AA20" s="20" t="n">
        <f aca="false">Tax!$F$18*((Inputs!$F$250+Inputs!$F$251)/100*IF(Tax!AA19=0,Inputs!$F$254/100,0)+(1-Inputs!$F$254/100)*(Inputs!$F$250/100*IF(AND(Tax!AA19&gt;=0,Tax!AA19&lt;Inputs!$F$84),INDEX(Inputs!$J$82:$AU$82,Tax!AA19+1),0)+Inputs!$F$251/100*IF(AND(Tax!AA19&gt;=0,Tax!AA19&lt;Inputs!$F$85),INDEX(Inputs!$J$83:$AU$83,Tax!AA19+1),0)))</f>
        <v>0.088899784</v>
      </c>
      <c r="AB20" s="20" t="n">
        <f aca="false">Tax!$F$18*((Inputs!$F$250+Inputs!$F$251)/100*IF(Tax!AB19=0,Inputs!$F$254/100,0)+(1-Inputs!$F$254/100)*(Inputs!$F$250/100*IF(AND(Tax!AB19&gt;=0,Tax!AB19&lt;Inputs!$F$84),INDEX(Inputs!$J$82:$AU$82,Tax!AB19+1),0)+Inputs!$F$251/100*IF(AND(Tax!AB19&gt;=0,Tax!AB19&lt;Inputs!$F$85),INDEX(Inputs!$J$83:$AU$83,Tax!AB19+1),0)))</f>
        <v>0</v>
      </c>
      <c r="AC20" s="20" t="n">
        <f aca="false">Tax!$F$18*((Inputs!$F$250+Inputs!$F$251)/100*IF(Tax!AC19=0,Inputs!$F$254/100,0)+(1-Inputs!$F$254/100)*(Inputs!$F$250/100*IF(AND(Tax!AC19&gt;=0,Tax!AC19&lt;Inputs!$F$84),INDEX(Inputs!$J$82:$AU$82,Tax!AC19+1),0)+Inputs!$F$251/100*IF(AND(Tax!AC19&gt;=0,Tax!AC19&lt;Inputs!$F$85),INDEX(Inputs!$J$83:$AU$83,Tax!AC19+1),0)))</f>
        <v>0</v>
      </c>
      <c r="AD20" s="20" t="n">
        <f aca="false">Tax!$F$18*((Inputs!$F$250+Inputs!$F$251)/100*IF(Tax!AD19=0,Inputs!$F$254/100,0)+(1-Inputs!$F$254/100)*(Inputs!$F$250/100*IF(AND(Tax!AD19&gt;=0,Tax!AD19&lt;Inputs!$F$84),INDEX(Inputs!$J$82:$AU$82,Tax!AD19+1),0)+Inputs!$F$251/100*IF(AND(Tax!AD19&gt;=0,Tax!AD19&lt;Inputs!$F$85),INDEX(Inputs!$J$83:$AU$83,Tax!AD19+1),0)))</f>
        <v>0</v>
      </c>
      <c r="AE20" s="20" t="n">
        <f aca="false">Tax!$F$18*((Inputs!$F$250+Inputs!$F$251)/100*IF(Tax!AE19=0,Inputs!$F$254/100,0)+(1-Inputs!$F$254/100)*(Inputs!$F$250/100*IF(AND(Tax!AE19&gt;=0,Tax!AE19&lt;Inputs!$F$84),INDEX(Inputs!$J$82:$AU$82,Tax!AE19+1),0)+Inputs!$F$251/100*IF(AND(Tax!AE19&gt;=0,Tax!AE19&lt;Inputs!$F$85),INDEX(Inputs!$J$83:$AU$83,Tax!AE19+1),0)))</f>
        <v>0</v>
      </c>
      <c r="AF20" s="20" t="n">
        <f aca="false">Tax!$F$18*((Inputs!$F$250+Inputs!$F$251)/100*IF(Tax!AF19=0,Inputs!$F$254/100,0)+(1-Inputs!$F$254/100)*(Inputs!$F$250/100*IF(AND(Tax!AF19&gt;=0,Tax!AF19&lt;Inputs!$F$84),INDEX(Inputs!$J$82:$AU$82,Tax!AF19+1),0)+Inputs!$F$251/100*IF(AND(Tax!AF19&gt;=0,Tax!AF19&lt;Inputs!$F$85),INDEX(Inputs!$J$83:$AU$83,Tax!AF19+1),0)))</f>
        <v>0</v>
      </c>
      <c r="AG20" s="20" t="n">
        <f aca="false">Tax!$F$18*((Inputs!$F$250+Inputs!$F$251)/100*IF(Tax!AG19=0,Inputs!$F$254/100,0)+(1-Inputs!$F$254/100)*(Inputs!$F$250/100*IF(AND(Tax!AG19&gt;=0,Tax!AG19&lt;Inputs!$F$84),INDEX(Inputs!$J$82:$AU$82,Tax!AG19+1),0)+Inputs!$F$251/100*IF(AND(Tax!AG19&gt;=0,Tax!AG19&lt;Inputs!$F$85),INDEX(Inputs!$J$83:$AU$83,Tax!AG19+1),0)))</f>
        <v>0</v>
      </c>
      <c r="AH20" s="20" t="n">
        <f aca="false">Tax!$F$18*((Inputs!$F$250+Inputs!$F$251)/100*IF(Tax!AH19=0,Inputs!$F$254/100,0)+(1-Inputs!$F$254/100)*(Inputs!$F$250/100*IF(AND(Tax!AH19&gt;=0,Tax!AH19&lt;Inputs!$F$84),INDEX(Inputs!$J$82:$AU$82,Tax!AH19+1),0)+Inputs!$F$251/100*IF(AND(Tax!AH19&gt;=0,Tax!AH19&lt;Inputs!$F$85),INDEX(Inputs!$J$83:$AU$83,Tax!AH19+1),0)))</f>
        <v>0</v>
      </c>
      <c r="AI20" s="20" t="n">
        <f aca="false">Tax!$F$18*((Inputs!$F$250+Inputs!$F$251)/100*IF(Tax!AI19=0,Inputs!$F$254/100,0)+(1-Inputs!$F$254/100)*(Inputs!$F$250/100*IF(AND(Tax!AI19&gt;=0,Tax!AI19&lt;Inputs!$F$84),INDEX(Inputs!$J$82:$AU$82,Tax!AI19+1),0)+Inputs!$F$251/100*IF(AND(Tax!AI19&gt;=0,Tax!AI19&lt;Inputs!$F$85),INDEX(Inputs!$J$83:$AU$83,Tax!AI19+1),0)))</f>
        <v>0</v>
      </c>
      <c r="AJ20" s="20" t="n">
        <f aca="false">Tax!$F$18*((Inputs!$F$250+Inputs!$F$251)/100*IF(Tax!AJ19=0,Inputs!$F$254/100,0)+(1-Inputs!$F$254/100)*(Inputs!$F$250/100*IF(AND(Tax!AJ19&gt;=0,Tax!AJ19&lt;Inputs!$F$84),INDEX(Inputs!$J$82:$AU$82,Tax!AJ19+1),0)+Inputs!$F$251/100*IF(AND(Tax!AJ19&gt;=0,Tax!AJ19&lt;Inputs!$F$85),INDEX(Inputs!$J$83:$AU$83,Tax!AJ19+1),0)))</f>
        <v>0</v>
      </c>
      <c r="AK20" s="20" t="n">
        <f aca="false">Tax!$F$18*((Inputs!$F$250+Inputs!$F$251)/100*IF(Tax!AK19=0,Inputs!$F$254/100,0)+(1-Inputs!$F$254/100)*(Inputs!$F$250/100*IF(AND(Tax!AK19&gt;=0,Tax!AK19&lt;Inputs!$F$84),INDEX(Inputs!$J$82:$AU$82,Tax!AK19+1),0)+Inputs!$F$251/100*IF(AND(Tax!AK19&gt;=0,Tax!AK19&lt;Inputs!$F$85),INDEX(Inputs!$J$83:$AU$83,Tax!AK19+1),0)))</f>
        <v>0</v>
      </c>
      <c r="AL20" s="20" t="n">
        <f aca="false">Tax!$F$18*((Inputs!$F$250+Inputs!$F$251)/100*IF(Tax!AL19=0,Inputs!$F$254/100,0)+(1-Inputs!$F$254/100)*(Inputs!$F$250/100*IF(AND(Tax!AL19&gt;=0,Tax!AL19&lt;Inputs!$F$84),INDEX(Inputs!$J$82:$AU$82,Tax!AL19+1),0)+Inputs!$F$251/100*IF(AND(Tax!AL19&gt;=0,Tax!AL19&lt;Inputs!$F$85),INDEX(Inputs!$J$83:$AU$83,Tax!AL19+1),0)))</f>
        <v>0</v>
      </c>
      <c r="AM20" s="20" t="n">
        <f aca="false">Tax!$F$18*((Inputs!$F$250+Inputs!$F$251)/100*IF(Tax!AM19=0,Inputs!$F$254/100,0)+(1-Inputs!$F$254/100)*(Inputs!$F$250/100*IF(AND(Tax!AM19&gt;=0,Tax!AM19&lt;Inputs!$F$84),INDEX(Inputs!$J$82:$AU$82,Tax!AM19+1),0)+Inputs!$F$251/100*IF(AND(Tax!AM19&gt;=0,Tax!AM19&lt;Inputs!$F$85),INDEX(Inputs!$J$83:$AU$83,Tax!AM19+1),0)))</f>
        <v>0</v>
      </c>
      <c r="AN20" s="20" t="n">
        <f aca="false">Tax!$F$18*((Inputs!$F$250+Inputs!$F$251)/100*IF(Tax!AN19=0,Inputs!$F$254/100,0)+(1-Inputs!$F$254/100)*(Inputs!$F$250/100*IF(AND(Tax!AN19&gt;=0,Tax!AN19&lt;Inputs!$F$84),INDEX(Inputs!$J$82:$AU$82,Tax!AN19+1),0)+Inputs!$F$251/100*IF(AND(Tax!AN19&gt;=0,Tax!AN19&lt;Inputs!$F$85),INDEX(Inputs!$J$83:$AU$83,Tax!AN19+1),0)))</f>
        <v>0</v>
      </c>
      <c r="AO20" s="20" t="n">
        <f aca="false">Tax!$F$18*((Inputs!$F$250+Inputs!$F$251)/100*IF(Tax!AO19=0,Inputs!$F$254/100,0)+(1-Inputs!$F$254/100)*(Inputs!$F$250/100*IF(AND(Tax!AO19&gt;=0,Tax!AO19&lt;Inputs!$F$84),INDEX(Inputs!$J$82:$AU$82,Tax!AO19+1),0)+Inputs!$F$251/100*IF(AND(Tax!AO19&gt;=0,Tax!AO19&lt;Inputs!$F$85),INDEX(Inputs!$J$83:$AU$83,Tax!AO19+1),0)))</f>
        <v>0</v>
      </c>
      <c r="AP20" s="20" t="n">
        <f aca="false">Tax!$F$18*((Inputs!$F$250+Inputs!$F$251)/100*IF(Tax!AP19=0,Inputs!$F$254/100,0)+(1-Inputs!$F$254/100)*(Inputs!$F$250/100*IF(AND(Tax!AP19&gt;=0,Tax!AP19&lt;Inputs!$F$84),INDEX(Inputs!$J$82:$AU$82,Tax!AP19+1),0)+Inputs!$F$251/100*IF(AND(Tax!AP19&gt;=0,Tax!AP19&lt;Inputs!$F$85),INDEX(Inputs!$J$83:$AU$83,Tax!AP19+1),0)))</f>
        <v>0</v>
      </c>
      <c r="AQ20" s="20" t="n">
        <f aca="false">Tax!$F$18*((Inputs!$F$250+Inputs!$F$251)/100*IF(Tax!AQ19=0,Inputs!$F$254/100,0)+(1-Inputs!$F$254/100)*(Inputs!$F$250/100*IF(AND(Tax!AQ19&gt;=0,Tax!AQ19&lt;Inputs!$F$84),INDEX(Inputs!$J$82:$AU$82,Tax!AQ19+1),0)+Inputs!$F$251/100*IF(AND(Tax!AQ19&gt;=0,Tax!AQ19&lt;Inputs!$F$85),INDEX(Inputs!$J$83:$AU$83,Tax!AQ19+1),0)))</f>
        <v>0</v>
      </c>
      <c r="AR20" s="20" t="n">
        <f aca="false">Tax!$F$18*((Inputs!$F$250+Inputs!$F$251)/100*IF(Tax!AR19=0,Inputs!$F$254/100,0)+(1-Inputs!$F$254/100)*(Inputs!$F$250/100*IF(AND(Tax!AR19&gt;=0,Tax!AR19&lt;Inputs!$F$84),INDEX(Inputs!$J$82:$AU$82,Tax!AR19+1),0)+Inputs!$F$251/100*IF(AND(Tax!AR19&gt;=0,Tax!AR19&lt;Inputs!$F$85),INDEX(Inputs!$J$83:$AU$83,Tax!AR19+1),0)))</f>
        <v>0</v>
      </c>
      <c r="AS20" s="20" t="n">
        <f aca="false">Tax!$F$18*((Inputs!$F$250+Inputs!$F$251)/100*IF(Tax!AS19=0,Inputs!$F$254/100,0)+(1-Inputs!$F$254/100)*(Inputs!$F$250/100*IF(AND(Tax!AS19&gt;=0,Tax!AS19&lt;Inputs!$F$84),INDEX(Inputs!$J$82:$AU$82,Tax!AS19+1),0)+Inputs!$F$251/100*IF(AND(Tax!AS19&gt;=0,Tax!AS19&lt;Inputs!$F$85),INDEX(Inputs!$J$83:$AU$83,Tax!AS19+1),0)))</f>
        <v>0</v>
      </c>
      <c r="AT20" s="20" t="n">
        <f aca="false">Tax!$F$18*((Inputs!$F$250+Inputs!$F$251)/100*IF(Tax!AT19=0,Inputs!$F$254/100,0)+(1-Inputs!$F$254/100)*(Inputs!$F$250/100*IF(AND(Tax!AT19&gt;=0,Tax!AT19&lt;Inputs!$F$84),INDEX(Inputs!$J$82:$AU$82,Tax!AT19+1),0)+Inputs!$F$251/100*IF(AND(Tax!AT19&gt;=0,Tax!AT19&lt;Inputs!$F$85),INDEX(Inputs!$J$83:$AU$83,Tax!AT19+1),0)))</f>
        <v>0</v>
      </c>
      <c r="AU20" s="20" t="n">
        <f aca="false">Tax!$F$18*((Inputs!$F$250+Inputs!$F$251)/100*IF(Tax!AU19=0,Inputs!$F$254/100,0)+(1-Inputs!$F$254/100)*(Inputs!$F$250/100*IF(AND(Tax!AU19&gt;=0,Tax!AU19&lt;Inputs!$F$84),INDEX(Inputs!$J$82:$AU$82,Tax!AU19+1),0)+Inputs!$F$251/100*IF(AND(Tax!AU19&gt;=0,Tax!AU19&lt;Inputs!$F$85),INDEX(Inputs!$J$83:$AU$83,Tax!AU19+1),0)))</f>
        <v>0</v>
      </c>
    </row>
    <row r="21" customFormat="false" ht="15" hidden="false" customHeight="false" outlineLevel="0" collapsed="false">
      <c r="D21" s="0" t="s">
        <v>885</v>
      </c>
      <c r="E21" s="0" t="s">
        <v>47</v>
      </c>
      <c r="F21" s="20" t="n">
        <f aca="false">Inputs!$F$271-Inputs!$F$260*Tax!$F$9</f>
        <v>87.5321</v>
      </c>
    </row>
    <row r="22" customFormat="false" ht="15" hidden="false" customHeight="false" outlineLevel="0" collapsed="false">
      <c r="D22" s="0" t="s">
        <v>886</v>
      </c>
      <c r="E22" s="0" t="s">
        <v>51</v>
      </c>
      <c r="J22" s="12" t="n">
        <f aca="false">Time!J$4-YEAR(Inputs!$F$269)</f>
        <v>-2</v>
      </c>
      <c r="K22" s="12" t="n">
        <f aca="false">Time!K$4-YEAR(Inputs!$F$269)</f>
        <v>-1</v>
      </c>
      <c r="L22" s="12" t="n">
        <f aca="false">Time!L$4-YEAR(Inputs!$F$269)</f>
        <v>0</v>
      </c>
      <c r="M22" s="12" t="n">
        <f aca="false">Time!M$4-YEAR(Inputs!$F$269)</f>
        <v>1</v>
      </c>
      <c r="N22" s="12" t="n">
        <f aca="false">Time!N$4-YEAR(Inputs!$F$269)</f>
        <v>2</v>
      </c>
      <c r="O22" s="12" t="n">
        <f aca="false">Time!O$4-YEAR(Inputs!$F$269)</f>
        <v>3</v>
      </c>
      <c r="P22" s="12" t="n">
        <f aca="false">Time!P$4-YEAR(Inputs!$F$269)</f>
        <v>4</v>
      </c>
      <c r="Q22" s="12" t="n">
        <f aca="false">Time!Q$4-YEAR(Inputs!$F$269)</f>
        <v>5</v>
      </c>
      <c r="R22" s="12" t="n">
        <f aca="false">Time!R$4-YEAR(Inputs!$F$269)</f>
        <v>6</v>
      </c>
      <c r="S22" s="12" t="n">
        <f aca="false">Time!S$4-YEAR(Inputs!$F$269)</f>
        <v>7</v>
      </c>
      <c r="T22" s="12" t="n">
        <f aca="false">Time!T$4-YEAR(Inputs!$F$269)</f>
        <v>8</v>
      </c>
      <c r="U22" s="12" t="n">
        <f aca="false">Time!U$4-YEAR(Inputs!$F$269)</f>
        <v>9</v>
      </c>
      <c r="V22" s="12" t="n">
        <f aca="false">Time!V$4-YEAR(Inputs!$F$269)</f>
        <v>10</v>
      </c>
      <c r="W22" s="12" t="n">
        <f aca="false">Time!W$4-YEAR(Inputs!$F$269)</f>
        <v>11</v>
      </c>
      <c r="X22" s="12" t="n">
        <f aca="false">Time!X$4-YEAR(Inputs!$F$269)</f>
        <v>12</v>
      </c>
      <c r="Y22" s="12" t="n">
        <f aca="false">Time!Y$4-YEAR(Inputs!$F$269)</f>
        <v>13</v>
      </c>
      <c r="Z22" s="12" t="n">
        <f aca="false">Time!Z$4-YEAR(Inputs!$F$269)</f>
        <v>14</v>
      </c>
      <c r="AA22" s="12" t="n">
        <f aca="false">Time!AA$4-YEAR(Inputs!$F$269)</f>
        <v>15</v>
      </c>
      <c r="AB22" s="12" t="n">
        <f aca="false">Time!AB$4-YEAR(Inputs!$F$269)</f>
        <v>16</v>
      </c>
      <c r="AC22" s="12" t="n">
        <f aca="false">Time!AC$4-YEAR(Inputs!$F$269)</f>
        <v>17</v>
      </c>
      <c r="AD22" s="12" t="n">
        <f aca="false">Time!AD$4-YEAR(Inputs!$F$269)</f>
        <v>18</v>
      </c>
      <c r="AE22" s="12" t="n">
        <f aca="false">Time!AE$4-YEAR(Inputs!$F$269)</f>
        <v>19</v>
      </c>
      <c r="AF22" s="12" t="n">
        <f aca="false">Time!AF$4-YEAR(Inputs!$F$269)</f>
        <v>20</v>
      </c>
      <c r="AG22" s="12" t="n">
        <f aca="false">Time!AG$4-YEAR(Inputs!$F$269)</f>
        <v>21</v>
      </c>
      <c r="AH22" s="12" t="n">
        <f aca="false">Time!AH$4-YEAR(Inputs!$F$269)</f>
        <v>22</v>
      </c>
      <c r="AI22" s="12" t="n">
        <f aca="false">Time!AI$4-YEAR(Inputs!$F$269)</f>
        <v>23</v>
      </c>
      <c r="AJ22" s="12" t="n">
        <f aca="false">Time!AJ$4-YEAR(Inputs!$F$269)</f>
        <v>24</v>
      </c>
      <c r="AK22" s="12" t="n">
        <f aca="false">Time!AK$4-YEAR(Inputs!$F$269)</f>
        <v>25</v>
      </c>
      <c r="AL22" s="12" t="n">
        <f aca="false">Time!AL$4-YEAR(Inputs!$F$269)</f>
        <v>26</v>
      </c>
      <c r="AM22" s="12" t="n">
        <f aca="false">Time!AM$4-YEAR(Inputs!$F$269)</f>
        <v>27</v>
      </c>
      <c r="AN22" s="12" t="n">
        <f aca="false">Time!AN$4-YEAR(Inputs!$F$269)</f>
        <v>28</v>
      </c>
      <c r="AO22" s="12" t="n">
        <f aca="false">Time!AO$4-YEAR(Inputs!$F$269)</f>
        <v>29</v>
      </c>
      <c r="AP22" s="12" t="n">
        <f aca="false">Time!AP$4-YEAR(Inputs!$F$269)</f>
        <v>30</v>
      </c>
      <c r="AQ22" s="12" t="n">
        <f aca="false">Time!AQ$4-YEAR(Inputs!$F$269)</f>
        <v>31</v>
      </c>
      <c r="AR22" s="12" t="n">
        <f aca="false">Time!AR$4-YEAR(Inputs!$F$269)</f>
        <v>32</v>
      </c>
      <c r="AS22" s="12" t="n">
        <f aca="false">Time!AS$4-YEAR(Inputs!$F$269)</f>
        <v>33</v>
      </c>
      <c r="AT22" s="12" t="n">
        <f aca="false">Time!AT$4-YEAR(Inputs!$F$269)</f>
        <v>34</v>
      </c>
      <c r="AU22" s="12" t="n">
        <f aca="false">Time!AU$4-YEAR(Inputs!$F$269)</f>
        <v>35</v>
      </c>
    </row>
    <row r="23" customFormat="false" ht="15" hidden="false" customHeight="false" outlineLevel="0" collapsed="false">
      <c r="D23" s="0" t="s">
        <v>887</v>
      </c>
      <c r="E23" s="0" t="s">
        <v>47</v>
      </c>
      <c r="G23" s="20" t="n">
        <f aca="false">SUM(J23:AU23)</f>
        <v>83.155495</v>
      </c>
      <c r="J23" s="20" t="n">
        <f aca="false">Tax!$F$21*((Inputs!$F$250+Inputs!$F$251)/100*IF(Tax!J22=0,Inputs!$F$254/100,0)+(1-Inputs!$F$254/100)*(Inputs!$F$250/100*IF(AND(Tax!J22&gt;=0,Tax!J22&lt;Inputs!$F$84),INDEX(Inputs!$J$82:$AU$82,Tax!J22+1),0)+Inputs!$F$251/100*IF(AND(Tax!J22&gt;=0,Tax!J22&lt;Inputs!$F$85),INDEX(Inputs!$J$83:$AU$83,Tax!J22+1),0)))</f>
        <v>0</v>
      </c>
      <c r="K23" s="20" t="n">
        <f aca="false">Tax!$F$21*((Inputs!$F$250+Inputs!$F$251)/100*IF(Tax!K22=0,Inputs!$F$254/100,0)+(1-Inputs!$F$254/100)*(Inputs!$F$250/100*IF(AND(Tax!K22&gt;=0,Tax!K22&lt;Inputs!$F$84),INDEX(Inputs!$J$82:$AU$82,Tax!K22+1),0)+Inputs!$F$251/100*IF(AND(Tax!K22&gt;=0,Tax!K22&lt;Inputs!$F$85),INDEX(Inputs!$J$83:$AU$83,Tax!K22+1),0)))</f>
        <v>0</v>
      </c>
      <c r="L23" s="20" t="n">
        <f aca="false">Tax!$F$21*((Inputs!$F$250+Inputs!$F$251)/100*IF(Tax!L22=0,Inputs!$F$254/100,0)+(1-Inputs!$F$254/100)*(Inputs!$F$250/100*IF(AND(Tax!L22&gt;=0,Tax!L22&lt;Inputs!$F$84),INDEX(Inputs!$J$82:$AU$82,Tax!L22+1),0)+Inputs!$F$251/100*IF(AND(Tax!L22&gt;=0,Tax!L22&lt;Inputs!$F$85),INDEX(Inputs!$J$83:$AU$83,Tax!L22+1),0)))</f>
        <v>56.020544</v>
      </c>
      <c r="M23" s="20" t="n">
        <f aca="false">Tax!$F$21*((Inputs!$F$250+Inputs!$F$251)/100*IF(Tax!M22=0,Inputs!$F$254/100,0)+(1-Inputs!$F$254/100)*(Inputs!$F$250/100*IF(AND(Tax!M22&gt;=0,Tax!M22&lt;Inputs!$F$84),INDEX(Inputs!$J$82:$AU$82,Tax!M22+1),0)+Inputs!$F$251/100*IF(AND(Tax!M22&gt;=0,Tax!M22&lt;Inputs!$F$85),INDEX(Inputs!$J$83:$AU$83,Tax!M22+1),0)))</f>
        <v>9.85611446</v>
      </c>
      <c r="N23" s="20" t="n">
        <f aca="false">Tax!$F$21*((Inputs!$F$250+Inputs!$F$251)/100*IF(Tax!N22=0,Inputs!$F$254/100,0)+(1-Inputs!$F$254/100)*(Inputs!$F$250/100*IF(AND(Tax!N22&gt;=0,Tax!N22&lt;Inputs!$F$84),INDEX(Inputs!$J$82:$AU$82,Tax!N22+1),0)+Inputs!$F$251/100*IF(AND(Tax!N22&gt;=0,Tax!N22&lt;Inputs!$F$85),INDEX(Inputs!$J$83:$AU$83,Tax!N22+1),0)))</f>
        <v>6.01345527</v>
      </c>
      <c r="O23" s="20" t="n">
        <f aca="false">Tax!$F$21*((Inputs!$F$250+Inputs!$F$251)/100*IF(Tax!O22=0,Inputs!$F$254/100,0)+(1-Inputs!$F$254/100)*(Inputs!$F$250/100*IF(AND(Tax!O22&gt;=0,Tax!O22&lt;Inputs!$F$84),INDEX(Inputs!$J$82:$AU$82,Tax!O22+1),0)+Inputs!$F$251/100*IF(AND(Tax!O22&gt;=0,Tax!O22&lt;Inputs!$F$85),INDEX(Inputs!$J$83:$AU$83,Tax!O22+1),0)))</f>
        <v>3.6980561608</v>
      </c>
      <c r="P23" s="20" t="n">
        <f aca="false">Tax!$F$21*((Inputs!$F$250+Inputs!$F$251)/100*IF(Tax!P22=0,Inputs!$F$254/100,0)+(1-Inputs!$F$254/100)*(Inputs!$F$250/100*IF(AND(Tax!P22&gt;=0,Tax!P22&lt;Inputs!$F$84),INDEX(Inputs!$J$82:$AU$82,Tax!P22+1),0)+Inputs!$F$251/100*IF(AND(Tax!P22&gt;=0,Tax!P22&lt;Inputs!$F$85),INDEX(Inputs!$J$83:$AU$83,Tax!P22+1),0)))</f>
        <v>3.671096274</v>
      </c>
      <c r="Q23" s="20" t="n">
        <f aca="false">Tax!$F$21*((Inputs!$F$250+Inputs!$F$251)/100*IF(Tax!Q22=0,Inputs!$F$254/100,0)+(1-Inputs!$F$254/100)*(Inputs!$F$250/100*IF(AND(Tax!Q22&gt;=0,Tax!Q22&lt;Inputs!$F$84),INDEX(Inputs!$J$82:$AU$82,Tax!Q22+1),0)+Inputs!$F$251/100*IF(AND(Tax!Q22&gt;=0,Tax!Q22&lt;Inputs!$F$85),INDEX(Inputs!$J$83:$AU$83,Tax!Q22+1),0)))</f>
        <v>1.9323586396</v>
      </c>
      <c r="R23" s="20" t="n">
        <f aca="false">Tax!$F$21*((Inputs!$F$250+Inputs!$F$251)/100*IF(Tax!R22=0,Inputs!$F$254/100,0)+(1-Inputs!$F$254/100)*(Inputs!$F$250/100*IF(AND(Tax!R22&gt;=0,Tax!R22&lt;Inputs!$F$84),INDEX(Inputs!$J$82:$AU$82,Tax!R22+1),0)+Inputs!$F$251/100*IF(AND(Tax!R22&gt;=0,Tax!R22&lt;Inputs!$F$85),INDEX(Inputs!$J$83:$AU$83,Tax!R22+1),0)))</f>
        <v>0.206575756</v>
      </c>
      <c r="S23" s="20" t="n">
        <f aca="false">Tax!$F$21*((Inputs!$F$250+Inputs!$F$251)/100*IF(Tax!S22=0,Inputs!$F$254/100,0)+(1-Inputs!$F$254/100)*(Inputs!$F$250/100*IF(AND(Tax!S22&gt;=0,Tax!S22&lt;Inputs!$F$84),INDEX(Inputs!$J$82:$AU$82,Tax!S22+1),0)+Inputs!$F$251/100*IF(AND(Tax!S22&gt;=0,Tax!S22&lt;Inputs!$F$85),INDEX(Inputs!$J$83:$AU$83,Tax!S22+1),0)))</f>
        <v>0.206575756</v>
      </c>
      <c r="T23" s="20" t="n">
        <f aca="false">Tax!$F$21*((Inputs!$F$250+Inputs!$F$251)/100*IF(Tax!T22=0,Inputs!$F$254/100,0)+(1-Inputs!$F$254/100)*(Inputs!$F$250/100*IF(AND(Tax!T22&gt;=0,Tax!T22&lt;Inputs!$F$84),INDEX(Inputs!$J$82:$AU$82,Tax!T22+1),0)+Inputs!$F$251/100*IF(AND(Tax!T22&gt;=0,Tax!T22&lt;Inputs!$F$85),INDEX(Inputs!$J$83:$AU$83,Tax!T22+1),0)))</f>
        <v>0.2069258844</v>
      </c>
      <c r="U23" s="20" t="n">
        <f aca="false">Tax!$F$21*((Inputs!$F$250+Inputs!$F$251)/100*IF(Tax!U22=0,Inputs!$F$254/100,0)+(1-Inputs!$F$254/100)*(Inputs!$F$250/100*IF(AND(Tax!U22&gt;=0,Tax!U22&lt;Inputs!$F$84),INDEX(Inputs!$J$82:$AU$82,Tax!U22+1),0)+Inputs!$F$251/100*IF(AND(Tax!U22&gt;=0,Tax!U22&lt;Inputs!$F$85),INDEX(Inputs!$J$83:$AU$83,Tax!U22+1),0)))</f>
        <v>0.206575756</v>
      </c>
      <c r="V23" s="20" t="n">
        <f aca="false">Tax!$F$21*((Inputs!$F$250+Inputs!$F$251)/100*IF(Tax!V22=0,Inputs!$F$254/100,0)+(1-Inputs!$F$254/100)*(Inputs!$F$250/100*IF(AND(Tax!V22&gt;=0,Tax!V22&lt;Inputs!$F$84),INDEX(Inputs!$J$82:$AU$82,Tax!V22+1),0)+Inputs!$F$251/100*IF(AND(Tax!V22&gt;=0,Tax!V22&lt;Inputs!$F$85),INDEX(Inputs!$J$83:$AU$83,Tax!V22+1),0)))</f>
        <v>0.2069258844</v>
      </c>
      <c r="W23" s="20" t="n">
        <f aca="false">Tax!$F$21*((Inputs!$F$250+Inputs!$F$251)/100*IF(Tax!W22=0,Inputs!$F$254/100,0)+(1-Inputs!$F$254/100)*(Inputs!$F$250/100*IF(AND(Tax!W22&gt;=0,Tax!W22&lt;Inputs!$F$84),INDEX(Inputs!$J$82:$AU$82,Tax!W22+1),0)+Inputs!$F$251/100*IF(AND(Tax!W22&gt;=0,Tax!W22&lt;Inputs!$F$85),INDEX(Inputs!$J$83:$AU$83,Tax!W22+1),0)))</f>
        <v>0.206575756</v>
      </c>
      <c r="X23" s="20" t="n">
        <f aca="false">Tax!$F$21*((Inputs!$F$250+Inputs!$F$251)/100*IF(Tax!X22=0,Inputs!$F$254/100,0)+(1-Inputs!$F$254/100)*(Inputs!$F$250/100*IF(AND(Tax!X22&gt;=0,Tax!X22&lt;Inputs!$F$84),INDEX(Inputs!$J$82:$AU$82,Tax!X22+1),0)+Inputs!$F$251/100*IF(AND(Tax!X22&gt;=0,Tax!X22&lt;Inputs!$F$85),INDEX(Inputs!$J$83:$AU$83,Tax!X22+1),0)))</f>
        <v>0.2069258844</v>
      </c>
      <c r="Y23" s="20" t="n">
        <f aca="false">Tax!$F$21*((Inputs!$F$250+Inputs!$F$251)/100*IF(Tax!Y22=0,Inputs!$F$254/100,0)+(1-Inputs!$F$254/100)*(Inputs!$F$250/100*IF(AND(Tax!Y22&gt;=0,Tax!Y22&lt;Inputs!$F$84),INDEX(Inputs!$J$82:$AU$82,Tax!Y22+1),0)+Inputs!$F$251/100*IF(AND(Tax!Y22&gt;=0,Tax!Y22&lt;Inputs!$F$85),INDEX(Inputs!$J$83:$AU$83,Tax!Y22+1),0)))</f>
        <v>0.206575756</v>
      </c>
      <c r="Z23" s="20" t="n">
        <f aca="false">Tax!$F$21*((Inputs!$F$250+Inputs!$F$251)/100*IF(Tax!Z22=0,Inputs!$F$254/100,0)+(1-Inputs!$F$254/100)*(Inputs!$F$250/100*IF(AND(Tax!Z22&gt;=0,Tax!Z22&lt;Inputs!$F$84),INDEX(Inputs!$J$82:$AU$82,Tax!Z22+1),0)+Inputs!$F$251/100*IF(AND(Tax!Z22&gt;=0,Tax!Z22&lt;Inputs!$F$85),INDEX(Inputs!$J$83:$AU$83,Tax!Z22+1),0)))</f>
        <v>0.2069258844</v>
      </c>
      <c r="AA23" s="20" t="n">
        <f aca="false">Tax!$F$21*((Inputs!$F$250+Inputs!$F$251)/100*IF(Tax!AA22=0,Inputs!$F$254/100,0)+(1-Inputs!$F$254/100)*(Inputs!$F$250/100*IF(AND(Tax!AA22&gt;=0,Tax!AA22&lt;Inputs!$F$84),INDEX(Inputs!$J$82:$AU$82,Tax!AA22+1),0)+Inputs!$F$251/100*IF(AND(Tax!AA22&gt;=0,Tax!AA22&lt;Inputs!$F$85),INDEX(Inputs!$J$83:$AU$83,Tax!AA22+1),0)))</f>
        <v>0.103287878</v>
      </c>
      <c r="AB23" s="20" t="n">
        <f aca="false">Tax!$F$21*((Inputs!$F$250+Inputs!$F$251)/100*IF(Tax!AB22=0,Inputs!$F$254/100,0)+(1-Inputs!$F$254/100)*(Inputs!$F$250/100*IF(AND(Tax!AB22&gt;=0,Tax!AB22&lt;Inputs!$F$84),INDEX(Inputs!$J$82:$AU$82,Tax!AB22+1),0)+Inputs!$F$251/100*IF(AND(Tax!AB22&gt;=0,Tax!AB22&lt;Inputs!$F$85),INDEX(Inputs!$J$83:$AU$83,Tax!AB22+1),0)))</f>
        <v>0</v>
      </c>
      <c r="AC23" s="20" t="n">
        <f aca="false">Tax!$F$21*((Inputs!$F$250+Inputs!$F$251)/100*IF(Tax!AC22=0,Inputs!$F$254/100,0)+(1-Inputs!$F$254/100)*(Inputs!$F$250/100*IF(AND(Tax!AC22&gt;=0,Tax!AC22&lt;Inputs!$F$84),INDEX(Inputs!$J$82:$AU$82,Tax!AC22+1),0)+Inputs!$F$251/100*IF(AND(Tax!AC22&gt;=0,Tax!AC22&lt;Inputs!$F$85),INDEX(Inputs!$J$83:$AU$83,Tax!AC22+1),0)))</f>
        <v>0</v>
      </c>
      <c r="AD23" s="20" t="n">
        <f aca="false">Tax!$F$21*((Inputs!$F$250+Inputs!$F$251)/100*IF(Tax!AD22=0,Inputs!$F$254/100,0)+(1-Inputs!$F$254/100)*(Inputs!$F$250/100*IF(AND(Tax!AD22&gt;=0,Tax!AD22&lt;Inputs!$F$84),INDEX(Inputs!$J$82:$AU$82,Tax!AD22+1),0)+Inputs!$F$251/100*IF(AND(Tax!AD22&gt;=0,Tax!AD22&lt;Inputs!$F$85),INDEX(Inputs!$J$83:$AU$83,Tax!AD22+1),0)))</f>
        <v>0</v>
      </c>
      <c r="AE23" s="20" t="n">
        <f aca="false">Tax!$F$21*((Inputs!$F$250+Inputs!$F$251)/100*IF(Tax!AE22=0,Inputs!$F$254/100,0)+(1-Inputs!$F$254/100)*(Inputs!$F$250/100*IF(AND(Tax!AE22&gt;=0,Tax!AE22&lt;Inputs!$F$84),INDEX(Inputs!$J$82:$AU$82,Tax!AE22+1),0)+Inputs!$F$251/100*IF(AND(Tax!AE22&gt;=0,Tax!AE22&lt;Inputs!$F$85),INDEX(Inputs!$J$83:$AU$83,Tax!AE22+1),0)))</f>
        <v>0</v>
      </c>
      <c r="AF23" s="20" t="n">
        <f aca="false">Tax!$F$21*((Inputs!$F$250+Inputs!$F$251)/100*IF(Tax!AF22=0,Inputs!$F$254/100,0)+(1-Inputs!$F$254/100)*(Inputs!$F$250/100*IF(AND(Tax!AF22&gt;=0,Tax!AF22&lt;Inputs!$F$84),INDEX(Inputs!$J$82:$AU$82,Tax!AF22+1),0)+Inputs!$F$251/100*IF(AND(Tax!AF22&gt;=0,Tax!AF22&lt;Inputs!$F$85),INDEX(Inputs!$J$83:$AU$83,Tax!AF22+1),0)))</f>
        <v>0</v>
      </c>
      <c r="AG23" s="20" t="n">
        <f aca="false">Tax!$F$21*((Inputs!$F$250+Inputs!$F$251)/100*IF(Tax!AG22=0,Inputs!$F$254/100,0)+(1-Inputs!$F$254/100)*(Inputs!$F$250/100*IF(AND(Tax!AG22&gt;=0,Tax!AG22&lt;Inputs!$F$84),INDEX(Inputs!$J$82:$AU$82,Tax!AG22+1),0)+Inputs!$F$251/100*IF(AND(Tax!AG22&gt;=0,Tax!AG22&lt;Inputs!$F$85),INDEX(Inputs!$J$83:$AU$83,Tax!AG22+1),0)))</f>
        <v>0</v>
      </c>
      <c r="AH23" s="20" t="n">
        <f aca="false">Tax!$F$21*((Inputs!$F$250+Inputs!$F$251)/100*IF(Tax!AH22=0,Inputs!$F$254/100,0)+(1-Inputs!$F$254/100)*(Inputs!$F$250/100*IF(AND(Tax!AH22&gt;=0,Tax!AH22&lt;Inputs!$F$84),INDEX(Inputs!$J$82:$AU$82,Tax!AH22+1),0)+Inputs!$F$251/100*IF(AND(Tax!AH22&gt;=0,Tax!AH22&lt;Inputs!$F$85),INDEX(Inputs!$J$83:$AU$83,Tax!AH22+1),0)))</f>
        <v>0</v>
      </c>
      <c r="AI23" s="20" t="n">
        <f aca="false">Tax!$F$21*((Inputs!$F$250+Inputs!$F$251)/100*IF(Tax!AI22=0,Inputs!$F$254/100,0)+(1-Inputs!$F$254/100)*(Inputs!$F$250/100*IF(AND(Tax!AI22&gt;=0,Tax!AI22&lt;Inputs!$F$84),INDEX(Inputs!$J$82:$AU$82,Tax!AI22+1),0)+Inputs!$F$251/100*IF(AND(Tax!AI22&gt;=0,Tax!AI22&lt;Inputs!$F$85),INDEX(Inputs!$J$83:$AU$83,Tax!AI22+1),0)))</f>
        <v>0</v>
      </c>
      <c r="AJ23" s="20" t="n">
        <f aca="false">Tax!$F$21*((Inputs!$F$250+Inputs!$F$251)/100*IF(Tax!AJ22=0,Inputs!$F$254/100,0)+(1-Inputs!$F$254/100)*(Inputs!$F$250/100*IF(AND(Tax!AJ22&gt;=0,Tax!AJ22&lt;Inputs!$F$84),INDEX(Inputs!$J$82:$AU$82,Tax!AJ22+1),0)+Inputs!$F$251/100*IF(AND(Tax!AJ22&gt;=0,Tax!AJ22&lt;Inputs!$F$85),INDEX(Inputs!$J$83:$AU$83,Tax!AJ22+1),0)))</f>
        <v>0</v>
      </c>
      <c r="AK23" s="20" t="n">
        <f aca="false">Tax!$F$21*((Inputs!$F$250+Inputs!$F$251)/100*IF(Tax!AK22=0,Inputs!$F$254/100,0)+(1-Inputs!$F$254/100)*(Inputs!$F$250/100*IF(AND(Tax!AK22&gt;=0,Tax!AK22&lt;Inputs!$F$84),INDEX(Inputs!$J$82:$AU$82,Tax!AK22+1),0)+Inputs!$F$251/100*IF(AND(Tax!AK22&gt;=0,Tax!AK22&lt;Inputs!$F$85),INDEX(Inputs!$J$83:$AU$83,Tax!AK22+1),0)))</f>
        <v>0</v>
      </c>
      <c r="AL23" s="20" t="n">
        <f aca="false">Tax!$F$21*((Inputs!$F$250+Inputs!$F$251)/100*IF(Tax!AL22=0,Inputs!$F$254/100,0)+(1-Inputs!$F$254/100)*(Inputs!$F$250/100*IF(AND(Tax!AL22&gt;=0,Tax!AL22&lt;Inputs!$F$84),INDEX(Inputs!$J$82:$AU$82,Tax!AL22+1),0)+Inputs!$F$251/100*IF(AND(Tax!AL22&gt;=0,Tax!AL22&lt;Inputs!$F$85),INDEX(Inputs!$J$83:$AU$83,Tax!AL22+1),0)))</f>
        <v>0</v>
      </c>
      <c r="AM23" s="20" t="n">
        <f aca="false">Tax!$F$21*((Inputs!$F$250+Inputs!$F$251)/100*IF(Tax!AM22=0,Inputs!$F$254/100,0)+(1-Inputs!$F$254/100)*(Inputs!$F$250/100*IF(AND(Tax!AM22&gt;=0,Tax!AM22&lt;Inputs!$F$84),INDEX(Inputs!$J$82:$AU$82,Tax!AM22+1),0)+Inputs!$F$251/100*IF(AND(Tax!AM22&gt;=0,Tax!AM22&lt;Inputs!$F$85),INDEX(Inputs!$J$83:$AU$83,Tax!AM22+1),0)))</f>
        <v>0</v>
      </c>
      <c r="AN23" s="20" t="n">
        <f aca="false">Tax!$F$21*((Inputs!$F$250+Inputs!$F$251)/100*IF(Tax!AN22=0,Inputs!$F$254/100,0)+(1-Inputs!$F$254/100)*(Inputs!$F$250/100*IF(AND(Tax!AN22&gt;=0,Tax!AN22&lt;Inputs!$F$84),INDEX(Inputs!$J$82:$AU$82,Tax!AN22+1),0)+Inputs!$F$251/100*IF(AND(Tax!AN22&gt;=0,Tax!AN22&lt;Inputs!$F$85),INDEX(Inputs!$J$83:$AU$83,Tax!AN22+1),0)))</f>
        <v>0</v>
      </c>
      <c r="AO23" s="20" t="n">
        <f aca="false">Tax!$F$21*((Inputs!$F$250+Inputs!$F$251)/100*IF(Tax!AO22=0,Inputs!$F$254/100,0)+(1-Inputs!$F$254/100)*(Inputs!$F$250/100*IF(AND(Tax!AO22&gt;=0,Tax!AO22&lt;Inputs!$F$84),INDEX(Inputs!$J$82:$AU$82,Tax!AO22+1),0)+Inputs!$F$251/100*IF(AND(Tax!AO22&gt;=0,Tax!AO22&lt;Inputs!$F$85),INDEX(Inputs!$J$83:$AU$83,Tax!AO22+1),0)))</f>
        <v>0</v>
      </c>
      <c r="AP23" s="20" t="n">
        <f aca="false">Tax!$F$21*((Inputs!$F$250+Inputs!$F$251)/100*IF(Tax!AP22=0,Inputs!$F$254/100,0)+(1-Inputs!$F$254/100)*(Inputs!$F$250/100*IF(AND(Tax!AP22&gt;=0,Tax!AP22&lt;Inputs!$F$84),INDEX(Inputs!$J$82:$AU$82,Tax!AP22+1),0)+Inputs!$F$251/100*IF(AND(Tax!AP22&gt;=0,Tax!AP22&lt;Inputs!$F$85),INDEX(Inputs!$J$83:$AU$83,Tax!AP22+1),0)))</f>
        <v>0</v>
      </c>
      <c r="AQ23" s="20" t="n">
        <f aca="false">Tax!$F$21*((Inputs!$F$250+Inputs!$F$251)/100*IF(Tax!AQ22=0,Inputs!$F$254/100,0)+(1-Inputs!$F$254/100)*(Inputs!$F$250/100*IF(AND(Tax!AQ22&gt;=0,Tax!AQ22&lt;Inputs!$F$84),INDEX(Inputs!$J$82:$AU$82,Tax!AQ22+1),0)+Inputs!$F$251/100*IF(AND(Tax!AQ22&gt;=0,Tax!AQ22&lt;Inputs!$F$85),INDEX(Inputs!$J$83:$AU$83,Tax!AQ22+1),0)))</f>
        <v>0</v>
      </c>
      <c r="AR23" s="20" t="n">
        <f aca="false">Tax!$F$21*((Inputs!$F$250+Inputs!$F$251)/100*IF(Tax!AR22=0,Inputs!$F$254/100,0)+(1-Inputs!$F$254/100)*(Inputs!$F$250/100*IF(AND(Tax!AR22&gt;=0,Tax!AR22&lt;Inputs!$F$84),INDEX(Inputs!$J$82:$AU$82,Tax!AR22+1),0)+Inputs!$F$251/100*IF(AND(Tax!AR22&gt;=0,Tax!AR22&lt;Inputs!$F$85),INDEX(Inputs!$J$83:$AU$83,Tax!AR22+1),0)))</f>
        <v>0</v>
      </c>
      <c r="AS23" s="20" t="n">
        <f aca="false">Tax!$F$21*((Inputs!$F$250+Inputs!$F$251)/100*IF(Tax!AS22=0,Inputs!$F$254/100,0)+(1-Inputs!$F$254/100)*(Inputs!$F$250/100*IF(AND(Tax!AS22&gt;=0,Tax!AS22&lt;Inputs!$F$84),INDEX(Inputs!$J$82:$AU$82,Tax!AS22+1),0)+Inputs!$F$251/100*IF(AND(Tax!AS22&gt;=0,Tax!AS22&lt;Inputs!$F$85),INDEX(Inputs!$J$83:$AU$83,Tax!AS22+1),0)))</f>
        <v>0</v>
      </c>
      <c r="AT23" s="20" t="n">
        <f aca="false">Tax!$F$21*((Inputs!$F$250+Inputs!$F$251)/100*IF(Tax!AT22=0,Inputs!$F$254/100,0)+(1-Inputs!$F$254/100)*(Inputs!$F$250/100*IF(AND(Tax!AT22&gt;=0,Tax!AT22&lt;Inputs!$F$84),INDEX(Inputs!$J$82:$AU$82,Tax!AT22+1),0)+Inputs!$F$251/100*IF(AND(Tax!AT22&gt;=0,Tax!AT22&lt;Inputs!$F$85),INDEX(Inputs!$J$83:$AU$83,Tax!AT22+1),0)))</f>
        <v>0</v>
      </c>
      <c r="AU23" s="20" t="n">
        <f aca="false">Tax!$F$21*((Inputs!$F$250+Inputs!$F$251)/100*IF(Tax!AU22=0,Inputs!$F$254/100,0)+(1-Inputs!$F$254/100)*(Inputs!$F$250/100*IF(AND(Tax!AU22&gt;=0,Tax!AU22&lt;Inputs!$F$84),INDEX(Inputs!$J$82:$AU$82,Tax!AU22+1),0)+Inputs!$F$251/100*IF(AND(Tax!AU22&gt;=0,Tax!AU22&lt;Inputs!$F$85),INDEX(Inputs!$J$83:$AU$83,Tax!AU22+1),0)))</f>
        <v>0</v>
      </c>
    </row>
    <row r="24" customFormat="false" ht="15" hidden="false" customHeight="false" outlineLevel="0" collapsed="false">
      <c r="D24" s="0" t="s">
        <v>888</v>
      </c>
      <c r="E24" s="0" t="s">
        <v>47</v>
      </c>
      <c r="G24" s="20" t="n">
        <f aca="false">SUM(J24:AU24)</f>
        <v>639.227355</v>
      </c>
      <c r="J24" s="20" t="n">
        <f aca="false">Tax!J14+Tax!J17+Tax!J20+Tax!J23</f>
        <v>423.985</v>
      </c>
      <c r="K24" s="20" t="n">
        <f aca="false">Tax!K14+Tax!K17+Tax!K20+Tax!K23</f>
        <v>50.6415</v>
      </c>
      <c r="L24" s="20" t="n">
        <f aca="false">Tax!L14+Tax!L17+Tax!L20+Tax!L23</f>
        <v>107.823686</v>
      </c>
      <c r="M24" s="20" t="n">
        <f aca="false">Tax!M14+Tax!M17+Tax!M20+Tax!M23</f>
        <v>20.52735834</v>
      </c>
      <c r="N24" s="20" t="n">
        <f aca="false">Tax!N14+Tax!N17+Tax!N20+Tax!N23</f>
        <v>12.53482963</v>
      </c>
      <c r="O24" s="20" t="n">
        <f aca="false">Tax!O14+Tax!O17+Tax!O20+Tax!O23</f>
        <v>8.2167587832</v>
      </c>
      <c r="P24" s="20" t="n">
        <f aca="false">Tax!P14+Tax!P17+Tax!P20+Tax!P23</f>
        <v>7.533926146</v>
      </c>
      <c r="Q24" s="20" t="n">
        <f aca="false">Tax!Q14+Tax!Q17+Tax!Q20+Tax!Q23</f>
        <v>3.6707039884</v>
      </c>
      <c r="R24" s="20" t="n">
        <f aca="false">Tax!R14+Tax!R17+Tax!R20+Tax!R23</f>
        <v>0.459541324</v>
      </c>
      <c r="S24" s="20" t="n">
        <f aca="false">Tax!S14+Tax!S17+Tax!S20+Tax!S23</f>
        <v>0.459668724</v>
      </c>
      <c r="T24" s="20" t="n">
        <f aca="false">Tax!T14+Tax!T17+Tax!T20+Tax!T23</f>
        <v>0.4601928076</v>
      </c>
      <c r="U24" s="20" t="n">
        <f aca="false">Tax!U14+Tax!U17+Tax!U20+Tax!U23</f>
        <v>0.459668724</v>
      </c>
      <c r="V24" s="20" t="n">
        <f aca="false">Tax!V14+Tax!V17+Tax!V20+Tax!V23</f>
        <v>0.4601928076</v>
      </c>
      <c r="W24" s="20" t="n">
        <f aca="false">Tax!W14+Tax!W17+Tax!W20+Tax!W23</f>
        <v>0.459668724</v>
      </c>
      <c r="X24" s="20" t="n">
        <f aca="false">Tax!X14+Tax!X17+Tax!X20+Tax!X23</f>
        <v>0.4601928076</v>
      </c>
      <c r="Y24" s="20" t="n">
        <f aca="false">Tax!Y14+Tax!Y17+Tax!Y20+Tax!Y23</f>
        <v>0.459668724</v>
      </c>
      <c r="Z24" s="20" t="n">
        <f aca="false">Tax!Z14+Tax!Z17+Tax!Z20+Tax!Z23</f>
        <v>0.4226098076</v>
      </c>
      <c r="AA24" s="20" t="n">
        <f aca="false">Tax!AA14+Tax!AA17+Tax!AA20+Tax!AA23</f>
        <v>0.192187662</v>
      </c>
      <c r="AB24" s="20" t="n">
        <f aca="false">Tax!AB14+Tax!AB17+Tax!AB20+Tax!AB23</f>
        <v>0</v>
      </c>
      <c r="AC24" s="20" t="n">
        <f aca="false">Tax!AC14+Tax!AC17+Tax!AC20+Tax!AC23</f>
        <v>0</v>
      </c>
      <c r="AD24" s="20" t="n">
        <f aca="false">Tax!AD14+Tax!AD17+Tax!AD20+Tax!AD23</f>
        <v>0</v>
      </c>
      <c r="AE24" s="20" t="n">
        <f aca="false">Tax!AE14+Tax!AE17+Tax!AE20+Tax!AE23</f>
        <v>0</v>
      </c>
      <c r="AF24" s="20" t="n">
        <f aca="false">Tax!AF14+Tax!AF17+Tax!AF20+Tax!AF23</f>
        <v>0</v>
      </c>
      <c r="AG24" s="20" t="n">
        <f aca="false">Tax!AG14+Tax!AG17+Tax!AG20+Tax!AG23</f>
        <v>0</v>
      </c>
      <c r="AH24" s="20" t="n">
        <f aca="false">Tax!AH14+Tax!AH17+Tax!AH20+Tax!AH23</f>
        <v>0</v>
      </c>
      <c r="AI24" s="20" t="n">
        <f aca="false">Tax!AI14+Tax!AI17+Tax!AI20+Tax!AI23</f>
        <v>0</v>
      </c>
      <c r="AJ24" s="20" t="n">
        <f aca="false">Tax!AJ14+Tax!AJ17+Tax!AJ20+Tax!AJ23</f>
        <v>0</v>
      </c>
      <c r="AK24" s="20" t="n">
        <f aca="false">Tax!AK14+Tax!AK17+Tax!AK20+Tax!AK23</f>
        <v>0</v>
      </c>
      <c r="AL24" s="20" t="n">
        <f aca="false">Tax!AL14+Tax!AL17+Tax!AL20+Tax!AL23</f>
        <v>0</v>
      </c>
      <c r="AM24" s="20" t="n">
        <f aca="false">Tax!AM14+Tax!AM17+Tax!AM20+Tax!AM23</f>
        <v>0</v>
      </c>
      <c r="AN24" s="20" t="n">
        <f aca="false">Tax!AN14+Tax!AN17+Tax!AN20+Tax!AN23</f>
        <v>0</v>
      </c>
      <c r="AO24" s="20" t="n">
        <f aca="false">Tax!AO14+Tax!AO17+Tax!AO20+Tax!AO23</f>
        <v>0</v>
      </c>
      <c r="AP24" s="20" t="n">
        <f aca="false">Tax!AP14+Tax!AP17+Tax!AP20+Tax!AP23</f>
        <v>0</v>
      </c>
      <c r="AQ24" s="20" t="n">
        <f aca="false">Tax!AQ14+Tax!AQ17+Tax!AQ20+Tax!AQ23</f>
        <v>0</v>
      </c>
      <c r="AR24" s="20" t="n">
        <f aca="false">Tax!AR14+Tax!AR17+Tax!AR20+Tax!AR23</f>
        <v>0</v>
      </c>
      <c r="AS24" s="20" t="n">
        <f aca="false">Tax!AS14+Tax!AS17+Tax!AS20+Tax!AS23</f>
        <v>0</v>
      </c>
      <c r="AT24" s="20" t="n">
        <f aca="false">Tax!AT14+Tax!AT17+Tax!AT20+Tax!AT23</f>
        <v>0</v>
      </c>
      <c r="AU24" s="20" t="n">
        <f aca="false">Tax!AU14+Tax!AU17+Tax!AU20+Tax!AU23</f>
        <v>0</v>
      </c>
    </row>
    <row r="25" customFormat="false" ht="15" hidden="false" customHeight="false" outlineLevel="0" collapsed="false">
      <c r="D25" s="0" t="s">
        <v>889</v>
      </c>
      <c r="E25" s="0" t="s">
        <v>47</v>
      </c>
      <c r="J25" s="20" t="n">
        <f aca="false">Operations!J95+Operations!J137+Operations!J180+Operations!J223+Operations!J266+Operations!J308+Operations!J355+Operations!J397-Operations!J408</f>
        <v>32.9114035317336</v>
      </c>
      <c r="K25" s="20" t="n">
        <f aca="false">Operations!K95+Operations!K137+Operations!K180+Operations!K223+Operations!K266+Operations!K308+Operations!K355+Operations!K397-Operations!K408</f>
        <v>33.4727607135993</v>
      </c>
      <c r="L25" s="20" t="n">
        <f aca="false">Operations!L95+Operations!L137+Operations!L180+Operations!L223+Operations!L266+Operations!L308+Operations!L355+Operations!L397-Operations!L408</f>
        <v>40.3252541464494</v>
      </c>
      <c r="M25" s="20" t="n">
        <f aca="false">Operations!M95+Operations!M137+Operations!M180+Operations!M223+Operations!M266+Operations!M308+Operations!M355+Operations!M397-Operations!M408</f>
        <v>49.9339054170754</v>
      </c>
      <c r="N25" s="20" t="n">
        <f aca="false">Operations!N95+Operations!N137+Operations!N180+Operations!N223+Operations!N266+Operations!N308+Operations!N355+Operations!N397-Operations!N408</f>
        <v>49.6525228357455</v>
      </c>
      <c r="O25" s="20" t="n">
        <f aca="false">Operations!O95+Operations!O137+Operations!O180+Operations!O223+Operations!O266+Operations!O308+Operations!O355+Operations!O397-Operations!O408</f>
        <v>50.7551585309085</v>
      </c>
      <c r="P25" s="20" t="n">
        <f aca="false">Operations!P95+Operations!P137+Operations!P180+Operations!P223+Operations!P266+Operations!P308+Operations!P355+Operations!P397-Operations!P408</f>
        <v>52.2624869222579</v>
      </c>
      <c r="Q25" s="20" t="n">
        <f aca="false">Operations!Q95+Operations!Q137+Operations!Q180+Operations!Q223+Operations!Q266+Operations!Q308+Operations!Q355+Operations!Q397-Operations!Q408</f>
        <v>55.8634117254792</v>
      </c>
      <c r="R25" s="20" t="n">
        <f aca="false">Operations!R95+Operations!R137+Operations!R180+Operations!R223+Operations!R266+Operations!R308+Operations!R355+Operations!R397-Operations!R408</f>
        <v>66.08436273699</v>
      </c>
      <c r="S25" s="20" t="n">
        <f aca="false">Operations!S95+Operations!S137+Operations!S180+Operations!S223+Operations!S266+Operations!S308+Operations!S355+Operations!S397-Operations!S408</f>
        <v>62.8778833268807</v>
      </c>
      <c r="T25" s="20" t="n">
        <f aca="false">Operations!T95+Operations!T137+Operations!T180+Operations!T223+Operations!T266+Operations!T308+Operations!T355+Operations!T397-Operations!T408</f>
        <v>60.9710054500711</v>
      </c>
      <c r="U25" s="20" t="n">
        <f aca="false">Operations!U95+Operations!U137+Operations!U180+Operations!U223+Operations!U266+Operations!U308+Operations!U355+Operations!U397-Operations!U408</f>
        <v>61.1492506920541</v>
      </c>
      <c r="V25" s="20" t="n">
        <f aca="false">Operations!V95+Operations!V137+Operations!V180+Operations!V223+Operations!V266+Operations!V308+Operations!V355+Operations!V397-Operations!V408</f>
        <v>62.5622851519422</v>
      </c>
      <c r="W25" s="20" t="n">
        <f aca="false">Operations!W95+Operations!W137+Operations!W180+Operations!W223+Operations!W266+Operations!W308+Operations!W355+Operations!W397-Operations!W408</f>
        <v>61.6264482464312</v>
      </c>
      <c r="X25" s="20" t="n">
        <f aca="false">Operations!X95+Operations!X137+Operations!X180+Operations!X223+Operations!X266+Operations!X308+Operations!X355+Operations!X397-Operations!X408</f>
        <v>61.3694707589228</v>
      </c>
      <c r="Y25" s="20" t="n">
        <f aca="false">Operations!Y95+Operations!Y137+Operations!Y180+Operations!Y223+Operations!Y266+Operations!Y308+Operations!Y355+Operations!Y397-Operations!Y408</f>
        <v>61.1479616346381</v>
      </c>
      <c r="Z25" s="20" t="n">
        <f aca="false">Operations!Z95+Operations!Z137+Operations!Z180+Operations!Z223+Operations!Z266+Operations!Z308+Operations!Z355+Operations!Z397-Operations!Z408</f>
        <v>61.0215279121222</v>
      </c>
      <c r="AA25" s="20" t="n">
        <f aca="false">Operations!AA95+Operations!AA137+Operations!AA180+Operations!AA223+Operations!AA266+Operations!AA308+Operations!AA355+Operations!AA397-Operations!AA408</f>
        <v>61.0180518358065</v>
      </c>
      <c r="AB25" s="20" t="n">
        <f aca="false">Operations!AB95+Operations!AB137+Operations!AB180+Operations!AB223+Operations!AB266+Operations!AB308+Operations!AB355+Operations!AB397-Operations!AB408</f>
        <v>61.0033420483556</v>
      </c>
      <c r="AC25" s="20" t="n">
        <f aca="false">Operations!AC95+Operations!AC137+Operations!AC180+Operations!AC223+Operations!AC266+Operations!AC308+Operations!AC355+Operations!AC397-Operations!AC408</f>
        <v>60.9598884919826</v>
      </c>
      <c r="AD25" s="20" t="n">
        <f aca="false">Operations!AD95+Operations!AD137+Operations!AD180+Operations!AD223+Operations!AD266+Operations!AD308+Operations!AD355+Operations!AD397-Operations!AD408</f>
        <v>60.9041256818734</v>
      </c>
      <c r="AE25" s="20" t="n">
        <f aca="false">Operations!AE95+Operations!AE137+Operations!AE180+Operations!AE223+Operations!AE266+Operations!AE308+Operations!AE355+Operations!AE397-Operations!AE408</f>
        <v>55.8587474403073</v>
      </c>
      <c r="AF25" s="20" t="n">
        <f aca="false">Operations!AF95+Operations!AF137+Operations!AF180+Operations!AF223+Operations!AF266+Operations!AF308+Operations!AF355+Operations!AF397-Operations!AF408</f>
        <v>25.8442768269994</v>
      </c>
      <c r="AG25" s="20" t="n">
        <f aca="false">Operations!AG95+Operations!AG137+Operations!AG180+Operations!AG223+Operations!AG266+Operations!AG308+Operations!AG355+Operations!AG397-Operations!AG408</f>
        <v>43.6079096998585</v>
      </c>
      <c r="AH25" s="20" t="n">
        <f aca="false">Operations!AH95+Operations!AH137+Operations!AH180+Operations!AH223+Operations!AH266+Operations!AH308+Operations!AH355+Operations!AH397-Operations!AH408</f>
        <v>43.9196109427684</v>
      </c>
      <c r="AI25" s="20" t="n">
        <f aca="false">Operations!AI95+Operations!AI137+Operations!AI180+Operations!AI223+Operations!AI266+Operations!AI308+Operations!AI355+Operations!AI397-Operations!AI408</f>
        <v>4.38007787614134</v>
      </c>
      <c r="AJ25" s="20" t="n">
        <f aca="false">Operations!AJ95+Operations!AJ137+Operations!AJ180+Operations!AJ223+Operations!AJ266+Operations!AJ308+Operations!AJ355+Operations!AJ397-Operations!AJ408</f>
        <v>21.8649401908358</v>
      </c>
      <c r="AK25" s="20" t="n">
        <f aca="false">Operations!AK95+Operations!AK137+Operations!AK180+Operations!AK223+Operations!AK266+Operations!AK308+Operations!AK355+Operations!AK397-Operations!AK408</f>
        <v>3.77018461212898</v>
      </c>
      <c r="AL25" s="20" t="n">
        <f aca="false">Operations!AL95+Operations!AL137+Operations!AL180+Operations!AL223+Operations!AL266+Operations!AL308+Operations!AL355+Operations!AL397-Operations!AL408</f>
        <v>14.5361263223562</v>
      </c>
      <c r="AM25" s="20" t="n">
        <f aca="false">Operations!AM95+Operations!AM137+Operations!AM180+Operations!AM223+Operations!AM266+Operations!AM308+Operations!AM355+Operations!AM397-Operations!AM408</f>
        <v>14.5609618453642</v>
      </c>
      <c r="AN25" s="20" t="n">
        <f aca="false">Operations!AN95+Operations!AN137+Operations!AN180+Operations!AN223+Operations!AN266+Operations!AN308+Operations!AN355+Operations!AN397-Operations!AN408</f>
        <v>14.5807659312867</v>
      </c>
      <c r="AO25" s="20" t="n">
        <f aca="false">Operations!AO95+Operations!AO137+Operations!AO180+Operations!AO223+Operations!AO266+Operations!AO308+Operations!AO355+Operations!AO397-Operations!AO408</f>
        <v>14.5950604187952</v>
      </c>
      <c r="AP25" s="20" t="n">
        <f aca="false">Operations!AP95+Operations!AP137+Operations!AP180+Operations!AP223+Operations!AP266+Operations!AP308+Operations!AP355+Operations!AP397-Operations!AP408</f>
        <v>14.603360118158</v>
      </c>
      <c r="AQ25" s="20" t="n">
        <f aca="false">Operations!AQ95+Operations!AQ137+Operations!AQ180+Operations!AQ223+Operations!AQ266+Operations!AQ308+Operations!AQ355+Operations!AQ397-Operations!AQ408</f>
        <v>5.33567697167487</v>
      </c>
      <c r="AR25" s="20" t="n">
        <f aca="false">Operations!AR95+Operations!AR137+Operations!AR180+Operations!AR223+Operations!AR266+Operations!AR308+Operations!AR355+Operations!AR397-Operations!AR408</f>
        <v>-10.0942482153661</v>
      </c>
      <c r="AS25" s="20" t="n">
        <f aca="false">Operations!AS95+Operations!AS137+Operations!AS180+Operations!AS223+Operations!AS266+Operations!AS308+Operations!AS355+Operations!AS397-Operations!AS408</f>
        <v>0.468479792319108</v>
      </c>
      <c r="AT25" s="20" t="n">
        <f aca="false">Operations!AT95+Operations!AT137+Operations!AT180+Operations!AT223+Operations!AT266+Operations!AT308+Operations!AT355+Operations!AT397-Operations!AT408</f>
        <v>0.357517487264004</v>
      </c>
      <c r="AU25" s="20" t="n">
        <f aca="false">Operations!AU95+Operations!AU137+Operations!AU180+Operations!AU223+Operations!AU266+Operations!AU308+Operations!AU355+Operations!AU397-Operations!AU408</f>
        <v>-11.1286703243323</v>
      </c>
    </row>
    <row r="27" customFormat="false" ht="15" hidden="false" customHeight="false" outlineLevel="0" collapsed="false">
      <c r="A27" s="4" t="s">
        <v>890</v>
      </c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</row>
    <row r="28" customFormat="false" ht="15" hidden="false" customHeight="false" outlineLevel="0" collapsed="false">
      <c r="D28" s="0" t="s">
        <v>891</v>
      </c>
      <c r="E28" s="0" t="s">
        <v>47</v>
      </c>
      <c r="J28" s="20" t="n">
        <f aca="false">Debt!J15+Debt!J24+Debt!J32+Debt!J47+Debt!J54+Debt!J61</f>
        <v>13.1840343467596</v>
      </c>
      <c r="K28" s="20" t="n">
        <f aca="false">Debt!K15+Debt!K24+Debt!K32+Debt!K47+Debt!K54+Debt!K61</f>
        <v>19.5869760748947</v>
      </c>
      <c r="L28" s="20" t="n">
        <f aca="false">Debt!L15+Debt!L24+Debt!L32+Debt!L47+Debt!L54+Debt!L61</f>
        <v>27.4590291318583</v>
      </c>
      <c r="M28" s="20" t="n">
        <f aca="false">Debt!M15+Debt!M24+Debt!M32+Debt!M47+Debt!M54+Debt!M61</f>
        <v>25.4265958984916</v>
      </c>
      <c r="N28" s="20" t="n">
        <f aca="false">Debt!N15+Debt!N24+Debt!N32+Debt!N47+Debt!N54+Debt!N61</f>
        <v>31.3232603121964</v>
      </c>
      <c r="O28" s="20" t="n">
        <f aca="false">Debt!O15+Debt!O24+Debt!O32+Debt!O47+Debt!O54+Debt!O61</f>
        <v>29.2765016817008</v>
      </c>
      <c r="P28" s="20" t="n">
        <f aca="false">Debt!P15+Debt!P24+Debt!P32+Debt!P47+Debt!P54+Debt!P61</f>
        <v>27.6118221725537</v>
      </c>
      <c r="Q28" s="20" t="n">
        <f aca="false">Debt!Q15+Debt!Q24+Debt!Q32+Debt!Q47+Debt!Q54+Debt!Q61</f>
        <v>25.9185265521171</v>
      </c>
      <c r="R28" s="20" t="n">
        <f aca="false">Debt!R15+Debt!R24+Debt!R32+Debt!R47+Debt!R54+Debt!R61</f>
        <v>24.0395242313982</v>
      </c>
      <c r="S28" s="20" t="n">
        <f aca="false">Debt!S15+Debt!S24+Debt!S32+Debt!S47+Debt!S54+Debt!S61</f>
        <v>22.1723362542367</v>
      </c>
      <c r="T28" s="20" t="n">
        <f aca="false">Debt!T15+Debt!T24+Debt!T32+Debt!T47+Debt!T54+Debt!T61</f>
        <v>20.3829662656826</v>
      </c>
      <c r="U28" s="20" t="n">
        <f aca="false">Debt!U15+Debt!U24+Debt!U32+Debt!U47+Debt!U54+Debt!U61</f>
        <v>18.6241961342175</v>
      </c>
      <c r="V28" s="20" t="n">
        <f aca="false">Debt!V15+Debt!V24+Debt!V32+Debt!V47+Debt!V54+Debt!V61</f>
        <v>16.7501060445639</v>
      </c>
      <c r="W28" s="20" t="n">
        <f aca="false">Debt!W15+Debt!W24+Debt!W32+Debt!W47+Debt!W54+Debt!W61</f>
        <v>14.7468226964536</v>
      </c>
      <c r="X28" s="20" t="n">
        <f aca="false">Debt!X15+Debt!X24+Debt!X32+Debt!X47+Debt!X54+Debt!X61</f>
        <v>12.7133784820364</v>
      </c>
      <c r="Y28" s="20" t="n">
        <f aca="false">Debt!Y15+Debt!Y24+Debt!Y32+Debt!Y47+Debt!Y54+Debt!Y61</f>
        <v>10.5982203096364</v>
      </c>
      <c r="Z28" s="20" t="n">
        <f aca="false">Debt!Z15+Debt!Z24+Debt!Z32+Debt!Z47+Debt!Z54+Debt!Z61</f>
        <v>8.39566727883103</v>
      </c>
      <c r="AA28" s="20" t="n">
        <f aca="false">Debt!AA15+Debt!AA24+Debt!AA32+Debt!AA47+Debt!AA54+Debt!AA61</f>
        <v>7.11109364712107</v>
      </c>
      <c r="AB28" s="20" t="n">
        <f aca="false">Debt!AB15+Debt!AB24+Debt!AB32+Debt!AB47+Debt!AB54+Debt!AB61</f>
        <v>5.8325798590352</v>
      </c>
      <c r="AC28" s="20" t="n">
        <f aca="false">Debt!AC15+Debt!AC24+Debt!AC32+Debt!AC47+Debt!AC54+Debt!AC61</f>
        <v>4.47278679785425</v>
      </c>
      <c r="AD28" s="20" t="n">
        <f aca="false">Debt!AD15+Debt!AD24+Debt!AD32+Debt!AD47+Debt!AD54+Debt!AD61</f>
        <v>3.02733704106484</v>
      </c>
      <c r="AE28" s="20" t="n">
        <f aca="false">Debt!AE15+Debt!AE24+Debt!AE32+Debt!AE47+Debt!AE54+Debt!AE61</f>
        <v>1.49110670862367</v>
      </c>
      <c r="AF28" s="20" t="n">
        <f aca="false">Debt!AF15+Debt!AF24+Debt!AF32+Debt!AF47+Debt!AF54+Debt!AF61</f>
        <v>0</v>
      </c>
      <c r="AG28" s="20" t="n">
        <f aca="false">Debt!AG15+Debt!AG24+Debt!AG32+Debt!AG47+Debt!AG54+Debt!AG61</f>
        <v>0</v>
      </c>
      <c r="AH28" s="20" t="n">
        <f aca="false">Debt!AH15+Debt!AH24+Debt!AH32+Debt!AH47+Debt!AH54+Debt!AH61</f>
        <v>0</v>
      </c>
      <c r="AI28" s="20" t="n">
        <f aca="false">Debt!AI15+Debt!AI24+Debt!AI32+Debt!AI47+Debt!AI54+Debt!AI61</f>
        <v>0</v>
      </c>
      <c r="AJ28" s="20" t="n">
        <f aca="false">Debt!AJ15+Debt!AJ24+Debt!AJ32+Debt!AJ47+Debt!AJ54+Debt!AJ61</f>
        <v>0</v>
      </c>
      <c r="AK28" s="20" t="n">
        <f aca="false">Debt!AK15+Debt!AK24+Debt!AK32+Debt!AK47+Debt!AK54+Debt!AK61</f>
        <v>0</v>
      </c>
      <c r="AL28" s="20" t="n">
        <f aca="false">Debt!AL15+Debt!AL24+Debt!AL32+Debt!AL47+Debt!AL54+Debt!AL61</f>
        <v>0</v>
      </c>
      <c r="AM28" s="20" t="n">
        <f aca="false">Debt!AM15+Debt!AM24+Debt!AM32+Debt!AM47+Debt!AM54+Debt!AM61</f>
        <v>0</v>
      </c>
      <c r="AN28" s="20" t="n">
        <f aca="false">Debt!AN15+Debt!AN24+Debt!AN32+Debt!AN47+Debt!AN54+Debt!AN61</f>
        <v>0</v>
      </c>
      <c r="AO28" s="20" t="n">
        <f aca="false">Debt!AO15+Debt!AO24+Debt!AO32+Debt!AO47+Debt!AO54+Debt!AO61</f>
        <v>0</v>
      </c>
      <c r="AP28" s="20" t="n">
        <f aca="false">Debt!AP15+Debt!AP24+Debt!AP32+Debt!AP47+Debt!AP54+Debt!AP61</f>
        <v>0</v>
      </c>
      <c r="AQ28" s="20" t="n">
        <f aca="false">Debt!AQ15+Debt!AQ24+Debt!AQ32+Debt!AQ47+Debt!AQ54+Debt!AQ61</f>
        <v>0</v>
      </c>
      <c r="AR28" s="20" t="n">
        <f aca="false">Debt!AR15+Debt!AR24+Debt!AR32+Debt!AR47+Debt!AR54+Debt!AR61</f>
        <v>0</v>
      </c>
      <c r="AS28" s="20" t="n">
        <f aca="false">Debt!AS15+Debt!AS24+Debt!AS32+Debt!AS47+Debt!AS54+Debt!AS61</f>
        <v>0</v>
      </c>
      <c r="AT28" s="20" t="n">
        <f aca="false">Debt!AT15+Debt!AT24+Debt!AT32+Debt!AT47+Debt!AT54+Debt!AT61</f>
        <v>0</v>
      </c>
      <c r="AU28" s="20" t="n">
        <f aca="false">Debt!AU15+Debt!AU24+Debt!AU32+Debt!AU47+Debt!AU54+Debt!AU61</f>
        <v>0</v>
      </c>
    </row>
    <row r="29" customFormat="false" ht="15" hidden="false" customHeight="false" outlineLevel="0" collapsed="false">
      <c r="D29" s="0" t="s">
        <v>892</v>
      </c>
      <c r="E29" s="0" t="s">
        <v>47</v>
      </c>
      <c r="J29" s="20" t="n">
        <f aca="false">Tax!J25-Tax!J24-Tax!J28</f>
        <v>-404.257630815026</v>
      </c>
      <c r="K29" s="20" t="n">
        <f aca="false">Tax!K25-Tax!K24-Tax!K28</f>
        <v>-36.7557153612955</v>
      </c>
      <c r="L29" s="20" t="n">
        <f aca="false">Tax!L25-Tax!L24-Tax!L28</f>
        <v>-94.9574609854089</v>
      </c>
      <c r="M29" s="20" t="n">
        <f aca="false">Tax!M25-Tax!M24-Tax!M28</f>
        <v>3.97995117858382</v>
      </c>
      <c r="N29" s="20" t="n">
        <f aca="false">Tax!N25-Tax!N24-Tax!N28</f>
        <v>5.79443289354907</v>
      </c>
      <c r="O29" s="20" t="n">
        <f aca="false">Tax!O25-Tax!O24-Tax!O28</f>
        <v>13.2618980660077</v>
      </c>
      <c r="P29" s="20" t="n">
        <f aca="false">Tax!P25-Tax!P24-Tax!P28</f>
        <v>17.1167386037042</v>
      </c>
      <c r="Q29" s="20" t="n">
        <f aca="false">Tax!Q25-Tax!Q24-Tax!Q28</f>
        <v>26.2741811849621</v>
      </c>
      <c r="R29" s="20" t="n">
        <f aca="false">Tax!R25-Tax!R24-Tax!R28</f>
        <v>41.5852971815919</v>
      </c>
      <c r="S29" s="20" t="n">
        <f aca="false">Tax!S25-Tax!S24-Tax!S28</f>
        <v>40.245878348644</v>
      </c>
      <c r="T29" s="20" t="n">
        <f aca="false">Tax!T25-Tax!T24-Tax!T28</f>
        <v>40.1278463767884</v>
      </c>
      <c r="U29" s="20" t="n">
        <f aca="false">Tax!U25-Tax!U24-Tax!U28</f>
        <v>42.0653858338366</v>
      </c>
      <c r="V29" s="20" t="n">
        <f aca="false">Tax!V25-Tax!V24-Tax!V28</f>
        <v>45.3519862997783</v>
      </c>
      <c r="W29" s="20" t="n">
        <f aca="false">Tax!W25-Tax!W24-Tax!W28</f>
        <v>46.4199568259776</v>
      </c>
      <c r="X29" s="20" t="n">
        <f aca="false">Tax!X25-Tax!X24-Tax!X28</f>
        <v>48.1958994692864</v>
      </c>
      <c r="Y29" s="20" t="n">
        <f aca="false">Tax!Y25-Tax!Y24-Tax!Y28</f>
        <v>50.0900726010017</v>
      </c>
      <c r="Z29" s="20" t="n">
        <f aca="false">Tax!Z25-Tax!Z24-Tax!Z28</f>
        <v>52.2032508256912</v>
      </c>
      <c r="AA29" s="20" t="n">
        <f aca="false">Tax!AA25-Tax!AA24-Tax!AA28</f>
        <v>53.7147705266854</v>
      </c>
      <c r="AB29" s="20" t="n">
        <f aca="false">Tax!AB25-Tax!AB24-Tax!AB28</f>
        <v>55.1707621893204</v>
      </c>
      <c r="AC29" s="20" t="n">
        <f aca="false">Tax!AC25-Tax!AC24-Tax!AC28</f>
        <v>56.4871016941283</v>
      </c>
      <c r="AD29" s="20" t="n">
        <f aca="false">Tax!AD25-Tax!AD24-Tax!AD28</f>
        <v>57.8767886408085</v>
      </c>
      <c r="AE29" s="20" t="n">
        <f aca="false">Tax!AE25-Tax!AE24-Tax!AE28</f>
        <v>54.3676407316836</v>
      </c>
      <c r="AF29" s="20" t="n">
        <f aca="false">Tax!AF25-Tax!AF24-Tax!AF28</f>
        <v>25.8442768269994</v>
      </c>
      <c r="AG29" s="20" t="n">
        <f aca="false">Tax!AG25-Tax!AG24-Tax!AG28</f>
        <v>43.6079096998585</v>
      </c>
      <c r="AH29" s="20" t="n">
        <f aca="false">Tax!AH25-Tax!AH24-Tax!AH28</f>
        <v>43.9196109427684</v>
      </c>
      <c r="AI29" s="20" t="n">
        <f aca="false">Tax!AI25-Tax!AI24-Tax!AI28</f>
        <v>4.38007787614134</v>
      </c>
      <c r="AJ29" s="20" t="n">
        <f aca="false">Tax!AJ25-Tax!AJ24-Tax!AJ28</f>
        <v>21.8649401908358</v>
      </c>
      <c r="AK29" s="20" t="n">
        <f aca="false">Tax!AK25-Tax!AK24-Tax!AK28</f>
        <v>3.77018461212898</v>
      </c>
      <c r="AL29" s="20" t="n">
        <f aca="false">Tax!AL25-Tax!AL24-Tax!AL28</f>
        <v>14.5361263223562</v>
      </c>
      <c r="AM29" s="20" t="n">
        <f aca="false">Tax!AM25-Tax!AM24-Tax!AM28</f>
        <v>14.5609618453642</v>
      </c>
      <c r="AN29" s="20" t="n">
        <f aca="false">Tax!AN25-Tax!AN24-Tax!AN28</f>
        <v>14.5807659312867</v>
      </c>
      <c r="AO29" s="20" t="n">
        <f aca="false">Tax!AO25-Tax!AO24-Tax!AO28</f>
        <v>14.5950604187952</v>
      </c>
      <c r="AP29" s="20" t="n">
        <f aca="false">Tax!AP25-Tax!AP24-Tax!AP28</f>
        <v>14.603360118158</v>
      </c>
      <c r="AQ29" s="20" t="n">
        <f aca="false">Tax!AQ25-Tax!AQ24-Tax!AQ28</f>
        <v>5.33567697167487</v>
      </c>
      <c r="AR29" s="20" t="n">
        <f aca="false">Tax!AR25-Tax!AR24-Tax!AR28</f>
        <v>-10.0942482153661</v>
      </c>
      <c r="AS29" s="20" t="n">
        <f aca="false">Tax!AS25-Tax!AS24-Tax!AS28</f>
        <v>0.468479792319108</v>
      </c>
      <c r="AT29" s="20" t="n">
        <f aca="false">Tax!AT25-Tax!AT24-Tax!AT28</f>
        <v>0.357517487264004</v>
      </c>
      <c r="AU29" s="20" t="n">
        <f aca="false">Tax!AU25-Tax!AU24-Tax!AU28</f>
        <v>-11.1286703243323</v>
      </c>
    </row>
    <row r="30" customFormat="false" ht="15" hidden="false" customHeight="false" outlineLevel="0" collapsed="false">
      <c r="D30" s="0" t="s">
        <v>893</v>
      </c>
      <c r="E30" s="0" t="s">
        <v>47</v>
      </c>
      <c r="J30" s="20" t="n">
        <f aca="false">I33</f>
        <v>0</v>
      </c>
      <c r="K30" s="20" t="n">
        <f aca="false">J33</f>
        <v>404.257630815026</v>
      </c>
      <c r="L30" s="20" t="n">
        <f aca="false">K33</f>
        <v>441.013346176322</v>
      </c>
      <c r="M30" s="20" t="n">
        <f aca="false">L33</f>
        <v>535.97080716173</v>
      </c>
      <c r="N30" s="20" t="n">
        <f aca="false">M33</f>
        <v>532.786846218863</v>
      </c>
      <c r="O30" s="20" t="n">
        <f aca="false">N33</f>
        <v>528.151299904024</v>
      </c>
      <c r="P30" s="20" t="n">
        <f aca="false">O33</f>
        <v>517.541781451218</v>
      </c>
      <c r="Q30" s="20" t="n">
        <f aca="false">P33</f>
        <v>503.848390568254</v>
      </c>
      <c r="R30" s="20" t="n">
        <f aca="false">Q33</f>
        <v>482.829045620285</v>
      </c>
      <c r="S30" s="20" t="n">
        <f aca="false">R33</f>
        <v>449.560807875011</v>
      </c>
      <c r="T30" s="20" t="n">
        <f aca="false">S33</f>
        <v>417.364105196096</v>
      </c>
      <c r="U30" s="20" t="n">
        <f aca="false">T33</f>
        <v>385.261828094665</v>
      </c>
      <c r="V30" s="20" t="n">
        <f aca="false">U33</f>
        <v>351.609519427596</v>
      </c>
      <c r="W30" s="20" t="n">
        <f aca="false">V33</f>
        <v>315.327930387773</v>
      </c>
      <c r="X30" s="20" t="n">
        <f aca="false">W33</f>
        <v>278.191964926991</v>
      </c>
      <c r="Y30" s="20" t="n">
        <f aca="false">X33</f>
        <v>239.635245351562</v>
      </c>
      <c r="Z30" s="20" t="n">
        <f aca="false">Y33</f>
        <v>199.563187270761</v>
      </c>
      <c r="AA30" s="20" t="n">
        <f aca="false">Z33</f>
        <v>157.800586610208</v>
      </c>
      <c r="AB30" s="20" t="n">
        <f aca="false">AA33</f>
        <v>114.82877018886</v>
      </c>
      <c r="AC30" s="20" t="n">
        <f aca="false">AB33</f>
        <v>70.6921604374033</v>
      </c>
      <c r="AD30" s="20" t="n">
        <f aca="false">AC33</f>
        <v>25.5024790821007</v>
      </c>
      <c r="AE30" s="20" t="n">
        <f aca="false">AD33</f>
        <v>0</v>
      </c>
      <c r="AF30" s="20" t="n">
        <f aca="false">AE33</f>
        <v>0</v>
      </c>
      <c r="AG30" s="20" t="n">
        <f aca="false">AF33</f>
        <v>0</v>
      </c>
      <c r="AH30" s="20" t="n">
        <f aca="false">AG33</f>
        <v>0</v>
      </c>
      <c r="AI30" s="20" t="n">
        <f aca="false">AH33</f>
        <v>0</v>
      </c>
      <c r="AJ30" s="20" t="n">
        <f aca="false">AI33</f>
        <v>0</v>
      </c>
      <c r="AK30" s="20" t="n">
        <f aca="false">AJ33</f>
        <v>0</v>
      </c>
      <c r="AL30" s="20" t="n">
        <f aca="false">AK33</f>
        <v>0</v>
      </c>
      <c r="AM30" s="20" t="n">
        <f aca="false">AL33</f>
        <v>0</v>
      </c>
      <c r="AN30" s="20" t="n">
        <f aca="false">AM33</f>
        <v>0</v>
      </c>
      <c r="AO30" s="20" t="n">
        <f aca="false">AN33</f>
        <v>0</v>
      </c>
      <c r="AP30" s="20" t="n">
        <f aca="false">AO33</f>
        <v>0</v>
      </c>
      <c r="AQ30" s="20" t="n">
        <f aca="false">AP33</f>
        <v>0</v>
      </c>
      <c r="AR30" s="20" t="n">
        <f aca="false">AQ33</f>
        <v>0</v>
      </c>
      <c r="AS30" s="20" t="n">
        <f aca="false">AR33</f>
        <v>10.0942482153661</v>
      </c>
      <c r="AT30" s="20" t="n">
        <f aca="false">AS33</f>
        <v>9.71946438151079</v>
      </c>
      <c r="AU30" s="20" t="n">
        <f aca="false">AT33</f>
        <v>9.43345039169958</v>
      </c>
    </row>
    <row r="31" customFormat="false" ht="15" hidden="false" customHeight="false" outlineLevel="0" collapsed="false">
      <c r="D31" s="0" t="s">
        <v>894</v>
      </c>
      <c r="E31" s="0" t="s">
        <v>47</v>
      </c>
      <c r="G31" s="20" t="n">
        <f aca="false">SUM(J31:AU31)</f>
        <v>536.631604985397</v>
      </c>
      <c r="J31" s="20" t="n">
        <f aca="false">MIN(Tax!J30,Inputs!$F$249/100*MAX(Tax!J29,0))</f>
        <v>0</v>
      </c>
      <c r="K31" s="20" t="n">
        <f aca="false">MIN(Tax!K30,Inputs!$F$249/100*MAX(Tax!K29,0))</f>
        <v>0</v>
      </c>
      <c r="L31" s="20" t="n">
        <f aca="false">MIN(Tax!L30,Inputs!$F$249/100*MAX(Tax!L29,0))</f>
        <v>0</v>
      </c>
      <c r="M31" s="20" t="n">
        <f aca="false">MIN(Tax!M30,Inputs!$F$249/100*MAX(Tax!M29,0))</f>
        <v>3.18396094286705</v>
      </c>
      <c r="N31" s="20" t="n">
        <f aca="false">MIN(Tax!N30,Inputs!$F$249/100*MAX(Tax!N29,0))</f>
        <v>4.63554631483926</v>
      </c>
      <c r="O31" s="20" t="n">
        <f aca="false">MIN(Tax!O30,Inputs!$F$249/100*MAX(Tax!O29,0))</f>
        <v>10.6095184528062</v>
      </c>
      <c r="P31" s="20" t="n">
        <f aca="false">MIN(Tax!P30,Inputs!$F$249/100*MAX(Tax!P29,0))</f>
        <v>13.6933908829634</v>
      </c>
      <c r="Q31" s="20" t="n">
        <f aca="false">MIN(Tax!Q30,Inputs!$F$249/100*MAX(Tax!Q29,0))</f>
        <v>21.0193449479697</v>
      </c>
      <c r="R31" s="20" t="n">
        <f aca="false">MIN(Tax!R30,Inputs!$F$249/100*MAX(Tax!R29,0))</f>
        <v>33.2682377452735</v>
      </c>
      <c r="S31" s="20" t="n">
        <f aca="false">MIN(Tax!S30,Inputs!$F$249/100*MAX(Tax!S29,0))</f>
        <v>32.1967026789152</v>
      </c>
      <c r="T31" s="20" t="n">
        <f aca="false">MIN(Tax!T30,Inputs!$F$249/100*MAX(Tax!T29,0))</f>
        <v>32.1022771014308</v>
      </c>
      <c r="U31" s="20" t="n">
        <f aca="false">MIN(Tax!U30,Inputs!$F$249/100*MAX(Tax!U29,0))</f>
        <v>33.6523086670693</v>
      </c>
      <c r="V31" s="20" t="n">
        <f aca="false">MIN(Tax!V30,Inputs!$F$249/100*MAX(Tax!V29,0))</f>
        <v>36.2815890398226</v>
      </c>
      <c r="W31" s="20" t="n">
        <f aca="false">MIN(Tax!W30,Inputs!$F$249/100*MAX(Tax!W29,0))</f>
        <v>37.135965460782</v>
      </c>
      <c r="X31" s="20" t="n">
        <f aca="false">MIN(Tax!X30,Inputs!$F$249/100*MAX(Tax!X29,0))</f>
        <v>38.5567195754291</v>
      </c>
      <c r="Y31" s="20" t="n">
        <f aca="false">MIN(Tax!Y30,Inputs!$F$249/100*MAX(Tax!Y29,0))</f>
        <v>40.0720580808014</v>
      </c>
      <c r="Z31" s="20" t="n">
        <f aca="false">MIN(Tax!Z30,Inputs!$F$249/100*MAX(Tax!Z29,0))</f>
        <v>41.762600660553</v>
      </c>
      <c r="AA31" s="20" t="n">
        <f aca="false">MIN(Tax!AA30,Inputs!$F$249/100*MAX(Tax!AA29,0))</f>
        <v>42.9718164213484</v>
      </c>
      <c r="AB31" s="20" t="n">
        <f aca="false">MIN(Tax!AB30,Inputs!$F$249/100*MAX(Tax!AB29,0))</f>
        <v>44.1366097514563</v>
      </c>
      <c r="AC31" s="20" t="n">
        <f aca="false">MIN(Tax!AC30,Inputs!$F$249/100*MAX(Tax!AC29,0))</f>
        <v>45.1896813553026</v>
      </c>
      <c r="AD31" s="20" t="n">
        <f aca="false">MIN(Tax!AD30,Inputs!$F$249/100*MAX(Tax!AD29,0))</f>
        <v>25.5024790821007</v>
      </c>
      <c r="AE31" s="20" t="n">
        <f aca="false">MIN(Tax!AE30,Inputs!$F$249/100*MAX(Tax!AE29,0))</f>
        <v>0</v>
      </c>
      <c r="AF31" s="20" t="n">
        <f aca="false">MIN(Tax!AF30,Inputs!$F$249/100*MAX(Tax!AF29,0))</f>
        <v>0</v>
      </c>
      <c r="AG31" s="20" t="n">
        <f aca="false">MIN(Tax!AG30,Inputs!$F$249/100*MAX(Tax!AG29,0))</f>
        <v>0</v>
      </c>
      <c r="AH31" s="20" t="n">
        <f aca="false">MIN(Tax!AH30,Inputs!$F$249/100*MAX(Tax!AH29,0))</f>
        <v>0</v>
      </c>
      <c r="AI31" s="20" t="n">
        <f aca="false">MIN(Tax!AI30,Inputs!$F$249/100*MAX(Tax!AI29,0))</f>
        <v>0</v>
      </c>
      <c r="AJ31" s="20" t="n">
        <f aca="false">MIN(Tax!AJ30,Inputs!$F$249/100*MAX(Tax!AJ29,0))</f>
        <v>0</v>
      </c>
      <c r="AK31" s="20" t="n">
        <f aca="false">MIN(Tax!AK30,Inputs!$F$249/100*MAX(Tax!AK29,0))</f>
        <v>0</v>
      </c>
      <c r="AL31" s="20" t="n">
        <f aca="false">MIN(Tax!AL30,Inputs!$F$249/100*MAX(Tax!AL29,0))</f>
        <v>0</v>
      </c>
      <c r="AM31" s="20" t="n">
        <f aca="false">MIN(Tax!AM30,Inputs!$F$249/100*MAX(Tax!AM29,0))</f>
        <v>0</v>
      </c>
      <c r="AN31" s="20" t="n">
        <f aca="false">MIN(Tax!AN30,Inputs!$F$249/100*MAX(Tax!AN29,0))</f>
        <v>0</v>
      </c>
      <c r="AO31" s="20" t="n">
        <f aca="false">MIN(Tax!AO30,Inputs!$F$249/100*MAX(Tax!AO29,0))</f>
        <v>0</v>
      </c>
      <c r="AP31" s="20" t="n">
        <f aca="false">MIN(Tax!AP30,Inputs!$F$249/100*MAX(Tax!AP29,0))</f>
        <v>0</v>
      </c>
      <c r="AQ31" s="20" t="n">
        <f aca="false">MIN(Tax!AQ30,Inputs!$F$249/100*MAX(Tax!AQ29,0))</f>
        <v>0</v>
      </c>
      <c r="AR31" s="20" t="n">
        <f aca="false">MIN(Tax!AR30,Inputs!$F$249/100*MAX(Tax!AR29,0))</f>
        <v>0</v>
      </c>
      <c r="AS31" s="20" t="n">
        <f aca="false">MIN(Tax!AS30,Inputs!$F$249/100*MAX(Tax!AS29,0))</f>
        <v>0.374783833855287</v>
      </c>
      <c r="AT31" s="20" t="n">
        <f aca="false">MIN(Tax!AT30,Inputs!$F$249/100*MAX(Tax!AT29,0))</f>
        <v>0.286013989811203</v>
      </c>
      <c r="AU31" s="20" t="n">
        <f aca="false">MIN(Tax!AU30,Inputs!$F$249/100*MAX(Tax!AU29,0))</f>
        <v>0</v>
      </c>
    </row>
    <row r="32" customFormat="false" ht="15" hidden="false" customHeight="false" outlineLevel="0" collapsed="false">
      <c r="D32" s="0" t="s">
        <v>895</v>
      </c>
      <c r="E32" s="0" t="s">
        <v>47</v>
      </c>
      <c r="G32" s="20" t="n">
        <f aca="false">SUM(J32:AU32)</f>
        <v>91.5858685397424</v>
      </c>
      <c r="J32" s="20" t="n">
        <f aca="false">Inputs!$F$248/100*(MAX(Tax!J29,0)-Tax!J31)</f>
        <v>0</v>
      </c>
      <c r="K32" s="20" t="n">
        <f aca="false">Inputs!$F$248/100*(MAX(Tax!K29,0)-Tax!K31)</f>
        <v>0</v>
      </c>
      <c r="L32" s="20" t="n">
        <f aca="false">Inputs!$F$248/100*(MAX(Tax!L29,0)-Tax!L31)</f>
        <v>0</v>
      </c>
      <c r="M32" s="20" t="n">
        <f aca="false">Inputs!$F$248/100*(MAX(Tax!M29,0)-Tax!M31)</f>
        <v>0.16715794950052</v>
      </c>
      <c r="N32" s="20" t="n">
        <f aca="false">Inputs!$F$248/100*(MAX(Tax!N29,0)-Tax!N31)</f>
        <v>0.243366181529061</v>
      </c>
      <c r="O32" s="20" t="n">
        <f aca="false">Inputs!$F$248/100*(MAX(Tax!O29,0)-Tax!O31)</f>
        <v>0.556999718772324</v>
      </c>
      <c r="P32" s="20" t="n">
        <f aca="false">Inputs!$F$248/100*(MAX(Tax!P29,0)-Tax!P31)</f>
        <v>0.718903021355577</v>
      </c>
      <c r="Q32" s="20" t="n">
        <f aca="false">Inputs!$F$248/100*(MAX(Tax!Q29,0)-Tax!Q31)</f>
        <v>1.10351560976841</v>
      </c>
      <c r="R32" s="20" t="n">
        <f aca="false">Inputs!$F$248/100*(MAX(Tax!R29,0)-Tax!R31)</f>
        <v>1.74658248162686</v>
      </c>
      <c r="S32" s="20" t="n">
        <f aca="false">Inputs!$F$248/100*(MAX(Tax!S29,0)-Tax!S31)</f>
        <v>1.69032689064305</v>
      </c>
      <c r="T32" s="20" t="n">
        <f aca="false">Inputs!$F$248/100*(MAX(Tax!T29,0)-Tax!T31)</f>
        <v>1.68536954782511</v>
      </c>
      <c r="U32" s="20" t="n">
        <f aca="false">Inputs!$F$248/100*(MAX(Tax!U29,0)-Tax!U31)</f>
        <v>1.76674620502114</v>
      </c>
      <c r="V32" s="20" t="n">
        <f aca="false">Inputs!$F$248/100*(MAX(Tax!V29,0)-Tax!V31)</f>
        <v>1.90478342459069</v>
      </c>
      <c r="W32" s="20" t="n">
        <f aca="false">Inputs!$F$248/100*(MAX(Tax!W29,0)-Tax!W31)</f>
        <v>1.94963818669106</v>
      </c>
      <c r="X32" s="20" t="n">
        <f aca="false">Inputs!$F$248/100*(MAX(Tax!X29,0)-Tax!X31)</f>
        <v>2.02422777771003</v>
      </c>
      <c r="Y32" s="20" t="n">
        <f aca="false">Inputs!$F$248/100*(MAX(Tax!Y29,0)-Tax!Y31)</f>
        <v>2.10378304924207</v>
      </c>
      <c r="Z32" s="20" t="n">
        <f aca="false">Inputs!$F$248/100*(MAX(Tax!Z29,0)-Tax!Z31)</f>
        <v>2.19253653467903</v>
      </c>
      <c r="AA32" s="20" t="n">
        <f aca="false">Inputs!$F$248/100*(MAX(Tax!AA29,0)-Tax!AA31)</f>
        <v>2.25602036212079</v>
      </c>
      <c r="AB32" s="20" t="n">
        <f aca="false">Inputs!$F$248/100*(MAX(Tax!AB29,0)-Tax!AB31)</f>
        <v>2.31717201195146</v>
      </c>
      <c r="AC32" s="20" t="n">
        <f aca="false">Inputs!$F$248/100*(MAX(Tax!AC29,0)-Tax!AC31)</f>
        <v>2.37245827115339</v>
      </c>
      <c r="AD32" s="20" t="n">
        <f aca="false">Inputs!$F$248/100*(MAX(Tax!AD29,0)-Tax!AD31)</f>
        <v>6.79860500732865</v>
      </c>
      <c r="AE32" s="20" t="n">
        <f aca="false">Inputs!$F$248/100*(MAX(Tax!AE29,0)-Tax!AE31)</f>
        <v>11.4172045536536</v>
      </c>
      <c r="AF32" s="20" t="n">
        <f aca="false">Inputs!$F$248/100*(MAX(Tax!AF29,0)-Tax!AF31)</f>
        <v>5.42729813366987</v>
      </c>
      <c r="AG32" s="20" t="n">
        <f aca="false">Inputs!$F$248/100*(MAX(Tax!AG29,0)-Tax!AG31)</f>
        <v>9.15766103697029</v>
      </c>
      <c r="AH32" s="20" t="n">
        <f aca="false">Inputs!$F$248/100*(MAX(Tax!AH29,0)-Tax!AH31)</f>
        <v>9.22311829798136</v>
      </c>
      <c r="AI32" s="20" t="n">
        <f aca="false">Inputs!$F$248/100*(MAX(Tax!AI29,0)-Tax!AI31)</f>
        <v>0.919816353989682</v>
      </c>
      <c r="AJ32" s="20" t="n">
        <f aca="false">Inputs!$F$248/100*(MAX(Tax!AJ29,0)-Tax!AJ31)</f>
        <v>4.59163744007551</v>
      </c>
      <c r="AK32" s="20" t="n">
        <f aca="false">Inputs!$F$248/100*(MAX(Tax!AK29,0)-Tax!AK31)</f>
        <v>0.791738768547085</v>
      </c>
      <c r="AL32" s="20" t="n">
        <f aca="false">Inputs!$F$248/100*(MAX(Tax!AL29,0)-Tax!AL31)</f>
        <v>3.0525865276948</v>
      </c>
      <c r="AM32" s="20" t="n">
        <f aca="false">Inputs!$F$248/100*(MAX(Tax!AM29,0)-Tax!AM31)</f>
        <v>3.05780198752649</v>
      </c>
      <c r="AN32" s="20" t="n">
        <f aca="false">Inputs!$F$248/100*(MAX(Tax!AN29,0)-Tax!AN31)</f>
        <v>3.06196084557021</v>
      </c>
      <c r="AO32" s="20" t="n">
        <f aca="false">Inputs!$F$248/100*(MAX(Tax!AO29,0)-Tax!AO31)</f>
        <v>3.064962687947</v>
      </c>
      <c r="AP32" s="20" t="n">
        <f aca="false">Inputs!$F$248/100*(MAX(Tax!AP29,0)-Tax!AP31)</f>
        <v>3.06670562481317</v>
      </c>
      <c r="AQ32" s="20" t="n">
        <f aca="false">Inputs!$F$248/100*(MAX(Tax!AQ29,0)-Tax!AQ31)</f>
        <v>1.12049216405172</v>
      </c>
      <c r="AR32" s="20" t="n">
        <f aca="false">Inputs!$F$248/100*(MAX(Tax!AR29,0)-Tax!AR31)</f>
        <v>0</v>
      </c>
      <c r="AS32" s="20" t="n">
        <f aca="false">Inputs!$F$248/100*(MAX(Tax!AS29,0)-Tax!AS31)</f>
        <v>0.0196761512774026</v>
      </c>
      <c r="AT32" s="20" t="n">
        <f aca="false">Inputs!$F$248/100*(MAX(Tax!AT29,0)-Tax!AT31)</f>
        <v>0.0150157344650882</v>
      </c>
      <c r="AU32" s="20" t="n">
        <f aca="false">Inputs!$F$248/100*(MAX(Tax!AU29,0)-Tax!AU31)</f>
        <v>0</v>
      </c>
    </row>
    <row r="33" customFormat="false" ht="15" hidden="false" customHeight="false" outlineLevel="0" collapsed="false">
      <c r="D33" s="0" t="s">
        <v>896</v>
      </c>
      <c r="E33" s="0" t="s">
        <v>47</v>
      </c>
      <c r="J33" s="20" t="n">
        <f aca="false">Tax!J30-Tax!J31+MAX(-Tax!J29,0)</f>
        <v>404.257630815026</v>
      </c>
      <c r="K33" s="20" t="n">
        <f aca="false">Tax!K30-Tax!K31+MAX(-Tax!K29,0)</f>
        <v>441.013346176322</v>
      </c>
      <c r="L33" s="20" t="n">
        <f aca="false">Tax!L30-Tax!L31+MAX(-Tax!L29,0)</f>
        <v>535.97080716173</v>
      </c>
      <c r="M33" s="20" t="n">
        <f aca="false">Tax!M30-Tax!M31+MAX(-Tax!M29,0)</f>
        <v>532.786846218863</v>
      </c>
      <c r="N33" s="20" t="n">
        <f aca="false">Tax!N30-Tax!N31+MAX(-Tax!N29,0)</f>
        <v>528.151299904024</v>
      </c>
      <c r="O33" s="20" t="n">
        <f aca="false">Tax!O30-Tax!O31+MAX(-Tax!O29,0)</f>
        <v>517.541781451218</v>
      </c>
      <c r="P33" s="20" t="n">
        <f aca="false">Tax!P30-Tax!P31+MAX(-Tax!P29,0)</f>
        <v>503.848390568254</v>
      </c>
      <c r="Q33" s="20" t="n">
        <f aca="false">Tax!Q30-Tax!Q31+MAX(-Tax!Q29,0)</f>
        <v>482.829045620285</v>
      </c>
      <c r="R33" s="20" t="n">
        <f aca="false">Tax!R30-Tax!R31+MAX(-Tax!R29,0)</f>
        <v>449.560807875011</v>
      </c>
      <c r="S33" s="20" t="n">
        <f aca="false">Tax!S30-Tax!S31+MAX(-Tax!S29,0)</f>
        <v>417.364105196096</v>
      </c>
      <c r="T33" s="20" t="n">
        <f aca="false">Tax!T30-Tax!T31+MAX(-Tax!T29,0)</f>
        <v>385.261828094665</v>
      </c>
      <c r="U33" s="20" t="n">
        <f aca="false">Tax!U30-Tax!U31+MAX(-Tax!U29,0)</f>
        <v>351.609519427596</v>
      </c>
      <c r="V33" s="20" t="n">
        <f aca="false">Tax!V30-Tax!V31+MAX(-Tax!V29,0)</f>
        <v>315.327930387773</v>
      </c>
      <c r="W33" s="20" t="n">
        <f aca="false">Tax!W30-Tax!W31+MAX(-Tax!W29,0)</f>
        <v>278.191964926991</v>
      </c>
      <c r="X33" s="20" t="n">
        <f aca="false">Tax!X30-Tax!X31+MAX(-Tax!X29,0)</f>
        <v>239.635245351562</v>
      </c>
      <c r="Y33" s="20" t="n">
        <f aca="false">Tax!Y30-Tax!Y31+MAX(-Tax!Y29,0)</f>
        <v>199.563187270761</v>
      </c>
      <c r="Z33" s="20" t="n">
        <f aca="false">Tax!Z30-Tax!Z31+MAX(-Tax!Z29,0)</f>
        <v>157.800586610208</v>
      </c>
      <c r="AA33" s="20" t="n">
        <f aca="false">Tax!AA30-Tax!AA31+MAX(-Tax!AA29,0)</f>
        <v>114.82877018886</v>
      </c>
      <c r="AB33" s="20" t="n">
        <f aca="false">Tax!AB30-Tax!AB31+MAX(-Tax!AB29,0)</f>
        <v>70.6921604374033</v>
      </c>
      <c r="AC33" s="20" t="n">
        <f aca="false">Tax!AC30-Tax!AC31+MAX(-Tax!AC29,0)</f>
        <v>25.5024790821007</v>
      </c>
      <c r="AD33" s="20" t="n">
        <f aca="false">Tax!AD30-Tax!AD31+MAX(-Tax!AD29,0)</f>
        <v>0</v>
      </c>
      <c r="AE33" s="20" t="n">
        <f aca="false">Tax!AE30-Tax!AE31+MAX(-Tax!AE29,0)</f>
        <v>0</v>
      </c>
      <c r="AF33" s="20" t="n">
        <f aca="false">Tax!AF30-Tax!AF31+MAX(-Tax!AF29,0)</f>
        <v>0</v>
      </c>
      <c r="AG33" s="20" t="n">
        <f aca="false">Tax!AG30-Tax!AG31+MAX(-Tax!AG29,0)</f>
        <v>0</v>
      </c>
      <c r="AH33" s="20" t="n">
        <f aca="false">Tax!AH30-Tax!AH31+MAX(-Tax!AH29,0)</f>
        <v>0</v>
      </c>
      <c r="AI33" s="20" t="n">
        <f aca="false">Tax!AI30-Tax!AI31+MAX(-Tax!AI29,0)</f>
        <v>0</v>
      </c>
      <c r="AJ33" s="20" t="n">
        <f aca="false">Tax!AJ30-Tax!AJ31+MAX(-Tax!AJ29,0)</f>
        <v>0</v>
      </c>
      <c r="AK33" s="20" t="n">
        <f aca="false">Tax!AK30-Tax!AK31+MAX(-Tax!AK29,0)</f>
        <v>0</v>
      </c>
      <c r="AL33" s="20" t="n">
        <f aca="false">Tax!AL30-Tax!AL31+MAX(-Tax!AL29,0)</f>
        <v>0</v>
      </c>
      <c r="AM33" s="20" t="n">
        <f aca="false">Tax!AM30-Tax!AM31+MAX(-Tax!AM29,0)</f>
        <v>0</v>
      </c>
      <c r="AN33" s="20" t="n">
        <f aca="false">Tax!AN30-Tax!AN31+MAX(-Tax!AN29,0)</f>
        <v>0</v>
      </c>
      <c r="AO33" s="20" t="n">
        <f aca="false">Tax!AO30-Tax!AO31+MAX(-Tax!AO29,0)</f>
        <v>0</v>
      </c>
      <c r="AP33" s="20" t="n">
        <f aca="false">Tax!AP30-Tax!AP31+MAX(-Tax!AP29,0)</f>
        <v>0</v>
      </c>
      <c r="AQ33" s="20" t="n">
        <f aca="false">Tax!AQ30-Tax!AQ31+MAX(-Tax!AQ29,0)</f>
        <v>0</v>
      </c>
      <c r="AR33" s="20" t="n">
        <f aca="false">Tax!AR30-Tax!AR31+MAX(-Tax!AR29,0)</f>
        <v>10.0942482153661</v>
      </c>
      <c r="AS33" s="20" t="n">
        <f aca="false">Tax!AS30-Tax!AS31+MAX(-Tax!AS29,0)</f>
        <v>9.71946438151079</v>
      </c>
      <c r="AT33" s="20" t="n">
        <f aca="false">Tax!AT30-Tax!AT31+MAX(-Tax!AT29,0)</f>
        <v>9.43345039169958</v>
      </c>
      <c r="AU33" s="20" t="n">
        <f aca="false">Tax!AU30-Tax!AU31+MAX(-Tax!AU29,0)</f>
        <v>20.5621207160319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897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898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899</v>
      </c>
      <c r="E8" s="0" t="s">
        <v>458</v>
      </c>
      <c r="J8" s="14" t="n">
        <f aca="false">MAX(0,MIN(Inputs!$F$277,Time!J$6)-MAX(Inputs!$F$276,Time!J$5))/Time!J$7</f>
        <v>0.778082191780822</v>
      </c>
      <c r="K8" s="14" t="n">
        <f aca="false">MAX(0,MIN(Inputs!$F$277,Time!K$6)-MAX(Inputs!$F$276,Time!K$5))/Time!K$7</f>
        <v>1</v>
      </c>
      <c r="L8" s="14" t="n">
        <f aca="false">MAX(0,MIN(Inputs!$F$277,Time!L$6)-MAX(Inputs!$F$276,Time!L$5))/Time!L$7</f>
        <v>1</v>
      </c>
      <c r="M8" s="14" t="n">
        <f aca="false">MAX(0,MIN(Inputs!$F$277,Time!M$6)-MAX(Inputs!$F$276,Time!M$5))/Time!M$7</f>
        <v>1</v>
      </c>
      <c r="N8" s="14" t="n">
        <f aca="false">MAX(0,MIN(Inputs!$F$277,Time!N$6)-MAX(Inputs!$F$276,Time!N$5))/Time!N$7</f>
        <v>1</v>
      </c>
      <c r="O8" s="14" t="n">
        <f aca="false">MAX(0,MIN(Inputs!$F$277,Time!O$6)-MAX(Inputs!$F$276,Time!O$5))/Time!O$7</f>
        <v>1</v>
      </c>
      <c r="P8" s="14" t="n">
        <f aca="false">MAX(0,MIN(Inputs!$F$277,Time!P$6)-MAX(Inputs!$F$276,Time!P$5))/Time!P$7</f>
        <v>1</v>
      </c>
      <c r="Q8" s="14" t="n">
        <f aca="false">MAX(0,MIN(Inputs!$F$277,Time!Q$6)-MAX(Inputs!$F$276,Time!Q$5))/Time!Q$7</f>
        <v>1</v>
      </c>
      <c r="R8" s="14" t="n">
        <f aca="false">MAX(0,MIN(Inputs!$F$277,Time!R$6)-MAX(Inputs!$F$276,Time!R$5))/Time!R$7</f>
        <v>1</v>
      </c>
      <c r="S8" s="14" t="n">
        <f aca="false">MAX(0,MIN(Inputs!$F$277,Time!S$6)-MAX(Inputs!$F$276,Time!S$5))/Time!S$7</f>
        <v>1</v>
      </c>
      <c r="T8" s="14" t="n">
        <f aca="false">MAX(0,MIN(Inputs!$F$277,Time!T$6)-MAX(Inputs!$F$276,Time!T$5))/Time!T$7</f>
        <v>1</v>
      </c>
      <c r="U8" s="14" t="n">
        <f aca="false">MAX(0,MIN(Inputs!$F$277,Time!U$6)-MAX(Inputs!$F$276,Time!U$5))/Time!U$7</f>
        <v>1</v>
      </c>
      <c r="V8" s="14" t="n">
        <f aca="false">MAX(0,MIN(Inputs!$F$277,Time!V$6)-MAX(Inputs!$F$276,Time!V$5))/Time!V$7</f>
        <v>1</v>
      </c>
      <c r="W8" s="14" t="n">
        <f aca="false">MAX(0,MIN(Inputs!$F$277,Time!W$6)-MAX(Inputs!$F$276,Time!W$5))/Time!W$7</f>
        <v>1</v>
      </c>
      <c r="X8" s="14" t="n">
        <f aca="false">MAX(0,MIN(Inputs!$F$277,Time!X$6)-MAX(Inputs!$F$276,Time!X$5))/Time!X$7</f>
        <v>1</v>
      </c>
      <c r="Y8" s="14" t="n">
        <f aca="false">MAX(0,MIN(Inputs!$F$277,Time!Y$6)-MAX(Inputs!$F$276,Time!Y$5))/Time!Y$7</f>
        <v>1</v>
      </c>
      <c r="Z8" s="14" t="n">
        <f aca="false">MAX(0,MIN(Inputs!$F$277,Time!Z$6)-MAX(Inputs!$F$276,Time!Z$5))/Time!Z$7</f>
        <v>1</v>
      </c>
      <c r="AA8" s="14" t="n">
        <f aca="false">MAX(0,MIN(Inputs!$F$277,Time!AA$6)-MAX(Inputs!$F$276,Time!AA$5))/Time!AA$7</f>
        <v>1</v>
      </c>
      <c r="AB8" s="14" t="n">
        <f aca="false">MAX(0,MIN(Inputs!$F$277,Time!AB$6)-MAX(Inputs!$F$276,Time!AB$5))/Time!AB$7</f>
        <v>1</v>
      </c>
      <c r="AC8" s="14" t="n">
        <f aca="false">MAX(0,MIN(Inputs!$F$277,Time!AC$6)-MAX(Inputs!$F$276,Time!AC$5))/Time!AC$7</f>
        <v>0</v>
      </c>
      <c r="AD8" s="14" t="n">
        <f aca="false">MAX(0,MIN(Inputs!$F$277,Time!AD$6)-MAX(Inputs!$F$276,Time!AD$5))/Time!AD$7</f>
        <v>0</v>
      </c>
      <c r="AE8" s="14" t="n">
        <f aca="false">MAX(0,MIN(Inputs!$F$277,Time!AE$6)-MAX(Inputs!$F$276,Time!AE$5))/Time!AE$7</f>
        <v>0</v>
      </c>
      <c r="AF8" s="14" t="n">
        <f aca="false">MAX(0,MIN(Inputs!$F$277,Time!AF$6)-MAX(Inputs!$F$276,Time!AF$5))/Time!AF$7</f>
        <v>0</v>
      </c>
      <c r="AG8" s="14" t="n">
        <f aca="false">MAX(0,MIN(Inputs!$F$277,Time!AG$6)-MAX(Inputs!$F$276,Time!AG$5))/Time!AG$7</f>
        <v>0</v>
      </c>
      <c r="AH8" s="14" t="n">
        <f aca="false">MAX(0,MIN(Inputs!$F$277,Time!AH$6)-MAX(Inputs!$F$276,Time!AH$5))/Time!AH$7</f>
        <v>0</v>
      </c>
      <c r="AI8" s="14" t="n">
        <f aca="false">MAX(0,MIN(Inputs!$F$277,Time!AI$6)-MAX(Inputs!$F$276,Time!AI$5))/Time!AI$7</f>
        <v>0</v>
      </c>
      <c r="AJ8" s="14" t="n">
        <f aca="false">MAX(0,MIN(Inputs!$F$277,Time!AJ$6)-MAX(Inputs!$F$276,Time!AJ$5))/Time!AJ$7</f>
        <v>0</v>
      </c>
      <c r="AK8" s="14" t="n">
        <f aca="false">MAX(0,MIN(Inputs!$F$277,Time!AK$6)-MAX(Inputs!$F$276,Time!AK$5))/Time!AK$7</f>
        <v>0</v>
      </c>
      <c r="AL8" s="14" t="n">
        <f aca="false">MAX(0,MIN(Inputs!$F$277,Time!AL$6)-MAX(Inputs!$F$276,Time!AL$5))/Time!AL$7</f>
        <v>0</v>
      </c>
      <c r="AM8" s="14" t="n">
        <f aca="false">MAX(0,MIN(Inputs!$F$277,Time!AM$6)-MAX(Inputs!$F$276,Time!AM$5))/Time!AM$7</f>
        <v>0</v>
      </c>
      <c r="AN8" s="14" t="n">
        <f aca="false">MAX(0,MIN(Inputs!$F$277,Time!AN$6)-MAX(Inputs!$F$276,Time!AN$5))/Time!AN$7</f>
        <v>0</v>
      </c>
      <c r="AO8" s="14" t="n">
        <f aca="false">MAX(0,MIN(Inputs!$F$277,Time!AO$6)-MAX(Inputs!$F$276,Time!AO$5))/Time!AO$7</f>
        <v>0</v>
      </c>
      <c r="AP8" s="14" t="n">
        <f aca="false">MAX(0,MIN(Inputs!$F$277,Time!AP$6)-MAX(Inputs!$F$276,Time!AP$5))/Time!AP$7</f>
        <v>0</v>
      </c>
      <c r="AQ8" s="14" t="n">
        <f aca="false">MAX(0,MIN(Inputs!$F$277,Time!AQ$6)-MAX(Inputs!$F$276,Time!AQ$5))/Time!AQ$7</f>
        <v>0</v>
      </c>
      <c r="AR8" s="14" t="n">
        <f aca="false">MAX(0,MIN(Inputs!$F$277,Time!AR$6)-MAX(Inputs!$F$276,Time!AR$5))/Time!AR$7</f>
        <v>0</v>
      </c>
      <c r="AS8" s="14" t="n">
        <f aca="false">MAX(0,MIN(Inputs!$F$277,Time!AS$6)-MAX(Inputs!$F$276,Time!AS$5))/Time!AS$7</f>
        <v>0</v>
      </c>
      <c r="AT8" s="14" t="n">
        <f aca="false">MAX(0,MIN(Inputs!$F$277,Time!AT$6)-MAX(Inputs!$F$276,Time!AT$5))/Time!AT$7</f>
        <v>0</v>
      </c>
      <c r="AU8" s="14" t="n">
        <f aca="false">MAX(0,MIN(Inputs!$F$277,Time!AU$6)-MAX(Inputs!$F$276,Time!AU$5))/Time!AU$7</f>
        <v>0</v>
      </c>
    </row>
    <row r="9" customFormat="false" ht="15" hidden="false" customHeight="false" outlineLevel="0" collapsed="false">
      <c r="D9" s="0" t="s">
        <v>900</v>
      </c>
      <c r="E9" s="0" t="s">
        <v>458</v>
      </c>
      <c r="J9" s="14" t="n">
        <f aca="false">MAX(0,MIN(Inputs!$F$280,Time!J$6)-Time!J$5)/Time!J$7</f>
        <v>1</v>
      </c>
      <c r="K9" s="14" t="n">
        <f aca="false">MAX(0,MIN(Inputs!$F$280,Time!K$6)-Time!K$5)/Time!K$7</f>
        <v>1</v>
      </c>
      <c r="L9" s="14" t="n">
        <f aca="false">MAX(0,MIN(Inputs!$F$280,Time!L$6)-Time!L$5)/Time!L$7</f>
        <v>1</v>
      </c>
      <c r="M9" s="14" t="n">
        <f aca="false">MAX(0,MIN(Inputs!$F$280,Time!M$6)-Time!M$5)/Time!M$7</f>
        <v>1</v>
      </c>
      <c r="N9" s="14" t="n">
        <f aca="false">MAX(0,MIN(Inputs!$F$280,Time!N$6)-Time!N$5)/Time!N$7</f>
        <v>0.221917808219178</v>
      </c>
      <c r="O9" s="14" t="n">
        <f aca="false">MAX(0,MIN(Inputs!$F$280,Time!O$6)-Time!O$5)/Time!O$7</f>
        <v>0</v>
      </c>
      <c r="P9" s="14" t="n">
        <f aca="false">MAX(0,MIN(Inputs!$F$280,Time!P$6)-Time!P$5)/Time!P$7</f>
        <v>0</v>
      </c>
      <c r="Q9" s="14" t="n">
        <f aca="false">MAX(0,MIN(Inputs!$F$280,Time!Q$6)-Time!Q$5)/Time!Q$7</f>
        <v>0</v>
      </c>
      <c r="R9" s="14" t="n">
        <f aca="false">MAX(0,MIN(Inputs!$F$280,Time!R$6)-Time!R$5)/Time!R$7</f>
        <v>0</v>
      </c>
      <c r="S9" s="14" t="n">
        <f aca="false">MAX(0,MIN(Inputs!$F$280,Time!S$6)-Time!S$5)/Time!S$7</f>
        <v>0</v>
      </c>
      <c r="T9" s="14" t="n">
        <f aca="false">MAX(0,MIN(Inputs!$F$280,Time!T$6)-Time!T$5)/Time!T$7</f>
        <v>0</v>
      </c>
      <c r="U9" s="14" t="n">
        <f aca="false">MAX(0,MIN(Inputs!$F$280,Time!U$6)-Time!U$5)/Time!U$7</f>
        <v>0</v>
      </c>
      <c r="V9" s="14" t="n">
        <f aca="false">MAX(0,MIN(Inputs!$F$280,Time!V$6)-Time!V$5)/Time!V$7</f>
        <v>0</v>
      </c>
      <c r="W9" s="14" t="n">
        <f aca="false">MAX(0,MIN(Inputs!$F$280,Time!W$6)-Time!W$5)/Time!W$7</f>
        <v>0</v>
      </c>
      <c r="X9" s="14" t="n">
        <f aca="false">MAX(0,MIN(Inputs!$F$280,Time!X$6)-Time!X$5)/Time!X$7</f>
        <v>0</v>
      </c>
      <c r="Y9" s="14" t="n">
        <f aca="false">MAX(0,MIN(Inputs!$F$280,Time!Y$6)-Time!Y$5)/Time!Y$7</f>
        <v>0</v>
      </c>
      <c r="Z9" s="14" t="n">
        <f aca="false">MAX(0,MIN(Inputs!$F$280,Time!Z$6)-Time!Z$5)/Time!Z$7</f>
        <v>0</v>
      </c>
      <c r="AA9" s="14" t="n">
        <f aca="false">MAX(0,MIN(Inputs!$F$280,Time!AA$6)-Time!AA$5)/Time!AA$7</f>
        <v>0</v>
      </c>
      <c r="AB9" s="14" t="n">
        <f aca="false">MAX(0,MIN(Inputs!$F$280,Time!AB$6)-Time!AB$5)/Time!AB$7</f>
        <v>0</v>
      </c>
      <c r="AC9" s="14" t="n">
        <f aca="false">MAX(0,MIN(Inputs!$F$280,Time!AC$6)-Time!AC$5)/Time!AC$7</f>
        <v>0</v>
      </c>
      <c r="AD9" s="14" t="n">
        <f aca="false">MAX(0,MIN(Inputs!$F$280,Time!AD$6)-Time!AD$5)/Time!AD$7</f>
        <v>0</v>
      </c>
      <c r="AE9" s="14" t="n">
        <f aca="false">MAX(0,MIN(Inputs!$F$280,Time!AE$6)-Time!AE$5)/Time!AE$7</f>
        <v>0</v>
      </c>
      <c r="AF9" s="14" t="n">
        <f aca="false">MAX(0,MIN(Inputs!$F$280,Time!AF$6)-Time!AF$5)/Time!AF$7</f>
        <v>0</v>
      </c>
      <c r="AG9" s="14" t="n">
        <f aca="false">MAX(0,MIN(Inputs!$F$280,Time!AG$6)-Time!AG$5)/Time!AG$7</f>
        <v>0</v>
      </c>
      <c r="AH9" s="14" t="n">
        <f aca="false">MAX(0,MIN(Inputs!$F$280,Time!AH$6)-Time!AH$5)/Time!AH$7</f>
        <v>0</v>
      </c>
      <c r="AI9" s="14" t="n">
        <f aca="false">MAX(0,MIN(Inputs!$F$280,Time!AI$6)-Time!AI$5)/Time!AI$7</f>
        <v>0</v>
      </c>
      <c r="AJ9" s="14" t="n">
        <f aca="false">MAX(0,MIN(Inputs!$F$280,Time!AJ$6)-Time!AJ$5)/Time!AJ$7</f>
        <v>0</v>
      </c>
      <c r="AK9" s="14" t="n">
        <f aca="false">MAX(0,MIN(Inputs!$F$280,Time!AK$6)-Time!AK$5)/Time!AK$7</f>
        <v>0</v>
      </c>
      <c r="AL9" s="14" t="n">
        <f aca="false">MAX(0,MIN(Inputs!$F$280,Time!AL$6)-Time!AL$5)/Time!AL$7</f>
        <v>0</v>
      </c>
      <c r="AM9" s="14" t="n">
        <f aca="false">MAX(0,MIN(Inputs!$F$280,Time!AM$6)-Time!AM$5)/Time!AM$7</f>
        <v>0</v>
      </c>
      <c r="AN9" s="14" t="n">
        <f aca="false">MAX(0,MIN(Inputs!$F$280,Time!AN$6)-Time!AN$5)/Time!AN$7</f>
        <v>0</v>
      </c>
      <c r="AO9" s="14" t="n">
        <f aca="false">MAX(0,MIN(Inputs!$F$280,Time!AO$6)-Time!AO$5)/Time!AO$7</f>
        <v>0</v>
      </c>
      <c r="AP9" s="14" t="n">
        <f aca="false">MAX(0,MIN(Inputs!$F$280,Time!AP$6)-Time!AP$5)/Time!AP$7</f>
        <v>0</v>
      </c>
      <c r="AQ9" s="14" t="n">
        <f aca="false">MAX(0,MIN(Inputs!$F$280,Time!AQ$6)-Time!AQ$5)/Time!AQ$7</f>
        <v>0</v>
      </c>
      <c r="AR9" s="14" t="n">
        <f aca="false">MAX(0,MIN(Inputs!$F$280,Time!AR$6)-Time!AR$5)/Time!AR$7</f>
        <v>0</v>
      </c>
      <c r="AS9" s="14" t="n">
        <f aca="false">MAX(0,MIN(Inputs!$F$280,Time!AS$6)-Time!AS$5)/Time!AS$7</f>
        <v>0</v>
      </c>
      <c r="AT9" s="14" t="n">
        <f aca="false">MAX(0,MIN(Inputs!$F$280,Time!AT$6)-Time!AT$5)/Time!AT$7</f>
        <v>0</v>
      </c>
      <c r="AU9" s="14" t="n">
        <f aca="false">MAX(0,MIN(Inputs!$F$280,Time!AU$6)-Time!AU$5)/Time!AU$7</f>
        <v>0</v>
      </c>
    </row>
    <row r="10" customFormat="false" ht="15" hidden="false" customHeight="false" outlineLevel="0" collapsed="false">
      <c r="D10" s="0" t="s">
        <v>901</v>
      </c>
      <c r="E10" s="0" t="s">
        <v>84</v>
      </c>
      <c r="J10" s="15" t="n">
        <f aca="false">Inputs!$F$279-(Inputs!$F$279-Inputs!$F$278)*Funding!J9</f>
        <v>1.625</v>
      </c>
      <c r="K10" s="15" t="n">
        <f aca="false">Inputs!$F$279-(Inputs!$F$279-Inputs!$F$278)*Funding!K9</f>
        <v>1.625</v>
      </c>
      <c r="L10" s="15" t="n">
        <f aca="false">Inputs!$F$279-(Inputs!$F$279-Inputs!$F$278)*Funding!L9</f>
        <v>1.625</v>
      </c>
      <c r="M10" s="15" t="n">
        <f aca="false">Inputs!$F$279-(Inputs!$F$279-Inputs!$F$278)*Funding!M9</f>
        <v>1.625</v>
      </c>
      <c r="N10" s="15" t="n">
        <f aca="false">Inputs!$F$279-(Inputs!$F$279-Inputs!$F$278)*Funding!N9</f>
        <v>1.81952054794521</v>
      </c>
      <c r="O10" s="15" t="n">
        <f aca="false">Inputs!$F$279-(Inputs!$F$279-Inputs!$F$278)*Funding!O9</f>
        <v>1.875</v>
      </c>
      <c r="P10" s="15" t="n">
        <f aca="false">Inputs!$F$279-(Inputs!$F$279-Inputs!$F$278)*Funding!P9</f>
        <v>1.875</v>
      </c>
      <c r="Q10" s="15" t="n">
        <f aca="false">Inputs!$F$279-(Inputs!$F$279-Inputs!$F$278)*Funding!Q9</f>
        <v>1.875</v>
      </c>
      <c r="R10" s="15" t="n">
        <f aca="false">Inputs!$F$279-(Inputs!$F$279-Inputs!$F$278)*Funding!R9</f>
        <v>1.875</v>
      </c>
      <c r="S10" s="15" t="n">
        <f aca="false">Inputs!$F$279-(Inputs!$F$279-Inputs!$F$278)*Funding!S9</f>
        <v>1.875</v>
      </c>
      <c r="T10" s="15" t="n">
        <f aca="false">Inputs!$F$279-(Inputs!$F$279-Inputs!$F$278)*Funding!T9</f>
        <v>1.875</v>
      </c>
      <c r="U10" s="15" t="n">
        <f aca="false">Inputs!$F$279-(Inputs!$F$279-Inputs!$F$278)*Funding!U9</f>
        <v>1.875</v>
      </c>
      <c r="V10" s="15" t="n">
        <f aca="false">Inputs!$F$279-(Inputs!$F$279-Inputs!$F$278)*Funding!V9</f>
        <v>1.875</v>
      </c>
      <c r="W10" s="15" t="n">
        <f aca="false">Inputs!$F$279-(Inputs!$F$279-Inputs!$F$278)*Funding!W9</f>
        <v>1.875</v>
      </c>
      <c r="X10" s="15" t="n">
        <f aca="false">Inputs!$F$279-(Inputs!$F$279-Inputs!$F$278)*Funding!X9</f>
        <v>1.875</v>
      </c>
      <c r="Y10" s="15" t="n">
        <f aca="false">Inputs!$F$279-(Inputs!$F$279-Inputs!$F$278)*Funding!Y9</f>
        <v>1.875</v>
      </c>
      <c r="Z10" s="15" t="n">
        <f aca="false">Inputs!$F$279-(Inputs!$F$279-Inputs!$F$278)*Funding!Z9</f>
        <v>1.875</v>
      </c>
      <c r="AA10" s="15" t="n">
        <f aca="false">Inputs!$F$279-(Inputs!$F$279-Inputs!$F$278)*Funding!AA9</f>
        <v>1.875</v>
      </c>
      <c r="AB10" s="15" t="n">
        <f aca="false">Inputs!$F$279-(Inputs!$F$279-Inputs!$F$278)*Funding!AB9</f>
        <v>1.875</v>
      </c>
      <c r="AC10" s="15" t="n">
        <f aca="false">Inputs!$F$279-(Inputs!$F$279-Inputs!$F$278)*Funding!AC9</f>
        <v>1.875</v>
      </c>
      <c r="AD10" s="15" t="n">
        <f aca="false">Inputs!$F$279-(Inputs!$F$279-Inputs!$F$278)*Funding!AD9</f>
        <v>1.875</v>
      </c>
      <c r="AE10" s="15" t="n">
        <f aca="false">Inputs!$F$279-(Inputs!$F$279-Inputs!$F$278)*Funding!AE9</f>
        <v>1.875</v>
      </c>
      <c r="AF10" s="15" t="n">
        <f aca="false">Inputs!$F$279-(Inputs!$F$279-Inputs!$F$278)*Funding!AF9</f>
        <v>1.875</v>
      </c>
      <c r="AG10" s="15" t="n">
        <f aca="false">Inputs!$F$279-(Inputs!$F$279-Inputs!$F$278)*Funding!AG9</f>
        <v>1.875</v>
      </c>
      <c r="AH10" s="15" t="n">
        <f aca="false">Inputs!$F$279-(Inputs!$F$279-Inputs!$F$278)*Funding!AH9</f>
        <v>1.875</v>
      </c>
      <c r="AI10" s="15" t="n">
        <f aca="false">Inputs!$F$279-(Inputs!$F$279-Inputs!$F$278)*Funding!AI9</f>
        <v>1.875</v>
      </c>
      <c r="AJ10" s="15" t="n">
        <f aca="false">Inputs!$F$279-(Inputs!$F$279-Inputs!$F$278)*Funding!AJ9</f>
        <v>1.875</v>
      </c>
      <c r="AK10" s="15" t="n">
        <f aca="false">Inputs!$F$279-(Inputs!$F$279-Inputs!$F$278)*Funding!AK9</f>
        <v>1.875</v>
      </c>
      <c r="AL10" s="15" t="n">
        <f aca="false">Inputs!$F$279-(Inputs!$F$279-Inputs!$F$278)*Funding!AL9</f>
        <v>1.875</v>
      </c>
      <c r="AM10" s="15" t="n">
        <f aca="false">Inputs!$F$279-(Inputs!$F$279-Inputs!$F$278)*Funding!AM9</f>
        <v>1.875</v>
      </c>
      <c r="AN10" s="15" t="n">
        <f aca="false">Inputs!$F$279-(Inputs!$F$279-Inputs!$F$278)*Funding!AN9</f>
        <v>1.875</v>
      </c>
      <c r="AO10" s="15" t="n">
        <f aca="false">Inputs!$F$279-(Inputs!$F$279-Inputs!$F$278)*Funding!AO9</f>
        <v>1.875</v>
      </c>
      <c r="AP10" s="15" t="n">
        <f aca="false">Inputs!$F$279-(Inputs!$F$279-Inputs!$F$278)*Funding!AP9</f>
        <v>1.875</v>
      </c>
      <c r="AQ10" s="15" t="n">
        <f aca="false">Inputs!$F$279-(Inputs!$F$279-Inputs!$F$278)*Funding!AQ9</f>
        <v>1.875</v>
      </c>
      <c r="AR10" s="15" t="n">
        <f aca="false">Inputs!$F$279-(Inputs!$F$279-Inputs!$F$278)*Funding!AR9</f>
        <v>1.875</v>
      </c>
      <c r="AS10" s="15" t="n">
        <f aca="false">Inputs!$F$279-(Inputs!$F$279-Inputs!$F$278)*Funding!AS9</f>
        <v>1.875</v>
      </c>
      <c r="AT10" s="15" t="n">
        <f aca="false">Inputs!$F$279-(Inputs!$F$279-Inputs!$F$278)*Funding!AT9</f>
        <v>1.875</v>
      </c>
      <c r="AU10" s="15" t="n">
        <f aca="false">Inputs!$F$279-(Inputs!$F$279-Inputs!$F$278)*Funding!AU9</f>
        <v>1.875</v>
      </c>
    </row>
    <row r="11" customFormat="false" ht="15" hidden="false" customHeight="false" outlineLevel="0" collapsed="false">
      <c r="D11" s="0" t="s">
        <v>902</v>
      </c>
      <c r="E11" s="0" t="s">
        <v>458</v>
      </c>
      <c r="J11" s="14" t="n">
        <f aca="false">Inputs!$F$286/100*MAX(0,MIN(Inputs!$F$288,Time!J$6)-Time!J$5)/Time!J$7</f>
        <v>0.85</v>
      </c>
      <c r="K11" s="14" t="n">
        <f aca="false">Inputs!$F$286/100*MAX(0,MIN(Inputs!$F$288,Time!K$6)-Time!K$5)/Time!K$7</f>
        <v>0.85</v>
      </c>
      <c r="L11" s="14" t="n">
        <f aca="false">Inputs!$F$286/100*MAX(0,MIN(Inputs!$F$288,Time!L$6)-Time!L$5)/Time!L$7</f>
        <v>0.85</v>
      </c>
      <c r="M11" s="14" t="n">
        <f aca="false">Inputs!$F$286/100*MAX(0,MIN(Inputs!$F$288,Time!M$6)-Time!M$5)/Time!M$7</f>
        <v>0.85</v>
      </c>
      <c r="N11" s="14" t="n">
        <f aca="false">Inputs!$F$286/100*MAX(0,MIN(Inputs!$F$288,Time!N$6)-Time!N$5)/Time!N$7</f>
        <v>0.85</v>
      </c>
      <c r="O11" s="14" t="n">
        <f aca="false">Inputs!$F$286/100*MAX(0,MIN(Inputs!$F$288,Time!O$6)-Time!O$5)/Time!O$7</f>
        <v>0.85</v>
      </c>
      <c r="P11" s="14" t="n">
        <f aca="false">Inputs!$F$286/100*MAX(0,MIN(Inputs!$F$288,Time!P$6)-Time!P$5)/Time!P$7</f>
        <v>0.85</v>
      </c>
      <c r="Q11" s="14" t="n">
        <f aca="false">Inputs!$F$286/100*MAX(0,MIN(Inputs!$F$288,Time!Q$6)-Time!Q$5)/Time!Q$7</f>
        <v>0.188630136986301</v>
      </c>
      <c r="R11" s="14" t="n">
        <f aca="false">Inputs!$F$286/100*MAX(0,MIN(Inputs!$F$288,Time!R$6)-Time!R$5)/Time!R$7</f>
        <v>0</v>
      </c>
      <c r="S11" s="14" t="n">
        <f aca="false">Inputs!$F$286/100*MAX(0,MIN(Inputs!$F$288,Time!S$6)-Time!S$5)/Time!S$7</f>
        <v>0</v>
      </c>
      <c r="T11" s="14" t="n">
        <f aca="false">Inputs!$F$286/100*MAX(0,MIN(Inputs!$F$288,Time!T$6)-Time!T$5)/Time!T$7</f>
        <v>0</v>
      </c>
      <c r="U11" s="14" t="n">
        <f aca="false">Inputs!$F$286/100*MAX(0,MIN(Inputs!$F$288,Time!U$6)-Time!U$5)/Time!U$7</f>
        <v>0</v>
      </c>
      <c r="V11" s="14" t="n">
        <f aca="false">Inputs!$F$286/100*MAX(0,MIN(Inputs!$F$288,Time!V$6)-Time!V$5)/Time!V$7</f>
        <v>0</v>
      </c>
      <c r="W11" s="14" t="n">
        <f aca="false">Inputs!$F$286/100*MAX(0,MIN(Inputs!$F$288,Time!W$6)-Time!W$5)/Time!W$7</f>
        <v>0</v>
      </c>
      <c r="X11" s="14" t="n">
        <f aca="false">Inputs!$F$286/100*MAX(0,MIN(Inputs!$F$288,Time!X$6)-Time!X$5)/Time!X$7</f>
        <v>0</v>
      </c>
      <c r="Y11" s="14" t="n">
        <f aca="false">Inputs!$F$286/100*MAX(0,MIN(Inputs!$F$288,Time!Y$6)-Time!Y$5)/Time!Y$7</f>
        <v>0</v>
      </c>
      <c r="Z11" s="14" t="n">
        <f aca="false">Inputs!$F$286/100*MAX(0,MIN(Inputs!$F$288,Time!Z$6)-Time!Z$5)/Time!Z$7</f>
        <v>0</v>
      </c>
      <c r="AA11" s="14" t="n">
        <f aca="false">Inputs!$F$286/100*MAX(0,MIN(Inputs!$F$288,Time!AA$6)-Time!AA$5)/Time!AA$7</f>
        <v>0</v>
      </c>
      <c r="AB11" s="14" t="n">
        <f aca="false">Inputs!$F$286/100*MAX(0,MIN(Inputs!$F$288,Time!AB$6)-Time!AB$5)/Time!AB$7</f>
        <v>0</v>
      </c>
      <c r="AC11" s="14" t="n">
        <f aca="false">Inputs!$F$286/100*MAX(0,MIN(Inputs!$F$288,Time!AC$6)-Time!AC$5)/Time!AC$7</f>
        <v>0</v>
      </c>
      <c r="AD11" s="14" t="n">
        <f aca="false">Inputs!$F$286/100*MAX(0,MIN(Inputs!$F$288,Time!AD$6)-Time!AD$5)/Time!AD$7</f>
        <v>0</v>
      </c>
      <c r="AE11" s="14" t="n">
        <f aca="false">Inputs!$F$286/100*MAX(0,MIN(Inputs!$F$288,Time!AE$6)-Time!AE$5)/Time!AE$7</f>
        <v>0</v>
      </c>
      <c r="AF11" s="14" t="n">
        <f aca="false">Inputs!$F$286/100*MAX(0,MIN(Inputs!$F$288,Time!AF$6)-Time!AF$5)/Time!AF$7</f>
        <v>0</v>
      </c>
      <c r="AG11" s="14" t="n">
        <f aca="false">Inputs!$F$286/100*MAX(0,MIN(Inputs!$F$288,Time!AG$6)-Time!AG$5)/Time!AG$7</f>
        <v>0</v>
      </c>
      <c r="AH11" s="14" t="n">
        <f aca="false">Inputs!$F$286/100*MAX(0,MIN(Inputs!$F$288,Time!AH$6)-Time!AH$5)/Time!AH$7</f>
        <v>0</v>
      </c>
      <c r="AI11" s="14" t="n">
        <f aca="false">Inputs!$F$286/100*MAX(0,MIN(Inputs!$F$288,Time!AI$6)-Time!AI$5)/Time!AI$7</f>
        <v>0</v>
      </c>
      <c r="AJ11" s="14" t="n">
        <f aca="false">Inputs!$F$286/100*MAX(0,MIN(Inputs!$F$288,Time!AJ$6)-Time!AJ$5)/Time!AJ$7</f>
        <v>0</v>
      </c>
      <c r="AK11" s="14" t="n">
        <f aca="false">Inputs!$F$286/100*MAX(0,MIN(Inputs!$F$288,Time!AK$6)-Time!AK$5)/Time!AK$7</f>
        <v>0</v>
      </c>
      <c r="AL11" s="14" t="n">
        <f aca="false">Inputs!$F$286/100*MAX(0,MIN(Inputs!$F$288,Time!AL$6)-Time!AL$5)/Time!AL$7</f>
        <v>0</v>
      </c>
      <c r="AM11" s="14" t="n">
        <f aca="false">Inputs!$F$286/100*MAX(0,MIN(Inputs!$F$288,Time!AM$6)-Time!AM$5)/Time!AM$7</f>
        <v>0</v>
      </c>
      <c r="AN11" s="14" t="n">
        <f aca="false">Inputs!$F$286/100*MAX(0,MIN(Inputs!$F$288,Time!AN$6)-Time!AN$5)/Time!AN$7</f>
        <v>0</v>
      </c>
      <c r="AO11" s="14" t="n">
        <f aca="false">Inputs!$F$286/100*MAX(0,MIN(Inputs!$F$288,Time!AO$6)-Time!AO$5)/Time!AO$7</f>
        <v>0</v>
      </c>
      <c r="AP11" s="14" t="n">
        <f aca="false">Inputs!$F$286/100*MAX(0,MIN(Inputs!$F$288,Time!AP$6)-Time!AP$5)/Time!AP$7</f>
        <v>0</v>
      </c>
      <c r="AQ11" s="14" t="n">
        <f aca="false">Inputs!$F$286/100*MAX(0,MIN(Inputs!$F$288,Time!AQ$6)-Time!AQ$5)/Time!AQ$7</f>
        <v>0</v>
      </c>
      <c r="AR11" s="14" t="n">
        <f aca="false">Inputs!$F$286/100*MAX(0,MIN(Inputs!$F$288,Time!AR$6)-Time!AR$5)/Time!AR$7</f>
        <v>0</v>
      </c>
      <c r="AS11" s="14" t="n">
        <f aca="false">Inputs!$F$286/100*MAX(0,MIN(Inputs!$F$288,Time!AS$6)-Time!AS$5)/Time!AS$7</f>
        <v>0</v>
      </c>
      <c r="AT11" s="14" t="n">
        <f aca="false">Inputs!$F$286/100*MAX(0,MIN(Inputs!$F$288,Time!AT$6)-Time!AT$5)/Time!AT$7</f>
        <v>0</v>
      </c>
      <c r="AU11" s="14" t="n">
        <f aca="false">Inputs!$F$286/100*MAX(0,MIN(Inputs!$F$288,Time!AU$6)-Time!AU$5)/Time!AU$7</f>
        <v>0</v>
      </c>
    </row>
    <row r="12" customFormat="false" ht="15" hidden="false" customHeight="false" outlineLevel="0" collapsed="false">
      <c r="D12" s="0" t="s">
        <v>903</v>
      </c>
      <c r="E12" s="0" t="s">
        <v>84</v>
      </c>
      <c r="J12" s="15" t="n">
        <f aca="false">Funding!J11*Inputs!$F$287+(1-Funding!J11)*Inputs!J80+Funding!J10</f>
        <v>3.9795</v>
      </c>
      <c r="K12" s="15" t="n">
        <f aca="false">Funding!K11*Inputs!$F$287+(1-Funding!K11)*Inputs!K80+Funding!K10</f>
        <v>4.449</v>
      </c>
      <c r="L12" s="15" t="n">
        <f aca="false">Funding!L11*Inputs!$F$287+(1-Funding!L11)*Inputs!L80+Funding!L10</f>
        <v>4.4475</v>
      </c>
      <c r="M12" s="15" t="n">
        <f aca="false">Funding!M11*Inputs!$F$287+(1-Funding!M11)*Inputs!M80+Funding!M10</f>
        <v>4.314</v>
      </c>
      <c r="N12" s="15" t="n">
        <f aca="false">Funding!N11*Inputs!$F$287+(1-Funding!N11)*Inputs!N80+Funding!N10</f>
        <v>4.41702054794521</v>
      </c>
      <c r="O12" s="15" t="n">
        <f aca="false">Funding!O11*Inputs!$F$287+(1-Funding!O11)*Inputs!O80+Funding!O10</f>
        <v>4.441</v>
      </c>
      <c r="P12" s="15" t="n">
        <f aca="false">Funding!P11*Inputs!$F$287+(1-Funding!P11)*Inputs!P80+Funding!P10</f>
        <v>4.4485</v>
      </c>
      <c r="Q12" s="15" t="n">
        <f aca="false">Funding!Q11*Inputs!$F$287+(1-Funding!Q11)*Inputs!Q80+Funding!Q10</f>
        <v>5.16939315068493</v>
      </c>
      <c r="R12" s="15" t="n">
        <f aca="false">Funding!R11*Inputs!$F$287+(1-Funding!R11)*Inputs!R80+Funding!R10</f>
        <v>5.375</v>
      </c>
      <c r="S12" s="15" t="n">
        <f aca="false">Funding!S11*Inputs!$F$287+(1-Funding!S11)*Inputs!S80+Funding!S10</f>
        <v>5.375</v>
      </c>
      <c r="T12" s="15" t="n">
        <f aca="false">Funding!T11*Inputs!$F$287+(1-Funding!T11)*Inputs!T80+Funding!T10</f>
        <v>5.375</v>
      </c>
      <c r="U12" s="15" t="n">
        <f aca="false">Funding!U11*Inputs!$F$287+(1-Funding!U11)*Inputs!U80+Funding!U10</f>
        <v>5.375</v>
      </c>
      <c r="V12" s="15" t="n">
        <f aca="false">Funding!V11*Inputs!$F$287+(1-Funding!V11)*Inputs!V80+Funding!V10</f>
        <v>5.375</v>
      </c>
      <c r="W12" s="15" t="n">
        <f aca="false">Funding!W11*Inputs!$F$287+(1-Funding!W11)*Inputs!W80+Funding!W10</f>
        <v>5.375</v>
      </c>
      <c r="X12" s="15" t="n">
        <f aca="false">Funding!X11*Inputs!$F$287+(1-Funding!X11)*Inputs!X80+Funding!X10</f>
        <v>5.375</v>
      </c>
      <c r="Y12" s="15" t="n">
        <f aca="false">Funding!Y11*Inputs!$F$287+(1-Funding!Y11)*Inputs!Y80+Funding!Y10</f>
        <v>5.375</v>
      </c>
      <c r="Z12" s="15" t="n">
        <f aca="false">Funding!Z11*Inputs!$F$287+(1-Funding!Z11)*Inputs!Z80+Funding!Z10</f>
        <v>5.375</v>
      </c>
      <c r="AA12" s="15" t="n">
        <f aca="false">Funding!AA11*Inputs!$F$287+(1-Funding!AA11)*Inputs!AA80+Funding!AA10</f>
        <v>5.375</v>
      </c>
      <c r="AB12" s="15" t="n">
        <f aca="false">Funding!AB11*Inputs!$F$287+(1-Funding!AB11)*Inputs!AB80+Funding!AB10</f>
        <v>5.375</v>
      </c>
      <c r="AC12" s="15" t="n">
        <f aca="false">Funding!AC11*Inputs!$F$287+(1-Funding!AC11)*Inputs!AC80+Funding!AC10</f>
        <v>5.375</v>
      </c>
      <c r="AD12" s="15" t="n">
        <f aca="false">Funding!AD11*Inputs!$F$287+(1-Funding!AD11)*Inputs!AD80+Funding!AD10</f>
        <v>5.375</v>
      </c>
      <c r="AE12" s="15" t="n">
        <f aca="false">Funding!AE11*Inputs!$F$287+(1-Funding!AE11)*Inputs!AE80+Funding!AE10</f>
        <v>5.375</v>
      </c>
      <c r="AF12" s="15" t="n">
        <f aca="false">Funding!AF11*Inputs!$F$287+(1-Funding!AF11)*Inputs!AF80+Funding!AF10</f>
        <v>5.375</v>
      </c>
      <c r="AG12" s="15" t="n">
        <f aca="false">Funding!AG11*Inputs!$F$287+(1-Funding!AG11)*Inputs!AG80+Funding!AG10</f>
        <v>5.375</v>
      </c>
      <c r="AH12" s="15" t="n">
        <f aca="false">Funding!AH11*Inputs!$F$287+(1-Funding!AH11)*Inputs!AH80+Funding!AH10</f>
        <v>5.375</v>
      </c>
      <c r="AI12" s="15" t="n">
        <f aca="false">Funding!AI11*Inputs!$F$287+(1-Funding!AI11)*Inputs!AI80+Funding!AI10</f>
        <v>5.375</v>
      </c>
      <c r="AJ12" s="15" t="n">
        <f aca="false">Funding!AJ11*Inputs!$F$287+(1-Funding!AJ11)*Inputs!AJ80+Funding!AJ10</f>
        <v>5.375</v>
      </c>
      <c r="AK12" s="15" t="n">
        <f aca="false">Funding!AK11*Inputs!$F$287+(1-Funding!AK11)*Inputs!AK80+Funding!AK10</f>
        <v>5.375</v>
      </c>
      <c r="AL12" s="15" t="n">
        <f aca="false">Funding!AL11*Inputs!$F$287+(1-Funding!AL11)*Inputs!AL80+Funding!AL10</f>
        <v>5.375</v>
      </c>
      <c r="AM12" s="15" t="n">
        <f aca="false">Funding!AM11*Inputs!$F$287+(1-Funding!AM11)*Inputs!AM80+Funding!AM10</f>
        <v>5.375</v>
      </c>
      <c r="AN12" s="15" t="n">
        <f aca="false">Funding!AN11*Inputs!$F$287+(1-Funding!AN11)*Inputs!AN80+Funding!AN10</f>
        <v>5.375</v>
      </c>
      <c r="AO12" s="15" t="n">
        <f aca="false">Funding!AO11*Inputs!$F$287+(1-Funding!AO11)*Inputs!AO80+Funding!AO10</f>
        <v>5.375</v>
      </c>
      <c r="AP12" s="15" t="n">
        <f aca="false">Funding!AP11*Inputs!$F$287+(1-Funding!AP11)*Inputs!AP80+Funding!AP10</f>
        <v>5.375</v>
      </c>
      <c r="AQ12" s="15" t="n">
        <f aca="false">Funding!AQ11*Inputs!$F$287+(1-Funding!AQ11)*Inputs!AQ80+Funding!AQ10</f>
        <v>5.375</v>
      </c>
      <c r="AR12" s="15" t="n">
        <f aca="false">Funding!AR11*Inputs!$F$287+(1-Funding!AR11)*Inputs!AR80+Funding!AR10</f>
        <v>5.375</v>
      </c>
      <c r="AS12" s="15" t="n">
        <f aca="false">Funding!AS11*Inputs!$F$287+(1-Funding!AS11)*Inputs!AS80+Funding!AS10</f>
        <v>5.375</v>
      </c>
      <c r="AT12" s="15" t="n">
        <f aca="false">Funding!AT11*Inputs!$F$287+(1-Funding!AT11)*Inputs!AT80+Funding!AT10</f>
        <v>5.375</v>
      </c>
      <c r="AU12" s="15" t="n">
        <f aca="false">Funding!AU11*Inputs!$F$287+(1-Funding!AU11)*Inputs!AU80+Funding!AU10</f>
        <v>5.375</v>
      </c>
    </row>
    <row r="13" customFormat="false" ht="15" hidden="false" customHeight="false" outlineLevel="0" collapsed="false">
      <c r="D13" s="0" t="s">
        <v>904</v>
      </c>
      <c r="E13" s="0" t="s">
        <v>47</v>
      </c>
      <c r="J13" s="20" t="n">
        <f aca="false">Operations!J825/Inputs!$F$282+Operations!J826/Inputs!$F$283+Operations!J827/Inputs!$F$284</f>
        <v>29.9760030488673</v>
      </c>
      <c r="K13" s="20" t="n">
        <f aca="false">Operations!K825/Inputs!$F$282+Operations!K826/Inputs!$F$283+Operations!K827/Inputs!$F$284</f>
        <v>33.6486262825329</v>
      </c>
      <c r="L13" s="20" t="n">
        <f aca="false">Operations!L825/Inputs!$F$282+Operations!L826/Inputs!$F$283+Operations!L827/Inputs!$F$284</f>
        <v>30.8008461126089</v>
      </c>
      <c r="M13" s="20" t="n">
        <f aca="false">Operations!M825/Inputs!$F$282+Operations!M826/Inputs!$F$283+Operations!M827/Inputs!$F$284</f>
        <v>30.4395857041492</v>
      </c>
      <c r="N13" s="20" t="n">
        <f aca="false">Operations!N825/Inputs!$F$282+Operations!N826/Inputs!$F$283+Operations!N827/Inputs!$F$284</f>
        <v>29.852694824841</v>
      </c>
      <c r="O13" s="20" t="n">
        <f aca="false">Operations!O825/Inputs!$F$282+Operations!O826/Inputs!$F$283+Operations!O827/Inputs!$F$284</f>
        <v>27.7804233112342</v>
      </c>
      <c r="P13" s="20" t="n">
        <f aca="false">Operations!P825/Inputs!$F$282+Operations!P826/Inputs!$F$283+Operations!P827/Inputs!$F$284</f>
        <v>25.5020625080996</v>
      </c>
      <c r="Q13" s="20" t="n">
        <f aca="false">Operations!Q825/Inputs!$F$282+Operations!Q826/Inputs!$F$283+Operations!Q827/Inputs!$F$284</f>
        <v>26.0686975308142</v>
      </c>
      <c r="R13" s="20" t="n">
        <f aca="false">Operations!R825/Inputs!$F$282+Operations!R826/Inputs!$F$283+Operations!R827/Inputs!$F$284</f>
        <v>23.6234865507847</v>
      </c>
      <c r="S13" s="20" t="n">
        <f aca="false">Operations!S825/Inputs!$F$282+Operations!S826/Inputs!$F$283+Operations!S827/Inputs!$F$284</f>
        <v>23.388445172268</v>
      </c>
      <c r="T13" s="20" t="n">
        <f aca="false">Operations!T825/Inputs!$F$282+Operations!T826/Inputs!$F$283+Operations!T827/Inputs!$F$284</f>
        <v>23.1404074360194</v>
      </c>
      <c r="U13" s="20" t="n">
        <f aca="false">Operations!U825/Inputs!$F$282+Operations!U826/Inputs!$F$283+Operations!U827/Inputs!$F$284</f>
        <v>22.7944324641332</v>
      </c>
      <c r="V13" s="20" t="n">
        <f aca="false">Operations!V825/Inputs!$F$282+Operations!V826/Inputs!$F$283+Operations!V827/Inputs!$F$284</f>
        <v>22.3627315298765</v>
      </c>
      <c r="W13" s="20" t="n">
        <f aca="false">Operations!W825/Inputs!$F$282+Operations!W826/Inputs!$F$283+Operations!W827/Inputs!$F$284</f>
        <v>22.0142310684843</v>
      </c>
      <c r="X13" s="20" t="n">
        <f aca="false">Operations!X825/Inputs!$F$282+Operations!X826/Inputs!$F$283+Operations!X827/Inputs!$F$284</f>
        <v>21.9827107782259</v>
      </c>
      <c r="Y13" s="20" t="n">
        <f aca="false">Operations!Y825/Inputs!$F$282+Operations!Y826/Inputs!$F$283+Operations!Y827/Inputs!$F$284</f>
        <v>21.9475652335878</v>
      </c>
      <c r="Z13" s="20" t="n">
        <f aca="false">Operations!Z825/Inputs!$F$282+Operations!Z826/Inputs!$F$283+Operations!Z827/Inputs!$F$284</f>
        <v>21.9002559185532</v>
      </c>
      <c r="AA13" s="20" t="n">
        <f aca="false">Operations!AA825/Inputs!$F$282+Operations!AA826/Inputs!$F$283+Operations!AA827/Inputs!$F$284</f>
        <v>21.9157615278363</v>
      </c>
      <c r="AB13" s="20" t="n">
        <f aca="false">Operations!AB825/Inputs!$F$282+Operations!AB826/Inputs!$F$283+Operations!AB827/Inputs!$F$284</f>
        <v>21.928093649649</v>
      </c>
      <c r="AC13" s="20" t="n">
        <f aca="false">Operations!AC825/Inputs!$F$282+Operations!AC826/Inputs!$F$283+Operations!AC827/Inputs!$F$284</f>
        <v>21.9289302955612</v>
      </c>
      <c r="AD13" s="20" t="n">
        <f aca="false">Operations!AD825/Inputs!$F$282+Operations!AD826/Inputs!$F$283+Operations!AD827/Inputs!$F$284</f>
        <v>21.9251680547955</v>
      </c>
      <c r="AE13" s="20" t="n">
        <f aca="false">Operations!AE825/Inputs!$F$282+Operations!AE826/Inputs!$F$283+Operations!AE827/Inputs!$F$284</f>
        <v>22.0250788079437</v>
      </c>
      <c r="AF13" s="20" t="n">
        <f aca="false">Operations!AF825/Inputs!$F$282+Operations!AF826/Inputs!$F$283+Operations!AF827/Inputs!$F$284</f>
        <v>11.363986734591</v>
      </c>
      <c r="AG13" s="20" t="n">
        <f aca="false">Operations!AG825/Inputs!$F$282+Operations!AG826/Inputs!$F$283+Operations!AG827/Inputs!$F$284</f>
        <v>18.2383899599116</v>
      </c>
      <c r="AH13" s="20" t="n">
        <f aca="false">Operations!AH825/Inputs!$F$282+Operations!AH826/Inputs!$F$283+Operations!AH827/Inputs!$F$284</f>
        <v>18.3563208717245</v>
      </c>
      <c r="AI13" s="20" t="n">
        <f aca="false">Operations!AI825/Inputs!$F$282+Operations!AI826/Inputs!$F$283+Operations!AI827/Inputs!$F$284</f>
        <v>-1.45168352525772</v>
      </c>
      <c r="AJ13" s="20" t="n">
        <f aca="false">Operations!AJ825/Inputs!$F$282+Operations!AJ826/Inputs!$F$283+Operations!AJ827/Inputs!$F$284</f>
        <v>7.25224715020664</v>
      </c>
      <c r="AK13" s="20" t="n">
        <f aca="false">Operations!AK825/Inputs!$F$282+Operations!AK826/Inputs!$F$283+Operations!AK827/Inputs!$F$284</f>
        <v>-1.83383761042223</v>
      </c>
      <c r="AL13" s="20" t="n">
        <f aca="false">Operations!AL825/Inputs!$F$282+Operations!AL826/Inputs!$F$283+Operations!AL827/Inputs!$F$284</f>
        <v>3.51027652713589</v>
      </c>
      <c r="AM13" s="20" t="n">
        <f aca="false">Operations!AM825/Inputs!$F$282+Operations!AM826/Inputs!$F$283+Operations!AM827/Inputs!$F$284</f>
        <v>3.48374520397892</v>
      </c>
      <c r="AN13" s="20" t="n">
        <f aca="false">Operations!AN825/Inputs!$F$282+Operations!AN826/Inputs!$F$283+Operations!AN827/Inputs!$F$284</f>
        <v>3.45466383268181</v>
      </c>
      <c r="AO13" s="20" t="n">
        <f aca="false">Operations!AO825/Inputs!$F$282+Operations!AO826/Inputs!$F$283+Operations!AO827/Inputs!$F$284</f>
        <v>3.42285205120814</v>
      </c>
      <c r="AP13" s="20" t="n">
        <f aca="false">Operations!AP825/Inputs!$F$282+Operations!AP826/Inputs!$F$283+Operations!AP827/Inputs!$F$284</f>
        <v>3.38812668775228</v>
      </c>
      <c r="AQ13" s="20" t="n">
        <f aca="false">Operations!AQ825/Inputs!$F$282+Operations!AQ826/Inputs!$F$283+Operations!AQ827/Inputs!$F$284</f>
        <v>-1.28521808429009</v>
      </c>
      <c r="AR13" s="20" t="n">
        <f aca="false">Operations!AR825/Inputs!$F$282+Operations!AR826/Inputs!$F$283+Operations!AR827/Inputs!$F$284</f>
        <v>-9.03947283354207</v>
      </c>
      <c r="AS13" s="20" t="n">
        <f aca="false">Operations!AS825/Inputs!$F$282+Operations!AS826/Inputs!$F$283+Operations!AS827/Inputs!$F$284</f>
        <v>-3.79712829770598</v>
      </c>
      <c r="AT13" s="20" t="n">
        <f aca="false">Operations!AT825/Inputs!$F$282+Operations!AT826/Inputs!$F$283+Operations!AT827/Inputs!$F$284</f>
        <v>-3.89205650514863</v>
      </c>
      <c r="AU13" s="20" t="n">
        <f aca="false">Operations!AU825/Inputs!$F$282+Operations!AU826/Inputs!$F$283+Operations!AU827/Inputs!$F$284</f>
        <v>-3.98935791777734</v>
      </c>
    </row>
    <row r="14" customFormat="false" ht="15" hidden="false" customHeight="false" outlineLevel="0" collapsed="false">
      <c r="D14" s="0" t="s">
        <v>905</v>
      </c>
      <c r="E14" s="0" t="s">
        <v>47</v>
      </c>
      <c r="J14" s="20" t="n">
        <f aca="false">Operations!J1214/Inputs!$F$285</f>
        <v>34.5425370340989</v>
      </c>
      <c r="K14" s="20" t="n">
        <f aca="false">Operations!K1214/Inputs!$F$285</f>
        <v>34.0405281727451</v>
      </c>
      <c r="L14" s="20" t="n">
        <f aca="false">Operations!L1214/Inputs!$F$285</f>
        <v>32.8815780682344</v>
      </c>
      <c r="M14" s="20" t="n">
        <f aca="false">Operations!M1214/Inputs!$F$285</f>
        <v>31.5969650051587</v>
      </c>
      <c r="N14" s="20" t="n">
        <f aca="false">Operations!N1214/Inputs!$F$285</f>
        <v>30.4213358107253</v>
      </c>
      <c r="O14" s="20" t="n">
        <f aca="false">Operations!O1214/Inputs!$F$285</f>
        <v>28.1308598159613</v>
      </c>
      <c r="P14" s="20" t="n">
        <f aca="false">Operations!P1214/Inputs!$F$285</f>
        <v>27.1682753301617</v>
      </c>
      <c r="Q14" s="20" t="n">
        <f aca="false">Operations!Q1214/Inputs!$F$285</f>
        <v>30.1644343399484</v>
      </c>
      <c r="R14" s="20" t="n">
        <f aca="false">Operations!R1214/Inputs!$F$285</f>
        <v>28.0529939986578</v>
      </c>
      <c r="S14" s="20" t="n">
        <f aca="false">Operations!S1214/Inputs!$F$285</f>
        <v>27.4989996256444</v>
      </c>
      <c r="T14" s="20" t="n">
        <f aca="false">Operations!T1214/Inputs!$F$285</f>
        <v>26.9190227578926</v>
      </c>
      <c r="U14" s="20" t="n">
        <f aca="false">Operations!U1214/Inputs!$F$285</f>
        <v>27.4112118643296</v>
      </c>
      <c r="V14" s="20" t="n">
        <f aca="false">Operations!V1214/Inputs!$F$285</f>
        <v>27.7059662559023</v>
      </c>
      <c r="W14" s="20" t="n">
        <f aca="false">Operations!W1214/Inputs!$F$285</f>
        <v>26.8801946952413</v>
      </c>
      <c r="X14" s="20" t="n">
        <f aca="false">Operations!X1214/Inputs!$F$285</f>
        <v>26.6201667196918</v>
      </c>
      <c r="Y14" s="20" t="n">
        <f aca="false">Operations!Y1214/Inputs!$F$285</f>
        <v>26.3491693875303</v>
      </c>
      <c r="Z14" s="20" t="n">
        <f aca="false">Operations!Z1214/Inputs!$F$285</f>
        <v>26.0532422234523</v>
      </c>
      <c r="AA14" s="20" t="n">
        <f aca="false">Operations!AA1214/Inputs!$F$285</f>
        <v>25.8464905572023</v>
      </c>
      <c r="AB14" s="20" t="n">
        <f aca="false">Operations!AB1214/Inputs!$F$285</f>
        <v>25.6288551239734</v>
      </c>
      <c r="AC14" s="20" t="n">
        <f aca="false">Operations!AC1214/Inputs!$F$285</f>
        <v>25.3867047039695</v>
      </c>
      <c r="AD14" s="20" t="n">
        <f aca="false">Operations!AD1214/Inputs!$F$285</f>
        <v>25.1310715742058</v>
      </c>
      <c r="AE14" s="20" t="n">
        <f aca="false">Operations!AE1214/Inputs!$F$285</f>
        <v>25.0290234004698</v>
      </c>
      <c r="AF14" s="20" t="n">
        <f aca="false">Operations!AF1214/Inputs!$F$285</f>
        <v>3.39904916129152</v>
      </c>
      <c r="AG14" s="20" t="n">
        <f aca="false">Operations!AG1214/Inputs!$F$285</f>
        <v>22.0883485187375</v>
      </c>
      <c r="AH14" s="20" t="n">
        <f aca="false">Operations!AH1214/Inputs!$F$285</f>
        <v>22.0822148692014</v>
      </c>
      <c r="AI14" s="20" t="n">
        <f aca="false">Operations!AI1214/Inputs!$F$285</f>
        <v>-13.5977746753355</v>
      </c>
      <c r="AJ14" s="20" t="n">
        <f aca="false">Operations!AJ1214/Inputs!$F$285</f>
        <v>7.82220344815503</v>
      </c>
      <c r="AK14" s="20" t="n">
        <f aca="false">Operations!AK1214/Inputs!$F$285</f>
        <v>-10.0916782092056</v>
      </c>
      <c r="AL14" s="20" t="n">
        <f aca="false">Operations!AL1214/Inputs!$F$285</f>
        <v>4.57033624282723</v>
      </c>
      <c r="AM14" s="20" t="n">
        <f aca="false">Operations!AM1214/Inputs!$F$285</f>
        <v>4.47949674135899</v>
      </c>
      <c r="AN14" s="20" t="n">
        <f aca="false">Operations!AN1214/Inputs!$F$285</f>
        <v>4.38300032587133</v>
      </c>
      <c r="AO14" s="20" t="n">
        <f aca="false">Operations!AO1214/Inputs!$F$285</f>
        <v>4.28049630755081</v>
      </c>
      <c r="AP14" s="20" t="n">
        <f aca="false">Operations!AP1214/Inputs!$F$285</f>
        <v>4.17162827983871</v>
      </c>
      <c r="AQ14" s="20" t="n">
        <f aca="false">Operations!AQ1214/Inputs!$F$285</f>
        <v>-5.06645401258223</v>
      </c>
      <c r="AR14" s="20" t="n">
        <f aca="false">Operations!AR1214/Inputs!$F$285</f>
        <v>-18.964670959809</v>
      </c>
      <c r="AS14" s="20" t="n">
        <f aca="false">Operations!AS1214/Inputs!$F$285</f>
        <v>-7.59425659541196</v>
      </c>
      <c r="AT14" s="20" t="n">
        <f aca="false">Operations!AT1214/Inputs!$F$285</f>
        <v>-7.78411301029726</v>
      </c>
      <c r="AU14" s="20" t="n">
        <f aca="false">Operations!AU1214/Inputs!$F$285</f>
        <v>-7.97871583555469</v>
      </c>
    </row>
    <row r="15" customFormat="false" ht="15" hidden="false" customHeight="false" outlineLevel="0" collapsed="false">
      <c r="D15" s="0" t="s">
        <v>906</v>
      </c>
      <c r="E15" s="0" t="s">
        <v>47</v>
      </c>
      <c r="G15" s="20" t="n">
        <f aca="false">SUM(J15:AU15)</f>
        <v>481.067060652566</v>
      </c>
      <c r="J15" s="20" t="n">
        <f aca="false">IF(Funding!J8&gt;0,MAX(0,MIN(Funding!J13,Funding!J14)),0)</f>
        <v>29.9760030488673</v>
      </c>
      <c r="K15" s="20" t="n">
        <f aca="false">IF(Funding!K8&gt;0,MAX(0,MIN(Funding!K13,Funding!K14)),0)</f>
        <v>33.6486262825329</v>
      </c>
      <c r="L15" s="20" t="n">
        <f aca="false">IF(Funding!L8&gt;0,MAX(0,MIN(Funding!L13,Funding!L14)),0)</f>
        <v>30.8008461126089</v>
      </c>
      <c r="M15" s="20" t="n">
        <f aca="false">IF(Funding!M8&gt;0,MAX(0,MIN(Funding!M13,Funding!M14)),0)</f>
        <v>30.4395857041492</v>
      </c>
      <c r="N15" s="20" t="n">
        <f aca="false">IF(Funding!N8&gt;0,MAX(0,MIN(Funding!N13,Funding!N14)),0)</f>
        <v>29.852694824841</v>
      </c>
      <c r="O15" s="20" t="n">
        <f aca="false">IF(Funding!O8&gt;0,MAX(0,MIN(Funding!O13,Funding!O14)),0)</f>
        <v>27.7804233112342</v>
      </c>
      <c r="P15" s="20" t="n">
        <f aca="false">IF(Funding!P8&gt;0,MAX(0,MIN(Funding!P13,Funding!P14)),0)</f>
        <v>25.5020625080996</v>
      </c>
      <c r="Q15" s="20" t="n">
        <f aca="false">IF(Funding!Q8&gt;0,MAX(0,MIN(Funding!Q13,Funding!Q14)),0)</f>
        <v>26.0686975308142</v>
      </c>
      <c r="R15" s="20" t="n">
        <f aca="false">IF(Funding!R8&gt;0,MAX(0,MIN(Funding!R13,Funding!R14)),0)</f>
        <v>23.6234865507847</v>
      </c>
      <c r="S15" s="20" t="n">
        <f aca="false">IF(Funding!S8&gt;0,MAX(0,MIN(Funding!S13,Funding!S14)),0)</f>
        <v>23.388445172268</v>
      </c>
      <c r="T15" s="20" t="n">
        <f aca="false">IF(Funding!T8&gt;0,MAX(0,MIN(Funding!T13,Funding!T14)),0)</f>
        <v>23.1404074360194</v>
      </c>
      <c r="U15" s="20" t="n">
        <f aca="false">IF(Funding!U8&gt;0,MAX(0,MIN(Funding!U13,Funding!U14)),0)</f>
        <v>22.7944324641332</v>
      </c>
      <c r="V15" s="20" t="n">
        <f aca="false">IF(Funding!V8&gt;0,MAX(0,MIN(Funding!V13,Funding!V14)),0)</f>
        <v>22.3627315298765</v>
      </c>
      <c r="W15" s="20" t="n">
        <f aca="false">IF(Funding!W8&gt;0,MAX(0,MIN(Funding!W13,Funding!W14)),0)</f>
        <v>22.0142310684843</v>
      </c>
      <c r="X15" s="20" t="n">
        <f aca="false">IF(Funding!X8&gt;0,MAX(0,MIN(Funding!X13,Funding!X14)),0)</f>
        <v>21.9827107782259</v>
      </c>
      <c r="Y15" s="20" t="n">
        <f aca="false">IF(Funding!Y8&gt;0,MAX(0,MIN(Funding!Y13,Funding!Y14)),0)</f>
        <v>21.9475652335878</v>
      </c>
      <c r="Z15" s="20" t="n">
        <f aca="false">IF(Funding!Z8&gt;0,MAX(0,MIN(Funding!Z13,Funding!Z14)),0)</f>
        <v>21.9002559185532</v>
      </c>
      <c r="AA15" s="20" t="n">
        <f aca="false">IF(Funding!AA8&gt;0,MAX(0,MIN(Funding!AA13,Funding!AA14)),0)</f>
        <v>21.9157615278363</v>
      </c>
      <c r="AB15" s="20" t="n">
        <f aca="false">IF(Funding!AB8&gt;0,MAX(0,MIN(Funding!AB13,Funding!AB14)),0)</f>
        <v>21.928093649649</v>
      </c>
      <c r="AC15" s="20" t="n">
        <f aca="false">IF(Funding!AC8&gt;0,MAX(0,MIN(Funding!AC13,Funding!AC14)),0)</f>
        <v>0</v>
      </c>
      <c r="AD15" s="20" t="n">
        <f aca="false">IF(Funding!AD8&gt;0,MAX(0,MIN(Funding!AD13,Funding!AD14)),0)</f>
        <v>0</v>
      </c>
      <c r="AE15" s="20" t="n">
        <f aca="false">IF(Funding!AE8&gt;0,MAX(0,MIN(Funding!AE13,Funding!AE14)),0)</f>
        <v>0</v>
      </c>
      <c r="AF15" s="20" t="n">
        <f aca="false">IF(Funding!AF8&gt;0,MAX(0,MIN(Funding!AF13,Funding!AF14)),0)</f>
        <v>0</v>
      </c>
      <c r="AG15" s="20" t="n">
        <f aca="false">IF(Funding!AG8&gt;0,MAX(0,MIN(Funding!AG13,Funding!AG14)),0)</f>
        <v>0</v>
      </c>
      <c r="AH15" s="20" t="n">
        <f aca="false">IF(Funding!AH8&gt;0,MAX(0,MIN(Funding!AH13,Funding!AH14)),0)</f>
        <v>0</v>
      </c>
      <c r="AI15" s="20" t="n">
        <f aca="false">IF(Funding!AI8&gt;0,MAX(0,MIN(Funding!AI13,Funding!AI14)),0)</f>
        <v>0</v>
      </c>
      <c r="AJ15" s="20" t="n">
        <f aca="false">IF(Funding!AJ8&gt;0,MAX(0,MIN(Funding!AJ13,Funding!AJ14)),0)</f>
        <v>0</v>
      </c>
      <c r="AK15" s="20" t="n">
        <f aca="false">IF(Funding!AK8&gt;0,MAX(0,MIN(Funding!AK13,Funding!AK14)),0)</f>
        <v>0</v>
      </c>
      <c r="AL15" s="20" t="n">
        <f aca="false">IF(Funding!AL8&gt;0,MAX(0,MIN(Funding!AL13,Funding!AL14)),0)</f>
        <v>0</v>
      </c>
      <c r="AM15" s="20" t="n">
        <f aca="false">IF(Funding!AM8&gt;0,MAX(0,MIN(Funding!AM13,Funding!AM14)),0)</f>
        <v>0</v>
      </c>
      <c r="AN15" s="20" t="n">
        <f aca="false">IF(Funding!AN8&gt;0,MAX(0,MIN(Funding!AN13,Funding!AN14)),0)</f>
        <v>0</v>
      </c>
      <c r="AO15" s="20" t="n">
        <f aca="false">IF(Funding!AO8&gt;0,MAX(0,MIN(Funding!AO13,Funding!AO14)),0)</f>
        <v>0</v>
      </c>
      <c r="AP15" s="20" t="n">
        <f aca="false">IF(Funding!AP8&gt;0,MAX(0,MIN(Funding!AP13,Funding!AP14)),0)</f>
        <v>0</v>
      </c>
      <c r="AQ15" s="20" t="n">
        <f aca="false">IF(Funding!AQ8&gt;0,MAX(0,MIN(Funding!AQ13,Funding!AQ14)),0)</f>
        <v>0</v>
      </c>
      <c r="AR15" s="20" t="n">
        <f aca="false">IF(Funding!AR8&gt;0,MAX(0,MIN(Funding!AR13,Funding!AR14)),0)</f>
        <v>0</v>
      </c>
      <c r="AS15" s="20" t="n">
        <f aca="false">IF(Funding!AS8&gt;0,MAX(0,MIN(Funding!AS13,Funding!AS14)),0)</f>
        <v>0</v>
      </c>
      <c r="AT15" s="20" t="n">
        <f aca="false">IF(Funding!AT8&gt;0,MAX(0,MIN(Funding!AT13,Funding!AT14)),0)</f>
        <v>0</v>
      </c>
      <c r="AU15" s="20" t="n">
        <f aca="false">IF(Funding!AU8&gt;0,MAX(0,MIN(Funding!AU13,Funding!AU14)),0)</f>
        <v>0</v>
      </c>
    </row>
    <row r="16" customFormat="false" ht="15" hidden="false" customHeight="false" outlineLevel="0" collapsed="false">
      <c r="D16" s="0" t="s">
        <v>907</v>
      </c>
      <c r="E16" s="0" t="s">
        <v>27</v>
      </c>
      <c r="J16" s="14" t="n">
        <f aca="false">IF(Time!J$4=Inputs!$F$23,1,I16)/(1+Funding!J12/100*Funding!J8)</f>
        <v>0.96996617980388</v>
      </c>
      <c r="K16" s="14" t="n">
        <f aca="false">IF(Time!K$4=Inputs!$F$23,1,J16)/(1+Funding!K12/100*Funding!K8)</f>
        <v>0.928650518247068</v>
      </c>
      <c r="L16" s="14" t="n">
        <f aca="false">IF(Time!L$4=Inputs!$F$23,1,K16)/(1+Funding!L12/100*Funding!L8)</f>
        <v>0.889107463794794</v>
      </c>
      <c r="M16" s="14" t="n">
        <f aca="false">IF(Time!M$4=Inputs!$F$23,1,L16)/(1+Funding!M12/100*Funding!M8)</f>
        <v>0.852337618914809</v>
      </c>
      <c r="N16" s="14" t="n">
        <f aca="false">IF(Time!N$4=Inputs!$F$23,1,M16)/(1+Funding!N12/100*Funding!N8)</f>
        <v>0.816282263602265</v>
      </c>
      <c r="O16" s="14" t="n">
        <f aca="false">IF(Time!O$4=Inputs!$F$23,1,N16)/(1+Funding!O12/100*Funding!O8)</f>
        <v>0.781572623397196</v>
      </c>
      <c r="P16" s="14" t="n">
        <f aca="false">IF(Time!P$4=Inputs!$F$23,1,O16)/(1+Funding!P12/100*Funding!P8)</f>
        <v>0.748285158137451</v>
      </c>
      <c r="Q16" s="14" t="n">
        <f aca="false">IF(Time!Q$4=Inputs!$F$23,1,P16)/(1+Funding!Q12/100*Funding!Q8)</f>
        <v>0.711504683748931</v>
      </c>
      <c r="R16" s="14" t="n">
        <f aca="false">IF(Time!R$4=Inputs!$F$23,1,Q16)/(1+Funding!R12/100*Funding!R8)</f>
        <v>0.675212036772414</v>
      </c>
      <c r="S16" s="14" t="n">
        <f aca="false">IF(Time!S$4=Inputs!$F$23,1,R16)/(1+Funding!S12/100*Funding!S8)</f>
        <v>0.640770616154129</v>
      </c>
      <c r="T16" s="14" t="n">
        <f aca="false">IF(Time!T$4=Inputs!$F$23,1,S16)/(1+Funding!T12/100*Funding!T8)</f>
        <v>0.608085993977822</v>
      </c>
      <c r="U16" s="14" t="n">
        <f aca="false">IF(Time!U$4=Inputs!$F$23,1,T16)/(1+Funding!U12/100*Funding!U8)</f>
        <v>0.577068558935062</v>
      </c>
      <c r="V16" s="14" t="n">
        <f aca="false">IF(Time!V$4=Inputs!$F$23,1,U16)/(1+Funding!V12/100*Funding!V8)</f>
        <v>0.547633270638256</v>
      </c>
      <c r="W16" s="14" t="n">
        <f aca="false">IF(Time!W$4=Inputs!$F$23,1,V16)/(1+Funding!W12/100*Funding!W8)</f>
        <v>0.519699426465723</v>
      </c>
      <c r="X16" s="14" t="n">
        <f aca="false">IF(Time!X$4=Inputs!$F$23,1,W16)/(1+Funding!X12/100*Funding!X8)</f>
        <v>0.493190440299619</v>
      </c>
      <c r="Y16" s="14" t="n">
        <f aca="false">IF(Time!Y$4=Inputs!$F$23,1,X16)/(1+Funding!Y12/100*Funding!Y8)</f>
        <v>0.468033632550053</v>
      </c>
      <c r="Z16" s="14" t="n">
        <f aca="false">IF(Time!Z$4=Inputs!$F$23,1,Y16)/(1+Funding!Z12/100*Funding!Z8)</f>
        <v>0.44416003088973</v>
      </c>
      <c r="AA16" s="14" t="n">
        <f aca="false">IF(Time!AA$4=Inputs!$F$23,1,Z16)/(1+Funding!AA12/100*Funding!AA8)</f>
        <v>0.421504181152769</v>
      </c>
      <c r="AB16" s="14" t="n">
        <f aca="false">IF(Time!AB$4=Inputs!$F$23,1,AA16)/(1+Funding!AB12/100*Funding!AB8)</f>
        <v>0.400003967879259</v>
      </c>
      <c r="AC16" s="14" t="n">
        <f aca="false">IF(Time!AC$4=Inputs!$F$23,1,AB16)/(1+Funding!AC12/100*Funding!AC8)</f>
        <v>0.400003967879259</v>
      </c>
      <c r="AD16" s="14" t="n">
        <f aca="false">IF(Time!AD$4=Inputs!$F$23,1,AC16)/(1+Funding!AD12/100*Funding!AD8)</f>
        <v>0.400003967879259</v>
      </c>
      <c r="AE16" s="14" t="n">
        <f aca="false">IF(Time!AE$4=Inputs!$F$23,1,AD16)/(1+Funding!AE12/100*Funding!AE8)</f>
        <v>0.400003967879259</v>
      </c>
      <c r="AF16" s="14" t="n">
        <f aca="false">IF(Time!AF$4=Inputs!$F$23,1,AE16)/(1+Funding!AF12/100*Funding!AF8)</f>
        <v>0.400003967879259</v>
      </c>
      <c r="AG16" s="14" t="n">
        <f aca="false">IF(Time!AG$4=Inputs!$F$23,1,AF16)/(1+Funding!AG12/100*Funding!AG8)</f>
        <v>0.400003967879259</v>
      </c>
      <c r="AH16" s="14" t="n">
        <f aca="false">IF(Time!AH$4=Inputs!$F$23,1,AG16)/(1+Funding!AH12/100*Funding!AH8)</f>
        <v>0.400003967879259</v>
      </c>
      <c r="AI16" s="14" t="n">
        <f aca="false">IF(Time!AI$4=Inputs!$F$23,1,AH16)/(1+Funding!AI12/100*Funding!AI8)</f>
        <v>0.400003967879259</v>
      </c>
      <c r="AJ16" s="14" t="n">
        <f aca="false">IF(Time!AJ$4=Inputs!$F$23,1,AI16)/(1+Funding!AJ12/100*Funding!AJ8)</f>
        <v>0.400003967879259</v>
      </c>
      <c r="AK16" s="14" t="n">
        <f aca="false">IF(Time!AK$4=Inputs!$F$23,1,AJ16)/(1+Funding!AK12/100*Funding!AK8)</f>
        <v>0.400003967879259</v>
      </c>
      <c r="AL16" s="14" t="n">
        <f aca="false">IF(Time!AL$4=Inputs!$F$23,1,AK16)/(1+Funding!AL12/100*Funding!AL8)</f>
        <v>0.400003967879259</v>
      </c>
      <c r="AM16" s="14" t="n">
        <f aca="false">IF(Time!AM$4=Inputs!$F$23,1,AL16)/(1+Funding!AM12/100*Funding!AM8)</f>
        <v>0.400003967879259</v>
      </c>
      <c r="AN16" s="14" t="n">
        <f aca="false">IF(Time!AN$4=Inputs!$F$23,1,AM16)/(1+Funding!AN12/100*Funding!AN8)</f>
        <v>0.400003967879259</v>
      </c>
      <c r="AO16" s="14" t="n">
        <f aca="false">IF(Time!AO$4=Inputs!$F$23,1,AN16)/(1+Funding!AO12/100*Funding!AO8)</f>
        <v>0.400003967879259</v>
      </c>
      <c r="AP16" s="14" t="n">
        <f aca="false">IF(Time!AP$4=Inputs!$F$23,1,AO16)/(1+Funding!AP12/100*Funding!AP8)</f>
        <v>0.400003967879259</v>
      </c>
      <c r="AQ16" s="14" t="n">
        <f aca="false">IF(Time!AQ$4=Inputs!$F$23,1,AP16)/(1+Funding!AQ12/100*Funding!AQ8)</f>
        <v>0.400003967879259</v>
      </c>
      <c r="AR16" s="14" t="n">
        <f aca="false">IF(Time!AR$4=Inputs!$F$23,1,AQ16)/(1+Funding!AR12/100*Funding!AR8)</f>
        <v>0.400003967879259</v>
      </c>
      <c r="AS16" s="14" t="n">
        <f aca="false">IF(Time!AS$4=Inputs!$F$23,1,AR16)/(1+Funding!AS12/100*Funding!AS8)</f>
        <v>0.400003967879259</v>
      </c>
      <c r="AT16" s="14" t="n">
        <f aca="false">IF(Time!AT$4=Inputs!$F$23,1,AS16)/(1+Funding!AT12/100*Funding!AT8)</f>
        <v>0.400003967879259</v>
      </c>
      <c r="AU16" s="14" t="n">
        <f aca="false">IF(Time!AU$4=Inputs!$F$23,1,AT16)/(1+Funding!AU12/100*Funding!AU8)</f>
        <v>0.400003967879259</v>
      </c>
    </row>
    <row r="17" customFormat="false" ht="15" hidden="false" customHeight="false" outlineLevel="0" collapsed="false">
      <c r="D17" s="0" t="s">
        <v>908</v>
      </c>
      <c r="E17" s="0" t="s">
        <v>47</v>
      </c>
      <c r="F17" s="20" t="n">
        <f aca="false">SUMPRODUCT(Funding!$J$15:$AU$15,Funding!$J$16:$AU$16)</f>
        <v>328.065195802752</v>
      </c>
    </row>
    <row r="18" customFormat="false" ht="15" hidden="false" customHeight="false" outlineLevel="0" collapsed="false">
      <c r="D18" s="0" t="s">
        <v>909</v>
      </c>
      <c r="E18" s="0" t="s">
        <v>47</v>
      </c>
      <c r="F18" s="20" t="n">
        <f aca="false">SUMPRODUCT(Operations!$J$825:$AU$825/Inputs!$F$282,Funding!$J$16:$AU$16,--(Funding!$J$8:$AU$8&gt;0))</f>
        <v>139.491510869721</v>
      </c>
    </row>
    <row r="19" customFormat="false" ht="15" hidden="false" customHeight="false" outlineLevel="0" collapsed="false">
      <c r="D19" s="0" t="s">
        <v>910</v>
      </c>
      <c r="E19" s="0" t="s">
        <v>47</v>
      </c>
      <c r="F19" s="20" t="n">
        <f aca="false">SUMPRODUCT(Operations!$J$826:$AU$826/Inputs!$F$283,Funding!$J$16:$AU$16,--(Funding!$J$8:$AU$8&gt;0))</f>
        <v>40.1944875209345</v>
      </c>
    </row>
    <row r="20" customFormat="false" ht="15" hidden="false" customHeight="false" outlineLevel="0" collapsed="false">
      <c r="D20" s="0" t="s">
        <v>911</v>
      </c>
      <c r="E20" s="0" t="s">
        <v>47</v>
      </c>
      <c r="F20" s="20" t="n">
        <f aca="false">SUMPRODUCT(Operations!$J$827:$AU$827/Inputs!$F$284,Funding!$J$16:$AU$16,--(Funding!$J$8:$AU$8&gt;0))</f>
        <v>148.379197412097</v>
      </c>
    </row>
    <row r="21" customFormat="false" ht="15" hidden="false" customHeight="false" outlineLevel="0" collapsed="false">
      <c r="D21" s="0" t="s">
        <v>912</v>
      </c>
      <c r="E21" s="0" t="s">
        <v>51</v>
      </c>
      <c r="F21" s="12" t="n">
        <f aca="false">SUMPRODUCT(--(Funding!$J$14:$AU$14&lt;Funding!$J$13:$AU$13),--(Funding!$J$8:$AU$8&gt;0))</f>
        <v>0</v>
      </c>
    </row>
    <row r="22" customFormat="false" ht="15" hidden="false" customHeight="false" outlineLevel="0" collapsed="false">
      <c r="D22" s="0" t="s">
        <v>913</v>
      </c>
      <c r="E22" s="0" t="s">
        <v>47</v>
      </c>
      <c r="J22" s="20" t="n">
        <f aca="false">IF(Time!J$4=YEAR(Inputs!$F$276),Funding!$F$17,I25)</f>
        <v>328.065195802752</v>
      </c>
      <c r="K22" s="20" t="n">
        <f aca="false">IF(Time!K$4=YEAR(Inputs!$F$276),Funding!$F$17,J25)</f>
        <v>308.247331572021</v>
      </c>
      <c r="L22" s="20" t="n">
        <f aca="false">IF(Time!L$4=YEAR(Inputs!$F$276),Funding!$F$17,K25)</f>
        <v>288.312629071127</v>
      </c>
      <c r="M22" s="20" t="n">
        <f aca="false">IF(Time!M$4=YEAR(Inputs!$F$276),Funding!$F$17,L25)</f>
        <v>270.334487136456</v>
      </c>
      <c r="N22" s="20" t="n">
        <f aca="false">IF(Time!N$4=YEAR(Inputs!$F$276),Funding!$F$17,M25)</f>
        <v>251.557131207374</v>
      </c>
      <c r="O22" s="20" t="n">
        <f aca="false">IF(Time!O$4=YEAR(Inputs!$F$276),Funding!$F$17,N25)</f>
        <v>232.815766557784</v>
      </c>
      <c r="P22" s="20" t="n">
        <f aca="false">IF(Time!P$4=YEAR(Inputs!$F$276),Funding!$F$17,O25)</f>
        <v>215.374691439381</v>
      </c>
      <c r="Q22" s="20" t="n">
        <f aca="false">IF(Time!Q$4=YEAR(Inputs!$F$276),Funding!$F$17,P25)</f>
        <v>199.453572079962</v>
      </c>
      <c r="R22" s="20" t="n">
        <f aca="false">IF(Time!R$4=YEAR(Inputs!$F$276),Funding!$F$17,Q25)</f>
        <v>183.695413843046</v>
      </c>
      <c r="S22" s="20" t="n">
        <f aca="false">IF(Time!S$4=YEAR(Inputs!$F$276),Funding!$F$17,R25)</f>
        <v>169.945555786325</v>
      </c>
      <c r="T22" s="20" t="n">
        <f aca="false">IF(Time!T$4=YEAR(Inputs!$F$276),Funding!$F$17,S25)</f>
        <v>155.691684237572</v>
      </c>
      <c r="U22" s="20" t="n">
        <f aca="false">IF(Time!U$4=YEAR(Inputs!$F$276),Funding!$F$17,T25)</f>
        <v>140.919704829322</v>
      </c>
      <c r="V22" s="20" t="n">
        <f aca="false">IF(Time!V$4=YEAR(Inputs!$F$276),Funding!$F$17,U25)</f>
        <v>125.699706499765</v>
      </c>
      <c r="W22" s="20" t="n">
        <f aca="false">IF(Time!W$4=YEAR(Inputs!$F$276),Funding!$F$17,V25)</f>
        <v>110.093334194251</v>
      </c>
      <c r="X22" s="20" t="n">
        <f aca="false">IF(Time!X$4=YEAR(Inputs!$F$276),Funding!$F$17,W25)</f>
        <v>93.9966198387075</v>
      </c>
      <c r="Y22" s="20" t="n">
        <f aca="false">IF(Time!Y$4=YEAR(Inputs!$F$276),Funding!$F$17,X25)</f>
        <v>77.0662273768121</v>
      </c>
      <c r="Z22" s="20" t="n">
        <f aca="false">IF(Time!Z$4=YEAR(Inputs!$F$276),Funding!$F$17,Y25)</f>
        <v>59.260971864728</v>
      </c>
      <c r="AA22" s="20" t="n">
        <f aca="false">IF(Time!AA$4=YEAR(Inputs!$F$276),Funding!$F$17,Z25)</f>
        <v>40.5459931839038</v>
      </c>
      <c r="AB22" s="20" t="n">
        <f aca="false">IF(Time!AB$4=YEAR(Inputs!$F$276),Funding!$F$17,AA25)</f>
        <v>20.8095787897024</v>
      </c>
      <c r="AC22" s="20" t="n">
        <f aca="false">IF(Time!AC$4=YEAR(Inputs!$F$276),Funding!$F$17,AB25)</f>
        <v>-1.27897692436818E-013</v>
      </c>
      <c r="AD22" s="20" t="n">
        <f aca="false">IF(Time!AD$4=YEAR(Inputs!$F$276),Funding!$F$17,AC25)</f>
        <v>-1.27897692436818E-013</v>
      </c>
      <c r="AE22" s="20" t="n">
        <f aca="false">IF(Time!AE$4=YEAR(Inputs!$F$276),Funding!$F$17,AD25)</f>
        <v>-1.27897692436818E-013</v>
      </c>
      <c r="AF22" s="20" t="n">
        <f aca="false">IF(Time!AF$4=YEAR(Inputs!$F$276),Funding!$F$17,AE25)</f>
        <v>-1.27897692436818E-013</v>
      </c>
      <c r="AG22" s="20" t="n">
        <f aca="false">IF(Time!AG$4=YEAR(Inputs!$F$276),Funding!$F$17,AF25)</f>
        <v>-1.27897692436818E-013</v>
      </c>
      <c r="AH22" s="20" t="n">
        <f aca="false">IF(Time!AH$4=YEAR(Inputs!$F$276),Funding!$F$17,AG25)</f>
        <v>-1.27897692436818E-013</v>
      </c>
      <c r="AI22" s="20" t="n">
        <f aca="false">IF(Time!AI$4=YEAR(Inputs!$F$276),Funding!$F$17,AH25)</f>
        <v>-1.27897692436818E-013</v>
      </c>
      <c r="AJ22" s="20" t="n">
        <f aca="false">IF(Time!AJ$4=YEAR(Inputs!$F$276),Funding!$F$17,AI25)</f>
        <v>-1.27897692436818E-013</v>
      </c>
      <c r="AK22" s="20" t="n">
        <f aca="false">IF(Time!AK$4=YEAR(Inputs!$F$276),Funding!$F$17,AJ25)</f>
        <v>-1.27897692436818E-013</v>
      </c>
      <c r="AL22" s="20" t="n">
        <f aca="false">IF(Time!AL$4=YEAR(Inputs!$F$276),Funding!$F$17,AK25)</f>
        <v>-1.27897692436818E-013</v>
      </c>
      <c r="AM22" s="20" t="n">
        <f aca="false">IF(Time!AM$4=YEAR(Inputs!$F$276),Funding!$F$17,AL25)</f>
        <v>-1.27897692436818E-013</v>
      </c>
      <c r="AN22" s="20" t="n">
        <f aca="false">IF(Time!AN$4=YEAR(Inputs!$F$276),Funding!$F$17,AM25)</f>
        <v>-1.27897692436818E-013</v>
      </c>
      <c r="AO22" s="20" t="n">
        <f aca="false">IF(Time!AO$4=YEAR(Inputs!$F$276),Funding!$F$17,AN25)</f>
        <v>-1.27897692436818E-013</v>
      </c>
      <c r="AP22" s="20" t="n">
        <f aca="false">IF(Time!AP$4=YEAR(Inputs!$F$276),Funding!$F$17,AO25)</f>
        <v>-1.27897692436818E-013</v>
      </c>
      <c r="AQ22" s="20" t="n">
        <f aca="false">IF(Time!AQ$4=YEAR(Inputs!$F$276),Funding!$F$17,AP25)</f>
        <v>-1.27897692436818E-013</v>
      </c>
      <c r="AR22" s="20" t="n">
        <f aca="false">IF(Time!AR$4=YEAR(Inputs!$F$276),Funding!$F$17,AQ25)</f>
        <v>-1.27897692436818E-013</v>
      </c>
      <c r="AS22" s="20" t="n">
        <f aca="false">IF(Time!AS$4=YEAR(Inputs!$F$276),Funding!$F$17,AR25)</f>
        <v>-1.27897692436818E-013</v>
      </c>
      <c r="AT22" s="20" t="n">
        <f aca="false">IF(Time!AT$4=YEAR(Inputs!$F$276),Funding!$F$17,AS25)</f>
        <v>-1.27897692436818E-013</v>
      </c>
      <c r="AU22" s="20" t="n">
        <f aca="false">IF(Time!AU$4=YEAR(Inputs!$F$276),Funding!$F$17,AT25)</f>
        <v>-1.27897692436818E-013</v>
      </c>
    </row>
    <row r="23" customFormat="false" ht="15" hidden="false" customHeight="false" outlineLevel="0" collapsed="false">
      <c r="D23" s="0" t="s">
        <v>914</v>
      </c>
      <c r="E23" s="0" t="s">
        <v>47</v>
      </c>
      <c r="J23" s="20" t="n">
        <f aca="false">Funding!J22*Funding!J12/100*Funding!J8</f>
        <v>10.158138818136</v>
      </c>
      <c r="K23" s="20" t="n">
        <f aca="false">Funding!K22*Funding!K12/100*Funding!K8</f>
        <v>13.7139237816392</v>
      </c>
      <c r="L23" s="20" t="n">
        <f aca="false">Funding!L22*Funding!L12/100*Funding!L8</f>
        <v>12.8227041779384</v>
      </c>
      <c r="M23" s="20" t="n">
        <f aca="false">Funding!M22*Funding!M12/100*Funding!M8</f>
        <v>11.6622297750667</v>
      </c>
      <c r="N23" s="20" t="n">
        <f aca="false">Funding!N22*Funding!N12/100*Funding!N8</f>
        <v>11.1113301752512</v>
      </c>
      <c r="O23" s="20" t="n">
        <f aca="false">Funding!O22*Funding!O12/100*Funding!O8</f>
        <v>10.3393481928312</v>
      </c>
      <c r="P23" s="20" t="n">
        <f aca="false">Funding!P22*Funding!P12/100*Funding!P8</f>
        <v>9.58094314868086</v>
      </c>
      <c r="Q23" s="20" t="n">
        <f aca="false">Funding!Q22*Funding!Q12/100*Funding!Q8</f>
        <v>10.310539293898</v>
      </c>
      <c r="R23" s="20" t="n">
        <f aca="false">Funding!R22*Funding!R12/100*Funding!R8</f>
        <v>9.87362849406372</v>
      </c>
      <c r="S23" s="20" t="n">
        <f aca="false">Funding!S22*Funding!S12/100*Funding!S8</f>
        <v>9.13457362351497</v>
      </c>
      <c r="T23" s="20" t="n">
        <f aca="false">Funding!T22*Funding!T12/100*Funding!T8</f>
        <v>8.36842802776949</v>
      </c>
      <c r="U23" s="20" t="n">
        <f aca="false">Funding!U22*Funding!U12/100*Funding!U8</f>
        <v>7.57443413457606</v>
      </c>
      <c r="V23" s="20" t="n">
        <f aca="false">Funding!V22*Funding!V12/100*Funding!V8</f>
        <v>6.75635922436236</v>
      </c>
      <c r="W23" s="20" t="n">
        <f aca="false">Funding!W22*Funding!W12/100*Funding!W8</f>
        <v>5.91751671294098</v>
      </c>
      <c r="X23" s="20" t="n">
        <f aca="false">Funding!X22*Funding!X12/100*Funding!X8</f>
        <v>5.05231831633053</v>
      </c>
      <c r="Y23" s="20" t="n">
        <f aca="false">Funding!Y22*Funding!Y12/100*Funding!Y8</f>
        <v>4.14230972150365</v>
      </c>
      <c r="Z23" s="20" t="n">
        <f aca="false">Funding!Z22*Funding!Z12/100*Funding!Z8</f>
        <v>3.18527723772913</v>
      </c>
      <c r="AA23" s="20" t="n">
        <f aca="false">Funding!AA22*Funding!AA12/100*Funding!AA8</f>
        <v>2.17934713363483</v>
      </c>
      <c r="AB23" s="20" t="n">
        <f aca="false">Funding!AB22*Funding!AB12/100*Funding!AB8</f>
        <v>1.1185148599465</v>
      </c>
      <c r="AC23" s="20" t="n">
        <f aca="false">Funding!AC22*Funding!AC12/100*Funding!AC8</f>
        <v>-0</v>
      </c>
      <c r="AD23" s="20" t="n">
        <f aca="false">Funding!AD22*Funding!AD12/100*Funding!AD8</f>
        <v>-0</v>
      </c>
      <c r="AE23" s="20" t="n">
        <f aca="false">Funding!AE22*Funding!AE12/100*Funding!AE8</f>
        <v>-0</v>
      </c>
      <c r="AF23" s="20" t="n">
        <f aca="false">Funding!AF22*Funding!AF12/100*Funding!AF8</f>
        <v>-0</v>
      </c>
      <c r="AG23" s="20" t="n">
        <f aca="false">Funding!AG22*Funding!AG12/100*Funding!AG8</f>
        <v>-0</v>
      </c>
      <c r="AH23" s="20" t="n">
        <f aca="false">Funding!AH22*Funding!AH12/100*Funding!AH8</f>
        <v>-0</v>
      </c>
      <c r="AI23" s="20" t="n">
        <f aca="false">Funding!AI22*Funding!AI12/100*Funding!AI8</f>
        <v>-0</v>
      </c>
      <c r="AJ23" s="20" t="n">
        <f aca="false">Funding!AJ22*Funding!AJ12/100*Funding!AJ8</f>
        <v>-0</v>
      </c>
      <c r="AK23" s="20" t="n">
        <f aca="false">Funding!AK22*Funding!AK12/100*Funding!AK8</f>
        <v>-0</v>
      </c>
      <c r="AL23" s="20" t="n">
        <f aca="false">Funding!AL22*Funding!AL12/100*Funding!AL8</f>
        <v>-0</v>
      </c>
      <c r="AM23" s="20" t="n">
        <f aca="false">Funding!AM22*Funding!AM12/100*Funding!AM8</f>
        <v>-0</v>
      </c>
      <c r="AN23" s="20" t="n">
        <f aca="false">Funding!AN22*Funding!AN12/100*Funding!AN8</f>
        <v>-0</v>
      </c>
      <c r="AO23" s="20" t="n">
        <f aca="false">Funding!AO22*Funding!AO12/100*Funding!AO8</f>
        <v>-0</v>
      </c>
      <c r="AP23" s="20" t="n">
        <f aca="false">Funding!AP22*Funding!AP12/100*Funding!AP8</f>
        <v>-0</v>
      </c>
      <c r="AQ23" s="20" t="n">
        <f aca="false">Funding!AQ22*Funding!AQ12/100*Funding!AQ8</f>
        <v>-0</v>
      </c>
      <c r="AR23" s="20" t="n">
        <f aca="false">Funding!AR22*Funding!AR12/100*Funding!AR8</f>
        <v>-0</v>
      </c>
      <c r="AS23" s="20" t="n">
        <f aca="false">Funding!AS22*Funding!AS12/100*Funding!AS8</f>
        <v>-0</v>
      </c>
      <c r="AT23" s="20" t="n">
        <f aca="false">Funding!AT22*Funding!AT12/100*Funding!AT8</f>
        <v>-0</v>
      </c>
      <c r="AU23" s="20" t="n">
        <f aca="false">Funding!AU22*Funding!AU12/100*Funding!AU8</f>
        <v>-0</v>
      </c>
    </row>
    <row r="24" customFormat="false" ht="15" hidden="false" customHeight="false" outlineLevel="0" collapsed="false">
      <c r="D24" s="0" t="s">
        <v>915</v>
      </c>
      <c r="E24" s="0" t="s">
        <v>47</v>
      </c>
      <c r="G24" s="20" t="n">
        <f aca="false">SUM(J24:AU24)</f>
        <v>328.065195802752</v>
      </c>
      <c r="J24" s="20" t="n">
        <f aca="false">IF(Funding!J8&gt;0,Funding!J15-Funding!J23,0)</f>
        <v>19.8178642307314</v>
      </c>
      <c r="K24" s="20" t="n">
        <f aca="false">IF(Funding!K8&gt;0,Funding!K15-Funding!K23,0)</f>
        <v>19.9347025008938</v>
      </c>
      <c r="L24" s="20" t="n">
        <f aca="false">IF(Funding!L8&gt;0,Funding!L15-Funding!L23,0)</f>
        <v>17.9781419346706</v>
      </c>
      <c r="M24" s="20" t="n">
        <f aca="false">IF(Funding!M8&gt;0,Funding!M15-Funding!M23,0)</f>
        <v>18.7773559290825</v>
      </c>
      <c r="N24" s="20" t="n">
        <f aca="false">IF(Funding!N8&gt;0,Funding!N15-Funding!N23,0)</f>
        <v>18.7413646495898</v>
      </c>
      <c r="O24" s="20" t="n">
        <f aca="false">IF(Funding!O8&gt;0,Funding!O15-Funding!O23,0)</f>
        <v>17.441075118403</v>
      </c>
      <c r="P24" s="20" t="n">
        <f aca="false">IF(Funding!P8&gt;0,Funding!P15-Funding!P23,0)</f>
        <v>15.9211193594187</v>
      </c>
      <c r="Q24" s="20" t="n">
        <f aca="false">IF(Funding!Q8&gt;0,Funding!Q15-Funding!Q23,0)</f>
        <v>15.7581582369162</v>
      </c>
      <c r="R24" s="20" t="n">
        <f aca="false">IF(Funding!R8&gt;0,Funding!R15-Funding!R23,0)</f>
        <v>13.749858056721</v>
      </c>
      <c r="S24" s="20" t="n">
        <f aca="false">IF(Funding!S8&gt;0,Funding!S15-Funding!S23,0)</f>
        <v>14.253871548753</v>
      </c>
      <c r="T24" s="20" t="n">
        <f aca="false">IF(Funding!T8&gt;0,Funding!T15-Funding!T23,0)</f>
        <v>14.7719794082499</v>
      </c>
      <c r="U24" s="20" t="n">
        <f aca="false">IF(Funding!U8&gt;0,Funding!U15-Funding!U23,0)</f>
        <v>15.2199983295571</v>
      </c>
      <c r="V24" s="20" t="n">
        <f aca="false">IF(Funding!V8&gt;0,Funding!V15-Funding!V23,0)</f>
        <v>15.6063723055142</v>
      </c>
      <c r="W24" s="20" t="n">
        <f aca="false">IF(Funding!W8&gt;0,Funding!W15-Funding!W23,0)</f>
        <v>16.0967143555433</v>
      </c>
      <c r="X24" s="20" t="n">
        <f aca="false">IF(Funding!X8&gt;0,Funding!X15-Funding!X23,0)</f>
        <v>16.9303924618954</v>
      </c>
      <c r="Y24" s="20" t="n">
        <f aca="false">IF(Funding!Y8&gt;0,Funding!Y15-Funding!Y23,0)</f>
        <v>17.8052555120841</v>
      </c>
      <c r="Z24" s="20" t="n">
        <f aca="false">IF(Funding!Z8&gt;0,Funding!Z15-Funding!Z23,0)</f>
        <v>18.7149786808241</v>
      </c>
      <c r="AA24" s="20" t="n">
        <f aca="false">IF(Funding!AA8&gt;0,Funding!AA15-Funding!AA23,0)</f>
        <v>19.7364143942015</v>
      </c>
      <c r="AB24" s="20" t="n">
        <f aca="false">IF(Funding!AB8&gt;0,Funding!AB15-Funding!AB23,0)</f>
        <v>20.8095787897025</v>
      </c>
      <c r="AC24" s="20" t="n">
        <f aca="false">IF(Funding!AC8&gt;0,Funding!AC15-Funding!AC23,0)</f>
        <v>0</v>
      </c>
      <c r="AD24" s="20" t="n">
        <f aca="false">IF(Funding!AD8&gt;0,Funding!AD15-Funding!AD23,0)</f>
        <v>0</v>
      </c>
      <c r="AE24" s="20" t="n">
        <f aca="false">IF(Funding!AE8&gt;0,Funding!AE15-Funding!AE23,0)</f>
        <v>0</v>
      </c>
      <c r="AF24" s="20" t="n">
        <f aca="false">IF(Funding!AF8&gt;0,Funding!AF15-Funding!AF23,0)</f>
        <v>0</v>
      </c>
      <c r="AG24" s="20" t="n">
        <f aca="false">IF(Funding!AG8&gt;0,Funding!AG15-Funding!AG23,0)</f>
        <v>0</v>
      </c>
      <c r="AH24" s="20" t="n">
        <f aca="false">IF(Funding!AH8&gt;0,Funding!AH15-Funding!AH23,0)</f>
        <v>0</v>
      </c>
      <c r="AI24" s="20" t="n">
        <f aca="false">IF(Funding!AI8&gt;0,Funding!AI15-Funding!AI23,0)</f>
        <v>0</v>
      </c>
      <c r="AJ24" s="20" t="n">
        <f aca="false">IF(Funding!AJ8&gt;0,Funding!AJ15-Funding!AJ23,0)</f>
        <v>0</v>
      </c>
      <c r="AK24" s="20" t="n">
        <f aca="false">IF(Funding!AK8&gt;0,Funding!AK15-Funding!AK23,0)</f>
        <v>0</v>
      </c>
      <c r="AL24" s="20" t="n">
        <f aca="false">IF(Funding!AL8&gt;0,Funding!AL15-Funding!AL23,0)</f>
        <v>0</v>
      </c>
      <c r="AM24" s="20" t="n">
        <f aca="false">IF(Funding!AM8&gt;0,Funding!AM15-Funding!AM23,0)</f>
        <v>0</v>
      </c>
      <c r="AN24" s="20" t="n">
        <f aca="false">IF(Funding!AN8&gt;0,Funding!AN15-Funding!AN23,0)</f>
        <v>0</v>
      </c>
      <c r="AO24" s="20" t="n">
        <f aca="false">IF(Funding!AO8&gt;0,Funding!AO15-Funding!AO23,0)</f>
        <v>0</v>
      </c>
      <c r="AP24" s="20" t="n">
        <f aca="false">IF(Funding!AP8&gt;0,Funding!AP15-Funding!AP23,0)</f>
        <v>0</v>
      </c>
      <c r="AQ24" s="20" t="n">
        <f aca="false">IF(Funding!AQ8&gt;0,Funding!AQ15-Funding!AQ23,0)</f>
        <v>0</v>
      </c>
      <c r="AR24" s="20" t="n">
        <f aca="false">IF(Funding!AR8&gt;0,Funding!AR15-Funding!AR23,0)</f>
        <v>0</v>
      </c>
      <c r="AS24" s="20" t="n">
        <f aca="false">IF(Funding!AS8&gt;0,Funding!AS15-Funding!AS23,0)</f>
        <v>0</v>
      </c>
      <c r="AT24" s="20" t="n">
        <f aca="false">IF(Funding!AT8&gt;0,Funding!AT15-Funding!AT23,0)</f>
        <v>0</v>
      </c>
      <c r="AU24" s="20" t="n">
        <f aca="false">IF(Funding!AU8&gt;0,Funding!AU15-Funding!AU23,0)</f>
        <v>0</v>
      </c>
    </row>
    <row r="25" customFormat="false" ht="15" hidden="false" customHeight="false" outlineLevel="0" collapsed="false">
      <c r="D25" s="0" t="s">
        <v>916</v>
      </c>
      <c r="E25" s="0" t="s">
        <v>47</v>
      </c>
      <c r="J25" s="20" t="n">
        <f aca="false">Funding!J22-Funding!J24</f>
        <v>308.247331572021</v>
      </c>
      <c r="K25" s="20" t="n">
        <f aca="false">Funding!K22-Funding!K24</f>
        <v>288.312629071127</v>
      </c>
      <c r="L25" s="20" t="n">
        <f aca="false">Funding!L22-Funding!L24</f>
        <v>270.334487136456</v>
      </c>
      <c r="M25" s="20" t="n">
        <f aca="false">Funding!M22-Funding!M24</f>
        <v>251.557131207374</v>
      </c>
      <c r="N25" s="20" t="n">
        <f aca="false">Funding!N22-Funding!N24</f>
        <v>232.815766557784</v>
      </c>
      <c r="O25" s="20" t="n">
        <f aca="false">Funding!O22-Funding!O24</f>
        <v>215.374691439381</v>
      </c>
      <c r="P25" s="20" t="n">
        <f aca="false">Funding!P22-Funding!P24</f>
        <v>199.453572079962</v>
      </c>
      <c r="Q25" s="20" t="n">
        <f aca="false">Funding!Q22-Funding!Q24</f>
        <v>183.695413843046</v>
      </c>
      <c r="R25" s="20" t="n">
        <f aca="false">Funding!R22-Funding!R24</f>
        <v>169.945555786325</v>
      </c>
      <c r="S25" s="20" t="n">
        <f aca="false">Funding!S22-Funding!S24</f>
        <v>155.691684237572</v>
      </c>
      <c r="T25" s="20" t="n">
        <f aca="false">Funding!T22-Funding!T24</f>
        <v>140.919704829322</v>
      </c>
      <c r="U25" s="20" t="n">
        <f aca="false">Funding!U22-Funding!U24</f>
        <v>125.699706499765</v>
      </c>
      <c r="V25" s="20" t="n">
        <f aca="false">Funding!V22-Funding!V24</f>
        <v>110.093334194251</v>
      </c>
      <c r="W25" s="20" t="n">
        <f aca="false">Funding!W22-Funding!W24</f>
        <v>93.9966198387075</v>
      </c>
      <c r="X25" s="20" t="n">
        <f aca="false">Funding!X22-Funding!X24</f>
        <v>77.0662273768121</v>
      </c>
      <c r="Y25" s="20" t="n">
        <f aca="false">Funding!Y22-Funding!Y24</f>
        <v>59.260971864728</v>
      </c>
      <c r="Z25" s="20" t="n">
        <f aca="false">Funding!Z22-Funding!Z24</f>
        <v>40.5459931839038</v>
      </c>
      <c r="AA25" s="20" t="n">
        <f aca="false">Funding!AA22-Funding!AA24</f>
        <v>20.8095787897024</v>
      </c>
      <c r="AB25" s="20" t="n">
        <f aca="false">Funding!AB22-Funding!AB24</f>
        <v>-1.27897692436818E-013</v>
      </c>
      <c r="AC25" s="20" t="n">
        <f aca="false">Funding!AC22-Funding!AC24</f>
        <v>-1.27897692436818E-013</v>
      </c>
      <c r="AD25" s="20" t="n">
        <f aca="false">Funding!AD22-Funding!AD24</f>
        <v>-1.27897692436818E-013</v>
      </c>
      <c r="AE25" s="20" t="n">
        <f aca="false">Funding!AE22-Funding!AE24</f>
        <v>-1.27897692436818E-013</v>
      </c>
      <c r="AF25" s="20" t="n">
        <f aca="false">Funding!AF22-Funding!AF24</f>
        <v>-1.27897692436818E-013</v>
      </c>
      <c r="AG25" s="20" t="n">
        <f aca="false">Funding!AG22-Funding!AG24</f>
        <v>-1.27897692436818E-013</v>
      </c>
      <c r="AH25" s="20" t="n">
        <f aca="false">Funding!AH22-Funding!AH24</f>
        <v>-1.27897692436818E-013</v>
      </c>
      <c r="AI25" s="20" t="n">
        <f aca="false">Funding!AI22-Funding!AI24</f>
        <v>-1.27897692436818E-013</v>
      </c>
      <c r="AJ25" s="20" t="n">
        <f aca="false">Funding!AJ22-Funding!AJ24</f>
        <v>-1.27897692436818E-013</v>
      </c>
      <c r="AK25" s="20" t="n">
        <f aca="false">Funding!AK22-Funding!AK24</f>
        <v>-1.27897692436818E-013</v>
      </c>
      <c r="AL25" s="20" t="n">
        <f aca="false">Funding!AL22-Funding!AL24</f>
        <v>-1.27897692436818E-013</v>
      </c>
      <c r="AM25" s="20" t="n">
        <f aca="false">Funding!AM22-Funding!AM24</f>
        <v>-1.27897692436818E-013</v>
      </c>
      <c r="AN25" s="20" t="n">
        <f aca="false">Funding!AN22-Funding!AN24</f>
        <v>-1.27897692436818E-013</v>
      </c>
      <c r="AO25" s="20" t="n">
        <f aca="false">Funding!AO22-Funding!AO24</f>
        <v>-1.27897692436818E-013</v>
      </c>
      <c r="AP25" s="20" t="n">
        <f aca="false">Funding!AP22-Funding!AP24</f>
        <v>-1.27897692436818E-013</v>
      </c>
      <c r="AQ25" s="20" t="n">
        <f aca="false">Funding!AQ22-Funding!AQ24</f>
        <v>-1.27897692436818E-013</v>
      </c>
      <c r="AR25" s="20" t="n">
        <f aca="false">Funding!AR22-Funding!AR24</f>
        <v>-1.27897692436818E-013</v>
      </c>
      <c r="AS25" s="20" t="n">
        <f aca="false">Funding!AS22-Funding!AS24</f>
        <v>-1.27897692436818E-013</v>
      </c>
      <c r="AT25" s="20" t="n">
        <f aca="false">Funding!AT22-Funding!AT24</f>
        <v>-1.27897692436818E-013</v>
      </c>
      <c r="AU25" s="20" t="n">
        <f aca="false">Funding!AU22-Funding!AU24</f>
        <v>-1.27897692436818E-013</v>
      </c>
    </row>
    <row r="26" customFormat="false" ht="15" hidden="false" customHeight="false" outlineLevel="0" collapsed="false">
      <c r="D26" s="0" t="s">
        <v>917</v>
      </c>
      <c r="E26" s="0" t="s">
        <v>47</v>
      </c>
      <c r="J26" s="20" t="n">
        <f aca="false">Operations!J819-Funding!J15</f>
        <v>15.1924489281374</v>
      </c>
      <c r="K26" s="20" t="n">
        <f aca="false">Operations!K819-Funding!K15</f>
        <v>12.4523084331993</v>
      </c>
      <c r="L26" s="20" t="n">
        <f aca="false">Operations!L819-Funding!L15</f>
        <v>10.7584549559671</v>
      </c>
      <c r="M26" s="20" t="n">
        <f aca="false">Operations!M819-Funding!M15</f>
        <v>10.7459252789941</v>
      </c>
      <c r="N26" s="20" t="n">
        <f aca="false">Operations!N819-Funding!N15</f>
        <v>10.5681606152626</v>
      </c>
      <c r="O26" s="20" t="n">
        <f aca="false">Operations!O819-Funding!O15</f>
        <v>10.6284009449165</v>
      </c>
      <c r="P26" s="20" t="n">
        <f aca="false">Operations!P819-Funding!P15</f>
        <v>12.1245824654636</v>
      </c>
      <c r="Q26" s="20" t="n">
        <f aca="false">Operations!Q819-Funding!Q15</f>
        <v>15.5296531065963</v>
      </c>
      <c r="R26" s="20" t="n">
        <f aca="false">Operations!R819-Funding!R15</f>
        <v>20.6216348130924</v>
      </c>
      <c r="S26" s="20" t="n">
        <f aca="false">Operations!S819-Funding!S15</f>
        <v>20.4492370342189</v>
      </c>
      <c r="T26" s="20" t="n">
        <f aca="false">Operations!T819-Funding!T15</f>
        <v>20.2643287671919</v>
      </c>
      <c r="U26" s="20" t="n">
        <f aca="false">Operations!U819-Funding!U15</f>
        <v>21.3792237353693</v>
      </c>
      <c r="V26" s="20" t="n">
        <f aca="false">Operations!V819-Funding!V15</f>
        <v>22.3627315298765</v>
      </c>
      <c r="W26" s="20" t="n">
        <f aca="false">Operations!W819-Funding!W15</f>
        <v>22.0142310684843</v>
      </c>
      <c r="X26" s="20" t="n">
        <f aca="false">Operations!X819-Funding!X15</f>
        <v>21.9827107782259</v>
      </c>
      <c r="Y26" s="20" t="n">
        <f aca="false">Operations!Y819-Funding!Y15</f>
        <v>21.9475652335878</v>
      </c>
      <c r="Z26" s="20" t="n">
        <f aca="false">Operations!Z819-Funding!Z15</f>
        <v>21.9002559185532</v>
      </c>
      <c r="AA26" s="20" t="n">
        <f aca="false">Operations!AA819-Funding!AA15</f>
        <v>21.9157615278363</v>
      </c>
      <c r="AB26" s="20" t="n">
        <f aca="false">Operations!AB819-Funding!AB15</f>
        <v>21.928093649649</v>
      </c>
      <c r="AC26" s="20" t="n">
        <f aca="false">Operations!AC819-Funding!AC15</f>
        <v>43.8578605911225</v>
      </c>
      <c r="AD26" s="20" t="n">
        <f aca="false">Operations!AD819-Funding!AD15</f>
        <v>43.8503361095909</v>
      </c>
      <c r="AE26" s="20" t="n">
        <f aca="false">Operations!AE819-Funding!AE15</f>
        <v>44.0501576158874</v>
      </c>
      <c r="AF26" s="20" t="n">
        <f aca="false">Operations!AF819-Funding!AF15</f>
        <v>22.727973469182</v>
      </c>
      <c r="AG26" s="20" t="n">
        <f aca="false">Operations!AG819-Funding!AG15</f>
        <v>36.4767799198232</v>
      </c>
      <c r="AH26" s="20" t="n">
        <f aca="false">Operations!AH819-Funding!AH15</f>
        <v>36.712641743449</v>
      </c>
      <c r="AI26" s="20" t="n">
        <f aca="false">Operations!AI819-Funding!AI15</f>
        <v>-2.90336705051544</v>
      </c>
      <c r="AJ26" s="20" t="n">
        <f aca="false">Operations!AJ819-Funding!AJ15</f>
        <v>14.5044943004133</v>
      </c>
      <c r="AK26" s="20" t="n">
        <f aca="false">Operations!AK819-Funding!AK15</f>
        <v>-3.66767522084446</v>
      </c>
      <c r="AL26" s="20" t="n">
        <f aca="false">Operations!AL819-Funding!AL15</f>
        <v>7.02055305427179</v>
      </c>
      <c r="AM26" s="20" t="n">
        <f aca="false">Operations!AM819-Funding!AM15</f>
        <v>6.96749040795783</v>
      </c>
      <c r="AN26" s="20" t="n">
        <f aca="false">Operations!AN819-Funding!AN15</f>
        <v>6.90932766536362</v>
      </c>
      <c r="AO26" s="20" t="n">
        <f aca="false">Operations!AO819-Funding!AO15</f>
        <v>6.84570410241628</v>
      </c>
      <c r="AP26" s="20" t="n">
        <f aca="false">Operations!AP819-Funding!AP15</f>
        <v>6.77625337550455</v>
      </c>
      <c r="AQ26" s="20" t="n">
        <f aca="false">Operations!AQ819-Funding!AQ15</f>
        <v>-2.57043616858017</v>
      </c>
      <c r="AR26" s="20" t="n">
        <f aca="false">Operations!AR819-Funding!AR15</f>
        <v>-18.0789456670841</v>
      </c>
      <c r="AS26" s="20" t="n">
        <f aca="false">Operations!AS819-Funding!AS15</f>
        <v>-7.59425659541196</v>
      </c>
      <c r="AT26" s="20" t="n">
        <f aca="false">Operations!AT819-Funding!AT15</f>
        <v>-7.78411301029726</v>
      </c>
      <c r="AU26" s="20" t="n">
        <f aca="false">Operations!AU819-Funding!AU15</f>
        <v>-7.97871583555469</v>
      </c>
    </row>
    <row r="28" customFormat="false" ht="15" hidden="false" customHeight="false" outlineLevel="0" collapsed="false">
      <c r="A28" s="4" t="s">
        <v>918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</row>
    <row r="29" customFormat="false" ht="15" hidden="false" customHeight="false" outlineLevel="0" collapsed="false">
      <c r="D29" s="0" t="s">
        <v>919</v>
      </c>
      <c r="E29" s="0" t="s">
        <v>458</v>
      </c>
      <c r="J29" s="14" t="n">
        <f aca="false">MAX(0,MIN(Inputs!$F$290,Time!J$6)-MAX(Inputs!$F$289,Time!J$5))/Time!J$7</f>
        <v>0.778082191780822</v>
      </c>
      <c r="K29" s="14" t="n">
        <f aca="false">MAX(0,MIN(Inputs!$F$290,Time!K$6)-MAX(Inputs!$F$289,Time!K$5))/Time!K$7</f>
        <v>1</v>
      </c>
      <c r="L29" s="14" t="n">
        <f aca="false">MAX(0,MIN(Inputs!$F$290,Time!L$6)-MAX(Inputs!$F$289,Time!L$5))/Time!L$7</f>
        <v>1</v>
      </c>
      <c r="M29" s="14" t="n">
        <f aca="false">MAX(0,MIN(Inputs!$F$290,Time!M$6)-MAX(Inputs!$F$289,Time!M$5))/Time!M$7</f>
        <v>1</v>
      </c>
      <c r="N29" s="14" t="n">
        <f aca="false">MAX(0,MIN(Inputs!$F$290,Time!N$6)-MAX(Inputs!$F$289,Time!N$5))/Time!N$7</f>
        <v>1</v>
      </c>
      <c r="O29" s="14" t="n">
        <f aca="false">MAX(0,MIN(Inputs!$F$290,Time!O$6)-MAX(Inputs!$F$289,Time!O$5))/Time!O$7</f>
        <v>1</v>
      </c>
      <c r="P29" s="14" t="n">
        <f aca="false">MAX(0,MIN(Inputs!$F$290,Time!P$6)-MAX(Inputs!$F$289,Time!P$5))/Time!P$7</f>
        <v>0.224043715846995</v>
      </c>
      <c r="Q29" s="14" t="n">
        <f aca="false">MAX(0,MIN(Inputs!$F$290,Time!Q$6)-MAX(Inputs!$F$289,Time!Q$5))/Time!Q$7</f>
        <v>0</v>
      </c>
      <c r="R29" s="14" t="n">
        <f aca="false">MAX(0,MIN(Inputs!$F$290,Time!R$6)-MAX(Inputs!$F$289,Time!R$5))/Time!R$7</f>
        <v>0</v>
      </c>
      <c r="S29" s="14" t="n">
        <f aca="false">MAX(0,MIN(Inputs!$F$290,Time!S$6)-MAX(Inputs!$F$289,Time!S$5))/Time!S$7</f>
        <v>0</v>
      </c>
      <c r="T29" s="14" t="n">
        <f aca="false">MAX(0,MIN(Inputs!$F$290,Time!T$6)-MAX(Inputs!$F$289,Time!T$5))/Time!T$7</f>
        <v>0</v>
      </c>
      <c r="U29" s="14" t="n">
        <f aca="false">MAX(0,MIN(Inputs!$F$290,Time!U$6)-MAX(Inputs!$F$289,Time!U$5))/Time!U$7</f>
        <v>0</v>
      </c>
      <c r="V29" s="14" t="n">
        <f aca="false">MAX(0,MIN(Inputs!$F$290,Time!V$6)-MAX(Inputs!$F$289,Time!V$5))/Time!V$7</f>
        <v>0</v>
      </c>
      <c r="W29" s="14" t="n">
        <f aca="false">MAX(0,MIN(Inputs!$F$290,Time!W$6)-MAX(Inputs!$F$289,Time!W$5))/Time!W$7</f>
        <v>0</v>
      </c>
      <c r="X29" s="14" t="n">
        <f aca="false">MAX(0,MIN(Inputs!$F$290,Time!X$6)-MAX(Inputs!$F$289,Time!X$5))/Time!X$7</f>
        <v>0</v>
      </c>
      <c r="Y29" s="14" t="n">
        <f aca="false">MAX(0,MIN(Inputs!$F$290,Time!Y$6)-MAX(Inputs!$F$289,Time!Y$5))/Time!Y$7</f>
        <v>0</v>
      </c>
      <c r="Z29" s="14" t="n">
        <f aca="false">MAX(0,MIN(Inputs!$F$290,Time!Z$6)-MAX(Inputs!$F$289,Time!Z$5))/Time!Z$7</f>
        <v>0</v>
      </c>
      <c r="AA29" s="14" t="n">
        <f aca="false">MAX(0,MIN(Inputs!$F$290,Time!AA$6)-MAX(Inputs!$F$289,Time!AA$5))/Time!AA$7</f>
        <v>0</v>
      </c>
      <c r="AB29" s="14" t="n">
        <f aca="false">MAX(0,MIN(Inputs!$F$290,Time!AB$6)-MAX(Inputs!$F$289,Time!AB$5))/Time!AB$7</f>
        <v>0</v>
      </c>
      <c r="AC29" s="14" t="n">
        <f aca="false">MAX(0,MIN(Inputs!$F$290,Time!AC$6)-MAX(Inputs!$F$289,Time!AC$5))/Time!AC$7</f>
        <v>0</v>
      </c>
      <c r="AD29" s="14" t="n">
        <f aca="false">MAX(0,MIN(Inputs!$F$290,Time!AD$6)-MAX(Inputs!$F$289,Time!AD$5))/Time!AD$7</f>
        <v>0</v>
      </c>
      <c r="AE29" s="14" t="n">
        <f aca="false">MAX(0,MIN(Inputs!$F$290,Time!AE$6)-MAX(Inputs!$F$289,Time!AE$5))/Time!AE$7</f>
        <v>0</v>
      </c>
      <c r="AF29" s="14" t="n">
        <f aca="false">MAX(0,MIN(Inputs!$F$290,Time!AF$6)-MAX(Inputs!$F$289,Time!AF$5))/Time!AF$7</f>
        <v>0</v>
      </c>
      <c r="AG29" s="14" t="n">
        <f aca="false">MAX(0,MIN(Inputs!$F$290,Time!AG$6)-MAX(Inputs!$F$289,Time!AG$5))/Time!AG$7</f>
        <v>0</v>
      </c>
      <c r="AH29" s="14" t="n">
        <f aca="false">MAX(0,MIN(Inputs!$F$290,Time!AH$6)-MAX(Inputs!$F$289,Time!AH$5))/Time!AH$7</f>
        <v>0</v>
      </c>
      <c r="AI29" s="14" t="n">
        <f aca="false">MAX(0,MIN(Inputs!$F$290,Time!AI$6)-MAX(Inputs!$F$289,Time!AI$5))/Time!AI$7</f>
        <v>0</v>
      </c>
      <c r="AJ29" s="14" t="n">
        <f aca="false">MAX(0,MIN(Inputs!$F$290,Time!AJ$6)-MAX(Inputs!$F$289,Time!AJ$5))/Time!AJ$7</f>
        <v>0</v>
      </c>
      <c r="AK29" s="14" t="n">
        <f aca="false">MAX(0,MIN(Inputs!$F$290,Time!AK$6)-MAX(Inputs!$F$289,Time!AK$5))/Time!AK$7</f>
        <v>0</v>
      </c>
      <c r="AL29" s="14" t="n">
        <f aca="false">MAX(0,MIN(Inputs!$F$290,Time!AL$6)-MAX(Inputs!$F$289,Time!AL$5))/Time!AL$7</f>
        <v>0</v>
      </c>
      <c r="AM29" s="14" t="n">
        <f aca="false">MAX(0,MIN(Inputs!$F$290,Time!AM$6)-MAX(Inputs!$F$289,Time!AM$5))/Time!AM$7</f>
        <v>0</v>
      </c>
      <c r="AN29" s="14" t="n">
        <f aca="false">MAX(0,MIN(Inputs!$F$290,Time!AN$6)-MAX(Inputs!$F$289,Time!AN$5))/Time!AN$7</f>
        <v>0</v>
      </c>
      <c r="AO29" s="14" t="n">
        <f aca="false">MAX(0,MIN(Inputs!$F$290,Time!AO$6)-MAX(Inputs!$F$289,Time!AO$5))/Time!AO$7</f>
        <v>0</v>
      </c>
      <c r="AP29" s="14" t="n">
        <f aca="false">MAX(0,MIN(Inputs!$F$290,Time!AP$6)-MAX(Inputs!$F$289,Time!AP$5))/Time!AP$7</f>
        <v>0</v>
      </c>
      <c r="AQ29" s="14" t="n">
        <f aca="false">MAX(0,MIN(Inputs!$F$290,Time!AQ$6)-MAX(Inputs!$F$289,Time!AQ$5))/Time!AQ$7</f>
        <v>0</v>
      </c>
      <c r="AR29" s="14" t="n">
        <f aca="false">MAX(0,MIN(Inputs!$F$290,Time!AR$6)-MAX(Inputs!$F$289,Time!AR$5))/Time!AR$7</f>
        <v>0</v>
      </c>
      <c r="AS29" s="14" t="n">
        <f aca="false">MAX(0,MIN(Inputs!$F$290,Time!AS$6)-MAX(Inputs!$F$289,Time!AS$5))/Time!AS$7</f>
        <v>0</v>
      </c>
      <c r="AT29" s="14" t="n">
        <f aca="false">MAX(0,MIN(Inputs!$F$290,Time!AT$6)-MAX(Inputs!$F$289,Time!AT$5))/Time!AT$7</f>
        <v>0</v>
      </c>
      <c r="AU29" s="14" t="n">
        <f aca="false">MAX(0,MIN(Inputs!$F$290,Time!AU$6)-MAX(Inputs!$F$289,Time!AU$5))/Time!AU$7</f>
        <v>0</v>
      </c>
    </row>
    <row r="30" customFormat="false" ht="15" hidden="false" customHeight="false" outlineLevel="0" collapsed="false">
      <c r="D30" s="0" t="s">
        <v>920</v>
      </c>
      <c r="E30" s="0" t="s">
        <v>84</v>
      </c>
      <c r="J30" s="15" t="n">
        <f aca="false">MAX(Inputs!J80,Inputs!$F$292)+Inputs!$F$291</f>
        <v>6.79</v>
      </c>
      <c r="K30" s="15" t="n">
        <f aca="false">MAX(Inputs!K80,Inputs!$F$292)+Inputs!$F$291</f>
        <v>9.92</v>
      </c>
      <c r="L30" s="15" t="n">
        <f aca="false">MAX(Inputs!L80,Inputs!$F$292)+Inputs!$F$291</f>
        <v>9.91</v>
      </c>
      <c r="M30" s="15" t="n">
        <f aca="false">MAX(Inputs!M80,Inputs!$F$292)+Inputs!$F$291</f>
        <v>9.02</v>
      </c>
      <c r="N30" s="15" t="n">
        <f aca="false">MAX(Inputs!N80,Inputs!$F$292)+Inputs!$F$291</f>
        <v>8.41</v>
      </c>
      <c r="O30" s="15" t="n">
        <f aca="false">MAX(Inputs!O80,Inputs!$F$292)+Inputs!$F$291</f>
        <v>8.2</v>
      </c>
      <c r="P30" s="15" t="n">
        <f aca="false">MAX(Inputs!P80,Inputs!$F$292)+Inputs!$F$291</f>
        <v>8.25</v>
      </c>
      <c r="Q30" s="15" t="n">
        <f aca="false">MAX(Inputs!Q80,Inputs!$F$292)+Inputs!$F$291</f>
        <v>8.25</v>
      </c>
      <c r="R30" s="15" t="n">
        <f aca="false">MAX(Inputs!R80,Inputs!$F$292)+Inputs!$F$291</f>
        <v>8.25</v>
      </c>
      <c r="S30" s="15" t="n">
        <f aca="false">MAX(Inputs!S80,Inputs!$F$292)+Inputs!$F$291</f>
        <v>8.25</v>
      </c>
      <c r="T30" s="15" t="n">
        <f aca="false">MAX(Inputs!T80,Inputs!$F$292)+Inputs!$F$291</f>
        <v>8.25</v>
      </c>
      <c r="U30" s="15" t="n">
        <f aca="false">MAX(Inputs!U80,Inputs!$F$292)+Inputs!$F$291</f>
        <v>8.25</v>
      </c>
      <c r="V30" s="15" t="n">
        <f aca="false">MAX(Inputs!V80,Inputs!$F$292)+Inputs!$F$291</f>
        <v>8.25</v>
      </c>
      <c r="W30" s="15" t="n">
        <f aca="false">MAX(Inputs!W80,Inputs!$F$292)+Inputs!$F$291</f>
        <v>8.25</v>
      </c>
      <c r="X30" s="15" t="n">
        <f aca="false">MAX(Inputs!X80,Inputs!$F$292)+Inputs!$F$291</f>
        <v>8.25</v>
      </c>
      <c r="Y30" s="15" t="n">
        <f aca="false">MAX(Inputs!Y80,Inputs!$F$292)+Inputs!$F$291</f>
        <v>8.25</v>
      </c>
      <c r="Z30" s="15" t="n">
        <f aca="false">MAX(Inputs!Z80,Inputs!$F$292)+Inputs!$F$291</f>
        <v>8.25</v>
      </c>
      <c r="AA30" s="15" t="n">
        <f aca="false">MAX(Inputs!AA80,Inputs!$F$292)+Inputs!$F$291</f>
        <v>8.25</v>
      </c>
      <c r="AB30" s="15" t="n">
        <f aca="false">MAX(Inputs!AB80,Inputs!$F$292)+Inputs!$F$291</f>
        <v>8.25</v>
      </c>
      <c r="AC30" s="15" t="n">
        <f aca="false">MAX(Inputs!AC80,Inputs!$F$292)+Inputs!$F$291</f>
        <v>8.25</v>
      </c>
      <c r="AD30" s="15" t="n">
        <f aca="false">MAX(Inputs!AD80,Inputs!$F$292)+Inputs!$F$291</f>
        <v>8.25</v>
      </c>
      <c r="AE30" s="15" t="n">
        <f aca="false">MAX(Inputs!AE80,Inputs!$F$292)+Inputs!$F$291</f>
        <v>8.25</v>
      </c>
      <c r="AF30" s="15" t="n">
        <f aca="false">MAX(Inputs!AF80,Inputs!$F$292)+Inputs!$F$291</f>
        <v>8.25</v>
      </c>
      <c r="AG30" s="15" t="n">
        <f aca="false">MAX(Inputs!AG80,Inputs!$F$292)+Inputs!$F$291</f>
        <v>8.25</v>
      </c>
      <c r="AH30" s="15" t="n">
        <f aca="false">MAX(Inputs!AH80,Inputs!$F$292)+Inputs!$F$291</f>
        <v>8.25</v>
      </c>
      <c r="AI30" s="15" t="n">
        <f aca="false">MAX(Inputs!AI80,Inputs!$F$292)+Inputs!$F$291</f>
        <v>8.25</v>
      </c>
      <c r="AJ30" s="15" t="n">
        <f aca="false">MAX(Inputs!AJ80,Inputs!$F$292)+Inputs!$F$291</f>
        <v>8.25</v>
      </c>
      <c r="AK30" s="15" t="n">
        <f aca="false">MAX(Inputs!AK80,Inputs!$F$292)+Inputs!$F$291</f>
        <v>8.25</v>
      </c>
      <c r="AL30" s="15" t="n">
        <f aca="false">MAX(Inputs!AL80,Inputs!$F$292)+Inputs!$F$291</f>
        <v>8.25</v>
      </c>
      <c r="AM30" s="15" t="n">
        <f aca="false">MAX(Inputs!AM80,Inputs!$F$292)+Inputs!$F$291</f>
        <v>8.25</v>
      </c>
      <c r="AN30" s="15" t="n">
        <f aca="false">MAX(Inputs!AN80,Inputs!$F$292)+Inputs!$F$291</f>
        <v>8.25</v>
      </c>
      <c r="AO30" s="15" t="n">
        <f aca="false">MAX(Inputs!AO80,Inputs!$F$292)+Inputs!$F$291</f>
        <v>8.25</v>
      </c>
      <c r="AP30" s="15" t="n">
        <f aca="false">MAX(Inputs!AP80,Inputs!$F$292)+Inputs!$F$291</f>
        <v>8.25</v>
      </c>
      <c r="AQ30" s="15" t="n">
        <f aca="false">MAX(Inputs!AQ80,Inputs!$F$292)+Inputs!$F$291</f>
        <v>8.25</v>
      </c>
      <c r="AR30" s="15" t="n">
        <f aca="false">MAX(Inputs!AR80,Inputs!$F$292)+Inputs!$F$291</f>
        <v>8.25</v>
      </c>
      <c r="AS30" s="15" t="n">
        <f aca="false">MAX(Inputs!AS80,Inputs!$F$292)+Inputs!$F$291</f>
        <v>8.25</v>
      </c>
      <c r="AT30" s="15" t="n">
        <f aca="false">MAX(Inputs!AT80,Inputs!$F$292)+Inputs!$F$291</f>
        <v>8.25</v>
      </c>
      <c r="AU30" s="15" t="n">
        <f aca="false">MAX(Inputs!AU80,Inputs!$F$292)+Inputs!$F$291</f>
        <v>8.25</v>
      </c>
    </row>
    <row r="31" customFormat="false" ht="15" hidden="false" customHeight="false" outlineLevel="0" collapsed="false">
      <c r="D31" s="0" t="s">
        <v>921</v>
      </c>
      <c r="E31" s="0" t="s">
        <v>27</v>
      </c>
      <c r="J31" s="14" t="n">
        <f aca="false">Inputs!$F$294/100*Funding!J29</f>
        <v>0.00778082191780822</v>
      </c>
      <c r="K31" s="14" t="n">
        <f aca="false">Inputs!$F$294/100*Funding!K29</f>
        <v>0.01</v>
      </c>
      <c r="L31" s="14" t="n">
        <f aca="false">Inputs!$F$294/100*Funding!L29</f>
        <v>0.01</v>
      </c>
      <c r="M31" s="14" t="n">
        <f aca="false">Inputs!$F$294/100*Funding!M29</f>
        <v>0.01</v>
      </c>
      <c r="N31" s="14" t="n">
        <f aca="false">Inputs!$F$294/100*Funding!N29</f>
        <v>0.01</v>
      </c>
      <c r="O31" s="14" t="n">
        <f aca="false">Inputs!$F$294/100*Funding!O29</f>
        <v>0.01</v>
      </c>
      <c r="P31" s="14" t="n">
        <f aca="false">Inputs!$F$294/100*Funding!P29</f>
        <v>0.00224043715846995</v>
      </c>
      <c r="Q31" s="14" t="n">
        <f aca="false">Inputs!$F$294/100*Funding!Q29</f>
        <v>0</v>
      </c>
      <c r="R31" s="14" t="n">
        <f aca="false">Inputs!$F$294/100*Funding!R29</f>
        <v>0</v>
      </c>
      <c r="S31" s="14" t="n">
        <f aca="false">Inputs!$F$294/100*Funding!S29</f>
        <v>0</v>
      </c>
      <c r="T31" s="14" t="n">
        <f aca="false">Inputs!$F$294/100*Funding!T29</f>
        <v>0</v>
      </c>
      <c r="U31" s="14" t="n">
        <f aca="false">Inputs!$F$294/100*Funding!U29</f>
        <v>0</v>
      </c>
      <c r="V31" s="14" t="n">
        <f aca="false">Inputs!$F$294/100*Funding!V29</f>
        <v>0</v>
      </c>
      <c r="W31" s="14" t="n">
        <f aca="false">Inputs!$F$294/100*Funding!W29</f>
        <v>0</v>
      </c>
      <c r="X31" s="14" t="n">
        <f aca="false">Inputs!$F$294/100*Funding!X29</f>
        <v>0</v>
      </c>
      <c r="Y31" s="14" t="n">
        <f aca="false">Inputs!$F$294/100*Funding!Y29</f>
        <v>0</v>
      </c>
      <c r="Z31" s="14" t="n">
        <f aca="false">Inputs!$F$294/100*Funding!Z29</f>
        <v>0</v>
      </c>
      <c r="AA31" s="14" t="n">
        <f aca="false">Inputs!$F$294/100*Funding!AA29</f>
        <v>0</v>
      </c>
      <c r="AB31" s="14" t="n">
        <f aca="false">Inputs!$F$294/100*Funding!AB29</f>
        <v>0</v>
      </c>
      <c r="AC31" s="14" t="n">
        <f aca="false">Inputs!$F$294/100*Funding!AC29</f>
        <v>0</v>
      </c>
      <c r="AD31" s="14" t="n">
        <f aca="false">Inputs!$F$294/100*Funding!AD29</f>
        <v>0</v>
      </c>
      <c r="AE31" s="14" t="n">
        <f aca="false">Inputs!$F$294/100*Funding!AE29</f>
        <v>0</v>
      </c>
      <c r="AF31" s="14" t="n">
        <f aca="false">Inputs!$F$294/100*Funding!AF29</f>
        <v>0</v>
      </c>
      <c r="AG31" s="14" t="n">
        <f aca="false">Inputs!$F$294/100*Funding!AG29</f>
        <v>0</v>
      </c>
      <c r="AH31" s="14" t="n">
        <f aca="false">Inputs!$F$294/100*Funding!AH29</f>
        <v>0</v>
      </c>
      <c r="AI31" s="14" t="n">
        <f aca="false">Inputs!$F$294/100*Funding!AI29</f>
        <v>0</v>
      </c>
      <c r="AJ31" s="14" t="n">
        <f aca="false">Inputs!$F$294/100*Funding!AJ29</f>
        <v>0</v>
      </c>
      <c r="AK31" s="14" t="n">
        <f aca="false">Inputs!$F$294/100*Funding!AK29</f>
        <v>0</v>
      </c>
      <c r="AL31" s="14" t="n">
        <f aca="false">Inputs!$F$294/100*Funding!AL29</f>
        <v>0</v>
      </c>
      <c r="AM31" s="14" t="n">
        <f aca="false">Inputs!$F$294/100*Funding!AM29</f>
        <v>0</v>
      </c>
      <c r="AN31" s="14" t="n">
        <f aca="false">Inputs!$F$294/100*Funding!AN29</f>
        <v>0</v>
      </c>
      <c r="AO31" s="14" t="n">
        <f aca="false">Inputs!$F$294/100*Funding!AO29</f>
        <v>0</v>
      </c>
      <c r="AP31" s="14" t="n">
        <f aca="false">Inputs!$F$294/100*Funding!AP29</f>
        <v>0</v>
      </c>
      <c r="AQ31" s="14" t="n">
        <f aca="false">Inputs!$F$294/100*Funding!AQ29</f>
        <v>0</v>
      </c>
      <c r="AR31" s="14" t="n">
        <f aca="false">Inputs!$F$294/100*Funding!AR29</f>
        <v>0</v>
      </c>
      <c r="AS31" s="14" t="n">
        <f aca="false">Inputs!$F$294/100*Funding!AS29</f>
        <v>0</v>
      </c>
      <c r="AT31" s="14" t="n">
        <f aca="false">Inputs!$F$294/100*Funding!AT29</f>
        <v>0</v>
      </c>
      <c r="AU31" s="14" t="n">
        <f aca="false">Inputs!$F$294/100*Funding!AU29</f>
        <v>0</v>
      </c>
    </row>
    <row r="32" customFormat="false" ht="15" hidden="false" customHeight="false" outlineLevel="0" collapsed="false">
      <c r="D32" s="0" t="s">
        <v>922</v>
      </c>
      <c r="E32" s="0" t="s">
        <v>27</v>
      </c>
      <c r="J32" s="14" t="n">
        <f aca="false">IF(Time!J$4=Inputs!$F$23,1,I32-I31)</f>
        <v>1</v>
      </c>
      <c r="K32" s="14" t="n">
        <f aca="false">IF(Time!K$4=Inputs!$F$23,1,J32-J31)</f>
        <v>0.992219178082192</v>
      </c>
      <c r="L32" s="14" t="n">
        <f aca="false">IF(Time!L$4=Inputs!$F$23,1,K32-K31)</f>
        <v>0.982219178082192</v>
      </c>
      <c r="M32" s="14" t="n">
        <f aca="false">IF(Time!M$4=Inputs!$F$23,1,L32-L31)</f>
        <v>0.972219178082192</v>
      </c>
      <c r="N32" s="14" t="n">
        <f aca="false">IF(Time!N$4=Inputs!$F$23,1,M32-M31)</f>
        <v>0.962219178082192</v>
      </c>
      <c r="O32" s="14" t="n">
        <f aca="false">IF(Time!O$4=Inputs!$F$23,1,N32-N31)</f>
        <v>0.952219178082192</v>
      </c>
      <c r="P32" s="14" t="n">
        <f aca="false">IF(Time!P$4=Inputs!$F$23,1,O32-O31)</f>
        <v>0.942219178082192</v>
      </c>
      <c r="Q32" s="14" t="n">
        <f aca="false">IF(Time!Q$4=Inputs!$F$23,1,P32-P31)</f>
        <v>0.939978740923722</v>
      </c>
      <c r="R32" s="14" t="n">
        <f aca="false">IF(Time!R$4=Inputs!$F$23,1,Q32-Q31)</f>
        <v>0.939978740923722</v>
      </c>
      <c r="S32" s="14" t="n">
        <f aca="false">IF(Time!S$4=Inputs!$F$23,1,R32-R31)</f>
        <v>0.939978740923722</v>
      </c>
      <c r="T32" s="14" t="n">
        <f aca="false">IF(Time!T$4=Inputs!$F$23,1,S32-S31)</f>
        <v>0.939978740923722</v>
      </c>
      <c r="U32" s="14" t="n">
        <f aca="false">IF(Time!U$4=Inputs!$F$23,1,T32-T31)</f>
        <v>0.939978740923722</v>
      </c>
      <c r="V32" s="14" t="n">
        <f aca="false">IF(Time!V$4=Inputs!$F$23,1,U32-U31)</f>
        <v>0.939978740923722</v>
      </c>
      <c r="W32" s="14" t="n">
        <f aca="false">IF(Time!W$4=Inputs!$F$23,1,V32-V31)</f>
        <v>0.939978740923722</v>
      </c>
      <c r="X32" s="14" t="n">
        <f aca="false">IF(Time!X$4=Inputs!$F$23,1,W32-W31)</f>
        <v>0.939978740923722</v>
      </c>
      <c r="Y32" s="14" t="n">
        <f aca="false">IF(Time!Y$4=Inputs!$F$23,1,X32-X31)</f>
        <v>0.939978740923722</v>
      </c>
      <c r="Z32" s="14" t="n">
        <f aca="false">IF(Time!Z$4=Inputs!$F$23,1,Y32-Y31)</f>
        <v>0.939978740923722</v>
      </c>
      <c r="AA32" s="14" t="n">
        <f aca="false">IF(Time!AA$4=Inputs!$F$23,1,Z32-Z31)</f>
        <v>0.939978740923722</v>
      </c>
      <c r="AB32" s="14" t="n">
        <f aca="false">IF(Time!AB$4=Inputs!$F$23,1,AA32-AA31)</f>
        <v>0.939978740923722</v>
      </c>
      <c r="AC32" s="14" t="n">
        <f aca="false">IF(Time!AC$4=Inputs!$F$23,1,AB32-AB31)</f>
        <v>0.939978740923722</v>
      </c>
      <c r="AD32" s="14" t="n">
        <f aca="false">IF(Time!AD$4=Inputs!$F$23,1,AC32-AC31)</f>
        <v>0.939978740923722</v>
      </c>
      <c r="AE32" s="14" t="n">
        <f aca="false">IF(Time!AE$4=Inputs!$F$23,1,AD32-AD31)</f>
        <v>0.939978740923722</v>
      </c>
      <c r="AF32" s="14" t="n">
        <f aca="false">IF(Time!AF$4=Inputs!$F$23,1,AE32-AE31)</f>
        <v>0.939978740923722</v>
      </c>
      <c r="AG32" s="14" t="n">
        <f aca="false">IF(Time!AG$4=Inputs!$F$23,1,AF32-AF31)</f>
        <v>0.939978740923722</v>
      </c>
      <c r="AH32" s="14" t="n">
        <f aca="false">IF(Time!AH$4=Inputs!$F$23,1,AG32-AG31)</f>
        <v>0.939978740923722</v>
      </c>
      <c r="AI32" s="14" t="n">
        <f aca="false">IF(Time!AI$4=Inputs!$F$23,1,AH32-AH31)</f>
        <v>0.939978740923722</v>
      </c>
      <c r="AJ32" s="14" t="n">
        <f aca="false">IF(Time!AJ$4=Inputs!$F$23,1,AI32-AI31)</f>
        <v>0.939978740923722</v>
      </c>
      <c r="AK32" s="14" t="n">
        <f aca="false">IF(Time!AK$4=Inputs!$F$23,1,AJ32-AJ31)</f>
        <v>0.939978740923722</v>
      </c>
      <c r="AL32" s="14" t="n">
        <f aca="false">IF(Time!AL$4=Inputs!$F$23,1,AK32-AK31)</f>
        <v>0.939978740923722</v>
      </c>
      <c r="AM32" s="14" t="n">
        <f aca="false">IF(Time!AM$4=Inputs!$F$23,1,AL32-AL31)</f>
        <v>0.939978740923722</v>
      </c>
      <c r="AN32" s="14" t="n">
        <f aca="false">IF(Time!AN$4=Inputs!$F$23,1,AM32-AM31)</f>
        <v>0.939978740923722</v>
      </c>
      <c r="AO32" s="14" t="n">
        <f aca="false">IF(Time!AO$4=Inputs!$F$23,1,AN32-AN31)</f>
        <v>0.939978740923722</v>
      </c>
      <c r="AP32" s="14" t="n">
        <f aca="false">IF(Time!AP$4=Inputs!$F$23,1,AO32-AO31)</f>
        <v>0.939978740923722</v>
      </c>
      <c r="AQ32" s="14" t="n">
        <f aca="false">IF(Time!AQ$4=Inputs!$F$23,1,AP32-AP31)</f>
        <v>0.939978740923722</v>
      </c>
      <c r="AR32" s="14" t="n">
        <f aca="false">IF(Time!AR$4=Inputs!$F$23,1,AQ32-AQ31)</f>
        <v>0.939978740923722</v>
      </c>
      <c r="AS32" s="14" t="n">
        <f aca="false">IF(Time!AS$4=Inputs!$F$23,1,AR32-AR31)</f>
        <v>0.939978740923722</v>
      </c>
      <c r="AT32" s="14" t="n">
        <f aca="false">IF(Time!AT$4=Inputs!$F$23,1,AS32-AS31)</f>
        <v>0.939978740923722</v>
      </c>
      <c r="AU32" s="14" t="n">
        <f aca="false">IF(Time!AU$4=Inputs!$F$23,1,AT32-AT31)</f>
        <v>0.939978740923722</v>
      </c>
    </row>
    <row r="33" customFormat="false" ht="15" hidden="false" customHeight="false" outlineLevel="0" collapsed="false">
      <c r="D33" s="0" t="s">
        <v>923</v>
      </c>
      <c r="E33" s="0" t="s">
        <v>27</v>
      </c>
      <c r="J33" s="14" t="n">
        <f aca="false">Funding!J32*Funding!J30/100*Funding!J29+Funding!J31</f>
        <v>0.060612602739726</v>
      </c>
      <c r="K33" s="14" t="n">
        <f aca="false">Funding!K32*Funding!K30/100*Funding!K29+Funding!K31</f>
        <v>0.108428142465753</v>
      </c>
      <c r="L33" s="14" t="n">
        <f aca="false">Funding!L32*Funding!L30/100*Funding!L29+Funding!L31</f>
        <v>0.107337920547945</v>
      </c>
      <c r="M33" s="14" t="n">
        <f aca="false">Funding!M32*Funding!M30/100*Funding!M29+Funding!M31</f>
        <v>0.0976941698630137</v>
      </c>
      <c r="N33" s="14" t="n">
        <f aca="false">Funding!N32*Funding!N30/100*Funding!N29+Funding!N31</f>
        <v>0.0909226328767123</v>
      </c>
      <c r="O33" s="14" t="n">
        <f aca="false">Funding!O32*Funding!O30/100*Funding!O29+Funding!O31</f>
        <v>0.0880819726027397</v>
      </c>
      <c r="P33" s="14" t="n">
        <f aca="false">Funding!P32*Funding!P30/100*Funding!P29+Funding!P31</f>
        <v>0.0196560457369564</v>
      </c>
      <c r="Q33" s="14" t="n">
        <f aca="false">Funding!Q32*Funding!Q30/100*Funding!Q29+Funding!Q31</f>
        <v>0</v>
      </c>
      <c r="R33" s="14" t="n">
        <f aca="false">Funding!R32*Funding!R30/100*Funding!R29+Funding!R31</f>
        <v>0</v>
      </c>
      <c r="S33" s="14" t="n">
        <f aca="false">Funding!S32*Funding!S30/100*Funding!S29+Funding!S31</f>
        <v>0</v>
      </c>
      <c r="T33" s="14" t="n">
        <f aca="false">Funding!T32*Funding!T30/100*Funding!T29+Funding!T31</f>
        <v>0</v>
      </c>
      <c r="U33" s="14" t="n">
        <f aca="false">Funding!U32*Funding!U30/100*Funding!U29+Funding!U31</f>
        <v>0</v>
      </c>
      <c r="V33" s="14" t="n">
        <f aca="false">Funding!V32*Funding!V30/100*Funding!V29+Funding!V31</f>
        <v>0</v>
      </c>
      <c r="W33" s="14" t="n">
        <f aca="false">Funding!W32*Funding!W30/100*Funding!W29+Funding!W31</f>
        <v>0</v>
      </c>
      <c r="X33" s="14" t="n">
        <f aca="false">Funding!X32*Funding!X30/100*Funding!X29+Funding!X31</f>
        <v>0</v>
      </c>
      <c r="Y33" s="14" t="n">
        <f aca="false">Funding!Y32*Funding!Y30/100*Funding!Y29+Funding!Y31</f>
        <v>0</v>
      </c>
      <c r="Z33" s="14" t="n">
        <f aca="false">Funding!Z32*Funding!Z30/100*Funding!Z29+Funding!Z31</f>
        <v>0</v>
      </c>
      <c r="AA33" s="14" t="n">
        <f aca="false">Funding!AA32*Funding!AA30/100*Funding!AA29+Funding!AA31</f>
        <v>0</v>
      </c>
      <c r="AB33" s="14" t="n">
        <f aca="false">Funding!AB32*Funding!AB30/100*Funding!AB29+Funding!AB31</f>
        <v>0</v>
      </c>
      <c r="AC33" s="14" t="n">
        <f aca="false">Funding!AC32*Funding!AC30/100*Funding!AC29+Funding!AC31</f>
        <v>0</v>
      </c>
      <c r="AD33" s="14" t="n">
        <f aca="false">Funding!AD32*Funding!AD30/100*Funding!AD29+Funding!AD31</f>
        <v>0</v>
      </c>
      <c r="AE33" s="14" t="n">
        <f aca="false">Funding!AE32*Funding!AE30/100*Funding!AE29+Funding!AE31</f>
        <v>0</v>
      </c>
      <c r="AF33" s="14" t="n">
        <f aca="false">Funding!AF32*Funding!AF30/100*Funding!AF29+Funding!AF31</f>
        <v>0</v>
      </c>
      <c r="AG33" s="14" t="n">
        <f aca="false">Funding!AG32*Funding!AG30/100*Funding!AG29+Funding!AG31</f>
        <v>0</v>
      </c>
      <c r="AH33" s="14" t="n">
        <f aca="false">Funding!AH32*Funding!AH30/100*Funding!AH29+Funding!AH31</f>
        <v>0</v>
      </c>
      <c r="AI33" s="14" t="n">
        <f aca="false">Funding!AI32*Funding!AI30/100*Funding!AI29+Funding!AI31</f>
        <v>0</v>
      </c>
      <c r="AJ33" s="14" t="n">
        <f aca="false">Funding!AJ32*Funding!AJ30/100*Funding!AJ29+Funding!AJ31</f>
        <v>0</v>
      </c>
      <c r="AK33" s="14" t="n">
        <f aca="false">Funding!AK32*Funding!AK30/100*Funding!AK29+Funding!AK31</f>
        <v>0</v>
      </c>
      <c r="AL33" s="14" t="n">
        <f aca="false">Funding!AL32*Funding!AL30/100*Funding!AL29+Funding!AL31</f>
        <v>0</v>
      </c>
      <c r="AM33" s="14" t="n">
        <f aca="false">Funding!AM32*Funding!AM30/100*Funding!AM29+Funding!AM31</f>
        <v>0</v>
      </c>
      <c r="AN33" s="14" t="n">
        <f aca="false">Funding!AN32*Funding!AN30/100*Funding!AN29+Funding!AN31</f>
        <v>0</v>
      </c>
      <c r="AO33" s="14" t="n">
        <f aca="false">Funding!AO32*Funding!AO30/100*Funding!AO29+Funding!AO31</f>
        <v>0</v>
      </c>
      <c r="AP33" s="14" t="n">
        <f aca="false">Funding!AP32*Funding!AP30/100*Funding!AP29+Funding!AP31</f>
        <v>0</v>
      </c>
      <c r="AQ33" s="14" t="n">
        <f aca="false">Funding!AQ32*Funding!AQ30/100*Funding!AQ29+Funding!AQ31</f>
        <v>0</v>
      </c>
      <c r="AR33" s="14" t="n">
        <f aca="false">Funding!AR32*Funding!AR30/100*Funding!AR29+Funding!AR31</f>
        <v>0</v>
      </c>
      <c r="AS33" s="14" t="n">
        <f aca="false">Funding!AS32*Funding!AS30/100*Funding!AS29+Funding!AS31</f>
        <v>0</v>
      </c>
      <c r="AT33" s="14" t="n">
        <f aca="false">Funding!AT32*Funding!AT30/100*Funding!AT29+Funding!AT31</f>
        <v>0</v>
      </c>
      <c r="AU33" s="14" t="n">
        <f aca="false">Funding!AU32*Funding!AU30/100*Funding!AU29+Funding!AU31</f>
        <v>0</v>
      </c>
    </row>
    <row r="34" customFormat="false" ht="15" hidden="false" customHeight="false" outlineLevel="0" collapsed="false">
      <c r="D34" s="0" t="s">
        <v>924</v>
      </c>
      <c r="E34" s="0" t="s">
        <v>20</v>
      </c>
      <c r="J34" s="12" t="n">
        <f aca="false">(Time!J$4&gt;=Inputs!$F$298)*(Time!J$4&lt;=Inputs!$F$299)</f>
        <v>0</v>
      </c>
      <c r="K34" s="12" t="n">
        <f aca="false">(Time!K$4&gt;=Inputs!$F$298)*(Time!K$4&lt;=Inputs!$F$299)</f>
        <v>1</v>
      </c>
      <c r="L34" s="12" t="n">
        <f aca="false">(Time!L$4&gt;=Inputs!$F$298)*(Time!L$4&lt;=Inputs!$F$299)</f>
        <v>1</v>
      </c>
      <c r="M34" s="12" t="n">
        <f aca="false">(Time!M$4&gt;=Inputs!$F$298)*(Time!M$4&lt;=Inputs!$F$299)</f>
        <v>1</v>
      </c>
      <c r="N34" s="12" t="n">
        <f aca="false">(Time!N$4&gt;=Inputs!$F$298)*(Time!N$4&lt;=Inputs!$F$299)</f>
        <v>1</v>
      </c>
      <c r="O34" s="12" t="n">
        <f aca="false">(Time!O$4&gt;=Inputs!$F$298)*(Time!O$4&lt;=Inputs!$F$299)</f>
        <v>1</v>
      </c>
      <c r="P34" s="12" t="n">
        <f aca="false">(Time!P$4&gt;=Inputs!$F$298)*(Time!P$4&lt;=Inputs!$F$299)</f>
        <v>0</v>
      </c>
      <c r="Q34" s="12" t="n">
        <f aca="false">(Time!Q$4&gt;=Inputs!$F$298)*(Time!Q$4&lt;=Inputs!$F$299)</f>
        <v>0</v>
      </c>
      <c r="R34" s="12" t="n">
        <f aca="false">(Time!R$4&gt;=Inputs!$F$298)*(Time!R$4&lt;=Inputs!$F$299)</f>
        <v>0</v>
      </c>
      <c r="S34" s="12" t="n">
        <f aca="false">(Time!S$4&gt;=Inputs!$F$298)*(Time!S$4&lt;=Inputs!$F$299)</f>
        <v>0</v>
      </c>
      <c r="T34" s="12" t="n">
        <f aca="false">(Time!T$4&gt;=Inputs!$F$298)*(Time!T$4&lt;=Inputs!$F$299)</f>
        <v>0</v>
      </c>
      <c r="U34" s="12" t="n">
        <f aca="false">(Time!U$4&gt;=Inputs!$F$298)*(Time!U$4&lt;=Inputs!$F$299)</f>
        <v>0</v>
      </c>
      <c r="V34" s="12" t="n">
        <f aca="false">(Time!V$4&gt;=Inputs!$F$298)*(Time!V$4&lt;=Inputs!$F$299)</f>
        <v>0</v>
      </c>
      <c r="W34" s="12" t="n">
        <f aca="false">(Time!W$4&gt;=Inputs!$F$298)*(Time!W$4&lt;=Inputs!$F$299)</f>
        <v>0</v>
      </c>
      <c r="X34" s="12" t="n">
        <f aca="false">(Time!X$4&gt;=Inputs!$F$298)*(Time!X$4&lt;=Inputs!$F$299)</f>
        <v>0</v>
      </c>
      <c r="Y34" s="12" t="n">
        <f aca="false">(Time!Y$4&gt;=Inputs!$F$298)*(Time!Y$4&lt;=Inputs!$F$299)</f>
        <v>0</v>
      </c>
      <c r="Z34" s="12" t="n">
        <f aca="false">(Time!Z$4&gt;=Inputs!$F$298)*(Time!Z$4&lt;=Inputs!$F$299)</f>
        <v>0</v>
      </c>
      <c r="AA34" s="12" t="n">
        <f aca="false">(Time!AA$4&gt;=Inputs!$F$298)*(Time!AA$4&lt;=Inputs!$F$299)</f>
        <v>0</v>
      </c>
      <c r="AB34" s="12" t="n">
        <f aca="false">(Time!AB$4&gt;=Inputs!$F$298)*(Time!AB$4&lt;=Inputs!$F$299)</f>
        <v>0</v>
      </c>
      <c r="AC34" s="12" t="n">
        <f aca="false">(Time!AC$4&gt;=Inputs!$F$298)*(Time!AC$4&lt;=Inputs!$F$299)</f>
        <v>0</v>
      </c>
      <c r="AD34" s="12" t="n">
        <f aca="false">(Time!AD$4&gt;=Inputs!$F$298)*(Time!AD$4&lt;=Inputs!$F$299)</f>
        <v>0</v>
      </c>
      <c r="AE34" s="12" t="n">
        <f aca="false">(Time!AE$4&gt;=Inputs!$F$298)*(Time!AE$4&lt;=Inputs!$F$299)</f>
        <v>0</v>
      </c>
      <c r="AF34" s="12" t="n">
        <f aca="false">(Time!AF$4&gt;=Inputs!$F$298)*(Time!AF$4&lt;=Inputs!$F$299)</f>
        <v>0</v>
      </c>
      <c r="AG34" s="12" t="n">
        <f aca="false">(Time!AG$4&gt;=Inputs!$F$298)*(Time!AG$4&lt;=Inputs!$F$299)</f>
        <v>0</v>
      </c>
      <c r="AH34" s="12" t="n">
        <f aca="false">(Time!AH$4&gt;=Inputs!$F$298)*(Time!AH$4&lt;=Inputs!$F$299)</f>
        <v>0</v>
      </c>
      <c r="AI34" s="12" t="n">
        <f aca="false">(Time!AI$4&gt;=Inputs!$F$298)*(Time!AI$4&lt;=Inputs!$F$299)</f>
        <v>0</v>
      </c>
      <c r="AJ34" s="12" t="n">
        <f aca="false">(Time!AJ$4&gt;=Inputs!$F$298)*(Time!AJ$4&lt;=Inputs!$F$299)</f>
        <v>0</v>
      </c>
      <c r="AK34" s="12" t="n">
        <f aca="false">(Time!AK$4&gt;=Inputs!$F$298)*(Time!AK$4&lt;=Inputs!$F$299)</f>
        <v>0</v>
      </c>
      <c r="AL34" s="12" t="n">
        <f aca="false">(Time!AL$4&gt;=Inputs!$F$298)*(Time!AL$4&lt;=Inputs!$F$299)</f>
        <v>0</v>
      </c>
      <c r="AM34" s="12" t="n">
        <f aca="false">(Time!AM$4&gt;=Inputs!$F$298)*(Time!AM$4&lt;=Inputs!$F$299)</f>
        <v>0</v>
      </c>
      <c r="AN34" s="12" t="n">
        <f aca="false">(Time!AN$4&gt;=Inputs!$F$298)*(Time!AN$4&lt;=Inputs!$F$299)</f>
        <v>0</v>
      </c>
      <c r="AO34" s="12" t="n">
        <f aca="false">(Time!AO$4&gt;=Inputs!$F$298)*(Time!AO$4&lt;=Inputs!$F$299)</f>
        <v>0</v>
      </c>
      <c r="AP34" s="12" t="n">
        <f aca="false">(Time!AP$4&gt;=Inputs!$F$298)*(Time!AP$4&lt;=Inputs!$F$299)</f>
        <v>0</v>
      </c>
      <c r="AQ34" s="12" t="n">
        <f aca="false">(Time!AQ$4&gt;=Inputs!$F$298)*(Time!AQ$4&lt;=Inputs!$F$299)</f>
        <v>0</v>
      </c>
      <c r="AR34" s="12" t="n">
        <f aca="false">(Time!AR$4&gt;=Inputs!$F$298)*(Time!AR$4&lt;=Inputs!$F$299)</f>
        <v>0</v>
      </c>
      <c r="AS34" s="12" t="n">
        <f aca="false">(Time!AS$4&gt;=Inputs!$F$298)*(Time!AS$4&lt;=Inputs!$F$299)</f>
        <v>0</v>
      </c>
      <c r="AT34" s="12" t="n">
        <f aca="false">(Time!AT$4&gt;=Inputs!$F$298)*(Time!AT$4&lt;=Inputs!$F$299)</f>
        <v>0</v>
      </c>
      <c r="AU34" s="12" t="n">
        <f aca="false">(Time!AU$4&gt;=Inputs!$F$298)*(Time!AU$4&lt;=Inputs!$F$299)</f>
        <v>0</v>
      </c>
    </row>
    <row r="35" customFormat="false" ht="15" hidden="false" customHeight="false" outlineLevel="0" collapsed="false">
      <c r="D35" s="0" t="s">
        <v>925</v>
      </c>
      <c r="E35" s="0" t="s">
        <v>47</v>
      </c>
      <c r="J35" s="20" t="n">
        <f aca="false">IF(Funding!J34&gt;0,Funding!J26/(Inputs!$F$296*IF(Funding!J33&gt;0,Funding!J33,1)),Inputs!$F$28)</f>
        <v>1000000000</v>
      </c>
      <c r="K35" s="20" t="n">
        <f aca="false">IF(Funding!K34&gt;0,Funding!K26/(Inputs!$F$296*IF(Funding!K33&gt;0,Funding!K33,1)),Inputs!$F$28)</f>
        <v>65.6250735017293</v>
      </c>
      <c r="L35" s="20" t="n">
        <f aca="false">IF(Funding!L34&gt;0,Funding!L26/(Inputs!$F$296*IF(Funding!L33&gt;0,Funding!L33,1)),Inputs!$F$28)</f>
        <v>57.274153578566</v>
      </c>
      <c r="M35" s="20" t="n">
        <f aca="false">IF(Funding!M34&gt;0,Funding!M26/(Inputs!$F$296*IF(Funding!M33&gt;0,Funding!M33,1)),Inputs!$F$28)</f>
        <v>62.8546077976197</v>
      </c>
      <c r="N35" s="20" t="n">
        <f aca="false">IF(Funding!N34&gt;0,Funding!N26/(Inputs!$F$296*IF(Funding!N33&gt;0,Funding!N33,1)),Inputs!$F$28)</f>
        <v>66.4185443375338</v>
      </c>
      <c r="O35" s="20" t="n">
        <f aca="false">IF(Funding!O34&gt;0,Funding!O26/(Inputs!$F$296*IF(Funding!O33&gt;0,Funding!O33,1)),Inputs!$F$28)</f>
        <v>68.9513618855401</v>
      </c>
      <c r="P35" s="20" t="n">
        <f aca="false">IF(Funding!P34&gt;0,Funding!P26/(Inputs!$F$296*IF(Funding!P33&gt;0,Funding!P33,1)),Inputs!$F$28)</f>
        <v>1000000000</v>
      </c>
      <c r="Q35" s="20" t="n">
        <f aca="false">IF(Funding!Q34&gt;0,Funding!Q26/(Inputs!$F$296*IF(Funding!Q33&gt;0,Funding!Q33,1)),Inputs!$F$28)</f>
        <v>1000000000</v>
      </c>
      <c r="R35" s="20" t="n">
        <f aca="false">IF(Funding!R34&gt;0,Funding!R26/(Inputs!$F$296*IF(Funding!R33&gt;0,Funding!R33,1)),Inputs!$F$28)</f>
        <v>1000000000</v>
      </c>
      <c r="S35" s="20" t="n">
        <f aca="false">IF(Funding!S34&gt;0,Funding!S26/(Inputs!$F$296*IF(Funding!S33&gt;0,Funding!S33,1)),Inputs!$F$28)</f>
        <v>1000000000</v>
      </c>
      <c r="T35" s="20" t="n">
        <f aca="false">IF(Funding!T34&gt;0,Funding!T26/(Inputs!$F$296*IF(Funding!T33&gt;0,Funding!T33,1)),Inputs!$F$28)</f>
        <v>1000000000</v>
      </c>
      <c r="U35" s="20" t="n">
        <f aca="false">IF(Funding!U34&gt;0,Funding!U26/(Inputs!$F$296*IF(Funding!U33&gt;0,Funding!U33,1)),Inputs!$F$28)</f>
        <v>1000000000</v>
      </c>
      <c r="V35" s="20" t="n">
        <f aca="false">IF(Funding!V34&gt;0,Funding!V26/(Inputs!$F$296*IF(Funding!V33&gt;0,Funding!V33,1)),Inputs!$F$28)</f>
        <v>1000000000</v>
      </c>
      <c r="W35" s="20" t="n">
        <f aca="false">IF(Funding!W34&gt;0,Funding!W26/(Inputs!$F$296*IF(Funding!W33&gt;0,Funding!W33,1)),Inputs!$F$28)</f>
        <v>1000000000</v>
      </c>
      <c r="X35" s="20" t="n">
        <f aca="false">IF(Funding!X34&gt;0,Funding!X26/(Inputs!$F$296*IF(Funding!X33&gt;0,Funding!X33,1)),Inputs!$F$28)</f>
        <v>1000000000</v>
      </c>
      <c r="Y35" s="20" t="n">
        <f aca="false">IF(Funding!Y34&gt;0,Funding!Y26/(Inputs!$F$296*IF(Funding!Y33&gt;0,Funding!Y33,1)),Inputs!$F$28)</f>
        <v>1000000000</v>
      </c>
      <c r="Z35" s="20" t="n">
        <f aca="false">IF(Funding!Z34&gt;0,Funding!Z26/(Inputs!$F$296*IF(Funding!Z33&gt;0,Funding!Z33,1)),Inputs!$F$28)</f>
        <v>1000000000</v>
      </c>
      <c r="AA35" s="20" t="n">
        <f aca="false">IF(Funding!AA34&gt;0,Funding!AA26/(Inputs!$F$296*IF(Funding!AA33&gt;0,Funding!AA33,1)),Inputs!$F$28)</f>
        <v>1000000000</v>
      </c>
      <c r="AB35" s="20" t="n">
        <f aca="false">IF(Funding!AB34&gt;0,Funding!AB26/(Inputs!$F$296*IF(Funding!AB33&gt;0,Funding!AB33,1)),Inputs!$F$28)</f>
        <v>1000000000</v>
      </c>
      <c r="AC35" s="20" t="n">
        <f aca="false">IF(Funding!AC34&gt;0,Funding!AC26/(Inputs!$F$296*IF(Funding!AC33&gt;0,Funding!AC33,1)),Inputs!$F$28)</f>
        <v>1000000000</v>
      </c>
      <c r="AD35" s="20" t="n">
        <f aca="false">IF(Funding!AD34&gt;0,Funding!AD26/(Inputs!$F$296*IF(Funding!AD33&gt;0,Funding!AD33,1)),Inputs!$F$28)</f>
        <v>1000000000</v>
      </c>
      <c r="AE35" s="20" t="n">
        <f aca="false">IF(Funding!AE34&gt;0,Funding!AE26/(Inputs!$F$296*IF(Funding!AE33&gt;0,Funding!AE33,1)),Inputs!$F$28)</f>
        <v>1000000000</v>
      </c>
      <c r="AF35" s="20" t="n">
        <f aca="false">IF(Funding!AF34&gt;0,Funding!AF26/(Inputs!$F$296*IF(Funding!AF33&gt;0,Funding!AF33,1)),Inputs!$F$28)</f>
        <v>1000000000</v>
      </c>
      <c r="AG35" s="20" t="n">
        <f aca="false">IF(Funding!AG34&gt;0,Funding!AG26/(Inputs!$F$296*IF(Funding!AG33&gt;0,Funding!AG33,1)),Inputs!$F$28)</f>
        <v>1000000000</v>
      </c>
      <c r="AH35" s="20" t="n">
        <f aca="false">IF(Funding!AH34&gt;0,Funding!AH26/(Inputs!$F$296*IF(Funding!AH33&gt;0,Funding!AH33,1)),Inputs!$F$28)</f>
        <v>1000000000</v>
      </c>
      <c r="AI35" s="20" t="n">
        <f aca="false">IF(Funding!AI34&gt;0,Funding!AI26/(Inputs!$F$296*IF(Funding!AI33&gt;0,Funding!AI33,1)),Inputs!$F$28)</f>
        <v>1000000000</v>
      </c>
      <c r="AJ35" s="20" t="n">
        <f aca="false">IF(Funding!AJ34&gt;0,Funding!AJ26/(Inputs!$F$296*IF(Funding!AJ33&gt;0,Funding!AJ33,1)),Inputs!$F$28)</f>
        <v>1000000000</v>
      </c>
      <c r="AK35" s="20" t="n">
        <f aca="false">IF(Funding!AK34&gt;0,Funding!AK26/(Inputs!$F$296*IF(Funding!AK33&gt;0,Funding!AK33,1)),Inputs!$F$28)</f>
        <v>1000000000</v>
      </c>
      <c r="AL35" s="20" t="n">
        <f aca="false">IF(Funding!AL34&gt;0,Funding!AL26/(Inputs!$F$296*IF(Funding!AL33&gt;0,Funding!AL33,1)),Inputs!$F$28)</f>
        <v>1000000000</v>
      </c>
      <c r="AM35" s="20" t="n">
        <f aca="false">IF(Funding!AM34&gt;0,Funding!AM26/(Inputs!$F$296*IF(Funding!AM33&gt;0,Funding!AM33,1)),Inputs!$F$28)</f>
        <v>1000000000</v>
      </c>
      <c r="AN35" s="20" t="n">
        <f aca="false">IF(Funding!AN34&gt;0,Funding!AN26/(Inputs!$F$296*IF(Funding!AN33&gt;0,Funding!AN33,1)),Inputs!$F$28)</f>
        <v>1000000000</v>
      </c>
      <c r="AO35" s="20" t="n">
        <f aca="false">IF(Funding!AO34&gt;0,Funding!AO26/(Inputs!$F$296*IF(Funding!AO33&gt;0,Funding!AO33,1)),Inputs!$F$28)</f>
        <v>1000000000</v>
      </c>
      <c r="AP35" s="20" t="n">
        <f aca="false">IF(Funding!AP34&gt;0,Funding!AP26/(Inputs!$F$296*IF(Funding!AP33&gt;0,Funding!AP33,1)),Inputs!$F$28)</f>
        <v>1000000000</v>
      </c>
      <c r="AQ35" s="20" t="n">
        <f aca="false">IF(Funding!AQ34&gt;0,Funding!AQ26/(Inputs!$F$296*IF(Funding!AQ33&gt;0,Funding!AQ33,1)),Inputs!$F$28)</f>
        <v>1000000000</v>
      </c>
      <c r="AR35" s="20" t="n">
        <f aca="false">IF(Funding!AR34&gt;0,Funding!AR26/(Inputs!$F$296*IF(Funding!AR33&gt;0,Funding!AR33,1)),Inputs!$F$28)</f>
        <v>1000000000</v>
      </c>
      <c r="AS35" s="20" t="n">
        <f aca="false">IF(Funding!AS34&gt;0,Funding!AS26/(Inputs!$F$296*IF(Funding!AS33&gt;0,Funding!AS33,1)),Inputs!$F$28)</f>
        <v>1000000000</v>
      </c>
      <c r="AT35" s="20" t="n">
        <f aca="false">IF(Funding!AT34&gt;0,Funding!AT26/(Inputs!$F$296*IF(Funding!AT33&gt;0,Funding!AT33,1)),Inputs!$F$28)</f>
        <v>1000000000</v>
      </c>
      <c r="AU35" s="20" t="n">
        <f aca="false">IF(Funding!AU34&gt;0,Funding!AU26/(Inputs!$F$296*IF(Funding!AU33&gt;0,Funding!AU33,1)),Inputs!$F$28)</f>
        <v>1000000000</v>
      </c>
    </row>
    <row r="36" customFormat="false" ht="15" hidden="false" customHeight="false" outlineLevel="0" collapsed="false">
      <c r="D36" s="0" t="s">
        <v>926</v>
      </c>
      <c r="E36" s="0" t="s">
        <v>47</v>
      </c>
      <c r="F36" s="20" t="n">
        <f aca="false">MIN(Funding!$J$35:$AU$35)</f>
        <v>57.274153578566</v>
      </c>
    </row>
    <row r="37" customFormat="false" ht="15" hidden="false" customHeight="false" outlineLevel="0" collapsed="false">
      <c r="D37" s="0" t="s">
        <v>927</v>
      </c>
      <c r="E37" s="0" t="s">
        <v>51</v>
      </c>
      <c r="J37" s="14" t="n">
        <f aca="false">MAX(0,(Time!J$6-Inputs!$F$263)/Inputs!$F$27)</f>
        <v>0.778082191780822</v>
      </c>
      <c r="K37" s="14" t="n">
        <f aca="false">MAX(0,(Time!K$6-Inputs!$F$263)/Inputs!$F$27)</f>
        <v>1.77808219178082</v>
      </c>
      <c r="L37" s="14" t="n">
        <f aca="false">MAX(0,(Time!L$6-Inputs!$F$263)/Inputs!$F$27)</f>
        <v>2.78082191780822</v>
      </c>
      <c r="M37" s="14" t="n">
        <f aca="false">MAX(0,(Time!M$6-Inputs!$F$263)/Inputs!$F$27)</f>
        <v>3.78082191780822</v>
      </c>
      <c r="N37" s="14" t="n">
        <f aca="false">MAX(0,(Time!N$6-Inputs!$F$263)/Inputs!$F$27)</f>
        <v>4.78082191780822</v>
      </c>
      <c r="O37" s="14" t="n">
        <f aca="false">MAX(0,(Time!O$6-Inputs!$F$263)/Inputs!$F$27)</f>
        <v>5.78082191780822</v>
      </c>
      <c r="P37" s="14" t="n">
        <f aca="false">MAX(0,(Time!P$6-Inputs!$F$263)/Inputs!$F$27)</f>
        <v>6.78356164383562</v>
      </c>
      <c r="Q37" s="14" t="n">
        <f aca="false">MAX(0,(Time!Q$6-Inputs!$F$263)/Inputs!$F$27)</f>
        <v>7.78356164383562</v>
      </c>
      <c r="R37" s="14" t="n">
        <f aca="false">MAX(0,(Time!R$6-Inputs!$F$263)/Inputs!$F$27)</f>
        <v>8.78356164383562</v>
      </c>
      <c r="S37" s="14" t="n">
        <f aca="false">MAX(0,(Time!S$6-Inputs!$F$263)/Inputs!$F$27)</f>
        <v>9.78356164383562</v>
      </c>
      <c r="T37" s="14" t="n">
        <f aca="false">MAX(0,(Time!T$6-Inputs!$F$263)/Inputs!$F$27)</f>
        <v>10.786301369863</v>
      </c>
      <c r="U37" s="14" t="n">
        <f aca="false">MAX(0,(Time!U$6-Inputs!$F$263)/Inputs!$F$27)</f>
        <v>11.786301369863</v>
      </c>
      <c r="V37" s="14" t="n">
        <f aca="false">MAX(0,(Time!V$6-Inputs!$F$263)/Inputs!$F$27)</f>
        <v>12.786301369863</v>
      </c>
      <c r="W37" s="14" t="n">
        <f aca="false">MAX(0,(Time!W$6-Inputs!$F$263)/Inputs!$F$27)</f>
        <v>13.786301369863</v>
      </c>
      <c r="X37" s="14" t="n">
        <f aca="false">MAX(0,(Time!X$6-Inputs!$F$263)/Inputs!$F$27)</f>
        <v>14.7890410958904</v>
      </c>
      <c r="Y37" s="14" t="n">
        <f aca="false">MAX(0,(Time!Y$6-Inputs!$F$263)/Inputs!$F$27)</f>
        <v>15.7890410958904</v>
      </c>
      <c r="Z37" s="14" t="n">
        <f aca="false">MAX(0,(Time!Z$6-Inputs!$F$263)/Inputs!$F$27)</f>
        <v>16.7890410958904</v>
      </c>
      <c r="AA37" s="14" t="n">
        <f aca="false">MAX(0,(Time!AA$6-Inputs!$F$263)/Inputs!$F$27)</f>
        <v>17.7890410958904</v>
      </c>
      <c r="AB37" s="14" t="n">
        <f aca="false">MAX(0,(Time!AB$6-Inputs!$F$263)/Inputs!$F$27)</f>
        <v>18.7917808219178</v>
      </c>
      <c r="AC37" s="14" t="n">
        <f aca="false">MAX(0,(Time!AC$6-Inputs!$F$263)/Inputs!$F$27)</f>
        <v>19.7917808219178</v>
      </c>
      <c r="AD37" s="14" t="n">
        <f aca="false">MAX(0,(Time!AD$6-Inputs!$F$263)/Inputs!$F$27)</f>
        <v>20.7917808219178</v>
      </c>
      <c r="AE37" s="14" t="n">
        <f aca="false">MAX(0,(Time!AE$6-Inputs!$F$263)/Inputs!$F$27)</f>
        <v>21.7917808219178</v>
      </c>
      <c r="AF37" s="14" t="n">
        <f aca="false">MAX(0,(Time!AF$6-Inputs!$F$263)/Inputs!$F$27)</f>
        <v>22.7945205479452</v>
      </c>
      <c r="AG37" s="14" t="n">
        <f aca="false">MAX(0,(Time!AG$6-Inputs!$F$263)/Inputs!$F$27)</f>
        <v>23.7945205479452</v>
      </c>
      <c r="AH37" s="14" t="n">
        <f aca="false">MAX(0,(Time!AH$6-Inputs!$F$263)/Inputs!$F$27)</f>
        <v>24.7945205479452</v>
      </c>
      <c r="AI37" s="14" t="n">
        <f aca="false">MAX(0,(Time!AI$6-Inputs!$F$263)/Inputs!$F$27)</f>
        <v>25.7945205479452</v>
      </c>
      <c r="AJ37" s="14" t="n">
        <f aca="false">MAX(0,(Time!AJ$6-Inputs!$F$263)/Inputs!$F$27)</f>
        <v>26.7972602739726</v>
      </c>
      <c r="AK37" s="14" t="n">
        <f aca="false">MAX(0,(Time!AK$6-Inputs!$F$263)/Inputs!$F$27)</f>
        <v>27.7972602739726</v>
      </c>
      <c r="AL37" s="14" t="n">
        <f aca="false">MAX(0,(Time!AL$6-Inputs!$F$263)/Inputs!$F$27)</f>
        <v>28.7972602739726</v>
      </c>
      <c r="AM37" s="14" t="n">
        <f aca="false">MAX(0,(Time!AM$6-Inputs!$F$263)/Inputs!$F$27)</f>
        <v>29.7972602739726</v>
      </c>
      <c r="AN37" s="14" t="n">
        <f aca="false">MAX(0,(Time!AN$6-Inputs!$F$263)/Inputs!$F$27)</f>
        <v>30.8</v>
      </c>
      <c r="AO37" s="14" t="n">
        <f aca="false">MAX(0,(Time!AO$6-Inputs!$F$263)/Inputs!$F$27)</f>
        <v>31.8</v>
      </c>
      <c r="AP37" s="14" t="n">
        <f aca="false">MAX(0,(Time!AP$6-Inputs!$F$263)/Inputs!$F$27)</f>
        <v>32.8</v>
      </c>
      <c r="AQ37" s="14" t="n">
        <f aca="false">MAX(0,(Time!AQ$6-Inputs!$F$263)/Inputs!$F$27)</f>
        <v>33.8</v>
      </c>
      <c r="AR37" s="14" t="n">
        <f aca="false">MAX(0,(Time!AR$6-Inputs!$F$263)/Inputs!$F$27)</f>
        <v>34.8027397260274</v>
      </c>
      <c r="AS37" s="14" t="n">
        <f aca="false">MAX(0,(Time!AS$6-Inputs!$F$263)/Inputs!$F$27)</f>
        <v>35.8027397260274</v>
      </c>
      <c r="AT37" s="14" t="n">
        <f aca="false">MAX(0,(Time!AT$6-Inputs!$F$263)/Inputs!$F$27)</f>
        <v>36.8027397260274</v>
      </c>
      <c r="AU37" s="14" t="n">
        <f aca="false">MAX(0,(Time!AU$6-Inputs!$F$263)/Inputs!$F$27)</f>
        <v>37.8027397260274</v>
      </c>
    </row>
    <row r="38" customFormat="false" ht="15" hidden="false" customHeight="false" outlineLevel="0" collapsed="false">
      <c r="D38" s="0" t="s">
        <v>928</v>
      </c>
      <c r="E38" s="0" t="s">
        <v>27</v>
      </c>
      <c r="J38" s="14" t="n">
        <f aca="false">(Time!J$6&gt;=Inputs!$F$263)*(Operations!J822*(1+Inputs!$F$343/100)^(-Funding!J37)+Operations!J823*(1+Inputs!$F$344/100)^(-Funding!J37)+Operations!J824*(1+Inputs!$F$345/100)^(-Funding!J37))</f>
        <v>0.931468839793169</v>
      </c>
      <c r="K38" s="14" t="n">
        <f aca="false">(Time!K$6&gt;=Inputs!$F$263)*(Operations!K822*(1+Inputs!$F$343/100)^(-Funding!K37)+Operations!K823*(1+Inputs!$F$344/100)^(-Funding!K37)+Operations!K824*(1+Inputs!$F$345/100)^(-Funding!K37))</f>
        <v>0.859472347119183</v>
      </c>
      <c r="L38" s="14" t="n">
        <f aca="false">(Time!L$6&gt;=Inputs!$F$263)*(Operations!L822*(1+Inputs!$F$343/100)^(-Funding!L37)+Operations!L823*(1+Inputs!$F$344/100)^(-Funding!L37)+Operations!L824*(1+Inputs!$F$345/100)^(-Funding!L37))</f>
        <v>0.791653120795922</v>
      </c>
      <c r="M38" s="14" t="n">
        <f aca="false">(Time!M$6&gt;=Inputs!$F$263)*(Operations!M822*(1+Inputs!$F$343/100)^(-Funding!M37)+Operations!M823*(1+Inputs!$F$344/100)^(-Funding!M37)+Operations!M824*(1+Inputs!$F$345/100)^(-Funding!M37))</f>
        <v>0.727373498877422</v>
      </c>
      <c r="N38" s="14" t="n">
        <f aca="false">(Time!N$6&gt;=Inputs!$F$263)*(Operations!N822*(1+Inputs!$F$343/100)^(-Funding!N37)+Operations!N823*(1+Inputs!$F$344/100)^(-Funding!N37)+Operations!N824*(1+Inputs!$F$345/100)^(-Funding!N37))</f>
        <v>0.668555857313331</v>
      </c>
      <c r="O38" s="14" t="n">
        <f aca="false">(Time!O$6&gt;=Inputs!$F$263)*(Operations!O822*(1+Inputs!$F$343/100)^(-Funding!O37)+Operations!O823*(1+Inputs!$F$344/100)^(-Funding!O37)+Operations!O824*(1+Inputs!$F$345/100)^(-Funding!O37))</f>
        <v>0.610923003585122</v>
      </c>
      <c r="P38" s="14" t="n">
        <f aca="false">(Time!P$6&gt;=Inputs!$F$263)*(Operations!P822*(1+Inputs!$F$343/100)^(-Funding!P37)+Operations!P823*(1+Inputs!$F$344/100)^(-Funding!P37)+Operations!P824*(1+Inputs!$F$345/100)^(-Funding!P37))</f>
        <v>0.547982696452338</v>
      </c>
      <c r="Q38" s="14" t="n">
        <f aca="false">(Time!Q$6&gt;=Inputs!$F$263)*(Operations!Q822*(1+Inputs!$F$343/100)^(-Funding!Q37)+Operations!Q823*(1+Inputs!$F$344/100)^(-Funding!Q37)+Operations!Q824*(1+Inputs!$F$345/100)^(-Funding!Q37))</f>
        <v>0.480791342264887</v>
      </c>
      <c r="R38" s="14" t="n">
        <f aca="false">(Time!R$6&gt;=Inputs!$F$263)*(Operations!R822*(1+Inputs!$F$343/100)^(-Funding!R37)+Operations!R823*(1+Inputs!$F$344/100)^(-Funding!R37)+Operations!R824*(1+Inputs!$F$345/100)^(-Funding!R37))</f>
        <v>0.398747775161688</v>
      </c>
      <c r="S38" s="14" t="n">
        <f aca="false">(Time!S$6&gt;=Inputs!$F$263)*(Operations!S822*(1+Inputs!$F$343/100)^(-Funding!S37)+Operations!S823*(1+Inputs!$F$344/100)^(-Funding!S37)+Operations!S824*(1+Inputs!$F$345/100)^(-Funding!S37))</f>
        <v>0.359140783758602</v>
      </c>
      <c r="T38" s="14" t="n">
        <f aca="false">(Time!T$6&gt;=Inputs!$F$263)*(Operations!T822*(1+Inputs!$F$343/100)^(-Funding!T37)+Operations!T823*(1+Inputs!$F$344/100)^(-Funding!T37)+Operations!T824*(1+Inputs!$F$345/100)^(-Funding!T37))</f>
        <v>0.323381405163463</v>
      </c>
      <c r="U38" s="14" t="n">
        <f aca="false">(Time!U$6&gt;=Inputs!$F$263)*(Operations!U822*(1+Inputs!$F$343/100)^(-Funding!U37)+Operations!U823*(1+Inputs!$F$344/100)^(-Funding!U37)+Operations!U824*(1+Inputs!$F$345/100)^(-Funding!U37))</f>
        <v>0.28408727453943</v>
      </c>
      <c r="V38" s="14" t="n">
        <f aca="false">(Time!V$6&gt;=Inputs!$F$263)*(Operations!V822*(1+Inputs!$F$343/100)^(-Funding!V37)+Operations!V823*(1+Inputs!$F$344/100)^(-Funding!V37)+Operations!V824*(1+Inputs!$F$345/100)^(-Funding!V37))</f>
        <v>0.248616128016202</v>
      </c>
      <c r="W38" s="14" t="n">
        <f aca="false">(Time!W$6&gt;=Inputs!$F$263)*(Operations!W822*(1+Inputs!$F$343/100)^(-Funding!W37)+Operations!W823*(1+Inputs!$F$344/100)^(-Funding!W37)+Operations!W824*(1+Inputs!$F$345/100)^(-Funding!W37))</f>
        <v>0.222974105844128</v>
      </c>
      <c r="X38" s="14" t="n">
        <f aca="false">(Time!X$6&gt;=Inputs!$F$263)*(Operations!X822*(1+Inputs!$F$343/100)^(-Funding!X37)+Operations!X823*(1+Inputs!$F$344/100)^(-Funding!X37)+Operations!X824*(1+Inputs!$F$345/100)^(-Funding!X37))</f>
        <v>0.199917146110783</v>
      </c>
      <c r="Y38" s="14" t="n">
        <f aca="false">(Time!Y$6&gt;=Inputs!$F$263)*(Operations!Y822*(1+Inputs!$F$343/100)^(-Funding!Y37)+Operations!Y823*(1+Inputs!$F$344/100)^(-Funding!Y37)+Operations!Y824*(1+Inputs!$F$345/100)^(-Funding!Y37))</f>
        <v>0.179297888888595</v>
      </c>
      <c r="Z38" s="14" t="n">
        <f aca="false">(Time!Z$6&gt;=Inputs!$F$263)*(Operations!Z822*(1+Inputs!$F$343/100)^(-Funding!Z37)+Operations!Z823*(1+Inputs!$F$344/100)^(-Funding!Z37)+Operations!Z824*(1+Inputs!$F$345/100)^(-Funding!Z37))</f>
        <v>0.160805281514435</v>
      </c>
      <c r="AA38" s="14" t="n">
        <f aca="false">(Time!AA$6&gt;=Inputs!$F$263)*(Operations!AA822*(1+Inputs!$F$343/100)^(-Funding!AA37)+Operations!AA823*(1+Inputs!$F$344/100)^(-Funding!AA37)+Operations!AA824*(1+Inputs!$F$345/100)^(-Funding!AA37))</f>
        <v>0.144219983421018</v>
      </c>
      <c r="AB38" s="14" t="n">
        <f aca="false">(Time!AB$6&gt;=Inputs!$F$263)*(Operations!AB822*(1+Inputs!$F$343/100)^(-Funding!AB37)+Operations!AB823*(1+Inputs!$F$344/100)^(-Funding!AB37)+Operations!AB824*(1+Inputs!$F$345/100)^(-Funding!AB37))</f>
        <v>0.129306707559261</v>
      </c>
      <c r="AC38" s="14" t="n">
        <f aca="false">(Time!AC$6&gt;=Inputs!$F$263)*(Operations!AC822*(1+Inputs!$F$343/100)^(-Funding!AC37)+Operations!AC823*(1+Inputs!$F$344/100)^(-Funding!AC37)+Operations!AC824*(1+Inputs!$F$345/100)^(-Funding!AC37))</f>
        <v>0.115970141308755</v>
      </c>
      <c r="AD38" s="14" t="n">
        <f aca="false">(Time!AD$6&gt;=Inputs!$F$263)*(Operations!AD822*(1+Inputs!$F$343/100)^(-Funding!AD37)+Operations!AD823*(1+Inputs!$F$344/100)^(-Funding!AD37)+Operations!AD824*(1+Inputs!$F$345/100)^(-Funding!AD37))</f>
        <v>0.104009095344174</v>
      </c>
      <c r="AE38" s="14" t="n">
        <f aca="false">(Time!AE$6&gt;=Inputs!$F$263)*(Operations!AE822*(1+Inputs!$F$343/100)^(-Funding!AE37)+Operations!AE823*(1+Inputs!$F$344/100)^(-Funding!AE37)+Operations!AE824*(1+Inputs!$F$345/100)^(-Funding!AE37))</f>
        <v>0.0932816998602462</v>
      </c>
      <c r="AF38" s="14" t="n">
        <f aca="false">(Time!AF$6&gt;=Inputs!$F$263)*(Operations!AF822*(1+Inputs!$F$343/100)^(-Funding!AF37)+Operations!AF823*(1+Inputs!$F$344/100)^(-Funding!AF37)+Operations!AF824*(1+Inputs!$F$345/100)^(-Funding!AF37))</f>
        <v>0.0836357708435417</v>
      </c>
      <c r="AG38" s="14" t="n">
        <f aca="false">(Time!AG$6&gt;=Inputs!$F$263)*(Operations!AG822*(1+Inputs!$F$343/100)^(-Funding!AG37)+Operations!AG823*(1+Inputs!$F$344/100)^(-Funding!AG37)+Operations!AG824*(1+Inputs!$F$345/100)^(-Funding!AG37))</f>
        <v>0.0750096599493648</v>
      </c>
      <c r="AH38" s="14" t="n">
        <f aca="false">(Time!AH$6&gt;=Inputs!$F$263)*(Operations!AH822*(1+Inputs!$F$343/100)^(-Funding!AH37)+Operations!AH823*(1+Inputs!$F$344/100)^(-Funding!AH37)+Operations!AH824*(1+Inputs!$F$345/100)^(-Funding!AH37))</f>
        <v>0.0672732376227486</v>
      </c>
      <c r="AI38" s="14" t="n">
        <f aca="false">(Time!AI$6&gt;=Inputs!$F$263)*(Operations!AI822*(1+Inputs!$F$343/100)^(-Funding!AI37)+Operations!AI823*(1+Inputs!$F$344/100)^(-Funding!AI37)+Operations!AI824*(1+Inputs!$F$345/100)^(-Funding!AI37))</f>
        <v>0.0603347422625548</v>
      </c>
      <c r="AJ38" s="14" t="n">
        <f aca="false">(Time!AJ$6&gt;=Inputs!$F$263)*(Operations!AJ822*(1+Inputs!$F$343/100)^(-Funding!AJ37)+Operations!AJ823*(1+Inputs!$F$344/100)^(-Funding!AJ37)+Operations!AJ824*(1+Inputs!$F$345/100)^(-Funding!AJ37))</f>
        <v>0.054095741022465</v>
      </c>
      <c r="AK38" s="14" t="n">
        <f aca="false">(Time!AK$6&gt;=Inputs!$F$263)*(Operations!AK822*(1+Inputs!$F$343/100)^(-Funding!AK37)+Operations!AK823*(1+Inputs!$F$344/100)^(-Funding!AK37)+Operations!AK824*(1+Inputs!$F$345/100)^(-Funding!AK37))</f>
        <v>0.0485163596614036</v>
      </c>
      <c r="AL38" s="14" t="n">
        <f aca="false">(Time!AL$6&gt;=Inputs!$F$263)*(Operations!AL822*(1+Inputs!$F$343/100)^(-Funding!AL37)+Operations!AL823*(1+Inputs!$F$344/100)^(-Funding!AL37)+Operations!AL824*(1+Inputs!$F$345/100)^(-Funding!AL37))</f>
        <v>0.0435124301895996</v>
      </c>
      <c r="AM38" s="14" t="n">
        <f aca="false">(Time!AM$6&gt;=Inputs!$F$263)*(Operations!AM822*(1+Inputs!$F$343/100)^(-Funding!AM37)+Operations!AM823*(1+Inputs!$F$344/100)^(-Funding!AM37)+Operations!AM824*(1+Inputs!$F$345/100)^(-Funding!AM37))</f>
        <v>0.0390246010669055</v>
      </c>
      <c r="AN38" s="14" t="n">
        <f aca="false">(Time!AN$6&gt;=Inputs!$F$263)*(Operations!AN822*(1+Inputs!$F$343/100)^(-Funding!AN37)+Operations!AN823*(1+Inputs!$F$344/100)^(-Funding!AN37)+Operations!AN824*(1+Inputs!$F$345/100)^(-Funding!AN37))</f>
        <v>0.0349892057818652</v>
      </c>
      <c r="AO38" s="14" t="n">
        <f aca="false">(Time!AO$6&gt;=Inputs!$F$263)*(Operations!AO822*(1+Inputs!$F$343/100)^(-Funding!AO37)+Operations!AO823*(1+Inputs!$F$344/100)^(-Funding!AO37)+Operations!AO824*(1+Inputs!$F$345/100)^(-Funding!AO37))</f>
        <v>0.0313804536160226</v>
      </c>
      <c r="AP38" s="14" t="n">
        <f aca="false">(Time!AP$6&gt;=Inputs!$F$263)*(Operations!AP822*(1+Inputs!$F$343/100)^(-Funding!AP37)+Operations!AP823*(1+Inputs!$F$344/100)^(-Funding!AP37)+Operations!AP824*(1+Inputs!$F$345/100)^(-Funding!AP37))</f>
        <v>0.0281439045883611</v>
      </c>
      <c r="AQ38" s="14" t="n">
        <f aca="false">(Time!AQ$6&gt;=Inputs!$F$263)*(Operations!AQ822*(1+Inputs!$F$343/100)^(-Funding!AQ37)+Operations!AQ823*(1+Inputs!$F$344/100)^(-Funding!AQ37)+Operations!AQ824*(1+Inputs!$F$345/100)^(-Funding!AQ37))</f>
        <v>0.0252411700344046</v>
      </c>
      <c r="AR38" s="14" t="n">
        <f aca="false">(Time!AR$6&gt;=Inputs!$F$263)*(Operations!AR822*(1+Inputs!$F$343/100)^(-Funding!AR37)+Operations!AR823*(1+Inputs!$F$344/100)^(-Funding!AR37)+Operations!AR824*(1+Inputs!$F$345/100)^(-Funding!AR37))</f>
        <v>0.0226310703598145</v>
      </c>
      <c r="AS38" s="14" t="n">
        <f aca="false">(Time!AS$6&gt;=Inputs!$F$263)*(Operations!AS822*(1+Inputs!$F$343/100)^(-Funding!AS37)+Operations!AS823*(1+Inputs!$F$344/100)^(-Funding!AS37)+Operations!AS824*(1+Inputs!$F$345/100)^(-Funding!AS37))</f>
        <v>0.0202969240895198</v>
      </c>
      <c r="AT38" s="14" t="n">
        <f aca="false">(Time!AT$6&gt;=Inputs!$F$263)*(Operations!AT822*(1+Inputs!$F$343/100)^(-Funding!AT37)+Operations!AT823*(1+Inputs!$F$344/100)^(-Funding!AT37)+Operations!AT824*(1+Inputs!$F$345/100)^(-Funding!AT37))</f>
        <v>0.018203519362798</v>
      </c>
      <c r="AU38" s="14" t="n">
        <f aca="false">(Time!AU$6&gt;=Inputs!$F$263)*(Operations!AU822*(1+Inputs!$F$343/100)^(-Funding!AU37)+Operations!AU823*(1+Inputs!$F$344/100)^(-Funding!AU37)+Operations!AU824*(1+Inputs!$F$345/100)^(-Funding!AU37))</f>
        <v>0.016326026334348</v>
      </c>
    </row>
    <row r="39" customFormat="false" ht="15" hidden="false" customHeight="false" outlineLevel="0" collapsed="false">
      <c r="D39" s="0" t="s">
        <v>929</v>
      </c>
      <c r="E39" s="0" t="s">
        <v>47</v>
      </c>
      <c r="F39" s="20" t="n">
        <f aca="false">SUMPRODUCT(Funding!$J$26:$AU$26,Funding!$J$38:$AU$38)</f>
        <v>146.984713667864</v>
      </c>
    </row>
    <row r="40" customFormat="false" ht="15" hidden="false" customHeight="false" outlineLevel="0" collapsed="false">
      <c r="D40" s="0" t="s">
        <v>930</v>
      </c>
      <c r="E40" s="0" t="s">
        <v>47</v>
      </c>
      <c r="F40" s="20" t="n">
        <f aca="false">Inputs!$F$297/100*Funding!$F$39</f>
        <v>66.1431211505388</v>
      </c>
    </row>
    <row r="41" customFormat="false" ht="15" hidden="false" customHeight="false" outlineLevel="0" collapsed="false">
      <c r="D41" s="0" t="s">
        <v>931</v>
      </c>
      <c r="E41" s="0" t="s">
        <v>47</v>
      </c>
      <c r="F41" s="20" t="n">
        <f aca="false">MIN(Funding!$F$36,Funding!$F$40)</f>
        <v>57.274153578566</v>
      </c>
    </row>
    <row r="43" customFormat="false" ht="15" hidden="false" customHeight="false" outlineLevel="0" collapsed="false">
      <c r="A43" s="4" t="s">
        <v>932</v>
      </c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</row>
    <row r="44" customFormat="false" ht="15" hidden="false" customHeight="false" outlineLevel="0" collapsed="false">
      <c r="D44" s="0" t="s">
        <v>933</v>
      </c>
      <c r="E44" s="0" t="s">
        <v>458</v>
      </c>
      <c r="J44" s="14" t="n">
        <f aca="false">MAX(0,MIN(Inputs!$F$301,Time!J$6)-MAX(Inputs!$F$300,Time!J$5))/Time!J$7</f>
        <v>0</v>
      </c>
      <c r="K44" s="14" t="n">
        <f aca="false">MAX(0,MIN(Inputs!$F$301,Time!K$6)-MAX(Inputs!$F$300,Time!K$5))/Time!K$7</f>
        <v>0.334246575342466</v>
      </c>
      <c r="L44" s="14" t="n">
        <f aca="false">MAX(0,MIN(Inputs!$F$301,Time!L$6)-MAX(Inputs!$F$300,Time!L$5))/Time!L$7</f>
        <v>1</v>
      </c>
      <c r="M44" s="14" t="n">
        <f aca="false">MAX(0,MIN(Inputs!$F$301,Time!M$6)-MAX(Inputs!$F$300,Time!M$5))/Time!M$7</f>
        <v>1</v>
      </c>
      <c r="N44" s="14" t="n">
        <f aca="false">MAX(0,MIN(Inputs!$F$301,Time!N$6)-MAX(Inputs!$F$300,Time!N$5))/Time!N$7</f>
        <v>1</v>
      </c>
      <c r="O44" s="14" t="n">
        <f aca="false">MAX(0,MIN(Inputs!$F$301,Time!O$6)-MAX(Inputs!$F$300,Time!O$5))/Time!O$7</f>
        <v>1</v>
      </c>
      <c r="P44" s="14" t="n">
        <f aca="false">MAX(0,MIN(Inputs!$F$301,Time!P$6)-MAX(Inputs!$F$300,Time!P$5))/Time!P$7</f>
        <v>1</v>
      </c>
      <c r="Q44" s="14" t="n">
        <f aca="false">MAX(0,MIN(Inputs!$F$301,Time!Q$6)-MAX(Inputs!$F$300,Time!Q$5))/Time!Q$7</f>
        <v>1</v>
      </c>
      <c r="R44" s="14" t="n">
        <f aca="false">MAX(0,MIN(Inputs!$F$301,Time!R$6)-MAX(Inputs!$F$300,Time!R$5))/Time!R$7</f>
        <v>0.495890410958904</v>
      </c>
      <c r="S44" s="14" t="n">
        <f aca="false">MAX(0,MIN(Inputs!$F$301,Time!S$6)-MAX(Inputs!$F$300,Time!S$5))/Time!S$7</f>
        <v>0</v>
      </c>
      <c r="T44" s="14" t="n">
        <f aca="false">MAX(0,MIN(Inputs!$F$301,Time!T$6)-MAX(Inputs!$F$300,Time!T$5))/Time!T$7</f>
        <v>0</v>
      </c>
      <c r="U44" s="14" t="n">
        <f aca="false">MAX(0,MIN(Inputs!$F$301,Time!U$6)-MAX(Inputs!$F$300,Time!U$5))/Time!U$7</f>
        <v>0</v>
      </c>
      <c r="V44" s="14" t="n">
        <f aca="false">MAX(0,MIN(Inputs!$F$301,Time!V$6)-MAX(Inputs!$F$300,Time!V$5))/Time!V$7</f>
        <v>0</v>
      </c>
      <c r="W44" s="14" t="n">
        <f aca="false">MAX(0,MIN(Inputs!$F$301,Time!W$6)-MAX(Inputs!$F$300,Time!W$5))/Time!W$7</f>
        <v>0</v>
      </c>
      <c r="X44" s="14" t="n">
        <f aca="false">MAX(0,MIN(Inputs!$F$301,Time!X$6)-MAX(Inputs!$F$300,Time!X$5))/Time!X$7</f>
        <v>0</v>
      </c>
      <c r="Y44" s="14" t="n">
        <f aca="false">MAX(0,MIN(Inputs!$F$301,Time!Y$6)-MAX(Inputs!$F$300,Time!Y$5))/Time!Y$7</f>
        <v>0</v>
      </c>
      <c r="Z44" s="14" t="n">
        <f aca="false">MAX(0,MIN(Inputs!$F$301,Time!Z$6)-MAX(Inputs!$F$300,Time!Z$5))/Time!Z$7</f>
        <v>0</v>
      </c>
      <c r="AA44" s="14" t="n">
        <f aca="false">MAX(0,MIN(Inputs!$F$301,Time!AA$6)-MAX(Inputs!$F$300,Time!AA$5))/Time!AA$7</f>
        <v>0</v>
      </c>
      <c r="AB44" s="14" t="n">
        <f aca="false">MAX(0,MIN(Inputs!$F$301,Time!AB$6)-MAX(Inputs!$F$300,Time!AB$5))/Time!AB$7</f>
        <v>0</v>
      </c>
      <c r="AC44" s="14" t="n">
        <f aca="false">MAX(0,MIN(Inputs!$F$301,Time!AC$6)-MAX(Inputs!$F$300,Time!AC$5))/Time!AC$7</f>
        <v>0</v>
      </c>
      <c r="AD44" s="14" t="n">
        <f aca="false">MAX(0,MIN(Inputs!$F$301,Time!AD$6)-MAX(Inputs!$F$300,Time!AD$5))/Time!AD$7</f>
        <v>0</v>
      </c>
      <c r="AE44" s="14" t="n">
        <f aca="false">MAX(0,MIN(Inputs!$F$301,Time!AE$6)-MAX(Inputs!$F$300,Time!AE$5))/Time!AE$7</f>
        <v>0</v>
      </c>
      <c r="AF44" s="14" t="n">
        <f aca="false">MAX(0,MIN(Inputs!$F$301,Time!AF$6)-MAX(Inputs!$F$300,Time!AF$5))/Time!AF$7</f>
        <v>0</v>
      </c>
      <c r="AG44" s="14" t="n">
        <f aca="false">MAX(0,MIN(Inputs!$F$301,Time!AG$6)-MAX(Inputs!$F$300,Time!AG$5))/Time!AG$7</f>
        <v>0</v>
      </c>
      <c r="AH44" s="14" t="n">
        <f aca="false">MAX(0,MIN(Inputs!$F$301,Time!AH$6)-MAX(Inputs!$F$300,Time!AH$5))/Time!AH$7</f>
        <v>0</v>
      </c>
      <c r="AI44" s="14" t="n">
        <f aca="false">MAX(0,MIN(Inputs!$F$301,Time!AI$6)-MAX(Inputs!$F$300,Time!AI$5))/Time!AI$7</f>
        <v>0</v>
      </c>
      <c r="AJ44" s="14" t="n">
        <f aca="false">MAX(0,MIN(Inputs!$F$301,Time!AJ$6)-MAX(Inputs!$F$300,Time!AJ$5))/Time!AJ$7</f>
        <v>0</v>
      </c>
      <c r="AK44" s="14" t="n">
        <f aca="false">MAX(0,MIN(Inputs!$F$301,Time!AK$6)-MAX(Inputs!$F$300,Time!AK$5))/Time!AK$7</f>
        <v>0</v>
      </c>
      <c r="AL44" s="14" t="n">
        <f aca="false">MAX(0,MIN(Inputs!$F$301,Time!AL$6)-MAX(Inputs!$F$300,Time!AL$5))/Time!AL$7</f>
        <v>0</v>
      </c>
      <c r="AM44" s="14" t="n">
        <f aca="false">MAX(0,MIN(Inputs!$F$301,Time!AM$6)-MAX(Inputs!$F$300,Time!AM$5))/Time!AM$7</f>
        <v>0</v>
      </c>
      <c r="AN44" s="14" t="n">
        <f aca="false">MAX(0,MIN(Inputs!$F$301,Time!AN$6)-MAX(Inputs!$F$300,Time!AN$5))/Time!AN$7</f>
        <v>0</v>
      </c>
      <c r="AO44" s="14" t="n">
        <f aca="false">MAX(0,MIN(Inputs!$F$301,Time!AO$6)-MAX(Inputs!$F$300,Time!AO$5))/Time!AO$7</f>
        <v>0</v>
      </c>
      <c r="AP44" s="14" t="n">
        <f aca="false">MAX(0,MIN(Inputs!$F$301,Time!AP$6)-MAX(Inputs!$F$300,Time!AP$5))/Time!AP$7</f>
        <v>0</v>
      </c>
      <c r="AQ44" s="14" t="n">
        <f aca="false">MAX(0,MIN(Inputs!$F$301,Time!AQ$6)-MAX(Inputs!$F$300,Time!AQ$5))/Time!AQ$7</f>
        <v>0</v>
      </c>
      <c r="AR44" s="14" t="n">
        <f aca="false">MAX(0,MIN(Inputs!$F$301,Time!AR$6)-MAX(Inputs!$F$300,Time!AR$5))/Time!AR$7</f>
        <v>0</v>
      </c>
      <c r="AS44" s="14" t="n">
        <f aca="false">MAX(0,MIN(Inputs!$F$301,Time!AS$6)-MAX(Inputs!$F$300,Time!AS$5))/Time!AS$7</f>
        <v>0</v>
      </c>
      <c r="AT44" s="14" t="n">
        <f aca="false">MAX(0,MIN(Inputs!$F$301,Time!AT$6)-MAX(Inputs!$F$300,Time!AT$5))/Time!AT$7</f>
        <v>0</v>
      </c>
      <c r="AU44" s="14" t="n">
        <f aca="false">MAX(0,MIN(Inputs!$F$301,Time!AU$6)-MAX(Inputs!$F$300,Time!AU$5))/Time!AU$7</f>
        <v>0</v>
      </c>
    </row>
    <row r="45" customFormat="false" ht="15" hidden="false" customHeight="false" outlineLevel="0" collapsed="false">
      <c r="D45" s="0" t="s">
        <v>934</v>
      </c>
      <c r="E45" s="0" t="s">
        <v>47</v>
      </c>
      <c r="J45" s="20" t="n">
        <f aca="false">IF(Operations!J671&gt;0,(Operations!J692+Operations!J694+Operations!J695)/Operations!J671,0)</f>
        <v>0</v>
      </c>
      <c r="K45" s="20" t="n">
        <f aca="false">IF(Operations!K671&gt;0,(Operations!K692+Operations!K694+Operations!K695)/Operations!K671,0)</f>
        <v>1.6164445</v>
      </c>
      <c r="L45" s="20" t="n">
        <f aca="false">IF(Operations!L671&gt;0,(Operations!L692+Operations!L694+Operations!L695)/Operations!L671,0)</f>
        <v>1.6554144875</v>
      </c>
      <c r="M45" s="20" t="n">
        <f aca="false">IF(Operations!M671&gt;0,(Operations!M692+Operations!M694+Operations!M695)/Operations!M671,0)</f>
        <v>1.6953587246875</v>
      </c>
      <c r="N45" s="20" t="n">
        <f aca="false">IF(Operations!N671&gt;0,(Operations!N692+Operations!N694+Operations!N695)/Operations!N671,0)</f>
        <v>1.73630156780469</v>
      </c>
      <c r="O45" s="20" t="n">
        <f aca="false">IF(Operations!O671&gt;0,(Operations!O692+Operations!O694+Operations!O695)/Operations!O671,0)</f>
        <v>1.7782679819998</v>
      </c>
      <c r="P45" s="20" t="n">
        <f aca="false">IF(Operations!P671&gt;0,(Operations!P692+Operations!P694+Operations!P695)/Operations!P671,0)</f>
        <v>1.8212835565498</v>
      </c>
      <c r="Q45" s="20" t="n">
        <f aca="false">IF(Operations!Q671&gt;0,(Operations!Q692+Operations!Q694+Operations!Q695)/Operations!Q671,0)</f>
        <v>1.86537452046354</v>
      </c>
      <c r="R45" s="20" t="n">
        <f aca="false">IF(Operations!R671&gt;0,(Operations!R692+Operations!R694+Operations!R695)/Operations!R671,0)</f>
        <v>1.89829779109499</v>
      </c>
      <c r="S45" s="20" t="n">
        <f aca="false">IF(Operations!S671&gt;0,(Operations!S692+Operations!S694+Operations!S695)/Operations!S671,0)</f>
        <v>1.93117147118701</v>
      </c>
      <c r="T45" s="20" t="n">
        <f aca="false">IF(Operations!T671&gt;0,(Operations!T692+Operations!T694+Operations!T695)/Operations!T671,0)</f>
        <v>1.97913377937294</v>
      </c>
      <c r="U45" s="20" t="n">
        <f aca="false">IF(Operations!U671&gt;0,(Operations!U692+Operations!U694+Operations!U695)/Operations!U671,0)</f>
        <v>2.02828823495101</v>
      </c>
      <c r="V45" s="20" t="n">
        <f aca="false">IF(Operations!V671&gt;0,(Operations!V692+Operations!V694+Operations!V695)/Operations!V671,0)</f>
        <v>2.07866451363728</v>
      </c>
      <c r="W45" s="20" t="n">
        <f aca="false">IF(Operations!W671&gt;0,(Operations!W692+Operations!W694+Operations!W695)/Operations!W671,0)</f>
        <v>2.13029815179072</v>
      </c>
      <c r="X45" s="20" t="n">
        <f aca="false">IF(Operations!X671&gt;0,(Operations!X692+Operations!X694+Operations!X695)/Operations!X671,0)</f>
        <v>2.18280787450129</v>
      </c>
      <c r="Y45" s="20" t="n">
        <f aca="false">IF(Operations!Y671&gt;0,(Operations!Y692+Operations!Y694+Operations!Y695)/Operations!Y671,0)</f>
        <v>2.23659887945102</v>
      </c>
      <c r="Z45" s="20" t="n">
        <f aca="false">IF(Operations!Z671&gt;0,(Operations!Z692+Operations!Z694+Operations!Z695)/Operations!Z671,0)</f>
        <v>2.29173070887391</v>
      </c>
      <c r="AA45" s="20" t="n">
        <f aca="false">IF(Operations!AA671&gt;0,(Operations!AA692+Operations!AA694+Operations!AA695)/Operations!AA671,0)</f>
        <v>2.34824121080396</v>
      </c>
      <c r="AB45" s="20" t="n">
        <f aca="false">IF(Operations!AB671&gt;0,(Operations!AB692+Operations!AB694+Operations!AB695)/Operations!AB671,0)</f>
        <v>2.40615380983379</v>
      </c>
      <c r="AC45" s="20" t="n">
        <f aca="false">IF(Operations!AC671&gt;0,(Operations!AC692+Operations!AC694+Operations!AC695)/Operations!AC671,0)</f>
        <v>2.46550897537688</v>
      </c>
      <c r="AD45" s="20" t="n">
        <f aca="false">IF(Operations!AD671&gt;0,(Operations!AD692+Operations!AD694+Operations!AD695)/Operations!AD671,0)</f>
        <v>2.52634871660701</v>
      </c>
      <c r="AE45" s="20" t="n">
        <f aca="false">IF(Operations!AE671&gt;0,(Operations!AE692+Operations!AE694+Operations!AE695)/Operations!AE671,0)</f>
        <v>2.58870469312065</v>
      </c>
      <c r="AF45" s="20" t="n">
        <f aca="false">IF(Operations!AF671&gt;0,(Operations!AF692+Operations!AF694+Operations!AF695)/Operations!AF671,0)</f>
        <v>0</v>
      </c>
      <c r="AG45" s="20" t="n">
        <f aca="false">IF(Operations!AG671&gt;0,(Operations!AG692+Operations!AG694+Operations!AG695)/Operations!AG671,0)</f>
        <v>0</v>
      </c>
      <c r="AH45" s="20" t="n">
        <f aca="false">IF(Operations!AH671&gt;0,(Operations!AH692+Operations!AH694+Operations!AH695)/Operations!AH671,0)</f>
        <v>0</v>
      </c>
      <c r="AI45" s="20" t="n">
        <f aca="false">IF(Operations!AI671&gt;0,(Operations!AI692+Operations!AI694+Operations!AI695)/Operations!AI671,0)</f>
        <v>0</v>
      </c>
      <c r="AJ45" s="20" t="n">
        <f aca="false">IF(Operations!AJ671&gt;0,(Operations!AJ692+Operations!AJ694+Operations!AJ695)/Operations!AJ671,0)</f>
        <v>0</v>
      </c>
      <c r="AK45" s="20" t="n">
        <f aca="false">IF(Operations!AK671&gt;0,(Operations!AK692+Operations!AK694+Operations!AK695)/Operations!AK671,0)</f>
        <v>0</v>
      </c>
      <c r="AL45" s="20" t="n">
        <f aca="false">IF(Operations!AL671&gt;0,(Operations!AL692+Operations!AL694+Operations!AL695)/Operations!AL671,0)</f>
        <v>0</v>
      </c>
      <c r="AM45" s="20" t="n">
        <f aca="false">IF(Operations!AM671&gt;0,(Operations!AM692+Operations!AM694+Operations!AM695)/Operations!AM671,0)</f>
        <v>0</v>
      </c>
      <c r="AN45" s="20" t="n">
        <f aca="false">IF(Operations!AN671&gt;0,(Operations!AN692+Operations!AN694+Operations!AN695)/Operations!AN671,0)</f>
        <v>0</v>
      </c>
      <c r="AO45" s="20" t="n">
        <f aca="false">IF(Operations!AO671&gt;0,(Operations!AO692+Operations!AO694+Operations!AO695)/Operations!AO671,0)</f>
        <v>0</v>
      </c>
      <c r="AP45" s="20" t="n">
        <f aca="false">IF(Operations!AP671&gt;0,(Operations!AP692+Operations!AP694+Operations!AP695)/Operations!AP671,0)</f>
        <v>0</v>
      </c>
      <c r="AQ45" s="20" t="n">
        <f aca="false">IF(Operations!AQ671&gt;0,(Operations!AQ692+Operations!AQ694+Operations!AQ695)/Operations!AQ671,0)</f>
        <v>0</v>
      </c>
      <c r="AR45" s="20" t="n">
        <f aca="false">IF(Operations!AR671&gt;0,(Operations!AR692+Operations!AR694+Operations!AR695)/Operations!AR671,0)</f>
        <v>0</v>
      </c>
      <c r="AS45" s="20" t="n">
        <f aca="false">IF(Operations!AS671&gt;0,(Operations!AS692+Operations!AS694+Operations!AS695)/Operations!AS671,0)</f>
        <v>0</v>
      </c>
      <c r="AT45" s="20" t="n">
        <f aca="false">IF(Operations!AT671&gt;0,(Operations!AT692+Operations!AT694+Operations!AT695)/Operations!AT671,0)</f>
        <v>0</v>
      </c>
      <c r="AU45" s="20" t="n">
        <f aca="false">IF(Operations!AU671&gt;0,(Operations!AU692+Operations!AU694+Operations!AU695)/Operations!AU671,0)</f>
        <v>0</v>
      </c>
    </row>
    <row r="46" customFormat="false" ht="15" hidden="false" customHeight="false" outlineLevel="0" collapsed="false">
      <c r="D46" s="0" t="s">
        <v>935</v>
      </c>
      <c r="E46" s="0" t="s">
        <v>47</v>
      </c>
      <c r="J46" s="20" t="n">
        <f aca="false">(Inputs!$F$213*Inputs!$F$214*Inputs!$F$143/1000-Funding!J45)*Funding!J44-Operations!J697*(Funding!J44&gt;0)</f>
        <v>0</v>
      </c>
      <c r="K46" s="20" t="n">
        <f aca="false">(Inputs!$F$213*Inputs!$F$214*Inputs!$F$143/1000-Funding!K45)*Funding!K44-Operations!K697*(Funding!K44&gt;0)</f>
        <v>3.12973635890411</v>
      </c>
      <c r="L46" s="20" t="n">
        <f aca="false">(Inputs!$F$213*Inputs!$F$214*Inputs!$F$143/1000-Funding!L45)*Funding!L44-Operations!L697*(Funding!L44&gt;0)</f>
        <v>9.3245855125</v>
      </c>
      <c r="M46" s="20" t="n">
        <f aca="false">(Inputs!$F$213*Inputs!$F$214*Inputs!$F$143/1000-Funding!M45)*Funding!M44-Operations!M697*(Funding!M44&gt;0)</f>
        <v>9.2846412753125</v>
      </c>
      <c r="N46" s="20" t="n">
        <f aca="false">(Inputs!$F$213*Inputs!$F$214*Inputs!$F$143/1000-Funding!N45)*Funding!N44-Operations!N697*(Funding!N44&gt;0)</f>
        <v>9.24369843219532</v>
      </c>
      <c r="O46" s="20" t="n">
        <f aca="false">(Inputs!$F$213*Inputs!$F$214*Inputs!$F$143/1000-Funding!O45)*Funding!O44-Operations!O697*(Funding!O44&gt;0)</f>
        <v>9.2017320180002</v>
      </c>
      <c r="P46" s="20" t="n">
        <f aca="false">(Inputs!$F$213*Inputs!$F$214*Inputs!$F$143/1000-Funding!P45)*Funding!P44-Operations!P697*(Funding!P44&gt;0)</f>
        <v>8.6288862559502</v>
      </c>
      <c r="Q46" s="20" t="n">
        <f aca="false">(Inputs!$F$213*Inputs!$F$214*Inputs!$F$143/1000-Funding!Q45)*Funding!Q44-Operations!Q697*(Funding!Q44&gt;0)</f>
        <v>9.11462547953646</v>
      </c>
      <c r="R46" s="20" t="n">
        <f aca="false">(Inputs!$F$213*Inputs!$F$214*Inputs!$F$143/1000-Funding!R45)*Funding!R44-Operations!R697*(Funding!R44&gt;0)</f>
        <v>4.50352904058029</v>
      </c>
      <c r="S46" s="20" t="n">
        <f aca="false">(Inputs!$F$213*Inputs!$F$214*Inputs!$F$143/1000-Funding!S45)*Funding!S44-Operations!S697*(Funding!S44&gt;0)</f>
        <v>0</v>
      </c>
      <c r="T46" s="20" t="n">
        <f aca="false">(Inputs!$F$213*Inputs!$F$214*Inputs!$F$143/1000-Funding!T45)*Funding!T44-Operations!T697*(Funding!T44&gt;0)</f>
        <v>0</v>
      </c>
      <c r="U46" s="20" t="n">
        <f aca="false">(Inputs!$F$213*Inputs!$F$214*Inputs!$F$143/1000-Funding!U45)*Funding!U44-Operations!U697*(Funding!U44&gt;0)</f>
        <v>0</v>
      </c>
      <c r="V46" s="20" t="n">
        <f aca="false">(Inputs!$F$213*Inputs!$F$214*Inputs!$F$143/1000-Funding!V45)*Funding!V44-Operations!V697*(Funding!V44&gt;0)</f>
        <v>0</v>
      </c>
      <c r="W46" s="20" t="n">
        <f aca="false">(Inputs!$F$213*Inputs!$F$214*Inputs!$F$143/1000-Funding!W45)*Funding!W44-Operations!W697*(Funding!W44&gt;0)</f>
        <v>0</v>
      </c>
      <c r="X46" s="20" t="n">
        <f aca="false">(Inputs!$F$213*Inputs!$F$214*Inputs!$F$143/1000-Funding!X45)*Funding!X44-Operations!X697*(Funding!X44&gt;0)</f>
        <v>0</v>
      </c>
      <c r="Y46" s="20" t="n">
        <f aca="false">(Inputs!$F$213*Inputs!$F$214*Inputs!$F$143/1000-Funding!Y45)*Funding!Y44-Operations!Y697*(Funding!Y44&gt;0)</f>
        <v>0</v>
      </c>
      <c r="Z46" s="20" t="n">
        <f aca="false">(Inputs!$F$213*Inputs!$F$214*Inputs!$F$143/1000-Funding!Z45)*Funding!Z44-Operations!Z697*(Funding!Z44&gt;0)</f>
        <v>0</v>
      </c>
      <c r="AA46" s="20" t="n">
        <f aca="false">(Inputs!$F$213*Inputs!$F$214*Inputs!$F$143/1000-Funding!AA45)*Funding!AA44-Operations!AA697*(Funding!AA44&gt;0)</f>
        <v>0</v>
      </c>
      <c r="AB46" s="20" t="n">
        <f aca="false">(Inputs!$F$213*Inputs!$F$214*Inputs!$F$143/1000-Funding!AB45)*Funding!AB44-Operations!AB697*(Funding!AB44&gt;0)</f>
        <v>0</v>
      </c>
      <c r="AC46" s="20" t="n">
        <f aca="false">(Inputs!$F$213*Inputs!$F$214*Inputs!$F$143/1000-Funding!AC45)*Funding!AC44-Operations!AC697*(Funding!AC44&gt;0)</f>
        <v>0</v>
      </c>
      <c r="AD46" s="20" t="n">
        <f aca="false">(Inputs!$F$213*Inputs!$F$214*Inputs!$F$143/1000-Funding!AD45)*Funding!AD44-Operations!AD697*(Funding!AD44&gt;0)</f>
        <v>0</v>
      </c>
      <c r="AE46" s="20" t="n">
        <f aca="false">(Inputs!$F$213*Inputs!$F$214*Inputs!$F$143/1000-Funding!AE45)*Funding!AE44-Operations!AE697*(Funding!AE44&gt;0)</f>
        <v>0</v>
      </c>
      <c r="AF46" s="20" t="n">
        <f aca="false">(Inputs!$F$213*Inputs!$F$214*Inputs!$F$143/1000-Funding!AF45)*Funding!AF44-Operations!AF697*(Funding!AF44&gt;0)</f>
        <v>0</v>
      </c>
      <c r="AG46" s="20" t="n">
        <f aca="false">(Inputs!$F$213*Inputs!$F$214*Inputs!$F$143/1000-Funding!AG45)*Funding!AG44-Operations!AG697*(Funding!AG44&gt;0)</f>
        <v>0</v>
      </c>
      <c r="AH46" s="20" t="n">
        <f aca="false">(Inputs!$F$213*Inputs!$F$214*Inputs!$F$143/1000-Funding!AH45)*Funding!AH44-Operations!AH697*(Funding!AH44&gt;0)</f>
        <v>0</v>
      </c>
      <c r="AI46" s="20" t="n">
        <f aca="false">(Inputs!$F$213*Inputs!$F$214*Inputs!$F$143/1000-Funding!AI45)*Funding!AI44-Operations!AI697*(Funding!AI44&gt;0)</f>
        <v>0</v>
      </c>
      <c r="AJ46" s="20" t="n">
        <f aca="false">(Inputs!$F$213*Inputs!$F$214*Inputs!$F$143/1000-Funding!AJ45)*Funding!AJ44-Operations!AJ697*(Funding!AJ44&gt;0)</f>
        <v>0</v>
      </c>
      <c r="AK46" s="20" t="n">
        <f aca="false">(Inputs!$F$213*Inputs!$F$214*Inputs!$F$143/1000-Funding!AK45)*Funding!AK44-Operations!AK697*(Funding!AK44&gt;0)</f>
        <v>0</v>
      </c>
      <c r="AL46" s="20" t="n">
        <f aca="false">(Inputs!$F$213*Inputs!$F$214*Inputs!$F$143/1000-Funding!AL45)*Funding!AL44-Operations!AL697*(Funding!AL44&gt;0)</f>
        <v>0</v>
      </c>
      <c r="AM46" s="20" t="n">
        <f aca="false">(Inputs!$F$213*Inputs!$F$214*Inputs!$F$143/1000-Funding!AM45)*Funding!AM44-Operations!AM697*(Funding!AM44&gt;0)</f>
        <v>0</v>
      </c>
      <c r="AN46" s="20" t="n">
        <f aca="false">(Inputs!$F$213*Inputs!$F$214*Inputs!$F$143/1000-Funding!AN45)*Funding!AN44-Operations!AN697*(Funding!AN44&gt;0)</f>
        <v>0</v>
      </c>
      <c r="AO46" s="20" t="n">
        <f aca="false">(Inputs!$F$213*Inputs!$F$214*Inputs!$F$143/1000-Funding!AO45)*Funding!AO44-Operations!AO697*(Funding!AO44&gt;0)</f>
        <v>0</v>
      </c>
      <c r="AP46" s="20" t="n">
        <f aca="false">(Inputs!$F$213*Inputs!$F$214*Inputs!$F$143/1000-Funding!AP45)*Funding!AP44-Operations!AP697*(Funding!AP44&gt;0)</f>
        <v>0</v>
      </c>
      <c r="AQ46" s="20" t="n">
        <f aca="false">(Inputs!$F$213*Inputs!$F$214*Inputs!$F$143/1000-Funding!AQ45)*Funding!AQ44-Operations!AQ697*(Funding!AQ44&gt;0)</f>
        <v>0</v>
      </c>
      <c r="AR46" s="20" t="n">
        <f aca="false">(Inputs!$F$213*Inputs!$F$214*Inputs!$F$143/1000-Funding!AR45)*Funding!AR44-Operations!AR697*(Funding!AR44&gt;0)</f>
        <v>0</v>
      </c>
      <c r="AS46" s="20" t="n">
        <f aca="false">(Inputs!$F$213*Inputs!$F$214*Inputs!$F$143/1000-Funding!AS45)*Funding!AS44-Operations!AS697*(Funding!AS44&gt;0)</f>
        <v>0</v>
      </c>
      <c r="AT46" s="20" t="n">
        <f aca="false">(Inputs!$F$213*Inputs!$F$214*Inputs!$F$143/1000-Funding!AT45)*Funding!AT44-Operations!AT697*(Funding!AT44&gt;0)</f>
        <v>0</v>
      </c>
      <c r="AU46" s="20" t="n">
        <f aca="false">(Inputs!$F$213*Inputs!$F$214*Inputs!$F$143/1000-Funding!AU45)*Funding!AU44-Operations!AU697*(Funding!AU44&gt;0)</f>
        <v>0</v>
      </c>
    </row>
    <row r="47" customFormat="false" ht="15" hidden="false" customHeight="false" outlineLevel="0" collapsed="false">
      <c r="D47" s="0" t="s">
        <v>936</v>
      </c>
      <c r="E47" s="0" t="s">
        <v>47</v>
      </c>
      <c r="J47" s="20" t="n">
        <f aca="false">IF(Funding!J44&gt;0,Funding!J46/Inputs!$F$304,0)</f>
        <v>0</v>
      </c>
      <c r="K47" s="20" t="n">
        <f aca="false">IF(Funding!K44&gt;0,Funding!K46/Inputs!$F$304,0)</f>
        <v>2.31832322881786</v>
      </c>
      <c r="L47" s="20" t="n">
        <f aca="false">IF(Funding!L44&gt;0,Funding!L46/Inputs!$F$304,0)</f>
        <v>6.90710037962963</v>
      </c>
      <c r="M47" s="20" t="n">
        <f aca="false">IF(Funding!M44&gt;0,Funding!M46/Inputs!$F$304,0)</f>
        <v>6.87751205578704</v>
      </c>
      <c r="N47" s="20" t="n">
        <f aca="false">IF(Funding!N44&gt;0,Funding!N46/Inputs!$F$304,0)</f>
        <v>6.84718402384838</v>
      </c>
      <c r="O47" s="20" t="n">
        <f aca="false">IF(Funding!O44&gt;0,Funding!O46/Inputs!$F$304,0)</f>
        <v>6.81609779111126</v>
      </c>
      <c r="P47" s="20" t="n">
        <f aca="false">IF(Funding!P44&gt;0,Funding!P46/Inputs!$F$304,0)</f>
        <v>6.39176759700015</v>
      </c>
      <c r="Q47" s="20" t="n">
        <f aca="false">IF(Funding!Q44&gt;0,Funding!Q46/Inputs!$F$304,0)</f>
        <v>6.75157442928627</v>
      </c>
      <c r="R47" s="20" t="n">
        <f aca="false">IF(Funding!R44&gt;0,Funding!R46/Inputs!$F$304,0)</f>
        <v>3.33594743746688</v>
      </c>
      <c r="S47" s="20" t="n">
        <f aca="false">IF(Funding!S44&gt;0,Funding!S46/Inputs!$F$304,0)</f>
        <v>0</v>
      </c>
      <c r="T47" s="20" t="n">
        <f aca="false">IF(Funding!T44&gt;0,Funding!T46/Inputs!$F$304,0)</f>
        <v>0</v>
      </c>
      <c r="U47" s="20" t="n">
        <f aca="false">IF(Funding!U44&gt;0,Funding!U46/Inputs!$F$304,0)</f>
        <v>0</v>
      </c>
      <c r="V47" s="20" t="n">
        <f aca="false">IF(Funding!V44&gt;0,Funding!V46/Inputs!$F$304,0)</f>
        <v>0</v>
      </c>
      <c r="W47" s="20" t="n">
        <f aca="false">IF(Funding!W44&gt;0,Funding!W46/Inputs!$F$304,0)</f>
        <v>0</v>
      </c>
      <c r="X47" s="20" t="n">
        <f aca="false">IF(Funding!X44&gt;0,Funding!X46/Inputs!$F$304,0)</f>
        <v>0</v>
      </c>
      <c r="Y47" s="20" t="n">
        <f aca="false">IF(Funding!Y44&gt;0,Funding!Y46/Inputs!$F$304,0)</f>
        <v>0</v>
      </c>
      <c r="Z47" s="20" t="n">
        <f aca="false">IF(Funding!Z44&gt;0,Funding!Z46/Inputs!$F$304,0)</f>
        <v>0</v>
      </c>
      <c r="AA47" s="20" t="n">
        <f aca="false">IF(Funding!AA44&gt;0,Funding!AA46/Inputs!$F$304,0)</f>
        <v>0</v>
      </c>
      <c r="AB47" s="20" t="n">
        <f aca="false">IF(Funding!AB44&gt;0,Funding!AB46/Inputs!$F$304,0)</f>
        <v>0</v>
      </c>
      <c r="AC47" s="20" t="n">
        <f aca="false">IF(Funding!AC44&gt;0,Funding!AC46/Inputs!$F$304,0)</f>
        <v>0</v>
      </c>
      <c r="AD47" s="20" t="n">
        <f aca="false">IF(Funding!AD44&gt;0,Funding!AD46/Inputs!$F$304,0)</f>
        <v>0</v>
      </c>
      <c r="AE47" s="20" t="n">
        <f aca="false">IF(Funding!AE44&gt;0,Funding!AE46/Inputs!$F$304,0)</f>
        <v>0</v>
      </c>
      <c r="AF47" s="20" t="n">
        <f aca="false">IF(Funding!AF44&gt;0,Funding!AF46/Inputs!$F$304,0)</f>
        <v>0</v>
      </c>
      <c r="AG47" s="20" t="n">
        <f aca="false">IF(Funding!AG44&gt;0,Funding!AG46/Inputs!$F$304,0)</f>
        <v>0</v>
      </c>
      <c r="AH47" s="20" t="n">
        <f aca="false">IF(Funding!AH44&gt;0,Funding!AH46/Inputs!$F$304,0)</f>
        <v>0</v>
      </c>
      <c r="AI47" s="20" t="n">
        <f aca="false">IF(Funding!AI44&gt;0,Funding!AI46/Inputs!$F$304,0)</f>
        <v>0</v>
      </c>
      <c r="AJ47" s="20" t="n">
        <f aca="false">IF(Funding!AJ44&gt;0,Funding!AJ46/Inputs!$F$304,0)</f>
        <v>0</v>
      </c>
      <c r="AK47" s="20" t="n">
        <f aca="false">IF(Funding!AK44&gt;0,Funding!AK46/Inputs!$F$304,0)</f>
        <v>0</v>
      </c>
      <c r="AL47" s="20" t="n">
        <f aca="false">IF(Funding!AL44&gt;0,Funding!AL46/Inputs!$F$304,0)</f>
        <v>0</v>
      </c>
      <c r="AM47" s="20" t="n">
        <f aca="false">IF(Funding!AM44&gt;0,Funding!AM46/Inputs!$F$304,0)</f>
        <v>0</v>
      </c>
      <c r="AN47" s="20" t="n">
        <f aca="false">IF(Funding!AN44&gt;0,Funding!AN46/Inputs!$F$304,0)</f>
        <v>0</v>
      </c>
      <c r="AO47" s="20" t="n">
        <f aca="false">IF(Funding!AO44&gt;0,Funding!AO46/Inputs!$F$304,0)</f>
        <v>0</v>
      </c>
      <c r="AP47" s="20" t="n">
        <f aca="false">IF(Funding!AP44&gt;0,Funding!AP46/Inputs!$F$304,0)</f>
        <v>0</v>
      </c>
      <c r="AQ47" s="20" t="n">
        <f aca="false">IF(Funding!AQ44&gt;0,Funding!AQ46/Inputs!$F$304,0)</f>
        <v>0</v>
      </c>
      <c r="AR47" s="20" t="n">
        <f aca="false">IF(Funding!AR44&gt;0,Funding!AR46/Inputs!$F$304,0)</f>
        <v>0</v>
      </c>
      <c r="AS47" s="20" t="n">
        <f aca="false">IF(Funding!AS44&gt;0,Funding!AS46/Inputs!$F$304,0)</f>
        <v>0</v>
      </c>
      <c r="AT47" s="20" t="n">
        <f aca="false">IF(Funding!AT44&gt;0,Funding!AT46/Inputs!$F$304,0)</f>
        <v>0</v>
      </c>
      <c r="AU47" s="20" t="n">
        <f aca="false">IF(Funding!AU44&gt;0,Funding!AU46/Inputs!$F$304,0)</f>
        <v>0</v>
      </c>
    </row>
    <row r="48" customFormat="false" ht="15" hidden="false" customHeight="false" outlineLevel="0" collapsed="false">
      <c r="D48" s="0" t="s">
        <v>937</v>
      </c>
      <c r="E48" s="0" t="s">
        <v>84</v>
      </c>
      <c r="J48" s="15" t="n">
        <f aca="false">Inputs!$F$305/100*Inputs!$F$306+(1-Inputs!$F$305/100)*Inputs!J80+Inputs!$F$302</f>
        <v>5.895</v>
      </c>
      <c r="K48" s="15" t="n">
        <f aca="false">Inputs!$F$305/100*Inputs!$F$306+(1-Inputs!$F$305/100)*Inputs!K80+Inputs!$F$302</f>
        <v>6.6775</v>
      </c>
      <c r="L48" s="15" t="n">
        <f aca="false">Inputs!$F$305/100*Inputs!$F$306+(1-Inputs!$F$305/100)*Inputs!L80+Inputs!$F$302</f>
        <v>6.675</v>
      </c>
      <c r="M48" s="15" t="n">
        <f aca="false">Inputs!$F$305/100*Inputs!$F$306+(1-Inputs!$F$305/100)*Inputs!M80+Inputs!$F$302</f>
        <v>6.4525</v>
      </c>
      <c r="N48" s="15" t="n">
        <f aca="false">Inputs!$F$305/100*Inputs!$F$306+(1-Inputs!$F$305/100)*Inputs!N80+Inputs!$F$302</f>
        <v>6.3</v>
      </c>
      <c r="O48" s="15" t="n">
        <f aca="false">Inputs!$F$305/100*Inputs!$F$306+(1-Inputs!$F$305/100)*Inputs!O80+Inputs!$F$302</f>
        <v>6.2475</v>
      </c>
      <c r="P48" s="15" t="n">
        <f aca="false">Inputs!$F$305/100*Inputs!$F$306+(1-Inputs!$F$305/100)*Inputs!P80+Inputs!$F$302</f>
        <v>6.26</v>
      </c>
      <c r="Q48" s="15" t="n">
        <f aca="false">Inputs!$F$305/100*Inputs!$F$306+(1-Inputs!$F$305/100)*Inputs!Q80+Inputs!$F$302</f>
        <v>6.26</v>
      </c>
      <c r="R48" s="15" t="n">
        <f aca="false">Inputs!$F$305/100*Inputs!$F$306+(1-Inputs!$F$305/100)*Inputs!R80+Inputs!$F$302</f>
        <v>6.26</v>
      </c>
      <c r="S48" s="15" t="n">
        <f aca="false">Inputs!$F$305/100*Inputs!$F$306+(1-Inputs!$F$305/100)*Inputs!S80+Inputs!$F$302</f>
        <v>6.26</v>
      </c>
      <c r="T48" s="15" t="n">
        <f aca="false">Inputs!$F$305/100*Inputs!$F$306+(1-Inputs!$F$305/100)*Inputs!T80+Inputs!$F$302</f>
        <v>6.26</v>
      </c>
      <c r="U48" s="15" t="n">
        <f aca="false">Inputs!$F$305/100*Inputs!$F$306+(1-Inputs!$F$305/100)*Inputs!U80+Inputs!$F$302</f>
        <v>6.26</v>
      </c>
      <c r="V48" s="15" t="n">
        <f aca="false">Inputs!$F$305/100*Inputs!$F$306+(1-Inputs!$F$305/100)*Inputs!V80+Inputs!$F$302</f>
        <v>6.26</v>
      </c>
      <c r="W48" s="15" t="n">
        <f aca="false">Inputs!$F$305/100*Inputs!$F$306+(1-Inputs!$F$305/100)*Inputs!W80+Inputs!$F$302</f>
        <v>6.26</v>
      </c>
      <c r="X48" s="15" t="n">
        <f aca="false">Inputs!$F$305/100*Inputs!$F$306+(1-Inputs!$F$305/100)*Inputs!X80+Inputs!$F$302</f>
        <v>6.26</v>
      </c>
      <c r="Y48" s="15" t="n">
        <f aca="false">Inputs!$F$305/100*Inputs!$F$306+(1-Inputs!$F$305/100)*Inputs!Y80+Inputs!$F$302</f>
        <v>6.26</v>
      </c>
      <c r="Z48" s="15" t="n">
        <f aca="false">Inputs!$F$305/100*Inputs!$F$306+(1-Inputs!$F$305/100)*Inputs!Z80+Inputs!$F$302</f>
        <v>6.26</v>
      </c>
      <c r="AA48" s="15" t="n">
        <f aca="false">Inputs!$F$305/100*Inputs!$F$306+(1-Inputs!$F$305/100)*Inputs!AA80+Inputs!$F$302</f>
        <v>6.26</v>
      </c>
      <c r="AB48" s="15" t="n">
        <f aca="false">Inputs!$F$305/100*Inputs!$F$306+(1-Inputs!$F$305/100)*Inputs!AB80+Inputs!$F$302</f>
        <v>6.26</v>
      </c>
      <c r="AC48" s="15" t="n">
        <f aca="false">Inputs!$F$305/100*Inputs!$F$306+(1-Inputs!$F$305/100)*Inputs!AC80+Inputs!$F$302</f>
        <v>6.26</v>
      </c>
      <c r="AD48" s="15" t="n">
        <f aca="false">Inputs!$F$305/100*Inputs!$F$306+(1-Inputs!$F$305/100)*Inputs!AD80+Inputs!$F$302</f>
        <v>6.26</v>
      </c>
      <c r="AE48" s="15" t="n">
        <f aca="false">Inputs!$F$305/100*Inputs!$F$306+(1-Inputs!$F$305/100)*Inputs!AE80+Inputs!$F$302</f>
        <v>6.26</v>
      </c>
      <c r="AF48" s="15" t="n">
        <f aca="false">Inputs!$F$305/100*Inputs!$F$306+(1-Inputs!$F$305/100)*Inputs!AF80+Inputs!$F$302</f>
        <v>6.26</v>
      </c>
      <c r="AG48" s="15" t="n">
        <f aca="false">Inputs!$F$305/100*Inputs!$F$306+(1-Inputs!$F$305/100)*Inputs!AG80+Inputs!$F$302</f>
        <v>6.26</v>
      </c>
      <c r="AH48" s="15" t="n">
        <f aca="false">Inputs!$F$305/100*Inputs!$F$306+(1-Inputs!$F$305/100)*Inputs!AH80+Inputs!$F$302</f>
        <v>6.26</v>
      </c>
      <c r="AI48" s="15" t="n">
        <f aca="false">Inputs!$F$305/100*Inputs!$F$306+(1-Inputs!$F$305/100)*Inputs!AI80+Inputs!$F$302</f>
        <v>6.26</v>
      </c>
      <c r="AJ48" s="15" t="n">
        <f aca="false">Inputs!$F$305/100*Inputs!$F$306+(1-Inputs!$F$305/100)*Inputs!AJ80+Inputs!$F$302</f>
        <v>6.26</v>
      </c>
      <c r="AK48" s="15" t="n">
        <f aca="false">Inputs!$F$305/100*Inputs!$F$306+(1-Inputs!$F$305/100)*Inputs!AK80+Inputs!$F$302</f>
        <v>6.26</v>
      </c>
      <c r="AL48" s="15" t="n">
        <f aca="false">Inputs!$F$305/100*Inputs!$F$306+(1-Inputs!$F$305/100)*Inputs!AL80+Inputs!$F$302</f>
        <v>6.26</v>
      </c>
      <c r="AM48" s="15" t="n">
        <f aca="false">Inputs!$F$305/100*Inputs!$F$306+(1-Inputs!$F$305/100)*Inputs!AM80+Inputs!$F$302</f>
        <v>6.26</v>
      </c>
      <c r="AN48" s="15" t="n">
        <f aca="false">Inputs!$F$305/100*Inputs!$F$306+(1-Inputs!$F$305/100)*Inputs!AN80+Inputs!$F$302</f>
        <v>6.26</v>
      </c>
      <c r="AO48" s="15" t="n">
        <f aca="false">Inputs!$F$305/100*Inputs!$F$306+(1-Inputs!$F$305/100)*Inputs!AO80+Inputs!$F$302</f>
        <v>6.26</v>
      </c>
      <c r="AP48" s="15" t="n">
        <f aca="false">Inputs!$F$305/100*Inputs!$F$306+(1-Inputs!$F$305/100)*Inputs!AP80+Inputs!$F$302</f>
        <v>6.26</v>
      </c>
      <c r="AQ48" s="15" t="n">
        <f aca="false">Inputs!$F$305/100*Inputs!$F$306+(1-Inputs!$F$305/100)*Inputs!AQ80+Inputs!$F$302</f>
        <v>6.26</v>
      </c>
      <c r="AR48" s="15" t="n">
        <f aca="false">Inputs!$F$305/100*Inputs!$F$306+(1-Inputs!$F$305/100)*Inputs!AR80+Inputs!$F$302</f>
        <v>6.26</v>
      </c>
      <c r="AS48" s="15" t="n">
        <f aca="false">Inputs!$F$305/100*Inputs!$F$306+(1-Inputs!$F$305/100)*Inputs!AS80+Inputs!$F$302</f>
        <v>6.26</v>
      </c>
      <c r="AT48" s="15" t="n">
        <f aca="false">Inputs!$F$305/100*Inputs!$F$306+(1-Inputs!$F$305/100)*Inputs!AT80+Inputs!$F$302</f>
        <v>6.26</v>
      </c>
      <c r="AU48" s="15" t="n">
        <f aca="false">Inputs!$F$305/100*Inputs!$F$306+(1-Inputs!$F$305/100)*Inputs!AU80+Inputs!$F$302</f>
        <v>6.26</v>
      </c>
    </row>
    <row r="49" customFormat="false" ht="15" hidden="false" customHeight="false" outlineLevel="0" collapsed="false">
      <c r="D49" s="0" t="s">
        <v>938</v>
      </c>
      <c r="E49" s="0" t="s">
        <v>27</v>
      </c>
      <c r="J49" s="14" t="n">
        <f aca="false">IF(Time!J$4=Inputs!$F$23,1,I49)/(1+Funding!J48/100*Funding!J44)</f>
        <v>1</v>
      </c>
      <c r="K49" s="14" t="n">
        <f aca="false">IF(Time!K$4=Inputs!$F$23,1,J49)/(1+Funding!K48/100*Funding!K44)</f>
        <v>0.978167961086603</v>
      </c>
      <c r="L49" s="14" t="n">
        <f aca="false">IF(Time!L$4=Inputs!$F$23,1,K49)/(1+Funding!L48/100*Funding!L44)</f>
        <v>0.916960825954162</v>
      </c>
      <c r="M49" s="14" t="n">
        <f aca="false">IF(Time!M$4=Inputs!$F$23,1,L49)/(1+Funding!M48/100*Funding!M44)</f>
        <v>0.861380264394131</v>
      </c>
      <c r="N49" s="14" t="n">
        <f aca="false">IF(Time!N$4=Inputs!$F$23,1,M49)/(1+Funding!N48/100*Funding!N44)</f>
        <v>0.810329505544808</v>
      </c>
      <c r="O49" s="14" t="n">
        <f aca="false">IF(Time!O$4=Inputs!$F$23,1,N49)/(1+Funding!O48/100*Funding!O44)</f>
        <v>0.76268100947769</v>
      </c>
      <c r="P49" s="14" t="n">
        <f aca="false">IF(Time!P$4=Inputs!$F$23,1,O49)/(1+Funding!P48/100*Funding!P44)</f>
        <v>0.717749867756154</v>
      </c>
      <c r="Q49" s="14" t="n">
        <f aca="false">IF(Time!Q$4=Inputs!$F$23,1,P49)/(1+Funding!Q48/100*Funding!Q44)</f>
        <v>0.675465714056234</v>
      </c>
      <c r="R49" s="14" t="n">
        <f aca="false">IF(Time!R$4=Inputs!$F$23,1,Q49)/(1+Funding!R48/100*Funding!R44)</f>
        <v>0.6551287236024</v>
      </c>
      <c r="S49" s="14" t="n">
        <f aca="false">IF(Time!S$4=Inputs!$F$23,1,R49)/(1+Funding!S48/100*Funding!S44)</f>
        <v>0.6551287236024</v>
      </c>
      <c r="T49" s="14" t="n">
        <f aca="false">IF(Time!T$4=Inputs!$F$23,1,S49)/(1+Funding!T48/100*Funding!T44)</f>
        <v>0.6551287236024</v>
      </c>
      <c r="U49" s="14" t="n">
        <f aca="false">IF(Time!U$4=Inputs!$F$23,1,T49)/(1+Funding!U48/100*Funding!U44)</f>
        <v>0.6551287236024</v>
      </c>
      <c r="V49" s="14" t="n">
        <f aca="false">IF(Time!V$4=Inputs!$F$23,1,U49)/(1+Funding!V48/100*Funding!V44)</f>
        <v>0.6551287236024</v>
      </c>
      <c r="W49" s="14" t="n">
        <f aca="false">IF(Time!W$4=Inputs!$F$23,1,V49)/(1+Funding!W48/100*Funding!W44)</f>
        <v>0.6551287236024</v>
      </c>
      <c r="X49" s="14" t="n">
        <f aca="false">IF(Time!X$4=Inputs!$F$23,1,W49)/(1+Funding!X48/100*Funding!X44)</f>
        <v>0.6551287236024</v>
      </c>
      <c r="Y49" s="14" t="n">
        <f aca="false">IF(Time!Y$4=Inputs!$F$23,1,X49)/(1+Funding!Y48/100*Funding!Y44)</f>
        <v>0.6551287236024</v>
      </c>
      <c r="Z49" s="14" t="n">
        <f aca="false">IF(Time!Z$4=Inputs!$F$23,1,Y49)/(1+Funding!Z48/100*Funding!Z44)</f>
        <v>0.6551287236024</v>
      </c>
      <c r="AA49" s="14" t="n">
        <f aca="false">IF(Time!AA$4=Inputs!$F$23,1,Z49)/(1+Funding!AA48/100*Funding!AA44)</f>
        <v>0.6551287236024</v>
      </c>
      <c r="AB49" s="14" t="n">
        <f aca="false">IF(Time!AB$4=Inputs!$F$23,1,AA49)/(1+Funding!AB48/100*Funding!AB44)</f>
        <v>0.6551287236024</v>
      </c>
      <c r="AC49" s="14" t="n">
        <f aca="false">IF(Time!AC$4=Inputs!$F$23,1,AB49)/(1+Funding!AC48/100*Funding!AC44)</f>
        <v>0.6551287236024</v>
      </c>
      <c r="AD49" s="14" t="n">
        <f aca="false">IF(Time!AD$4=Inputs!$F$23,1,AC49)/(1+Funding!AD48/100*Funding!AD44)</f>
        <v>0.6551287236024</v>
      </c>
      <c r="AE49" s="14" t="n">
        <f aca="false">IF(Time!AE$4=Inputs!$F$23,1,AD49)/(1+Funding!AE48/100*Funding!AE44)</f>
        <v>0.6551287236024</v>
      </c>
      <c r="AF49" s="14" t="n">
        <f aca="false">IF(Time!AF$4=Inputs!$F$23,1,AE49)/(1+Funding!AF48/100*Funding!AF44)</f>
        <v>0.6551287236024</v>
      </c>
      <c r="AG49" s="14" t="n">
        <f aca="false">IF(Time!AG$4=Inputs!$F$23,1,AF49)/(1+Funding!AG48/100*Funding!AG44)</f>
        <v>0.6551287236024</v>
      </c>
      <c r="AH49" s="14" t="n">
        <f aca="false">IF(Time!AH$4=Inputs!$F$23,1,AG49)/(1+Funding!AH48/100*Funding!AH44)</f>
        <v>0.6551287236024</v>
      </c>
      <c r="AI49" s="14" t="n">
        <f aca="false">IF(Time!AI$4=Inputs!$F$23,1,AH49)/(1+Funding!AI48/100*Funding!AI44)</f>
        <v>0.6551287236024</v>
      </c>
      <c r="AJ49" s="14" t="n">
        <f aca="false">IF(Time!AJ$4=Inputs!$F$23,1,AI49)/(1+Funding!AJ48/100*Funding!AJ44)</f>
        <v>0.6551287236024</v>
      </c>
      <c r="AK49" s="14" t="n">
        <f aca="false">IF(Time!AK$4=Inputs!$F$23,1,AJ49)/(1+Funding!AK48/100*Funding!AK44)</f>
        <v>0.6551287236024</v>
      </c>
      <c r="AL49" s="14" t="n">
        <f aca="false">IF(Time!AL$4=Inputs!$F$23,1,AK49)/(1+Funding!AL48/100*Funding!AL44)</f>
        <v>0.6551287236024</v>
      </c>
      <c r="AM49" s="14" t="n">
        <f aca="false">IF(Time!AM$4=Inputs!$F$23,1,AL49)/(1+Funding!AM48/100*Funding!AM44)</f>
        <v>0.6551287236024</v>
      </c>
      <c r="AN49" s="14" t="n">
        <f aca="false">IF(Time!AN$4=Inputs!$F$23,1,AM49)/(1+Funding!AN48/100*Funding!AN44)</f>
        <v>0.6551287236024</v>
      </c>
      <c r="AO49" s="14" t="n">
        <f aca="false">IF(Time!AO$4=Inputs!$F$23,1,AN49)/(1+Funding!AO48/100*Funding!AO44)</f>
        <v>0.6551287236024</v>
      </c>
      <c r="AP49" s="14" t="n">
        <f aca="false">IF(Time!AP$4=Inputs!$F$23,1,AO49)/(1+Funding!AP48/100*Funding!AP44)</f>
        <v>0.6551287236024</v>
      </c>
      <c r="AQ49" s="14" t="n">
        <f aca="false">IF(Time!AQ$4=Inputs!$F$23,1,AP49)/(1+Funding!AQ48/100*Funding!AQ44)</f>
        <v>0.6551287236024</v>
      </c>
      <c r="AR49" s="14" t="n">
        <f aca="false">IF(Time!AR$4=Inputs!$F$23,1,AQ49)/(1+Funding!AR48/100*Funding!AR44)</f>
        <v>0.6551287236024</v>
      </c>
      <c r="AS49" s="14" t="n">
        <f aca="false">IF(Time!AS$4=Inputs!$F$23,1,AR49)/(1+Funding!AS48/100*Funding!AS44)</f>
        <v>0.6551287236024</v>
      </c>
      <c r="AT49" s="14" t="n">
        <f aca="false">IF(Time!AT$4=Inputs!$F$23,1,AS49)/(1+Funding!AT48/100*Funding!AT44)</f>
        <v>0.6551287236024</v>
      </c>
      <c r="AU49" s="14" t="n">
        <f aca="false">IF(Time!AU$4=Inputs!$F$23,1,AT49)/(1+Funding!AU48/100*Funding!AU44)</f>
        <v>0.6551287236024</v>
      </c>
    </row>
    <row r="50" customFormat="false" ht="15" hidden="false" customHeight="false" outlineLevel="0" collapsed="false">
      <c r="D50" s="0" t="s">
        <v>939</v>
      </c>
      <c r="E50" s="0" t="s">
        <v>47</v>
      </c>
      <c r="F50" s="20" t="n">
        <f aca="false">SUMPRODUCT(Funding!$J$47:$AU$47,Funding!$J$49:$AU$49)</f>
        <v>36.6060090934254</v>
      </c>
    </row>
    <row r="51" customFormat="false" ht="15" hidden="false" customHeight="false" outlineLevel="0" collapsed="false">
      <c r="D51" s="0" t="s">
        <v>913</v>
      </c>
      <c r="E51" s="0" t="s">
        <v>47</v>
      </c>
      <c r="J51" s="20" t="n">
        <f aca="false">IF(Time!J$4=YEAR(Inputs!$F$300),Funding!$F$50,I53)</f>
        <v>0</v>
      </c>
      <c r="K51" s="20" t="n">
        <f aca="false">IF(Time!K$4=YEAR(Inputs!$F$300),Funding!$F$50,J53)</f>
        <v>36.6060090934254</v>
      </c>
      <c r="L51" s="20" t="n">
        <f aca="false">IF(Time!L$4=YEAR(Inputs!$F$300),Funding!$F$50,K53)</f>
        <v>35.1047069149638</v>
      </c>
      <c r="M51" s="20" t="n">
        <f aca="false">IF(Time!M$4=YEAR(Inputs!$F$300),Funding!$F$50,L53)</f>
        <v>30.540845721908</v>
      </c>
      <c r="N51" s="20" t="n">
        <f aca="false">IF(Time!N$4=YEAR(Inputs!$F$300),Funding!$F$50,M53)</f>
        <v>25.6339817363271</v>
      </c>
      <c r="O51" s="20" t="n">
        <f aca="false">IF(Time!O$4=YEAR(Inputs!$F$300),Funding!$F$50,N53)</f>
        <v>20.4017385618673</v>
      </c>
      <c r="P51" s="20" t="n">
        <f aca="false">IF(Time!P$4=YEAR(Inputs!$F$300),Funding!$F$50,O53)</f>
        <v>14.8602393874087</v>
      </c>
      <c r="Q51" s="20" t="n">
        <f aca="false">IF(Time!Q$4=YEAR(Inputs!$F$300),Funding!$F$50,P53)</f>
        <v>9.39872277606031</v>
      </c>
      <c r="R51" s="20" t="n">
        <f aca="false">IF(Time!R$4=YEAR(Inputs!$F$300),Funding!$F$50,Q53)</f>
        <v>3.23550839255542</v>
      </c>
      <c r="S51" s="20" t="n">
        <f aca="false">IF(Time!S$4=YEAR(Inputs!$F$300),Funding!$F$50,R53)</f>
        <v>0</v>
      </c>
      <c r="T51" s="20" t="n">
        <f aca="false">IF(Time!T$4=YEAR(Inputs!$F$300),Funding!$F$50,S53)</f>
        <v>0</v>
      </c>
      <c r="U51" s="20" t="n">
        <f aca="false">IF(Time!U$4=YEAR(Inputs!$F$300),Funding!$F$50,T53)</f>
        <v>0</v>
      </c>
      <c r="V51" s="20" t="n">
        <f aca="false">IF(Time!V$4=YEAR(Inputs!$F$300),Funding!$F$50,U53)</f>
        <v>0</v>
      </c>
      <c r="W51" s="20" t="n">
        <f aca="false">IF(Time!W$4=YEAR(Inputs!$F$300),Funding!$F$50,V53)</f>
        <v>0</v>
      </c>
      <c r="X51" s="20" t="n">
        <f aca="false">IF(Time!X$4=YEAR(Inputs!$F$300),Funding!$F$50,W53)</f>
        <v>0</v>
      </c>
      <c r="Y51" s="20" t="n">
        <f aca="false">IF(Time!Y$4=YEAR(Inputs!$F$300),Funding!$F$50,X53)</f>
        <v>0</v>
      </c>
      <c r="Z51" s="20" t="n">
        <f aca="false">IF(Time!Z$4=YEAR(Inputs!$F$300),Funding!$F$50,Y53)</f>
        <v>0</v>
      </c>
      <c r="AA51" s="20" t="n">
        <f aca="false">IF(Time!AA$4=YEAR(Inputs!$F$300),Funding!$F$50,Z53)</f>
        <v>0</v>
      </c>
      <c r="AB51" s="20" t="n">
        <f aca="false">IF(Time!AB$4=YEAR(Inputs!$F$300),Funding!$F$50,AA53)</f>
        <v>0</v>
      </c>
      <c r="AC51" s="20" t="n">
        <f aca="false">IF(Time!AC$4=YEAR(Inputs!$F$300),Funding!$F$50,AB53)</f>
        <v>0</v>
      </c>
      <c r="AD51" s="20" t="n">
        <f aca="false">IF(Time!AD$4=YEAR(Inputs!$F$300),Funding!$F$50,AC53)</f>
        <v>0</v>
      </c>
      <c r="AE51" s="20" t="n">
        <f aca="false">IF(Time!AE$4=YEAR(Inputs!$F$300),Funding!$F$50,AD53)</f>
        <v>0</v>
      </c>
      <c r="AF51" s="20" t="n">
        <f aca="false">IF(Time!AF$4=YEAR(Inputs!$F$300),Funding!$F$50,AE53)</f>
        <v>0</v>
      </c>
      <c r="AG51" s="20" t="n">
        <f aca="false">IF(Time!AG$4=YEAR(Inputs!$F$300),Funding!$F$50,AF53)</f>
        <v>0</v>
      </c>
      <c r="AH51" s="20" t="n">
        <f aca="false">IF(Time!AH$4=YEAR(Inputs!$F$300),Funding!$F$50,AG53)</f>
        <v>0</v>
      </c>
      <c r="AI51" s="20" t="n">
        <f aca="false">IF(Time!AI$4=YEAR(Inputs!$F$300),Funding!$F$50,AH53)</f>
        <v>0</v>
      </c>
      <c r="AJ51" s="20" t="n">
        <f aca="false">IF(Time!AJ$4=YEAR(Inputs!$F$300),Funding!$F$50,AI53)</f>
        <v>0</v>
      </c>
      <c r="AK51" s="20" t="n">
        <f aca="false">IF(Time!AK$4=YEAR(Inputs!$F$300),Funding!$F$50,AJ53)</f>
        <v>0</v>
      </c>
      <c r="AL51" s="20" t="n">
        <f aca="false">IF(Time!AL$4=YEAR(Inputs!$F$300),Funding!$F$50,AK53)</f>
        <v>0</v>
      </c>
      <c r="AM51" s="20" t="n">
        <f aca="false">IF(Time!AM$4=YEAR(Inputs!$F$300),Funding!$F$50,AL53)</f>
        <v>0</v>
      </c>
      <c r="AN51" s="20" t="n">
        <f aca="false">IF(Time!AN$4=YEAR(Inputs!$F$300),Funding!$F$50,AM53)</f>
        <v>0</v>
      </c>
      <c r="AO51" s="20" t="n">
        <f aca="false">IF(Time!AO$4=YEAR(Inputs!$F$300),Funding!$F$50,AN53)</f>
        <v>0</v>
      </c>
      <c r="AP51" s="20" t="n">
        <f aca="false">IF(Time!AP$4=YEAR(Inputs!$F$300),Funding!$F$50,AO53)</f>
        <v>0</v>
      </c>
      <c r="AQ51" s="20" t="n">
        <f aca="false">IF(Time!AQ$4=YEAR(Inputs!$F$300),Funding!$F$50,AP53)</f>
        <v>0</v>
      </c>
      <c r="AR51" s="20" t="n">
        <f aca="false">IF(Time!AR$4=YEAR(Inputs!$F$300),Funding!$F$50,AQ53)</f>
        <v>0</v>
      </c>
      <c r="AS51" s="20" t="n">
        <f aca="false">IF(Time!AS$4=YEAR(Inputs!$F$300),Funding!$F$50,AR53)</f>
        <v>0</v>
      </c>
      <c r="AT51" s="20" t="n">
        <f aca="false">IF(Time!AT$4=YEAR(Inputs!$F$300),Funding!$F$50,AS53)</f>
        <v>0</v>
      </c>
      <c r="AU51" s="20" t="n">
        <f aca="false">IF(Time!AU$4=YEAR(Inputs!$F$300),Funding!$F$50,AT53)</f>
        <v>0</v>
      </c>
    </row>
    <row r="52" customFormat="false" ht="15" hidden="false" customHeight="false" outlineLevel="0" collapsed="false">
      <c r="D52" s="0" t="s">
        <v>915</v>
      </c>
      <c r="E52" s="0" t="s">
        <v>47</v>
      </c>
      <c r="G52" s="20" t="n">
        <f aca="false">SUM(J52:AU52)</f>
        <v>36.6060090934253</v>
      </c>
      <c r="J52" s="20" t="n">
        <f aca="false">IF(Funding!J44&gt;0,Funding!J47-Funding!J51*Funding!J48/100*Funding!J44,0)</f>
        <v>0</v>
      </c>
      <c r="K52" s="20" t="n">
        <f aca="false">IF(Funding!K44&gt;0,Funding!K47-Funding!K51*Funding!K48/100*Funding!K44,0)</f>
        <v>1.50130217846157</v>
      </c>
      <c r="L52" s="20" t="n">
        <f aca="false">IF(Funding!L44&gt;0,Funding!L47-Funding!L51*Funding!L48/100*Funding!L44,0)</f>
        <v>4.5638611930558</v>
      </c>
      <c r="M52" s="20" t="n">
        <f aca="false">IF(Funding!M44&gt;0,Funding!M47-Funding!M51*Funding!M48/100*Funding!M44,0)</f>
        <v>4.90686398558093</v>
      </c>
      <c r="N52" s="20" t="n">
        <f aca="false">IF(Funding!N44&gt;0,Funding!N47-Funding!N51*Funding!N48/100*Funding!N44,0)</f>
        <v>5.23224317445978</v>
      </c>
      <c r="O52" s="20" t="n">
        <f aca="false">IF(Funding!O44&gt;0,Funding!O47-Funding!O51*Funding!O48/100*Funding!O44,0)</f>
        <v>5.5414991744586</v>
      </c>
      <c r="P52" s="20" t="n">
        <f aca="false">IF(Funding!P44&gt;0,Funding!P47-Funding!P51*Funding!P48/100*Funding!P44,0)</f>
        <v>5.46151661134837</v>
      </c>
      <c r="Q52" s="20" t="n">
        <f aca="false">IF(Funding!Q44&gt;0,Funding!Q47-Funding!Q51*Funding!Q48/100*Funding!Q44,0)</f>
        <v>6.16321438350489</v>
      </c>
      <c r="R52" s="20" t="n">
        <f aca="false">IF(Funding!R44&gt;0,Funding!R47-Funding!R51*Funding!R48/100*Funding!R44,0)</f>
        <v>3.23550839255541</v>
      </c>
      <c r="S52" s="20" t="n">
        <f aca="false">IF(Funding!S44&gt;0,Funding!S47-Funding!S51*Funding!S48/100*Funding!S44,0)</f>
        <v>0</v>
      </c>
      <c r="T52" s="20" t="n">
        <f aca="false">IF(Funding!T44&gt;0,Funding!T47-Funding!T51*Funding!T48/100*Funding!T44,0)</f>
        <v>0</v>
      </c>
      <c r="U52" s="20" t="n">
        <f aca="false">IF(Funding!U44&gt;0,Funding!U47-Funding!U51*Funding!U48/100*Funding!U44,0)</f>
        <v>0</v>
      </c>
      <c r="V52" s="20" t="n">
        <f aca="false">IF(Funding!V44&gt;0,Funding!V47-Funding!V51*Funding!V48/100*Funding!V44,0)</f>
        <v>0</v>
      </c>
      <c r="W52" s="20" t="n">
        <f aca="false">IF(Funding!W44&gt;0,Funding!W47-Funding!W51*Funding!W48/100*Funding!W44,0)</f>
        <v>0</v>
      </c>
      <c r="X52" s="20" t="n">
        <f aca="false">IF(Funding!X44&gt;0,Funding!X47-Funding!X51*Funding!X48/100*Funding!X44,0)</f>
        <v>0</v>
      </c>
      <c r="Y52" s="20" t="n">
        <f aca="false">IF(Funding!Y44&gt;0,Funding!Y47-Funding!Y51*Funding!Y48/100*Funding!Y44,0)</f>
        <v>0</v>
      </c>
      <c r="Z52" s="20" t="n">
        <f aca="false">IF(Funding!Z44&gt;0,Funding!Z47-Funding!Z51*Funding!Z48/100*Funding!Z44,0)</f>
        <v>0</v>
      </c>
      <c r="AA52" s="20" t="n">
        <f aca="false">IF(Funding!AA44&gt;0,Funding!AA47-Funding!AA51*Funding!AA48/100*Funding!AA44,0)</f>
        <v>0</v>
      </c>
      <c r="AB52" s="20" t="n">
        <f aca="false">IF(Funding!AB44&gt;0,Funding!AB47-Funding!AB51*Funding!AB48/100*Funding!AB44,0)</f>
        <v>0</v>
      </c>
      <c r="AC52" s="20" t="n">
        <f aca="false">IF(Funding!AC44&gt;0,Funding!AC47-Funding!AC51*Funding!AC48/100*Funding!AC44,0)</f>
        <v>0</v>
      </c>
      <c r="AD52" s="20" t="n">
        <f aca="false">IF(Funding!AD44&gt;0,Funding!AD47-Funding!AD51*Funding!AD48/100*Funding!AD44,0)</f>
        <v>0</v>
      </c>
      <c r="AE52" s="20" t="n">
        <f aca="false">IF(Funding!AE44&gt;0,Funding!AE47-Funding!AE51*Funding!AE48/100*Funding!AE44,0)</f>
        <v>0</v>
      </c>
      <c r="AF52" s="20" t="n">
        <f aca="false">IF(Funding!AF44&gt;0,Funding!AF47-Funding!AF51*Funding!AF48/100*Funding!AF44,0)</f>
        <v>0</v>
      </c>
      <c r="AG52" s="20" t="n">
        <f aca="false">IF(Funding!AG44&gt;0,Funding!AG47-Funding!AG51*Funding!AG48/100*Funding!AG44,0)</f>
        <v>0</v>
      </c>
      <c r="AH52" s="20" t="n">
        <f aca="false">IF(Funding!AH44&gt;0,Funding!AH47-Funding!AH51*Funding!AH48/100*Funding!AH44,0)</f>
        <v>0</v>
      </c>
      <c r="AI52" s="20" t="n">
        <f aca="false">IF(Funding!AI44&gt;0,Funding!AI47-Funding!AI51*Funding!AI48/100*Funding!AI44,0)</f>
        <v>0</v>
      </c>
      <c r="AJ52" s="20" t="n">
        <f aca="false">IF(Funding!AJ44&gt;0,Funding!AJ47-Funding!AJ51*Funding!AJ48/100*Funding!AJ44,0)</f>
        <v>0</v>
      </c>
      <c r="AK52" s="20" t="n">
        <f aca="false">IF(Funding!AK44&gt;0,Funding!AK47-Funding!AK51*Funding!AK48/100*Funding!AK44,0)</f>
        <v>0</v>
      </c>
      <c r="AL52" s="20" t="n">
        <f aca="false">IF(Funding!AL44&gt;0,Funding!AL47-Funding!AL51*Funding!AL48/100*Funding!AL44,0)</f>
        <v>0</v>
      </c>
      <c r="AM52" s="20" t="n">
        <f aca="false">IF(Funding!AM44&gt;0,Funding!AM47-Funding!AM51*Funding!AM48/100*Funding!AM44,0)</f>
        <v>0</v>
      </c>
      <c r="AN52" s="20" t="n">
        <f aca="false">IF(Funding!AN44&gt;0,Funding!AN47-Funding!AN51*Funding!AN48/100*Funding!AN44,0)</f>
        <v>0</v>
      </c>
      <c r="AO52" s="20" t="n">
        <f aca="false">IF(Funding!AO44&gt;0,Funding!AO47-Funding!AO51*Funding!AO48/100*Funding!AO44,0)</f>
        <v>0</v>
      </c>
      <c r="AP52" s="20" t="n">
        <f aca="false">IF(Funding!AP44&gt;0,Funding!AP47-Funding!AP51*Funding!AP48/100*Funding!AP44,0)</f>
        <v>0</v>
      </c>
      <c r="AQ52" s="20" t="n">
        <f aca="false">IF(Funding!AQ44&gt;0,Funding!AQ47-Funding!AQ51*Funding!AQ48/100*Funding!AQ44,0)</f>
        <v>0</v>
      </c>
      <c r="AR52" s="20" t="n">
        <f aca="false">IF(Funding!AR44&gt;0,Funding!AR47-Funding!AR51*Funding!AR48/100*Funding!AR44,0)</f>
        <v>0</v>
      </c>
      <c r="AS52" s="20" t="n">
        <f aca="false">IF(Funding!AS44&gt;0,Funding!AS47-Funding!AS51*Funding!AS48/100*Funding!AS44,0)</f>
        <v>0</v>
      </c>
      <c r="AT52" s="20" t="n">
        <f aca="false">IF(Funding!AT44&gt;0,Funding!AT47-Funding!AT51*Funding!AT48/100*Funding!AT44,0)</f>
        <v>0</v>
      </c>
      <c r="AU52" s="20" t="n">
        <f aca="false">IF(Funding!AU44&gt;0,Funding!AU47-Funding!AU51*Funding!AU48/100*Funding!AU44,0)</f>
        <v>0</v>
      </c>
    </row>
    <row r="53" customFormat="false" ht="15" hidden="false" customHeight="false" outlineLevel="0" collapsed="false">
      <c r="D53" s="0" t="s">
        <v>916</v>
      </c>
      <c r="E53" s="0" t="s">
        <v>47</v>
      </c>
      <c r="J53" s="20" t="n">
        <f aca="false">Funding!J51-Funding!J52</f>
        <v>0</v>
      </c>
      <c r="K53" s="20" t="n">
        <f aca="false">Funding!K51-Funding!K52</f>
        <v>35.1047069149638</v>
      </c>
      <c r="L53" s="20" t="n">
        <f aca="false">Funding!L51-Funding!L52</f>
        <v>30.540845721908</v>
      </c>
      <c r="M53" s="20" t="n">
        <f aca="false">Funding!M51-Funding!M52</f>
        <v>25.6339817363271</v>
      </c>
      <c r="N53" s="20" t="n">
        <f aca="false">Funding!N51-Funding!N52</f>
        <v>20.4017385618673</v>
      </c>
      <c r="O53" s="20" t="n">
        <f aca="false">Funding!O51-Funding!O52</f>
        <v>14.8602393874087</v>
      </c>
      <c r="P53" s="20" t="n">
        <f aca="false">Funding!P51-Funding!P52</f>
        <v>9.39872277606031</v>
      </c>
      <c r="Q53" s="20" t="n">
        <f aca="false">Funding!Q51-Funding!Q52</f>
        <v>3.23550839255542</v>
      </c>
      <c r="R53" s="20" t="n">
        <f aca="false">Funding!R51-Funding!R52</f>
        <v>0</v>
      </c>
      <c r="S53" s="20" t="n">
        <f aca="false">Funding!S51-Funding!S52</f>
        <v>0</v>
      </c>
      <c r="T53" s="20" t="n">
        <f aca="false">Funding!T51-Funding!T52</f>
        <v>0</v>
      </c>
      <c r="U53" s="20" t="n">
        <f aca="false">Funding!U51-Funding!U52</f>
        <v>0</v>
      </c>
      <c r="V53" s="20" t="n">
        <f aca="false">Funding!V51-Funding!V52</f>
        <v>0</v>
      </c>
      <c r="W53" s="20" t="n">
        <f aca="false">Funding!W51-Funding!W52</f>
        <v>0</v>
      </c>
      <c r="X53" s="20" t="n">
        <f aca="false">Funding!X51-Funding!X52</f>
        <v>0</v>
      </c>
      <c r="Y53" s="20" t="n">
        <f aca="false">Funding!Y51-Funding!Y52</f>
        <v>0</v>
      </c>
      <c r="Z53" s="20" t="n">
        <f aca="false">Funding!Z51-Funding!Z52</f>
        <v>0</v>
      </c>
      <c r="AA53" s="20" t="n">
        <f aca="false">Funding!AA51-Funding!AA52</f>
        <v>0</v>
      </c>
      <c r="AB53" s="20" t="n">
        <f aca="false">Funding!AB51-Funding!AB52</f>
        <v>0</v>
      </c>
      <c r="AC53" s="20" t="n">
        <f aca="false">Funding!AC51-Funding!AC52</f>
        <v>0</v>
      </c>
      <c r="AD53" s="20" t="n">
        <f aca="false">Funding!AD51-Funding!AD52</f>
        <v>0</v>
      </c>
      <c r="AE53" s="20" t="n">
        <f aca="false">Funding!AE51-Funding!AE52</f>
        <v>0</v>
      </c>
      <c r="AF53" s="20" t="n">
        <f aca="false">Funding!AF51-Funding!AF52</f>
        <v>0</v>
      </c>
      <c r="AG53" s="20" t="n">
        <f aca="false">Funding!AG51-Funding!AG52</f>
        <v>0</v>
      </c>
      <c r="AH53" s="20" t="n">
        <f aca="false">Funding!AH51-Funding!AH52</f>
        <v>0</v>
      </c>
      <c r="AI53" s="20" t="n">
        <f aca="false">Funding!AI51-Funding!AI52</f>
        <v>0</v>
      </c>
      <c r="AJ53" s="20" t="n">
        <f aca="false">Funding!AJ51-Funding!AJ52</f>
        <v>0</v>
      </c>
      <c r="AK53" s="20" t="n">
        <f aca="false">Funding!AK51-Funding!AK52</f>
        <v>0</v>
      </c>
      <c r="AL53" s="20" t="n">
        <f aca="false">Funding!AL51-Funding!AL52</f>
        <v>0</v>
      </c>
      <c r="AM53" s="20" t="n">
        <f aca="false">Funding!AM51-Funding!AM52</f>
        <v>0</v>
      </c>
      <c r="AN53" s="20" t="n">
        <f aca="false">Funding!AN51-Funding!AN52</f>
        <v>0</v>
      </c>
      <c r="AO53" s="20" t="n">
        <f aca="false">Funding!AO51-Funding!AO52</f>
        <v>0</v>
      </c>
      <c r="AP53" s="20" t="n">
        <f aca="false">Funding!AP51-Funding!AP52</f>
        <v>0</v>
      </c>
      <c r="AQ53" s="20" t="n">
        <f aca="false">Funding!AQ51-Funding!AQ52</f>
        <v>0</v>
      </c>
      <c r="AR53" s="20" t="n">
        <f aca="false">Funding!AR51-Funding!AR52</f>
        <v>0</v>
      </c>
      <c r="AS53" s="20" t="n">
        <f aca="false">Funding!AS51-Funding!AS52</f>
        <v>0</v>
      </c>
      <c r="AT53" s="20" t="n">
        <f aca="false">Funding!AT51-Funding!AT52</f>
        <v>0</v>
      </c>
      <c r="AU53" s="20" t="n">
        <f aca="false">Funding!AU51-Funding!AU52</f>
        <v>0</v>
      </c>
    </row>
    <row r="55" customFormat="false" ht="15" hidden="false" customHeight="false" outlineLevel="0" collapsed="false">
      <c r="A55" s="4" t="s">
        <v>940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</row>
    <row r="56" customFormat="false" ht="15" hidden="false" customHeight="false" outlineLevel="0" collapsed="false">
      <c r="D56" s="0" t="s">
        <v>919</v>
      </c>
      <c r="E56" s="0" t="s">
        <v>458</v>
      </c>
      <c r="J56" s="14" t="n">
        <f aca="false">MAX(0,MIN(Inputs!$F$308,Time!J$6)-MAX(Inputs!$F$307,Time!J$5))/Time!J$7</f>
        <v>0</v>
      </c>
      <c r="K56" s="14" t="n">
        <f aca="false">MAX(0,MIN(Inputs!$F$308,Time!K$6)-MAX(Inputs!$F$307,Time!K$5))/Time!K$7</f>
        <v>0</v>
      </c>
      <c r="L56" s="14" t="n">
        <f aca="false">MAX(0,MIN(Inputs!$F$308,Time!L$6)-MAX(Inputs!$F$307,Time!L$5))/Time!L$7</f>
        <v>0.87431693989071</v>
      </c>
      <c r="M56" s="14" t="n">
        <f aca="false">MAX(0,MIN(Inputs!$F$308,Time!M$6)-MAX(Inputs!$F$307,Time!M$5))/Time!M$7</f>
        <v>1</v>
      </c>
      <c r="N56" s="14" t="n">
        <f aca="false">MAX(0,MIN(Inputs!$F$308,Time!N$6)-MAX(Inputs!$F$307,Time!N$5))/Time!N$7</f>
        <v>1</v>
      </c>
      <c r="O56" s="14" t="n">
        <f aca="false">MAX(0,MIN(Inputs!$F$308,Time!O$6)-MAX(Inputs!$F$307,Time!O$5))/Time!O$7</f>
        <v>1</v>
      </c>
      <c r="P56" s="14" t="n">
        <f aca="false">MAX(0,MIN(Inputs!$F$308,Time!P$6)-MAX(Inputs!$F$307,Time!P$5))/Time!P$7</f>
        <v>0.224043715846995</v>
      </c>
      <c r="Q56" s="14" t="n">
        <f aca="false">MAX(0,MIN(Inputs!$F$308,Time!Q$6)-MAX(Inputs!$F$307,Time!Q$5))/Time!Q$7</f>
        <v>0</v>
      </c>
      <c r="R56" s="14" t="n">
        <f aca="false">MAX(0,MIN(Inputs!$F$308,Time!R$6)-MAX(Inputs!$F$307,Time!R$5))/Time!R$7</f>
        <v>0</v>
      </c>
      <c r="S56" s="14" t="n">
        <f aca="false">MAX(0,MIN(Inputs!$F$308,Time!S$6)-MAX(Inputs!$F$307,Time!S$5))/Time!S$7</f>
        <v>0</v>
      </c>
      <c r="T56" s="14" t="n">
        <f aca="false">MAX(0,MIN(Inputs!$F$308,Time!T$6)-MAX(Inputs!$F$307,Time!T$5))/Time!T$7</f>
        <v>0</v>
      </c>
      <c r="U56" s="14" t="n">
        <f aca="false">MAX(0,MIN(Inputs!$F$308,Time!U$6)-MAX(Inputs!$F$307,Time!U$5))/Time!U$7</f>
        <v>0</v>
      </c>
      <c r="V56" s="14" t="n">
        <f aca="false">MAX(0,MIN(Inputs!$F$308,Time!V$6)-MAX(Inputs!$F$307,Time!V$5))/Time!V$7</f>
        <v>0</v>
      </c>
      <c r="W56" s="14" t="n">
        <f aca="false">MAX(0,MIN(Inputs!$F$308,Time!W$6)-MAX(Inputs!$F$307,Time!W$5))/Time!W$7</f>
        <v>0</v>
      </c>
      <c r="X56" s="14" t="n">
        <f aca="false">MAX(0,MIN(Inputs!$F$308,Time!X$6)-MAX(Inputs!$F$307,Time!X$5))/Time!X$7</f>
        <v>0</v>
      </c>
      <c r="Y56" s="14" t="n">
        <f aca="false">MAX(0,MIN(Inputs!$F$308,Time!Y$6)-MAX(Inputs!$F$307,Time!Y$5))/Time!Y$7</f>
        <v>0</v>
      </c>
      <c r="Z56" s="14" t="n">
        <f aca="false">MAX(0,MIN(Inputs!$F$308,Time!Z$6)-MAX(Inputs!$F$307,Time!Z$5))/Time!Z$7</f>
        <v>0</v>
      </c>
      <c r="AA56" s="14" t="n">
        <f aca="false">MAX(0,MIN(Inputs!$F$308,Time!AA$6)-MAX(Inputs!$F$307,Time!AA$5))/Time!AA$7</f>
        <v>0</v>
      </c>
      <c r="AB56" s="14" t="n">
        <f aca="false">MAX(0,MIN(Inputs!$F$308,Time!AB$6)-MAX(Inputs!$F$307,Time!AB$5))/Time!AB$7</f>
        <v>0</v>
      </c>
      <c r="AC56" s="14" t="n">
        <f aca="false">MAX(0,MIN(Inputs!$F$308,Time!AC$6)-MAX(Inputs!$F$307,Time!AC$5))/Time!AC$7</f>
        <v>0</v>
      </c>
      <c r="AD56" s="14" t="n">
        <f aca="false">MAX(0,MIN(Inputs!$F$308,Time!AD$6)-MAX(Inputs!$F$307,Time!AD$5))/Time!AD$7</f>
        <v>0</v>
      </c>
      <c r="AE56" s="14" t="n">
        <f aca="false">MAX(0,MIN(Inputs!$F$308,Time!AE$6)-MAX(Inputs!$F$307,Time!AE$5))/Time!AE$7</f>
        <v>0</v>
      </c>
      <c r="AF56" s="14" t="n">
        <f aca="false">MAX(0,MIN(Inputs!$F$308,Time!AF$6)-MAX(Inputs!$F$307,Time!AF$5))/Time!AF$7</f>
        <v>0</v>
      </c>
      <c r="AG56" s="14" t="n">
        <f aca="false">MAX(0,MIN(Inputs!$F$308,Time!AG$6)-MAX(Inputs!$F$307,Time!AG$5))/Time!AG$7</f>
        <v>0</v>
      </c>
      <c r="AH56" s="14" t="n">
        <f aca="false">MAX(0,MIN(Inputs!$F$308,Time!AH$6)-MAX(Inputs!$F$307,Time!AH$5))/Time!AH$7</f>
        <v>0</v>
      </c>
      <c r="AI56" s="14" t="n">
        <f aca="false">MAX(0,MIN(Inputs!$F$308,Time!AI$6)-MAX(Inputs!$F$307,Time!AI$5))/Time!AI$7</f>
        <v>0</v>
      </c>
      <c r="AJ56" s="14" t="n">
        <f aca="false">MAX(0,MIN(Inputs!$F$308,Time!AJ$6)-MAX(Inputs!$F$307,Time!AJ$5))/Time!AJ$7</f>
        <v>0</v>
      </c>
      <c r="AK56" s="14" t="n">
        <f aca="false">MAX(0,MIN(Inputs!$F$308,Time!AK$6)-MAX(Inputs!$F$307,Time!AK$5))/Time!AK$7</f>
        <v>0</v>
      </c>
      <c r="AL56" s="14" t="n">
        <f aca="false">MAX(0,MIN(Inputs!$F$308,Time!AL$6)-MAX(Inputs!$F$307,Time!AL$5))/Time!AL$7</f>
        <v>0</v>
      </c>
      <c r="AM56" s="14" t="n">
        <f aca="false">MAX(0,MIN(Inputs!$F$308,Time!AM$6)-MAX(Inputs!$F$307,Time!AM$5))/Time!AM$7</f>
        <v>0</v>
      </c>
      <c r="AN56" s="14" t="n">
        <f aca="false">MAX(0,MIN(Inputs!$F$308,Time!AN$6)-MAX(Inputs!$F$307,Time!AN$5))/Time!AN$7</f>
        <v>0</v>
      </c>
      <c r="AO56" s="14" t="n">
        <f aca="false">MAX(0,MIN(Inputs!$F$308,Time!AO$6)-MAX(Inputs!$F$307,Time!AO$5))/Time!AO$7</f>
        <v>0</v>
      </c>
      <c r="AP56" s="14" t="n">
        <f aca="false">MAX(0,MIN(Inputs!$F$308,Time!AP$6)-MAX(Inputs!$F$307,Time!AP$5))/Time!AP$7</f>
        <v>0</v>
      </c>
      <c r="AQ56" s="14" t="n">
        <f aca="false">MAX(0,MIN(Inputs!$F$308,Time!AQ$6)-MAX(Inputs!$F$307,Time!AQ$5))/Time!AQ$7</f>
        <v>0</v>
      </c>
      <c r="AR56" s="14" t="n">
        <f aca="false">MAX(0,MIN(Inputs!$F$308,Time!AR$6)-MAX(Inputs!$F$307,Time!AR$5))/Time!AR$7</f>
        <v>0</v>
      </c>
      <c r="AS56" s="14" t="n">
        <f aca="false">MAX(0,MIN(Inputs!$F$308,Time!AS$6)-MAX(Inputs!$F$307,Time!AS$5))/Time!AS$7</f>
        <v>0</v>
      </c>
      <c r="AT56" s="14" t="n">
        <f aca="false">MAX(0,MIN(Inputs!$F$308,Time!AT$6)-MAX(Inputs!$F$307,Time!AT$5))/Time!AT$7</f>
        <v>0</v>
      </c>
      <c r="AU56" s="14" t="n">
        <f aca="false">MAX(0,MIN(Inputs!$F$308,Time!AU$6)-MAX(Inputs!$F$307,Time!AU$5))/Time!AU$7</f>
        <v>0</v>
      </c>
    </row>
    <row r="57" customFormat="false" ht="15" hidden="false" customHeight="false" outlineLevel="0" collapsed="false">
      <c r="D57" s="0" t="s">
        <v>920</v>
      </c>
      <c r="E57" s="0" t="s">
        <v>84</v>
      </c>
      <c r="J57" s="15" t="n">
        <f aca="false">MAX(Inputs!J80,Inputs!$F$292)+Inputs!$F$309</f>
        <v>6.29</v>
      </c>
      <c r="K57" s="15" t="n">
        <f aca="false">MAX(Inputs!K80,Inputs!$F$292)+Inputs!$F$309</f>
        <v>9.42</v>
      </c>
      <c r="L57" s="15" t="n">
        <f aca="false">MAX(Inputs!L80,Inputs!$F$292)+Inputs!$F$309</f>
        <v>9.41</v>
      </c>
      <c r="M57" s="15" t="n">
        <f aca="false">MAX(Inputs!M80,Inputs!$F$292)+Inputs!$F$309</f>
        <v>8.52</v>
      </c>
      <c r="N57" s="15" t="n">
        <f aca="false">MAX(Inputs!N80,Inputs!$F$292)+Inputs!$F$309</f>
        <v>7.91</v>
      </c>
      <c r="O57" s="15" t="n">
        <f aca="false">MAX(Inputs!O80,Inputs!$F$292)+Inputs!$F$309</f>
        <v>7.7</v>
      </c>
      <c r="P57" s="15" t="n">
        <f aca="false">MAX(Inputs!P80,Inputs!$F$292)+Inputs!$F$309</f>
        <v>7.75</v>
      </c>
      <c r="Q57" s="15" t="n">
        <f aca="false">MAX(Inputs!Q80,Inputs!$F$292)+Inputs!$F$309</f>
        <v>7.75</v>
      </c>
      <c r="R57" s="15" t="n">
        <f aca="false">MAX(Inputs!R80,Inputs!$F$292)+Inputs!$F$309</f>
        <v>7.75</v>
      </c>
      <c r="S57" s="15" t="n">
        <f aca="false">MAX(Inputs!S80,Inputs!$F$292)+Inputs!$F$309</f>
        <v>7.75</v>
      </c>
      <c r="T57" s="15" t="n">
        <f aca="false">MAX(Inputs!T80,Inputs!$F$292)+Inputs!$F$309</f>
        <v>7.75</v>
      </c>
      <c r="U57" s="15" t="n">
        <f aca="false">MAX(Inputs!U80,Inputs!$F$292)+Inputs!$F$309</f>
        <v>7.75</v>
      </c>
      <c r="V57" s="15" t="n">
        <f aca="false">MAX(Inputs!V80,Inputs!$F$292)+Inputs!$F$309</f>
        <v>7.75</v>
      </c>
      <c r="W57" s="15" t="n">
        <f aca="false">MAX(Inputs!W80,Inputs!$F$292)+Inputs!$F$309</f>
        <v>7.75</v>
      </c>
      <c r="X57" s="15" t="n">
        <f aca="false">MAX(Inputs!X80,Inputs!$F$292)+Inputs!$F$309</f>
        <v>7.75</v>
      </c>
      <c r="Y57" s="15" t="n">
        <f aca="false">MAX(Inputs!Y80,Inputs!$F$292)+Inputs!$F$309</f>
        <v>7.75</v>
      </c>
      <c r="Z57" s="15" t="n">
        <f aca="false">MAX(Inputs!Z80,Inputs!$F$292)+Inputs!$F$309</f>
        <v>7.75</v>
      </c>
      <c r="AA57" s="15" t="n">
        <f aca="false">MAX(Inputs!AA80,Inputs!$F$292)+Inputs!$F$309</f>
        <v>7.75</v>
      </c>
      <c r="AB57" s="15" t="n">
        <f aca="false">MAX(Inputs!AB80,Inputs!$F$292)+Inputs!$F$309</f>
        <v>7.75</v>
      </c>
      <c r="AC57" s="15" t="n">
        <f aca="false">MAX(Inputs!AC80,Inputs!$F$292)+Inputs!$F$309</f>
        <v>7.75</v>
      </c>
      <c r="AD57" s="15" t="n">
        <f aca="false">MAX(Inputs!AD80,Inputs!$F$292)+Inputs!$F$309</f>
        <v>7.75</v>
      </c>
      <c r="AE57" s="15" t="n">
        <f aca="false">MAX(Inputs!AE80,Inputs!$F$292)+Inputs!$F$309</f>
        <v>7.75</v>
      </c>
      <c r="AF57" s="15" t="n">
        <f aca="false">MAX(Inputs!AF80,Inputs!$F$292)+Inputs!$F$309</f>
        <v>7.75</v>
      </c>
      <c r="AG57" s="15" t="n">
        <f aca="false">MAX(Inputs!AG80,Inputs!$F$292)+Inputs!$F$309</f>
        <v>7.75</v>
      </c>
      <c r="AH57" s="15" t="n">
        <f aca="false">MAX(Inputs!AH80,Inputs!$F$292)+Inputs!$F$309</f>
        <v>7.75</v>
      </c>
      <c r="AI57" s="15" t="n">
        <f aca="false">MAX(Inputs!AI80,Inputs!$F$292)+Inputs!$F$309</f>
        <v>7.75</v>
      </c>
      <c r="AJ57" s="15" t="n">
        <f aca="false">MAX(Inputs!AJ80,Inputs!$F$292)+Inputs!$F$309</f>
        <v>7.75</v>
      </c>
      <c r="AK57" s="15" t="n">
        <f aca="false">MAX(Inputs!AK80,Inputs!$F$292)+Inputs!$F$309</f>
        <v>7.75</v>
      </c>
      <c r="AL57" s="15" t="n">
        <f aca="false">MAX(Inputs!AL80,Inputs!$F$292)+Inputs!$F$309</f>
        <v>7.75</v>
      </c>
      <c r="AM57" s="15" t="n">
        <f aca="false">MAX(Inputs!AM80,Inputs!$F$292)+Inputs!$F$309</f>
        <v>7.75</v>
      </c>
      <c r="AN57" s="15" t="n">
        <f aca="false">MAX(Inputs!AN80,Inputs!$F$292)+Inputs!$F$309</f>
        <v>7.75</v>
      </c>
      <c r="AO57" s="15" t="n">
        <f aca="false">MAX(Inputs!AO80,Inputs!$F$292)+Inputs!$F$309</f>
        <v>7.75</v>
      </c>
      <c r="AP57" s="15" t="n">
        <f aca="false">MAX(Inputs!AP80,Inputs!$F$292)+Inputs!$F$309</f>
        <v>7.75</v>
      </c>
      <c r="AQ57" s="15" t="n">
        <f aca="false">MAX(Inputs!AQ80,Inputs!$F$292)+Inputs!$F$309</f>
        <v>7.75</v>
      </c>
      <c r="AR57" s="15" t="n">
        <f aca="false">MAX(Inputs!AR80,Inputs!$F$292)+Inputs!$F$309</f>
        <v>7.75</v>
      </c>
      <c r="AS57" s="15" t="n">
        <f aca="false">MAX(Inputs!AS80,Inputs!$F$292)+Inputs!$F$309</f>
        <v>7.75</v>
      </c>
      <c r="AT57" s="15" t="n">
        <f aca="false">MAX(Inputs!AT80,Inputs!$F$292)+Inputs!$F$309</f>
        <v>7.75</v>
      </c>
      <c r="AU57" s="15" t="n">
        <f aca="false">MAX(Inputs!AU80,Inputs!$F$292)+Inputs!$F$309</f>
        <v>7.75</v>
      </c>
    </row>
    <row r="58" customFormat="false" ht="15" hidden="false" customHeight="false" outlineLevel="0" collapsed="false">
      <c r="D58" s="0" t="s">
        <v>921</v>
      </c>
      <c r="E58" s="0" t="s">
        <v>27</v>
      </c>
      <c r="J58" s="14" t="n">
        <f aca="false">Inputs!$F$311/100*Funding!J56</f>
        <v>0</v>
      </c>
      <c r="K58" s="14" t="n">
        <f aca="false">Inputs!$F$311/100*Funding!K56</f>
        <v>0</v>
      </c>
      <c r="L58" s="14" t="n">
        <f aca="false">Inputs!$F$311/100*Funding!L56</f>
        <v>0.0087431693989071</v>
      </c>
      <c r="M58" s="14" t="n">
        <f aca="false">Inputs!$F$311/100*Funding!M56</f>
        <v>0.01</v>
      </c>
      <c r="N58" s="14" t="n">
        <f aca="false">Inputs!$F$311/100*Funding!N56</f>
        <v>0.01</v>
      </c>
      <c r="O58" s="14" t="n">
        <f aca="false">Inputs!$F$311/100*Funding!O56</f>
        <v>0.01</v>
      </c>
      <c r="P58" s="14" t="n">
        <f aca="false">Inputs!$F$311/100*Funding!P56</f>
        <v>0.00224043715846995</v>
      </c>
      <c r="Q58" s="14" t="n">
        <f aca="false">Inputs!$F$311/100*Funding!Q56</f>
        <v>0</v>
      </c>
      <c r="R58" s="14" t="n">
        <f aca="false">Inputs!$F$311/100*Funding!R56</f>
        <v>0</v>
      </c>
      <c r="S58" s="14" t="n">
        <f aca="false">Inputs!$F$311/100*Funding!S56</f>
        <v>0</v>
      </c>
      <c r="T58" s="14" t="n">
        <f aca="false">Inputs!$F$311/100*Funding!T56</f>
        <v>0</v>
      </c>
      <c r="U58" s="14" t="n">
        <f aca="false">Inputs!$F$311/100*Funding!U56</f>
        <v>0</v>
      </c>
      <c r="V58" s="14" t="n">
        <f aca="false">Inputs!$F$311/100*Funding!V56</f>
        <v>0</v>
      </c>
      <c r="W58" s="14" t="n">
        <f aca="false">Inputs!$F$311/100*Funding!W56</f>
        <v>0</v>
      </c>
      <c r="X58" s="14" t="n">
        <f aca="false">Inputs!$F$311/100*Funding!X56</f>
        <v>0</v>
      </c>
      <c r="Y58" s="14" t="n">
        <f aca="false">Inputs!$F$311/100*Funding!Y56</f>
        <v>0</v>
      </c>
      <c r="Z58" s="14" t="n">
        <f aca="false">Inputs!$F$311/100*Funding!Z56</f>
        <v>0</v>
      </c>
      <c r="AA58" s="14" t="n">
        <f aca="false">Inputs!$F$311/100*Funding!AA56</f>
        <v>0</v>
      </c>
      <c r="AB58" s="14" t="n">
        <f aca="false">Inputs!$F$311/100*Funding!AB56</f>
        <v>0</v>
      </c>
      <c r="AC58" s="14" t="n">
        <f aca="false">Inputs!$F$311/100*Funding!AC56</f>
        <v>0</v>
      </c>
      <c r="AD58" s="14" t="n">
        <f aca="false">Inputs!$F$311/100*Funding!AD56</f>
        <v>0</v>
      </c>
      <c r="AE58" s="14" t="n">
        <f aca="false">Inputs!$F$311/100*Funding!AE56</f>
        <v>0</v>
      </c>
      <c r="AF58" s="14" t="n">
        <f aca="false">Inputs!$F$311/100*Funding!AF56</f>
        <v>0</v>
      </c>
      <c r="AG58" s="14" t="n">
        <f aca="false">Inputs!$F$311/100*Funding!AG56</f>
        <v>0</v>
      </c>
      <c r="AH58" s="14" t="n">
        <f aca="false">Inputs!$F$311/100*Funding!AH56</f>
        <v>0</v>
      </c>
      <c r="AI58" s="14" t="n">
        <f aca="false">Inputs!$F$311/100*Funding!AI56</f>
        <v>0</v>
      </c>
      <c r="AJ58" s="14" t="n">
        <f aca="false">Inputs!$F$311/100*Funding!AJ56</f>
        <v>0</v>
      </c>
      <c r="AK58" s="14" t="n">
        <f aca="false">Inputs!$F$311/100*Funding!AK56</f>
        <v>0</v>
      </c>
      <c r="AL58" s="14" t="n">
        <f aca="false">Inputs!$F$311/100*Funding!AL56</f>
        <v>0</v>
      </c>
      <c r="AM58" s="14" t="n">
        <f aca="false">Inputs!$F$311/100*Funding!AM56</f>
        <v>0</v>
      </c>
      <c r="AN58" s="14" t="n">
        <f aca="false">Inputs!$F$311/100*Funding!AN56</f>
        <v>0</v>
      </c>
      <c r="AO58" s="14" t="n">
        <f aca="false">Inputs!$F$311/100*Funding!AO56</f>
        <v>0</v>
      </c>
      <c r="AP58" s="14" t="n">
        <f aca="false">Inputs!$F$311/100*Funding!AP56</f>
        <v>0</v>
      </c>
      <c r="AQ58" s="14" t="n">
        <f aca="false">Inputs!$F$311/100*Funding!AQ56</f>
        <v>0</v>
      </c>
      <c r="AR58" s="14" t="n">
        <f aca="false">Inputs!$F$311/100*Funding!AR56</f>
        <v>0</v>
      </c>
      <c r="AS58" s="14" t="n">
        <f aca="false">Inputs!$F$311/100*Funding!AS56</f>
        <v>0</v>
      </c>
      <c r="AT58" s="14" t="n">
        <f aca="false">Inputs!$F$311/100*Funding!AT56</f>
        <v>0</v>
      </c>
      <c r="AU58" s="14" t="n">
        <f aca="false">Inputs!$F$311/100*Funding!AU56</f>
        <v>0</v>
      </c>
    </row>
    <row r="59" customFormat="false" ht="15" hidden="false" customHeight="false" outlineLevel="0" collapsed="false">
      <c r="D59" s="0" t="s">
        <v>922</v>
      </c>
      <c r="E59" s="0" t="s">
        <v>27</v>
      </c>
      <c r="J59" s="14" t="n">
        <f aca="false">IF(Time!J$4=Inputs!$F$23,1,I59-I58)</f>
        <v>1</v>
      </c>
      <c r="K59" s="14" t="n">
        <f aca="false">IF(Time!K$4=Inputs!$F$23,1,J59-J58)</f>
        <v>1</v>
      </c>
      <c r="L59" s="14" t="n">
        <f aca="false">IF(Time!L$4=Inputs!$F$23,1,K59-K58)</f>
        <v>1</v>
      </c>
      <c r="M59" s="14" t="n">
        <f aca="false">IF(Time!M$4=Inputs!$F$23,1,L59-L58)</f>
        <v>0.991256830601093</v>
      </c>
      <c r="N59" s="14" t="n">
        <f aca="false">IF(Time!N$4=Inputs!$F$23,1,M59-M58)</f>
        <v>0.981256830601093</v>
      </c>
      <c r="O59" s="14" t="n">
        <f aca="false">IF(Time!O$4=Inputs!$F$23,1,N59-N58)</f>
        <v>0.971256830601093</v>
      </c>
      <c r="P59" s="14" t="n">
        <f aca="false">IF(Time!P$4=Inputs!$F$23,1,O59-O58)</f>
        <v>0.961256830601093</v>
      </c>
      <c r="Q59" s="14" t="n">
        <f aca="false">IF(Time!Q$4=Inputs!$F$23,1,P59-P58)</f>
        <v>0.959016393442623</v>
      </c>
      <c r="R59" s="14" t="n">
        <f aca="false">IF(Time!R$4=Inputs!$F$23,1,Q59-Q58)</f>
        <v>0.959016393442623</v>
      </c>
      <c r="S59" s="14" t="n">
        <f aca="false">IF(Time!S$4=Inputs!$F$23,1,R59-R58)</f>
        <v>0.959016393442623</v>
      </c>
      <c r="T59" s="14" t="n">
        <f aca="false">IF(Time!T$4=Inputs!$F$23,1,S59-S58)</f>
        <v>0.959016393442623</v>
      </c>
      <c r="U59" s="14" t="n">
        <f aca="false">IF(Time!U$4=Inputs!$F$23,1,T59-T58)</f>
        <v>0.959016393442623</v>
      </c>
      <c r="V59" s="14" t="n">
        <f aca="false">IF(Time!V$4=Inputs!$F$23,1,U59-U58)</f>
        <v>0.959016393442623</v>
      </c>
      <c r="W59" s="14" t="n">
        <f aca="false">IF(Time!W$4=Inputs!$F$23,1,V59-V58)</f>
        <v>0.959016393442623</v>
      </c>
      <c r="X59" s="14" t="n">
        <f aca="false">IF(Time!X$4=Inputs!$F$23,1,W59-W58)</f>
        <v>0.959016393442623</v>
      </c>
      <c r="Y59" s="14" t="n">
        <f aca="false">IF(Time!Y$4=Inputs!$F$23,1,X59-X58)</f>
        <v>0.959016393442623</v>
      </c>
      <c r="Z59" s="14" t="n">
        <f aca="false">IF(Time!Z$4=Inputs!$F$23,1,Y59-Y58)</f>
        <v>0.959016393442623</v>
      </c>
      <c r="AA59" s="14" t="n">
        <f aca="false">IF(Time!AA$4=Inputs!$F$23,1,Z59-Z58)</f>
        <v>0.959016393442623</v>
      </c>
      <c r="AB59" s="14" t="n">
        <f aca="false">IF(Time!AB$4=Inputs!$F$23,1,AA59-AA58)</f>
        <v>0.959016393442623</v>
      </c>
      <c r="AC59" s="14" t="n">
        <f aca="false">IF(Time!AC$4=Inputs!$F$23,1,AB59-AB58)</f>
        <v>0.959016393442623</v>
      </c>
      <c r="AD59" s="14" t="n">
        <f aca="false">IF(Time!AD$4=Inputs!$F$23,1,AC59-AC58)</f>
        <v>0.959016393442623</v>
      </c>
      <c r="AE59" s="14" t="n">
        <f aca="false">IF(Time!AE$4=Inputs!$F$23,1,AD59-AD58)</f>
        <v>0.959016393442623</v>
      </c>
      <c r="AF59" s="14" t="n">
        <f aca="false">IF(Time!AF$4=Inputs!$F$23,1,AE59-AE58)</f>
        <v>0.959016393442623</v>
      </c>
      <c r="AG59" s="14" t="n">
        <f aca="false">IF(Time!AG$4=Inputs!$F$23,1,AF59-AF58)</f>
        <v>0.959016393442623</v>
      </c>
      <c r="AH59" s="14" t="n">
        <f aca="false">IF(Time!AH$4=Inputs!$F$23,1,AG59-AG58)</f>
        <v>0.959016393442623</v>
      </c>
      <c r="AI59" s="14" t="n">
        <f aca="false">IF(Time!AI$4=Inputs!$F$23,1,AH59-AH58)</f>
        <v>0.959016393442623</v>
      </c>
      <c r="AJ59" s="14" t="n">
        <f aca="false">IF(Time!AJ$4=Inputs!$F$23,1,AI59-AI58)</f>
        <v>0.959016393442623</v>
      </c>
      <c r="AK59" s="14" t="n">
        <f aca="false">IF(Time!AK$4=Inputs!$F$23,1,AJ59-AJ58)</f>
        <v>0.959016393442623</v>
      </c>
      <c r="AL59" s="14" t="n">
        <f aca="false">IF(Time!AL$4=Inputs!$F$23,1,AK59-AK58)</f>
        <v>0.959016393442623</v>
      </c>
      <c r="AM59" s="14" t="n">
        <f aca="false">IF(Time!AM$4=Inputs!$F$23,1,AL59-AL58)</f>
        <v>0.959016393442623</v>
      </c>
      <c r="AN59" s="14" t="n">
        <f aca="false">IF(Time!AN$4=Inputs!$F$23,1,AM59-AM58)</f>
        <v>0.959016393442623</v>
      </c>
      <c r="AO59" s="14" t="n">
        <f aca="false">IF(Time!AO$4=Inputs!$F$23,1,AN59-AN58)</f>
        <v>0.959016393442623</v>
      </c>
      <c r="AP59" s="14" t="n">
        <f aca="false">IF(Time!AP$4=Inputs!$F$23,1,AO59-AO58)</f>
        <v>0.959016393442623</v>
      </c>
      <c r="AQ59" s="14" t="n">
        <f aca="false">IF(Time!AQ$4=Inputs!$F$23,1,AP59-AP58)</f>
        <v>0.959016393442623</v>
      </c>
      <c r="AR59" s="14" t="n">
        <f aca="false">IF(Time!AR$4=Inputs!$F$23,1,AQ59-AQ58)</f>
        <v>0.959016393442623</v>
      </c>
      <c r="AS59" s="14" t="n">
        <f aca="false">IF(Time!AS$4=Inputs!$F$23,1,AR59-AR58)</f>
        <v>0.959016393442623</v>
      </c>
      <c r="AT59" s="14" t="n">
        <f aca="false">IF(Time!AT$4=Inputs!$F$23,1,AS59-AS58)</f>
        <v>0.959016393442623</v>
      </c>
      <c r="AU59" s="14" t="n">
        <f aca="false">IF(Time!AU$4=Inputs!$F$23,1,AT59-AT58)</f>
        <v>0.959016393442623</v>
      </c>
    </row>
    <row r="60" customFormat="false" ht="15" hidden="false" customHeight="false" outlineLevel="0" collapsed="false">
      <c r="D60" s="0" t="s">
        <v>923</v>
      </c>
      <c r="E60" s="0" t="s">
        <v>27</v>
      </c>
      <c r="J60" s="14" t="n">
        <f aca="false">Funding!J59*Funding!J57/100*Funding!J56+Funding!J58</f>
        <v>0</v>
      </c>
      <c r="K60" s="14" t="n">
        <f aca="false">Funding!K59*Funding!K57/100*Funding!K56+Funding!K58</f>
        <v>0</v>
      </c>
      <c r="L60" s="14" t="n">
        <f aca="false">Funding!L59*Funding!L57/100*Funding!L56+Funding!L58</f>
        <v>0.0910163934426229</v>
      </c>
      <c r="M60" s="14" t="n">
        <f aca="false">Funding!M59*Funding!M57/100*Funding!M56+Funding!M58</f>
        <v>0.0944550819672131</v>
      </c>
      <c r="N60" s="14" t="n">
        <f aca="false">Funding!N59*Funding!N57/100*Funding!N56+Funding!N58</f>
        <v>0.0876174153005465</v>
      </c>
      <c r="O60" s="14" t="n">
        <f aca="false">Funding!O59*Funding!O57/100*Funding!O56+Funding!O58</f>
        <v>0.0847867759562841</v>
      </c>
      <c r="P60" s="14" t="n">
        <f aca="false">Funding!P59*Funding!P57/100*Funding!P56+Funding!P58</f>
        <v>0.0189311124548359</v>
      </c>
      <c r="Q60" s="14" t="n">
        <f aca="false">Funding!Q59*Funding!Q57/100*Funding!Q56+Funding!Q58</f>
        <v>0</v>
      </c>
      <c r="R60" s="14" t="n">
        <f aca="false">Funding!R59*Funding!R57/100*Funding!R56+Funding!R58</f>
        <v>0</v>
      </c>
      <c r="S60" s="14" t="n">
        <f aca="false">Funding!S59*Funding!S57/100*Funding!S56+Funding!S58</f>
        <v>0</v>
      </c>
      <c r="T60" s="14" t="n">
        <f aca="false">Funding!T59*Funding!T57/100*Funding!T56+Funding!T58</f>
        <v>0</v>
      </c>
      <c r="U60" s="14" t="n">
        <f aca="false">Funding!U59*Funding!U57/100*Funding!U56+Funding!U58</f>
        <v>0</v>
      </c>
      <c r="V60" s="14" t="n">
        <f aca="false">Funding!V59*Funding!V57/100*Funding!V56+Funding!V58</f>
        <v>0</v>
      </c>
      <c r="W60" s="14" t="n">
        <f aca="false">Funding!W59*Funding!W57/100*Funding!W56+Funding!W58</f>
        <v>0</v>
      </c>
      <c r="X60" s="14" t="n">
        <f aca="false">Funding!X59*Funding!X57/100*Funding!X56+Funding!X58</f>
        <v>0</v>
      </c>
      <c r="Y60" s="14" t="n">
        <f aca="false">Funding!Y59*Funding!Y57/100*Funding!Y56+Funding!Y58</f>
        <v>0</v>
      </c>
      <c r="Z60" s="14" t="n">
        <f aca="false">Funding!Z59*Funding!Z57/100*Funding!Z56+Funding!Z58</f>
        <v>0</v>
      </c>
      <c r="AA60" s="14" t="n">
        <f aca="false">Funding!AA59*Funding!AA57/100*Funding!AA56+Funding!AA58</f>
        <v>0</v>
      </c>
      <c r="AB60" s="14" t="n">
        <f aca="false">Funding!AB59*Funding!AB57/100*Funding!AB56+Funding!AB58</f>
        <v>0</v>
      </c>
      <c r="AC60" s="14" t="n">
        <f aca="false">Funding!AC59*Funding!AC57/100*Funding!AC56+Funding!AC58</f>
        <v>0</v>
      </c>
      <c r="AD60" s="14" t="n">
        <f aca="false">Funding!AD59*Funding!AD57/100*Funding!AD56+Funding!AD58</f>
        <v>0</v>
      </c>
      <c r="AE60" s="14" t="n">
        <f aca="false">Funding!AE59*Funding!AE57/100*Funding!AE56+Funding!AE58</f>
        <v>0</v>
      </c>
      <c r="AF60" s="14" t="n">
        <f aca="false">Funding!AF59*Funding!AF57/100*Funding!AF56+Funding!AF58</f>
        <v>0</v>
      </c>
      <c r="AG60" s="14" t="n">
        <f aca="false">Funding!AG59*Funding!AG57/100*Funding!AG56+Funding!AG58</f>
        <v>0</v>
      </c>
      <c r="AH60" s="14" t="n">
        <f aca="false">Funding!AH59*Funding!AH57/100*Funding!AH56+Funding!AH58</f>
        <v>0</v>
      </c>
      <c r="AI60" s="14" t="n">
        <f aca="false">Funding!AI59*Funding!AI57/100*Funding!AI56+Funding!AI58</f>
        <v>0</v>
      </c>
      <c r="AJ60" s="14" t="n">
        <f aca="false">Funding!AJ59*Funding!AJ57/100*Funding!AJ56+Funding!AJ58</f>
        <v>0</v>
      </c>
      <c r="AK60" s="14" t="n">
        <f aca="false">Funding!AK59*Funding!AK57/100*Funding!AK56+Funding!AK58</f>
        <v>0</v>
      </c>
      <c r="AL60" s="14" t="n">
        <f aca="false">Funding!AL59*Funding!AL57/100*Funding!AL56+Funding!AL58</f>
        <v>0</v>
      </c>
      <c r="AM60" s="14" t="n">
        <f aca="false">Funding!AM59*Funding!AM57/100*Funding!AM56+Funding!AM58</f>
        <v>0</v>
      </c>
      <c r="AN60" s="14" t="n">
        <f aca="false">Funding!AN59*Funding!AN57/100*Funding!AN56+Funding!AN58</f>
        <v>0</v>
      </c>
      <c r="AO60" s="14" t="n">
        <f aca="false">Funding!AO59*Funding!AO57/100*Funding!AO56+Funding!AO58</f>
        <v>0</v>
      </c>
      <c r="AP60" s="14" t="n">
        <f aca="false">Funding!AP59*Funding!AP57/100*Funding!AP56+Funding!AP58</f>
        <v>0</v>
      </c>
      <c r="AQ60" s="14" t="n">
        <f aca="false">Funding!AQ59*Funding!AQ57/100*Funding!AQ56+Funding!AQ58</f>
        <v>0</v>
      </c>
      <c r="AR60" s="14" t="n">
        <f aca="false">Funding!AR59*Funding!AR57/100*Funding!AR56+Funding!AR58</f>
        <v>0</v>
      </c>
      <c r="AS60" s="14" t="n">
        <f aca="false">Funding!AS59*Funding!AS57/100*Funding!AS56+Funding!AS58</f>
        <v>0</v>
      </c>
      <c r="AT60" s="14" t="n">
        <f aca="false">Funding!AT59*Funding!AT57/100*Funding!AT56+Funding!AT58</f>
        <v>0</v>
      </c>
      <c r="AU60" s="14" t="n">
        <f aca="false">Funding!AU59*Funding!AU57/100*Funding!AU56+Funding!AU58</f>
        <v>0</v>
      </c>
    </row>
    <row r="61" customFormat="false" ht="15" hidden="false" customHeight="false" outlineLevel="0" collapsed="false">
      <c r="D61" s="0" t="s">
        <v>924</v>
      </c>
      <c r="E61" s="0" t="s">
        <v>20</v>
      </c>
      <c r="J61" s="12" t="n">
        <f aca="false">(Time!J$4&gt;=Inputs!$F$312)*(Time!J$4&lt;=Inputs!$F$313)</f>
        <v>0</v>
      </c>
      <c r="K61" s="12" t="n">
        <f aca="false">(Time!K$4&gt;=Inputs!$F$312)*(Time!K$4&lt;=Inputs!$F$313)</f>
        <v>0</v>
      </c>
      <c r="L61" s="12" t="n">
        <f aca="false">(Time!L$4&gt;=Inputs!$F$312)*(Time!L$4&lt;=Inputs!$F$313)</f>
        <v>0</v>
      </c>
      <c r="M61" s="12" t="n">
        <f aca="false">(Time!M$4&gt;=Inputs!$F$312)*(Time!M$4&lt;=Inputs!$F$313)</f>
        <v>1</v>
      </c>
      <c r="N61" s="12" t="n">
        <f aca="false">(Time!N$4&gt;=Inputs!$F$312)*(Time!N$4&lt;=Inputs!$F$313)</f>
        <v>1</v>
      </c>
      <c r="O61" s="12" t="n">
        <f aca="false">(Time!O$4&gt;=Inputs!$F$312)*(Time!O$4&lt;=Inputs!$F$313)</f>
        <v>1</v>
      </c>
      <c r="P61" s="12" t="n">
        <f aca="false">(Time!P$4&gt;=Inputs!$F$312)*(Time!P$4&lt;=Inputs!$F$313)</f>
        <v>0</v>
      </c>
      <c r="Q61" s="12" t="n">
        <f aca="false">(Time!Q$4&gt;=Inputs!$F$312)*(Time!Q$4&lt;=Inputs!$F$313)</f>
        <v>0</v>
      </c>
      <c r="R61" s="12" t="n">
        <f aca="false">(Time!R$4&gt;=Inputs!$F$312)*(Time!R$4&lt;=Inputs!$F$313)</f>
        <v>0</v>
      </c>
      <c r="S61" s="12" t="n">
        <f aca="false">(Time!S$4&gt;=Inputs!$F$312)*(Time!S$4&lt;=Inputs!$F$313)</f>
        <v>0</v>
      </c>
      <c r="T61" s="12" t="n">
        <f aca="false">(Time!T$4&gt;=Inputs!$F$312)*(Time!T$4&lt;=Inputs!$F$313)</f>
        <v>0</v>
      </c>
      <c r="U61" s="12" t="n">
        <f aca="false">(Time!U$4&gt;=Inputs!$F$312)*(Time!U$4&lt;=Inputs!$F$313)</f>
        <v>0</v>
      </c>
      <c r="V61" s="12" t="n">
        <f aca="false">(Time!V$4&gt;=Inputs!$F$312)*(Time!V$4&lt;=Inputs!$F$313)</f>
        <v>0</v>
      </c>
      <c r="W61" s="12" t="n">
        <f aca="false">(Time!W$4&gt;=Inputs!$F$312)*(Time!W$4&lt;=Inputs!$F$313)</f>
        <v>0</v>
      </c>
      <c r="X61" s="12" t="n">
        <f aca="false">(Time!X$4&gt;=Inputs!$F$312)*(Time!X$4&lt;=Inputs!$F$313)</f>
        <v>0</v>
      </c>
      <c r="Y61" s="12" t="n">
        <f aca="false">(Time!Y$4&gt;=Inputs!$F$312)*(Time!Y$4&lt;=Inputs!$F$313)</f>
        <v>0</v>
      </c>
      <c r="Z61" s="12" t="n">
        <f aca="false">(Time!Z$4&gt;=Inputs!$F$312)*(Time!Z$4&lt;=Inputs!$F$313)</f>
        <v>0</v>
      </c>
      <c r="AA61" s="12" t="n">
        <f aca="false">(Time!AA$4&gt;=Inputs!$F$312)*(Time!AA$4&lt;=Inputs!$F$313)</f>
        <v>0</v>
      </c>
      <c r="AB61" s="12" t="n">
        <f aca="false">(Time!AB$4&gt;=Inputs!$F$312)*(Time!AB$4&lt;=Inputs!$F$313)</f>
        <v>0</v>
      </c>
      <c r="AC61" s="12" t="n">
        <f aca="false">(Time!AC$4&gt;=Inputs!$F$312)*(Time!AC$4&lt;=Inputs!$F$313)</f>
        <v>0</v>
      </c>
      <c r="AD61" s="12" t="n">
        <f aca="false">(Time!AD$4&gt;=Inputs!$F$312)*(Time!AD$4&lt;=Inputs!$F$313)</f>
        <v>0</v>
      </c>
      <c r="AE61" s="12" t="n">
        <f aca="false">(Time!AE$4&gt;=Inputs!$F$312)*(Time!AE$4&lt;=Inputs!$F$313)</f>
        <v>0</v>
      </c>
      <c r="AF61" s="12" t="n">
        <f aca="false">(Time!AF$4&gt;=Inputs!$F$312)*(Time!AF$4&lt;=Inputs!$F$313)</f>
        <v>0</v>
      </c>
      <c r="AG61" s="12" t="n">
        <f aca="false">(Time!AG$4&gt;=Inputs!$F$312)*(Time!AG$4&lt;=Inputs!$F$313)</f>
        <v>0</v>
      </c>
      <c r="AH61" s="12" t="n">
        <f aca="false">(Time!AH$4&gt;=Inputs!$F$312)*(Time!AH$4&lt;=Inputs!$F$313)</f>
        <v>0</v>
      </c>
      <c r="AI61" s="12" t="n">
        <f aca="false">(Time!AI$4&gt;=Inputs!$F$312)*(Time!AI$4&lt;=Inputs!$F$313)</f>
        <v>0</v>
      </c>
      <c r="AJ61" s="12" t="n">
        <f aca="false">(Time!AJ$4&gt;=Inputs!$F$312)*(Time!AJ$4&lt;=Inputs!$F$313)</f>
        <v>0</v>
      </c>
      <c r="AK61" s="12" t="n">
        <f aca="false">(Time!AK$4&gt;=Inputs!$F$312)*(Time!AK$4&lt;=Inputs!$F$313)</f>
        <v>0</v>
      </c>
      <c r="AL61" s="12" t="n">
        <f aca="false">(Time!AL$4&gt;=Inputs!$F$312)*(Time!AL$4&lt;=Inputs!$F$313)</f>
        <v>0</v>
      </c>
      <c r="AM61" s="12" t="n">
        <f aca="false">(Time!AM$4&gt;=Inputs!$F$312)*(Time!AM$4&lt;=Inputs!$F$313)</f>
        <v>0</v>
      </c>
      <c r="AN61" s="12" t="n">
        <f aca="false">(Time!AN$4&gt;=Inputs!$F$312)*(Time!AN$4&lt;=Inputs!$F$313)</f>
        <v>0</v>
      </c>
      <c r="AO61" s="12" t="n">
        <f aca="false">(Time!AO$4&gt;=Inputs!$F$312)*(Time!AO$4&lt;=Inputs!$F$313)</f>
        <v>0</v>
      </c>
      <c r="AP61" s="12" t="n">
        <f aca="false">(Time!AP$4&gt;=Inputs!$F$312)*(Time!AP$4&lt;=Inputs!$F$313)</f>
        <v>0</v>
      </c>
      <c r="AQ61" s="12" t="n">
        <f aca="false">(Time!AQ$4&gt;=Inputs!$F$312)*(Time!AQ$4&lt;=Inputs!$F$313)</f>
        <v>0</v>
      </c>
      <c r="AR61" s="12" t="n">
        <f aca="false">(Time!AR$4&gt;=Inputs!$F$312)*(Time!AR$4&lt;=Inputs!$F$313)</f>
        <v>0</v>
      </c>
      <c r="AS61" s="12" t="n">
        <f aca="false">(Time!AS$4&gt;=Inputs!$F$312)*(Time!AS$4&lt;=Inputs!$F$313)</f>
        <v>0</v>
      </c>
      <c r="AT61" s="12" t="n">
        <f aca="false">(Time!AT$4&gt;=Inputs!$F$312)*(Time!AT$4&lt;=Inputs!$F$313)</f>
        <v>0</v>
      </c>
      <c r="AU61" s="12" t="n">
        <f aca="false">(Time!AU$4&gt;=Inputs!$F$312)*(Time!AU$4&lt;=Inputs!$F$313)</f>
        <v>0</v>
      </c>
    </row>
    <row r="62" customFormat="false" ht="15" hidden="false" customHeight="false" outlineLevel="0" collapsed="false">
      <c r="D62" s="0" t="s">
        <v>941</v>
      </c>
      <c r="E62" s="0" t="s">
        <v>47</v>
      </c>
      <c r="J62" s="20" t="n">
        <f aca="false">IF(Funding!J61&gt;0,Operations!J821/(Inputs!$F$296*IF(Funding!J60&gt;0,Funding!J60,1)),Inputs!$F$28)</f>
        <v>1000000000</v>
      </c>
      <c r="K62" s="20" t="n">
        <f aca="false">IF(Funding!K61&gt;0,Operations!K821/(Inputs!$F$296*IF(Funding!K60&gt;0,Funding!K60,1)),Inputs!$F$28)</f>
        <v>1000000000</v>
      </c>
      <c r="L62" s="20" t="n">
        <f aca="false">IF(Funding!L61&gt;0,Operations!L821/(Inputs!$F$296*IF(Funding!L60&gt;0,Funding!L60,1)),Inputs!$F$28)</f>
        <v>1000000000</v>
      </c>
      <c r="M62" s="20" t="n">
        <f aca="false">IF(Funding!M61&gt;0,Operations!M821/(Inputs!$F$296*IF(Funding!M60&gt;0,Funding!M60,1)),Inputs!$F$28)</f>
        <v>93.3137338161107</v>
      </c>
      <c r="N62" s="20" t="n">
        <f aca="false">IF(Funding!N61&gt;0,Operations!N821/(Inputs!$F$296*IF(Funding!N60&gt;0,Funding!N60,1)),Inputs!$F$28)</f>
        <v>101.670688261822</v>
      </c>
      <c r="O62" s="20" t="n">
        <f aca="false">IF(Funding!O61&gt;0,Operations!O821/(Inputs!$F$296*IF(Funding!O60&gt;0,Funding!O60,1)),Inputs!$F$28)</f>
        <v>104.836186436372</v>
      </c>
      <c r="P62" s="20" t="n">
        <f aca="false">IF(Funding!P61&gt;0,Operations!P821/(Inputs!$F$296*IF(Funding!P60&gt;0,Funding!P60,1)),Inputs!$F$28)</f>
        <v>1000000000</v>
      </c>
      <c r="Q62" s="20" t="n">
        <f aca="false">IF(Funding!Q61&gt;0,Operations!Q821/(Inputs!$F$296*IF(Funding!Q60&gt;0,Funding!Q60,1)),Inputs!$F$28)</f>
        <v>1000000000</v>
      </c>
      <c r="R62" s="20" t="n">
        <f aca="false">IF(Funding!R61&gt;0,Operations!R821/(Inputs!$F$296*IF(Funding!R60&gt;0,Funding!R60,1)),Inputs!$F$28)</f>
        <v>1000000000</v>
      </c>
      <c r="S62" s="20" t="n">
        <f aca="false">IF(Funding!S61&gt;0,Operations!S821/(Inputs!$F$296*IF(Funding!S60&gt;0,Funding!S60,1)),Inputs!$F$28)</f>
        <v>1000000000</v>
      </c>
      <c r="T62" s="20" t="n">
        <f aca="false">IF(Funding!T61&gt;0,Operations!T821/(Inputs!$F$296*IF(Funding!T60&gt;0,Funding!T60,1)),Inputs!$F$28)</f>
        <v>1000000000</v>
      </c>
      <c r="U62" s="20" t="n">
        <f aca="false">IF(Funding!U61&gt;0,Operations!U821/(Inputs!$F$296*IF(Funding!U60&gt;0,Funding!U60,1)),Inputs!$F$28)</f>
        <v>1000000000</v>
      </c>
      <c r="V62" s="20" t="n">
        <f aca="false">IF(Funding!V61&gt;0,Operations!V821/(Inputs!$F$296*IF(Funding!V60&gt;0,Funding!V60,1)),Inputs!$F$28)</f>
        <v>1000000000</v>
      </c>
      <c r="W62" s="20" t="n">
        <f aca="false">IF(Funding!W61&gt;0,Operations!W821/(Inputs!$F$296*IF(Funding!W60&gt;0,Funding!W60,1)),Inputs!$F$28)</f>
        <v>1000000000</v>
      </c>
      <c r="X62" s="20" t="n">
        <f aca="false">IF(Funding!X61&gt;0,Operations!X821/(Inputs!$F$296*IF(Funding!X60&gt;0,Funding!X60,1)),Inputs!$F$28)</f>
        <v>1000000000</v>
      </c>
      <c r="Y62" s="20" t="n">
        <f aca="false">IF(Funding!Y61&gt;0,Operations!Y821/(Inputs!$F$296*IF(Funding!Y60&gt;0,Funding!Y60,1)),Inputs!$F$28)</f>
        <v>1000000000</v>
      </c>
      <c r="Z62" s="20" t="n">
        <f aca="false">IF(Funding!Z61&gt;0,Operations!Z821/(Inputs!$F$296*IF(Funding!Z60&gt;0,Funding!Z60,1)),Inputs!$F$28)</f>
        <v>1000000000</v>
      </c>
      <c r="AA62" s="20" t="n">
        <f aca="false">IF(Funding!AA61&gt;0,Operations!AA821/(Inputs!$F$296*IF(Funding!AA60&gt;0,Funding!AA60,1)),Inputs!$F$28)</f>
        <v>1000000000</v>
      </c>
      <c r="AB62" s="20" t="n">
        <f aca="false">IF(Funding!AB61&gt;0,Operations!AB821/(Inputs!$F$296*IF(Funding!AB60&gt;0,Funding!AB60,1)),Inputs!$F$28)</f>
        <v>1000000000</v>
      </c>
      <c r="AC62" s="20" t="n">
        <f aca="false">IF(Funding!AC61&gt;0,Operations!AC821/(Inputs!$F$296*IF(Funding!AC60&gt;0,Funding!AC60,1)),Inputs!$F$28)</f>
        <v>1000000000</v>
      </c>
      <c r="AD62" s="20" t="n">
        <f aca="false">IF(Funding!AD61&gt;0,Operations!AD821/(Inputs!$F$296*IF(Funding!AD60&gt;0,Funding!AD60,1)),Inputs!$F$28)</f>
        <v>1000000000</v>
      </c>
      <c r="AE62" s="20" t="n">
        <f aca="false">IF(Funding!AE61&gt;0,Operations!AE821/(Inputs!$F$296*IF(Funding!AE60&gt;0,Funding!AE60,1)),Inputs!$F$28)</f>
        <v>1000000000</v>
      </c>
      <c r="AF62" s="20" t="n">
        <f aca="false">IF(Funding!AF61&gt;0,Operations!AF821/(Inputs!$F$296*IF(Funding!AF60&gt;0,Funding!AF60,1)),Inputs!$F$28)</f>
        <v>1000000000</v>
      </c>
      <c r="AG62" s="20" t="n">
        <f aca="false">IF(Funding!AG61&gt;0,Operations!AG821/(Inputs!$F$296*IF(Funding!AG60&gt;0,Funding!AG60,1)),Inputs!$F$28)</f>
        <v>1000000000</v>
      </c>
      <c r="AH62" s="20" t="n">
        <f aca="false">IF(Funding!AH61&gt;0,Operations!AH821/(Inputs!$F$296*IF(Funding!AH60&gt;0,Funding!AH60,1)),Inputs!$F$28)</f>
        <v>1000000000</v>
      </c>
      <c r="AI62" s="20" t="n">
        <f aca="false">IF(Funding!AI61&gt;0,Operations!AI821/(Inputs!$F$296*IF(Funding!AI60&gt;0,Funding!AI60,1)),Inputs!$F$28)</f>
        <v>1000000000</v>
      </c>
      <c r="AJ62" s="20" t="n">
        <f aca="false">IF(Funding!AJ61&gt;0,Operations!AJ821/(Inputs!$F$296*IF(Funding!AJ60&gt;0,Funding!AJ60,1)),Inputs!$F$28)</f>
        <v>1000000000</v>
      </c>
      <c r="AK62" s="20" t="n">
        <f aca="false">IF(Funding!AK61&gt;0,Operations!AK821/(Inputs!$F$296*IF(Funding!AK60&gt;0,Funding!AK60,1)),Inputs!$F$28)</f>
        <v>1000000000</v>
      </c>
      <c r="AL62" s="20" t="n">
        <f aca="false">IF(Funding!AL61&gt;0,Operations!AL821/(Inputs!$F$296*IF(Funding!AL60&gt;0,Funding!AL60,1)),Inputs!$F$28)</f>
        <v>1000000000</v>
      </c>
      <c r="AM62" s="20" t="n">
        <f aca="false">IF(Funding!AM61&gt;0,Operations!AM821/(Inputs!$F$296*IF(Funding!AM60&gt;0,Funding!AM60,1)),Inputs!$F$28)</f>
        <v>1000000000</v>
      </c>
      <c r="AN62" s="20" t="n">
        <f aca="false">IF(Funding!AN61&gt;0,Operations!AN821/(Inputs!$F$296*IF(Funding!AN60&gt;0,Funding!AN60,1)),Inputs!$F$28)</f>
        <v>1000000000</v>
      </c>
      <c r="AO62" s="20" t="n">
        <f aca="false">IF(Funding!AO61&gt;0,Operations!AO821/(Inputs!$F$296*IF(Funding!AO60&gt;0,Funding!AO60,1)),Inputs!$F$28)</f>
        <v>1000000000</v>
      </c>
      <c r="AP62" s="20" t="n">
        <f aca="false">IF(Funding!AP61&gt;0,Operations!AP821/(Inputs!$F$296*IF(Funding!AP60&gt;0,Funding!AP60,1)),Inputs!$F$28)</f>
        <v>1000000000</v>
      </c>
      <c r="AQ62" s="20" t="n">
        <f aca="false">IF(Funding!AQ61&gt;0,Operations!AQ821/(Inputs!$F$296*IF(Funding!AQ60&gt;0,Funding!AQ60,1)),Inputs!$F$28)</f>
        <v>1000000000</v>
      </c>
      <c r="AR62" s="20" t="n">
        <f aca="false">IF(Funding!AR61&gt;0,Operations!AR821/(Inputs!$F$296*IF(Funding!AR60&gt;0,Funding!AR60,1)),Inputs!$F$28)</f>
        <v>1000000000</v>
      </c>
      <c r="AS62" s="20" t="n">
        <f aca="false">IF(Funding!AS61&gt;0,Operations!AS821/(Inputs!$F$296*IF(Funding!AS60&gt;0,Funding!AS60,1)),Inputs!$F$28)</f>
        <v>1000000000</v>
      </c>
      <c r="AT62" s="20" t="n">
        <f aca="false">IF(Funding!AT61&gt;0,Operations!AT821/(Inputs!$F$296*IF(Funding!AT60&gt;0,Funding!AT60,1)),Inputs!$F$28)</f>
        <v>1000000000</v>
      </c>
      <c r="AU62" s="20" t="n">
        <f aca="false">IF(Funding!AU61&gt;0,Operations!AU821/(Inputs!$F$296*IF(Funding!AU60&gt;0,Funding!AU60,1)),Inputs!$F$28)</f>
        <v>1000000000</v>
      </c>
    </row>
    <row r="63" customFormat="false" ht="15" hidden="false" customHeight="false" outlineLevel="0" collapsed="false">
      <c r="D63" s="0" t="s">
        <v>942</v>
      </c>
      <c r="E63" s="0" t="s">
        <v>47</v>
      </c>
      <c r="F63" s="20" t="n">
        <f aca="false">MIN(Funding!$J$62:$AU$62)</f>
        <v>93.3137338161107</v>
      </c>
    </row>
    <row r="65" customFormat="false" ht="15" hidden="false" customHeight="false" outlineLevel="0" collapsed="false">
      <c r="A65" s="4" t="s">
        <v>943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</row>
    <row r="66" customFormat="false" ht="15" hidden="false" customHeight="false" outlineLevel="0" collapsed="false">
      <c r="D66" s="0" t="s">
        <v>944</v>
      </c>
      <c r="E66" s="0" t="s">
        <v>20</v>
      </c>
      <c r="J66" s="12" t="n">
        <f aca="false">(Time!J$4&gt;=Inputs!$F$316)*(Time!J$4&lt;=Inputs!$F$316+Inputs!$F$317-1)</f>
        <v>0</v>
      </c>
      <c r="K66" s="12" t="n">
        <f aca="false">(Time!K$4&gt;=Inputs!$F$316)*(Time!K$4&lt;=Inputs!$F$316+Inputs!$F$317-1)</f>
        <v>0</v>
      </c>
      <c r="L66" s="12" t="n">
        <f aca="false">(Time!L$4&gt;=Inputs!$F$316)*(Time!L$4&lt;=Inputs!$F$316+Inputs!$F$317-1)</f>
        <v>0</v>
      </c>
      <c r="M66" s="12" t="n">
        <f aca="false">(Time!M$4&gt;=Inputs!$F$316)*(Time!M$4&lt;=Inputs!$F$316+Inputs!$F$317-1)</f>
        <v>0</v>
      </c>
      <c r="N66" s="12" t="n">
        <f aca="false">(Time!N$4&gt;=Inputs!$F$316)*(Time!N$4&lt;=Inputs!$F$316+Inputs!$F$317-1)</f>
        <v>1</v>
      </c>
      <c r="O66" s="12" t="n">
        <f aca="false">(Time!O$4&gt;=Inputs!$F$316)*(Time!O$4&lt;=Inputs!$F$316+Inputs!$F$317-1)</f>
        <v>1</v>
      </c>
      <c r="P66" s="12" t="n">
        <f aca="false">(Time!P$4&gt;=Inputs!$F$316)*(Time!P$4&lt;=Inputs!$F$316+Inputs!$F$317-1)</f>
        <v>1</v>
      </c>
      <c r="Q66" s="12" t="n">
        <f aca="false">(Time!Q$4&gt;=Inputs!$F$316)*(Time!Q$4&lt;=Inputs!$F$316+Inputs!$F$317-1)</f>
        <v>1</v>
      </c>
      <c r="R66" s="12" t="n">
        <f aca="false">(Time!R$4&gt;=Inputs!$F$316)*(Time!R$4&lt;=Inputs!$F$316+Inputs!$F$317-1)</f>
        <v>1</v>
      </c>
      <c r="S66" s="12" t="n">
        <f aca="false">(Time!S$4&gt;=Inputs!$F$316)*(Time!S$4&lt;=Inputs!$F$316+Inputs!$F$317-1)</f>
        <v>1</v>
      </c>
      <c r="T66" s="12" t="n">
        <f aca="false">(Time!T$4&gt;=Inputs!$F$316)*(Time!T$4&lt;=Inputs!$F$316+Inputs!$F$317-1)</f>
        <v>1</v>
      </c>
      <c r="U66" s="12" t="n">
        <f aca="false">(Time!U$4&gt;=Inputs!$F$316)*(Time!U$4&lt;=Inputs!$F$316+Inputs!$F$317-1)</f>
        <v>0</v>
      </c>
      <c r="V66" s="12" t="n">
        <f aca="false">(Time!V$4&gt;=Inputs!$F$316)*(Time!V$4&lt;=Inputs!$F$316+Inputs!$F$317-1)</f>
        <v>0</v>
      </c>
      <c r="W66" s="12" t="n">
        <f aca="false">(Time!W$4&gt;=Inputs!$F$316)*(Time!W$4&lt;=Inputs!$F$316+Inputs!$F$317-1)</f>
        <v>0</v>
      </c>
      <c r="X66" s="12" t="n">
        <f aca="false">(Time!X$4&gt;=Inputs!$F$316)*(Time!X$4&lt;=Inputs!$F$316+Inputs!$F$317-1)</f>
        <v>0</v>
      </c>
      <c r="Y66" s="12" t="n">
        <f aca="false">(Time!Y$4&gt;=Inputs!$F$316)*(Time!Y$4&lt;=Inputs!$F$316+Inputs!$F$317-1)</f>
        <v>0</v>
      </c>
      <c r="Z66" s="12" t="n">
        <f aca="false">(Time!Z$4&gt;=Inputs!$F$316)*(Time!Z$4&lt;=Inputs!$F$316+Inputs!$F$317-1)</f>
        <v>0</v>
      </c>
      <c r="AA66" s="12" t="n">
        <f aca="false">(Time!AA$4&gt;=Inputs!$F$316)*(Time!AA$4&lt;=Inputs!$F$316+Inputs!$F$317-1)</f>
        <v>0</v>
      </c>
      <c r="AB66" s="12" t="n">
        <f aca="false">(Time!AB$4&gt;=Inputs!$F$316)*(Time!AB$4&lt;=Inputs!$F$316+Inputs!$F$317-1)</f>
        <v>0</v>
      </c>
      <c r="AC66" s="12" t="n">
        <f aca="false">(Time!AC$4&gt;=Inputs!$F$316)*(Time!AC$4&lt;=Inputs!$F$316+Inputs!$F$317-1)</f>
        <v>0</v>
      </c>
      <c r="AD66" s="12" t="n">
        <f aca="false">(Time!AD$4&gt;=Inputs!$F$316)*(Time!AD$4&lt;=Inputs!$F$316+Inputs!$F$317-1)</f>
        <v>0</v>
      </c>
      <c r="AE66" s="12" t="n">
        <f aca="false">(Time!AE$4&gt;=Inputs!$F$316)*(Time!AE$4&lt;=Inputs!$F$316+Inputs!$F$317-1)</f>
        <v>0</v>
      </c>
      <c r="AF66" s="12" t="n">
        <f aca="false">(Time!AF$4&gt;=Inputs!$F$316)*(Time!AF$4&lt;=Inputs!$F$316+Inputs!$F$317-1)</f>
        <v>0</v>
      </c>
      <c r="AG66" s="12" t="n">
        <f aca="false">(Time!AG$4&gt;=Inputs!$F$316)*(Time!AG$4&lt;=Inputs!$F$316+Inputs!$F$317-1)</f>
        <v>0</v>
      </c>
      <c r="AH66" s="12" t="n">
        <f aca="false">(Time!AH$4&gt;=Inputs!$F$316)*(Time!AH$4&lt;=Inputs!$F$316+Inputs!$F$317-1)</f>
        <v>0</v>
      </c>
      <c r="AI66" s="12" t="n">
        <f aca="false">(Time!AI$4&gt;=Inputs!$F$316)*(Time!AI$4&lt;=Inputs!$F$316+Inputs!$F$317-1)</f>
        <v>0</v>
      </c>
      <c r="AJ66" s="12" t="n">
        <f aca="false">(Time!AJ$4&gt;=Inputs!$F$316)*(Time!AJ$4&lt;=Inputs!$F$316+Inputs!$F$317-1)</f>
        <v>0</v>
      </c>
      <c r="AK66" s="12" t="n">
        <f aca="false">(Time!AK$4&gt;=Inputs!$F$316)*(Time!AK$4&lt;=Inputs!$F$316+Inputs!$F$317-1)</f>
        <v>0</v>
      </c>
      <c r="AL66" s="12" t="n">
        <f aca="false">(Time!AL$4&gt;=Inputs!$F$316)*(Time!AL$4&lt;=Inputs!$F$316+Inputs!$F$317-1)</f>
        <v>0</v>
      </c>
      <c r="AM66" s="12" t="n">
        <f aca="false">(Time!AM$4&gt;=Inputs!$F$316)*(Time!AM$4&lt;=Inputs!$F$316+Inputs!$F$317-1)</f>
        <v>0</v>
      </c>
      <c r="AN66" s="12" t="n">
        <f aca="false">(Time!AN$4&gt;=Inputs!$F$316)*(Time!AN$4&lt;=Inputs!$F$316+Inputs!$F$317-1)</f>
        <v>0</v>
      </c>
      <c r="AO66" s="12" t="n">
        <f aca="false">(Time!AO$4&gt;=Inputs!$F$316)*(Time!AO$4&lt;=Inputs!$F$316+Inputs!$F$317-1)</f>
        <v>0</v>
      </c>
      <c r="AP66" s="12" t="n">
        <f aca="false">(Time!AP$4&gt;=Inputs!$F$316)*(Time!AP$4&lt;=Inputs!$F$316+Inputs!$F$317-1)</f>
        <v>0</v>
      </c>
      <c r="AQ66" s="12" t="n">
        <f aca="false">(Time!AQ$4&gt;=Inputs!$F$316)*(Time!AQ$4&lt;=Inputs!$F$316+Inputs!$F$317-1)</f>
        <v>0</v>
      </c>
      <c r="AR66" s="12" t="n">
        <f aca="false">(Time!AR$4&gt;=Inputs!$F$316)*(Time!AR$4&lt;=Inputs!$F$316+Inputs!$F$317-1)</f>
        <v>0</v>
      </c>
      <c r="AS66" s="12" t="n">
        <f aca="false">(Time!AS$4&gt;=Inputs!$F$316)*(Time!AS$4&lt;=Inputs!$F$316+Inputs!$F$317-1)</f>
        <v>0</v>
      </c>
      <c r="AT66" s="12" t="n">
        <f aca="false">(Time!AT$4&gt;=Inputs!$F$316)*(Time!AT$4&lt;=Inputs!$F$316+Inputs!$F$317-1)</f>
        <v>0</v>
      </c>
      <c r="AU66" s="12" t="n">
        <f aca="false">(Time!AU$4&gt;=Inputs!$F$316)*(Time!AU$4&lt;=Inputs!$F$316+Inputs!$F$317-1)</f>
        <v>0</v>
      </c>
    </row>
    <row r="67" customFormat="false" ht="15" hidden="false" customHeight="false" outlineLevel="0" collapsed="false">
      <c r="D67" s="0" t="s">
        <v>945</v>
      </c>
      <c r="E67" s="0" t="s">
        <v>20</v>
      </c>
      <c r="J67" s="12" t="n">
        <f aca="false">(Time!J$4&gt;=Inputs!$F$316+Inputs!$F$317)*(Time!J$4&lt;=Inputs!$F$316+Inputs!$F$319-1)</f>
        <v>0</v>
      </c>
      <c r="K67" s="12" t="n">
        <f aca="false">(Time!K$4&gt;=Inputs!$F$316+Inputs!$F$317)*(Time!K$4&lt;=Inputs!$F$316+Inputs!$F$319-1)</f>
        <v>0</v>
      </c>
      <c r="L67" s="12" t="n">
        <f aca="false">(Time!L$4&gt;=Inputs!$F$316+Inputs!$F$317)*(Time!L$4&lt;=Inputs!$F$316+Inputs!$F$319-1)</f>
        <v>0</v>
      </c>
      <c r="M67" s="12" t="n">
        <f aca="false">(Time!M$4&gt;=Inputs!$F$316+Inputs!$F$317)*(Time!M$4&lt;=Inputs!$F$316+Inputs!$F$319-1)</f>
        <v>0</v>
      </c>
      <c r="N67" s="12" t="n">
        <f aca="false">(Time!N$4&gt;=Inputs!$F$316+Inputs!$F$317)*(Time!N$4&lt;=Inputs!$F$316+Inputs!$F$319-1)</f>
        <v>0</v>
      </c>
      <c r="O67" s="12" t="n">
        <f aca="false">(Time!O$4&gt;=Inputs!$F$316+Inputs!$F$317)*(Time!O$4&lt;=Inputs!$F$316+Inputs!$F$319-1)</f>
        <v>0</v>
      </c>
      <c r="P67" s="12" t="n">
        <f aca="false">(Time!P$4&gt;=Inputs!$F$316+Inputs!$F$317)*(Time!P$4&lt;=Inputs!$F$316+Inputs!$F$319-1)</f>
        <v>0</v>
      </c>
      <c r="Q67" s="12" t="n">
        <f aca="false">(Time!Q$4&gt;=Inputs!$F$316+Inputs!$F$317)*(Time!Q$4&lt;=Inputs!$F$316+Inputs!$F$319-1)</f>
        <v>0</v>
      </c>
      <c r="R67" s="12" t="n">
        <f aca="false">(Time!R$4&gt;=Inputs!$F$316+Inputs!$F$317)*(Time!R$4&lt;=Inputs!$F$316+Inputs!$F$319-1)</f>
        <v>0</v>
      </c>
      <c r="S67" s="12" t="n">
        <f aca="false">(Time!S$4&gt;=Inputs!$F$316+Inputs!$F$317)*(Time!S$4&lt;=Inputs!$F$316+Inputs!$F$319-1)</f>
        <v>0</v>
      </c>
      <c r="T67" s="12" t="n">
        <f aca="false">(Time!T$4&gt;=Inputs!$F$316+Inputs!$F$317)*(Time!T$4&lt;=Inputs!$F$316+Inputs!$F$319-1)</f>
        <v>0</v>
      </c>
      <c r="U67" s="12" t="n">
        <f aca="false">(Time!U$4&gt;=Inputs!$F$316+Inputs!$F$317)*(Time!U$4&lt;=Inputs!$F$316+Inputs!$F$319-1)</f>
        <v>1</v>
      </c>
      <c r="V67" s="12" t="n">
        <f aca="false">(Time!V$4&gt;=Inputs!$F$316+Inputs!$F$317)*(Time!V$4&lt;=Inputs!$F$316+Inputs!$F$319-1)</f>
        <v>1</v>
      </c>
      <c r="W67" s="12" t="n">
        <f aca="false">(Time!W$4&gt;=Inputs!$F$316+Inputs!$F$317)*(Time!W$4&lt;=Inputs!$F$316+Inputs!$F$319-1)</f>
        <v>1</v>
      </c>
      <c r="X67" s="12" t="n">
        <f aca="false">(Time!X$4&gt;=Inputs!$F$316+Inputs!$F$317)*(Time!X$4&lt;=Inputs!$F$316+Inputs!$F$319-1)</f>
        <v>1</v>
      </c>
      <c r="Y67" s="12" t="n">
        <f aca="false">(Time!Y$4&gt;=Inputs!$F$316+Inputs!$F$317)*(Time!Y$4&lt;=Inputs!$F$316+Inputs!$F$319-1)</f>
        <v>1</v>
      </c>
      <c r="Z67" s="12" t="n">
        <f aca="false">(Time!Z$4&gt;=Inputs!$F$316+Inputs!$F$317)*(Time!Z$4&lt;=Inputs!$F$316+Inputs!$F$319-1)</f>
        <v>0</v>
      </c>
      <c r="AA67" s="12" t="n">
        <f aca="false">(Time!AA$4&gt;=Inputs!$F$316+Inputs!$F$317)*(Time!AA$4&lt;=Inputs!$F$316+Inputs!$F$319-1)</f>
        <v>0</v>
      </c>
      <c r="AB67" s="12" t="n">
        <f aca="false">(Time!AB$4&gt;=Inputs!$F$316+Inputs!$F$317)*(Time!AB$4&lt;=Inputs!$F$316+Inputs!$F$319-1)</f>
        <v>0</v>
      </c>
      <c r="AC67" s="12" t="n">
        <f aca="false">(Time!AC$4&gt;=Inputs!$F$316+Inputs!$F$317)*(Time!AC$4&lt;=Inputs!$F$316+Inputs!$F$319-1)</f>
        <v>0</v>
      </c>
      <c r="AD67" s="12" t="n">
        <f aca="false">(Time!AD$4&gt;=Inputs!$F$316+Inputs!$F$317)*(Time!AD$4&lt;=Inputs!$F$316+Inputs!$F$319-1)</f>
        <v>0</v>
      </c>
      <c r="AE67" s="12" t="n">
        <f aca="false">(Time!AE$4&gt;=Inputs!$F$316+Inputs!$F$317)*(Time!AE$4&lt;=Inputs!$F$316+Inputs!$F$319-1)</f>
        <v>0</v>
      </c>
      <c r="AF67" s="12" t="n">
        <f aca="false">(Time!AF$4&gt;=Inputs!$F$316+Inputs!$F$317)*(Time!AF$4&lt;=Inputs!$F$316+Inputs!$F$319-1)</f>
        <v>0</v>
      </c>
      <c r="AG67" s="12" t="n">
        <f aca="false">(Time!AG$4&gt;=Inputs!$F$316+Inputs!$F$317)*(Time!AG$4&lt;=Inputs!$F$316+Inputs!$F$319-1)</f>
        <v>0</v>
      </c>
      <c r="AH67" s="12" t="n">
        <f aca="false">(Time!AH$4&gt;=Inputs!$F$316+Inputs!$F$317)*(Time!AH$4&lt;=Inputs!$F$316+Inputs!$F$319-1)</f>
        <v>0</v>
      </c>
      <c r="AI67" s="12" t="n">
        <f aca="false">(Time!AI$4&gt;=Inputs!$F$316+Inputs!$F$317)*(Time!AI$4&lt;=Inputs!$F$316+Inputs!$F$319-1)</f>
        <v>0</v>
      </c>
      <c r="AJ67" s="12" t="n">
        <f aca="false">(Time!AJ$4&gt;=Inputs!$F$316+Inputs!$F$317)*(Time!AJ$4&lt;=Inputs!$F$316+Inputs!$F$319-1)</f>
        <v>0</v>
      </c>
      <c r="AK67" s="12" t="n">
        <f aca="false">(Time!AK$4&gt;=Inputs!$F$316+Inputs!$F$317)*(Time!AK$4&lt;=Inputs!$F$316+Inputs!$F$319-1)</f>
        <v>0</v>
      </c>
      <c r="AL67" s="12" t="n">
        <f aca="false">(Time!AL$4&gt;=Inputs!$F$316+Inputs!$F$317)*(Time!AL$4&lt;=Inputs!$F$316+Inputs!$F$319-1)</f>
        <v>0</v>
      </c>
      <c r="AM67" s="12" t="n">
        <f aca="false">(Time!AM$4&gt;=Inputs!$F$316+Inputs!$F$317)*(Time!AM$4&lt;=Inputs!$F$316+Inputs!$F$319-1)</f>
        <v>0</v>
      </c>
      <c r="AN67" s="12" t="n">
        <f aca="false">(Time!AN$4&gt;=Inputs!$F$316+Inputs!$F$317)*(Time!AN$4&lt;=Inputs!$F$316+Inputs!$F$319-1)</f>
        <v>0</v>
      </c>
      <c r="AO67" s="12" t="n">
        <f aca="false">(Time!AO$4&gt;=Inputs!$F$316+Inputs!$F$317)*(Time!AO$4&lt;=Inputs!$F$316+Inputs!$F$319-1)</f>
        <v>0</v>
      </c>
      <c r="AP67" s="12" t="n">
        <f aca="false">(Time!AP$4&gt;=Inputs!$F$316+Inputs!$F$317)*(Time!AP$4&lt;=Inputs!$F$316+Inputs!$F$319-1)</f>
        <v>0</v>
      </c>
      <c r="AQ67" s="12" t="n">
        <f aca="false">(Time!AQ$4&gt;=Inputs!$F$316+Inputs!$F$317)*(Time!AQ$4&lt;=Inputs!$F$316+Inputs!$F$319-1)</f>
        <v>0</v>
      </c>
      <c r="AR67" s="12" t="n">
        <f aca="false">(Time!AR$4&gt;=Inputs!$F$316+Inputs!$F$317)*(Time!AR$4&lt;=Inputs!$F$316+Inputs!$F$319-1)</f>
        <v>0</v>
      </c>
      <c r="AS67" s="12" t="n">
        <f aca="false">(Time!AS$4&gt;=Inputs!$F$316+Inputs!$F$317)*(Time!AS$4&lt;=Inputs!$F$316+Inputs!$F$319-1)</f>
        <v>0</v>
      </c>
      <c r="AT67" s="12" t="n">
        <f aca="false">(Time!AT$4&gt;=Inputs!$F$316+Inputs!$F$317)*(Time!AT$4&lt;=Inputs!$F$316+Inputs!$F$319-1)</f>
        <v>0</v>
      </c>
      <c r="AU67" s="12" t="n">
        <f aca="false">(Time!AU$4&gt;=Inputs!$F$316+Inputs!$F$317)*(Time!AU$4&lt;=Inputs!$F$316+Inputs!$F$319-1)</f>
        <v>0</v>
      </c>
    </row>
    <row r="68" customFormat="false" ht="15" hidden="false" customHeight="false" outlineLevel="0" collapsed="false">
      <c r="D68" s="0" t="s">
        <v>946</v>
      </c>
      <c r="E68" s="0" t="s">
        <v>20</v>
      </c>
      <c r="J68" s="12" t="n">
        <f aca="false">(Time!J$4&gt;=Inputs!$F$316+Inputs!$F$319)*(Time!J$4&lt;=Inputs!$F$316+Inputs!$F$321-1)</f>
        <v>0</v>
      </c>
      <c r="K68" s="12" t="n">
        <f aca="false">(Time!K$4&gt;=Inputs!$F$316+Inputs!$F$319)*(Time!K$4&lt;=Inputs!$F$316+Inputs!$F$321-1)</f>
        <v>0</v>
      </c>
      <c r="L68" s="12" t="n">
        <f aca="false">(Time!L$4&gt;=Inputs!$F$316+Inputs!$F$319)*(Time!L$4&lt;=Inputs!$F$316+Inputs!$F$321-1)</f>
        <v>0</v>
      </c>
      <c r="M68" s="12" t="n">
        <f aca="false">(Time!M$4&gt;=Inputs!$F$316+Inputs!$F$319)*(Time!M$4&lt;=Inputs!$F$316+Inputs!$F$321-1)</f>
        <v>0</v>
      </c>
      <c r="N68" s="12" t="n">
        <f aca="false">(Time!N$4&gt;=Inputs!$F$316+Inputs!$F$319)*(Time!N$4&lt;=Inputs!$F$316+Inputs!$F$321-1)</f>
        <v>0</v>
      </c>
      <c r="O68" s="12" t="n">
        <f aca="false">(Time!O$4&gt;=Inputs!$F$316+Inputs!$F$319)*(Time!O$4&lt;=Inputs!$F$316+Inputs!$F$321-1)</f>
        <v>0</v>
      </c>
      <c r="P68" s="12" t="n">
        <f aca="false">(Time!P$4&gt;=Inputs!$F$316+Inputs!$F$319)*(Time!P$4&lt;=Inputs!$F$316+Inputs!$F$321-1)</f>
        <v>0</v>
      </c>
      <c r="Q68" s="12" t="n">
        <f aca="false">(Time!Q$4&gt;=Inputs!$F$316+Inputs!$F$319)*(Time!Q$4&lt;=Inputs!$F$316+Inputs!$F$321-1)</f>
        <v>0</v>
      </c>
      <c r="R68" s="12" t="n">
        <f aca="false">(Time!R$4&gt;=Inputs!$F$316+Inputs!$F$319)*(Time!R$4&lt;=Inputs!$F$316+Inputs!$F$321-1)</f>
        <v>0</v>
      </c>
      <c r="S68" s="12" t="n">
        <f aca="false">(Time!S$4&gt;=Inputs!$F$316+Inputs!$F$319)*(Time!S$4&lt;=Inputs!$F$316+Inputs!$F$321-1)</f>
        <v>0</v>
      </c>
      <c r="T68" s="12" t="n">
        <f aca="false">(Time!T$4&gt;=Inputs!$F$316+Inputs!$F$319)*(Time!T$4&lt;=Inputs!$F$316+Inputs!$F$321-1)</f>
        <v>0</v>
      </c>
      <c r="U68" s="12" t="n">
        <f aca="false">(Time!U$4&gt;=Inputs!$F$316+Inputs!$F$319)*(Time!U$4&lt;=Inputs!$F$316+Inputs!$F$321-1)</f>
        <v>0</v>
      </c>
      <c r="V68" s="12" t="n">
        <f aca="false">(Time!V$4&gt;=Inputs!$F$316+Inputs!$F$319)*(Time!V$4&lt;=Inputs!$F$316+Inputs!$F$321-1)</f>
        <v>0</v>
      </c>
      <c r="W68" s="12" t="n">
        <f aca="false">(Time!W$4&gt;=Inputs!$F$316+Inputs!$F$319)*(Time!W$4&lt;=Inputs!$F$316+Inputs!$F$321-1)</f>
        <v>0</v>
      </c>
      <c r="X68" s="12" t="n">
        <f aca="false">(Time!X$4&gt;=Inputs!$F$316+Inputs!$F$319)*(Time!X$4&lt;=Inputs!$F$316+Inputs!$F$321-1)</f>
        <v>0</v>
      </c>
      <c r="Y68" s="12" t="n">
        <f aca="false">(Time!Y$4&gt;=Inputs!$F$316+Inputs!$F$319)*(Time!Y$4&lt;=Inputs!$F$316+Inputs!$F$321-1)</f>
        <v>0</v>
      </c>
      <c r="Z68" s="12" t="n">
        <f aca="false">(Time!Z$4&gt;=Inputs!$F$316+Inputs!$F$319)*(Time!Z$4&lt;=Inputs!$F$316+Inputs!$F$321-1)</f>
        <v>1</v>
      </c>
      <c r="AA68" s="12" t="n">
        <f aca="false">(Time!AA$4&gt;=Inputs!$F$316+Inputs!$F$319)*(Time!AA$4&lt;=Inputs!$F$316+Inputs!$F$321-1)</f>
        <v>1</v>
      </c>
      <c r="AB68" s="12" t="n">
        <f aca="false">(Time!AB$4&gt;=Inputs!$F$316+Inputs!$F$319)*(Time!AB$4&lt;=Inputs!$F$316+Inputs!$F$321-1)</f>
        <v>1</v>
      </c>
      <c r="AC68" s="12" t="n">
        <f aca="false">(Time!AC$4&gt;=Inputs!$F$316+Inputs!$F$319)*(Time!AC$4&lt;=Inputs!$F$316+Inputs!$F$321-1)</f>
        <v>1</v>
      </c>
      <c r="AD68" s="12" t="n">
        <f aca="false">(Time!AD$4&gt;=Inputs!$F$316+Inputs!$F$319)*(Time!AD$4&lt;=Inputs!$F$316+Inputs!$F$321-1)</f>
        <v>1</v>
      </c>
      <c r="AE68" s="12" t="n">
        <f aca="false">(Time!AE$4&gt;=Inputs!$F$316+Inputs!$F$319)*(Time!AE$4&lt;=Inputs!$F$316+Inputs!$F$321-1)</f>
        <v>1</v>
      </c>
      <c r="AF68" s="12" t="n">
        <f aca="false">(Time!AF$4&gt;=Inputs!$F$316+Inputs!$F$319)*(Time!AF$4&lt;=Inputs!$F$316+Inputs!$F$321-1)</f>
        <v>0</v>
      </c>
      <c r="AG68" s="12" t="n">
        <f aca="false">(Time!AG$4&gt;=Inputs!$F$316+Inputs!$F$319)*(Time!AG$4&lt;=Inputs!$F$316+Inputs!$F$321-1)</f>
        <v>0</v>
      </c>
      <c r="AH68" s="12" t="n">
        <f aca="false">(Time!AH$4&gt;=Inputs!$F$316+Inputs!$F$319)*(Time!AH$4&lt;=Inputs!$F$316+Inputs!$F$321-1)</f>
        <v>0</v>
      </c>
      <c r="AI68" s="12" t="n">
        <f aca="false">(Time!AI$4&gt;=Inputs!$F$316+Inputs!$F$319)*(Time!AI$4&lt;=Inputs!$F$316+Inputs!$F$321-1)</f>
        <v>0</v>
      </c>
      <c r="AJ68" s="12" t="n">
        <f aca="false">(Time!AJ$4&gt;=Inputs!$F$316+Inputs!$F$319)*(Time!AJ$4&lt;=Inputs!$F$316+Inputs!$F$321-1)</f>
        <v>0</v>
      </c>
      <c r="AK68" s="12" t="n">
        <f aca="false">(Time!AK$4&gt;=Inputs!$F$316+Inputs!$F$319)*(Time!AK$4&lt;=Inputs!$F$316+Inputs!$F$321-1)</f>
        <v>0</v>
      </c>
      <c r="AL68" s="12" t="n">
        <f aca="false">(Time!AL$4&gt;=Inputs!$F$316+Inputs!$F$319)*(Time!AL$4&lt;=Inputs!$F$316+Inputs!$F$321-1)</f>
        <v>0</v>
      </c>
      <c r="AM68" s="12" t="n">
        <f aca="false">(Time!AM$4&gt;=Inputs!$F$316+Inputs!$F$319)*(Time!AM$4&lt;=Inputs!$F$316+Inputs!$F$321-1)</f>
        <v>0</v>
      </c>
      <c r="AN68" s="12" t="n">
        <f aca="false">(Time!AN$4&gt;=Inputs!$F$316+Inputs!$F$319)*(Time!AN$4&lt;=Inputs!$F$316+Inputs!$F$321-1)</f>
        <v>0</v>
      </c>
      <c r="AO68" s="12" t="n">
        <f aca="false">(Time!AO$4&gt;=Inputs!$F$316+Inputs!$F$319)*(Time!AO$4&lt;=Inputs!$F$316+Inputs!$F$321-1)</f>
        <v>0</v>
      </c>
      <c r="AP68" s="12" t="n">
        <f aca="false">(Time!AP$4&gt;=Inputs!$F$316+Inputs!$F$319)*(Time!AP$4&lt;=Inputs!$F$316+Inputs!$F$321-1)</f>
        <v>0</v>
      </c>
      <c r="AQ68" s="12" t="n">
        <f aca="false">(Time!AQ$4&gt;=Inputs!$F$316+Inputs!$F$319)*(Time!AQ$4&lt;=Inputs!$F$316+Inputs!$F$321-1)</f>
        <v>0</v>
      </c>
      <c r="AR68" s="12" t="n">
        <f aca="false">(Time!AR$4&gt;=Inputs!$F$316+Inputs!$F$319)*(Time!AR$4&lt;=Inputs!$F$316+Inputs!$F$321-1)</f>
        <v>0</v>
      </c>
      <c r="AS68" s="12" t="n">
        <f aca="false">(Time!AS$4&gt;=Inputs!$F$316+Inputs!$F$319)*(Time!AS$4&lt;=Inputs!$F$316+Inputs!$F$321-1)</f>
        <v>0</v>
      </c>
      <c r="AT68" s="12" t="n">
        <f aca="false">(Time!AT$4&gt;=Inputs!$F$316+Inputs!$F$319)*(Time!AT$4&lt;=Inputs!$F$316+Inputs!$F$321-1)</f>
        <v>0</v>
      </c>
      <c r="AU68" s="12" t="n">
        <f aca="false">(Time!AU$4&gt;=Inputs!$F$316+Inputs!$F$319)*(Time!AU$4&lt;=Inputs!$F$316+Inputs!$F$321-1)</f>
        <v>0</v>
      </c>
    </row>
    <row r="69" customFormat="false" ht="15" hidden="false" customHeight="false" outlineLevel="0" collapsed="false">
      <c r="D69" s="0" t="s">
        <v>947</v>
      </c>
      <c r="E69" s="0" t="s">
        <v>20</v>
      </c>
      <c r="J69" s="12" t="n">
        <f aca="false">Funding!J66+Funding!J67+Funding!J68</f>
        <v>0</v>
      </c>
      <c r="K69" s="12" t="n">
        <f aca="false">Funding!K66+Funding!K67+Funding!K68</f>
        <v>0</v>
      </c>
      <c r="L69" s="12" t="n">
        <f aca="false">Funding!L66+Funding!L67+Funding!L68</f>
        <v>0</v>
      </c>
      <c r="M69" s="12" t="n">
        <f aca="false">Funding!M66+Funding!M67+Funding!M68</f>
        <v>0</v>
      </c>
      <c r="N69" s="12" t="n">
        <f aca="false">Funding!N66+Funding!N67+Funding!N68</f>
        <v>1</v>
      </c>
      <c r="O69" s="12" t="n">
        <f aca="false">Funding!O66+Funding!O67+Funding!O68</f>
        <v>1</v>
      </c>
      <c r="P69" s="12" t="n">
        <f aca="false">Funding!P66+Funding!P67+Funding!P68</f>
        <v>1</v>
      </c>
      <c r="Q69" s="12" t="n">
        <f aca="false">Funding!Q66+Funding!Q67+Funding!Q68</f>
        <v>1</v>
      </c>
      <c r="R69" s="12" t="n">
        <f aca="false">Funding!R66+Funding!R67+Funding!R68</f>
        <v>1</v>
      </c>
      <c r="S69" s="12" t="n">
        <f aca="false">Funding!S66+Funding!S67+Funding!S68</f>
        <v>1</v>
      </c>
      <c r="T69" s="12" t="n">
        <f aca="false">Funding!T66+Funding!T67+Funding!T68</f>
        <v>1</v>
      </c>
      <c r="U69" s="12" t="n">
        <f aca="false">Funding!U66+Funding!U67+Funding!U68</f>
        <v>1</v>
      </c>
      <c r="V69" s="12" t="n">
        <f aca="false">Funding!V66+Funding!V67+Funding!V68</f>
        <v>1</v>
      </c>
      <c r="W69" s="12" t="n">
        <f aca="false">Funding!W66+Funding!W67+Funding!W68</f>
        <v>1</v>
      </c>
      <c r="X69" s="12" t="n">
        <f aca="false">Funding!X66+Funding!X67+Funding!X68</f>
        <v>1</v>
      </c>
      <c r="Y69" s="12" t="n">
        <f aca="false">Funding!Y66+Funding!Y67+Funding!Y68</f>
        <v>1</v>
      </c>
      <c r="Z69" s="12" t="n">
        <f aca="false">Funding!Z66+Funding!Z67+Funding!Z68</f>
        <v>1</v>
      </c>
      <c r="AA69" s="12" t="n">
        <f aca="false">Funding!AA66+Funding!AA67+Funding!AA68</f>
        <v>1</v>
      </c>
      <c r="AB69" s="12" t="n">
        <f aca="false">Funding!AB66+Funding!AB67+Funding!AB68</f>
        <v>1</v>
      </c>
      <c r="AC69" s="12" t="n">
        <f aca="false">Funding!AC66+Funding!AC67+Funding!AC68</f>
        <v>1</v>
      </c>
      <c r="AD69" s="12" t="n">
        <f aca="false">Funding!AD66+Funding!AD67+Funding!AD68</f>
        <v>1</v>
      </c>
      <c r="AE69" s="12" t="n">
        <f aca="false">Funding!AE66+Funding!AE67+Funding!AE68</f>
        <v>1</v>
      </c>
      <c r="AF69" s="12" t="n">
        <f aca="false">Funding!AF66+Funding!AF67+Funding!AF68</f>
        <v>0</v>
      </c>
      <c r="AG69" s="12" t="n">
        <f aca="false">Funding!AG66+Funding!AG67+Funding!AG68</f>
        <v>0</v>
      </c>
      <c r="AH69" s="12" t="n">
        <f aca="false">Funding!AH66+Funding!AH67+Funding!AH68</f>
        <v>0</v>
      </c>
      <c r="AI69" s="12" t="n">
        <f aca="false">Funding!AI66+Funding!AI67+Funding!AI68</f>
        <v>0</v>
      </c>
      <c r="AJ69" s="12" t="n">
        <f aca="false">Funding!AJ66+Funding!AJ67+Funding!AJ68</f>
        <v>0</v>
      </c>
      <c r="AK69" s="12" t="n">
        <f aca="false">Funding!AK66+Funding!AK67+Funding!AK68</f>
        <v>0</v>
      </c>
      <c r="AL69" s="12" t="n">
        <f aca="false">Funding!AL66+Funding!AL67+Funding!AL68</f>
        <v>0</v>
      </c>
      <c r="AM69" s="12" t="n">
        <f aca="false">Funding!AM66+Funding!AM67+Funding!AM68</f>
        <v>0</v>
      </c>
      <c r="AN69" s="12" t="n">
        <f aca="false">Funding!AN66+Funding!AN67+Funding!AN68</f>
        <v>0</v>
      </c>
      <c r="AO69" s="12" t="n">
        <f aca="false">Funding!AO66+Funding!AO67+Funding!AO68</f>
        <v>0</v>
      </c>
      <c r="AP69" s="12" t="n">
        <f aca="false">Funding!AP66+Funding!AP67+Funding!AP68</f>
        <v>0</v>
      </c>
      <c r="AQ69" s="12" t="n">
        <f aca="false">Funding!AQ66+Funding!AQ67+Funding!AQ68</f>
        <v>0</v>
      </c>
      <c r="AR69" s="12" t="n">
        <f aca="false">Funding!AR66+Funding!AR67+Funding!AR68</f>
        <v>0</v>
      </c>
      <c r="AS69" s="12" t="n">
        <f aca="false">Funding!AS66+Funding!AS67+Funding!AS68</f>
        <v>0</v>
      </c>
      <c r="AT69" s="12" t="n">
        <f aca="false">Funding!AT66+Funding!AT67+Funding!AT68</f>
        <v>0</v>
      </c>
      <c r="AU69" s="12" t="n">
        <f aca="false">Funding!AU66+Funding!AU67+Funding!AU68</f>
        <v>0</v>
      </c>
    </row>
    <row r="70" customFormat="false" ht="15" hidden="false" customHeight="false" outlineLevel="0" collapsed="false">
      <c r="D70" s="0" t="s">
        <v>948</v>
      </c>
      <c r="E70" s="0" t="s">
        <v>84</v>
      </c>
      <c r="J70" s="15" t="n">
        <f aca="false">Funding!J66*Inputs!$F$318+Funding!J67*Inputs!$F$320+Funding!J68*Inputs!$F$322</f>
        <v>0</v>
      </c>
      <c r="K70" s="15" t="n">
        <f aca="false">Funding!K66*Inputs!$F$318+Funding!K67*Inputs!$F$320+Funding!K68*Inputs!$F$322</f>
        <v>0</v>
      </c>
      <c r="L70" s="15" t="n">
        <f aca="false">Funding!L66*Inputs!$F$318+Funding!L67*Inputs!$F$320+Funding!L68*Inputs!$F$322</f>
        <v>0</v>
      </c>
      <c r="M70" s="15" t="n">
        <f aca="false">Funding!M66*Inputs!$F$318+Funding!M67*Inputs!$F$320+Funding!M68*Inputs!$F$322</f>
        <v>0</v>
      </c>
      <c r="N70" s="15" t="n">
        <f aca="false">Funding!N66*Inputs!$F$318+Funding!N67*Inputs!$F$320+Funding!N68*Inputs!$F$322</f>
        <v>5.71</v>
      </c>
      <c r="O70" s="15" t="n">
        <f aca="false">Funding!O66*Inputs!$F$318+Funding!O67*Inputs!$F$320+Funding!O68*Inputs!$F$322</f>
        <v>5.71</v>
      </c>
      <c r="P70" s="15" t="n">
        <f aca="false">Funding!P66*Inputs!$F$318+Funding!P67*Inputs!$F$320+Funding!P68*Inputs!$F$322</f>
        <v>5.71</v>
      </c>
      <c r="Q70" s="15" t="n">
        <f aca="false">Funding!Q66*Inputs!$F$318+Funding!Q67*Inputs!$F$320+Funding!Q68*Inputs!$F$322</f>
        <v>5.71</v>
      </c>
      <c r="R70" s="15" t="n">
        <f aca="false">Funding!R66*Inputs!$F$318+Funding!R67*Inputs!$F$320+Funding!R68*Inputs!$F$322</f>
        <v>5.71</v>
      </c>
      <c r="S70" s="15" t="n">
        <f aca="false">Funding!S66*Inputs!$F$318+Funding!S67*Inputs!$F$320+Funding!S68*Inputs!$F$322</f>
        <v>5.71</v>
      </c>
      <c r="T70" s="15" t="n">
        <f aca="false">Funding!T66*Inputs!$F$318+Funding!T67*Inputs!$F$320+Funding!T68*Inputs!$F$322</f>
        <v>5.71</v>
      </c>
      <c r="U70" s="15" t="n">
        <f aca="false">Funding!U66*Inputs!$F$318+Funding!U67*Inputs!$F$320+Funding!U68*Inputs!$F$322</f>
        <v>6.08</v>
      </c>
      <c r="V70" s="15" t="n">
        <f aca="false">Funding!V66*Inputs!$F$318+Funding!V67*Inputs!$F$320+Funding!V68*Inputs!$F$322</f>
        <v>6.08</v>
      </c>
      <c r="W70" s="15" t="n">
        <f aca="false">Funding!W66*Inputs!$F$318+Funding!W67*Inputs!$F$320+Funding!W68*Inputs!$F$322</f>
        <v>6.08</v>
      </c>
      <c r="X70" s="15" t="n">
        <f aca="false">Funding!X66*Inputs!$F$318+Funding!X67*Inputs!$F$320+Funding!X68*Inputs!$F$322</f>
        <v>6.08</v>
      </c>
      <c r="Y70" s="15" t="n">
        <f aca="false">Funding!Y66*Inputs!$F$318+Funding!Y67*Inputs!$F$320+Funding!Y68*Inputs!$F$322</f>
        <v>6.08</v>
      </c>
      <c r="Z70" s="15" t="n">
        <f aca="false">Funding!Z66*Inputs!$F$318+Funding!Z67*Inputs!$F$320+Funding!Z68*Inputs!$F$322</f>
        <v>6.39</v>
      </c>
      <c r="AA70" s="15" t="n">
        <f aca="false">Funding!AA66*Inputs!$F$318+Funding!AA67*Inputs!$F$320+Funding!AA68*Inputs!$F$322</f>
        <v>6.39</v>
      </c>
      <c r="AB70" s="15" t="n">
        <f aca="false">Funding!AB66*Inputs!$F$318+Funding!AB67*Inputs!$F$320+Funding!AB68*Inputs!$F$322</f>
        <v>6.39</v>
      </c>
      <c r="AC70" s="15" t="n">
        <f aca="false">Funding!AC66*Inputs!$F$318+Funding!AC67*Inputs!$F$320+Funding!AC68*Inputs!$F$322</f>
        <v>6.39</v>
      </c>
      <c r="AD70" s="15" t="n">
        <f aca="false">Funding!AD66*Inputs!$F$318+Funding!AD67*Inputs!$F$320+Funding!AD68*Inputs!$F$322</f>
        <v>6.39</v>
      </c>
      <c r="AE70" s="15" t="n">
        <f aca="false">Funding!AE66*Inputs!$F$318+Funding!AE67*Inputs!$F$320+Funding!AE68*Inputs!$F$322</f>
        <v>6.39</v>
      </c>
      <c r="AF70" s="15" t="n">
        <f aca="false">Funding!AF66*Inputs!$F$318+Funding!AF67*Inputs!$F$320+Funding!AF68*Inputs!$F$322</f>
        <v>0</v>
      </c>
      <c r="AG70" s="15" t="n">
        <f aca="false">Funding!AG66*Inputs!$F$318+Funding!AG67*Inputs!$F$320+Funding!AG68*Inputs!$F$322</f>
        <v>0</v>
      </c>
      <c r="AH70" s="15" t="n">
        <f aca="false">Funding!AH66*Inputs!$F$318+Funding!AH67*Inputs!$F$320+Funding!AH68*Inputs!$F$322</f>
        <v>0</v>
      </c>
      <c r="AI70" s="15" t="n">
        <f aca="false">Funding!AI66*Inputs!$F$318+Funding!AI67*Inputs!$F$320+Funding!AI68*Inputs!$F$322</f>
        <v>0</v>
      </c>
      <c r="AJ70" s="15" t="n">
        <f aca="false">Funding!AJ66*Inputs!$F$318+Funding!AJ67*Inputs!$F$320+Funding!AJ68*Inputs!$F$322</f>
        <v>0</v>
      </c>
      <c r="AK70" s="15" t="n">
        <f aca="false">Funding!AK66*Inputs!$F$318+Funding!AK67*Inputs!$F$320+Funding!AK68*Inputs!$F$322</f>
        <v>0</v>
      </c>
      <c r="AL70" s="15" t="n">
        <f aca="false">Funding!AL66*Inputs!$F$318+Funding!AL67*Inputs!$F$320+Funding!AL68*Inputs!$F$322</f>
        <v>0</v>
      </c>
      <c r="AM70" s="15" t="n">
        <f aca="false">Funding!AM66*Inputs!$F$318+Funding!AM67*Inputs!$F$320+Funding!AM68*Inputs!$F$322</f>
        <v>0</v>
      </c>
      <c r="AN70" s="15" t="n">
        <f aca="false">Funding!AN66*Inputs!$F$318+Funding!AN67*Inputs!$F$320+Funding!AN68*Inputs!$F$322</f>
        <v>0</v>
      </c>
      <c r="AO70" s="15" t="n">
        <f aca="false">Funding!AO66*Inputs!$F$318+Funding!AO67*Inputs!$F$320+Funding!AO68*Inputs!$F$322</f>
        <v>0</v>
      </c>
      <c r="AP70" s="15" t="n">
        <f aca="false">Funding!AP66*Inputs!$F$318+Funding!AP67*Inputs!$F$320+Funding!AP68*Inputs!$F$322</f>
        <v>0</v>
      </c>
      <c r="AQ70" s="15" t="n">
        <f aca="false">Funding!AQ66*Inputs!$F$318+Funding!AQ67*Inputs!$F$320+Funding!AQ68*Inputs!$F$322</f>
        <v>0</v>
      </c>
      <c r="AR70" s="15" t="n">
        <f aca="false">Funding!AR66*Inputs!$F$318+Funding!AR67*Inputs!$F$320+Funding!AR68*Inputs!$F$322</f>
        <v>0</v>
      </c>
      <c r="AS70" s="15" t="n">
        <f aca="false">Funding!AS66*Inputs!$F$318+Funding!AS67*Inputs!$F$320+Funding!AS68*Inputs!$F$322</f>
        <v>0</v>
      </c>
      <c r="AT70" s="15" t="n">
        <f aca="false">Funding!AT66*Inputs!$F$318+Funding!AT67*Inputs!$F$320+Funding!AT68*Inputs!$F$322</f>
        <v>0</v>
      </c>
      <c r="AU70" s="15" t="n">
        <f aca="false">Funding!AU66*Inputs!$F$318+Funding!AU67*Inputs!$F$320+Funding!AU68*Inputs!$F$322</f>
        <v>0</v>
      </c>
    </row>
    <row r="71" customFormat="false" ht="15" hidden="false" customHeight="false" outlineLevel="0" collapsed="false">
      <c r="D71" s="0" t="s">
        <v>949</v>
      </c>
      <c r="E71" s="0" t="s">
        <v>47</v>
      </c>
      <c r="J71" s="20" t="n">
        <f aca="false">Operations!J831/Inputs!$F$323+Operations!J832/Inputs!$F$324+Operations!J833/Inputs!$F$325</f>
        <v>28.1598247659226</v>
      </c>
      <c r="K71" s="20" t="n">
        <f aca="false">Operations!K831/Inputs!$F$323+Operations!K832/Inputs!$F$324+Operations!K833/Inputs!$F$325</f>
        <v>34.2352282673166</v>
      </c>
      <c r="L71" s="20" t="n">
        <f aca="false">Operations!L831/Inputs!$F$323+Operations!L832/Inputs!$F$324+Operations!L833/Inputs!$F$325</f>
        <v>40.4545176789485</v>
      </c>
      <c r="M71" s="20" t="n">
        <f aca="false">Operations!M831/Inputs!$F$323+Operations!M832/Inputs!$F$324+Operations!M833/Inputs!$F$325</f>
        <v>46.1289456021609</v>
      </c>
      <c r="N71" s="20" t="n">
        <f aca="false">Operations!N831/Inputs!$F$323+Operations!N832/Inputs!$F$324+Operations!N833/Inputs!$F$325</f>
        <v>45.6089601284015</v>
      </c>
      <c r="O71" s="20" t="n">
        <f aca="false">Operations!O831/Inputs!$F$323+Operations!O832/Inputs!$F$324+Operations!O833/Inputs!$F$325</f>
        <v>43.4414359752294</v>
      </c>
      <c r="P71" s="20" t="n">
        <f aca="false">Operations!P831/Inputs!$F$323+Operations!P832/Inputs!$F$324+Operations!P833/Inputs!$F$325</f>
        <v>40.3715102737986</v>
      </c>
      <c r="Q71" s="20" t="n">
        <f aca="false">Operations!Q831/Inputs!$F$323+Operations!Q832/Inputs!$F$324+Operations!Q833/Inputs!$F$325</f>
        <v>39.9672975844426</v>
      </c>
      <c r="R71" s="20" t="n">
        <f aca="false">Operations!R831/Inputs!$F$323+Operations!R832/Inputs!$F$324+Operations!R833/Inputs!$F$325</f>
        <v>34.7356485140017</v>
      </c>
      <c r="S71" s="20" t="n">
        <f aca="false">Operations!S831/Inputs!$F$323+Operations!S832/Inputs!$F$324+Operations!S833/Inputs!$F$325</f>
        <v>32.1907257668257</v>
      </c>
      <c r="T71" s="20" t="n">
        <f aca="false">Operations!T831/Inputs!$F$323+Operations!T832/Inputs!$F$324+Operations!T833/Inputs!$F$325</f>
        <v>30.0136947010661</v>
      </c>
      <c r="U71" s="20" t="n">
        <f aca="false">Operations!U831/Inputs!$F$323+Operations!U832/Inputs!$F$324+Operations!U833/Inputs!$F$325</f>
        <v>28.799431934175</v>
      </c>
      <c r="V71" s="20" t="n">
        <f aca="false">Operations!V831/Inputs!$F$323+Operations!V832/Inputs!$F$324+Operations!V833/Inputs!$F$325</f>
        <v>28.5936825676022</v>
      </c>
      <c r="W71" s="20" t="n">
        <f aca="false">Operations!W831/Inputs!$F$323+Operations!W832/Inputs!$F$324+Operations!W833/Inputs!$F$325</f>
        <v>27.3895325539694</v>
      </c>
      <c r="X71" s="20" t="n">
        <f aca="false">Operations!X831/Inputs!$F$323+Operations!X832/Inputs!$F$324+Operations!X833/Inputs!$F$325</f>
        <v>27.275320337299</v>
      </c>
      <c r="Y71" s="20" t="n">
        <f aca="false">Operations!Y831/Inputs!$F$323+Operations!Y832/Inputs!$F$324+Operations!Y833/Inputs!$F$325</f>
        <v>27.1768718376169</v>
      </c>
      <c r="Z71" s="20" t="n">
        <f aca="false">Operations!Z831/Inputs!$F$323+Operations!Z832/Inputs!$F$324+Operations!Z833/Inputs!$F$325</f>
        <v>27.1206790720543</v>
      </c>
      <c r="AA71" s="20" t="n">
        <f aca="false">Operations!AA831/Inputs!$F$323+Operations!AA832/Inputs!$F$324+Operations!AA833/Inputs!$F$325</f>
        <v>27.1191341492473</v>
      </c>
      <c r="AB71" s="20" t="n">
        <f aca="false">Operations!AB831/Inputs!$F$323+Operations!AB832/Inputs!$F$324+Operations!AB833/Inputs!$F$325</f>
        <v>27.1125964659358</v>
      </c>
      <c r="AC71" s="20" t="n">
        <f aca="false">Operations!AC831/Inputs!$F$323+Operations!AC832/Inputs!$F$324+Operations!AC833/Inputs!$F$325</f>
        <v>27.0932837742145</v>
      </c>
      <c r="AD71" s="20" t="n">
        <f aca="false">Operations!AD831/Inputs!$F$323+Operations!AD832/Inputs!$F$324+Operations!AD833/Inputs!$F$325</f>
        <v>27.0685003030548</v>
      </c>
      <c r="AE71" s="20" t="n">
        <f aca="false">Operations!AE831/Inputs!$F$323+Operations!AE832/Inputs!$F$324+Operations!AE833/Inputs!$F$325</f>
        <v>24.8261099734699</v>
      </c>
      <c r="AF71" s="20" t="n">
        <f aca="false">Operations!AF831/Inputs!$F$323+Operations!AF832/Inputs!$F$324+Operations!AF833/Inputs!$F$325</f>
        <v>11.4863452564442</v>
      </c>
      <c r="AG71" s="20" t="n">
        <f aca="false">Operations!AG831/Inputs!$F$323+Operations!AG832/Inputs!$F$324+Operations!AG833/Inputs!$F$325</f>
        <v>19.3812931999371</v>
      </c>
      <c r="AH71" s="20" t="n">
        <f aca="false">Operations!AH831/Inputs!$F$323+Operations!AH832/Inputs!$F$324+Operations!AH833/Inputs!$F$325</f>
        <v>19.5198270856748</v>
      </c>
      <c r="AI71" s="20" t="n">
        <f aca="false">Operations!AI831/Inputs!$F$323+Operations!AI832/Inputs!$F$324+Operations!AI833/Inputs!$F$325</f>
        <v>1.94670127828504</v>
      </c>
      <c r="AJ71" s="20" t="n">
        <f aca="false">Operations!AJ831/Inputs!$F$323+Operations!AJ832/Inputs!$F$324+Operations!AJ833/Inputs!$F$325</f>
        <v>9.717751195927</v>
      </c>
      <c r="AK71" s="20" t="n">
        <f aca="false">Operations!AK831/Inputs!$F$323+Operations!AK832/Inputs!$F$324+Operations!AK833/Inputs!$F$325</f>
        <v>1.67563760539066</v>
      </c>
      <c r="AL71" s="20" t="n">
        <f aca="false">Operations!AL831/Inputs!$F$323+Operations!AL832/Inputs!$F$324+Operations!AL833/Inputs!$F$325</f>
        <v>6.46050058771386</v>
      </c>
      <c r="AM71" s="20" t="n">
        <f aca="false">Operations!AM831/Inputs!$F$323+Operations!AM832/Inputs!$F$324+Operations!AM833/Inputs!$F$325</f>
        <v>6.47153859793966</v>
      </c>
      <c r="AN71" s="20" t="n">
        <f aca="false">Operations!AN831/Inputs!$F$323+Operations!AN832/Inputs!$F$324+Operations!AN833/Inputs!$F$325</f>
        <v>6.48034041390521</v>
      </c>
      <c r="AO71" s="20" t="n">
        <f aca="false">Operations!AO831/Inputs!$F$323+Operations!AO832/Inputs!$F$324+Operations!AO833/Inputs!$F$325</f>
        <v>6.48669351946454</v>
      </c>
      <c r="AP71" s="20" t="n">
        <f aca="false">Operations!AP831/Inputs!$F$323+Operations!AP832/Inputs!$F$324+Operations!AP833/Inputs!$F$325</f>
        <v>6.49038227473687</v>
      </c>
      <c r="AQ71" s="20" t="n">
        <f aca="false">Operations!AQ831/Inputs!$F$323+Operations!AQ832/Inputs!$F$324+Operations!AQ833/Inputs!$F$325</f>
        <v>2.37141198741105</v>
      </c>
      <c r="AR71" s="20" t="n">
        <f aca="false">Operations!AR831/Inputs!$F$323+Operations!AR832/Inputs!$F$324+Operations!AR833/Inputs!$F$325</f>
        <v>-4.4863325401627</v>
      </c>
      <c r="AS71" s="20" t="n">
        <f aca="false">Operations!AS831/Inputs!$F$323+Operations!AS832/Inputs!$F$324+Operations!AS833/Inputs!$F$325</f>
        <v>0.208213241030715</v>
      </c>
      <c r="AT71" s="20" t="n">
        <f aca="false">Operations!AT831/Inputs!$F$323+Operations!AT832/Inputs!$F$324+Operations!AT833/Inputs!$F$325</f>
        <v>0.158896661006224</v>
      </c>
      <c r="AU71" s="20" t="n">
        <f aca="false">Operations!AU831/Inputs!$F$323+Operations!AU832/Inputs!$F$324+Operations!AU833/Inputs!$F$325</f>
        <v>-4.94607569970326</v>
      </c>
    </row>
    <row r="72" customFormat="false" ht="15" hidden="false" customHeight="false" outlineLevel="0" collapsed="false">
      <c r="D72" s="0" t="s">
        <v>950</v>
      </c>
      <c r="E72" s="0" t="s">
        <v>47</v>
      </c>
      <c r="J72" s="20" t="n">
        <f aca="false">Operations!J1215/Inputs!$F$326</f>
        <v>32.8976543181895</v>
      </c>
      <c r="K72" s="20" t="n">
        <f aca="false">Operations!K1215/Inputs!$F$326</f>
        <v>35.400251934904</v>
      </c>
      <c r="L72" s="20" t="n">
        <f aca="false">Operations!L1215/Inputs!$F$326</f>
        <v>45.8472710529713</v>
      </c>
      <c r="M72" s="20" t="n">
        <f aca="false">Operations!M1215/Inputs!$F$326</f>
        <v>52.7310284132775</v>
      </c>
      <c r="N72" s="20" t="n">
        <f aca="false">Operations!N1215/Inputs!$F$326</f>
        <v>51.6472867243193</v>
      </c>
      <c r="O72" s="20" t="n">
        <f aca="false">Operations!O1215/Inputs!$F$326</f>
        <v>49.3616065852022</v>
      </c>
      <c r="P72" s="20" t="n">
        <f aca="false">Operations!P1215/Inputs!$F$326</f>
        <v>47.7739487202922</v>
      </c>
      <c r="Q72" s="20" t="n">
        <f aca="false">Operations!Q1215/Inputs!$F$326</f>
        <v>50.1542904784124</v>
      </c>
      <c r="R72" s="20" t="n">
        <f aca="false">Operations!R1215/Inputs!$F$326</f>
        <v>46.5004863944076</v>
      </c>
      <c r="S72" s="20" t="n">
        <f aca="false">Operations!S1215/Inputs!$F$326</f>
        <v>43.3161119018758</v>
      </c>
      <c r="T72" s="20" t="n">
        <f aca="false">Operations!T1215/Inputs!$F$326</f>
        <v>41.3695641057602</v>
      </c>
      <c r="U72" s="20" t="n">
        <f aca="false">Operations!U1215/Inputs!$F$326</f>
        <v>41.2859092682646</v>
      </c>
      <c r="V72" s="20" t="n">
        <f aca="false">Operations!V1215/Inputs!$F$326</f>
        <v>42.3975916704953</v>
      </c>
      <c r="W72" s="20" t="n">
        <f aca="false">Operations!W1215/Inputs!$F$326</f>
        <v>41.3950535632451</v>
      </c>
      <c r="X72" s="20" t="n">
        <f aca="false">Operations!X1215/Inputs!$F$326</f>
        <v>40.9747266839474</v>
      </c>
      <c r="Y72" s="20" t="n">
        <f aca="false">Operations!Y1215/Inputs!$F$326</f>
        <v>40.5697267509353</v>
      </c>
      <c r="Z72" s="20" t="n">
        <f aca="false">Operations!Z1215/Inputs!$F$326</f>
        <v>40.2423751385761</v>
      </c>
      <c r="AA72" s="20" t="n">
        <f aca="false">Operations!AA1215/Inputs!$F$326</f>
        <v>39.9972259205399</v>
      </c>
      <c r="AB72" s="20" t="n">
        <f aca="false">Operations!AB1215/Inputs!$F$326</f>
        <v>39.7367197278148</v>
      </c>
      <c r="AC72" s="20" t="n">
        <f aca="false">Operations!AC1215/Inputs!$F$326</f>
        <v>39.4472125463112</v>
      </c>
      <c r="AD72" s="20" t="n">
        <f aca="false">Operations!AD1215/Inputs!$F$326</f>
        <v>39.1415723218636</v>
      </c>
      <c r="AE72" s="20" t="n">
        <f aca="false">Operations!AE1215/Inputs!$F$326</f>
        <v>34.0325489684114</v>
      </c>
      <c r="AF72" s="20" t="n">
        <f aca="false">Operations!AF1215/Inputs!$F$326</f>
        <v>5.13747835927917</v>
      </c>
      <c r="AG72" s="20" t="n">
        <f aca="false">Operations!AG1215/Inputs!$F$326</f>
        <v>26.7434121211647</v>
      </c>
      <c r="AH72" s="20" t="n">
        <f aca="false">Operations!AH1215/Inputs!$F$326</f>
        <v>26.7925989211367</v>
      </c>
      <c r="AI72" s="20" t="n">
        <f aca="false">Operations!AI1215/Inputs!$F$326</f>
        <v>-7.13301716773874</v>
      </c>
      <c r="AJ72" s="20" t="n">
        <f aca="false">Operations!AJ1215/Inputs!$F$326</f>
        <v>13.3224851045487</v>
      </c>
      <c r="AK72" s="20" t="n">
        <f aca="false">Operations!AK1215/Inputs!$F$326</f>
        <v>-3.68273704922581</v>
      </c>
      <c r="AL72" s="20" t="n">
        <f aca="false">Operations!AL1215/Inputs!$F$326</f>
        <v>10.3366946024296</v>
      </c>
      <c r="AM72" s="20" t="n">
        <f aca="false">Operations!AM1215/Inputs!$F$326</f>
        <v>10.3056751806542</v>
      </c>
      <c r="AN72" s="20" t="n">
        <f aca="false">Operations!AN1215/Inputs!$F$326</f>
        <v>10.2690481355221</v>
      </c>
      <c r="AO72" s="20" t="n">
        <f aca="false">Operations!AO1215/Inputs!$F$326</f>
        <v>10.2263720308379</v>
      </c>
      <c r="AP72" s="20" t="n">
        <f aca="false">Operations!AP1215/Inputs!$F$326</f>
        <v>10.1771986052796</v>
      </c>
      <c r="AQ72" s="20" t="n">
        <f aca="false">Operations!AQ1215/Inputs!$F$326</f>
        <v>1.43430971022715</v>
      </c>
      <c r="AR72" s="20" t="n">
        <f aca="false">Operations!AR1215/Inputs!$F$326</f>
        <v>-11.7474715662032</v>
      </c>
      <c r="AS72" s="20" t="n">
        <f aca="false">Operations!AS1215/Inputs!$F$326</f>
        <v>-0.864671766677543</v>
      </c>
      <c r="AT72" s="20" t="n">
        <f aca="false">Operations!AT1215/Inputs!$F$326</f>
        <v>-0.991245354564625</v>
      </c>
      <c r="AU72" s="20" t="n">
        <f aca="false">Operations!AU1215/Inputs!$F$326</f>
        <v>-11.9516201633877</v>
      </c>
    </row>
    <row r="73" customFormat="false" ht="15" hidden="false" customHeight="false" outlineLevel="0" collapsed="false">
      <c r="D73" s="0" t="s">
        <v>906</v>
      </c>
      <c r="E73" s="0" t="s">
        <v>47</v>
      </c>
      <c r="G73" s="20" t="n">
        <f aca="false">SUM(J73:AU73)</f>
        <v>565.904415912405</v>
      </c>
      <c r="J73" s="20" t="n">
        <f aca="false">IF(Funding!J69&gt;0,MAX(0,MIN(Funding!J71,Funding!J72)),0)</f>
        <v>0</v>
      </c>
      <c r="K73" s="20" t="n">
        <f aca="false">IF(Funding!K69&gt;0,MAX(0,MIN(Funding!K71,Funding!K72)),0)</f>
        <v>0</v>
      </c>
      <c r="L73" s="20" t="n">
        <f aca="false">IF(Funding!L69&gt;0,MAX(0,MIN(Funding!L71,Funding!L72)),0)</f>
        <v>0</v>
      </c>
      <c r="M73" s="20" t="n">
        <f aca="false">IF(Funding!M69&gt;0,MAX(0,MIN(Funding!M71,Funding!M72)),0)</f>
        <v>0</v>
      </c>
      <c r="N73" s="20" t="n">
        <f aca="false">IF(Funding!N69&gt;0,MAX(0,MIN(Funding!N71,Funding!N72)),0)</f>
        <v>45.6089601284015</v>
      </c>
      <c r="O73" s="20" t="n">
        <f aca="false">IF(Funding!O69&gt;0,MAX(0,MIN(Funding!O71,Funding!O72)),0)</f>
        <v>43.4414359752294</v>
      </c>
      <c r="P73" s="20" t="n">
        <f aca="false">IF(Funding!P69&gt;0,MAX(0,MIN(Funding!P71,Funding!P72)),0)</f>
        <v>40.3715102737986</v>
      </c>
      <c r="Q73" s="20" t="n">
        <f aca="false">IF(Funding!Q69&gt;0,MAX(0,MIN(Funding!Q71,Funding!Q72)),0)</f>
        <v>39.9672975844426</v>
      </c>
      <c r="R73" s="20" t="n">
        <f aca="false">IF(Funding!R69&gt;0,MAX(0,MIN(Funding!R71,Funding!R72)),0)</f>
        <v>34.7356485140017</v>
      </c>
      <c r="S73" s="20" t="n">
        <f aca="false">IF(Funding!S69&gt;0,MAX(0,MIN(Funding!S71,Funding!S72)),0)</f>
        <v>32.1907257668257</v>
      </c>
      <c r="T73" s="20" t="n">
        <f aca="false">IF(Funding!T69&gt;0,MAX(0,MIN(Funding!T71,Funding!T72)),0)</f>
        <v>30.0136947010661</v>
      </c>
      <c r="U73" s="20" t="n">
        <f aca="false">IF(Funding!U69&gt;0,MAX(0,MIN(Funding!U71,Funding!U72)),0)</f>
        <v>28.799431934175</v>
      </c>
      <c r="V73" s="20" t="n">
        <f aca="false">IF(Funding!V69&gt;0,MAX(0,MIN(Funding!V71,Funding!V72)),0)</f>
        <v>28.5936825676022</v>
      </c>
      <c r="W73" s="20" t="n">
        <f aca="false">IF(Funding!W69&gt;0,MAX(0,MIN(Funding!W71,Funding!W72)),0)</f>
        <v>27.3895325539694</v>
      </c>
      <c r="X73" s="20" t="n">
        <f aca="false">IF(Funding!X69&gt;0,MAX(0,MIN(Funding!X71,Funding!X72)),0)</f>
        <v>27.275320337299</v>
      </c>
      <c r="Y73" s="20" t="n">
        <f aca="false">IF(Funding!Y69&gt;0,MAX(0,MIN(Funding!Y71,Funding!Y72)),0)</f>
        <v>27.1768718376169</v>
      </c>
      <c r="Z73" s="20" t="n">
        <f aca="false">IF(Funding!Z69&gt;0,MAX(0,MIN(Funding!Z71,Funding!Z72)),0)</f>
        <v>27.1206790720543</v>
      </c>
      <c r="AA73" s="20" t="n">
        <f aca="false">IF(Funding!AA69&gt;0,MAX(0,MIN(Funding!AA71,Funding!AA72)),0)</f>
        <v>27.1191341492473</v>
      </c>
      <c r="AB73" s="20" t="n">
        <f aca="false">IF(Funding!AB69&gt;0,MAX(0,MIN(Funding!AB71,Funding!AB72)),0)</f>
        <v>27.1125964659358</v>
      </c>
      <c r="AC73" s="20" t="n">
        <f aca="false">IF(Funding!AC69&gt;0,MAX(0,MIN(Funding!AC71,Funding!AC72)),0)</f>
        <v>27.0932837742145</v>
      </c>
      <c r="AD73" s="20" t="n">
        <f aca="false">IF(Funding!AD69&gt;0,MAX(0,MIN(Funding!AD71,Funding!AD72)),0)</f>
        <v>27.0685003030548</v>
      </c>
      <c r="AE73" s="20" t="n">
        <f aca="false">IF(Funding!AE69&gt;0,MAX(0,MIN(Funding!AE71,Funding!AE72)),0)</f>
        <v>24.8261099734699</v>
      </c>
      <c r="AF73" s="20" t="n">
        <f aca="false">IF(Funding!AF69&gt;0,MAX(0,MIN(Funding!AF71,Funding!AF72)),0)</f>
        <v>0</v>
      </c>
      <c r="AG73" s="20" t="n">
        <f aca="false">IF(Funding!AG69&gt;0,MAX(0,MIN(Funding!AG71,Funding!AG72)),0)</f>
        <v>0</v>
      </c>
      <c r="AH73" s="20" t="n">
        <f aca="false">IF(Funding!AH69&gt;0,MAX(0,MIN(Funding!AH71,Funding!AH72)),0)</f>
        <v>0</v>
      </c>
      <c r="AI73" s="20" t="n">
        <f aca="false">IF(Funding!AI69&gt;0,MAX(0,MIN(Funding!AI71,Funding!AI72)),0)</f>
        <v>0</v>
      </c>
      <c r="AJ73" s="20" t="n">
        <f aca="false">IF(Funding!AJ69&gt;0,MAX(0,MIN(Funding!AJ71,Funding!AJ72)),0)</f>
        <v>0</v>
      </c>
      <c r="AK73" s="20" t="n">
        <f aca="false">IF(Funding!AK69&gt;0,MAX(0,MIN(Funding!AK71,Funding!AK72)),0)</f>
        <v>0</v>
      </c>
      <c r="AL73" s="20" t="n">
        <f aca="false">IF(Funding!AL69&gt;0,MAX(0,MIN(Funding!AL71,Funding!AL72)),0)</f>
        <v>0</v>
      </c>
      <c r="AM73" s="20" t="n">
        <f aca="false">IF(Funding!AM69&gt;0,MAX(0,MIN(Funding!AM71,Funding!AM72)),0)</f>
        <v>0</v>
      </c>
      <c r="AN73" s="20" t="n">
        <f aca="false">IF(Funding!AN69&gt;0,MAX(0,MIN(Funding!AN71,Funding!AN72)),0)</f>
        <v>0</v>
      </c>
      <c r="AO73" s="20" t="n">
        <f aca="false">IF(Funding!AO69&gt;0,MAX(0,MIN(Funding!AO71,Funding!AO72)),0)</f>
        <v>0</v>
      </c>
      <c r="AP73" s="20" t="n">
        <f aca="false">IF(Funding!AP69&gt;0,MAX(0,MIN(Funding!AP71,Funding!AP72)),0)</f>
        <v>0</v>
      </c>
      <c r="AQ73" s="20" t="n">
        <f aca="false">IF(Funding!AQ69&gt;0,MAX(0,MIN(Funding!AQ71,Funding!AQ72)),0)</f>
        <v>0</v>
      </c>
      <c r="AR73" s="20" t="n">
        <f aca="false">IF(Funding!AR69&gt;0,MAX(0,MIN(Funding!AR71,Funding!AR72)),0)</f>
        <v>0</v>
      </c>
      <c r="AS73" s="20" t="n">
        <f aca="false">IF(Funding!AS69&gt;0,MAX(0,MIN(Funding!AS71,Funding!AS72)),0)</f>
        <v>0</v>
      </c>
      <c r="AT73" s="20" t="n">
        <f aca="false">IF(Funding!AT69&gt;0,MAX(0,MIN(Funding!AT71,Funding!AT72)),0)</f>
        <v>0</v>
      </c>
      <c r="AU73" s="20" t="n">
        <f aca="false">IF(Funding!AU69&gt;0,MAX(0,MIN(Funding!AU71,Funding!AU72)),0)</f>
        <v>0</v>
      </c>
    </row>
    <row r="74" customFormat="false" ht="15" hidden="false" customHeight="false" outlineLevel="0" collapsed="false">
      <c r="D74" s="0" t="s">
        <v>951</v>
      </c>
      <c r="E74" s="0" t="s">
        <v>47</v>
      </c>
      <c r="G74" s="20" t="n">
        <f aca="false">SUM(J74:AU74)</f>
        <v>355.23779963863</v>
      </c>
      <c r="J74" s="20" t="n">
        <f aca="false">IF(Funding!J69&gt;0,(Funding!J73-Inputs!$F$318/100*K75-Inputs!$F$320/100*K76-Inputs!$F$322/100*K77)/(1+Funding!J70/100),0)</f>
        <v>0</v>
      </c>
      <c r="K74" s="20" t="n">
        <f aca="false">IF(Funding!K69&gt;0,(Funding!K73-Inputs!$F$318/100*L75-Inputs!$F$320/100*L76-Inputs!$F$322/100*L77)/(1+Funding!K70/100),0)</f>
        <v>0</v>
      </c>
      <c r="L74" s="20" t="n">
        <f aca="false">IF(Funding!L69&gt;0,(Funding!L73-Inputs!$F$318/100*M75-Inputs!$F$320/100*M76-Inputs!$F$322/100*M77)/(1+Funding!L70/100),0)</f>
        <v>0</v>
      </c>
      <c r="M74" s="20" t="n">
        <f aca="false">IF(Funding!M69&gt;0,(Funding!M73-Inputs!$F$318/100*N75-Inputs!$F$320/100*N76-Inputs!$F$322/100*N77)/(1+Funding!M70/100),0)</f>
        <v>0</v>
      </c>
      <c r="N74" s="20" t="n">
        <f aca="false">IF(Funding!N69&gt;0,(Funding!N73-Inputs!$F$318/100*O75-Inputs!$F$320/100*O76-Inputs!$F$322/100*O77)/(1+Funding!N70/100),0)</f>
        <v>24.1356179787002</v>
      </c>
      <c r="O74" s="20" t="n">
        <f aca="false">IF(Funding!O69&gt;0,(Funding!O73-Inputs!$F$318/100*P75-Inputs!$F$320/100*P76-Inputs!$F$322/100*P77)/(1+Funding!O70/100),0)</f>
        <v>23.346237612112</v>
      </c>
      <c r="P74" s="20" t="n">
        <f aca="false">IF(Funding!P69&gt;0,(Funding!P73-Inputs!$F$318/100*Q75-Inputs!$F$320/100*Q76-Inputs!$F$322/100*Q77)/(1+Funding!P70/100),0)</f>
        <v>21.6093820783327</v>
      </c>
      <c r="Q74" s="20" t="n">
        <f aca="false">IF(Funding!Q69&gt;0,(Funding!Q73-Inputs!$F$318/100*R75-Inputs!$F$320/100*R76-Inputs!$F$322/100*R77)/(1+Funding!Q70/100),0)</f>
        <v>22.4390651056495</v>
      </c>
      <c r="R74" s="20" t="n">
        <f aca="false">IF(Funding!R69&gt;0,(Funding!R73-Inputs!$F$318/100*S75-Inputs!$F$320/100*S76-Inputs!$F$322/100*S77)/(1+Funding!R70/100),0)</f>
        <v>18.4886866527412</v>
      </c>
      <c r="S74" s="20" t="n">
        <f aca="false">IF(Funding!S69&gt;0,(Funding!S73-Inputs!$F$318/100*T75-Inputs!$F$320/100*T76-Inputs!$F$322/100*T77)/(1+Funding!S70/100),0)</f>
        <v>16.9994679134367</v>
      </c>
      <c r="T74" s="20" t="n">
        <f aca="false">IF(Funding!T69&gt;0,(Funding!T73-Inputs!$F$318/100*U75-Inputs!$F$320/100*U76-Inputs!$F$322/100*U77)/(1+Funding!T70/100),0)</f>
        <v>15.7931064655344</v>
      </c>
      <c r="U74" s="20" t="n">
        <f aca="false">IF(Funding!U69&gt;0,(Funding!U73-Inputs!$F$318/100*V75-Inputs!$F$320/100*V76-Inputs!$F$322/100*V77)/(1+Funding!U70/100),0)</f>
        <v>15.4806300778253</v>
      </c>
      <c r="V74" s="20" t="n">
        <f aca="false">IF(Funding!V69&gt;0,(Funding!V73-Inputs!$F$318/100*W75-Inputs!$F$320/100*W76-Inputs!$F$322/100*W77)/(1+Funding!V70/100),0)</f>
        <v>16.2161030199843</v>
      </c>
      <c r="W74" s="20" t="n">
        <f aca="false">IF(Funding!W69&gt;0,(Funding!W73-Inputs!$F$318/100*X75-Inputs!$F$320/100*X76-Inputs!$F$322/100*X77)/(1+Funding!W70/100),0)</f>
        <v>15.9978920699665</v>
      </c>
      <c r="X74" s="20" t="n">
        <f aca="false">IF(Funding!X69&gt;0,(Funding!X73-Inputs!$F$318/100*Y75-Inputs!$F$320/100*Y76-Inputs!$F$322/100*Y77)/(1+Funding!X70/100),0)</f>
        <v>16.8563516911501</v>
      </c>
      <c r="Y74" s="20" t="n">
        <f aca="false">IF(Funding!Y69&gt;0,(Funding!Y73-Inputs!$F$318/100*Z75-Inputs!$F$320/100*Z76-Inputs!$F$322/100*Z77)/(1+Funding!Y70/100),0)</f>
        <v>17.7827693742899</v>
      </c>
      <c r="Z74" s="20" t="n">
        <f aca="false">IF(Funding!Z69&gt;0,(Funding!Z73-Inputs!$F$318/100*AA75-Inputs!$F$320/100*AA76-Inputs!$F$322/100*AA77)/(1+Funding!Z70/100),0)</f>
        <v>18.8077689866841</v>
      </c>
      <c r="AA74" s="20" t="n">
        <f aca="false">IF(Funding!AA69&gt;0,(Funding!AA73-Inputs!$F$318/100*AB75-Inputs!$F$320/100*AB76-Inputs!$F$322/100*AB77)/(1+Funding!AA70/100),0)</f>
        <v>20.0080405021263</v>
      </c>
      <c r="AB74" s="20" t="n">
        <f aca="false">IF(Funding!AB69&gt;0,(Funding!AB73-Inputs!$F$318/100*AC75-Inputs!$F$320/100*AC76-Inputs!$F$322/100*AC77)/(1+Funding!AB70/100),0)</f>
        <v>21.2800166069006</v>
      </c>
      <c r="AC74" s="20" t="n">
        <f aca="false">IF(Funding!AC69&gt;0,(Funding!AC73-Inputs!$F$318/100*AD75-Inputs!$F$320/100*AD76-Inputs!$F$322/100*AD77)/(1+Funding!AC70/100),0)</f>
        <v>22.6204969763602</v>
      </c>
      <c r="AD74" s="20" t="n">
        <f aca="false">IF(Funding!AD69&gt;0,(Funding!AD73-Inputs!$F$318/100*AE75-Inputs!$F$320/100*AE76-Inputs!$F$322/100*AE77)/(1+Funding!AD70/100),0)</f>
        <v>24.04116326199</v>
      </c>
      <c r="AE74" s="20" t="n">
        <f aca="false">IF(Funding!AE69&gt;0,(Funding!AE73-Inputs!$F$318/100*AF75-Inputs!$F$320/100*AF76-Inputs!$F$322/100*AF77)/(1+Funding!AE70/100),0)</f>
        <v>23.3350032648462</v>
      </c>
      <c r="AF74" s="20" t="n">
        <f aca="false">IF(Funding!AF69&gt;0,(Funding!AF73-Inputs!$F$318/100*AG75-Inputs!$F$320/100*AG76-Inputs!$F$322/100*AG77)/(1+Funding!AF70/100),0)</f>
        <v>0</v>
      </c>
      <c r="AG74" s="20" t="n">
        <f aca="false">IF(Funding!AG69&gt;0,(Funding!AG73-Inputs!$F$318/100*AH75-Inputs!$F$320/100*AH76-Inputs!$F$322/100*AH77)/(1+Funding!AG70/100),0)</f>
        <v>0</v>
      </c>
      <c r="AH74" s="20" t="n">
        <f aca="false">IF(Funding!AH69&gt;0,(Funding!AH73-Inputs!$F$318/100*AI75-Inputs!$F$320/100*AI76-Inputs!$F$322/100*AI77)/(1+Funding!AH70/100),0)</f>
        <v>0</v>
      </c>
      <c r="AI74" s="20" t="n">
        <f aca="false">IF(Funding!AI69&gt;0,(Funding!AI73-Inputs!$F$318/100*AJ75-Inputs!$F$320/100*AJ76-Inputs!$F$322/100*AJ77)/(1+Funding!AI70/100),0)</f>
        <v>0</v>
      </c>
      <c r="AJ74" s="20" t="n">
        <f aca="false">IF(Funding!AJ69&gt;0,(Funding!AJ73-Inputs!$F$318/100*AK75-Inputs!$F$320/100*AK76-Inputs!$F$322/100*AK77)/(1+Funding!AJ70/100),0)</f>
        <v>0</v>
      </c>
      <c r="AK74" s="20" t="n">
        <f aca="false">IF(Funding!AK69&gt;0,(Funding!AK73-Inputs!$F$318/100*AL75-Inputs!$F$320/100*AL76-Inputs!$F$322/100*AL77)/(1+Funding!AK70/100),0)</f>
        <v>0</v>
      </c>
      <c r="AL74" s="20" t="n">
        <f aca="false">IF(Funding!AL69&gt;0,(Funding!AL73-Inputs!$F$318/100*AM75-Inputs!$F$320/100*AM76-Inputs!$F$322/100*AM77)/(1+Funding!AL70/100),0)</f>
        <v>0</v>
      </c>
      <c r="AM74" s="20" t="n">
        <f aca="false">IF(Funding!AM69&gt;0,(Funding!AM73-Inputs!$F$318/100*AN75-Inputs!$F$320/100*AN76-Inputs!$F$322/100*AN77)/(1+Funding!AM70/100),0)</f>
        <v>0</v>
      </c>
      <c r="AN74" s="20" t="n">
        <f aca="false">IF(Funding!AN69&gt;0,(Funding!AN73-Inputs!$F$318/100*AO75-Inputs!$F$320/100*AO76-Inputs!$F$322/100*AO77)/(1+Funding!AN70/100),0)</f>
        <v>0</v>
      </c>
      <c r="AO74" s="20" t="n">
        <f aca="false">IF(Funding!AO69&gt;0,(Funding!AO73-Inputs!$F$318/100*AP75-Inputs!$F$320/100*AP76-Inputs!$F$322/100*AP77)/(1+Funding!AO70/100),0)</f>
        <v>0</v>
      </c>
      <c r="AP74" s="20" t="n">
        <f aca="false">IF(Funding!AP69&gt;0,(Funding!AP73-Inputs!$F$318/100*AQ75-Inputs!$F$320/100*AQ76-Inputs!$F$322/100*AQ77)/(1+Funding!AP70/100),0)</f>
        <v>0</v>
      </c>
      <c r="AQ74" s="20" t="n">
        <f aca="false">IF(Funding!AQ69&gt;0,(Funding!AQ73-Inputs!$F$318/100*AR75-Inputs!$F$320/100*AR76-Inputs!$F$322/100*AR77)/(1+Funding!AQ70/100),0)</f>
        <v>0</v>
      </c>
      <c r="AR74" s="20" t="n">
        <f aca="false">IF(Funding!AR69&gt;0,(Funding!AR73-Inputs!$F$318/100*AS75-Inputs!$F$320/100*AS76-Inputs!$F$322/100*AS77)/(1+Funding!AR70/100),0)</f>
        <v>0</v>
      </c>
      <c r="AS74" s="20" t="n">
        <f aca="false">IF(Funding!AS69&gt;0,(Funding!AS73-Inputs!$F$318/100*AT75-Inputs!$F$320/100*AT76-Inputs!$F$322/100*AT77)/(1+Funding!AS70/100),0)</f>
        <v>0</v>
      </c>
      <c r="AT74" s="20" t="n">
        <f aca="false">IF(Funding!AT69&gt;0,(Funding!AT73-Inputs!$F$318/100*AU75-Inputs!$F$320/100*AU76-Inputs!$F$322/100*AU77)/(1+Funding!AT70/100),0)</f>
        <v>0</v>
      </c>
      <c r="AU74" s="20" t="n">
        <f aca="false">IF(Funding!AU69&gt;0,(Funding!AU73-Inputs!$F$318/100*AV75-Inputs!$F$320/100*AV76-Inputs!$F$322/100*AV77)/(1+Funding!AU70/100),0)</f>
        <v>0</v>
      </c>
    </row>
    <row r="75" customFormat="false" ht="15" hidden="false" customHeight="false" outlineLevel="0" collapsed="false">
      <c r="D75" s="0" t="s">
        <v>952</v>
      </c>
      <c r="E75" s="0" t="s">
        <v>47</v>
      </c>
      <c r="J75" s="20" t="n">
        <f aca="false">K75+Funding!J74*Funding!J66</f>
        <v>142.811563806507</v>
      </c>
      <c r="K75" s="20" t="n">
        <f aca="false">L75+Funding!K74*Funding!K66</f>
        <v>142.811563806507</v>
      </c>
      <c r="L75" s="20" t="n">
        <f aca="false">M75+Funding!L74*Funding!L66</f>
        <v>142.811563806507</v>
      </c>
      <c r="M75" s="20" t="n">
        <f aca="false">N75+Funding!M74*Funding!M66</f>
        <v>142.811563806507</v>
      </c>
      <c r="N75" s="20" t="n">
        <f aca="false">O75+Funding!N74*Funding!N66</f>
        <v>142.811563806507</v>
      </c>
      <c r="O75" s="20" t="n">
        <f aca="false">P75+Funding!O74*Funding!O66</f>
        <v>118.675945827806</v>
      </c>
      <c r="P75" s="20" t="n">
        <f aca="false">Q75+Funding!P74*Funding!P66</f>
        <v>95.3297082156944</v>
      </c>
      <c r="Q75" s="20" t="n">
        <f aca="false">R75+Funding!Q74*Funding!Q66</f>
        <v>73.7203261373618</v>
      </c>
      <c r="R75" s="20" t="n">
        <f aca="false">S75+Funding!R74*Funding!R66</f>
        <v>51.2812610317122</v>
      </c>
      <c r="S75" s="20" t="n">
        <f aca="false">T75+Funding!S74*Funding!S66</f>
        <v>32.7925743789711</v>
      </c>
      <c r="T75" s="20" t="n">
        <f aca="false">U75+Funding!T74*Funding!T66</f>
        <v>15.7931064655344</v>
      </c>
      <c r="U75" s="20" t="n">
        <f aca="false">V75+Funding!U74*Funding!U66</f>
        <v>0</v>
      </c>
      <c r="V75" s="20" t="n">
        <f aca="false">W75+Funding!V74*Funding!V66</f>
        <v>0</v>
      </c>
      <c r="W75" s="20" t="n">
        <f aca="false">X75+Funding!W74*Funding!W66</f>
        <v>0</v>
      </c>
      <c r="X75" s="20" t="n">
        <f aca="false">Y75+Funding!X74*Funding!X66</f>
        <v>0</v>
      </c>
      <c r="Y75" s="20" t="n">
        <f aca="false">Z75+Funding!Y74*Funding!Y66</f>
        <v>0</v>
      </c>
      <c r="Z75" s="20" t="n">
        <f aca="false">AA75+Funding!Z74*Funding!Z66</f>
        <v>0</v>
      </c>
      <c r="AA75" s="20" t="n">
        <f aca="false">AB75+Funding!AA74*Funding!AA66</f>
        <v>0</v>
      </c>
      <c r="AB75" s="20" t="n">
        <f aca="false">AC75+Funding!AB74*Funding!AB66</f>
        <v>0</v>
      </c>
      <c r="AC75" s="20" t="n">
        <f aca="false">AD75+Funding!AC74*Funding!AC66</f>
        <v>0</v>
      </c>
      <c r="AD75" s="20" t="n">
        <f aca="false">AE75+Funding!AD74*Funding!AD66</f>
        <v>0</v>
      </c>
      <c r="AE75" s="20" t="n">
        <f aca="false">AF75+Funding!AE74*Funding!AE66</f>
        <v>0</v>
      </c>
      <c r="AF75" s="20" t="n">
        <f aca="false">AG75+Funding!AF74*Funding!AF66</f>
        <v>0</v>
      </c>
      <c r="AG75" s="20" t="n">
        <f aca="false">AH75+Funding!AG74*Funding!AG66</f>
        <v>0</v>
      </c>
      <c r="AH75" s="20" t="n">
        <f aca="false">AI75+Funding!AH74*Funding!AH66</f>
        <v>0</v>
      </c>
      <c r="AI75" s="20" t="n">
        <f aca="false">AJ75+Funding!AI74*Funding!AI66</f>
        <v>0</v>
      </c>
      <c r="AJ75" s="20" t="n">
        <f aca="false">AK75+Funding!AJ74*Funding!AJ66</f>
        <v>0</v>
      </c>
      <c r="AK75" s="20" t="n">
        <f aca="false">AL75+Funding!AK74*Funding!AK66</f>
        <v>0</v>
      </c>
      <c r="AL75" s="20" t="n">
        <f aca="false">AM75+Funding!AL74*Funding!AL66</f>
        <v>0</v>
      </c>
      <c r="AM75" s="20" t="n">
        <f aca="false">AN75+Funding!AM74*Funding!AM66</f>
        <v>0</v>
      </c>
      <c r="AN75" s="20" t="n">
        <f aca="false">AO75+Funding!AN74*Funding!AN66</f>
        <v>0</v>
      </c>
      <c r="AO75" s="20" t="n">
        <f aca="false">AP75+Funding!AO74*Funding!AO66</f>
        <v>0</v>
      </c>
      <c r="AP75" s="20" t="n">
        <f aca="false">AQ75+Funding!AP74*Funding!AP66</f>
        <v>0</v>
      </c>
      <c r="AQ75" s="20" t="n">
        <f aca="false">AR75+Funding!AQ74*Funding!AQ66</f>
        <v>0</v>
      </c>
      <c r="AR75" s="20" t="n">
        <f aca="false">AS75+Funding!AR74*Funding!AR66</f>
        <v>0</v>
      </c>
      <c r="AS75" s="20" t="n">
        <f aca="false">AT75+Funding!AS74*Funding!AS66</f>
        <v>0</v>
      </c>
      <c r="AT75" s="20" t="n">
        <f aca="false">AU75+Funding!AT74*Funding!AT66</f>
        <v>0</v>
      </c>
      <c r="AU75" s="20" t="n">
        <f aca="false">AV75+Funding!AU74*Funding!AU66</f>
        <v>0</v>
      </c>
    </row>
    <row r="76" customFormat="false" ht="15" hidden="false" customHeight="false" outlineLevel="0" collapsed="false">
      <c r="D76" s="0" t="s">
        <v>953</v>
      </c>
      <c r="E76" s="0" t="s">
        <v>47</v>
      </c>
      <c r="J76" s="20" t="n">
        <f aca="false">K76+Funding!J74*Funding!J67</f>
        <v>82.3337462332161</v>
      </c>
      <c r="K76" s="20" t="n">
        <f aca="false">L76+Funding!K74*Funding!K67</f>
        <v>82.3337462332161</v>
      </c>
      <c r="L76" s="20" t="n">
        <f aca="false">M76+Funding!L74*Funding!L67</f>
        <v>82.3337462332161</v>
      </c>
      <c r="M76" s="20" t="n">
        <f aca="false">N76+Funding!M74*Funding!M67</f>
        <v>82.3337462332161</v>
      </c>
      <c r="N76" s="20" t="n">
        <f aca="false">O76+Funding!N74*Funding!N67</f>
        <v>82.3337462332161</v>
      </c>
      <c r="O76" s="20" t="n">
        <f aca="false">P76+Funding!O74*Funding!O67</f>
        <v>82.3337462332161</v>
      </c>
      <c r="P76" s="20" t="n">
        <f aca="false">Q76+Funding!P74*Funding!P67</f>
        <v>82.3337462332161</v>
      </c>
      <c r="Q76" s="20" t="n">
        <f aca="false">R76+Funding!Q74*Funding!Q67</f>
        <v>82.3337462332161</v>
      </c>
      <c r="R76" s="20" t="n">
        <f aca="false">S76+Funding!R74*Funding!R67</f>
        <v>82.3337462332161</v>
      </c>
      <c r="S76" s="20" t="n">
        <f aca="false">T76+Funding!S74*Funding!S67</f>
        <v>82.3337462332161</v>
      </c>
      <c r="T76" s="20" t="n">
        <f aca="false">U76+Funding!T74*Funding!T67</f>
        <v>82.3337462332161</v>
      </c>
      <c r="U76" s="20" t="n">
        <f aca="false">V76+Funding!U74*Funding!U67</f>
        <v>82.3337462332161</v>
      </c>
      <c r="V76" s="20" t="n">
        <f aca="false">W76+Funding!V74*Funding!V67</f>
        <v>66.8531161553908</v>
      </c>
      <c r="W76" s="20" t="n">
        <f aca="false">X76+Funding!W74*Funding!W67</f>
        <v>50.6370131354065</v>
      </c>
      <c r="X76" s="20" t="n">
        <f aca="false">Y76+Funding!X74*Funding!X67</f>
        <v>34.63912106544</v>
      </c>
      <c r="Y76" s="20" t="n">
        <f aca="false">Z76+Funding!Y74*Funding!Y67</f>
        <v>17.7827693742899</v>
      </c>
      <c r="Z76" s="20" t="n">
        <f aca="false">AA76+Funding!Z74*Funding!Z67</f>
        <v>0</v>
      </c>
      <c r="AA76" s="20" t="n">
        <f aca="false">AB76+Funding!AA74*Funding!AA67</f>
        <v>0</v>
      </c>
      <c r="AB76" s="20" t="n">
        <f aca="false">AC76+Funding!AB74*Funding!AB67</f>
        <v>0</v>
      </c>
      <c r="AC76" s="20" t="n">
        <f aca="false">AD76+Funding!AC74*Funding!AC67</f>
        <v>0</v>
      </c>
      <c r="AD76" s="20" t="n">
        <f aca="false">AE76+Funding!AD74*Funding!AD67</f>
        <v>0</v>
      </c>
      <c r="AE76" s="20" t="n">
        <f aca="false">AF76+Funding!AE74*Funding!AE67</f>
        <v>0</v>
      </c>
      <c r="AF76" s="20" t="n">
        <f aca="false">AG76+Funding!AF74*Funding!AF67</f>
        <v>0</v>
      </c>
      <c r="AG76" s="20" t="n">
        <f aca="false">AH76+Funding!AG74*Funding!AG67</f>
        <v>0</v>
      </c>
      <c r="AH76" s="20" t="n">
        <f aca="false">AI76+Funding!AH74*Funding!AH67</f>
        <v>0</v>
      </c>
      <c r="AI76" s="20" t="n">
        <f aca="false">AJ76+Funding!AI74*Funding!AI67</f>
        <v>0</v>
      </c>
      <c r="AJ76" s="20" t="n">
        <f aca="false">AK76+Funding!AJ74*Funding!AJ67</f>
        <v>0</v>
      </c>
      <c r="AK76" s="20" t="n">
        <f aca="false">AL76+Funding!AK74*Funding!AK67</f>
        <v>0</v>
      </c>
      <c r="AL76" s="20" t="n">
        <f aca="false">AM76+Funding!AL74*Funding!AL67</f>
        <v>0</v>
      </c>
      <c r="AM76" s="20" t="n">
        <f aca="false">AN76+Funding!AM74*Funding!AM67</f>
        <v>0</v>
      </c>
      <c r="AN76" s="20" t="n">
        <f aca="false">AO76+Funding!AN74*Funding!AN67</f>
        <v>0</v>
      </c>
      <c r="AO76" s="20" t="n">
        <f aca="false">AP76+Funding!AO74*Funding!AO67</f>
        <v>0</v>
      </c>
      <c r="AP76" s="20" t="n">
        <f aca="false">AQ76+Funding!AP74*Funding!AP67</f>
        <v>0</v>
      </c>
      <c r="AQ76" s="20" t="n">
        <f aca="false">AR76+Funding!AQ74*Funding!AQ67</f>
        <v>0</v>
      </c>
      <c r="AR76" s="20" t="n">
        <f aca="false">AS76+Funding!AR74*Funding!AR67</f>
        <v>0</v>
      </c>
      <c r="AS76" s="20" t="n">
        <f aca="false">AT76+Funding!AS74*Funding!AS67</f>
        <v>0</v>
      </c>
      <c r="AT76" s="20" t="n">
        <f aca="false">AU76+Funding!AT74*Funding!AT67</f>
        <v>0</v>
      </c>
      <c r="AU76" s="20" t="n">
        <f aca="false">AV76+Funding!AU74*Funding!AU67</f>
        <v>0</v>
      </c>
    </row>
    <row r="77" customFormat="false" ht="15" hidden="false" customHeight="false" outlineLevel="0" collapsed="false">
      <c r="D77" s="0" t="s">
        <v>954</v>
      </c>
      <c r="E77" s="0" t="s">
        <v>47</v>
      </c>
      <c r="J77" s="20" t="n">
        <f aca="false">K77+Funding!J74*Funding!J68</f>
        <v>130.092489598907</v>
      </c>
      <c r="K77" s="20" t="n">
        <f aca="false">L77+Funding!K74*Funding!K68</f>
        <v>130.092489598907</v>
      </c>
      <c r="L77" s="20" t="n">
        <f aca="false">M77+Funding!L74*Funding!L68</f>
        <v>130.092489598907</v>
      </c>
      <c r="M77" s="20" t="n">
        <f aca="false">N77+Funding!M74*Funding!M68</f>
        <v>130.092489598907</v>
      </c>
      <c r="N77" s="20" t="n">
        <f aca="false">O77+Funding!N74*Funding!N68</f>
        <v>130.092489598907</v>
      </c>
      <c r="O77" s="20" t="n">
        <f aca="false">P77+Funding!O74*Funding!O68</f>
        <v>130.092489598907</v>
      </c>
      <c r="P77" s="20" t="n">
        <f aca="false">Q77+Funding!P74*Funding!P68</f>
        <v>130.092489598907</v>
      </c>
      <c r="Q77" s="20" t="n">
        <f aca="false">R77+Funding!Q74*Funding!Q68</f>
        <v>130.092489598907</v>
      </c>
      <c r="R77" s="20" t="n">
        <f aca="false">S77+Funding!R74*Funding!R68</f>
        <v>130.092489598907</v>
      </c>
      <c r="S77" s="20" t="n">
        <f aca="false">T77+Funding!S74*Funding!S68</f>
        <v>130.092489598907</v>
      </c>
      <c r="T77" s="20" t="n">
        <f aca="false">U77+Funding!T74*Funding!T68</f>
        <v>130.092489598907</v>
      </c>
      <c r="U77" s="20" t="n">
        <f aca="false">V77+Funding!U74*Funding!U68</f>
        <v>130.092489598907</v>
      </c>
      <c r="V77" s="20" t="n">
        <f aca="false">W77+Funding!V74*Funding!V68</f>
        <v>130.092489598907</v>
      </c>
      <c r="W77" s="20" t="n">
        <f aca="false">X77+Funding!W74*Funding!W68</f>
        <v>130.092489598907</v>
      </c>
      <c r="X77" s="20" t="n">
        <f aca="false">Y77+Funding!X74*Funding!X68</f>
        <v>130.092489598907</v>
      </c>
      <c r="Y77" s="20" t="n">
        <f aca="false">Z77+Funding!Y74*Funding!Y68</f>
        <v>130.092489598907</v>
      </c>
      <c r="Z77" s="20" t="n">
        <f aca="false">AA77+Funding!Z74*Funding!Z68</f>
        <v>130.092489598907</v>
      </c>
      <c r="AA77" s="20" t="n">
        <f aca="false">AB77+Funding!AA74*Funding!AA68</f>
        <v>111.284720612223</v>
      </c>
      <c r="AB77" s="20" t="n">
        <f aca="false">AC77+Funding!AB74*Funding!AB68</f>
        <v>91.2766801100971</v>
      </c>
      <c r="AC77" s="20" t="n">
        <f aca="false">AD77+Funding!AC74*Funding!AC68</f>
        <v>69.9966635031964</v>
      </c>
      <c r="AD77" s="20" t="n">
        <f aca="false">AE77+Funding!AD74*Funding!AD68</f>
        <v>47.3761665268362</v>
      </c>
      <c r="AE77" s="20" t="n">
        <f aca="false">AF77+Funding!AE74*Funding!AE68</f>
        <v>23.3350032648462</v>
      </c>
      <c r="AF77" s="20" t="n">
        <f aca="false">AG77+Funding!AF74*Funding!AF68</f>
        <v>0</v>
      </c>
      <c r="AG77" s="20" t="n">
        <f aca="false">AH77+Funding!AG74*Funding!AG68</f>
        <v>0</v>
      </c>
      <c r="AH77" s="20" t="n">
        <f aca="false">AI77+Funding!AH74*Funding!AH68</f>
        <v>0</v>
      </c>
      <c r="AI77" s="20" t="n">
        <f aca="false">AJ77+Funding!AI74*Funding!AI68</f>
        <v>0</v>
      </c>
      <c r="AJ77" s="20" t="n">
        <f aca="false">AK77+Funding!AJ74*Funding!AJ68</f>
        <v>0</v>
      </c>
      <c r="AK77" s="20" t="n">
        <f aca="false">AL77+Funding!AK74*Funding!AK68</f>
        <v>0</v>
      </c>
      <c r="AL77" s="20" t="n">
        <f aca="false">AM77+Funding!AL74*Funding!AL68</f>
        <v>0</v>
      </c>
      <c r="AM77" s="20" t="n">
        <f aca="false">AN77+Funding!AM74*Funding!AM68</f>
        <v>0</v>
      </c>
      <c r="AN77" s="20" t="n">
        <f aca="false">AO77+Funding!AN74*Funding!AN68</f>
        <v>0</v>
      </c>
      <c r="AO77" s="20" t="n">
        <f aca="false">AP77+Funding!AO74*Funding!AO68</f>
        <v>0</v>
      </c>
      <c r="AP77" s="20" t="n">
        <f aca="false">AQ77+Funding!AP74*Funding!AP68</f>
        <v>0</v>
      </c>
      <c r="AQ77" s="20" t="n">
        <f aca="false">AR77+Funding!AQ74*Funding!AQ68</f>
        <v>0</v>
      </c>
      <c r="AR77" s="20" t="n">
        <f aca="false">AS77+Funding!AR74*Funding!AR68</f>
        <v>0</v>
      </c>
      <c r="AS77" s="20" t="n">
        <f aca="false">AT77+Funding!AS74*Funding!AS68</f>
        <v>0</v>
      </c>
      <c r="AT77" s="20" t="n">
        <f aca="false">AU77+Funding!AT74*Funding!AT68</f>
        <v>0</v>
      </c>
      <c r="AU77" s="20" t="n">
        <f aca="false">AV77+Funding!AU74*Funding!AU68</f>
        <v>0</v>
      </c>
    </row>
    <row r="78" customFormat="false" ht="15" hidden="false" customHeight="false" outlineLevel="0" collapsed="false">
      <c r="D78" s="0" t="s">
        <v>955</v>
      </c>
      <c r="E78" s="0" t="s">
        <v>47</v>
      </c>
      <c r="J78" s="20" t="n">
        <f aca="false">(Funding!J75+Funding!J76+Funding!J77)*Funding!J69</f>
        <v>0</v>
      </c>
      <c r="K78" s="20" t="n">
        <f aca="false">(Funding!K75+Funding!K76+Funding!K77)*Funding!K69</f>
        <v>0</v>
      </c>
      <c r="L78" s="20" t="n">
        <f aca="false">(Funding!L75+Funding!L76+Funding!L77)*Funding!L69</f>
        <v>0</v>
      </c>
      <c r="M78" s="20" t="n">
        <f aca="false">(Funding!M75+Funding!M76+Funding!M77)*Funding!M69</f>
        <v>0</v>
      </c>
      <c r="N78" s="20" t="n">
        <f aca="false">(Funding!N75+Funding!N76+Funding!N77)*Funding!N69</f>
        <v>355.23779963863</v>
      </c>
      <c r="O78" s="20" t="n">
        <f aca="false">(Funding!O75+Funding!O76+Funding!O77)*Funding!O69</f>
        <v>331.10218165993</v>
      </c>
      <c r="P78" s="20" t="n">
        <f aca="false">(Funding!P75+Funding!P76+Funding!P77)*Funding!P69</f>
        <v>307.755944047818</v>
      </c>
      <c r="Q78" s="20" t="n">
        <f aca="false">(Funding!Q75+Funding!Q76+Funding!Q77)*Funding!Q69</f>
        <v>286.146561969485</v>
      </c>
      <c r="R78" s="20" t="n">
        <f aca="false">(Funding!R75+Funding!R76+Funding!R77)*Funding!R69</f>
        <v>263.707496863836</v>
      </c>
      <c r="S78" s="20" t="n">
        <f aca="false">(Funding!S75+Funding!S76+Funding!S77)*Funding!S69</f>
        <v>245.218810211095</v>
      </c>
      <c r="T78" s="20" t="n">
        <f aca="false">(Funding!T75+Funding!T76+Funding!T77)*Funding!T69</f>
        <v>228.219342297658</v>
      </c>
      <c r="U78" s="20" t="n">
        <f aca="false">(Funding!U75+Funding!U76+Funding!U77)*Funding!U69</f>
        <v>212.426235832124</v>
      </c>
      <c r="V78" s="20" t="n">
        <f aca="false">(Funding!V75+Funding!V76+Funding!V77)*Funding!V69</f>
        <v>196.945605754298</v>
      </c>
      <c r="W78" s="20" t="n">
        <f aca="false">(Funding!W75+Funding!W76+Funding!W77)*Funding!W69</f>
        <v>180.729502734314</v>
      </c>
      <c r="X78" s="20" t="n">
        <f aca="false">(Funding!X75+Funding!X76+Funding!X77)*Funding!X69</f>
        <v>164.731610664347</v>
      </c>
      <c r="Y78" s="20" t="n">
        <f aca="false">(Funding!Y75+Funding!Y76+Funding!Y77)*Funding!Y69</f>
        <v>147.875258973197</v>
      </c>
      <c r="Z78" s="20" t="n">
        <f aca="false">(Funding!Z75+Funding!Z76+Funding!Z77)*Funding!Z69</f>
        <v>130.092489598907</v>
      </c>
      <c r="AA78" s="20" t="n">
        <f aca="false">(Funding!AA75+Funding!AA76+Funding!AA77)*Funding!AA69</f>
        <v>111.284720612223</v>
      </c>
      <c r="AB78" s="20" t="n">
        <f aca="false">(Funding!AB75+Funding!AB76+Funding!AB77)*Funding!AB69</f>
        <v>91.2766801100971</v>
      </c>
      <c r="AC78" s="20" t="n">
        <f aca="false">(Funding!AC75+Funding!AC76+Funding!AC77)*Funding!AC69</f>
        <v>69.9966635031964</v>
      </c>
      <c r="AD78" s="20" t="n">
        <f aca="false">(Funding!AD75+Funding!AD76+Funding!AD77)*Funding!AD69</f>
        <v>47.3761665268362</v>
      </c>
      <c r="AE78" s="20" t="n">
        <f aca="false">(Funding!AE75+Funding!AE76+Funding!AE77)*Funding!AE69</f>
        <v>23.3350032648462</v>
      </c>
      <c r="AF78" s="20" t="n">
        <f aca="false">(Funding!AF75+Funding!AF76+Funding!AF77)*Funding!AF69</f>
        <v>0</v>
      </c>
      <c r="AG78" s="20" t="n">
        <f aca="false">(Funding!AG75+Funding!AG76+Funding!AG77)*Funding!AG69</f>
        <v>0</v>
      </c>
      <c r="AH78" s="20" t="n">
        <f aca="false">(Funding!AH75+Funding!AH76+Funding!AH77)*Funding!AH69</f>
        <v>0</v>
      </c>
      <c r="AI78" s="20" t="n">
        <f aca="false">(Funding!AI75+Funding!AI76+Funding!AI77)*Funding!AI69</f>
        <v>0</v>
      </c>
      <c r="AJ78" s="20" t="n">
        <f aca="false">(Funding!AJ75+Funding!AJ76+Funding!AJ77)*Funding!AJ69</f>
        <v>0</v>
      </c>
      <c r="AK78" s="20" t="n">
        <f aca="false">(Funding!AK75+Funding!AK76+Funding!AK77)*Funding!AK69</f>
        <v>0</v>
      </c>
      <c r="AL78" s="20" t="n">
        <f aca="false">(Funding!AL75+Funding!AL76+Funding!AL77)*Funding!AL69</f>
        <v>0</v>
      </c>
      <c r="AM78" s="20" t="n">
        <f aca="false">(Funding!AM75+Funding!AM76+Funding!AM77)*Funding!AM69</f>
        <v>0</v>
      </c>
      <c r="AN78" s="20" t="n">
        <f aca="false">(Funding!AN75+Funding!AN76+Funding!AN77)*Funding!AN69</f>
        <v>0</v>
      </c>
      <c r="AO78" s="20" t="n">
        <f aca="false">(Funding!AO75+Funding!AO76+Funding!AO77)*Funding!AO69</f>
        <v>0</v>
      </c>
      <c r="AP78" s="20" t="n">
        <f aca="false">(Funding!AP75+Funding!AP76+Funding!AP77)*Funding!AP69</f>
        <v>0</v>
      </c>
      <c r="AQ78" s="20" t="n">
        <f aca="false">(Funding!AQ75+Funding!AQ76+Funding!AQ77)*Funding!AQ69</f>
        <v>0</v>
      </c>
      <c r="AR78" s="20" t="n">
        <f aca="false">(Funding!AR75+Funding!AR76+Funding!AR77)*Funding!AR69</f>
        <v>0</v>
      </c>
      <c r="AS78" s="20" t="n">
        <f aca="false">(Funding!AS75+Funding!AS76+Funding!AS77)*Funding!AS69</f>
        <v>0</v>
      </c>
      <c r="AT78" s="20" t="n">
        <f aca="false">(Funding!AT75+Funding!AT76+Funding!AT77)*Funding!AT69</f>
        <v>0</v>
      </c>
      <c r="AU78" s="20" t="n">
        <f aca="false">(Funding!AU75+Funding!AU76+Funding!AU77)*Funding!AU69</f>
        <v>0</v>
      </c>
    </row>
    <row r="79" customFormat="false" ht="15" hidden="false" customHeight="false" outlineLevel="0" collapsed="false">
      <c r="D79" s="0" t="s">
        <v>956</v>
      </c>
      <c r="E79" s="0" t="s">
        <v>47</v>
      </c>
      <c r="G79" s="20" t="n">
        <f aca="false">SUM(J79:AU79)</f>
        <v>210.666616273775</v>
      </c>
      <c r="J79" s="20" t="n">
        <f aca="false">(Inputs!$F$318/100*Funding!J75+Inputs!$F$320/100*Funding!J76+Inputs!$F$322/100*Funding!J77)*Funding!J69</f>
        <v>0</v>
      </c>
      <c r="K79" s="20" t="n">
        <f aca="false">(Inputs!$F$318/100*Funding!K75+Inputs!$F$320/100*Funding!K76+Inputs!$F$322/100*Funding!K77)*Funding!K69</f>
        <v>0</v>
      </c>
      <c r="L79" s="20" t="n">
        <f aca="false">(Inputs!$F$318/100*Funding!L75+Inputs!$F$320/100*Funding!L76+Inputs!$F$322/100*Funding!L77)*Funding!L69</f>
        <v>0</v>
      </c>
      <c r="M79" s="20" t="n">
        <f aca="false">(Inputs!$F$318/100*Funding!M75+Inputs!$F$320/100*Funding!M76+Inputs!$F$322/100*Funding!M77)*Funding!M69</f>
        <v>0</v>
      </c>
      <c r="N79" s="20" t="n">
        <f aca="false">(Inputs!$F$318/100*Funding!N75+Inputs!$F$320/100*Funding!N76+Inputs!$F$322/100*Funding!N77)*Funding!N69</f>
        <v>21.4733421497013</v>
      </c>
      <c r="O79" s="20" t="n">
        <f aca="false">(Inputs!$F$318/100*Funding!O75+Inputs!$F$320/100*Funding!O76+Inputs!$F$322/100*Funding!O77)*Funding!O69</f>
        <v>20.0951983631175</v>
      </c>
      <c r="P79" s="20" t="n">
        <f aca="false">(Inputs!$F$318/100*Funding!P75+Inputs!$F$320/100*Funding!P76+Inputs!$F$322/100*Funding!P77)*Funding!P69</f>
        <v>18.7621281954659</v>
      </c>
      <c r="Q79" s="20" t="n">
        <f aca="false">(Inputs!$F$318/100*Funding!Q75+Inputs!$F$320/100*Funding!Q76+Inputs!$F$322/100*Funding!Q77)*Funding!Q69</f>
        <v>17.5282324787931</v>
      </c>
      <c r="R79" s="20" t="n">
        <f aca="false">(Inputs!$F$318/100*Funding!R75+Inputs!$F$320/100*Funding!R76+Inputs!$F$322/100*Funding!R77)*Funding!R69</f>
        <v>16.2469618612605</v>
      </c>
      <c r="S79" s="20" t="n">
        <f aca="false">(Inputs!$F$318/100*Funding!S75+Inputs!$F$320/100*Funding!S76+Inputs!$F$322/100*Funding!S77)*Funding!S69</f>
        <v>15.191257853389</v>
      </c>
      <c r="T79" s="20" t="n">
        <f aca="false">(Inputs!$F$318/100*Funding!T75+Inputs!$F$320/100*Funding!T76+Inputs!$F$322/100*Funding!T77)*Funding!T69</f>
        <v>14.2205882355317</v>
      </c>
      <c r="U79" s="20" t="n">
        <f aca="false">(Inputs!$F$318/100*Funding!U75+Inputs!$F$320/100*Funding!U76+Inputs!$F$322/100*Funding!U77)*Funding!U69</f>
        <v>13.3188018563497</v>
      </c>
      <c r="V79" s="20" t="n">
        <f aca="false">(Inputs!$F$318/100*Funding!V75+Inputs!$F$320/100*Funding!V76+Inputs!$F$322/100*Funding!V77)*Funding!V69</f>
        <v>12.3775795476179</v>
      </c>
      <c r="W79" s="20" t="n">
        <f aca="false">(Inputs!$F$318/100*Funding!W75+Inputs!$F$320/100*Funding!W76+Inputs!$F$322/100*Funding!W77)*Funding!W69</f>
        <v>11.3916404840029</v>
      </c>
      <c r="X79" s="20" t="n">
        <f aca="false">(Inputs!$F$318/100*Funding!X75+Inputs!$F$320/100*Funding!X76+Inputs!$F$322/100*Funding!X77)*Funding!X69</f>
        <v>10.4189686461489</v>
      </c>
      <c r="Y79" s="20" t="n">
        <f aca="false">(Inputs!$F$318/100*Funding!Y75+Inputs!$F$320/100*Funding!Y76+Inputs!$F$322/100*Funding!Y77)*Funding!Y69</f>
        <v>9.39410246332701</v>
      </c>
      <c r="Z79" s="20" t="n">
        <f aca="false">(Inputs!$F$318/100*Funding!Z75+Inputs!$F$320/100*Funding!Z76+Inputs!$F$322/100*Funding!Z77)*Funding!Z69</f>
        <v>8.31291008537018</v>
      </c>
      <c r="AA79" s="20" t="n">
        <f aca="false">(Inputs!$F$318/100*Funding!AA75+Inputs!$F$320/100*Funding!AA76+Inputs!$F$322/100*Funding!AA77)*Funding!AA69</f>
        <v>7.11109364712107</v>
      </c>
      <c r="AB79" s="20" t="n">
        <f aca="false">(Inputs!$F$318/100*Funding!AB75+Inputs!$F$320/100*Funding!AB76+Inputs!$F$322/100*Funding!AB77)*Funding!AB69</f>
        <v>5.8325798590352</v>
      </c>
      <c r="AC79" s="20" t="n">
        <f aca="false">(Inputs!$F$318/100*Funding!AC75+Inputs!$F$320/100*Funding!AC76+Inputs!$F$322/100*Funding!AC77)*Funding!AC69</f>
        <v>4.47278679785425</v>
      </c>
      <c r="AD79" s="20" t="n">
        <f aca="false">(Inputs!$F$318/100*Funding!AD75+Inputs!$F$320/100*Funding!AD76+Inputs!$F$322/100*Funding!AD77)*Funding!AD69</f>
        <v>3.02733704106484</v>
      </c>
      <c r="AE79" s="20" t="n">
        <f aca="false">(Inputs!$F$318/100*Funding!AE75+Inputs!$F$320/100*Funding!AE76+Inputs!$F$322/100*Funding!AE77)*Funding!AE69</f>
        <v>1.49110670862367</v>
      </c>
      <c r="AF79" s="20" t="n">
        <f aca="false">(Inputs!$F$318/100*Funding!AF75+Inputs!$F$320/100*Funding!AF76+Inputs!$F$322/100*Funding!AF77)*Funding!AF69</f>
        <v>0</v>
      </c>
      <c r="AG79" s="20" t="n">
        <f aca="false">(Inputs!$F$318/100*Funding!AG75+Inputs!$F$320/100*Funding!AG76+Inputs!$F$322/100*Funding!AG77)*Funding!AG69</f>
        <v>0</v>
      </c>
      <c r="AH79" s="20" t="n">
        <f aca="false">(Inputs!$F$318/100*Funding!AH75+Inputs!$F$320/100*Funding!AH76+Inputs!$F$322/100*Funding!AH77)*Funding!AH69</f>
        <v>0</v>
      </c>
      <c r="AI79" s="20" t="n">
        <f aca="false">(Inputs!$F$318/100*Funding!AI75+Inputs!$F$320/100*Funding!AI76+Inputs!$F$322/100*Funding!AI77)*Funding!AI69</f>
        <v>0</v>
      </c>
      <c r="AJ79" s="20" t="n">
        <f aca="false">(Inputs!$F$318/100*Funding!AJ75+Inputs!$F$320/100*Funding!AJ76+Inputs!$F$322/100*Funding!AJ77)*Funding!AJ69</f>
        <v>0</v>
      </c>
      <c r="AK79" s="20" t="n">
        <f aca="false">(Inputs!$F$318/100*Funding!AK75+Inputs!$F$320/100*Funding!AK76+Inputs!$F$322/100*Funding!AK77)*Funding!AK69</f>
        <v>0</v>
      </c>
      <c r="AL79" s="20" t="n">
        <f aca="false">(Inputs!$F$318/100*Funding!AL75+Inputs!$F$320/100*Funding!AL76+Inputs!$F$322/100*Funding!AL77)*Funding!AL69</f>
        <v>0</v>
      </c>
      <c r="AM79" s="20" t="n">
        <f aca="false">(Inputs!$F$318/100*Funding!AM75+Inputs!$F$320/100*Funding!AM76+Inputs!$F$322/100*Funding!AM77)*Funding!AM69</f>
        <v>0</v>
      </c>
      <c r="AN79" s="20" t="n">
        <f aca="false">(Inputs!$F$318/100*Funding!AN75+Inputs!$F$320/100*Funding!AN76+Inputs!$F$322/100*Funding!AN77)*Funding!AN69</f>
        <v>0</v>
      </c>
      <c r="AO79" s="20" t="n">
        <f aca="false">(Inputs!$F$318/100*Funding!AO75+Inputs!$F$320/100*Funding!AO76+Inputs!$F$322/100*Funding!AO77)*Funding!AO69</f>
        <v>0</v>
      </c>
      <c r="AP79" s="20" t="n">
        <f aca="false">(Inputs!$F$318/100*Funding!AP75+Inputs!$F$320/100*Funding!AP76+Inputs!$F$322/100*Funding!AP77)*Funding!AP69</f>
        <v>0</v>
      </c>
      <c r="AQ79" s="20" t="n">
        <f aca="false">(Inputs!$F$318/100*Funding!AQ75+Inputs!$F$320/100*Funding!AQ76+Inputs!$F$322/100*Funding!AQ77)*Funding!AQ69</f>
        <v>0</v>
      </c>
      <c r="AR79" s="20" t="n">
        <f aca="false">(Inputs!$F$318/100*Funding!AR75+Inputs!$F$320/100*Funding!AR76+Inputs!$F$322/100*Funding!AR77)*Funding!AR69</f>
        <v>0</v>
      </c>
      <c r="AS79" s="20" t="n">
        <f aca="false">(Inputs!$F$318/100*Funding!AS75+Inputs!$F$320/100*Funding!AS76+Inputs!$F$322/100*Funding!AS77)*Funding!AS69</f>
        <v>0</v>
      </c>
      <c r="AT79" s="20" t="n">
        <f aca="false">(Inputs!$F$318/100*Funding!AT75+Inputs!$F$320/100*Funding!AT76+Inputs!$F$322/100*Funding!AT77)*Funding!AT69</f>
        <v>0</v>
      </c>
      <c r="AU79" s="20" t="n">
        <f aca="false">(Inputs!$F$318/100*Funding!AU75+Inputs!$F$320/100*Funding!AU76+Inputs!$F$322/100*Funding!AU77)*Funding!AU69</f>
        <v>0</v>
      </c>
    </row>
    <row r="80" customFormat="false" ht="15" hidden="false" customHeight="false" outlineLevel="0" collapsed="false">
      <c r="D80" s="0" t="s">
        <v>957</v>
      </c>
      <c r="E80" s="0" t="s">
        <v>47</v>
      </c>
      <c r="F80" s="20" t="n">
        <f aca="false">SUMIF(Time!$J$4:$AU$4,Inputs!$F$316,Funding!$J$75:$AU$75)</f>
        <v>142.811563806507</v>
      </c>
    </row>
    <row r="81" customFormat="false" ht="15" hidden="false" customHeight="false" outlineLevel="0" collapsed="false">
      <c r="D81" s="0" t="s">
        <v>958</v>
      </c>
      <c r="E81" s="0" t="s">
        <v>47</v>
      </c>
      <c r="F81" s="20" t="n">
        <f aca="false">SUMIF(Time!$J$4:$AU$4,Inputs!$F$316,Funding!$J$76:$AU$76)</f>
        <v>82.3337462332161</v>
      </c>
    </row>
    <row r="82" customFormat="false" ht="15" hidden="false" customHeight="false" outlineLevel="0" collapsed="false">
      <c r="D82" s="0" t="s">
        <v>959</v>
      </c>
      <c r="E82" s="0" t="s">
        <v>47</v>
      </c>
      <c r="F82" s="20" t="n">
        <f aca="false">SUMIF(Time!$J$4:$AU$4,Inputs!$F$316,Funding!$J$77:$AU$77)</f>
        <v>130.092489598907</v>
      </c>
    </row>
    <row r="83" customFormat="false" ht="15" hidden="false" customHeight="false" outlineLevel="0" collapsed="false">
      <c r="D83" s="0" t="s">
        <v>960</v>
      </c>
      <c r="E83" s="0" t="s">
        <v>47</v>
      </c>
      <c r="F83" s="20" t="n">
        <f aca="false">Funding!$F$80+Funding!$F$81+Funding!$F$82</f>
        <v>355.23779963863</v>
      </c>
    </row>
    <row r="84" customFormat="false" ht="15" hidden="false" customHeight="false" outlineLevel="0" collapsed="false">
      <c r="D84" s="0" t="s">
        <v>961</v>
      </c>
      <c r="E84" s="0" t="s">
        <v>84</v>
      </c>
      <c r="F84" s="15" t="n">
        <f aca="false">100*Funding!$F$80/Funding!$F$83</f>
        <v>40.2016801004238</v>
      </c>
    </row>
    <row r="85" customFormat="false" ht="15" hidden="false" customHeight="false" outlineLevel="0" collapsed="false">
      <c r="D85" s="0" t="s">
        <v>962</v>
      </c>
      <c r="E85" s="0" t="s">
        <v>84</v>
      </c>
      <c r="F85" s="15" t="n">
        <f aca="false">100*Funding!$F$81/Funding!$F$83</f>
        <v>23.1770792176314</v>
      </c>
    </row>
    <row r="86" customFormat="false" ht="15" hidden="false" customHeight="false" outlineLevel="0" collapsed="false">
      <c r="D86" s="0" t="s">
        <v>963</v>
      </c>
      <c r="E86" s="0" t="s">
        <v>84</v>
      </c>
      <c r="F86" s="15" t="n">
        <f aca="false">100*Funding!$F$82/Funding!$F$83</f>
        <v>36.6212406819448</v>
      </c>
    </row>
    <row r="87" customFormat="false" ht="15" hidden="false" customHeight="false" outlineLevel="0" collapsed="false">
      <c r="D87" s="0" t="s">
        <v>964</v>
      </c>
      <c r="E87" s="0" t="s">
        <v>84</v>
      </c>
      <c r="F87" s="15" t="n">
        <f aca="false">(Funding!$F$80*Inputs!$F$318+Funding!$F$81*Inputs!$F$320+Funding!$F$82*Inputs!$F$322)/Funding!$F$83</f>
        <v>6.04477962974246</v>
      </c>
    </row>
    <row r="88" customFormat="false" ht="15" hidden="false" customHeight="false" outlineLevel="0" collapsed="false">
      <c r="D88" s="0" t="s">
        <v>965</v>
      </c>
      <c r="E88" s="0" t="s">
        <v>27</v>
      </c>
      <c r="J88" s="14" t="n">
        <f aca="false">(1+Funding!$F$87/100)^(-(Time!J$4-Inputs!$F$314))*Funding!J69</f>
        <v>0</v>
      </c>
      <c r="K88" s="14" t="n">
        <f aca="false">(1+Funding!$F$87/100)^(-(Time!K$4-Inputs!$F$314))*Funding!K69</f>
        <v>0</v>
      </c>
      <c r="L88" s="14" t="n">
        <f aca="false">(1+Funding!$F$87/100)^(-(Time!L$4-Inputs!$F$314))*Funding!L69</f>
        <v>0</v>
      </c>
      <c r="M88" s="14" t="n">
        <f aca="false">(1+Funding!$F$87/100)^(-(Time!M$4-Inputs!$F$314))*Funding!M69</f>
        <v>0</v>
      </c>
      <c r="N88" s="14" t="n">
        <f aca="false">(1+Funding!$F$87/100)^(-(Time!N$4-Inputs!$F$314))*Funding!N69</f>
        <v>0.942997857595179</v>
      </c>
      <c r="O88" s="14" t="n">
        <f aca="false">(1+Funding!$F$87/100)^(-(Time!O$4-Inputs!$F$314))*Funding!O69</f>
        <v>0.889244959429097</v>
      </c>
      <c r="P88" s="14" t="n">
        <f aca="false">(1+Funding!$F$87/100)^(-(Time!P$4-Inputs!$F$314))*Funding!P69</f>
        <v>0.83855609161895</v>
      </c>
      <c r="Q88" s="14" t="n">
        <f aca="false">(1+Funding!$F$87/100)^(-(Time!Q$4-Inputs!$F$314))*Funding!Q69</f>
        <v>0.790756597870057</v>
      </c>
      <c r="R88" s="14" t="n">
        <f aca="false">(1+Funding!$F$87/100)^(-(Time!R$4-Inputs!$F$314))*Funding!R69</f>
        <v>0.745681777670716</v>
      </c>
      <c r="S88" s="14" t="n">
        <f aca="false">(1+Funding!$F$87/100)^(-(Time!S$4-Inputs!$F$314))*Funding!S69</f>
        <v>0.703176318791249</v>
      </c>
      <c r="T88" s="14" t="n">
        <f aca="false">(1+Funding!$F$87/100)^(-(Time!T$4-Inputs!$F$314))*Funding!T69</f>
        <v>0.663093762131813</v>
      </c>
      <c r="U88" s="14" t="n">
        <f aca="false">(1+Funding!$F$87/100)^(-(Time!U$4-Inputs!$F$314))*Funding!U69</f>
        <v>0.625295997075027</v>
      </c>
      <c r="V88" s="14" t="n">
        <f aca="false">(1+Funding!$F$87/100)^(-(Time!V$4-Inputs!$F$314))*Funding!V69</f>
        <v>0.589652785604591</v>
      </c>
      <c r="W88" s="14" t="n">
        <f aca="false">(1+Funding!$F$87/100)^(-(Time!W$4-Inputs!$F$314))*Funding!W69</f>
        <v>0.556041313550159</v>
      </c>
      <c r="X88" s="14" t="n">
        <f aca="false">(1+Funding!$F$87/100)^(-(Time!X$4-Inputs!$F$314))*Funding!X69</f>
        <v>0.524345767412209</v>
      </c>
      <c r="Y88" s="14" t="n">
        <f aca="false">(1+Funding!$F$87/100)^(-(Time!Y$4-Inputs!$F$314))*Funding!Y69</f>
        <v>0.494456935308813</v>
      </c>
      <c r="Z88" s="14" t="n">
        <f aca="false">(1+Funding!$F$87/100)^(-(Time!Z$4-Inputs!$F$314))*Funding!Z69</f>
        <v>0.466271830669289</v>
      </c>
      <c r="AA88" s="14" t="n">
        <f aca="false">(1+Funding!$F$87/100)^(-(Time!AA$4-Inputs!$F$314))*Funding!AA69</f>
        <v>0.439693337378121</v>
      </c>
      <c r="AB88" s="14" t="n">
        <f aca="false">(1+Funding!$F$87/100)^(-(Time!AB$4-Inputs!$F$314))*Funding!AB69</f>
        <v>0.414629875146442</v>
      </c>
      <c r="AC88" s="14" t="n">
        <f aca="false">(1+Funding!$F$87/100)^(-(Time!AC$4-Inputs!$F$314))*Funding!AC69</f>
        <v>0.390995083958052</v>
      </c>
      <c r="AD88" s="14" t="n">
        <f aca="false">(1+Funding!$F$87/100)^(-(Time!AD$4-Inputs!$F$314))*Funding!AD69</f>
        <v>0.36870752650269</v>
      </c>
      <c r="AE88" s="14" t="n">
        <f aca="false">(1+Funding!$F$87/100)^(-(Time!AE$4-Inputs!$F$314))*Funding!AE69</f>
        <v>0.347690407571254</v>
      </c>
      <c r="AF88" s="14" t="n">
        <f aca="false">(1+Funding!$F$87/100)^(-(Time!AF$4-Inputs!$F$314))*Funding!AF69</f>
        <v>0</v>
      </c>
      <c r="AG88" s="14" t="n">
        <f aca="false">(1+Funding!$F$87/100)^(-(Time!AG$4-Inputs!$F$314))*Funding!AG69</f>
        <v>0</v>
      </c>
      <c r="AH88" s="14" t="n">
        <f aca="false">(1+Funding!$F$87/100)^(-(Time!AH$4-Inputs!$F$314))*Funding!AH69</f>
        <v>0</v>
      </c>
      <c r="AI88" s="14" t="n">
        <f aca="false">(1+Funding!$F$87/100)^(-(Time!AI$4-Inputs!$F$314))*Funding!AI69</f>
        <v>0</v>
      </c>
      <c r="AJ88" s="14" t="n">
        <f aca="false">(1+Funding!$F$87/100)^(-(Time!AJ$4-Inputs!$F$314))*Funding!AJ69</f>
        <v>0</v>
      </c>
      <c r="AK88" s="14" t="n">
        <f aca="false">(1+Funding!$F$87/100)^(-(Time!AK$4-Inputs!$F$314))*Funding!AK69</f>
        <v>0</v>
      </c>
      <c r="AL88" s="14" t="n">
        <f aca="false">(1+Funding!$F$87/100)^(-(Time!AL$4-Inputs!$F$314))*Funding!AL69</f>
        <v>0</v>
      </c>
      <c r="AM88" s="14" t="n">
        <f aca="false">(1+Funding!$F$87/100)^(-(Time!AM$4-Inputs!$F$314))*Funding!AM69</f>
        <v>0</v>
      </c>
      <c r="AN88" s="14" t="n">
        <f aca="false">(1+Funding!$F$87/100)^(-(Time!AN$4-Inputs!$F$314))*Funding!AN69</f>
        <v>0</v>
      </c>
      <c r="AO88" s="14" t="n">
        <f aca="false">(1+Funding!$F$87/100)^(-(Time!AO$4-Inputs!$F$314))*Funding!AO69</f>
        <v>0</v>
      </c>
      <c r="AP88" s="14" t="n">
        <f aca="false">(1+Funding!$F$87/100)^(-(Time!AP$4-Inputs!$F$314))*Funding!AP69</f>
        <v>0</v>
      </c>
      <c r="AQ88" s="14" t="n">
        <f aca="false">(1+Funding!$F$87/100)^(-(Time!AQ$4-Inputs!$F$314))*Funding!AQ69</f>
        <v>0</v>
      </c>
      <c r="AR88" s="14" t="n">
        <f aca="false">(1+Funding!$F$87/100)^(-(Time!AR$4-Inputs!$F$314))*Funding!AR69</f>
        <v>0</v>
      </c>
      <c r="AS88" s="14" t="n">
        <f aca="false">(1+Funding!$F$87/100)^(-(Time!AS$4-Inputs!$F$314))*Funding!AS69</f>
        <v>0</v>
      </c>
      <c r="AT88" s="14" t="n">
        <f aca="false">(1+Funding!$F$87/100)^(-(Time!AT$4-Inputs!$F$314))*Funding!AT69</f>
        <v>0</v>
      </c>
      <c r="AU88" s="14" t="n">
        <f aca="false">(1+Funding!$F$87/100)^(-(Time!AU$4-Inputs!$F$314))*Funding!AU69</f>
        <v>0</v>
      </c>
    </row>
    <row r="89" customFormat="false" ht="15" hidden="false" customHeight="false" outlineLevel="0" collapsed="false">
      <c r="D89" s="0" t="s">
        <v>966</v>
      </c>
      <c r="E89" s="0" t="s">
        <v>47</v>
      </c>
      <c r="F89" s="20" t="n">
        <f aca="false">SUMPRODUCT(Operations!$J$831:$AU$831/Inputs!$F$323,Funding!$J$88:$AU$88)</f>
        <v>121.44871979737</v>
      </c>
    </row>
    <row r="90" customFormat="false" ht="15" hidden="false" customHeight="false" outlineLevel="0" collapsed="false">
      <c r="D90" s="0" t="s">
        <v>967</v>
      </c>
      <c r="E90" s="0" t="s">
        <v>47</v>
      </c>
      <c r="F90" s="20" t="n">
        <f aca="false">SUMPRODUCT(Operations!$J$832:$AU$832/Inputs!$F$324,Funding!$J$88:$AU$88)</f>
        <v>32.1292443169973</v>
      </c>
    </row>
    <row r="91" customFormat="false" ht="15" hidden="false" customHeight="false" outlineLevel="0" collapsed="false">
      <c r="D91" s="0" t="s">
        <v>968</v>
      </c>
      <c r="E91" s="0" t="s">
        <v>47</v>
      </c>
      <c r="F91" s="20" t="n">
        <f aca="false">SUMPRODUCT(Operations!$J$833:$AU$833/Inputs!$F$325,Funding!$J$88:$AU$88)</f>
        <v>204.813457484392</v>
      </c>
    </row>
    <row r="92" customFormat="false" ht="15" hidden="false" customHeight="false" outlineLevel="0" collapsed="false">
      <c r="D92" s="0" t="s">
        <v>912</v>
      </c>
      <c r="E92" s="0" t="s">
        <v>51</v>
      </c>
      <c r="F92" s="12" t="n">
        <f aca="false">SUMPRODUCT(--(Funding!$J$72:$AU$72&lt;Funding!$J$71:$AU$71),--(Funding!$J$69:$AU$69&gt;0))</f>
        <v>0</v>
      </c>
    </row>
    <row r="94" customFormat="false" ht="15" hidden="false" customHeight="false" outlineLevel="0" collapsed="false">
      <c r="A94" s="4" t="s">
        <v>969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</row>
    <row r="95" customFormat="false" ht="15" hidden="false" customHeight="false" outlineLevel="0" collapsed="false">
      <c r="D95" s="0" t="s">
        <v>933</v>
      </c>
      <c r="E95" s="0" t="s">
        <v>458</v>
      </c>
      <c r="J95" s="14" t="n">
        <f aca="false">MAX(0,MIN(Inputs!$F$330,Time!J$6)-MAX(Inputs!$F$315,Time!J$5))/Time!J$7</f>
        <v>0</v>
      </c>
      <c r="K95" s="14" t="n">
        <f aca="false">MAX(0,MIN(Inputs!$F$330,Time!K$6)-MAX(Inputs!$F$315,Time!K$5))/Time!K$7</f>
        <v>0</v>
      </c>
      <c r="L95" s="14" t="n">
        <f aca="false">MAX(0,MIN(Inputs!$F$330,Time!L$6)-MAX(Inputs!$F$315,Time!L$5))/Time!L$7</f>
        <v>0</v>
      </c>
      <c r="M95" s="14" t="n">
        <f aca="false">MAX(0,MIN(Inputs!$F$330,Time!M$6)-MAX(Inputs!$F$315,Time!M$5))/Time!M$7</f>
        <v>0</v>
      </c>
      <c r="N95" s="14" t="n">
        <f aca="false">MAX(0,MIN(Inputs!$F$330,Time!N$6)-MAX(Inputs!$F$315,Time!N$5))/Time!N$7</f>
        <v>1</v>
      </c>
      <c r="O95" s="14" t="n">
        <f aca="false">MAX(0,MIN(Inputs!$F$330,Time!O$6)-MAX(Inputs!$F$315,Time!O$5))/Time!O$7</f>
        <v>1</v>
      </c>
      <c r="P95" s="14" t="n">
        <f aca="false">MAX(0,MIN(Inputs!$F$330,Time!P$6)-MAX(Inputs!$F$315,Time!P$5))/Time!P$7</f>
        <v>1</v>
      </c>
      <c r="Q95" s="14" t="n">
        <f aca="false">MAX(0,MIN(Inputs!$F$330,Time!Q$6)-MAX(Inputs!$F$315,Time!Q$5))/Time!Q$7</f>
        <v>1</v>
      </c>
      <c r="R95" s="14" t="n">
        <f aca="false">MAX(0,MIN(Inputs!$F$330,Time!R$6)-MAX(Inputs!$F$315,Time!R$5))/Time!R$7</f>
        <v>1</v>
      </c>
      <c r="S95" s="14" t="n">
        <f aca="false">MAX(0,MIN(Inputs!$F$330,Time!S$6)-MAX(Inputs!$F$315,Time!S$5))/Time!S$7</f>
        <v>1</v>
      </c>
      <c r="T95" s="14" t="n">
        <f aca="false">MAX(0,MIN(Inputs!$F$330,Time!T$6)-MAX(Inputs!$F$315,Time!T$5))/Time!T$7</f>
        <v>0</v>
      </c>
      <c r="U95" s="14" t="n">
        <f aca="false">MAX(0,MIN(Inputs!$F$330,Time!U$6)-MAX(Inputs!$F$315,Time!U$5))/Time!U$7</f>
        <v>0</v>
      </c>
      <c r="V95" s="14" t="n">
        <f aca="false">MAX(0,MIN(Inputs!$F$330,Time!V$6)-MAX(Inputs!$F$315,Time!V$5))/Time!V$7</f>
        <v>0</v>
      </c>
      <c r="W95" s="14" t="n">
        <f aca="false">MAX(0,MIN(Inputs!$F$330,Time!W$6)-MAX(Inputs!$F$315,Time!W$5))/Time!W$7</f>
        <v>0</v>
      </c>
      <c r="X95" s="14" t="n">
        <f aca="false">MAX(0,MIN(Inputs!$F$330,Time!X$6)-MAX(Inputs!$F$315,Time!X$5))/Time!X$7</f>
        <v>0</v>
      </c>
      <c r="Y95" s="14" t="n">
        <f aca="false">MAX(0,MIN(Inputs!$F$330,Time!Y$6)-MAX(Inputs!$F$315,Time!Y$5))/Time!Y$7</f>
        <v>0</v>
      </c>
      <c r="Z95" s="14" t="n">
        <f aca="false">MAX(0,MIN(Inputs!$F$330,Time!Z$6)-MAX(Inputs!$F$315,Time!Z$5))/Time!Z$7</f>
        <v>0</v>
      </c>
      <c r="AA95" s="14" t="n">
        <f aca="false">MAX(0,MIN(Inputs!$F$330,Time!AA$6)-MAX(Inputs!$F$315,Time!AA$5))/Time!AA$7</f>
        <v>0</v>
      </c>
      <c r="AB95" s="14" t="n">
        <f aca="false">MAX(0,MIN(Inputs!$F$330,Time!AB$6)-MAX(Inputs!$F$315,Time!AB$5))/Time!AB$7</f>
        <v>0</v>
      </c>
      <c r="AC95" s="14" t="n">
        <f aca="false">MAX(0,MIN(Inputs!$F$330,Time!AC$6)-MAX(Inputs!$F$315,Time!AC$5))/Time!AC$7</f>
        <v>0</v>
      </c>
      <c r="AD95" s="14" t="n">
        <f aca="false">MAX(0,MIN(Inputs!$F$330,Time!AD$6)-MAX(Inputs!$F$315,Time!AD$5))/Time!AD$7</f>
        <v>0</v>
      </c>
      <c r="AE95" s="14" t="n">
        <f aca="false">MAX(0,MIN(Inputs!$F$330,Time!AE$6)-MAX(Inputs!$F$315,Time!AE$5))/Time!AE$7</f>
        <v>0</v>
      </c>
      <c r="AF95" s="14" t="n">
        <f aca="false">MAX(0,MIN(Inputs!$F$330,Time!AF$6)-MAX(Inputs!$F$315,Time!AF$5))/Time!AF$7</f>
        <v>0</v>
      </c>
      <c r="AG95" s="14" t="n">
        <f aca="false">MAX(0,MIN(Inputs!$F$330,Time!AG$6)-MAX(Inputs!$F$315,Time!AG$5))/Time!AG$7</f>
        <v>0</v>
      </c>
      <c r="AH95" s="14" t="n">
        <f aca="false">MAX(0,MIN(Inputs!$F$330,Time!AH$6)-MAX(Inputs!$F$315,Time!AH$5))/Time!AH$7</f>
        <v>0</v>
      </c>
      <c r="AI95" s="14" t="n">
        <f aca="false">MAX(0,MIN(Inputs!$F$330,Time!AI$6)-MAX(Inputs!$F$315,Time!AI$5))/Time!AI$7</f>
        <v>0</v>
      </c>
      <c r="AJ95" s="14" t="n">
        <f aca="false">MAX(0,MIN(Inputs!$F$330,Time!AJ$6)-MAX(Inputs!$F$315,Time!AJ$5))/Time!AJ$7</f>
        <v>0</v>
      </c>
      <c r="AK95" s="14" t="n">
        <f aca="false">MAX(0,MIN(Inputs!$F$330,Time!AK$6)-MAX(Inputs!$F$315,Time!AK$5))/Time!AK$7</f>
        <v>0</v>
      </c>
      <c r="AL95" s="14" t="n">
        <f aca="false">MAX(0,MIN(Inputs!$F$330,Time!AL$6)-MAX(Inputs!$F$315,Time!AL$5))/Time!AL$7</f>
        <v>0</v>
      </c>
      <c r="AM95" s="14" t="n">
        <f aca="false">MAX(0,MIN(Inputs!$F$330,Time!AM$6)-MAX(Inputs!$F$315,Time!AM$5))/Time!AM$7</f>
        <v>0</v>
      </c>
      <c r="AN95" s="14" t="n">
        <f aca="false">MAX(0,MIN(Inputs!$F$330,Time!AN$6)-MAX(Inputs!$F$315,Time!AN$5))/Time!AN$7</f>
        <v>0</v>
      </c>
      <c r="AO95" s="14" t="n">
        <f aca="false">MAX(0,MIN(Inputs!$F$330,Time!AO$6)-MAX(Inputs!$F$315,Time!AO$5))/Time!AO$7</f>
        <v>0</v>
      </c>
      <c r="AP95" s="14" t="n">
        <f aca="false">MAX(0,MIN(Inputs!$F$330,Time!AP$6)-MAX(Inputs!$F$315,Time!AP$5))/Time!AP$7</f>
        <v>0</v>
      </c>
      <c r="AQ95" s="14" t="n">
        <f aca="false">MAX(0,MIN(Inputs!$F$330,Time!AQ$6)-MAX(Inputs!$F$315,Time!AQ$5))/Time!AQ$7</f>
        <v>0</v>
      </c>
      <c r="AR95" s="14" t="n">
        <f aca="false">MAX(0,MIN(Inputs!$F$330,Time!AR$6)-MAX(Inputs!$F$315,Time!AR$5))/Time!AR$7</f>
        <v>0</v>
      </c>
      <c r="AS95" s="14" t="n">
        <f aca="false">MAX(0,MIN(Inputs!$F$330,Time!AS$6)-MAX(Inputs!$F$315,Time!AS$5))/Time!AS$7</f>
        <v>0</v>
      </c>
      <c r="AT95" s="14" t="n">
        <f aca="false">MAX(0,MIN(Inputs!$F$330,Time!AT$6)-MAX(Inputs!$F$315,Time!AT$5))/Time!AT$7</f>
        <v>0</v>
      </c>
      <c r="AU95" s="14" t="n">
        <f aca="false">MAX(0,MIN(Inputs!$F$330,Time!AU$6)-MAX(Inputs!$F$315,Time!AU$5))/Time!AU$7</f>
        <v>0</v>
      </c>
    </row>
    <row r="96" customFormat="false" ht="15" hidden="false" customHeight="false" outlineLevel="0" collapsed="false">
      <c r="D96" s="0" t="s">
        <v>920</v>
      </c>
      <c r="E96" s="0" t="s">
        <v>84</v>
      </c>
      <c r="J96" s="15" t="n">
        <f aca="false">MAX(Inputs!J80,Inputs!$F$292)+Inputs!$F$329</f>
        <v>5.54</v>
      </c>
      <c r="K96" s="15" t="n">
        <f aca="false">MAX(Inputs!K80,Inputs!$F$292)+Inputs!$F$329</f>
        <v>8.67</v>
      </c>
      <c r="L96" s="15" t="n">
        <f aca="false">MAX(Inputs!L80,Inputs!$F$292)+Inputs!$F$329</f>
        <v>8.66</v>
      </c>
      <c r="M96" s="15" t="n">
        <f aca="false">MAX(Inputs!M80,Inputs!$F$292)+Inputs!$F$329</f>
        <v>7.77</v>
      </c>
      <c r="N96" s="15" t="n">
        <f aca="false">MAX(Inputs!N80,Inputs!$F$292)+Inputs!$F$329</f>
        <v>7.16</v>
      </c>
      <c r="O96" s="15" t="n">
        <f aca="false">MAX(Inputs!O80,Inputs!$F$292)+Inputs!$F$329</f>
        <v>6.95</v>
      </c>
      <c r="P96" s="15" t="n">
        <f aca="false">MAX(Inputs!P80,Inputs!$F$292)+Inputs!$F$329</f>
        <v>7</v>
      </c>
      <c r="Q96" s="15" t="n">
        <f aca="false">MAX(Inputs!Q80,Inputs!$F$292)+Inputs!$F$329</f>
        <v>7</v>
      </c>
      <c r="R96" s="15" t="n">
        <f aca="false">MAX(Inputs!R80,Inputs!$F$292)+Inputs!$F$329</f>
        <v>7</v>
      </c>
      <c r="S96" s="15" t="n">
        <f aca="false">MAX(Inputs!S80,Inputs!$F$292)+Inputs!$F$329</f>
        <v>7</v>
      </c>
      <c r="T96" s="15" t="n">
        <f aca="false">MAX(Inputs!T80,Inputs!$F$292)+Inputs!$F$329</f>
        <v>7</v>
      </c>
      <c r="U96" s="15" t="n">
        <f aca="false">MAX(Inputs!U80,Inputs!$F$292)+Inputs!$F$329</f>
        <v>7</v>
      </c>
      <c r="V96" s="15" t="n">
        <f aca="false">MAX(Inputs!V80,Inputs!$F$292)+Inputs!$F$329</f>
        <v>7</v>
      </c>
      <c r="W96" s="15" t="n">
        <f aca="false">MAX(Inputs!W80,Inputs!$F$292)+Inputs!$F$329</f>
        <v>7</v>
      </c>
      <c r="X96" s="15" t="n">
        <f aca="false">MAX(Inputs!X80,Inputs!$F$292)+Inputs!$F$329</f>
        <v>7</v>
      </c>
      <c r="Y96" s="15" t="n">
        <f aca="false">MAX(Inputs!Y80,Inputs!$F$292)+Inputs!$F$329</f>
        <v>7</v>
      </c>
      <c r="Z96" s="15" t="n">
        <f aca="false">MAX(Inputs!Z80,Inputs!$F$292)+Inputs!$F$329</f>
        <v>7</v>
      </c>
      <c r="AA96" s="15" t="n">
        <f aca="false">MAX(Inputs!AA80,Inputs!$F$292)+Inputs!$F$329</f>
        <v>7</v>
      </c>
      <c r="AB96" s="15" t="n">
        <f aca="false">MAX(Inputs!AB80,Inputs!$F$292)+Inputs!$F$329</f>
        <v>7</v>
      </c>
      <c r="AC96" s="15" t="n">
        <f aca="false">MAX(Inputs!AC80,Inputs!$F$292)+Inputs!$F$329</f>
        <v>7</v>
      </c>
      <c r="AD96" s="15" t="n">
        <f aca="false">MAX(Inputs!AD80,Inputs!$F$292)+Inputs!$F$329</f>
        <v>7</v>
      </c>
      <c r="AE96" s="15" t="n">
        <f aca="false">MAX(Inputs!AE80,Inputs!$F$292)+Inputs!$F$329</f>
        <v>7</v>
      </c>
      <c r="AF96" s="15" t="n">
        <f aca="false">MAX(Inputs!AF80,Inputs!$F$292)+Inputs!$F$329</f>
        <v>7</v>
      </c>
      <c r="AG96" s="15" t="n">
        <f aca="false">MAX(Inputs!AG80,Inputs!$F$292)+Inputs!$F$329</f>
        <v>7</v>
      </c>
      <c r="AH96" s="15" t="n">
        <f aca="false">MAX(Inputs!AH80,Inputs!$F$292)+Inputs!$F$329</f>
        <v>7</v>
      </c>
      <c r="AI96" s="15" t="n">
        <f aca="false">MAX(Inputs!AI80,Inputs!$F$292)+Inputs!$F$329</f>
        <v>7</v>
      </c>
      <c r="AJ96" s="15" t="n">
        <f aca="false">MAX(Inputs!AJ80,Inputs!$F$292)+Inputs!$F$329</f>
        <v>7</v>
      </c>
      <c r="AK96" s="15" t="n">
        <f aca="false">MAX(Inputs!AK80,Inputs!$F$292)+Inputs!$F$329</f>
        <v>7</v>
      </c>
      <c r="AL96" s="15" t="n">
        <f aca="false">MAX(Inputs!AL80,Inputs!$F$292)+Inputs!$F$329</f>
        <v>7</v>
      </c>
      <c r="AM96" s="15" t="n">
        <f aca="false">MAX(Inputs!AM80,Inputs!$F$292)+Inputs!$F$329</f>
        <v>7</v>
      </c>
      <c r="AN96" s="15" t="n">
        <f aca="false">MAX(Inputs!AN80,Inputs!$F$292)+Inputs!$F$329</f>
        <v>7</v>
      </c>
      <c r="AO96" s="15" t="n">
        <f aca="false">MAX(Inputs!AO80,Inputs!$F$292)+Inputs!$F$329</f>
        <v>7</v>
      </c>
      <c r="AP96" s="15" t="n">
        <f aca="false">MAX(Inputs!AP80,Inputs!$F$292)+Inputs!$F$329</f>
        <v>7</v>
      </c>
      <c r="AQ96" s="15" t="n">
        <f aca="false">MAX(Inputs!AQ80,Inputs!$F$292)+Inputs!$F$329</f>
        <v>7</v>
      </c>
      <c r="AR96" s="15" t="n">
        <f aca="false">MAX(Inputs!AR80,Inputs!$F$292)+Inputs!$F$329</f>
        <v>7</v>
      </c>
      <c r="AS96" s="15" t="n">
        <f aca="false">MAX(Inputs!AS80,Inputs!$F$292)+Inputs!$F$329</f>
        <v>7</v>
      </c>
      <c r="AT96" s="15" t="n">
        <f aca="false">MAX(Inputs!AT80,Inputs!$F$292)+Inputs!$F$329</f>
        <v>7</v>
      </c>
      <c r="AU96" s="15" t="n">
        <f aca="false">MAX(Inputs!AU80,Inputs!$F$292)+Inputs!$F$329</f>
        <v>7</v>
      </c>
    </row>
    <row r="97" customFormat="false" ht="15" hidden="false" customHeight="false" outlineLevel="0" collapsed="false">
      <c r="D97" s="0" t="s">
        <v>921</v>
      </c>
      <c r="E97" s="0" t="s">
        <v>27</v>
      </c>
      <c r="J97" s="14" t="n">
        <f aca="false">Inputs!$F$332/100*Funding!J95</f>
        <v>0</v>
      </c>
      <c r="K97" s="14" t="n">
        <f aca="false">Inputs!$F$332/100*Funding!K95</f>
        <v>0</v>
      </c>
      <c r="L97" s="14" t="n">
        <f aca="false">Inputs!$F$332/100*Funding!L95</f>
        <v>0</v>
      </c>
      <c r="M97" s="14" t="n">
        <f aca="false">Inputs!$F$332/100*Funding!M95</f>
        <v>0</v>
      </c>
      <c r="N97" s="14" t="n">
        <f aca="false">Inputs!$F$332/100*Funding!N95</f>
        <v>0.01</v>
      </c>
      <c r="O97" s="14" t="n">
        <f aca="false">Inputs!$F$332/100*Funding!O95</f>
        <v>0.01</v>
      </c>
      <c r="P97" s="14" t="n">
        <f aca="false">Inputs!$F$332/100*Funding!P95</f>
        <v>0.01</v>
      </c>
      <c r="Q97" s="14" t="n">
        <f aca="false">Inputs!$F$332/100*Funding!Q95</f>
        <v>0.01</v>
      </c>
      <c r="R97" s="14" t="n">
        <f aca="false">Inputs!$F$332/100*Funding!R95</f>
        <v>0.01</v>
      </c>
      <c r="S97" s="14" t="n">
        <f aca="false">Inputs!$F$332/100*Funding!S95</f>
        <v>0.01</v>
      </c>
      <c r="T97" s="14" t="n">
        <f aca="false">Inputs!$F$332/100*Funding!T95</f>
        <v>0</v>
      </c>
      <c r="U97" s="14" t="n">
        <f aca="false">Inputs!$F$332/100*Funding!U95</f>
        <v>0</v>
      </c>
      <c r="V97" s="14" t="n">
        <f aca="false">Inputs!$F$332/100*Funding!V95</f>
        <v>0</v>
      </c>
      <c r="W97" s="14" t="n">
        <f aca="false">Inputs!$F$332/100*Funding!W95</f>
        <v>0</v>
      </c>
      <c r="X97" s="14" t="n">
        <f aca="false">Inputs!$F$332/100*Funding!X95</f>
        <v>0</v>
      </c>
      <c r="Y97" s="14" t="n">
        <f aca="false">Inputs!$F$332/100*Funding!Y95</f>
        <v>0</v>
      </c>
      <c r="Z97" s="14" t="n">
        <f aca="false">Inputs!$F$332/100*Funding!Z95</f>
        <v>0</v>
      </c>
      <c r="AA97" s="14" t="n">
        <f aca="false">Inputs!$F$332/100*Funding!AA95</f>
        <v>0</v>
      </c>
      <c r="AB97" s="14" t="n">
        <f aca="false">Inputs!$F$332/100*Funding!AB95</f>
        <v>0</v>
      </c>
      <c r="AC97" s="14" t="n">
        <f aca="false">Inputs!$F$332/100*Funding!AC95</f>
        <v>0</v>
      </c>
      <c r="AD97" s="14" t="n">
        <f aca="false">Inputs!$F$332/100*Funding!AD95</f>
        <v>0</v>
      </c>
      <c r="AE97" s="14" t="n">
        <f aca="false">Inputs!$F$332/100*Funding!AE95</f>
        <v>0</v>
      </c>
      <c r="AF97" s="14" t="n">
        <f aca="false">Inputs!$F$332/100*Funding!AF95</f>
        <v>0</v>
      </c>
      <c r="AG97" s="14" t="n">
        <f aca="false">Inputs!$F$332/100*Funding!AG95</f>
        <v>0</v>
      </c>
      <c r="AH97" s="14" t="n">
        <f aca="false">Inputs!$F$332/100*Funding!AH95</f>
        <v>0</v>
      </c>
      <c r="AI97" s="14" t="n">
        <f aca="false">Inputs!$F$332/100*Funding!AI95</f>
        <v>0</v>
      </c>
      <c r="AJ97" s="14" t="n">
        <f aca="false">Inputs!$F$332/100*Funding!AJ95</f>
        <v>0</v>
      </c>
      <c r="AK97" s="14" t="n">
        <f aca="false">Inputs!$F$332/100*Funding!AK95</f>
        <v>0</v>
      </c>
      <c r="AL97" s="14" t="n">
        <f aca="false">Inputs!$F$332/100*Funding!AL95</f>
        <v>0</v>
      </c>
      <c r="AM97" s="14" t="n">
        <f aca="false">Inputs!$F$332/100*Funding!AM95</f>
        <v>0</v>
      </c>
      <c r="AN97" s="14" t="n">
        <f aca="false">Inputs!$F$332/100*Funding!AN95</f>
        <v>0</v>
      </c>
      <c r="AO97" s="14" t="n">
        <f aca="false">Inputs!$F$332/100*Funding!AO95</f>
        <v>0</v>
      </c>
      <c r="AP97" s="14" t="n">
        <f aca="false">Inputs!$F$332/100*Funding!AP95</f>
        <v>0</v>
      </c>
      <c r="AQ97" s="14" t="n">
        <f aca="false">Inputs!$F$332/100*Funding!AQ95</f>
        <v>0</v>
      </c>
      <c r="AR97" s="14" t="n">
        <f aca="false">Inputs!$F$332/100*Funding!AR95</f>
        <v>0</v>
      </c>
      <c r="AS97" s="14" t="n">
        <f aca="false">Inputs!$F$332/100*Funding!AS95</f>
        <v>0</v>
      </c>
      <c r="AT97" s="14" t="n">
        <f aca="false">Inputs!$F$332/100*Funding!AT95</f>
        <v>0</v>
      </c>
      <c r="AU97" s="14" t="n">
        <f aca="false">Inputs!$F$332/100*Funding!AU95</f>
        <v>0</v>
      </c>
    </row>
    <row r="98" customFormat="false" ht="15" hidden="false" customHeight="false" outlineLevel="0" collapsed="false">
      <c r="D98" s="0" t="s">
        <v>922</v>
      </c>
      <c r="E98" s="0" t="s">
        <v>27</v>
      </c>
      <c r="J98" s="14" t="n">
        <f aca="false">IF(Time!J$4=Inputs!$F$23,1,I98-I97)</f>
        <v>1</v>
      </c>
      <c r="K98" s="14" t="n">
        <f aca="false">IF(Time!K$4=Inputs!$F$23,1,J98-J97)</f>
        <v>1</v>
      </c>
      <c r="L98" s="14" t="n">
        <f aca="false">IF(Time!L$4=Inputs!$F$23,1,K98-K97)</f>
        <v>1</v>
      </c>
      <c r="M98" s="14" t="n">
        <f aca="false">IF(Time!M$4=Inputs!$F$23,1,L98-L97)</f>
        <v>1</v>
      </c>
      <c r="N98" s="14" t="n">
        <f aca="false">IF(Time!N$4=Inputs!$F$23,1,M98-M97)</f>
        <v>1</v>
      </c>
      <c r="O98" s="14" t="n">
        <f aca="false">IF(Time!O$4=Inputs!$F$23,1,N98-N97)</f>
        <v>0.99</v>
      </c>
      <c r="P98" s="14" t="n">
        <f aca="false">IF(Time!P$4=Inputs!$F$23,1,O98-O97)</f>
        <v>0.98</v>
      </c>
      <c r="Q98" s="14" t="n">
        <f aca="false">IF(Time!Q$4=Inputs!$F$23,1,P98-P97)</f>
        <v>0.97</v>
      </c>
      <c r="R98" s="14" t="n">
        <f aca="false">IF(Time!R$4=Inputs!$F$23,1,Q98-Q97)</f>
        <v>0.96</v>
      </c>
      <c r="S98" s="14" t="n">
        <f aca="false">IF(Time!S$4=Inputs!$F$23,1,R98-R97)</f>
        <v>0.95</v>
      </c>
      <c r="T98" s="14" t="n">
        <f aca="false">IF(Time!T$4=Inputs!$F$23,1,S98-S97)</f>
        <v>0.94</v>
      </c>
      <c r="U98" s="14" t="n">
        <f aca="false">IF(Time!U$4=Inputs!$F$23,1,T98-T97)</f>
        <v>0.94</v>
      </c>
      <c r="V98" s="14" t="n">
        <f aca="false">IF(Time!V$4=Inputs!$F$23,1,U98-U97)</f>
        <v>0.94</v>
      </c>
      <c r="W98" s="14" t="n">
        <f aca="false">IF(Time!W$4=Inputs!$F$23,1,V98-V97)</f>
        <v>0.94</v>
      </c>
      <c r="X98" s="14" t="n">
        <f aca="false">IF(Time!X$4=Inputs!$F$23,1,W98-W97)</f>
        <v>0.94</v>
      </c>
      <c r="Y98" s="14" t="n">
        <f aca="false">IF(Time!Y$4=Inputs!$F$23,1,X98-X97)</f>
        <v>0.94</v>
      </c>
      <c r="Z98" s="14" t="n">
        <f aca="false">IF(Time!Z$4=Inputs!$F$23,1,Y98-Y97)</f>
        <v>0.94</v>
      </c>
      <c r="AA98" s="14" t="n">
        <f aca="false">IF(Time!AA$4=Inputs!$F$23,1,Z98-Z97)</f>
        <v>0.94</v>
      </c>
      <c r="AB98" s="14" t="n">
        <f aca="false">IF(Time!AB$4=Inputs!$F$23,1,AA98-AA97)</f>
        <v>0.94</v>
      </c>
      <c r="AC98" s="14" t="n">
        <f aca="false">IF(Time!AC$4=Inputs!$F$23,1,AB98-AB97)</f>
        <v>0.94</v>
      </c>
      <c r="AD98" s="14" t="n">
        <f aca="false">IF(Time!AD$4=Inputs!$F$23,1,AC98-AC97)</f>
        <v>0.94</v>
      </c>
      <c r="AE98" s="14" t="n">
        <f aca="false">IF(Time!AE$4=Inputs!$F$23,1,AD98-AD97)</f>
        <v>0.94</v>
      </c>
      <c r="AF98" s="14" t="n">
        <f aca="false">IF(Time!AF$4=Inputs!$F$23,1,AE98-AE97)</f>
        <v>0.94</v>
      </c>
      <c r="AG98" s="14" t="n">
        <f aca="false">IF(Time!AG$4=Inputs!$F$23,1,AF98-AF97)</f>
        <v>0.94</v>
      </c>
      <c r="AH98" s="14" t="n">
        <f aca="false">IF(Time!AH$4=Inputs!$F$23,1,AG98-AG97)</f>
        <v>0.94</v>
      </c>
      <c r="AI98" s="14" t="n">
        <f aca="false">IF(Time!AI$4=Inputs!$F$23,1,AH98-AH97)</f>
        <v>0.94</v>
      </c>
      <c r="AJ98" s="14" t="n">
        <f aca="false">IF(Time!AJ$4=Inputs!$F$23,1,AI98-AI97)</f>
        <v>0.94</v>
      </c>
      <c r="AK98" s="14" t="n">
        <f aca="false">IF(Time!AK$4=Inputs!$F$23,1,AJ98-AJ97)</f>
        <v>0.94</v>
      </c>
      <c r="AL98" s="14" t="n">
        <f aca="false">IF(Time!AL$4=Inputs!$F$23,1,AK98-AK97)</f>
        <v>0.94</v>
      </c>
      <c r="AM98" s="14" t="n">
        <f aca="false">IF(Time!AM$4=Inputs!$F$23,1,AL98-AL97)</f>
        <v>0.94</v>
      </c>
      <c r="AN98" s="14" t="n">
        <f aca="false">IF(Time!AN$4=Inputs!$F$23,1,AM98-AM97)</f>
        <v>0.94</v>
      </c>
      <c r="AO98" s="14" t="n">
        <f aca="false">IF(Time!AO$4=Inputs!$F$23,1,AN98-AN97)</f>
        <v>0.94</v>
      </c>
      <c r="AP98" s="14" t="n">
        <f aca="false">IF(Time!AP$4=Inputs!$F$23,1,AO98-AO97)</f>
        <v>0.94</v>
      </c>
      <c r="AQ98" s="14" t="n">
        <f aca="false">IF(Time!AQ$4=Inputs!$F$23,1,AP98-AP97)</f>
        <v>0.94</v>
      </c>
      <c r="AR98" s="14" t="n">
        <f aca="false">IF(Time!AR$4=Inputs!$F$23,1,AQ98-AQ97)</f>
        <v>0.94</v>
      </c>
      <c r="AS98" s="14" t="n">
        <f aca="false">IF(Time!AS$4=Inputs!$F$23,1,AR98-AR97)</f>
        <v>0.94</v>
      </c>
      <c r="AT98" s="14" t="n">
        <f aca="false">IF(Time!AT$4=Inputs!$F$23,1,AS98-AS97)</f>
        <v>0.94</v>
      </c>
      <c r="AU98" s="14" t="n">
        <f aca="false">IF(Time!AU$4=Inputs!$F$23,1,AT98-AT97)</f>
        <v>0.94</v>
      </c>
    </row>
    <row r="99" customFormat="false" ht="15" hidden="false" customHeight="false" outlineLevel="0" collapsed="false">
      <c r="D99" s="0" t="s">
        <v>923</v>
      </c>
      <c r="E99" s="0" t="s">
        <v>27</v>
      </c>
      <c r="J99" s="14" t="n">
        <f aca="false">Funding!J98*Funding!J96/100*Funding!J95+Funding!J97</f>
        <v>0</v>
      </c>
      <c r="K99" s="14" t="n">
        <f aca="false">Funding!K98*Funding!K96/100*Funding!K95+Funding!K97</f>
        <v>0</v>
      </c>
      <c r="L99" s="14" t="n">
        <f aca="false">Funding!L98*Funding!L96/100*Funding!L95+Funding!L97</f>
        <v>0</v>
      </c>
      <c r="M99" s="14" t="n">
        <f aca="false">Funding!M98*Funding!M96/100*Funding!M95+Funding!M97</f>
        <v>0</v>
      </c>
      <c r="N99" s="14" t="n">
        <f aca="false">Funding!N98*Funding!N96/100*Funding!N95+Funding!N97</f>
        <v>0.0816</v>
      </c>
      <c r="O99" s="14" t="n">
        <f aca="false">Funding!O98*Funding!O96/100*Funding!O95+Funding!O97</f>
        <v>0.078805</v>
      </c>
      <c r="P99" s="14" t="n">
        <f aca="false">Funding!P98*Funding!P96/100*Funding!P95+Funding!P97</f>
        <v>0.0786</v>
      </c>
      <c r="Q99" s="14" t="n">
        <f aca="false">Funding!Q98*Funding!Q96/100*Funding!Q95+Funding!Q97</f>
        <v>0.0779</v>
      </c>
      <c r="R99" s="14" t="n">
        <f aca="false">Funding!R98*Funding!R96/100*Funding!R95+Funding!R97</f>
        <v>0.0772</v>
      </c>
      <c r="S99" s="14" t="n">
        <f aca="false">Funding!S98*Funding!S96/100*Funding!S95+Funding!S97</f>
        <v>0.0765</v>
      </c>
      <c r="T99" s="14" t="n">
        <f aca="false">Funding!T98*Funding!T96/100*Funding!T95+Funding!T97</f>
        <v>0</v>
      </c>
      <c r="U99" s="14" t="n">
        <f aca="false">Funding!U98*Funding!U96/100*Funding!U95+Funding!U97</f>
        <v>0</v>
      </c>
      <c r="V99" s="14" t="n">
        <f aca="false">Funding!V98*Funding!V96/100*Funding!V95+Funding!V97</f>
        <v>0</v>
      </c>
      <c r="W99" s="14" t="n">
        <f aca="false">Funding!W98*Funding!W96/100*Funding!W95+Funding!W97</f>
        <v>0</v>
      </c>
      <c r="X99" s="14" t="n">
        <f aca="false">Funding!X98*Funding!X96/100*Funding!X95+Funding!X97</f>
        <v>0</v>
      </c>
      <c r="Y99" s="14" t="n">
        <f aca="false">Funding!Y98*Funding!Y96/100*Funding!Y95+Funding!Y97</f>
        <v>0</v>
      </c>
      <c r="Z99" s="14" t="n">
        <f aca="false">Funding!Z98*Funding!Z96/100*Funding!Z95+Funding!Z97</f>
        <v>0</v>
      </c>
      <c r="AA99" s="14" t="n">
        <f aca="false">Funding!AA98*Funding!AA96/100*Funding!AA95+Funding!AA97</f>
        <v>0</v>
      </c>
      <c r="AB99" s="14" t="n">
        <f aca="false">Funding!AB98*Funding!AB96/100*Funding!AB95+Funding!AB97</f>
        <v>0</v>
      </c>
      <c r="AC99" s="14" t="n">
        <f aca="false">Funding!AC98*Funding!AC96/100*Funding!AC95+Funding!AC97</f>
        <v>0</v>
      </c>
      <c r="AD99" s="14" t="n">
        <f aca="false">Funding!AD98*Funding!AD96/100*Funding!AD95+Funding!AD97</f>
        <v>0</v>
      </c>
      <c r="AE99" s="14" t="n">
        <f aca="false">Funding!AE98*Funding!AE96/100*Funding!AE95+Funding!AE97</f>
        <v>0</v>
      </c>
      <c r="AF99" s="14" t="n">
        <f aca="false">Funding!AF98*Funding!AF96/100*Funding!AF95+Funding!AF97</f>
        <v>0</v>
      </c>
      <c r="AG99" s="14" t="n">
        <f aca="false">Funding!AG98*Funding!AG96/100*Funding!AG95+Funding!AG97</f>
        <v>0</v>
      </c>
      <c r="AH99" s="14" t="n">
        <f aca="false">Funding!AH98*Funding!AH96/100*Funding!AH95+Funding!AH97</f>
        <v>0</v>
      </c>
      <c r="AI99" s="14" t="n">
        <f aca="false">Funding!AI98*Funding!AI96/100*Funding!AI95+Funding!AI97</f>
        <v>0</v>
      </c>
      <c r="AJ99" s="14" t="n">
        <f aca="false">Funding!AJ98*Funding!AJ96/100*Funding!AJ95+Funding!AJ97</f>
        <v>0</v>
      </c>
      <c r="AK99" s="14" t="n">
        <f aca="false">Funding!AK98*Funding!AK96/100*Funding!AK95+Funding!AK97</f>
        <v>0</v>
      </c>
      <c r="AL99" s="14" t="n">
        <f aca="false">Funding!AL98*Funding!AL96/100*Funding!AL95+Funding!AL97</f>
        <v>0</v>
      </c>
      <c r="AM99" s="14" t="n">
        <f aca="false">Funding!AM98*Funding!AM96/100*Funding!AM95+Funding!AM97</f>
        <v>0</v>
      </c>
      <c r="AN99" s="14" t="n">
        <f aca="false">Funding!AN98*Funding!AN96/100*Funding!AN95+Funding!AN97</f>
        <v>0</v>
      </c>
      <c r="AO99" s="14" t="n">
        <f aca="false">Funding!AO98*Funding!AO96/100*Funding!AO95+Funding!AO97</f>
        <v>0</v>
      </c>
      <c r="AP99" s="14" t="n">
        <f aca="false">Funding!AP98*Funding!AP96/100*Funding!AP95+Funding!AP97</f>
        <v>0</v>
      </c>
      <c r="AQ99" s="14" t="n">
        <f aca="false">Funding!AQ98*Funding!AQ96/100*Funding!AQ95+Funding!AQ97</f>
        <v>0</v>
      </c>
      <c r="AR99" s="14" t="n">
        <f aca="false">Funding!AR98*Funding!AR96/100*Funding!AR95+Funding!AR97</f>
        <v>0</v>
      </c>
      <c r="AS99" s="14" t="n">
        <f aca="false">Funding!AS98*Funding!AS96/100*Funding!AS95+Funding!AS97</f>
        <v>0</v>
      </c>
      <c r="AT99" s="14" t="n">
        <f aca="false">Funding!AT98*Funding!AT96/100*Funding!AT95+Funding!AT97</f>
        <v>0</v>
      </c>
      <c r="AU99" s="14" t="n">
        <f aca="false">Funding!AU98*Funding!AU96/100*Funding!AU95+Funding!AU97</f>
        <v>0</v>
      </c>
    </row>
    <row r="100" customFormat="false" ht="15" hidden="false" customHeight="false" outlineLevel="0" collapsed="false">
      <c r="D100" s="0" t="s">
        <v>924</v>
      </c>
      <c r="E100" s="0" t="s">
        <v>20</v>
      </c>
      <c r="J100" s="12" t="n">
        <f aca="false">(Time!J$4&gt;=Inputs!$F$333)*(Time!J$4&lt;=Inputs!$F$334)</f>
        <v>0</v>
      </c>
      <c r="K100" s="12" t="n">
        <f aca="false">(Time!K$4&gt;=Inputs!$F$333)*(Time!K$4&lt;=Inputs!$F$334)</f>
        <v>0</v>
      </c>
      <c r="L100" s="12" t="n">
        <f aca="false">(Time!L$4&gt;=Inputs!$F$333)*(Time!L$4&lt;=Inputs!$F$334)</f>
        <v>0</v>
      </c>
      <c r="M100" s="12" t="n">
        <f aca="false">(Time!M$4&gt;=Inputs!$F$333)*(Time!M$4&lt;=Inputs!$F$334)</f>
        <v>0</v>
      </c>
      <c r="N100" s="12" t="n">
        <f aca="false">(Time!N$4&gt;=Inputs!$F$333)*(Time!N$4&lt;=Inputs!$F$334)</f>
        <v>1</v>
      </c>
      <c r="O100" s="12" t="n">
        <f aca="false">(Time!O$4&gt;=Inputs!$F$333)*(Time!O$4&lt;=Inputs!$F$334)</f>
        <v>1</v>
      </c>
      <c r="P100" s="12" t="n">
        <f aca="false">(Time!P$4&gt;=Inputs!$F$333)*(Time!P$4&lt;=Inputs!$F$334)</f>
        <v>1</v>
      </c>
      <c r="Q100" s="12" t="n">
        <f aca="false">(Time!Q$4&gt;=Inputs!$F$333)*(Time!Q$4&lt;=Inputs!$F$334)</f>
        <v>1</v>
      </c>
      <c r="R100" s="12" t="n">
        <f aca="false">(Time!R$4&gt;=Inputs!$F$333)*(Time!R$4&lt;=Inputs!$F$334)</f>
        <v>1</v>
      </c>
      <c r="S100" s="12" t="n">
        <f aca="false">(Time!S$4&gt;=Inputs!$F$333)*(Time!S$4&lt;=Inputs!$F$334)</f>
        <v>1</v>
      </c>
      <c r="T100" s="12" t="n">
        <f aca="false">(Time!T$4&gt;=Inputs!$F$333)*(Time!T$4&lt;=Inputs!$F$334)</f>
        <v>0</v>
      </c>
      <c r="U100" s="12" t="n">
        <f aca="false">(Time!U$4&gt;=Inputs!$F$333)*(Time!U$4&lt;=Inputs!$F$334)</f>
        <v>0</v>
      </c>
      <c r="V100" s="12" t="n">
        <f aca="false">(Time!V$4&gt;=Inputs!$F$333)*(Time!V$4&lt;=Inputs!$F$334)</f>
        <v>0</v>
      </c>
      <c r="W100" s="12" t="n">
        <f aca="false">(Time!W$4&gt;=Inputs!$F$333)*(Time!W$4&lt;=Inputs!$F$334)</f>
        <v>0</v>
      </c>
      <c r="X100" s="12" t="n">
        <f aca="false">(Time!X$4&gt;=Inputs!$F$333)*(Time!X$4&lt;=Inputs!$F$334)</f>
        <v>0</v>
      </c>
      <c r="Y100" s="12" t="n">
        <f aca="false">(Time!Y$4&gt;=Inputs!$F$333)*(Time!Y$4&lt;=Inputs!$F$334)</f>
        <v>0</v>
      </c>
      <c r="Z100" s="12" t="n">
        <f aca="false">(Time!Z$4&gt;=Inputs!$F$333)*(Time!Z$4&lt;=Inputs!$F$334)</f>
        <v>0</v>
      </c>
      <c r="AA100" s="12" t="n">
        <f aca="false">(Time!AA$4&gt;=Inputs!$F$333)*(Time!AA$4&lt;=Inputs!$F$334)</f>
        <v>0</v>
      </c>
      <c r="AB100" s="12" t="n">
        <f aca="false">(Time!AB$4&gt;=Inputs!$F$333)*(Time!AB$4&lt;=Inputs!$F$334)</f>
        <v>0</v>
      </c>
      <c r="AC100" s="12" t="n">
        <f aca="false">(Time!AC$4&gt;=Inputs!$F$333)*(Time!AC$4&lt;=Inputs!$F$334)</f>
        <v>0</v>
      </c>
      <c r="AD100" s="12" t="n">
        <f aca="false">(Time!AD$4&gt;=Inputs!$F$333)*(Time!AD$4&lt;=Inputs!$F$334)</f>
        <v>0</v>
      </c>
      <c r="AE100" s="12" t="n">
        <f aca="false">(Time!AE$4&gt;=Inputs!$F$333)*(Time!AE$4&lt;=Inputs!$F$334)</f>
        <v>0</v>
      </c>
      <c r="AF100" s="12" t="n">
        <f aca="false">(Time!AF$4&gt;=Inputs!$F$333)*(Time!AF$4&lt;=Inputs!$F$334)</f>
        <v>0</v>
      </c>
      <c r="AG100" s="12" t="n">
        <f aca="false">(Time!AG$4&gt;=Inputs!$F$333)*(Time!AG$4&lt;=Inputs!$F$334)</f>
        <v>0</v>
      </c>
      <c r="AH100" s="12" t="n">
        <f aca="false">(Time!AH$4&gt;=Inputs!$F$333)*(Time!AH$4&lt;=Inputs!$F$334)</f>
        <v>0</v>
      </c>
      <c r="AI100" s="12" t="n">
        <f aca="false">(Time!AI$4&gt;=Inputs!$F$333)*(Time!AI$4&lt;=Inputs!$F$334)</f>
        <v>0</v>
      </c>
      <c r="AJ100" s="12" t="n">
        <f aca="false">(Time!AJ$4&gt;=Inputs!$F$333)*(Time!AJ$4&lt;=Inputs!$F$334)</f>
        <v>0</v>
      </c>
      <c r="AK100" s="12" t="n">
        <f aca="false">(Time!AK$4&gt;=Inputs!$F$333)*(Time!AK$4&lt;=Inputs!$F$334)</f>
        <v>0</v>
      </c>
      <c r="AL100" s="12" t="n">
        <f aca="false">(Time!AL$4&gt;=Inputs!$F$333)*(Time!AL$4&lt;=Inputs!$F$334)</f>
        <v>0</v>
      </c>
      <c r="AM100" s="12" t="n">
        <f aca="false">(Time!AM$4&gt;=Inputs!$F$333)*(Time!AM$4&lt;=Inputs!$F$334)</f>
        <v>0</v>
      </c>
      <c r="AN100" s="12" t="n">
        <f aca="false">(Time!AN$4&gt;=Inputs!$F$333)*(Time!AN$4&lt;=Inputs!$F$334)</f>
        <v>0</v>
      </c>
      <c r="AO100" s="12" t="n">
        <f aca="false">(Time!AO$4&gt;=Inputs!$F$333)*(Time!AO$4&lt;=Inputs!$F$334)</f>
        <v>0</v>
      </c>
      <c r="AP100" s="12" t="n">
        <f aca="false">(Time!AP$4&gt;=Inputs!$F$333)*(Time!AP$4&lt;=Inputs!$F$334)</f>
        <v>0</v>
      </c>
      <c r="AQ100" s="12" t="n">
        <f aca="false">(Time!AQ$4&gt;=Inputs!$F$333)*(Time!AQ$4&lt;=Inputs!$F$334)</f>
        <v>0</v>
      </c>
      <c r="AR100" s="12" t="n">
        <f aca="false">(Time!AR$4&gt;=Inputs!$F$333)*(Time!AR$4&lt;=Inputs!$F$334)</f>
        <v>0</v>
      </c>
      <c r="AS100" s="12" t="n">
        <f aca="false">(Time!AS$4&gt;=Inputs!$F$333)*(Time!AS$4&lt;=Inputs!$F$334)</f>
        <v>0</v>
      </c>
      <c r="AT100" s="12" t="n">
        <f aca="false">(Time!AT$4&gt;=Inputs!$F$333)*(Time!AT$4&lt;=Inputs!$F$334)</f>
        <v>0</v>
      </c>
      <c r="AU100" s="12" t="n">
        <f aca="false">(Time!AU$4&gt;=Inputs!$F$333)*(Time!AU$4&lt;=Inputs!$F$334)</f>
        <v>0</v>
      </c>
    </row>
    <row r="101" customFormat="false" ht="15" hidden="false" customHeight="false" outlineLevel="0" collapsed="false">
      <c r="D101" s="0" t="s">
        <v>970</v>
      </c>
      <c r="E101" s="0" t="s">
        <v>47</v>
      </c>
      <c r="J101" s="20" t="n">
        <f aca="false">Operations!J820-Funding!J73</f>
        <v>45.1684519770048</v>
      </c>
      <c r="K101" s="20" t="n">
        <f aca="false">Operations!K820-Funding!K73</f>
        <v>49.2306710746364</v>
      </c>
      <c r="L101" s="20" t="n">
        <f aca="false">Operations!L820-Funding!L73</f>
        <v>56.8411346121445</v>
      </c>
      <c r="M101" s="20" t="n">
        <f aca="false">Operations!M820-Funding!M73</f>
        <v>65.8945759169238</v>
      </c>
      <c r="N101" s="20" t="n">
        <f aca="false">Operations!N820-Funding!N73</f>
        <v>19.6448088492222</v>
      </c>
      <c r="O101" s="20" t="n">
        <f aca="false">Operations!O820-Funding!O73</f>
        <v>19.7243842390324</v>
      </c>
      <c r="P101" s="20" t="n">
        <f aca="false">Operations!P820-Funding!P73</f>
        <v>21.3186216403492</v>
      </c>
      <c r="Q101" s="20" t="n">
        <f aca="false">Operations!Q820-Funding!Q73</f>
        <v>25.1961714513557</v>
      </c>
      <c r="R101" s="20" t="n">
        <f aca="false">Operations!R820-Funding!R73</f>
        <v>31.3487142229884</v>
      </c>
      <c r="S101" s="20" t="n">
        <f aca="false">Operations!S820-Funding!S73</f>
        <v>30.687157560055</v>
      </c>
      <c r="T101" s="20" t="n">
        <f aca="false">Operations!T820-Funding!T73</f>
        <v>30.957310749005</v>
      </c>
      <c r="U101" s="20" t="n">
        <f aca="false">Operations!U820-Funding!U73</f>
        <v>32.3498187578791</v>
      </c>
      <c r="V101" s="20" t="n">
        <f aca="false">Operations!V820-Funding!V73</f>
        <v>33.96860258434</v>
      </c>
      <c r="W101" s="20" t="n">
        <f aca="false">Operations!W820-Funding!W73</f>
        <v>34.2369156924618</v>
      </c>
      <c r="X101" s="20" t="n">
        <f aca="false">Operations!X820-Funding!X73</f>
        <v>34.0941504216238</v>
      </c>
      <c r="Y101" s="20" t="n">
        <f aca="false">Operations!Y820-Funding!Y73</f>
        <v>33.9710897970212</v>
      </c>
      <c r="Z101" s="20" t="n">
        <f aca="false">Operations!Z820-Funding!Z73</f>
        <v>33.9008488400679</v>
      </c>
      <c r="AA101" s="20" t="n">
        <f aca="false">Operations!AA820-Funding!AA73</f>
        <v>33.8989176865592</v>
      </c>
      <c r="AB101" s="20" t="n">
        <f aca="false">Operations!AB820-Funding!AB73</f>
        <v>33.8907455824198</v>
      </c>
      <c r="AC101" s="20" t="n">
        <f aca="false">Operations!AC820-Funding!AC73</f>
        <v>33.8666047177681</v>
      </c>
      <c r="AD101" s="20" t="n">
        <f aca="false">Operations!AD820-Funding!AD73</f>
        <v>33.8356253788185</v>
      </c>
      <c r="AE101" s="20" t="n">
        <f aca="false">Operations!AE820-Funding!AE73</f>
        <v>31.0326374668374</v>
      </c>
      <c r="AF101" s="20" t="n">
        <f aca="false">Operations!AF820-Funding!AF73</f>
        <v>25.8442768269994</v>
      </c>
      <c r="AG101" s="20" t="n">
        <f aca="false">Operations!AG820-Funding!AG73</f>
        <v>43.6079096998585</v>
      </c>
      <c r="AH101" s="20" t="n">
        <f aca="false">Operations!AH820-Funding!AH73</f>
        <v>43.9196109427684</v>
      </c>
      <c r="AI101" s="20" t="n">
        <f aca="false">Operations!AI820-Funding!AI73</f>
        <v>4.38007787614134</v>
      </c>
      <c r="AJ101" s="20" t="n">
        <f aca="false">Operations!AJ820-Funding!AJ73</f>
        <v>21.8649401908358</v>
      </c>
      <c r="AK101" s="20" t="n">
        <f aca="false">Operations!AK820-Funding!AK73</f>
        <v>3.77018461212898</v>
      </c>
      <c r="AL101" s="20" t="n">
        <f aca="false">Operations!AL820-Funding!AL73</f>
        <v>14.5361263223562</v>
      </c>
      <c r="AM101" s="20" t="n">
        <f aca="false">Operations!AM820-Funding!AM73</f>
        <v>14.5609618453642</v>
      </c>
      <c r="AN101" s="20" t="n">
        <f aca="false">Operations!AN820-Funding!AN73</f>
        <v>14.5807659312867</v>
      </c>
      <c r="AO101" s="20" t="n">
        <f aca="false">Operations!AO820-Funding!AO73</f>
        <v>14.5950604187952</v>
      </c>
      <c r="AP101" s="20" t="n">
        <f aca="false">Operations!AP820-Funding!AP73</f>
        <v>14.603360118158</v>
      </c>
      <c r="AQ101" s="20" t="n">
        <f aca="false">Operations!AQ820-Funding!AQ73</f>
        <v>5.33567697167487</v>
      </c>
      <c r="AR101" s="20" t="n">
        <f aca="false">Operations!AR820-Funding!AR73</f>
        <v>-10.0942482153661</v>
      </c>
      <c r="AS101" s="20" t="n">
        <f aca="false">Operations!AS820-Funding!AS73</f>
        <v>0.468479792319108</v>
      </c>
      <c r="AT101" s="20" t="n">
        <f aca="false">Operations!AT820-Funding!AT73</f>
        <v>0.357517487264004</v>
      </c>
      <c r="AU101" s="20" t="n">
        <f aca="false">Operations!AU820-Funding!AU73</f>
        <v>-11.1286703243323</v>
      </c>
    </row>
    <row r="102" customFormat="false" ht="15" hidden="false" customHeight="false" outlineLevel="0" collapsed="false">
      <c r="D102" s="0" t="s">
        <v>971</v>
      </c>
      <c r="E102" s="0" t="s">
        <v>47</v>
      </c>
      <c r="J102" s="20" t="n">
        <f aca="false">IF(Funding!J100&gt;0,Funding!J101/(Inputs!$F$296*IF(Funding!J99&gt;0,Funding!J99,1)),Inputs!$F$28)</f>
        <v>1000000000</v>
      </c>
      <c r="K102" s="20" t="n">
        <f aca="false">IF(Funding!K100&gt;0,Funding!K101/(Inputs!$F$296*IF(Funding!K99&gt;0,Funding!K99,1)),Inputs!$F$28)</f>
        <v>1000000000</v>
      </c>
      <c r="L102" s="20" t="n">
        <f aca="false">IF(Funding!L100&gt;0,Funding!L101/(Inputs!$F$296*IF(Funding!L99&gt;0,Funding!L99,1)),Inputs!$F$28)</f>
        <v>1000000000</v>
      </c>
      <c r="M102" s="20" t="n">
        <f aca="false">IF(Funding!M100&gt;0,Funding!M101/(Inputs!$F$296*IF(Funding!M99&gt;0,Funding!M99,1)),Inputs!$F$28)</f>
        <v>1000000000</v>
      </c>
      <c r="N102" s="20" t="n">
        <f aca="false">IF(Funding!N100&gt;0,Funding!N101/(Inputs!$F$296*IF(Funding!N99&gt;0,Funding!N99,1)),Inputs!$F$28)</f>
        <v>137.568689420324</v>
      </c>
      <c r="O102" s="20" t="n">
        <f aca="false">IF(Funding!O100&gt;0,Funding!O101/(Inputs!$F$296*IF(Funding!O99&gt;0,Funding!O99,1)),Inputs!$F$28)</f>
        <v>143.024893192291</v>
      </c>
      <c r="P102" s="20" t="n">
        <f aca="false">IF(Funding!P100&gt;0,Funding!P101/(Inputs!$F$296*IF(Funding!P99&gt;0,Funding!P99,1)),Inputs!$F$28)</f>
        <v>154.988161689198</v>
      </c>
      <c r="Q102" s="20" t="n">
        <f aca="false">IF(Funding!Q100&gt;0,Funding!Q101/(Inputs!$F$296*IF(Funding!Q99&gt;0,Funding!Q99,1)),Inputs!$F$28)</f>
        <v>184.824290859019</v>
      </c>
      <c r="R102" s="20" t="n">
        <f aca="false">IF(Funding!R100&gt;0,Funding!R101/(Inputs!$F$296*IF(Funding!R99&gt;0,Funding!R99,1)),Inputs!$F$28)</f>
        <v>232.040815862238</v>
      </c>
      <c r="S102" s="20" t="n">
        <f aca="false">IF(Funding!S100&gt;0,Funding!S101/(Inputs!$F$296*IF(Funding!S99&gt;0,Funding!S99,1)),Inputs!$F$28)</f>
        <v>229.222465434585</v>
      </c>
      <c r="T102" s="20" t="n">
        <f aca="false">IF(Funding!T100&gt;0,Funding!T101/(Inputs!$F$296*IF(Funding!T99&gt;0,Funding!T99,1)),Inputs!$F$28)</f>
        <v>1000000000</v>
      </c>
      <c r="U102" s="20" t="n">
        <f aca="false">IF(Funding!U100&gt;0,Funding!U101/(Inputs!$F$296*IF(Funding!U99&gt;0,Funding!U99,1)),Inputs!$F$28)</f>
        <v>1000000000</v>
      </c>
      <c r="V102" s="20" t="n">
        <f aca="false">IF(Funding!V100&gt;0,Funding!V101/(Inputs!$F$296*IF(Funding!V99&gt;0,Funding!V99,1)),Inputs!$F$28)</f>
        <v>1000000000</v>
      </c>
      <c r="W102" s="20" t="n">
        <f aca="false">IF(Funding!W100&gt;0,Funding!W101/(Inputs!$F$296*IF(Funding!W99&gt;0,Funding!W99,1)),Inputs!$F$28)</f>
        <v>1000000000</v>
      </c>
      <c r="X102" s="20" t="n">
        <f aca="false">IF(Funding!X100&gt;0,Funding!X101/(Inputs!$F$296*IF(Funding!X99&gt;0,Funding!X99,1)),Inputs!$F$28)</f>
        <v>1000000000</v>
      </c>
      <c r="Y102" s="20" t="n">
        <f aca="false">IF(Funding!Y100&gt;0,Funding!Y101/(Inputs!$F$296*IF(Funding!Y99&gt;0,Funding!Y99,1)),Inputs!$F$28)</f>
        <v>1000000000</v>
      </c>
      <c r="Z102" s="20" t="n">
        <f aca="false">IF(Funding!Z100&gt;0,Funding!Z101/(Inputs!$F$296*IF(Funding!Z99&gt;0,Funding!Z99,1)),Inputs!$F$28)</f>
        <v>1000000000</v>
      </c>
      <c r="AA102" s="20" t="n">
        <f aca="false">IF(Funding!AA100&gt;0,Funding!AA101/(Inputs!$F$296*IF(Funding!AA99&gt;0,Funding!AA99,1)),Inputs!$F$28)</f>
        <v>1000000000</v>
      </c>
      <c r="AB102" s="20" t="n">
        <f aca="false">IF(Funding!AB100&gt;0,Funding!AB101/(Inputs!$F$296*IF(Funding!AB99&gt;0,Funding!AB99,1)),Inputs!$F$28)</f>
        <v>1000000000</v>
      </c>
      <c r="AC102" s="20" t="n">
        <f aca="false">IF(Funding!AC100&gt;0,Funding!AC101/(Inputs!$F$296*IF(Funding!AC99&gt;0,Funding!AC99,1)),Inputs!$F$28)</f>
        <v>1000000000</v>
      </c>
      <c r="AD102" s="20" t="n">
        <f aca="false">IF(Funding!AD100&gt;0,Funding!AD101/(Inputs!$F$296*IF(Funding!AD99&gt;0,Funding!AD99,1)),Inputs!$F$28)</f>
        <v>1000000000</v>
      </c>
      <c r="AE102" s="20" t="n">
        <f aca="false">IF(Funding!AE100&gt;0,Funding!AE101/(Inputs!$F$296*IF(Funding!AE99&gt;0,Funding!AE99,1)),Inputs!$F$28)</f>
        <v>1000000000</v>
      </c>
      <c r="AF102" s="20" t="n">
        <f aca="false">IF(Funding!AF100&gt;0,Funding!AF101/(Inputs!$F$296*IF(Funding!AF99&gt;0,Funding!AF99,1)),Inputs!$F$28)</f>
        <v>1000000000</v>
      </c>
      <c r="AG102" s="20" t="n">
        <f aca="false">IF(Funding!AG100&gt;0,Funding!AG101/(Inputs!$F$296*IF(Funding!AG99&gt;0,Funding!AG99,1)),Inputs!$F$28)</f>
        <v>1000000000</v>
      </c>
      <c r="AH102" s="20" t="n">
        <f aca="false">IF(Funding!AH100&gt;0,Funding!AH101/(Inputs!$F$296*IF(Funding!AH99&gt;0,Funding!AH99,1)),Inputs!$F$28)</f>
        <v>1000000000</v>
      </c>
      <c r="AI102" s="20" t="n">
        <f aca="false">IF(Funding!AI100&gt;0,Funding!AI101/(Inputs!$F$296*IF(Funding!AI99&gt;0,Funding!AI99,1)),Inputs!$F$28)</f>
        <v>1000000000</v>
      </c>
      <c r="AJ102" s="20" t="n">
        <f aca="false">IF(Funding!AJ100&gt;0,Funding!AJ101/(Inputs!$F$296*IF(Funding!AJ99&gt;0,Funding!AJ99,1)),Inputs!$F$28)</f>
        <v>1000000000</v>
      </c>
      <c r="AK102" s="20" t="n">
        <f aca="false">IF(Funding!AK100&gt;0,Funding!AK101/(Inputs!$F$296*IF(Funding!AK99&gt;0,Funding!AK99,1)),Inputs!$F$28)</f>
        <v>1000000000</v>
      </c>
      <c r="AL102" s="20" t="n">
        <f aca="false">IF(Funding!AL100&gt;0,Funding!AL101/(Inputs!$F$296*IF(Funding!AL99&gt;0,Funding!AL99,1)),Inputs!$F$28)</f>
        <v>1000000000</v>
      </c>
      <c r="AM102" s="20" t="n">
        <f aca="false">IF(Funding!AM100&gt;0,Funding!AM101/(Inputs!$F$296*IF(Funding!AM99&gt;0,Funding!AM99,1)),Inputs!$F$28)</f>
        <v>1000000000</v>
      </c>
      <c r="AN102" s="20" t="n">
        <f aca="false">IF(Funding!AN100&gt;0,Funding!AN101/(Inputs!$F$296*IF(Funding!AN99&gt;0,Funding!AN99,1)),Inputs!$F$28)</f>
        <v>1000000000</v>
      </c>
      <c r="AO102" s="20" t="n">
        <f aca="false">IF(Funding!AO100&gt;0,Funding!AO101/(Inputs!$F$296*IF(Funding!AO99&gt;0,Funding!AO99,1)),Inputs!$F$28)</f>
        <v>1000000000</v>
      </c>
      <c r="AP102" s="20" t="n">
        <f aca="false">IF(Funding!AP100&gt;0,Funding!AP101/(Inputs!$F$296*IF(Funding!AP99&gt;0,Funding!AP99,1)),Inputs!$F$28)</f>
        <v>1000000000</v>
      </c>
      <c r="AQ102" s="20" t="n">
        <f aca="false">IF(Funding!AQ100&gt;0,Funding!AQ101/(Inputs!$F$296*IF(Funding!AQ99&gt;0,Funding!AQ99,1)),Inputs!$F$28)</f>
        <v>1000000000</v>
      </c>
      <c r="AR102" s="20" t="n">
        <f aca="false">IF(Funding!AR100&gt;0,Funding!AR101/(Inputs!$F$296*IF(Funding!AR99&gt;0,Funding!AR99,1)),Inputs!$F$28)</f>
        <v>1000000000</v>
      </c>
      <c r="AS102" s="20" t="n">
        <f aca="false">IF(Funding!AS100&gt;0,Funding!AS101/(Inputs!$F$296*IF(Funding!AS99&gt;0,Funding!AS99,1)),Inputs!$F$28)</f>
        <v>1000000000</v>
      </c>
      <c r="AT102" s="20" t="n">
        <f aca="false">IF(Funding!AT100&gt;0,Funding!AT101/(Inputs!$F$296*IF(Funding!AT99&gt;0,Funding!AT99,1)),Inputs!$F$28)</f>
        <v>1000000000</v>
      </c>
      <c r="AU102" s="20" t="n">
        <f aca="false">IF(Funding!AU100&gt;0,Funding!AU101/(Inputs!$F$296*IF(Funding!AU99&gt;0,Funding!AU99,1)),Inputs!$F$28)</f>
        <v>1000000000</v>
      </c>
    </row>
    <row r="103" customFormat="false" ht="15" hidden="false" customHeight="false" outlineLevel="0" collapsed="false">
      <c r="D103" s="0" t="s">
        <v>972</v>
      </c>
      <c r="E103" s="0" t="s">
        <v>47</v>
      </c>
      <c r="F103" s="20" t="n">
        <f aca="false">MIN(Funding!$J$102:$AU$102)</f>
        <v>137.568689420324</v>
      </c>
    </row>
    <row r="105" customFormat="false" ht="15" hidden="false" customHeight="false" outlineLevel="0" collapsed="false">
      <c r="A105" s="4" t="s">
        <v>973</v>
      </c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</row>
    <row r="106" customFormat="false" ht="15" hidden="false" customHeight="false" outlineLevel="0" collapsed="false">
      <c r="D106" s="0" t="s">
        <v>974</v>
      </c>
      <c r="E106" s="0" t="s">
        <v>47</v>
      </c>
      <c r="J106" s="20" t="n">
        <f aca="false">Operations!J489*Operations!J492/Inputs!$F$282+Operations!J489*Operations!J493/Inputs!$F$283+Operations!J489*Operations!J494/Inputs!$F$284</f>
        <v>9.19223193701996</v>
      </c>
      <c r="K106" s="20" t="n">
        <f aca="false">Operations!K489*Operations!K492/Inputs!$F$282+Operations!K489*Operations!K493/Inputs!$F$283+Operations!K489*Operations!K494/Inputs!$F$284</f>
        <v>8.70900258854195</v>
      </c>
      <c r="L106" s="20" t="n">
        <f aca="false">Operations!L489*Operations!L492/Inputs!$F$282+Operations!L489*Operations!L493/Inputs!$F$283+Operations!L489*Operations!L494/Inputs!$F$284</f>
        <v>6.68529873923613</v>
      </c>
      <c r="M106" s="20" t="n">
        <f aca="false">Operations!M489*Operations!M492/Inputs!$F$282+Operations!M489*Operations!M493/Inputs!$F$283+Operations!M489*Operations!M494/Inputs!$F$284</f>
        <v>6.88629906856565</v>
      </c>
      <c r="N106" s="20" t="n">
        <f aca="false">Operations!N489*Operations!N492/Inputs!$F$282+Operations!N489*Operations!N493/Inputs!$F$283+Operations!N489*Operations!N494/Inputs!$F$284</f>
        <v>6.85374776692872</v>
      </c>
      <c r="O106" s="20" t="n">
        <f aca="false">Operations!O489*Operations!O492/Inputs!$F$282+Operations!O489*Operations!O493/Inputs!$F$283+Operations!O489*Operations!O494/Inputs!$F$284</f>
        <v>6.69840069254182</v>
      </c>
      <c r="P106" s="20" t="n">
        <f aca="false">Operations!P489*Operations!P492/Inputs!$F$282+Operations!P489*Operations!P493/Inputs!$F$283+Operations!P489*Operations!P494/Inputs!$F$284</f>
        <v>4.68118435094213</v>
      </c>
      <c r="Q106" s="20" t="n">
        <f aca="false">Operations!Q489*Operations!Q492/Inputs!$F$282+Operations!Q489*Operations!Q493/Inputs!$F$283+Operations!Q489*Operations!Q494/Inputs!$F$284</f>
        <v>4.70247787791935</v>
      </c>
      <c r="R106" s="20" t="n">
        <f aca="false">Operations!R489*Operations!R492/Inputs!$F$282+Operations!R489*Operations!R493/Inputs!$F$283+Operations!R489*Operations!R494/Inputs!$F$284</f>
        <v>4.73473531385166</v>
      </c>
      <c r="S106" s="20" t="n">
        <f aca="false">Operations!S489*Operations!S492/Inputs!$F$282+Operations!S489*Operations!S493/Inputs!$F$283+Operations!S489*Operations!S494/Inputs!$F$284</f>
        <v>4.6890478521583</v>
      </c>
      <c r="T106" s="20" t="n">
        <f aca="false">Operations!T489*Operations!T492/Inputs!$F$282+Operations!T489*Operations!T493/Inputs!$F$283+Operations!T489*Operations!T494/Inputs!$F$284</f>
        <v>4.6397474959434</v>
      </c>
      <c r="U106" s="20" t="n">
        <f aca="false">Operations!U489*Operations!U492/Inputs!$F$282+Operations!U489*Operations!U493/Inputs!$F$283+Operations!U489*Operations!U494/Inputs!$F$284</f>
        <v>4.58664546701457</v>
      </c>
      <c r="V106" s="20" t="n">
        <f aca="false">Operations!V489*Operations!V492/Inputs!$F$282+Operations!V489*Operations!V493/Inputs!$F$283+Operations!V489*Operations!V494/Inputs!$F$284</f>
        <v>4.52955176317409</v>
      </c>
      <c r="W106" s="20" t="n">
        <f aca="false">Operations!W489*Operations!W492/Inputs!$F$282+Operations!W489*Operations!W493/Inputs!$F$283+Operations!W489*Operations!W494/Inputs!$F$284</f>
        <v>4.46827510209984</v>
      </c>
      <c r="X106" s="20" t="n">
        <f aca="false">Operations!X489*Operations!X492/Inputs!$F$282+Operations!X489*Operations!X493/Inputs!$F$283+Operations!X489*Operations!X494/Inputs!$F$284</f>
        <v>4.40262286394666</v>
      </c>
      <c r="Y106" s="20" t="n">
        <f aca="false">Operations!Y489*Operations!Y492/Inputs!$F$282+Operations!Y489*Operations!Y493/Inputs!$F$283+Operations!Y489*Operations!Y494/Inputs!$F$284</f>
        <v>4.33419013529412</v>
      </c>
      <c r="Z106" s="20" t="n">
        <f aca="false">Operations!Z489*Operations!Z492/Inputs!$F$282+Operations!Z489*Operations!Z493/Inputs!$F$283+Operations!Z489*Operations!Z494/Inputs!$F$284</f>
        <v>4.26095005963359</v>
      </c>
      <c r="AA106" s="20" t="n">
        <f aca="false">Operations!AA489*Operations!AA492/Inputs!$F$282+Operations!AA489*Operations!AA493/Inputs!$F$283+Operations!AA489*Operations!AA494/Inputs!$F$284</f>
        <v>4.18270587909144</v>
      </c>
      <c r="AB106" s="20" t="n">
        <f aca="false">Operations!AB489*Operations!AB492/Inputs!$F$282+Operations!AB489*Operations!AB493/Inputs!$F$283+Operations!AB489*Operations!AB494/Inputs!$F$284</f>
        <v>4.10098516674946</v>
      </c>
      <c r="AC106" s="20" t="n">
        <f aca="false">Operations!AC489*Operations!AC492/Inputs!$F$282+Operations!AC489*Operations!AC493/Inputs!$F$283+Operations!AC489*Operations!AC494/Inputs!$F$284</f>
        <v>4.01382020666554</v>
      </c>
      <c r="AD106" s="20" t="n">
        <f aca="false">Operations!AD489*Operations!AD492/Inputs!$F$282+Operations!AD489*Operations!AD493/Inputs!$F$283+Operations!AD489*Operations!AD494/Inputs!$F$284</f>
        <v>3.92269370313494</v>
      </c>
      <c r="AE106" s="20" t="n">
        <f aca="false">Operations!AE489*Operations!AE492/Inputs!$F$282+Operations!AE489*Operations!AE493/Inputs!$F$283+Operations!AE489*Operations!AE494/Inputs!$F$284</f>
        <v>3.94219111087487</v>
      </c>
      <c r="AF106" s="20" t="n">
        <f aca="false">Operations!AF489*Operations!AF492/Inputs!$F$282+Operations!AF489*Operations!AF493/Inputs!$F$283+Operations!AF489*Operations!AF494/Inputs!$F$284</f>
        <v>-6.79771218835812</v>
      </c>
      <c r="AG106" s="20" t="n">
        <f aca="false">Operations!AG489*Operations!AG492/Inputs!$F$282+Operations!AG489*Operations!AG493/Inputs!$F$283+Operations!AG489*Operations!AG494/Inputs!$F$284</f>
        <v>0</v>
      </c>
      <c r="AH106" s="20" t="n">
        <f aca="false">Operations!AH489*Operations!AH492/Inputs!$F$282+Operations!AH489*Operations!AH493/Inputs!$F$283+Operations!AH489*Operations!AH494/Inputs!$F$284</f>
        <v>0</v>
      </c>
      <c r="AI106" s="20" t="n">
        <f aca="false">Operations!AI489*Operations!AI492/Inputs!$F$282+Operations!AI489*Operations!AI493/Inputs!$F$283+Operations!AI489*Operations!AI494/Inputs!$F$284</f>
        <v>0</v>
      </c>
      <c r="AJ106" s="20" t="n">
        <f aca="false">Operations!AJ489*Operations!AJ492/Inputs!$F$282+Operations!AJ489*Operations!AJ493/Inputs!$F$283+Operations!AJ489*Operations!AJ494/Inputs!$F$284</f>
        <v>0</v>
      </c>
      <c r="AK106" s="20" t="n">
        <f aca="false">Operations!AK489*Operations!AK492/Inputs!$F$282+Operations!AK489*Operations!AK493/Inputs!$F$283+Operations!AK489*Operations!AK494/Inputs!$F$284</f>
        <v>0</v>
      </c>
      <c r="AL106" s="20" t="n">
        <f aca="false">Operations!AL489*Operations!AL492/Inputs!$F$282+Operations!AL489*Operations!AL493/Inputs!$F$283+Operations!AL489*Operations!AL494/Inputs!$F$284</f>
        <v>0</v>
      </c>
      <c r="AM106" s="20" t="n">
        <f aca="false">Operations!AM489*Operations!AM492/Inputs!$F$282+Operations!AM489*Operations!AM493/Inputs!$F$283+Operations!AM489*Operations!AM494/Inputs!$F$284</f>
        <v>0</v>
      </c>
      <c r="AN106" s="20" t="n">
        <f aca="false">Operations!AN489*Operations!AN492/Inputs!$F$282+Operations!AN489*Operations!AN493/Inputs!$F$283+Operations!AN489*Operations!AN494/Inputs!$F$284</f>
        <v>0</v>
      </c>
      <c r="AO106" s="20" t="n">
        <f aca="false">Operations!AO489*Operations!AO492/Inputs!$F$282+Operations!AO489*Operations!AO493/Inputs!$F$283+Operations!AO489*Operations!AO494/Inputs!$F$284</f>
        <v>0</v>
      </c>
      <c r="AP106" s="20" t="n">
        <f aca="false">Operations!AP489*Operations!AP492/Inputs!$F$282+Operations!AP489*Operations!AP493/Inputs!$F$283+Operations!AP489*Operations!AP494/Inputs!$F$284</f>
        <v>0</v>
      </c>
      <c r="AQ106" s="20" t="n">
        <f aca="false">Operations!AQ489*Operations!AQ492/Inputs!$F$282+Operations!AQ489*Operations!AQ493/Inputs!$F$283+Operations!AQ489*Operations!AQ494/Inputs!$F$284</f>
        <v>0</v>
      </c>
      <c r="AR106" s="20" t="n">
        <f aca="false">Operations!AR489*Operations!AR492/Inputs!$F$282+Operations!AR489*Operations!AR493/Inputs!$F$283+Operations!AR489*Operations!AR494/Inputs!$F$284</f>
        <v>0</v>
      </c>
      <c r="AS106" s="20" t="n">
        <f aca="false">Operations!AS489*Operations!AS492/Inputs!$F$282+Operations!AS489*Operations!AS493/Inputs!$F$283+Operations!AS489*Operations!AS494/Inputs!$F$284</f>
        <v>0</v>
      </c>
      <c r="AT106" s="20" t="n">
        <f aca="false">Operations!AT489*Operations!AT492/Inputs!$F$282+Operations!AT489*Operations!AT493/Inputs!$F$283+Operations!AT489*Operations!AT494/Inputs!$F$284</f>
        <v>0</v>
      </c>
      <c r="AU106" s="20" t="n">
        <f aca="false">Operations!AU489*Operations!AU492/Inputs!$F$282+Operations!AU489*Operations!AU493/Inputs!$F$283+Operations!AU489*Operations!AU494/Inputs!$F$284</f>
        <v>0</v>
      </c>
    </row>
    <row r="107" customFormat="false" ht="15" hidden="false" customHeight="false" outlineLevel="0" collapsed="false">
      <c r="D107" s="0" t="s">
        <v>975</v>
      </c>
      <c r="E107" s="0" t="s">
        <v>47</v>
      </c>
      <c r="F107" s="20" t="n">
        <f aca="false">SUMPRODUCT(Funding!$J$106:$AU$106,Funding!$J$16:$AU$16,--(Funding!$J$8:$AU$8&gt;0))</f>
        <v>72.4640320680222</v>
      </c>
    </row>
    <row r="108" customFormat="false" ht="15" hidden="false" customHeight="false" outlineLevel="0" collapsed="false">
      <c r="D108" s="0" t="s">
        <v>976</v>
      </c>
      <c r="E108" s="0" t="s">
        <v>47</v>
      </c>
      <c r="J108" s="20" t="n">
        <f aca="false">Operations!J531*Operations!J534/Inputs!$F$282+Operations!J531*Operations!J535/Inputs!$F$283+Operations!J531*Operations!J536/Inputs!$F$284</f>
        <v>7.65775815805163</v>
      </c>
      <c r="K108" s="20" t="n">
        <f aca="false">Operations!K531*Operations!K534/Inputs!$F$282+Operations!K531*Operations!K535/Inputs!$F$283+Operations!K531*Operations!K536/Inputs!$F$284</f>
        <v>9.3379106839575</v>
      </c>
      <c r="L108" s="20" t="n">
        <f aca="false">Operations!L531*Operations!L534/Inputs!$F$282+Operations!L531*Operations!L535/Inputs!$F$283+Operations!L531*Operations!L536/Inputs!$F$284</f>
        <v>9.09057148220112</v>
      </c>
      <c r="M108" s="20" t="n">
        <f aca="false">Operations!M531*Operations!M534/Inputs!$F$282+Operations!M531*Operations!M535/Inputs!$F$283+Operations!M531*Operations!M536/Inputs!$F$284</f>
        <v>8.83801037433855</v>
      </c>
      <c r="N108" s="20" t="n">
        <f aca="false">Operations!N531*Operations!N534/Inputs!$F$282+Operations!N531*Operations!N535/Inputs!$F$283+Operations!N531*Operations!N536/Inputs!$F$284</f>
        <v>8.58009488956925</v>
      </c>
      <c r="O108" s="20" t="n">
        <f aca="false">Operations!O531*Operations!O534/Inputs!$F$282+Operations!O531*Operations!O535/Inputs!$F$283+Operations!O531*Operations!O536/Inputs!$F$284</f>
        <v>8.31668924916897</v>
      </c>
      <c r="P108" s="20" t="n">
        <f aca="false">Operations!P531*Operations!P534/Inputs!$F$282+Operations!P531*Operations!P535/Inputs!$F$283+Operations!P531*Operations!P536/Inputs!$F$284</f>
        <v>8.04765428378396</v>
      </c>
      <c r="Q108" s="20" t="n">
        <f aca="false">Operations!Q531*Operations!Q534/Inputs!$F$282+Operations!Q531*Operations!Q535/Inputs!$F$283+Operations!Q531*Operations!Q536/Inputs!$F$284</f>
        <v>9.08307775082416</v>
      </c>
      <c r="R108" s="20" t="n">
        <f aca="false">Operations!R531*Operations!R534/Inputs!$F$282+Operations!R531*Operations!R535/Inputs!$F$283+Operations!R531*Operations!R536/Inputs!$F$284</f>
        <v>9.98838234203851</v>
      </c>
      <c r="S108" s="20" t="n">
        <f aca="false">Operations!S531*Operations!S534/Inputs!$F$282+Operations!S531*Operations!S535/Inputs!$F$283+Operations!S531*Operations!S536/Inputs!$F$284</f>
        <v>10.0659943032628</v>
      </c>
      <c r="T108" s="20" t="n">
        <f aca="false">Operations!T531*Operations!T534/Inputs!$F$282+Operations!T531*Operations!T535/Inputs!$F$283+Operations!T531*Operations!T536/Inputs!$F$284</f>
        <v>10.1425612913507</v>
      </c>
      <c r="U108" s="20" t="n">
        <f aca="false">Operations!U531*Operations!U534/Inputs!$F$282+Operations!U531*Operations!U535/Inputs!$F$283+Operations!U531*Operations!U536/Inputs!$F$284</f>
        <v>10.2178953180513</v>
      </c>
      <c r="V108" s="20" t="n">
        <f aca="false">Operations!V531*Operations!V534/Inputs!$F$282+Operations!V531*Operations!V535/Inputs!$F$283+Operations!V531*Operations!V536/Inputs!$F$284</f>
        <v>10.2918064439464</v>
      </c>
      <c r="W108" s="20" t="n">
        <f aca="false">Operations!W531*Operations!W534/Inputs!$F$282+Operations!W531*Operations!W535/Inputs!$F$283+Operations!W531*Operations!W536/Inputs!$F$284</f>
        <v>10.3641027116657</v>
      </c>
      <c r="X108" s="20" t="n">
        <f aca="false">Operations!X531*Operations!X534/Inputs!$F$282+Operations!X531*Operations!X535/Inputs!$F$283+Operations!X531*Operations!X536/Inputs!$F$284</f>
        <v>10.4345900775159</v>
      </c>
      <c r="Y108" s="20" t="n">
        <f aca="false">Operations!Y531*Operations!Y534/Inputs!$F$282+Operations!Y531*Operations!Y535/Inputs!$F$283+Operations!Y531*Operations!Y536/Inputs!$F$284</f>
        <v>10.5061448279076</v>
      </c>
      <c r="Z108" s="20" t="n">
        <f aca="false">Operations!Z531*Operations!Z534/Inputs!$F$282+Operations!Z531*Operations!Z535/Inputs!$F$283+Operations!Z531*Operations!Z536/Inputs!$F$284</f>
        <v>10.575462489054</v>
      </c>
      <c r="AA108" s="20" t="n">
        <f aca="false">Operations!AA531*Operations!AA534/Inputs!$F$282+Operations!AA531*Operations!AA535/Inputs!$F$283+Operations!AA531*Operations!AA536/Inputs!$F$284</f>
        <v>10.6423424960861</v>
      </c>
      <c r="AB108" s="20" t="n">
        <f aca="false">Operations!AB531*Operations!AB534/Inputs!$F$282+Operations!AB531*Operations!AB535/Inputs!$F$283+Operations!AB531*Operations!AB536/Inputs!$F$284</f>
        <v>10.7096042187513</v>
      </c>
      <c r="AC108" s="20" t="n">
        <f aca="false">Operations!AC531*Operations!AC534/Inputs!$F$282+Operations!AC531*Operations!AC535/Inputs!$F$283+Operations!AC531*Operations!AC536/Inputs!$F$284</f>
        <v>10.7739867180613</v>
      </c>
      <c r="AD108" s="20" t="n">
        <f aca="false">Operations!AD531*Operations!AD534/Inputs!$F$282+Operations!AD531*Operations!AD535/Inputs!$F$283+Operations!AD531*Operations!AD536/Inputs!$F$284</f>
        <v>10.8382713631628</v>
      </c>
      <c r="AE108" s="20" t="n">
        <f aca="false">Operations!AE531*Operations!AE534/Inputs!$F$282+Operations!AE531*Operations!AE535/Inputs!$F$283+Operations!AE531*Operations!AE536/Inputs!$F$284</f>
        <v>10.8992256255077</v>
      </c>
      <c r="AF108" s="20" t="n">
        <f aca="false">Operations!AF531*Operations!AF534/Inputs!$F$282+Operations!AF531*Operations!AF535/Inputs!$F$283+Operations!AF531*Operations!AF536/Inputs!$F$284</f>
        <v>10.9595927657732</v>
      </c>
      <c r="AG108" s="20" t="n">
        <f aca="false">Operations!AG531*Operations!AG534/Inputs!$F$282+Operations!AG531*Operations!AG535/Inputs!$F$283+Operations!AG531*Operations!AG536/Inputs!$F$284</f>
        <v>11.0191078909296</v>
      </c>
      <c r="AH108" s="20" t="n">
        <f aca="false">Operations!AH531*Operations!AH534/Inputs!$F$282+Operations!AH531*Operations!AH535/Inputs!$F$283+Operations!AH531*Operations!AH536/Inputs!$F$284</f>
        <v>11.1241947222883</v>
      </c>
      <c r="AI108" s="20" t="n">
        <f aca="false">Operations!AI531*Operations!AI534/Inputs!$F$282+Operations!AI531*Operations!AI535/Inputs!$F$283+Operations!AI531*Operations!AI536/Inputs!$F$284</f>
        <v>-8.69488649312353</v>
      </c>
      <c r="AJ108" s="20" t="n">
        <f aca="false">Operations!AJ531*Operations!AJ534/Inputs!$F$282+Operations!AJ531*Operations!AJ535/Inputs!$F$283+Operations!AJ531*Operations!AJ536/Inputs!$F$284</f>
        <v>0</v>
      </c>
      <c r="AK108" s="20" t="n">
        <f aca="false">Operations!AK531*Operations!AK534/Inputs!$F$282+Operations!AK531*Operations!AK535/Inputs!$F$283+Operations!AK531*Operations!AK536/Inputs!$F$284</f>
        <v>0</v>
      </c>
      <c r="AL108" s="20" t="n">
        <f aca="false">Operations!AL531*Operations!AL534/Inputs!$F$282+Operations!AL531*Operations!AL535/Inputs!$F$283+Operations!AL531*Operations!AL536/Inputs!$F$284</f>
        <v>0</v>
      </c>
      <c r="AM108" s="20" t="n">
        <f aca="false">Operations!AM531*Operations!AM534/Inputs!$F$282+Operations!AM531*Operations!AM535/Inputs!$F$283+Operations!AM531*Operations!AM536/Inputs!$F$284</f>
        <v>0</v>
      </c>
      <c r="AN108" s="20" t="n">
        <f aca="false">Operations!AN531*Operations!AN534/Inputs!$F$282+Operations!AN531*Operations!AN535/Inputs!$F$283+Operations!AN531*Operations!AN536/Inputs!$F$284</f>
        <v>0</v>
      </c>
      <c r="AO108" s="20" t="n">
        <f aca="false">Operations!AO531*Operations!AO534/Inputs!$F$282+Operations!AO531*Operations!AO535/Inputs!$F$283+Operations!AO531*Operations!AO536/Inputs!$F$284</f>
        <v>0</v>
      </c>
      <c r="AP108" s="20" t="n">
        <f aca="false">Operations!AP531*Operations!AP534/Inputs!$F$282+Operations!AP531*Operations!AP535/Inputs!$F$283+Operations!AP531*Operations!AP536/Inputs!$F$284</f>
        <v>0</v>
      </c>
      <c r="AQ108" s="20" t="n">
        <f aca="false">Operations!AQ531*Operations!AQ534/Inputs!$F$282+Operations!AQ531*Operations!AQ535/Inputs!$F$283+Operations!AQ531*Operations!AQ536/Inputs!$F$284</f>
        <v>0</v>
      </c>
      <c r="AR108" s="20" t="n">
        <f aca="false">Operations!AR531*Operations!AR534/Inputs!$F$282+Operations!AR531*Operations!AR535/Inputs!$F$283+Operations!AR531*Operations!AR536/Inputs!$F$284</f>
        <v>0</v>
      </c>
      <c r="AS108" s="20" t="n">
        <f aca="false">Operations!AS531*Operations!AS534/Inputs!$F$282+Operations!AS531*Operations!AS535/Inputs!$F$283+Operations!AS531*Operations!AS536/Inputs!$F$284</f>
        <v>0</v>
      </c>
      <c r="AT108" s="20" t="n">
        <f aca="false">Operations!AT531*Operations!AT534/Inputs!$F$282+Operations!AT531*Operations!AT535/Inputs!$F$283+Operations!AT531*Operations!AT536/Inputs!$F$284</f>
        <v>0</v>
      </c>
      <c r="AU108" s="20" t="n">
        <f aca="false">Operations!AU531*Operations!AU534/Inputs!$F$282+Operations!AU531*Operations!AU535/Inputs!$F$283+Operations!AU531*Operations!AU536/Inputs!$F$284</f>
        <v>0</v>
      </c>
    </row>
    <row r="109" customFormat="false" ht="15" hidden="false" customHeight="false" outlineLevel="0" collapsed="false">
      <c r="D109" s="0" t="s">
        <v>977</v>
      </c>
      <c r="E109" s="0" t="s">
        <v>47</v>
      </c>
      <c r="F109" s="20" t="n">
        <f aca="false">SUMPRODUCT(Funding!$J$108:$AU$108,Funding!$J$16:$AU$16,--(Funding!$J$8:$AU$8&gt;0))</f>
        <v>117.514296026029</v>
      </c>
    </row>
    <row r="110" customFormat="false" ht="15" hidden="false" customHeight="false" outlineLevel="0" collapsed="false">
      <c r="D110" s="0" t="s">
        <v>978</v>
      </c>
      <c r="E110" s="0" t="s">
        <v>47</v>
      </c>
      <c r="J110" s="20" t="n">
        <f aca="false">Operations!J574*Operations!J577/Inputs!$F$282+Operations!J574*Operations!J578/Inputs!$F$283+Operations!J574*Operations!J579/Inputs!$F$284</f>
        <v>6.04023549853097</v>
      </c>
      <c r="K110" s="20" t="n">
        <f aca="false">Operations!K574*Operations!K577/Inputs!$F$282+Operations!K574*Operations!K578/Inputs!$F$283+Operations!K574*Operations!K579/Inputs!$F$284</f>
        <v>7.78543273072537</v>
      </c>
      <c r="L110" s="20" t="n">
        <f aca="false">Operations!L574*Operations!L577/Inputs!$F$282+Operations!L574*Operations!L578/Inputs!$F$283+Operations!L574*Operations!L579/Inputs!$F$284</f>
        <v>8.12262152958148</v>
      </c>
      <c r="M110" s="20" t="n">
        <f aca="false">Operations!M574*Operations!M577/Inputs!$F$282+Operations!M574*Operations!M578/Inputs!$F$283+Operations!M574*Operations!M579/Inputs!$F$284</f>
        <v>7.92821197442217</v>
      </c>
      <c r="N110" s="20" t="n">
        <f aca="false">Operations!N574*Operations!N577/Inputs!$F$282+Operations!N574*Operations!N578/Inputs!$F$283+Operations!N574*Operations!N579/Inputs!$F$284</f>
        <v>7.79194455318126</v>
      </c>
      <c r="O110" s="20" t="n">
        <f aca="false">Operations!O574*Operations!O577/Inputs!$F$282+Operations!O574*Operations!O578/Inputs!$F$283+Operations!O574*Operations!O579/Inputs!$F$284</f>
        <v>7.68067347554337</v>
      </c>
      <c r="P110" s="20" t="n">
        <f aca="false">Operations!P574*Operations!P577/Inputs!$F$282+Operations!P574*Operations!P578/Inputs!$F$283+Operations!P574*Operations!P579/Inputs!$F$284</f>
        <v>7.57899649554829</v>
      </c>
      <c r="Q110" s="20" t="n">
        <f aca="false">Operations!Q574*Operations!Q577/Inputs!$F$282+Operations!Q574*Operations!Q578/Inputs!$F$283+Operations!Q574*Operations!Q579/Inputs!$F$284</f>
        <v>7.48174221187718</v>
      </c>
      <c r="R110" s="20" t="n">
        <f aca="false">Operations!R574*Operations!R577/Inputs!$F$282+Operations!R574*Operations!R578/Inputs!$F$283+Operations!R574*Operations!R579/Inputs!$F$284</f>
        <v>3.65216011223273</v>
      </c>
      <c r="S110" s="20" t="n">
        <f aca="false">Operations!S574*Operations!S577/Inputs!$F$282+Operations!S574*Operations!S578/Inputs!$F$283+Operations!S574*Operations!S579/Inputs!$F$284</f>
        <v>3.62851604091033</v>
      </c>
      <c r="T110" s="20" t="n">
        <f aca="false">Operations!T574*Operations!T577/Inputs!$F$282+Operations!T574*Operations!T578/Inputs!$F$283+Operations!T574*Operations!T579/Inputs!$F$284</f>
        <v>3.60254649593873</v>
      </c>
      <c r="U110" s="20" t="n">
        <f aca="false">Operations!U574*Operations!U577/Inputs!$F$282+Operations!U574*Operations!U578/Inputs!$F$283+Operations!U574*Operations!U579/Inputs!$F$284</f>
        <v>3.57412387433075</v>
      </c>
      <c r="V110" s="20" t="n">
        <f aca="false">Operations!V574*Operations!V577/Inputs!$F$282+Operations!V574*Operations!V578/Inputs!$F$283+Operations!V574*Operations!V579/Inputs!$F$284</f>
        <v>3.54311982461136</v>
      </c>
      <c r="W110" s="20" t="n">
        <f aca="false">Operations!W574*Operations!W577/Inputs!$F$282+Operations!W574*Operations!W578/Inputs!$F$283+Operations!W574*Operations!W579/Inputs!$F$284</f>
        <v>3.50940521029729</v>
      </c>
      <c r="X110" s="20" t="n">
        <f aca="false">Operations!X574*Operations!X577/Inputs!$F$282+Operations!X574*Operations!X578/Inputs!$F$283+Operations!X574*Operations!X579/Inputs!$F$284</f>
        <v>3.47285007254981</v>
      </c>
      <c r="Y110" s="20" t="n">
        <f aca="false">Operations!Y574*Operations!Y577/Inputs!$F$282+Operations!Y574*Operations!Y578/Inputs!$F$283+Operations!Y574*Operations!Y579/Inputs!$F$284</f>
        <v>3.43458698326978</v>
      </c>
      <c r="Z110" s="20" t="n">
        <f aca="false">Operations!Z574*Operations!Z577/Inputs!$F$282+Operations!Z574*Operations!Z578/Inputs!$F$283+Operations!Z574*Operations!Z579/Inputs!$F$284</f>
        <v>3.39319129579124</v>
      </c>
      <c r="AA110" s="20" t="n">
        <f aca="false">Operations!AA574*Operations!AA577/Inputs!$F$282+Operations!AA574*Operations!AA578/Inputs!$F$283+Operations!AA574*Operations!AA579/Inputs!$F$284</f>
        <v>3.42416546643576</v>
      </c>
      <c r="AB110" s="20" t="n">
        <f aca="false">Operations!AB574*Operations!AB577/Inputs!$F$282+Operations!AB574*Operations!AB578/Inputs!$F$283+Operations!AB574*Operations!AB579/Inputs!$F$284</f>
        <v>3.45568151021053</v>
      </c>
      <c r="AC110" s="20" t="n">
        <f aca="false">Operations!AC574*Operations!AC577/Inputs!$F$282+Operations!AC574*Operations!AC578/Inputs!$F$283+Operations!AC574*Operations!AC579/Inputs!$F$284</f>
        <v>3.48641223862915</v>
      </c>
      <c r="AD110" s="20" t="n">
        <f aca="false">Operations!AD574*Operations!AD577/Inputs!$F$282+Operations!AD574*Operations!AD578/Inputs!$F$283+Operations!AD574*Operations!AD579/Inputs!$F$284</f>
        <v>3.51751617017038</v>
      </c>
      <c r="AE110" s="20" t="n">
        <f aca="false">Operations!AE574*Operations!AE577/Inputs!$F$282+Operations!AE574*Operations!AE578/Inputs!$F$283+Operations!AE574*Operations!AE579/Inputs!$F$284</f>
        <v>3.54766791931133</v>
      </c>
      <c r="AF110" s="20" t="n">
        <f aca="false">Operations!AF574*Operations!AF577/Inputs!$F$282+Operations!AF574*Operations!AF578/Inputs!$F$283+Operations!AF574*Operations!AF579/Inputs!$F$284</f>
        <v>3.57801778510275</v>
      </c>
      <c r="AG110" s="20" t="n">
        <f aca="false">Operations!AG574*Operations!AG577/Inputs!$F$282+Operations!AG574*Operations!AG578/Inputs!$F$283+Operations!AG574*Operations!AG579/Inputs!$F$284</f>
        <v>3.60847324345186</v>
      </c>
      <c r="AH110" s="20" t="n">
        <f aca="false">Operations!AH574*Operations!AH577/Inputs!$F$282+Operations!AH574*Operations!AH578/Inputs!$F$283+Operations!AH574*Operations!AH579/Inputs!$F$284</f>
        <v>3.63771126473326</v>
      </c>
      <c r="AI110" s="20" t="n">
        <f aca="false">Operations!AI574*Operations!AI577/Inputs!$F$282+Operations!AI574*Operations!AI578/Inputs!$F$283+Operations!AI574*Operations!AI579/Inputs!$F$284</f>
        <v>3.6668695367894</v>
      </c>
      <c r="AJ110" s="20" t="n">
        <f aca="false">Operations!AJ574*Operations!AJ577/Inputs!$F$282+Operations!AJ574*Operations!AJ578/Inputs!$F$283+Operations!AJ574*Operations!AJ579/Inputs!$F$284</f>
        <v>3.69585022010876</v>
      </c>
      <c r="AK110" s="20" t="n">
        <f aca="false">Operations!AK574*Operations!AK577/Inputs!$F$282+Operations!AK574*Operations!AK578/Inputs!$F$283+Operations!AK574*Operations!AK579/Inputs!$F$284</f>
        <v>-5.36827304879195</v>
      </c>
      <c r="AL110" s="20" t="n">
        <f aca="false">Operations!AL574*Operations!AL577/Inputs!$F$282+Operations!AL574*Operations!AL578/Inputs!$F$283+Operations!AL574*Operations!AL579/Inputs!$F$284</f>
        <v>0</v>
      </c>
      <c r="AM110" s="20" t="n">
        <f aca="false">Operations!AM574*Operations!AM577/Inputs!$F$282+Operations!AM574*Operations!AM578/Inputs!$F$283+Operations!AM574*Operations!AM579/Inputs!$F$284</f>
        <v>0</v>
      </c>
      <c r="AN110" s="20" t="n">
        <f aca="false">Operations!AN574*Operations!AN577/Inputs!$F$282+Operations!AN574*Operations!AN578/Inputs!$F$283+Operations!AN574*Operations!AN579/Inputs!$F$284</f>
        <v>0</v>
      </c>
      <c r="AO110" s="20" t="n">
        <f aca="false">Operations!AO574*Operations!AO577/Inputs!$F$282+Operations!AO574*Operations!AO578/Inputs!$F$283+Operations!AO574*Operations!AO579/Inputs!$F$284</f>
        <v>0</v>
      </c>
      <c r="AP110" s="20" t="n">
        <f aca="false">Operations!AP574*Operations!AP577/Inputs!$F$282+Operations!AP574*Operations!AP578/Inputs!$F$283+Operations!AP574*Operations!AP579/Inputs!$F$284</f>
        <v>0</v>
      </c>
      <c r="AQ110" s="20" t="n">
        <f aca="false">Operations!AQ574*Operations!AQ577/Inputs!$F$282+Operations!AQ574*Operations!AQ578/Inputs!$F$283+Operations!AQ574*Operations!AQ579/Inputs!$F$284</f>
        <v>0</v>
      </c>
      <c r="AR110" s="20" t="n">
        <f aca="false">Operations!AR574*Operations!AR577/Inputs!$F$282+Operations!AR574*Operations!AR578/Inputs!$F$283+Operations!AR574*Operations!AR579/Inputs!$F$284</f>
        <v>0</v>
      </c>
      <c r="AS110" s="20" t="n">
        <f aca="false">Operations!AS574*Operations!AS577/Inputs!$F$282+Operations!AS574*Operations!AS578/Inputs!$F$283+Operations!AS574*Operations!AS579/Inputs!$F$284</f>
        <v>0</v>
      </c>
      <c r="AT110" s="20" t="n">
        <f aca="false">Operations!AT574*Operations!AT577/Inputs!$F$282+Operations!AT574*Operations!AT578/Inputs!$F$283+Operations!AT574*Operations!AT579/Inputs!$F$284</f>
        <v>0</v>
      </c>
      <c r="AU110" s="20" t="n">
        <f aca="false">Operations!AU574*Operations!AU577/Inputs!$F$282+Operations!AU574*Operations!AU578/Inputs!$F$283+Operations!AU574*Operations!AU579/Inputs!$F$284</f>
        <v>0</v>
      </c>
    </row>
    <row r="111" customFormat="false" ht="15" hidden="false" customHeight="false" outlineLevel="0" collapsed="false">
      <c r="D111" s="0" t="s">
        <v>979</v>
      </c>
      <c r="E111" s="0" t="s">
        <v>47</v>
      </c>
      <c r="F111" s="20" t="n">
        <f aca="false">SUMPRODUCT(Funding!$J$110:$AU$110,Funding!$J$16:$AU$16,--(Funding!$J$8:$AU$8&gt;0))</f>
        <v>70.8874951955143</v>
      </c>
    </row>
    <row r="112" customFormat="false" ht="15" hidden="false" customHeight="false" outlineLevel="0" collapsed="false">
      <c r="D112" s="0" t="s">
        <v>980</v>
      </c>
      <c r="E112" s="0" t="s">
        <v>47</v>
      </c>
      <c r="J112" s="20" t="n">
        <f aca="false">Operations!J617*Operations!J620/Inputs!$F$282+Operations!J617*Operations!J621/Inputs!$F$283+Operations!J617*Operations!J622/Inputs!$F$284</f>
        <v>4.45700145584402</v>
      </c>
      <c r="K112" s="20" t="n">
        <f aca="false">Operations!K617*Operations!K620/Inputs!$F$282+Operations!K617*Operations!K621/Inputs!$F$283+Operations!K617*Operations!K622/Inputs!$F$284</f>
        <v>5.25244248108728</v>
      </c>
      <c r="L112" s="20" t="n">
        <f aca="false">Operations!L617*Operations!L620/Inputs!$F$282+Operations!L617*Operations!L621/Inputs!$F$283+Operations!L617*Operations!L622/Inputs!$F$284</f>
        <v>4.48721375642383</v>
      </c>
      <c r="M112" s="20" t="n">
        <f aca="false">Operations!M617*Operations!M620/Inputs!$F$282+Operations!M617*Operations!M621/Inputs!$F$283+Operations!M617*Operations!M622/Inputs!$F$284</f>
        <v>4.59671204292061</v>
      </c>
      <c r="N112" s="20" t="n">
        <f aca="false">Operations!N617*Operations!N620/Inputs!$F$282+Operations!N617*Operations!N621/Inputs!$F$283+Operations!N617*Operations!N622/Inputs!$F$284</f>
        <v>4.61181078911036</v>
      </c>
      <c r="O112" s="20" t="n">
        <f aca="false">Operations!O617*Operations!O620/Inputs!$F$282+Operations!O617*Operations!O621/Inputs!$F$283+Operations!O617*Operations!O622/Inputs!$F$284</f>
        <v>2.60093407768068</v>
      </c>
      <c r="P112" s="20" t="n">
        <f aca="false">Operations!P617*Operations!P620/Inputs!$F$282+Operations!P617*Operations!P621/Inputs!$F$283+Operations!P617*Operations!P622/Inputs!$F$284</f>
        <v>2.59272280236169</v>
      </c>
      <c r="Q112" s="20" t="n">
        <f aca="false">Operations!Q617*Operations!Q620/Inputs!$F$282+Operations!Q617*Operations!Q621/Inputs!$F$283+Operations!Q617*Operations!Q622/Inputs!$F$284</f>
        <v>2.53961521792299</v>
      </c>
      <c r="R112" s="20" t="n">
        <f aca="false">Operations!R617*Operations!R620/Inputs!$F$282+Operations!R617*Operations!R621/Inputs!$F$283+Operations!R617*Operations!R622/Inputs!$F$284</f>
        <v>2.4875500858127</v>
      </c>
      <c r="S112" s="20" t="n">
        <f aca="false">Operations!S617*Operations!S620/Inputs!$F$282+Operations!S617*Operations!S621/Inputs!$F$283+Operations!S617*Operations!S622/Inputs!$F$284</f>
        <v>2.40460719410807</v>
      </c>
      <c r="T112" s="20" t="n">
        <f aca="false">Operations!T617*Operations!T620/Inputs!$F$282+Operations!T617*Operations!T621/Inputs!$F$283+Operations!T617*Operations!T622/Inputs!$F$284</f>
        <v>2.31833624909495</v>
      </c>
      <c r="U112" s="20" t="n">
        <f aca="false">Operations!U617*Operations!U620/Inputs!$F$282+Operations!U617*Operations!U621/Inputs!$F$283+Operations!U617*Operations!U622/Inputs!$F$284</f>
        <v>2.2286329929362</v>
      </c>
      <c r="V112" s="20" t="n">
        <f aca="false">Operations!V617*Operations!V620/Inputs!$F$282+Operations!V617*Operations!V621/Inputs!$F$283+Operations!V617*Operations!V622/Inputs!$F$284</f>
        <v>2.1353946020901</v>
      </c>
      <c r="W112" s="20" t="n">
        <f aca="false">Operations!W617*Operations!W620/Inputs!$F$282+Operations!W617*Operations!W621/Inputs!$F$283+Operations!W617*Operations!W622/Inputs!$F$284</f>
        <v>2.03851965350946</v>
      </c>
      <c r="X112" s="20" t="n">
        <f aca="false">Operations!X617*Operations!X620/Inputs!$F$282+Operations!X617*Operations!X621/Inputs!$F$283+Operations!X617*Operations!X622/Inputs!$F$284</f>
        <v>2.0571511289742</v>
      </c>
      <c r="Y112" s="20" t="n">
        <f aca="false">Operations!Y617*Operations!Y620/Inputs!$F$282+Operations!Y617*Operations!Y621/Inputs!$F$283+Operations!Y617*Operations!Y622/Inputs!$F$284</f>
        <v>2.07617456405018</v>
      </c>
      <c r="Z112" s="20" t="n">
        <f aca="false">Operations!Z617*Operations!Z620/Inputs!$F$282+Operations!Z617*Operations!Z621/Inputs!$F$283+Operations!Z617*Operations!Z622/Inputs!$F$284</f>
        <v>2.09497246583092</v>
      </c>
      <c r="AA112" s="20" t="n">
        <f aca="false">Operations!AA617*Operations!AA620/Inputs!$F$282+Operations!AA617*Operations!AA621/Inputs!$F$283+Operations!AA617*Operations!AA622/Inputs!$F$284</f>
        <v>2.11351210215774</v>
      </c>
      <c r="AB112" s="20" t="n">
        <f aca="false">Operations!AB617*Operations!AB620/Inputs!$F$282+Operations!AB617*Operations!AB621/Inputs!$F$283+Operations!AB617*Operations!AB622/Inputs!$F$284</f>
        <v>2.13233243991105</v>
      </c>
      <c r="AC112" s="20" t="n">
        <f aca="false">Operations!AC617*Operations!AC620/Inputs!$F$282+Operations!AC617*Operations!AC621/Inputs!$F$283+Operations!AC617*Operations!AC622/Inputs!$F$284</f>
        <v>2.150822663947</v>
      </c>
      <c r="AD112" s="20" t="n">
        <f aca="false">Operations!AD617*Operations!AD620/Inputs!$F$282+Operations!AD617*Operations!AD621/Inputs!$F$283+Operations!AD617*Operations!AD622/Inputs!$F$284</f>
        <v>2.16951578217545</v>
      </c>
      <c r="AE112" s="20" t="n">
        <f aca="false">Operations!AE617*Operations!AE620/Inputs!$F$282+Operations!AE617*Operations!AE621/Inputs!$F$283+Operations!AE617*Operations!AE622/Inputs!$F$284</f>
        <v>2.18780531224127</v>
      </c>
      <c r="AF112" s="20" t="n">
        <f aca="false">Operations!AF617*Operations!AF620/Inputs!$F$282+Operations!AF617*Operations!AF621/Inputs!$F$283+Operations!AF617*Operations!AF622/Inputs!$F$284</f>
        <v>2.20621828980744</v>
      </c>
      <c r="AG112" s="20" t="n">
        <f aca="false">Operations!AG617*Operations!AG620/Inputs!$F$282+Operations!AG617*Operations!AG621/Inputs!$F$283+Operations!AG617*Operations!AG622/Inputs!$F$284</f>
        <v>2.22471180698055</v>
      </c>
      <c r="AH112" s="20" t="n">
        <f aca="false">Operations!AH617*Operations!AH620/Inputs!$F$282+Operations!AH617*Operations!AH621/Inputs!$F$283+Operations!AH617*Operations!AH622/Inputs!$F$284</f>
        <v>2.24268569573782</v>
      </c>
      <c r="AI112" s="20" t="n">
        <f aca="false">Operations!AI617*Operations!AI620/Inputs!$F$282+Operations!AI617*Operations!AI621/Inputs!$F$283+Operations!AI617*Operations!AI622/Inputs!$F$284</f>
        <v>2.26065801854994</v>
      </c>
      <c r="AJ112" s="20" t="n">
        <f aca="false">Operations!AJ617*Operations!AJ620/Inputs!$F$282+Operations!AJ617*Operations!AJ621/Inputs!$F$283+Operations!AJ617*Operations!AJ622/Inputs!$F$284</f>
        <v>2.27858449891051</v>
      </c>
      <c r="AK112" s="20" t="n">
        <f aca="false">Operations!AK617*Operations!AK620/Inputs!$F$282+Operations!AK617*Operations!AK621/Inputs!$F$283+Operations!AK617*Operations!AK622/Inputs!$F$284</f>
        <v>2.29642038142808</v>
      </c>
      <c r="AL112" s="20" t="n">
        <f aca="false">Operations!AL617*Operations!AL620/Inputs!$F$282+Operations!AL617*Operations!AL621/Inputs!$F$283+Operations!AL617*Operations!AL622/Inputs!$F$284</f>
        <v>2.31412041410415</v>
      </c>
      <c r="AM112" s="20" t="n">
        <f aca="false">Operations!AM617*Operations!AM620/Inputs!$F$282+Operations!AM617*Operations!AM621/Inputs!$F$283+Operations!AM617*Operations!AM622/Inputs!$F$284</f>
        <v>2.33163883021166</v>
      </c>
      <c r="AN112" s="20" t="n">
        <f aca="false">Operations!AN617*Operations!AN620/Inputs!$F$282+Operations!AN617*Operations!AN621/Inputs!$F$283+Operations!AN617*Operations!AN622/Inputs!$F$284</f>
        <v>2.34892932976356</v>
      </c>
      <c r="AO112" s="20" t="n">
        <f aca="false">Operations!AO617*Operations!AO620/Inputs!$F$282+Operations!AO617*Operations!AO621/Inputs!$F$283+Operations!AO617*Operations!AO622/Inputs!$F$284</f>
        <v>2.36594506056114</v>
      </c>
      <c r="AP112" s="20" t="n">
        <f aca="false">Operations!AP617*Operations!AP620/Inputs!$F$282+Operations!AP617*Operations!AP621/Inputs!$F$283+Operations!AP617*Operations!AP622/Inputs!$F$284</f>
        <v>2.38263859881105</v>
      </c>
      <c r="AQ112" s="20" t="n">
        <f aca="false">Operations!AQ617*Operations!AQ620/Inputs!$F$282+Operations!AQ617*Operations!AQ621/Inputs!$F$283+Operations!AQ617*Operations!AQ622/Inputs!$F$284</f>
        <v>-2.23753817125138</v>
      </c>
      <c r="AR112" s="20" t="n">
        <f aca="false">Operations!AR617*Operations!AR620/Inputs!$F$282+Operations!AR617*Operations!AR621/Inputs!$F$283+Operations!AR617*Operations!AR622/Inputs!$F$284</f>
        <v>0</v>
      </c>
      <c r="AS112" s="20" t="n">
        <f aca="false">Operations!AS617*Operations!AS620/Inputs!$F$282+Operations!AS617*Operations!AS621/Inputs!$F$283+Operations!AS617*Operations!AS622/Inputs!$F$284</f>
        <v>0</v>
      </c>
      <c r="AT112" s="20" t="n">
        <f aca="false">Operations!AT617*Operations!AT620/Inputs!$F$282+Operations!AT617*Operations!AT621/Inputs!$F$283+Operations!AT617*Operations!AT622/Inputs!$F$284</f>
        <v>0</v>
      </c>
      <c r="AU112" s="20" t="n">
        <f aca="false">Operations!AU617*Operations!AU620/Inputs!$F$282+Operations!AU617*Operations!AU621/Inputs!$F$283+Operations!AU617*Operations!AU622/Inputs!$F$284</f>
        <v>0</v>
      </c>
    </row>
    <row r="113" customFormat="false" ht="15" hidden="false" customHeight="false" outlineLevel="0" collapsed="false">
      <c r="D113" s="0" t="s">
        <v>981</v>
      </c>
      <c r="E113" s="0" t="s">
        <v>47</v>
      </c>
      <c r="F113" s="20" t="n">
        <f aca="false">SUMPRODUCT(Funding!$J$112:$AU$112,Funding!$J$16:$AU$16,--(Funding!$J$8:$AU$8&gt;0))</f>
        <v>39.4584555871074</v>
      </c>
    </row>
    <row r="114" customFormat="false" ht="15" hidden="false" customHeight="false" outlineLevel="0" collapsed="false">
      <c r="D114" s="0" t="s">
        <v>982</v>
      </c>
      <c r="E114" s="0" t="s">
        <v>47</v>
      </c>
      <c r="J114" s="20" t="n">
        <f aca="false">Operations!J660*Operations!J663/Inputs!$F$282+Operations!J660*Operations!J664/Inputs!$F$283+Operations!J660*Operations!J665/Inputs!$F$284</f>
        <v>3.90635087897009</v>
      </c>
      <c r="K114" s="20" t="n">
        <f aca="false">Operations!K660*Operations!K663/Inputs!$F$282+Operations!K660*Operations!K664/Inputs!$F$283+Operations!K660*Operations!K665/Inputs!$F$284</f>
        <v>4.90653100795413</v>
      </c>
      <c r="L114" s="20" t="n">
        <f aca="false">Operations!L660*Operations!L663/Inputs!$F$282+Operations!L660*Operations!L664/Inputs!$F$283+Operations!L660*Operations!L665/Inputs!$F$284</f>
        <v>4.96559800538159</v>
      </c>
      <c r="M114" s="20" t="n">
        <f aca="false">Operations!M660*Operations!M663/Inputs!$F$282+Operations!M660*Operations!M664/Inputs!$F$283+Operations!M660*Operations!M665/Inputs!$F$284</f>
        <v>4.78120534746338</v>
      </c>
      <c r="N114" s="20" t="n">
        <f aca="false">Operations!N660*Operations!N663/Inputs!$F$282+Operations!N660*Operations!N664/Inputs!$F$283+Operations!N660*Operations!N665/Inputs!$F$284</f>
        <v>4.66172195432474</v>
      </c>
      <c r="O114" s="20" t="n">
        <f aca="false">Operations!O660*Operations!O663/Inputs!$F$282+Operations!O660*Operations!O664/Inputs!$F$283+Operations!O660*Operations!O665/Inputs!$F$284</f>
        <v>4.98365091139544</v>
      </c>
      <c r="P114" s="20" t="n">
        <f aca="false">Operations!P660*Operations!P663/Inputs!$F$282+Operations!P660*Operations!P664/Inputs!$F$283+Operations!P660*Operations!P665/Inputs!$F$284</f>
        <v>5.28289647487642</v>
      </c>
      <c r="Q114" s="20" t="n">
        <f aca="false">Operations!Q660*Operations!Q663/Inputs!$F$282+Operations!Q660*Operations!Q664/Inputs!$F$283+Operations!Q660*Operations!Q665/Inputs!$F$284</f>
        <v>5.16060261253999</v>
      </c>
      <c r="R114" s="20" t="n">
        <f aca="false">Operations!R660*Operations!R663/Inputs!$F$282+Operations!R660*Operations!R664/Inputs!$F$283+Operations!R660*Operations!R665/Inputs!$F$284</f>
        <v>5.03586143229016</v>
      </c>
      <c r="S114" s="20" t="n">
        <f aca="false">Operations!S660*Operations!S663/Inputs!$F$282+Operations!S660*Operations!S664/Inputs!$F$283+Operations!S660*Operations!S665/Inputs!$F$284</f>
        <v>4.91186517958581</v>
      </c>
      <c r="T114" s="20" t="n">
        <f aca="false">Operations!T660*Operations!T663/Inputs!$F$282+Operations!T660*Operations!T664/Inputs!$F$283+Operations!T660*Operations!T665/Inputs!$F$284</f>
        <v>4.78588525618082</v>
      </c>
      <c r="U114" s="20" t="n">
        <f aca="false">Operations!U660*Operations!U663/Inputs!$F$282+Operations!U660*Operations!U664/Inputs!$F$283+Operations!U660*Operations!U665/Inputs!$F$284</f>
        <v>4.48458698135507</v>
      </c>
      <c r="V114" s="20" t="n">
        <f aca="false">Operations!V660*Operations!V663/Inputs!$F$282+Operations!V660*Operations!V664/Inputs!$F$283+Operations!V660*Operations!V665/Inputs!$F$284</f>
        <v>4.0146810148487</v>
      </c>
      <c r="W114" s="20" t="n">
        <f aca="false">Operations!W660*Operations!W663/Inputs!$F$282+Operations!W660*Operations!W664/Inputs!$F$283+Operations!W660*Operations!W665/Inputs!$F$284</f>
        <v>3.83954606267594</v>
      </c>
      <c r="X114" s="20" t="n">
        <f aca="false">Operations!X660*Operations!X663/Inputs!$F$282+Operations!X660*Operations!X664/Inputs!$F$283+Operations!X660*Operations!X665/Inputs!$F$284</f>
        <v>3.87625474879733</v>
      </c>
      <c r="Y114" s="20" t="n">
        <f aca="false">Operations!Y660*Operations!Y663/Inputs!$F$282+Operations!Y660*Operations!Y664/Inputs!$F$283+Operations!Y660*Operations!Y665/Inputs!$F$284</f>
        <v>3.91374578946302</v>
      </c>
      <c r="Z114" s="20" t="n">
        <f aca="false">Operations!Z660*Operations!Z663/Inputs!$F$282+Operations!Z660*Operations!Z664/Inputs!$F$283+Operations!Z660*Operations!Z665/Inputs!$F$284</f>
        <v>3.95088860130044</v>
      </c>
      <c r="AA114" s="20" t="n">
        <f aca="false">Operations!AA660*Operations!AA663/Inputs!$F$282+Operations!AA660*Operations!AA664/Inputs!$F$283+Operations!AA660*Operations!AA665/Inputs!$F$284</f>
        <v>3.98762480194854</v>
      </c>
      <c r="AB114" s="20" t="n">
        <f aca="false">Operations!AB660*Operations!AB663/Inputs!$F$282+Operations!AB660*Operations!AB664/Inputs!$F$283+Operations!AB660*Operations!AB665/Inputs!$F$284</f>
        <v>4.02494426235704</v>
      </c>
      <c r="AC114" s="20" t="n">
        <f aca="false">Operations!AC660*Operations!AC663/Inputs!$F$282+Operations!AC660*Operations!AC664/Inputs!$F$283+Operations!AC660*Operations!AC665/Inputs!$F$284</f>
        <v>4.06172876529696</v>
      </c>
      <c r="AD114" s="20" t="n">
        <f aca="false">Operations!AD660*Operations!AD663/Inputs!$F$282+Operations!AD660*Operations!AD664/Inputs!$F$283+Operations!AD660*Operations!AD665/Inputs!$F$284</f>
        <v>4.09895734061648</v>
      </c>
      <c r="AE114" s="20" t="n">
        <f aca="false">Operations!AE660*Operations!AE663/Inputs!$F$282+Operations!AE660*Operations!AE664/Inputs!$F$283+Operations!AE660*Operations!AE665/Inputs!$F$284</f>
        <v>4.13551980208475</v>
      </c>
      <c r="AF114" s="20" t="n">
        <f aca="false">Operations!AF660*Operations!AF663/Inputs!$F$282+Operations!AF660*Operations!AF664/Inputs!$F$283+Operations!AF660*Operations!AF665/Inputs!$F$284</f>
        <v>4.17238431839384</v>
      </c>
      <c r="AG114" s="20" t="n">
        <f aca="false">Operations!AG660*Operations!AG663/Inputs!$F$282+Operations!AG660*Operations!AG664/Inputs!$F$283+Operations!AG660*Operations!AG665/Inputs!$F$284</f>
        <v>4.20947411058092</v>
      </c>
      <c r="AH114" s="20" t="n">
        <f aca="false">Operations!AH660*Operations!AH663/Inputs!$F$282+Operations!AH660*Operations!AH664/Inputs!$F$283+Operations!AH660*Operations!AH665/Inputs!$F$284</f>
        <v>4.24569070829728</v>
      </c>
      <c r="AI114" s="20" t="n">
        <f aca="false">Operations!AI660*Operations!AI663/Inputs!$F$282+Operations!AI660*Operations!AI664/Inputs!$F$283+Operations!AI660*Operations!AI665/Inputs!$F$284</f>
        <v>4.28198596984191</v>
      </c>
      <c r="AJ114" s="20" t="n">
        <f aca="false">Operations!AJ660*Operations!AJ663/Inputs!$F$282+Operations!AJ660*Operations!AJ664/Inputs!$F$283+Operations!AJ660*Operations!AJ665/Inputs!$F$284</f>
        <v>4.3182807524357</v>
      </c>
      <c r="AK114" s="20" t="n">
        <f aca="false">Operations!AK660*Operations!AK663/Inputs!$F$282+Operations!AK660*Operations!AK664/Inputs!$F$283+Operations!AK660*Operations!AK665/Inputs!$F$284</f>
        <v>4.35449508622119</v>
      </c>
      <c r="AL114" s="20" t="n">
        <f aca="false">Operations!AL660*Operations!AL663/Inputs!$F$282+Operations!AL660*Operations!AL664/Inputs!$F$283+Operations!AL660*Operations!AL665/Inputs!$F$284</f>
        <v>4.39054814304327</v>
      </c>
      <c r="AM114" s="20" t="n">
        <f aca="false">Operations!AM660*Operations!AM663/Inputs!$F$282+Operations!AM660*Operations!AM664/Inputs!$F$283+Operations!AM660*Operations!AM665/Inputs!$F$284</f>
        <v>4.42635820452907</v>
      </c>
      <c r="AN114" s="20" t="n">
        <f aca="false">Operations!AN660*Operations!AN663/Inputs!$F$282+Operations!AN660*Operations!AN664/Inputs!$F$283+Operations!AN660*Operations!AN665/Inputs!$F$284</f>
        <v>4.46184262944911</v>
      </c>
      <c r="AO114" s="20" t="n">
        <f aca="false">Operations!AO660*Operations!AO663/Inputs!$F$282+Operations!AO660*Operations!AO664/Inputs!$F$283+Operations!AO660*Operations!AO665/Inputs!$F$284</f>
        <v>4.49691782034113</v>
      </c>
      <c r="AP114" s="20" t="n">
        <f aca="false">Operations!AP660*Operations!AP663/Inputs!$F$282+Operations!AP660*Operations!AP664/Inputs!$F$283+Operations!AP660*Operations!AP665/Inputs!$F$284</f>
        <v>4.53149918937771</v>
      </c>
      <c r="AQ114" s="20" t="n">
        <f aca="false">Operations!AQ660*Operations!AQ663/Inputs!$F$282+Operations!AQ660*Operations!AQ664/Inputs!$F$283+Operations!AQ660*Operations!AQ665/Inputs!$F$284</f>
        <v>4.56648146490869</v>
      </c>
      <c r="AR114" s="20" t="n">
        <f aca="false">Operations!AR660*Operations!AR663/Inputs!$F$282+Operations!AR660*Operations!AR664/Inputs!$F$283+Operations!AR660*Operations!AR665/Inputs!$F$284</f>
        <v>-5.33495742114599</v>
      </c>
      <c r="AS114" s="20" t="n">
        <f aca="false">Operations!AS660*Operations!AS663/Inputs!$F$282+Operations!AS660*Operations!AS664/Inputs!$F$283+Operations!AS660*Operations!AS665/Inputs!$F$284</f>
        <v>0</v>
      </c>
      <c r="AT114" s="20" t="n">
        <f aca="false">Operations!AT660*Operations!AT663/Inputs!$F$282+Operations!AT660*Operations!AT664/Inputs!$F$283+Operations!AT660*Operations!AT665/Inputs!$F$284</f>
        <v>0</v>
      </c>
      <c r="AU114" s="20" t="n">
        <f aca="false">Operations!AU660*Operations!AU663/Inputs!$F$282+Operations!AU660*Operations!AU664/Inputs!$F$283+Operations!AU660*Operations!AU665/Inputs!$F$284</f>
        <v>0</v>
      </c>
    </row>
    <row r="115" customFormat="false" ht="15" hidden="false" customHeight="false" outlineLevel="0" collapsed="false">
      <c r="D115" s="0" t="s">
        <v>983</v>
      </c>
      <c r="E115" s="0" t="s">
        <v>47</v>
      </c>
      <c r="F115" s="20" t="n">
        <f aca="false">SUMPRODUCT(Funding!$J$114:$AU$114,Funding!$J$16:$AU$16,--(Funding!$J$8:$AU$8&gt;0))</f>
        <v>57.1898015564741</v>
      </c>
    </row>
    <row r="116" customFormat="false" ht="15" hidden="false" customHeight="false" outlineLevel="0" collapsed="false">
      <c r="D116" s="0" t="s">
        <v>984</v>
      </c>
      <c r="E116" s="0" t="s">
        <v>47</v>
      </c>
      <c r="F116" s="20" t="n">
        <f aca="false">Funding!$F$17*Funding!$F$107/(Funding!$F$107+Funding!$F$109+Funding!$F$111+Funding!$F$113+Funding!$F$115)</f>
        <v>66.4950785721516</v>
      </c>
    </row>
    <row r="117" customFormat="false" ht="15" hidden="false" customHeight="false" outlineLevel="0" collapsed="false">
      <c r="D117" s="0" t="s">
        <v>985</v>
      </c>
      <c r="E117" s="0" t="s">
        <v>47</v>
      </c>
      <c r="F117" s="20" t="n">
        <f aca="false">Funding!$F$17*Funding!$F$109/(Funding!$F$107+Funding!$F$109+Funding!$F$111+Funding!$F$113+Funding!$F$115)</f>
        <v>107.834495605581</v>
      </c>
    </row>
    <row r="118" customFormat="false" ht="15" hidden="false" customHeight="false" outlineLevel="0" collapsed="false">
      <c r="D118" s="0" t="s">
        <v>986</v>
      </c>
      <c r="E118" s="0" t="s">
        <v>47</v>
      </c>
      <c r="F118" s="20" t="n">
        <f aca="false">Funding!$F$17*Funding!$F$111/(Funding!$F$107+Funding!$F$109+Funding!$F$111+Funding!$F$113+Funding!$F$115)</f>
        <v>65.0484030254348</v>
      </c>
    </row>
    <row r="119" customFormat="false" ht="15" hidden="false" customHeight="false" outlineLevel="0" collapsed="false">
      <c r="D119" s="0" t="s">
        <v>987</v>
      </c>
      <c r="E119" s="0" t="s">
        <v>47</v>
      </c>
      <c r="F119" s="20" t="n">
        <f aca="false">Funding!$F$17*Funding!$F$113/(Funding!$F$107+Funding!$F$109+Funding!$F$111+Funding!$F$113+Funding!$F$115)</f>
        <v>36.2082129536692</v>
      </c>
    </row>
    <row r="120" customFormat="false" ht="15" hidden="false" customHeight="false" outlineLevel="0" collapsed="false">
      <c r="D120" s="0" t="s">
        <v>988</v>
      </c>
      <c r="E120" s="0" t="s">
        <v>47</v>
      </c>
      <c r="F120" s="20" t="n">
        <f aca="false">Funding!$F$17*Funding!$F$115/(Funding!$F$107+Funding!$F$109+Funding!$F$111+Funding!$F$113+Funding!$F$115)</f>
        <v>52.479005645915</v>
      </c>
    </row>
    <row r="121" customFormat="false" ht="15" hidden="false" customHeight="false" outlineLevel="0" collapsed="false">
      <c r="D121" s="0" t="s">
        <v>989</v>
      </c>
      <c r="E121" s="0" t="s">
        <v>47</v>
      </c>
      <c r="J121" s="20" t="n">
        <f aca="false">Operations!J489*Operations!J492/Inputs!$F$323+Operations!J489*Operations!J493/Inputs!$F$324+Operations!J489*Operations!J494/Inputs!$F$325</f>
        <v>8.17087283290663</v>
      </c>
      <c r="K121" s="20" t="n">
        <f aca="false">Operations!K489*Operations!K492/Inputs!$F$323+Operations!K489*Operations!K493/Inputs!$F$324+Operations!K489*Operations!K494/Inputs!$F$325</f>
        <v>8.04768319530036</v>
      </c>
      <c r="L121" s="20" t="n">
        <f aca="false">Operations!L489*Operations!L492/Inputs!$F$323+Operations!L489*Operations!L493/Inputs!$F$324+Operations!L489*Operations!L494/Inputs!$F$325</f>
        <v>6.20792890494061</v>
      </c>
      <c r="M121" s="20" t="n">
        <f aca="false">Operations!M489*Operations!M492/Inputs!$F$323+Operations!M489*Operations!M493/Inputs!$F$324+Operations!M489*Operations!M494/Inputs!$F$325</f>
        <v>6.38767784590741</v>
      </c>
      <c r="N121" s="20" t="n">
        <f aca="false">Operations!N489*Operations!N492/Inputs!$F$323+Operations!N489*Operations!N493/Inputs!$F$324+Operations!N489*Operations!N494/Inputs!$F$325</f>
        <v>6.3553420960845</v>
      </c>
      <c r="O121" s="20" t="n">
        <f aca="false">Operations!O489*Operations!O492/Inputs!$F$323+Operations!O489*Operations!O493/Inputs!$F$324+Operations!O489*Operations!O494/Inputs!$F$325</f>
        <v>6.21117700199912</v>
      </c>
      <c r="P121" s="20" t="n">
        <f aca="false">Operations!P489*Operations!P492/Inputs!$F$323+Operations!P489*Operations!P493/Inputs!$F$324+Operations!P489*Operations!P494/Inputs!$F$325</f>
        <v>4.16105275639301</v>
      </c>
      <c r="Q121" s="20" t="n">
        <f aca="false">Operations!Q489*Operations!Q492/Inputs!$F$323+Operations!Q489*Operations!Q493/Inputs!$F$324+Operations!Q489*Operations!Q494/Inputs!$F$325</f>
        <v>4.17998033592831</v>
      </c>
      <c r="R121" s="20" t="n">
        <f aca="false">Operations!R489*Operations!R492/Inputs!$F$323+Operations!R489*Operations!R493/Inputs!$F$324+Operations!R489*Operations!R494/Inputs!$F$325</f>
        <v>4.20865361231259</v>
      </c>
      <c r="S121" s="20" t="n">
        <f aca="false">Operations!S489*Operations!S492/Inputs!$F$323+Operations!S489*Operations!S493/Inputs!$F$324+Operations!S489*Operations!S494/Inputs!$F$325</f>
        <v>4.16804253525183</v>
      </c>
      <c r="T121" s="20" t="n">
        <f aca="false">Operations!T489*Operations!T492/Inputs!$F$323+Operations!T489*Operations!T493/Inputs!$F$324+Operations!T489*Operations!T494/Inputs!$F$325</f>
        <v>4.12421999639414</v>
      </c>
      <c r="U121" s="20" t="n">
        <f aca="false">Operations!U489*Operations!U492/Inputs!$F$323+Operations!U489*Operations!U493/Inputs!$F$324+Operations!U489*Operations!U494/Inputs!$F$325</f>
        <v>4.07701819290184</v>
      </c>
      <c r="V121" s="20" t="n">
        <f aca="false">Operations!V489*Operations!V492/Inputs!$F$323+Operations!V489*Operations!V493/Inputs!$F$324+Operations!V489*Operations!V494/Inputs!$F$325</f>
        <v>4.02626823393252</v>
      </c>
      <c r="W121" s="20" t="n">
        <f aca="false">Operations!W489*Operations!W492/Inputs!$F$323+Operations!W489*Operations!W493/Inputs!$F$324+Operations!W489*Operations!W494/Inputs!$F$325</f>
        <v>3.97180009075541</v>
      </c>
      <c r="X121" s="20" t="n">
        <f aca="false">Operations!X489*Operations!X492/Inputs!$F$323+Operations!X489*Operations!X493/Inputs!$F$324+Operations!X489*Operations!X494/Inputs!$F$325</f>
        <v>3.91344254573036</v>
      </c>
      <c r="Y121" s="20" t="n">
        <f aca="false">Operations!Y489*Operations!Y492/Inputs!$F$323+Operations!Y489*Operations!Y493/Inputs!$F$324+Operations!Y489*Operations!Y494/Inputs!$F$325</f>
        <v>3.85261345359477</v>
      </c>
      <c r="Z121" s="20" t="n">
        <f aca="false">Operations!Z489*Operations!Z492/Inputs!$F$323+Operations!Z489*Operations!Z493/Inputs!$F$324+Operations!Z489*Operations!Z494/Inputs!$F$325</f>
        <v>3.78751116411875</v>
      </c>
      <c r="AA121" s="20" t="n">
        <f aca="false">Operations!AA489*Operations!AA492/Inputs!$F$323+Operations!AA489*Operations!AA493/Inputs!$F$324+Operations!AA489*Operations!AA494/Inputs!$F$325</f>
        <v>3.71796078141461</v>
      </c>
      <c r="AB121" s="20" t="n">
        <f aca="false">Operations!AB489*Operations!AB492/Inputs!$F$323+Operations!AB489*Operations!AB493/Inputs!$F$324+Operations!AB489*Operations!AB494/Inputs!$F$325</f>
        <v>3.64532014822174</v>
      </c>
      <c r="AC121" s="20" t="n">
        <f aca="false">Operations!AC489*Operations!AC492/Inputs!$F$323+Operations!AC489*Operations!AC493/Inputs!$F$324+Operations!AC489*Operations!AC494/Inputs!$F$325</f>
        <v>3.5678401837027</v>
      </c>
      <c r="AD121" s="20" t="n">
        <f aca="false">Operations!AD489*Operations!AD492/Inputs!$F$323+Operations!AD489*Operations!AD493/Inputs!$F$324+Operations!AD489*Operations!AD494/Inputs!$F$325</f>
        <v>3.48683884723105</v>
      </c>
      <c r="AE121" s="20" t="n">
        <f aca="false">Operations!AE489*Operations!AE492/Inputs!$F$323+Operations!AE489*Operations!AE493/Inputs!$F$324+Operations!AE489*Operations!AE494/Inputs!$F$325</f>
        <v>3.50416987633322</v>
      </c>
      <c r="AF121" s="20" t="n">
        <f aca="false">Operations!AF489*Operations!AF492/Inputs!$F$323+Operations!AF489*Operations!AF493/Inputs!$F$324+Operations!AF489*Operations!AF494/Inputs!$F$325</f>
        <v>-6.0424108340961</v>
      </c>
      <c r="AG121" s="20" t="n">
        <f aca="false">Operations!AG489*Operations!AG492/Inputs!$F$323+Operations!AG489*Operations!AG493/Inputs!$F$324+Operations!AG489*Operations!AG494/Inputs!$F$325</f>
        <v>0</v>
      </c>
      <c r="AH121" s="20" t="n">
        <f aca="false">Operations!AH489*Operations!AH492/Inputs!$F$323+Operations!AH489*Operations!AH493/Inputs!$F$324+Operations!AH489*Operations!AH494/Inputs!$F$325</f>
        <v>0</v>
      </c>
      <c r="AI121" s="20" t="n">
        <f aca="false">Operations!AI489*Operations!AI492/Inputs!$F$323+Operations!AI489*Operations!AI493/Inputs!$F$324+Operations!AI489*Operations!AI494/Inputs!$F$325</f>
        <v>0</v>
      </c>
      <c r="AJ121" s="20" t="n">
        <f aca="false">Operations!AJ489*Operations!AJ492/Inputs!$F$323+Operations!AJ489*Operations!AJ493/Inputs!$F$324+Operations!AJ489*Operations!AJ494/Inputs!$F$325</f>
        <v>0</v>
      </c>
      <c r="AK121" s="20" t="n">
        <f aca="false">Operations!AK489*Operations!AK492/Inputs!$F$323+Operations!AK489*Operations!AK493/Inputs!$F$324+Operations!AK489*Operations!AK494/Inputs!$F$325</f>
        <v>0</v>
      </c>
      <c r="AL121" s="20" t="n">
        <f aca="false">Operations!AL489*Operations!AL492/Inputs!$F$323+Operations!AL489*Operations!AL493/Inputs!$F$324+Operations!AL489*Operations!AL494/Inputs!$F$325</f>
        <v>0</v>
      </c>
      <c r="AM121" s="20" t="n">
        <f aca="false">Operations!AM489*Operations!AM492/Inputs!$F$323+Operations!AM489*Operations!AM493/Inputs!$F$324+Operations!AM489*Operations!AM494/Inputs!$F$325</f>
        <v>0</v>
      </c>
      <c r="AN121" s="20" t="n">
        <f aca="false">Operations!AN489*Operations!AN492/Inputs!$F$323+Operations!AN489*Operations!AN493/Inputs!$F$324+Operations!AN489*Operations!AN494/Inputs!$F$325</f>
        <v>0</v>
      </c>
      <c r="AO121" s="20" t="n">
        <f aca="false">Operations!AO489*Operations!AO492/Inputs!$F$323+Operations!AO489*Operations!AO493/Inputs!$F$324+Operations!AO489*Operations!AO494/Inputs!$F$325</f>
        <v>0</v>
      </c>
      <c r="AP121" s="20" t="n">
        <f aca="false">Operations!AP489*Operations!AP492/Inputs!$F$323+Operations!AP489*Operations!AP493/Inputs!$F$324+Operations!AP489*Operations!AP494/Inputs!$F$325</f>
        <v>0</v>
      </c>
      <c r="AQ121" s="20" t="n">
        <f aca="false">Operations!AQ489*Operations!AQ492/Inputs!$F$323+Operations!AQ489*Operations!AQ493/Inputs!$F$324+Operations!AQ489*Operations!AQ494/Inputs!$F$325</f>
        <v>0</v>
      </c>
      <c r="AR121" s="20" t="n">
        <f aca="false">Operations!AR489*Operations!AR492/Inputs!$F$323+Operations!AR489*Operations!AR493/Inputs!$F$324+Operations!AR489*Operations!AR494/Inputs!$F$325</f>
        <v>0</v>
      </c>
      <c r="AS121" s="20" t="n">
        <f aca="false">Operations!AS489*Operations!AS492/Inputs!$F$323+Operations!AS489*Operations!AS493/Inputs!$F$324+Operations!AS489*Operations!AS494/Inputs!$F$325</f>
        <v>0</v>
      </c>
      <c r="AT121" s="20" t="n">
        <f aca="false">Operations!AT489*Operations!AT492/Inputs!$F$323+Operations!AT489*Operations!AT493/Inputs!$F$324+Operations!AT489*Operations!AT494/Inputs!$F$325</f>
        <v>0</v>
      </c>
      <c r="AU121" s="20" t="n">
        <f aca="false">Operations!AU489*Operations!AU492/Inputs!$F$323+Operations!AU489*Operations!AU493/Inputs!$F$324+Operations!AU489*Operations!AU494/Inputs!$F$325</f>
        <v>0</v>
      </c>
    </row>
    <row r="122" customFormat="false" ht="15" hidden="false" customHeight="false" outlineLevel="0" collapsed="false">
      <c r="D122" s="0" t="s">
        <v>975</v>
      </c>
      <c r="E122" s="0" t="s">
        <v>47</v>
      </c>
      <c r="F122" s="20" t="n">
        <f aca="false">SUMPRODUCT(Funding!$J$121:$AU$121,Funding!$J$88:$AU$88,--(Funding!$J$69:$AU$69&gt;0))</f>
        <v>47.014990444175</v>
      </c>
    </row>
    <row r="123" customFormat="false" ht="15" hidden="false" customHeight="false" outlineLevel="0" collapsed="false">
      <c r="D123" s="0" t="s">
        <v>990</v>
      </c>
      <c r="E123" s="0" t="s">
        <v>47</v>
      </c>
      <c r="J123" s="20" t="n">
        <f aca="false">Operations!J531*Operations!J534/Inputs!$F$323+Operations!J531*Operations!J535/Inputs!$F$324+Operations!J531*Operations!J536/Inputs!$F$325</f>
        <v>7.3741374855312</v>
      </c>
      <c r="K123" s="20" t="n">
        <f aca="false">Operations!K531*Operations!K534/Inputs!$F$323+Operations!K531*Operations!K535/Inputs!$F$324+Operations!K531*Operations!K536/Inputs!$F$325</f>
        <v>8.99206214010722</v>
      </c>
      <c r="L123" s="20" t="n">
        <f aca="false">Operations!L531*Operations!L534/Inputs!$F$323+Operations!L531*Operations!L535/Inputs!$F$324+Operations!L531*Operations!L536/Inputs!$F$325</f>
        <v>8.75388364952701</v>
      </c>
      <c r="M123" s="20" t="n">
        <f aca="false">Operations!M531*Operations!M534/Inputs!$F$323+Operations!M531*Operations!M535/Inputs!$F$324+Operations!M531*Operations!M536/Inputs!$F$325</f>
        <v>8.51067665677046</v>
      </c>
      <c r="N123" s="20" t="n">
        <f aca="false">Operations!N531*Operations!N534/Inputs!$F$323+Operations!N531*Operations!N535/Inputs!$F$324+Operations!N531*Operations!N536/Inputs!$F$325</f>
        <v>8.26231359736298</v>
      </c>
      <c r="O123" s="20" t="n">
        <f aca="false">Operations!O531*Operations!O534/Inputs!$F$323+Operations!O531*Operations!O535/Inputs!$F$324+Operations!O531*Operations!O536/Inputs!$F$325</f>
        <v>8.00866372142197</v>
      </c>
      <c r="P123" s="20" t="n">
        <f aca="false">Operations!P531*Operations!P534/Inputs!$F$323+Operations!P531*Operations!P535/Inputs!$F$324+Operations!P531*Operations!P536/Inputs!$F$325</f>
        <v>7.74959301401418</v>
      </c>
      <c r="Q123" s="20" t="n">
        <f aca="false">Operations!Q531*Operations!Q534/Inputs!$F$323+Operations!Q531*Operations!Q535/Inputs!$F$324+Operations!Q531*Operations!Q536/Inputs!$F$325</f>
        <v>8.42166714836357</v>
      </c>
      <c r="R123" s="20" t="n">
        <f aca="false">Operations!R531*Operations!R534/Inputs!$F$323+Operations!R531*Operations!R535/Inputs!$F$324+Operations!R531*Operations!R536/Inputs!$F$325</f>
        <v>8.87856208181201</v>
      </c>
      <c r="S123" s="20" t="n">
        <f aca="false">Operations!S531*Operations!S534/Inputs!$F$323+Operations!S531*Operations!S535/Inputs!$F$324+Operations!S531*Operations!S536/Inputs!$F$325</f>
        <v>8.94755049178919</v>
      </c>
      <c r="T123" s="20" t="n">
        <f aca="false">Operations!T531*Operations!T534/Inputs!$F$323+Operations!T531*Operations!T535/Inputs!$F$324+Operations!T531*Operations!T536/Inputs!$F$325</f>
        <v>9.01561003675616</v>
      </c>
      <c r="U123" s="20" t="n">
        <f aca="false">Operations!U531*Operations!U534/Inputs!$F$323+Operations!U531*Operations!U535/Inputs!$F$324+Operations!U531*Operations!U536/Inputs!$F$325</f>
        <v>9.08257361604559</v>
      </c>
      <c r="V123" s="20" t="n">
        <f aca="false">Operations!V531*Operations!V534/Inputs!$F$323+Operations!V531*Operations!V535/Inputs!$F$324+Operations!V531*Operations!V536/Inputs!$F$325</f>
        <v>9.14827239461901</v>
      </c>
      <c r="W123" s="20" t="n">
        <f aca="false">Operations!W531*Operations!W534/Inputs!$F$323+Operations!W531*Operations!W535/Inputs!$F$324+Operations!W531*Operations!W536/Inputs!$F$325</f>
        <v>9.2125357437028</v>
      </c>
      <c r="X123" s="20" t="n">
        <f aca="false">Operations!X531*Operations!X534/Inputs!$F$323+Operations!X531*Operations!X535/Inputs!$F$324+Operations!X531*Operations!X536/Inputs!$F$325</f>
        <v>9.27519118001418</v>
      </c>
      <c r="Y123" s="20" t="n">
        <f aca="false">Operations!Y531*Operations!Y534/Inputs!$F$323+Operations!Y531*Operations!Y535/Inputs!$F$324+Operations!Y531*Operations!Y536/Inputs!$F$325</f>
        <v>9.33879540258458</v>
      </c>
      <c r="Z123" s="20" t="n">
        <f aca="false">Operations!Z531*Operations!Z534/Inputs!$F$323+Operations!Z531*Operations!Z535/Inputs!$F$324+Operations!Z531*Operations!Z536/Inputs!$F$325</f>
        <v>9.40041110138129</v>
      </c>
      <c r="AA123" s="20" t="n">
        <f aca="false">Operations!AA531*Operations!AA534/Inputs!$F$323+Operations!AA531*Operations!AA535/Inputs!$F$324+Operations!AA531*Operations!AA536/Inputs!$F$325</f>
        <v>9.45985999652101</v>
      </c>
      <c r="AB123" s="20" t="n">
        <f aca="false">Operations!AB531*Operations!AB534/Inputs!$F$323+Operations!AB531*Operations!AB535/Inputs!$F$324+Operations!AB531*Operations!AB536/Inputs!$F$325</f>
        <v>9.51964819444563</v>
      </c>
      <c r="AC123" s="20" t="n">
        <f aca="false">Operations!AC531*Operations!AC534/Inputs!$F$323+Operations!AC531*Operations!AC535/Inputs!$F$324+Operations!AC531*Operations!AC536/Inputs!$F$325</f>
        <v>9.57687708272112</v>
      </c>
      <c r="AD123" s="20" t="n">
        <f aca="false">Operations!AD531*Operations!AD534/Inputs!$F$323+Operations!AD531*Operations!AD535/Inputs!$F$324+Operations!AD531*Operations!AD536/Inputs!$F$325</f>
        <v>9.63401898947808</v>
      </c>
      <c r="AE123" s="20" t="n">
        <f aca="false">Operations!AE531*Operations!AE534/Inputs!$F$323+Operations!AE531*Operations!AE535/Inputs!$F$324+Operations!AE531*Operations!AE536/Inputs!$F$325</f>
        <v>9.68820055600686</v>
      </c>
      <c r="AF123" s="20" t="n">
        <f aca="false">Operations!AF531*Operations!AF534/Inputs!$F$323+Operations!AF531*Operations!AF535/Inputs!$F$324+Operations!AF531*Operations!AF536/Inputs!$F$325</f>
        <v>9.74186023624287</v>
      </c>
      <c r="AG123" s="20" t="n">
        <f aca="false">Operations!AG531*Operations!AG534/Inputs!$F$323+Operations!AG531*Operations!AG535/Inputs!$F$324+Operations!AG531*Operations!AG536/Inputs!$F$325</f>
        <v>9.79476256971524</v>
      </c>
      <c r="AH123" s="20" t="n">
        <f aca="false">Operations!AH531*Operations!AH534/Inputs!$F$323+Operations!AH531*Operations!AH535/Inputs!$F$324+Operations!AH531*Operations!AH536/Inputs!$F$325</f>
        <v>9.88817308647845</v>
      </c>
      <c r="AI123" s="20" t="n">
        <f aca="false">Operations!AI531*Operations!AI534/Inputs!$F$323+Operations!AI531*Operations!AI535/Inputs!$F$324+Operations!AI531*Operations!AI536/Inputs!$F$325</f>
        <v>-7.72878799388759</v>
      </c>
      <c r="AJ123" s="20" t="n">
        <f aca="false">Operations!AJ531*Operations!AJ534/Inputs!$F$323+Operations!AJ531*Operations!AJ535/Inputs!$F$324+Operations!AJ531*Operations!AJ536/Inputs!$F$325</f>
        <v>0</v>
      </c>
      <c r="AK123" s="20" t="n">
        <f aca="false">Operations!AK531*Operations!AK534/Inputs!$F$323+Operations!AK531*Operations!AK535/Inputs!$F$324+Operations!AK531*Operations!AK536/Inputs!$F$325</f>
        <v>0</v>
      </c>
      <c r="AL123" s="20" t="n">
        <f aca="false">Operations!AL531*Operations!AL534/Inputs!$F$323+Operations!AL531*Operations!AL535/Inputs!$F$324+Operations!AL531*Operations!AL536/Inputs!$F$325</f>
        <v>0</v>
      </c>
      <c r="AM123" s="20" t="n">
        <f aca="false">Operations!AM531*Operations!AM534/Inputs!$F$323+Operations!AM531*Operations!AM535/Inputs!$F$324+Operations!AM531*Operations!AM536/Inputs!$F$325</f>
        <v>0</v>
      </c>
      <c r="AN123" s="20" t="n">
        <f aca="false">Operations!AN531*Operations!AN534/Inputs!$F$323+Operations!AN531*Operations!AN535/Inputs!$F$324+Operations!AN531*Operations!AN536/Inputs!$F$325</f>
        <v>0</v>
      </c>
      <c r="AO123" s="20" t="n">
        <f aca="false">Operations!AO531*Operations!AO534/Inputs!$F$323+Operations!AO531*Operations!AO535/Inputs!$F$324+Operations!AO531*Operations!AO536/Inputs!$F$325</f>
        <v>0</v>
      </c>
      <c r="AP123" s="20" t="n">
        <f aca="false">Operations!AP531*Operations!AP534/Inputs!$F$323+Operations!AP531*Operations!AP535/Inputs!$F$324+Operations!AP531*Operations!AP536/Inputs!$F$325</f>
        <v>0</v>
      </c>
      <c r="AQ123" s="20" t="n">
        <f aca="false">Operations!AQ531*Operations!AQ534/Inputs!$F$323+Operations!AQ531*Operations!AQ535/Inputs!$F$324+Operations!AQ531*Operations!AQ536/Inputs!$F$325</f>
        <v>0</v>
      </c>
      <c r="AR123" s="20" t="n">
        <f aca="false">Operations!AR531*Operations!AR534/Inputs!$F$323+Operations!AR531*Operations!AR535/Inputs!$F$324+Operations!AR531*Operations!AR536/Inputs!$F$325</f>
        <v>0</v>
      </c>
      <c r="AS123" s="20" t="n">
        <f aca="false">Operations!AS531*Operations!AS534/Inputs!$F$323+Operations!AS531*Operations!AS535/Inputs!$F$324+Operations!AS531*Operations!AS536/Inputs!$F$325</f>
        <v>0</v>
      </c>
      <c r="AT123" s="20" t="n">
        <f aca="false">Operations!AT531*Operations!AT534/Inputs!$F$323+Operations!AT531*Operations!AT535/Inputs!$F$324+Operations!AT531*Operations!AT536/Inputs!$F$325</f>
        <v>0</v>
      </c>
      <c r="AU123" s="20" t="n">
        <f aca="false">Operations!AU531*Operations!AU534/Inputs!$F$323+Operations!AU531*Operations!AU535/Inputs!$F$324+Operations!AU531*Operations!AU536/Inputs!$F$325</f>
        <v>0</v>
      </c>
    </row>
    <row r="124" customFormat="false" ht="15" hidden="false" customHeight="false" outlineLevel="0" collapsed="false">
      <c r="D124" s="0" t="s">
        <v>977</v>
      </c>
      <c r="E124" s="0" t="s">
        <v>47</v>
      </c>
      <c r="F124" s="20" t="n">
        <f aca="false">SUMPRODUCT(Funding!$J$123:$AU$123,Funding!$J$88:$AU$88,--(Funding!$J$69:$AU$69&gt;0))</f>
        <v>95.7934950228838</v>
      </c>
    </row>
    <row r="125" customFormat="false" ht="15" hidden="false" customHeight="false" outlineLevel="0" collapsed="false">
      <c r="D125" s="0" t="s">
        <v>991</v>
      </c>
      <c r="E125" s="0" t="s">
        <v>47</v>
      </c>
      <c r="J125" s="20" t="n">
        <f aca="false">Operations!J574*Operations!J577/Inputs!$F$323+Operations!J574*Operations!J578/Inputs!$F$324+Operations!J574*Operations!J579/Inputs!$F$325</f>
        <v>5.85261265000939</v>
      </c>
      <c r="K125" s="20" t="n">
        <f aca="false">Operations!K574*Operations!K577/Inputs!$F$323+Operations!K574*Operations!K578/Inputs!$F$324+Operations!K574*Operations!K579/Inputs!$F$325</f>
        <v>7.53436661247476</v>
      </c>
      <c r="L125" s="20" t="n">
        <f aca="false">Operations!L574*Operations!L577/Inputs!$F$323+Operations!L574*Operations!L578/Inputs!$F$324+Operations!L574*Operations!L579/Inputs!$F$325</f>
        <v>7.84014685899692</v>
      </c>
      <c r="M125" s="20" t="n">
        <f aca="false">Operations!M574*Operations!M577/Inputs!$F$323+Operations!M574*Operations!M578/Inputs!$F$324+Operations!M574*Operations!M579/Inputs!$F$325</f>
        <v>7.65830050548892</v>
      </c>
      <c r="N125" s="20" t="n">
        <f aca="false">Operations!N574*Operations!N577/Inputs!$F$323+Operations!N574*Operations!N578/Inputs!$F$324+Operations!N574*Operations!N579/Inputs!$F$325</f>
        <v>7.52955751837786</v>
      </c>
      <c r="O125" s="20" t="n">
        <f aca="false">Operations!O574*Operations!O577/Inputs!$F$323+Operations!O574*Operations!O578/Inputs!$F$324+Operations!O574*Operations!O579/Inputs!$F$325</f>
        <v>7.42361496641713</v>
      </c>
      <c r="P125" s="20" t="n">
        <f aca="false">Operations!P574*Operations!P577/Inputs!$F$323+Operations!P574*Operations!P578/Inputs!$F$324+Operations!P574*Operations!P579/Inputs!$F$325</f>
        <v>7.32636274801369</v>
      </c>
      <c r="Q125" s="20" t="n">
        <f aca="false">Operations!Q574*Operations!Q577/Inputs!$F$323+Operations!Q574*Operations!Q578/Inputs!$F$324+Operations!Q574*Operations!Q579/Inputs!$F$325</f>
        <v>7.23306175695218</v>
      </c>
      <c r="R125" s="20" t="n">
        <f aca="false">Operations!R574*Operations!R577/Inputs!$F$323+Operations!R574*Operations!R578/Inputs!$F$324+Operations!R574*Operations!R579/Inputs!$F$325</f>
        <v>3.24636454420687</v>
      </c>
      <c r="S125" s="20" t="n">
        <f aca="false">Operations!S574*Operations!S577/Inputs!$F$323+Operations!S574*Operations!S578/Inputs!$F$324+Operations!S574*Operations!S579/Inputs!$F$325</f>
        <v>3.22534759192029</v>
      </c>
      <c r="T125" s="20" t="n">
        <f aca="false">Operations!T574*Operations!T577/Inputs!$F$323+Operations!T574*Operations!T578/Inputs!$F$324+Operations!T574*Operations!T579/Inputs!$F$325</f>
        <v>3.20226355194554</v>
      </c>
      <c r="U125" s="20" t="n">
        <f aca="false">Operations!U574*Operations!U577/Inputs!$F$323+Operations!U574*Operations!U578/Inputs!$F$324+Operations!U574*Operations!U579/Inputs!$F$325</f>
        <v>3.17699899940511</v>
      </c>
      <c r="V125" s="20" t="n">
        <f aca="false">Operations!V574*Operations!V577/Inputs!$F$323+Operations!V574*Operations!V578/Inputs!$F$324+Operations!V574*Operations!V579/Inputs!$F$325</f>
        <v>3.14943984409899</v>
      </c>
      <c r="W125" s="20" t="n">
        <f aca="false">Operations!W574*Operations!W577/Inputs!$F$323+Operations!W574*Operations!W578/Inputs!$F$324+Operations!W574*Operations!W579/Inputs!$F$325</f>
        <v>3.11947129804204</v>
      </c>
      <c r="X125" s="20" t="n">
        <f aca="false">Operations!X574*Operations!X577/Inputs!$F$323+Operations!X574*Operations!X578/Inputs!$F$324+Operations!X574*Operations!X579/Inputs!$F$325</f>
        <v>3.0869778422665</v>
      </c>
      <c r="Y125" s="20" t="n">
        <f aca="false">Operations!Y574*Operations!Y577/Inputs!$F$323+Operations!Y574*Operations!Y578/Inputs!$F$324+Operations!Y574*Operations!Y579/Inputs!$F$325</f>
        <v>3.05296620735092</v>
      </c>
      <c r="Z125" s="20" t="n">
        <f aca="false">Operations!Z574*Operations!Z577/Inputs!$F$323+Operations!Z574*Operations!Z578/Inputs!$F$324+Operations!Z574*Operations!Z579/Inputs!$F$325</f>
        <v>3.01617004070332</v>
      </c>
      <c r="AA125" s="20" t="n">
        <f aca="false">Operations!AA574*Operations!AA577/Inputs!$F$323+Operations!AA574*Operations!AA578/Inputs!$F$324+Operations!AA574*Operations!AA579/Inputs!$F$325</f>
        <v>3.04370263683179</v>
      </c>
      <c r="AB125" s="20" t="n">
        <f aca="false">Operations!AB574*Operations!AB577/Inputs!$F$323+Operations!AB574*Operations!AB578/Inputs!$F$324+Operations!AB574*Operations!AB579/Inputs!$F$325</f>
        <v>3.07171689796492</v>
      </c>
      <c r="AC125" s="20" t="n">
        <f aca="false">Operations!AC574*Operations!AC577/Inputs!$F$323+Operations!AC574*Operations!AC578/Inputs!$F$324+Operations!AC574*Operations!AC579/Inputs!$F$325</f>
        <v>3.09903310100369</v>
      </c>
      <c r="AD125" s="20" t="n">
        <f aca="false">Operations!AD574*Operations!AD577/Inputs!$F$323+Operations!AD574*Operations!AD578/Inputs!$F$324+Operations!AD574*Operations!AD579/Inputs!$F$325</f>
        <v>3.12668104015145</v>
      </c>
      <c r="AE125" s="20" t="n">
        <f aca="false">Operations!AE574*Operations!AE577/Inputs!$F$323+Operations!AE574*Operations!AE578/Inputs!$F$324+Operations!AE574*Operations!AE579/Inputs!$F$325</f>
        <v>3.1534825949434</v>
      </c>
      <c r="AF125" s="20" t="n">
        <f aca="false">Operations!AF574*Operations!AF577/Inputs!$F$323+Operations!AF574*Operations!AF578/Inputs!$F$324+Operations!AF574*Operations!AF579/Inputs!$F$325</f>
        <v>3.18046025342467</v>
      </c>
      <c r="AG125" s="20" t="n">
        <f aca="false">Operations!AG574*Operations!AG577/Inputs!$F$323+Operations!AG574*Operations!AG578/Inputs!$F$324+Operations!AG574*Operations!AG579/Inputs!$F$325</f>
        <v>3.20753177195721</v>
      </c>
      <c r="AH125" s="20" t="n">
        <f aca="false">Operations!AH574*Operations!AH577/Inputs!$F$323+Operations!AH574*Operations!AH578/Inputs!$F$324+Operations!AH574*Operations!AH579/Inputs!$F$325</f>
        <v>3.23352112420734</v>
      </c>
      <c r="AI125" s="20" t="n">
        <f aca="false">Operations!AI574*Operations!AI577/Inputs!$F$323+Operations!AI574*Operations!AI578/Inputs!$F$324+Operations!AI574*Operations!AI579/Inputs!$F$325</f>
        <v>3.25943958825725</v>
      </c>
      <c r="AJ125" s="20" t="n">
        <f aca="false">Operations!AJ574*Operations!AJ577/Inputs!$F$323+Operations!AJ574*Operations!AJ578/Inputs!$F$324+Operations!AJ574*Operations!AJ579/Inputs!$F$325</f>
        <v>3.28520019565223</v>
      </c>
      <c r="AK125" s="20" t="n">
        <f aca="false">Operations!AK574*Operations!AK577/Inputs!$F$323+Operations!AK574*Operations!AK578/Inputs!$F$324+Operations!AK574*Operations!AK579/Inputs!$F$325</f>
        <v>-4.77179826559285</v>
      </c>
      <c r="AL125" s="20" t="n">
        <f aca="false">Operations!AL574*Operations!AL577/Inputs!$F$323+Operations!AL574*Operations!AL578/Inputs!$F$324+Operations!AL574*Operations!AL579/Inputs!$F$325</f>
        <v>0</v>
      </c>
      <c r="AM125" s="20" t="n">
        <f aca="false">Operations!AM574*Operations!AM577/Inputs!$F$323+Operations!AM574*Operations!AM578/Inputs!$F$324+Operations!AM574*Operations!AM579/Inputs!$F$325</f>
        <v>0</v>
      </c>
      <c r="AN125" s="20" t="n">
        <f aca="false">Operations!AN574*Operations!AN577/Inputs!$F$323+Operations!AN574*Operations!AN578/Inputs!$F$324+Operations!AN574*Operations!AN579/Inputs!$F$325</f>
        <v>0</v>
      </c>
      <c r="AO125" s="20" t="n">
        <f aca="false">Operations!AO574*Operations!AO577/Inputs!$F$323+Operations!AO574*Operations!AO578/Inputs!$F$324+Operations!AO574*Operations!AO579/Inputs!$F$325</f>
        <v>0</v>
      </c>
      <c r="AP125" s="20" t="n">
        <f aca="false">Operations!AP574*Operations!AP577/Inputs!$F$323+Operations!AP574*Operations!AP578/Inputs!$F$324+Operations!AP574*Operations!AP579/Inputs!$F$325</f>
        <v>0</v>
      </c>
      <c r="AQ125" s="20" t="n">
        <f aca="false">Operations!AQ574*Operations!AQ577/Inputs!$F$323+Operations!AQ574*Operations!AQ578/Inputs!$F$324+Operations!AQ574*Operations!AQ579/Inputs!$F$325</f>
        <v>0</v>
      </c>
      <c r="AR125" s="20" t="n">
        <f aca="false">Operations!AR574*Operations!AR577/Inputs!$F$323+Operations!AR574*Operations!AR578/Inputs!$F$324+Operations!AR574*Operations!AR579/Inputs!$F$325</f>
        <v>0</v>
      </c>
      <c r="AS125" s="20" t="n">
        <f aca="false">Operations!AS574*Operations!AS577/Inputs!$F$323+Operations!AS574*Operations!AS578/Inputs!$F$324+Operations!AS574*Operations!AS579/Inputs!$F$325</f>
        <v>0</v>
      </c>
      <c r="AT125" s="20" t="n">
        <f aca="false">Operations!AT574*Operations!AT577/Inputs!$F$323+Operations!AT574*Operations!AT578/Inputs!$F$324+Operations!AT574*Operations!AT579/Inputs!$F$325</f>
        <v>0</v>
      </c>
      <c r="AU125" s="20" t="n">
        <f aca="false">Operations!AU574*Operations!AU577/Inputs!$F$323+Operations!AU574*Operations!AU578/Inputs!$F$324+Operations!AU574*Operations!AU579/Inputs!$F$325</f>
        <v>0</v>
      </c>
    </row>
    <row r="126" customFormat="false" ht="15" hidden="false" customHeight="false" outlineLevel="0" collapsed="false">
      <c r="D126" s="0" t="s">
        <v>979</v>
      </c>
      <c r="E126" s="0" t="s">
        <v>47</v>
      </c>
      <c r="F126" s="20" t="n">
        <f aca="false">SUMPRODUCT(Funding!$J$125:$AU$125,Funding!$J$88:$AU$88,--(Funding!$J$69:$AU$69&gt;0))</f>
        <v>48.5627195457419</v>
      </c>
    </row>
    <row r="127" customFormat="false" ht="15" hidden="false" customHeight="false" outlineLevel="0" collapsed="false">
      <c r="D127" s="0" t="s">
        <v>992</v>
      </c>
      <c r="E127" s="0" t="s">
        <v>47</v>
      </c>
      <c r="J127" s="20" t="n">
        <f aca="false">Operations!J617*Operations!J620/Inputs!$F$323+Operations!J617*Operations!J621/Inputs!$F$324+Operations!J617*Operations!J622/Inputs!$F$325</f>
        <v>4.11282584492706</v>
      </c>
      <c r="K127" s="20" t="n">
        <f aca="false">Operations!K617*Operations!K620/Inputs!$F$323+Operations!K617*Operations!K621/Inputs!$F$324+Operations!K617*Operations!K622/Inputs!$F$325</f>
        <v>4.85729280647776</v>
      </c>
      <c r="L127" s="20" t="n">
        <f aca="false">Operations!L617*Operations!L620/Inputs!$F$323+Operations!L617*Operations!L621/Inputs!$F$324+Operations!L617*Operations!L622/Inputs!$F$325</f>
        <v>4.1683956360409</v>
      </c>
      <c r="M127" s="20" t="n">
        <f aca="false">Operations!M617*Operations!M620/Inputs!$F$323+Operations!M617*Operations!M621/Inputs!$F$324+Operations!M617*Operations!M622/Inputs!$F$325</f>
        <v>4.26604470322867</v>
      </c>
      <c r="N127" s="20" t="n">
        <f aca="false">Operations!N617*Operations!N620/Inputs!$F$323+Operations!N617*Operations!N621/Inputs!$F$324+Operations!N617*Operations!N622/Inputs!$F$325</f>
        <v>4.27868105369346</v>
      </c>
      <c r="O127" s="20" t="n">
        <f aca="false">Operations!O617*Operations!O620/Inputs!$F$323+Operations!O617*Operations!O621/Inputs!$F$324+Operations!O617*Operations!O622/Inputs!$F$325</f>
        <v>2.31194140238282</v>
      </c>
      <c r="P127" s="20" t="n">
        <f aca="false">Operations!P617*Operations!P620/Inputs!$F$323+Operations!P617*Operations!P621/Inputs!$F$324+Operations!P617*Operations!P622/Inputs!$F$325</f>
        <v>2.30464249098817</v>
      </c>
      <c r="Q127" s="20" t="n">
        <f aca="false">Operations!Q617*Operations!Q620/Inputs!$F$323+Operations!Q617*Operations!Q621/Inputs!$F$324+Operations!Q617*Operations!Q622/Inputs!$F$325</f>
        <v>2.25743574926488</v>
      </c>
      <c r="R127" s="20" t="n">
        <f aca="false">Operations!R617*Operations!R620/Inputs!$F$323+Operations!R617*Operations!R621/Inputs!$F$324+Operations!R617*Operations!R622/Inputs!$F$325</f>
        <v>2.21115563183351</v>
      </c>
      <c r="S127" s="20" t="n">
        <f aca="false">Operations!S617*Operations!S620/Inputs!$F$323+Operations!S617*Operations!S621/Inputs!$F$324+Operations!S617*Operations!S622/Inputs!$F$325</f>
        <v>2.13742861698495</v>
      </c>
      <c r="T127" s="20" t="n">
        <f aca="false">Operations!T617*Operations!T620/Inputs!$F$323+Operations!T617*Operations!T621/Inputs!$F$324+Operations!T617*Operations!T622/Inputs!$F$325</f>
        <v>2.06074333252884</v>
      </c>
      <c r="U127" s="20" t="n">
        <f aca="false">Operations!U617*Operations!U620/Inputs!$F$323+Operations!U617*Operations!U621/Inputs!$F$324+Operations!U617*Operations!U622/Inputs!$F$325</f>
        <v>1.98100710483218</v>
      </c>
      <c r="V127" s="20" t="n">
        <f aca="false">Operations!V617*Operations!V620/Inputs!$F$323+Operations!V617*Operations!V621/Inputs!$F$324+Operations!V617*Operations!V622/Inputs!$F$325</f>
        <v>1.8981285351912</v>
      </c>
      <c r="W127" s="20" t="n">
        <f aca="false">Operations!W617*Operations!W620/Inputs!$F$323+Operations!W617*Operations!W621/Inputs!$F$324+Operations!W617*Operations!W622/Inputs!$F$325</f>
        <v>1.81201746978619</v>
      </c>
      <c r="X127" s="20" t="n">
        <f aca="false">Operations!X617*Operations!X620/Inputs!$F$323+Operations!X617*Operations!X621/Inputs!$F$324+Operations!X617*Operations!X622/Inputs!$F$325</f>
        <v>1.8285787813104</v>
      </c>
      <c r="Y127" s="20" t="n">
        <f aca="false">Operations!Y617*Operations!Y620/Inputs!$F$323+Operations!Y617*Operations!Y621/Inputs!$F$324+Operations!Y617*Operations!Y622/Inputs!$F$325</f>
        <v>1.84548850137794</v>
      </c>
      <c r="Z127" s="20" t="n">
        <f aca="false">Operations!Z617*Operations!Z620/Inputs!$F$323+Operations!Z617*Operations!Z621/Inputs!$F$324+Operations!Z617*Operations!Z622/Inputs!$F$325</f>
        <v>1.86219774740526</v>
      </c>
      <c r="AA127" s="20" t="n">
        <f aca="false">Operations!AA617*Operations!AA620/Inputs!$F$323+Operations!AA617*Operations!AA621/Inputs!$F$324+Operations!AA617*Operations!AA622/Inputs!$F$325</f>
        <v>1.87867742414021</v>
      </c>
      <c r="AB127" s="20" t="n">
        <f aca="false">Operations!AB617*Operations!AB620/Inputs!$F$323+Operations!AB617*Operations!AB621/Inputs!$F$324+Operations!AB617*Operations!AB622/Inputs!$F$325</f>
        <v>1.89540661325427</v>
      </c>
      <c r="AC127" s="20" t="n">
        <f aca="false">Operations!AC617*Operations!AC620/Inputs!$F$323+Operations!AC617*Operations!AC621/Inputs!$F$324+Operations!AC617*Operations!AC622/Inputs!$F$325</f>
        <v>1.91184236795289</v>
      </c>
      <c r="AD127" s="20" t="n">
        <f aca="false">Operations!AD617*Operations!AD620/Inputs!$F$323+Operations!AD617*Operations!AD621/Inputs!$F$324+Operations!AD617*Operations!AD622/Inputs!$F$325</f>
        <v>1.92845847304485</v>
      </c>
      <c r="AE127" s="20" t="n">
        <f aca="false">Operations!AE617*Operations!AE620/Inputs!$F$323+Operations!AE617*Operations!AE621/Inputs!$F$324+Operations!AE617*Operations!AE622/Inputs!$F$325</f>
        <v>1.94471583310335</v>
      </c>
      <c r="AF127" s="20" t="n">
        <f aca="false">Operations!AF617*Operations!AF620/Inputs!$F$323+Operations!AF617*Operations!AF621/Inputs!$F$324+Operations!AF617*Operations!AF622/Inputs!$F$325</f>
        <v>1.96108292427328</v>
      </c>
      <c r="AG127" s="20" t="n">
        <f aca="false">Operations!AG617*Operations!AG620/Inputs!$F$323+Operations!AG617*Operations!AG621/Inputs!$F$324+Operations!AG617*Operations!AG622/Inputs!$F$325</f>
        <v>1.97752160620494</v>
      </c>
      <c r="AH127" s="20" t="n">
        <f aca="false">Operations!AH617*Operations!AH620/Inputs!$F$323+Operations!AH617*Operations!AH621/Inputs!$F$324+Operations!AH617*Operations!AH622/Inputs!$F$325</f>
        <v>1.9934983962114</v>
      </c>
      <c r="AI127" s="20" t="n">
        <f aca="false">Operations!AI617*Operations!AI620/Inputs!$F$323+Operations!AI617*Operations!AI621/Inputs!$F$324+Operations!AI617*Operations!AI622/Inputs!$F$325</f>
        <v>2.00947379426661</v>
      </c>
      <c r="AJ127" s="20" t="n">
        <f aca="false">Operations!AJ617*Operations!AJ620/Inputs!$F$323+Operations!AJ617*Operations!AJ621/Inputs!$F$324+Operations!AJ617*Operations!AJ622/Inputs!$F$325</f>
        <v>2.02540844347601</v>
      </c>
      <c r="AK127" s="20" t="n">
        <f aca="false">Operations!AK617*Operations!AK620/Inputs!$F$323+Operations!AK617*Operations!AK621/Inputs!$F$324+Operations!AK617*Operations!AK622/Inputs!$F$325</f>
        <v>2.0412625612694</v>
      </c>
      <c r="AL127" s="20" t="n">
        <f aca="false">Operations!AL617*Operations!AL620/Inputs!$F$323+Operations!AL617*Operations!AL621/Inputs!$F$324+Operations!AL617*Operations!AL622/Inputs!$F$325</f>
        <v>2.05699592364813</v>
      </c>
      <c r="AM127" s="20" t="n">
        <f aca="false">Operations!AM617*Operations!AM620/Inputs!$F$323+Operations!AM617*Operations!AM621/Inputs!$F$324+Operations!AM617*Operations!AM622/Inputs!$F$325</f>
        <v>2.07256784907703</v>
      </c>
      <c r="AN127" s="20" t="n">
        <f aca="false">Operations!AN617*Operations!AN620/Inputs!$F$323+Operations!AN617*Operations!AN621/Inputs!$F$324+Operations!AN617*Operations!AN622/Inputs!$F$325</f>
        <v>2.08793718201205</v>
      </c>
      <c r="AO127" s="20" t="n">
        <f aca="false">Operations!AO617*Operations!AO620/Inputs!$F$323+Operations!AO617*Operations!AO621/Inputs!$F$324+Operations!AO617*Operations!AO622/Inputs!$F$325</f>
        <v>2.10306227605434</v>
      </c>
      <c r="AP127" s="20" t="n">
        <f aca="false">Operations!AP617*Operations!AP620/Inputs!$F$323+Operations!AP617*Operations!AP621/Inputs!$F$324+Operations!AP617*Operations!AP622/Inputs!$F$325</f>
        <v>2.11790097672094</v>
      </c>
      <c r="AQ127" s="20" t="n">
        <f aca="false">Operations!AQ617*Operations!AQ620/Inputs!$F$323+Operations!AQ617*Operations!AQ621/Inputs!$F$324+Operations!AQ617*Operations!AQ622/Inputs!$F$325</f>
        <v>-1.98892281889012</v>
      </c>
      <c r="AR127" s="20" t="n">
        <f aca="false">Operations!AR617*Operations!AR620/Inputs!$F$323+Operations!AR617*Operations!AR621/Inputs!$F$324+Operations!AR617*Operations!AR622/Inputs!$F$325</f>
        <v>0</v>
      </c>
      <c r="AS127" s="20" t="n">
        <f aca="false">Operations!AS617*Operations!AS620/Inputs!$F$323+Operations!AS617*Operations!AS621/Inputs!$F$324+Operations!AS617*Operations!AS622/Inputs!$F$325</f>
        <v>0</v>
      </c>
      <c r="AT127" s="20" t="n">
        <f aca="false">Operations!AT617*Operations!AT620/Inputs!$F$323+Operations!AT617*Operations!AT621/Inputs!$F$324+Operations!AT617*Operations!AT622/Inputs!$F$325</f>
        <v>0</v>
      </c>
      <c r="AU127" s="20" t="n">
        <f aca="false">Operations!AU617*Operations!AU620/Inputs!$F$323+Operations!AU617*Operations!AU621/Inputs!$F$324+Operations!AU617*Operations!AU622/Inputs!$F$325</f>
        <v>0</v>
      </c>
    </row>
    <row r="128" customFormat="false" ht="15" hidden="false" customHeight="false" outlineLevel="0" collapsed="false">
      <c r="D128" s="0" t="s">
        <v>981</v>
      </c>
      <c r="E128" s="0" t="s">
        <v>47</v>
      </c>
      <c r="F128" s="20" t="n">
        <f aca="false">SUMPRODUCT(Funding!$J$127:$AU$127,Funding!$J$88:$AU$88,--(Funding!$J$69:$AU$69&gt;0))</f>
        <v>24.1783701823303</v>
      </c>
    </row>
    <row r="129" customFormat="false" ht="15" hidden="false" customHeight="false" outlineLevel="0" collapsed="false">
      <c r="D129" s="0" t="s">
        <v>993</v>
      </c>
      <c r="E129" s="0" t="s">
        <v>47</v>
      </c>
      <c r="J129" s="20" t="n">
        <f aca="false">Operations!J660*Operations!J663/Inputs!$F$323+Operations!J660*Operations!J664/Inputs!$F$324+Operations!J660*Operations!J665/Inputs!$F$325</f>
        <v>3.77708092566423</v>
      </c>
      <c r="K129" s="20" t="n">
        <f aca="false">Operations!K660*Operations!K663/Inputs!$F$323+Operations!K660*Operations!K664/Inputs!$F$324+Operations!K660*Operations!K665/Inputs!$F$325</f>
        <v>4.74053571625369</v>
      </c>
      <c r="L129" s="20" t="n">
        <f aca="false">Operations!L660*Operations!L663/Inputs!$F$323+Operations!L660*Operations!L664/Inputs!$F$324+Operations!L660*Operations!L665/Inputs!$F$325</f>
        <v>4.78934717887507</v>
      </c>
      <c r="M129" s="20" t="n">
        <f aca="false">Operations!M660*Operations!M663/Inputs!$F$323+Operations!M660*Operations!M664/Inputs!$F$324+Operations!M660*Operations!M665/Inputs!$F$325</f>
        <v>4.61394222451923</v>
      </c>
      <c r="N129" s="20" t="n">
        <f aca="false">Operations!N660*Operations!N663/Inputs!$F$323+Operations!N660*Operations!N664/Inputs!$F$324+Operations!N660*Operations!N665/Inputs!$F$325</f>
        <v>4.49982931833574</v>
      </c>
      <c r="O129" s="20" t="n">
        <f aca="false">Operations!O660*Operations!O663/Inputs!$F$323+Operations!O660*Operations!O664/Inputs!$F$324+Operations!O660*Operations!O665/Inputs!$F$325</f>
        <v>4.81129798962956</v>
      </c>
      <c r="P129" s="20" t="n">
        <f aca="false">Operations!P660*Operations!P663/Inputs!$F$323+Operations!P660*Operations!P664/Inputs!$F$324+Operations!P660*Operations!P665/Inputs!$F$325</f>
        <v>5.10070474998624</v>
      </c>
      <c r="Q129" s="20" t="n">
        <f aca="false">Operations!Q660*Operations!Q663/Inputs!$F$323+Operations!Q660*Operations!Q664/Inputs!$F$324+Operations!Q660*Operations!Q665/Inputs!$F$325</f>
        <v>4.98298918199068</v>
      </c>
      <c r="R129" s="20" t="n">
        <f aca="false">Operations!R660*Operations!R663/Inputs!$F$323+Operations!R660*Operations!R664/Inputs!$F$324+Operations!R660*Operations!R665/Inputs!$F$325</f>
        <v>4.86292105479153</v>
      </c>
      <c r="S129" s="20" t="n">
        <f aca="false">Operations!S660*Operations!S663/Inputs!$F$323+Operations!S660*Operations!S664/Inputs!$F$324+Operations!S660*Operations!S665/Inputs!$F$325</f>
        <v>4.74345872362456</v>
      </c>
      <c r="T129" s="20" t="n">
        <f aca="false">Operations!T660*Operations!T663/Inputs!$F$323+Operations!T660*Operations!T664/Inputs!$F$324+Operations!T660*Operations!T665/Inputs!$F$325</f>
        <v>4.62207227347052</v>
      </c>
      <c r="U129" s="20" t="n">
        <f aca="false">Operations!U660*Operations!U663/Inputs!$F$323+Operations!U660*Operations!U664/Inputs!$F$324+Operations!U660*Operations!U665/Inputs!$F$325</f>
        <v>4.17798586309966</v>
      </c>
      <c r="V129" s="20" t="n">
        <f aca="false">Operations!V660*Operations!V663/Inputs!$F$323+Operations!V660*Operations!V664/Inputs!$F$324+Operations!V660*Operations!V665/Inputs!$F$325</f>
        <v>3.56860534653218</v>
      </c>
      <c r="W129" s="20" t="n">
        <f aca="false">Operations!W660*Operations!W663/Inputs!$F$323+Operations!W660*Operations!W664/Inputs!$F$324+Operations!W660*Operations!W665/Inputs!$F$325</f>
        <v>3.41292983348972</v>
      </c>
      <c r="X129" s="20" t="n">
        <f aca="false">Operations!X660*Operations!X663/Inputs!$F$323+Operations!X660*Operations!X664/Inputs!$F$324+Operations!X660*Operations!X665/Inputs!$F$325</f>
        <v>3.44555977670874</v>
      </c>
      <c r="Y129" s="20" t="n">
        <f aca="false">Operations!Y660*Operations!Y663/Inputs!$F$323+Operations!Y660*Operations!Y664/Inputs!$F$324+Operations!Y660*Operations!Y665/Inputs!$F$325</f>
        <v>3.47888514618935</v>
      </c>
      <c r="Z129" s="20" t="n">
        <f aca="false">Operations!Z660*Operations!Z663/Inputs!$F$323+Operations!Z660*Operations!Z664/Inputs!$F$324+Operations!Z660*Operations!Z665/Inputs!$F$325</f>
        <v>3.51190097893373</v>
      </c>
      <c r="AA129" s="20" t="n">
        <f aca="false">Operations!AA660*Operations!AA663/Inputs!$F$323+Operations!AA660*Operations!AA664/Inputs!$F$324+Operations!AA660*Operations!AA665/Inputs!$F$325</f>
        <v>3.54455537950981</v>
      </c>
      <c r="AB129" s="20" t="n">
        <f aca="false">Operations!AB660*Operations!AB663/Inputs!$F$323+Operations!AB660*Operations!AB664/Inputs!$F$324+Operations!AB660*Operations!AB665/Inputs!$F$325</f>
        <v>3.57772823320625</v>
      </c>
      <c r="AC129" s="20" t="n">
        <f aca="false">Operations!AC660*Operations!AC663/Inputs!$F$323+Operations!AC660*Operations!AC664/Inputs!$F$324+Operations!AC660*Operations!AC665/Inputs!$F$325</f>
        <v>3.61042556915285</v>
      </c>
      <c r="AD129" s="20" t="n">
        <f aca="false">Operations!AD660*Operations!AD663/Inputs!$F$323+Operations!AD660*Operations!AD664/Inputs!$F$324+Operations!AD660*Operations!AD665/Inputs!$F$325</f>
        <v>3.64351763610354</v>
      </c>
      <c r="AE129" s="20" t="n">
        <f aca="false">Operations!AE660*Operations!AE663/Inputs!$F$323+Operations!AE660*Operations!AE664/Inputs!$F$324+Operations!AE660*Operations!AE665/Inputs!$F$325</f>
        <v>3.67601760185311</v>
      </c>
      <c r="AF129" s="20" t="n">
        <f aca="false">Operations!AF660*Operations!AF663/Inputs!$F$323+Operations!AF660*Operations!AF664/Inputs!$F$324+Operations!AF660*Operations!AF665/Inputs!$F$325</f>
        <v>3.70878606079453</v>
      </c>
      <c r="AG129" s="20" t="n">
        <f aca="false">Operations!AG660*Operations!AG663/Inputs!$F$323+Operations!AG660*Operations!AG664/Inputs!$F$324+Operations!AG660*Operations!AG665/Inputs!$F$325</f>
        <v>3.74175476496082</v>
      </c>
      <c r="AH129" s="20" t="n">
        <f aca="false">Operations!AH660*Operations!AH663/Inputs!$F$323+Operations!AH660*Operations!AH664/Inputs!$F$324+Operations!AH660*Operations!AH665/Inputs!$F$325</f>
        <v>3.77394729626425</v>
      </c>
      <c r="AI129" s="20" t="n">
        <f aca="false">Operations!AI660*Operations!AI663/Inputs!$F$323+Operations!AI660*Operations!AI664/Inputs!$F$324+Operations!AI660*Operations!AI665/Inputs!$F$325</f>
        <v>3.80620975097059</v>
      </c>
      <c r="AJ129" s="20" t="n">
        <f aca="false">Operations!AJ660*Operations!AJ663/Inputs!$F$323+Operations!AJ660*Operations!AJ664/Inputs!$F$324+Operations!AJ660*Operations!AJ665/Inputs!$F$325</f>
        <v>3.83847177994284</v>
      </c>
      <c r="AK129" s="20" t="n">
        <f aca="false">Operations!AK660*Operations!AK663/Inputs!$F$323+Operations!AK660*Operations!AK664/Inputs!$F$324+Operations!AK660*Operations!AK665/Inputs!$F$325</f>
        <v>3.87066229886328</v>
      </c>
      <c r="AL129" s="20" t="n">
        <f aca="false">Operations!AL660*Operations!AL663/Inputs!$F$323+Operations!AL660*Operations!AL664/Inputs!$F$324+Operations!AL660*Operations!AL665/Inputs!$F$325</f>
        <v>3.90270946048291</v>
      </c>
      <c r="AM129" s="20" t="n">
        <f aca="false">Operations!AM660*Operations!AM663/Inputs!$F$323+Operations!AM660*Operations!AM664/Inputs!$F$324+Operations!AM660*Operations!AM665/Inputs!$F$325</f>
        <v>3.93454062624806</v>
      </c>
      <c r="AN129" s="20" t="n">
        <f aca="false">Operations!AN660*Operations!AN663/Inputs!$F$323+Operations!AN660*Operations!AN664/Inputs!$F$324+Operations!AN660*Operations!AN665/Inputs!$F$325</f>
        <v>3.9660823372881</v>
      </c>
      <c r="AO129" s="20" t="n">
        <f aca="false">Operations!AO660*Operations!AO663/Inputs!$F$323+Operations!AO660*Operations!AO664/Inputs!$F$324+Operations!AO660*Operations!AO665/Inputs!$F$325</f>
        <v>3.99726028474767</v>
      </c>
      <c r="AP129" s="20" t="n">
        <f aca="false">Operations!AP660*Operations!AP663/Inputs!$F$323+Operations!AP660*Operations!AP664/Inputs!$F$324+Operations!AP660*Operations!AP665/Inputs!$F$325</f>
        <v>4.02799927944685</v>
      </c>
      <c r="AQ129" s="20" t="n">
        <f aca="false">Operations!AQ660*Operations!AQ663/Inputs!$F$323+Operations!AQ660*Operations!AQ664/Inputs!$F$324+Operations!AQ660*Operations!AQ665/Inputs!$F$325</f>
        <v>4.05909463547439</v>
      </c>
      <c r="AR129" s="20" t="n">
        <f aca="false">Operations!AR660*Operations!AR663/Inputs!$F$323+Operations!AR660*Operations!AR664/Inputs!$F$324+Operations!AR660*Operations!AR665/Inputs!$F$325</f>
        <v>-4.74218437435199</v>
      </c>
      <c r="AS129" s="20" t="n">
        <f aca="false">Operations!AS660*Operations!AS663/Inputs!$F$323+Operations!AS660*Operations!AS664/Inputs!$F$324+Operations!AS660*Operations!AS665/Inputs!$F$325</f>
        <v>0</v>
      </c>
      <c r="AT129" s="20" t="n">
        <f aca="false">Operations!AT660*Operations!AT663/Inputs!$F$323+Operations!AT660*Operations!AT664/Inputs!$F$324+Operations!AT660*Operations!AT665/Inputs!$F$325</f>
        <v>0</v>
      </c>
      <c r="AU129" s="20" t="n">
        <f aca="false">Operations!AU660*Operations!AU663/Inputs!$F$323+Operations!AU660*Operations!AU664/Inputs!$F$324+Operations!AU660*Operations!AU665/Inputs!$F$325</f>
        <v>0</v>
      </c>
    </row>
    <row r="130" customFormat="false" ht="15" hidden="false" customHeight="false" outlineLevel="0" collapsed="false">
      <c r="D130" s="0" t="s">
        <v>983</v>
      </c>
      <c r="E130" s="0" t="s">
        <v>47</v>
      </c>
      <c r="F130" s="20" t="n">
        <f aca="false">SUMPRODUCT(Funding!$J$129:$AU$129,Funding!$J$88:$AU$88,--(Funding!$J$69:$AU$69&gt;0))</f>
        <v>45.6197447134976</v>
      </c>
    </row>
    <row r="131" customFormat="false" ht="15" hidden="false" customHeight="false" outlineLevel="0" collapsed="false">
      <c r="D131" s="0" t="s">
        <v>994</v>
      </c>
      <c r="E131" s="0" t="s">
        <v>47</v>
      </c>
      <c r="J131" s="20" t="n">
        <f aca="false">Operations!J702*Operations!J705/Inputs!$F$323+Operations!J702*Operations!J706/Inputs!$F$324+Operations!J702*Operations!J707/Inputs!$F$325</f>
        <v>0</v>
      </c>
      <c r="K131" s="20" t="n">
        <f aca="false">Operations!K702*Operations!K705/Inputs!$F$323+Operations!K702*Operations!K706/Inputs!$F$324+Operations!K702*Operations!K707/Inputs!$F$325</f>
        <v>2.31832322881786</v>
      </c>
      <c r="L131" s="20" t="n">
        <f aca="false">Operations!L702*Operations!L705/Inputs!$F$323+Operations!L702*Operations!L706/Inputs!$F$324+Operations!L702*Operations!L707/Inputs!$F$325</f>
        <v>6.90710037962963</v>
      </c>
      <c r="M131" s="20" t="n">
        <f aca="false">Operations!M702*Operations!M705/Inputs!$F$323+Operations!M702*Operations!M706/Inputs!$F$324+Operations!M702*Operations!M707/Inputs!$F$325</f>
        <v>6.87751205578704</v>
      </c>
      <c r="N131" s="20" t="n">
        <f aca="false">Operations!N702*Operations!N705/Inputs!$F$323+Operations!N702*Operations!N706/Inputs!$F$324+Operations!N702*Operations!N707/Inputs!$F$325</f>
        <v>6.84718402384838</v>
      </c>
      <c r="O131" s="20" t="n">
        <f aca="false">Operations!O702*Operations!O705/Inputs!$F$323+Operations!O702*Operations!O706/Inputs!$F$324+Operations!O702*Operations!O707/Inputs!$F$325</f>
        <v>6.81609779111126</v>
      </c>
      <c r="P131" s="20" t="n">
        <f aca="false">Operations!P702*Operations!P705/Inputs!$F$323+Operations!P702*Operations!P706/Inputs!$F$324+Operations!P702*Operations!P707/Inputs!$F$325</f>
        <v>6.39176759700015</v>
      </c>
      <c r="Q131" s="20" t="n">
        <f aca="false">Operations!Q702*Operations!Q705/Inputs!$F$323+Operations!Q702*Operations!Q706/Inputs!$F$324+Operations!Q702*Operations!Q707/Inputs!$F$325</f>
        <v>6.75157442928627</v>
      </c>
      <c r="R131" s="20" t="n">
        <f aca="false">Operations!R702*Operations!R705/Inputs!$F$323+Operations!R702*Operations!R706/Inputs!$F$324+Operations!R702*Operations!R707/Inputs!$F$325</f>
        <v>4.34696312195007</v>
      </c>
      <c r="S131" s="20" t="n">
        <f aca="false">Operations!S702*Operations!S705/Inputs!$F$323+Operations!S702*Operations!S706/Inputs!$F$324+Operations!S702*Operations!S707/Inputs!$F$325</f>
        <v>1.84440156836133</v>
      </c>
      <c r="T131" s="20" t="n">
        <f aca="false">Operations!T702*Operations!T705/Inputs!$F$323+Operations!T702*Operations!T706/Inputs!$F$324+Operations!T702*Operations!T707/Inputs!$F$325</f>
        <v>1.60389236880991</v>
      </c>
      <c r="U131" s="20" t="n">
        <f aca="false">Operations!U702*Operations!U705/Inputs!$F$323+Operations!U702*Operations!U706/Inputs!$F$324+Operations!U702*Operations!U707/Inputs!$F$325</f>
        <v>1.883138562244</v>
      </c>
      <c r="V131" s="20" t="n">
        <f aca="false">Operations!V702*Operations!V705/Inputs!$F$323+Operations!V702*Operations!V706/Inputs!$F$324+Operations!V702*Operations!V707/Inputs!$F$325</f>
        <v>1.9023491050501</v>
      </c>
      <c r="W131" s="20" t="n">
        <f aca="false">Operations!W702*Operations!W705/Inputs!$F$323+Operations!W702*Operations!W706/Inputs!$F$324+Operations!W702*Operations!W707/Inputs!$F$325</f>
        <v>1.92186748809302</v>
      </c>
      <c r="X131" s="20" t="n">
        <f aca="false">Operations!X702*Operations!X705/Inputs!$F$323+Operations!X702*Operations!X706/Inputs!$F$324+Operations!X702*Operations!X707/Inputs!$F$325</f>
        <v>1.90694651425818</v>
      </c>
      <c r="Y131" s="20" t="n">
        <f aca="false">Operations!Y702*Operations!Y705/Inputs!$F$323+Operations!Y702*Operations!Y706/Inputs!$F$324+Operations!Y702*Operations!Y707/Inputs!$F$325</f>
        <v>1.88900314809787</v>
      </c>
      <c r="Z131" s="20" t="n">
        <f aca="false">Operations!Z702*Operations!Z705/Inputs!$F$323+Operations!Z702*Operations!Z706/Inputs!$F$324+Operations!Z702*Operations!Z707/Inputs!$F$325</f>
        <v>1.87027850701799</v>
      </c>
      <c r="AA131" s="20" t="n">
        <f aca="false">Operations!AA702*Operations!AA705/Inputs!$F$323+Operations!AA702*Operations!AA706/Inputs!$F$324+Operations!AA702*Operations!AA707/Inputs!$F$325</f>
        <v>1.8511174784646</v>
      </c>
      <c r="AB131" s="20" t="n">
        <f aca="false">Operations!AB702*Operations!AB705/Inputs!$F$323+Operations!AB702*Operations!AB706/Inputs!$F$324+Operations!AB702*Operations!AB707/Inputs!$F$325</f>
        <v>1.83057926928848</v>
      </c>
      <c r="AC131" s="20" t="n">
        <f aca="false">Operations!AC702*Operations!AC705/Inputs!$F$323+Operations!AC702*Operations!AC706/Inputs!$F$324+Operations!AC702*Operations!AC707/Inputs!$F$325</f>
        <v>1.80908562324802</v>
      </c>
      <c r="AD131" s="20" t="n">
        <f aca="false">Operations!AD702*Operations!AD705/Inputs!$F$323+Operations!AD702*Operations!AD706/Inputs!$F$324+Operations!AD702*Operations!AD707/Inputs!$F$325</f>
        <v>1.78711329354453</v>
      </c>
      <c r="AE131" s="20" t="n">
        <f aca="false">Operations!AE702*Operations!AE705/Inputs!$F$323+Operations!AE702*Operations!AE706/Inputs!$F$324+Operations!AE702*Operations!AE707/Inputs!$F$325</f>
        <v>-0.542928953553525</v>
      </c>
      <c r="AF131" s="20" t="n">
        <f aca="false">Operations!AF702*Operations!AF705/Inputs!$F$323+Operations!AF702*Operations!AF706/Inputs!$F$324+Operations!AF702*Operations!AF707/Inputs!$F$325</f>
        <v>0</v>
      </c>
      <c r="AG131" s="20" t="n">
        <f aca="false">Operations!AG702*Operations!AG705/Inputs!$F$323+Operations!AG702*Operations!AG706/Inputs!$F$324+Operations!AG702*Operations!AG707/Inputs!$F$325</f>
        <v>0</v>
      </c>
      <c r="AH131" s="20" t="n">
        <f aca="false">Operations!AH702*Operations!AH705/Inputs!$F$323+Operations!AH702*Operations!AH706/Inputs!$F$324+Operations!AH702*Operations!AH707/Inputs!$F$325</f>
        <v>0</v>
      </c>
      <c r="AI131" s="20" t="n">
        <f aca="false">Operations!AI702*Operations!AI705/Inputs!$F$323+Operations!AI702*Operations!AI706/Inputs!$F$324+Operations!AI702*Operations!AI707/Inputs!$F$325</f>
        <v>0</v>
      </c>
      <c r="AJ131" s="20" t="n">
        <f aca="false">Operations!AJ702*Operations!AJ705/Inputs!$F$323+Operations!AJ702*Operations!AJ706/Inputs!$F$324+Operations!AJ702*Operations!AJ707/Inputs!$F$325</f>
        <v>0</v>
      </c>
      <c r="AK131" s="20" t="n">
        <f aca="false">Operations!AK702*Operations!AK705/Inputs!$F$323+Operations!AK702*Operations!AK706/Inputs!$F$324+Operations!AK702*Operations!AK707/Inputs!$F$325</f>
        <v>0</v>
      </c>
      <c r="AL131" s="20" t="n">
        <f aca="false">Operations!AL702*Operations!AL705/Inputs!$F$323+Operations!AL702*Operations!AL706/Inputs!$F$324+Operations!AL702*Operations!AL707/Inputs!$F$325</f>
        <v>0</v>
      </c>
      <c r="AM131" s="20" t="n">
        <f aca="false">Operations!AM702*Operations!AM705/Inputs!$F$323+Operations!AM702*Operations!AM706/Inputs!$F$324+Operations!AM702*Operations!AM707/Inputs!$F$325</f>
        <v>0</v>
      </c>
      <c r="AN131" s="20" t="n">
        <f aca="false">Operations!AN702*Operations!AN705/Inputs!$F$323+Operations!AN702*Operations!AN706/Inputs!$F$324+Operations!AN702*Operations!AN707/Inputs!$F$325</f>
        <v>0</v>
      </c>
      <c r="AO131" s="20" t="n">
        <f aca="false">Operations!AO702*Operations!AO705/Inputs!$F$323+Operations!AO702*Operations!AO706/Inputs!$F$324+Operations!AO702*Operations!AO707/Inputs!$F$325</f>
        <v>0</v>
      </c>
      <c r="AP131" s="20" t="n">
        <f aca="false">Operations!AP702*Operations!AP705/Inputs!$F$323+Operations!AP702*Operations!AP706/Inputs!$F$324+Operations!AP702*Operations!AP707/Inputs!$F$325</f>
        <v>0</v>
      </c>
      <c r="AQ131" s="20" t="n">
        <f aca="false">Operations!AQ702*Operations!AQ705/Inputs!$F$323+Operations!AQ702*Operations!AQ706/Inputs!$F$324+Operations!AQ702*Operations!AQ707/Inputs!$F$325</f>
        <v>0</v>
      </c>
      <c r="AR131" s="20" t="n">
        <f aca="false">Operations!AR702*Operations!AR705/Inputs!$F$323+Operations!AR702*Operations!AR706/Inputs!$F$324+Operations!AR702*Operations!AR707/Inputs!$F$325</f>
        <v>0</v>
      </c>
      <c r="AS131" s="20" t="n">
        <f aca="false">Operations!AS702*Operations!AS705/Inputs!$F$323+Operations!AS702*Operations!AS706/Inputs!$F$324+Operations!AS702*Operations!AS707/Inputs!$F$325</f>
        <v>0</v>
      </c>
      <c r="AT131" s="20" t="n">
        <f aca="false">Operations!AT702*Operations!AT705/Inputs!$F$323+Operations!AT702*Operations!AT706/Inputs!$F$324+Operations!AT702*Operations!AT707/Inputs!$F$325</f>
        <v>0</v>
      </c>
      <c r="AU131" s="20" t="n">
        <f aca="false">Operations!AU702*Operations!AU705/Inputs!$F$323+Operations!AU702*Operations!AU706/Inputs!$F$324+Operations!AU702*Operations!AU707/Inputs!$F$325</f>
        <v>0</v>
      </c>
    </row>
    <row r="132" customFormat="false" ht="15" hidden="false" customHeight="false" outlineLevel="0" collapsed="false">
      <c r="D132" s="0" t="s">
        <v>995</v>
      </c>
      <c r="E132" s="0" t="s">
        <v>47</v>
      </c>
      <c r="F132" s="20" t="n">
        <f aca="false">SUMPRODUCT(Funding!$J$131:$AU$131,Funding!$J$88:$AU$88,--(Funding!$J$69:$AU$69&gt;0))</f>
        <v>37.7429916622688</v>
      </c>
    </row>
    <row r="133" customFormat="false" ht="15" hidden="false" customHeight="false" outlineLevel="0" collapsed="false">
      <c r="D133" s="0" t="s">
        <v>996</v>
      </c>
      <c r="E133" s="0" t="s">
        <v>47</v>
      </c>
      <c r="J133" s="20" t="n">
        <f aca="false">Operations!J749*Operations!J752/Inputs!$F$323+Operations!J749*Operations!J753/Inputs!$F$324+Operations!J749*Operations!J754/Inputs!$F$325</f>
        <v>0</v>
      </c>
      <c r="K133" s="20" t="n">
        <f aca="false">Operations!K749*Operations!K752/Inputs!$F$323+Operations!K749*Operations!K753/Inputs!$F$324+Operations!K749*Operations!K754/Inputs!$F$325</f>
        <v>0</v>
      </c>
      <c r="L133" s="20" t="n">
        <f aca="false">Operations!L749*Operations!L752/Inputs!$F$323+Operations!L749*Operations!L753/Inputs!$F$324+Operations!L749*Operations!L754/Inputs!$F$325</f>
        <v>4.29840365790073</v>
      </c>
      <c r="M133" s="20" t="n">
        <f aca="false">Operations!M749*Operations!M752/Inputs!$F$323+Operations!M749*Operations!M753/Inputs!$F$324+Operations!M749*Operations!M754/Inputs!$F$325</f>
        <v>5.718312528125</v>
      </c>
      <c r="N133" s="20" t="n">
        <f aca="false">Operations!N749*Operations!N752/Inputs!$F$323+Operations!N749*Operations!N753/Inputs!$F$324+Operations!N749*Operations!N754/Inputs!$F$325</f>
        <v>5.67282048021702</v>
      </c>
      <c r="O133" s="20" t="n">
        <f aca="false">Operations!O749*Operations!O752/Inputs!$F$323+Operations!O749*Operations!O753/Inputs!$F$324+Operations!O749*Operations!O754/Inputs!$F$325</f>
        <v>5.62619113111133</v>
      </c>
      <c r="P133" s="20" t="n">
        <f aca="false">Operations!P749*Operations!P752/Inputs!$F$323+Operations!P749*Operations!P753/Inputs!$F$324+Operations!P749*Operations!P754/Inputs!$F$325</f>
        <v>5.578396048278</v>
      </c>
      <c r="Q133" s="20" t="n">
        <f aca="false">Operations!Q749*Operations!Q752/Inputs!$F$323+Operations!Q749*Operations!Q753/Inputs!$F$324+Operations!Q749*Operations!Q754/Inputs!$F$325</f>
        <v>4.92598837483217</v>
      </c>
      <c r="R133" s="20" t="n">
        <f aca="false">Operations!R749*Operations!R752/Inputs!$F$323+Operations!R749*Operations!R753/Inputs!$F$324+Operations!R749*Operations!R754/Inputs!$F$325</f>
        <v>5.47919137947208</v>
      </c>
      <c r="S133" s="20" t="n">
        <f aca="false">Operations!S749*Operations!S752/Inputs!$F$323+Operations!S749*Operations!S753/Inputs!$F$324+Operations!S749*Operations!S754/Inputs!$F$325</f>
        <v>5.42772130284777</v>
      </c>
      <c r="T133" s="20" t="n">
        <f aca="false">Operations!T749*Operations!T752/Inputs!$F$323+Operations!T749*Operations!T753/Inputs!$F$324+Operations!T749*Operations!T754/Inputs!$F$325</f>
        <v>3.42742570508701</v>
      </c>
      <c r="U133" s="20" t="n">
        <f aca="false">Operations!U749*Operations!U752/Inputs!$F$323+Operations!U749*Operations!U753/Inputs!$F$324+Operations!U749*Operations!U754/Inputs!$F$325</f>
        <v>2.42507169298274</v>
      </c>
      <c r="V133" s="20" t="n">
        <f aca="false">Operations!V749*Operations!V752/Inputs!$F$323+Operations!V749*Operations!V753/Inputs!$F$324+Operations!V749*Operations!V754/Inputs!$F$325</f>
        <v>2.85352365757514</v>
      </c>
      <c r="W133" s="20" t="n">
        <f aca="false">Operations!W749*Operations!W752/Inputs!$F$323+Operations!W749*Operations!W753/Inputs!$F$324+Operations!W749*Operations!W754/Inputs!$F$325</f>
        <v>2.88280123213952</v>
      </c>
      <c r="X133" s="20" t="n">
        <f aca="false">Operations!X749*Operations!X752/Inputs!$F$323+Operations!X749*Operations!X753/Inputs!$F$324+Operations!X749*Operations!X754/Inputs!$F$325</f>
        <v>2.90206908483006</v>
      </c>
      <c r="Y133" s="20" t="n">
        <f aca="false">Operations!Y749*Operations!Y752/Inputs!$F$323+Operations!Y749*Operations!Y753/Inputs!$F$324+Operations!Y749*Operations!Y754/Inputs!$F$325</f>
        <v>2.87577467137027</v>
      </c>
      <c r="Z133" s="20" t="n">
        <f aca="false">Operations!Z749*Operations!Z752/Inputs!$F$323+Operations!Z749*Operations!Z753/Inputs!$F$324+Operations!Z749*Operations!Z754/Inputs!$F$325</f>
        <v>2.84764670848561</v>
      </c>
      <c r="AA133" s="20" t="n">
        <f aca="false">Operations!AA749*Operations!AA752/Inputs!$F$323+Operations!AA749*Operations!AA753/Inputs!$F$324+Operations!AA749*Operations!AA754/Inputs!$F$325</f>
        <v>2.81886193233522</v>
      </c>
      <c r="AB133" s="20" t="n">
        <f aca="false">Operations!AB749*Operations!AB752/Inputs!$F$323+Operations!AB749*Operations!AB753/Inputs!$F$324+Operations!AB749*Operations!AB754/Inputs!$F$325</f>
        <v>2.78868506264121</v>
      </c>
      <c r="AC133" s="20" t="n">
        <f aca="false">Operations!AC749*Operations!AC752/Inputs!$F$323+Operations!AC749*Operations!AC753/Inputs!$F$324+Operations!AC749*Operations!AC754/Inputs!$F$325</f>
        <v>2.75708127624575</v>
      </c>
      <c r="AD133" s="20" t="n">
        <f aca="false">Operations!AD749*Operations!AD752/Inputs!$F$323+Operations!AD749*Operations!AD753/Inputs!$F$324+Operations!AD749*Operations!AD754/Inputs!$F$325</f>
        <v>2.72406263178115</v>
      </c>
      <c r="AE133" s="20" t="n">
        <f aca="false">Operations!AE749*Operations!AE752/Inputs!$F$323+Operations!AE749*Operations!AE753/Inputs!$F$324+Operations!AE749*Operations!AE754/Inputs!$F$325</f>
        <v>2.68960952727428</v>
      </c>
      <c r="AF133" s="20" t="n">
        <f aca="false">Operations!AF749*Operations!AF752/Inputs!$F$323+Operations!AF749*Operations!AF753/Inputs!$F$324+Operations!AF749*Operations!AF754/Inputs!$F$325</f>
        <v>-1.7502754442075</v>
      </c>
      <c r="AG133" s="20" t="n">
        <f aca="false">Operations!AG749*Operations!AG752/Inputs!$F$323+Operations!AG749*Operations!AG753/Inputs!$F$324+Operations!AG749*Operations!AG754/Inputs!$F$325</f>
        <v>0</v>
      </c>
      <c r="AH133" s="20" t="n">
        <f aca="false">Operations!AH749*Operations!AH752/Inputs!$F$323+Operations!AH749*Operations!AH753/Inputs!$F$324+Operations!AH749*Operations!AH754/Inputs!$F$325</f>
        <v>0</v>
      </c>
      <c r="AI133" s="20" t="n">
        <f aca="false">Operations!AI749*Operations!AI752/Inputs!$F$323+Operations!AI749*Operations!AI753/Inputs!$F$324+Operations!AI749*Operations!AI754/Inputs!$F$325</f>
        <v>0</v>
      </c>
      <c r="AJ133" s="20" t="n">
        <f aca="false">Operations!AJ749*Operations!AJ752/Inputs!$F$323+Operations!AJ749*Operations!AJ753/Inputs!$F$324+Operations!AJ749*Operations!AJ754/Inputs!$F$325</f>
        <v>0</v>
      </c>
      <c r="AK133" s="20" t="n">
        <f aca="false">Operations!AK749*Operations!AK752/Inputs!$F$323+Operations!AK749*Operations!AK753/Inputs!$F$324+Operations!AK749*Operations!AK754/Inputs!$F$325</f>
        <v>0</v>
      </c>
      <c r="AL133" s="20" t="n">
        <f aca="false">Operations!AL749*Operations!AL752/Inputs!$F$323+Operations!AL749*Operations!AL753/Inputs!$F$324+Operations!AL749*Operations!AL754/Inputs!$F$325</f>
        <v>0</v>
      </c>
      <c r="AM133" s="20" t="n">
        <f aca="false">Operations!AM749*Operations!AM752/Inputs!$F$323+Operations!AM749*Operations!AM753/Inputs!$F$324+Operations!AM749*Operations!AM754/Inputs!$F$325</f>
        <v>0</v>
      </c>
      <c r="AN133" s="20" t="n">
        <f aca="false">Operations!AN749*Operations!AN752/Inputs!$F$323+Operations!AN749*Operations!AN753/Inputs!$F$324+Operations!AN749*Operations!AN754/Inputs!$F$325</f>
        <v>0</v>
      </c>
      <c r="AO133" s="20" t="n">
        <f aca="false">Operations!AO749*Operations!AO752/Inputs!$F$323+Operations!AO749*Operations!AO753/Inputs!$F$324+Operations!AO749*Operations!AO754/Inputs!$F$325</f>
        <v>0</v>
      </c>
      <c r="AP133" s="20" t="n">
        <f aca="false">Operations!AP749*Operations!AP752/Inputs!$F$323+Operations!AP749*Operations!AP753/Inputs!$F$324+Operations!AP749*Operations!AP754/Inputs!$F$325</f>
        <v>0</v>
      </c>
      <c r="AQ133" s="20" t="n">
        <f aca="false">Operations!AQ749*Operations!AQ752/Inputs!$F$323+Operations!AQ749*Operations!AQ753/Inputs!$F$324+Operations!AQ749*Operations!AQ754/Inputs!$F$325</f>
        <v>0</v>
      </c>
      <c r="AR133" s="20" t="n">
        <f aca="false">Operations!AR749*Operations!AR752/Inputs!$F$323+Operations!AR749*Operations!AR753/Inputs!$F$324+Operations!AR749*Operations!AR754/Inputs!$F$325</f>
        <v>0</v>
      </c>
      <c r="AS133" s="20" t="n">
        <f aca="false">Operations!AS749*Operations!AS752/Inputs!$F$323+Operations!AS749*Operations!AS753/Inputs!$F$324+Operations!AS749*Operations!AS754/Inputs!$F$325</f>
        <v>0</v>
      </c>
      <c r="AT133" s="20" t="n">
        <f aca="false">Operations!AT749*Operations!AT752/Inputs!$F$323+Operations!AT749*Operations!AT753/Inputs!$F$324+Operations!AT749*Operations!AT754/Inputs!$F$325</f>
        <v>0</v>
      </c>
      <c r="AU133" s="20" t="n">
        <f aca="false">Operations!AU749*Operations!AU752/Inputs!$F$323+Operations!AU749*Operations!AU753/Inputs!$F$324+Operations!AU749*Operations!AU754/Inputs!$F$325</f>
        <v>0</v>
      </c>
    </row>
    <row r="134" customFormat="false" ht="15" hidden="false" customHeight="false" outlineLevel="0" collapsed="false">
      <c r="D134" s="0" t="s">
        <v>997</v>
      </c>
      <c r="E134" s="0" t="s">
        <v>47</v>
      </c>
      <c r="F134" s="20" t="n">
        <f aca="false">SUMPRODUCT(Funding!$J$133:$AU$133,Funding!$J$88:$AU$88,--(Funding!$J$69:$AU$69&gt;0))</f>
        <v>43.5872485163218</v>
      </c>
    </row>
    <row r="135" customFormat="false" ht="15" hidden="false" customHeight="false" outlineLevel="0" collapsed="false">
      <c r="D135" s="0" t="s">
        <v>998</v>
      </c>
      <c r="E135" s="0" t="s">
        <v>47</v>
      </c>
      <c r="J135" s="20" t="n">
        <f aca="false">Operations!J791*Operations!J794/Inputs!$F$323+Operations!J791*Operations!J795/Inputs!$F$324+Operations!J791*Operations!J796/Inputs!$F$325</f>
        <v>0</v>
      </c>
      <c r="K135" s="20" t="n">
        <f aca="false">Operations!K791*Operations!K794/Inputs!$F$323+Operations!K791*Operations!K795/Inputs!$F$324+Operations!K791*Operations!K796/Inputs!$F$325</f>
        <v>0</v>
      </c>
      <c r="L135" s="20" t="n">
        <f aca="false">Operations!L791*Operations!L794/Inputs!$F$323+Operations!L791*Operations!L795/Inputs!$F$324+Operations!L791*Operations!L796/Inputs!$F$325</f>
        <v>0.068623596845534</v>
      </c>
      <c r="M135" s="20" t="n">
        <f aca="false">Operations!M791*Operations!M794/Inputs!$F$323+Operations!M791*Operations!M795/Inputs!$F$324+Operations!M791*Operations!M796/Inputs!$F$325</f>
        <v>4.55622770251221</v>
      </c>
      <c r="N135" s="20" t="n">
        <f aca="false">Operations!N791*Operations!N794/Inputs!$F$323+Operations!N791*Operations!N795/Inputs!$F$324+Operations!N791*Operations!N796/Inputs!$F$325</f>
        <v>4.65793410950871</v>
      </c>
      <c r="O135" s="20" t="n">
        <f aca="false">Operations!O791*Operations!O794/Inputs!$F$323+Operations!O791*Operations!O795/Inputs!$F$324+Operations!O791*Operations!O796/Inputs!$F$325</f>
        <v>4.66499363710829</v>
      </c>
      <c r="P135" s="20" t="n">
        <f aca="false">Operations!P791*Operations!P794/Inputs!$F$323+Operations!P791*Operations!P795/Inputs!$F$324+Operations!P791*Operations!P796/Inputs!$F$325</f>
        <v>4.63112438388971</v>
      </c>
      <c r="Q135" s="20" t="n">
        <f aca="false">Operations!Q791*Operations!Q794/Inputs!$F$323+Operations!Q791*Operations!Q795/Inputs!$F$324+Operations!Q791*Operations!Q796/Inputs!$F$325</f>
        <v>4.57437727143412</v>
      </c>
      <c r="R135" s="20" t="n">
        <f aca="false">Operations!R791*Operations!R794/Inputs!$F$323+Operations!R791*Operations!R795/Inputs!$F$324+Operations!R791*Operations!R796/Inputs!$F$325</f>
        <v>4.51772623886087</v>
      </c>
      <c r="S135" s="20" t="n">
        <f aca="false">Operations!S791*Operations!S794/Inputs!$F$323+Operations!S791*Operations!S795/Inputs!$F$324+Operations!S791*Operations!S796/Inputs!$F$325</f>
        <v>4.44521967151476</v>
      </c>
      <c r="T135" s="20" t="n">
        <f aca="false">Operations!T791*Operations!T794/Inputs!$F$323+Operations!T791*Operations!T795/Inputs!$F$324+Operations!T791*Operations!T796/Inputs!$F$325</f>
        <v>4.37061376106018</v>
      </c>
      <c r="U135" s="20" t="n">
        <f aca="false">Operations!U791*Operations!U794/Inputs!$F$323+Operations!U791*Operations!U795/Inputs!$F$324+Operations!U791*Operations!U796/Inputs!$F$325</f>
        <v>4.2938491984092</v>
      </c>
      <c r="V135" s="20" t="n">
        <f aca="false">Operations!V791*Operations!V794/Inputs!$F$323+Operations!V791*Operations!V795/Inputs!$F$324+Operations!V791*Operations!V796/Inputs!$F$325</f>
        <v>4.21486663766293</v>
      </c>
      <c r="W135" s="20" t="n">
        <f aca="false">Operations!W791*Operations!W794/Inputs!$F$323+Operations!W791*Operations!W795/Inputs!$F$324+Operations!W791*Operations!W796/Inputs!$F$325</f>
        <v>3.01665843952865</v>
      </c>
      <c r="X135" s="20" t="n">
        <f aca="false">Operations!X791*Operations!X794/Inputs!$F$323+Operations!X791*Operations!X795/Inputs!$F$324+Operations!X791*Operations!X796/Inputs!$F$325</f>
        <v>2.92611737978774</v>
      </c>
      <c r="Y135" s="20" t="n">
        <f aca="false">Operations!Y791*Operations!Y794/Inputs!$F$323+Operations!Y791*Operations!Y795/Inputs!$F$324+Operations!Y791*Operations!Y796/Inputs!$F$325</f>
        <v>2.90314714384856</v>
      </c>
      <c r="Z135" s="20" t="n">
        <f aca="false">Operations!Z791*Operations!Z794/Inputs!$F$323+Operations!Z791*Operations!Z795/Inputs!$F$324+Operations!Z791*Operations!Z796/Inputs!$F$325</f>
        <v>2.93585970672562</v>
      </c>
      <c r="AA135" s="20" t="n">
        <f aca="false">Operations!AA791*Operations!AA794/Inputs!$F$323+Operations!AA791*Operations!AA795/Inputs!$F$324+Operations!AA791*Operations!AA796/Inputs!$F$325</f>
        <v>2.96847782481525</v>
      </c>
      <c r="AB135" s="20" t="n">
        <f aca="false">Operations!AB791*Operations!AB794/Inputs!$F$323+Operations!AB791*Operations!AB795/Inputs!$F$324+Operations!AB791*Operations!AB796/Inputs!$F$325</f>
        <v>3.00169333431811</v>
      </c>
      <c r="AC135" s="20" t="n">
        <f aca="false">Operations!AC791*Operations!AC794/Inputs!$F$323+Operations!AC791*Operations!AC795/Inputs!$F$324+Operations!AC791*Operations!AC796/Inputs!$F$325</f>
        <v>3.03473438977738</v>
      </c>
      <c r="AD135" s="20" t="n">
        <f aca="false">Operations!AD791*Operations!AD794/Inputs!$F$323+Operations!AD791*Operations!AD795/Inputs!$F$324+Operations!AD791*Operations!AD796/Inputs!$F$325</f>
        <v>3.06828610679985</v>
      </c>
      <c r="AE135" s="20" t="n">
        <f aca="false">Operations!AE791*Operations!AE794/Inputs!$F$323+Operations!AE791*Operations!AE795/Inputs!$F$324+Operations!AE791*Operations!AE796/Inputs!$F$325</f>
        <v>3.10158157046588</v>
      </c>
      <c r="AF135" s="20" t="n">
        <f aca="false">Operations!AF791*Operations!AF794/Inputs!$F$323+Operations!AF791*Operations!AF795/Inputs!$F$324+Operations!AF791*Operations!AF796/Inputs!$F$325</f>
        <v>3.135299158793</v>
      </c>
      <c r="AG135" s="20" t="n">
        <f aca="false">Operations!AG791*Operations!AG794/Inputs!$F$323+Operations!AG791*Operations!AG795/Inputs!$F$324+Operations!AG791*Operations!AG796/Inputs!$F$325</f>
        <v>3.16939101334901</v>
      </c>
      <c r="AH135" s="20" t="n">
        <f aca="false">Operations!AH791*Operations!AH794/Inputs!$F$323+Operations!AH791*Operations!AH795/Inputs!$F$324+Operations!AH791*Operations!AH796/Inputs!$F$325</f>
        <v>3.20309742191973</v>
      </c>
      <c r="AI135" s="20" t="n">
        <f aca="false">Operations!AI791*Operations!AI794/Inputs!$F$323+Operations!AI791*Operations!AI795/Inputs!$F$324+Operations!AI791*Operations!AI796/Inputs!$F$325</f>
        <v>3.23708663406968</v>
      </c>
      <c r="AJ135" s="20" t="n">
        <f aca="false">Operations!AJ791*Operations!AJ794/Inputs!$F$323+Operations!AJ791*Operations!AJ795/Inputs!$F$324+Operations!AJ791*Operations!AJ796/Inputs!$F$325</f>
        <v>3.27130928463222</v>
      </c>
      <c r="AK135" s="20" t="n">
        <f aca="false">Operations!AK791*Operations!AK794/Inputs!$F$323+Operations!AK791*Operations!AK795/Inputs!$F$324+Operations!AK791*Operations!AK796/Inputs!$F$325</f>
        <v>3.30571548132153</v>
      </c>
      <c r="AL135" s="20" t="n">
        <f aca="false">Operations!AL791*Operations!AL794/Inputs!$F$323+Operations!AL791*Operations!AL795/Inputs!$F$324+Operations!AL791*Operations!AL796/Inputs!$F$325</f>
        <v>3.34025478581529</v>
      </c>
      <c r="AM135" s="20" t="n">
        <f aca="false">Operations!AM791*Operations!AM794/Inputs!$F$323+Operations!AM791*Operations!AM795/Inputs!$F$324+Operations!AM791*Operations!AM796/Inputs!$F$325</f>
        <v>3.37487619440285</v>
      </c>
      <c r="AN135" s="20" t="n">
        <f aca="false">Operations!AN791*Operations!AN794/Inputs!$F$323+Operations!AN791*Operations!AN795/Inputs!$F$324+Operations!AN791*Operations!AN796/Inputs!$F$325</f>
        <v>3.40952811818805</v>
      </c>
      <c r="AO135" s="20" t="n">
        <f aca="false">Operations!AO791*Operations!AO794/Inputs!$F$323+Operations!AO791*Operations!AO795/Inputs!$F$324+Operations!AO791*Operations!AO796/Inputs!$F$325</f>
        <v>3.44415836283509</v>
      </c>
      <c r="AP135" s="20" t="n">
        <f aca="false">Operations!AP791*Operations!AP794/Inputs!$F$323+Operations!AP791*Operations!AP795/Inputs!$F$324+Operations!AP791*Operations!AP796/Inputs!$F$325</f>
        <v>3.47871410784596</v>
      </c>
      <c r="AQ135" s="20" t="n">
        <f aca="false">Operations!AQ791*Operations!AQ794/Inputs!$F$323+Operations!AQ791*Operations!AQ795/Inputs!$F$324+Operations!AQ791*Operations!AQ796/Inputs!$F$325</f>
        <v>3.51382806233557</v>
      </c>
      <c r="AR135" s="20" t="n">
        <f aca="false">Operations!AR791*Operations!AR794/Inputs!$F$323+Operations!AR791*Operations!AR795/Inputs!$F$324+Operations!AR791*Operations!AR796/Inputs!$F$325</f>
        <v>3.54875442298581</v>
      </c>
      <c r="AS135" s="20" t="n">
        <f aca="false">Operations!AS791*Operations!AS794/Inputs!$F$323+Operations!AS791*Operations!AS795/Inputs!$F$324+Operations!AS791*Operations!AS796/Inputs!$F$325</f>
        <v>3.58343839454714</v>
      </c>
      <c r="AT135" s="20" t="n">
        <f aca="false">Operations!AT791*Operations!AT794/Inputs!$F$323+Operations!AT791*Operations!AT795/Inputs!$F$324+Operations!AT791*Operations!AT796/Inputs!$F$325</f>
        <v>3.61850244336056</v>
      </c>
      <c r="AU135" s="20" t="n">
        <f aca="false">Operations!AU791*Operations!AU794/Inputs!$F$323+Operations!AU791*Operations!AU795/Inputs!$F$324+Operations!AU791*Operations!AU796/Inputs!$F$325</f>
        <v>-1.39997977279006</v>
      </c>
    </row>
    <row r="136" customFormat="false" ht="15" hidden="false" customHeight="false" outlineLevel="0" collapsed="false">
      <c r="D136" s="0" t="s">
        <v>999</v>
      </c>
      <c r="E136" s="0" t="s">
        <v>47</v>
      </c>
      <c r="F136" s="20" t="n">
        <f aca="false">SUMPRODUCT(Funding!$J$135:$AU$135,Funding!$J$88:$AU$88,--(Funding!$J$69:$AU$69&gt;0))</f>
        <v>42.5664832912125</v>
      </c>
    </row>
    <row r="137" customFormat="false" ht="15" hidden="false" customHeight="false" outlineLevel="0" collapsed="false">
      <c r="D137" s="0" t="s">
        <v>984</v>
      </c>
      <c r="E137" s="0" t="s">
        <v>47</v>
      </c>
      <c r="F137" s="20" t="n">
        <f aca="false">Funding!$F$83*Funding!$F$122/(Funding!$F$122+Funding!$F$124+Funding!$F$126+Funding!$F$128+Funding!$F$130+Funding!$F$132+Funding!$F$134+Funding!$F$136)</f>
        <v>43.3730837673635</v>
      </c>
    </row>
    <row r="138" customFormat="false" ht="15" hidden="false" customHeight="false" outlineLevel="0" collapsed="false">
      <c r="D138" s="0" t="s">
        <v>985</v>
      </c>
      <c r="E138" s="0" t="s">
        <v>47</v>
      </c>
      <c r="F138" s="20" t="n">
        <f aca="false">Funding!$F$83*Funding!$F$124/(Funding!$F$122+Funding!$F$124+Funding!$F$126+Funding!$F$128+Funding!$F$130+Funding!$F$132+Funding!$F$134+Funding!$F$136)</f>
        <v>88.3730751563054</v>
      </c>
    </row>
    <row r="139" customFormat="false" ht="15" hidden="false" customHeight="false" outlineLevel="0" collapsed="false">
      <c r="D139" s="0" t="s">
        <v>986</v>
      </c>
      <c r="E139" s="0" t="s">
        <v>47</v>
      </c>
      <c r="F139" s="20" t="n">
        <f aca="false">Funding!$F$83*Funding!$F$126/(Funding!$F$122+Funding!$F$124+Funding!$F$126+Funding!$F$128+Funding!$F$130+Funding!$F$132+Funding!$F$134+Funding!$F$136)</f>
        <v>44.8009216407149</v>
      </c>
    </row>
    <row r="140" customFormat="false" ht="15" hidden="false" customHeight="false" outlineLevel="0" collapsed="false">
      <c r="D140" s="0" t="s">
        <v>987</v>
      </c>
      <c r="E140" s="0" t="s">
        <v>47</v>
      </c>
      <c r="F140" s="20" t="n">
        <f aca="false">Funding!$F$83*Funding!$F$128/(Funding!$F$122+Funding!$F$124+Funding!$F$126+Funding!$F$128+Funding!$F$130+Funding!$F$132+Funding!$F$134+Funding!$F$136)</f>
        <v>22.3054490784538</v>
      </c>
    </row>
    <row r="141" customFormat="false" ht="15" hidden="false" customHeight="false" outlineLevel="0" collapsed="false">
      <c r="D141" s="0" t="s">
        <v>988</v>
      </c>
      <c r="E141" s="0" t="s">
        <v>47</v>
      </c>
      <c r="F141" s="20" t="n">
        <f aca="false">Funding!$F$83*Funding!$F$130/(Funding!$F$122+Funding!$F$124+Funding!$F$126+Funding!$F$128+Funding!$F$130+Funding!$F$132+Funding!$F$134+Funding!$F$136)</f>
        <v>42.0859174959041</v>
      </c>
    </row>
    <row r="142" customFormat="false" ht="15" hidden="false" customHeight="false" outlineLevel="0" collapsed="false">
      <c r="D142" s="0" t="s">
        <v>1000</v>
      </c>
      <c r="E142" s="0" t="s">
        <v>47</v>
      </c>
      <c r="F142" s="20" t="n">
        <f aca="false">Funding!$F$83*Funding!$F$132/(Funding!$F$122+Funding!$F$124+Funding!$F$126+Funding!$F$128+Funding!$F$130+Funding!$F$132+Funding!$F$134+Funding!$F$136)</f>
        <v>34.819318764773</v>
      </c>
    </row>
    <row r="143" customFormat="false" ht="15" hidden="false" customHeight="false" outlineLevel="0" collapsed="false">
      <c r="D143" s="0" t="s">
        <v>1001</v>
      </c>
      <c r="E143" s="0" t="s">
        <v>47</v>
      </c>
      <c r="F143" s="20" t="n">
        <f aca="false">Funding!$F$83*Funding!$F$134/(Funding!$F$122+Funding!$F$124+Funding!$F$126+Funding!$F$128+Funding!$F$130+Funding!$F$132+Funding!$F$134+Funding!$F$136)</f>
        <v>40.2108638803636</v>
      </c>
    </row>
    <row r="144" customFormat="false" ht="15" hidden="false" customHeight="false" outlineLevel="0" collapsed="false">
      <c r="D144" s="0" t="s">
        <v>1002</v>
      </c>
      <c r="E144" s="0" t="s">
        <v>47</v>
      </c>
      <c r="F144" s="20" t="n">
        <f aca="false">Funding!$F$83*Funding!$F$136/(Funding!$F$122+Funding!$F$124+Funding!$F$126+Funding!$F$128+Funding!$F$130+Funding!$F$132+Funding!$F$134+Funding!$F$136)</f>
        <v>39.2691698547518</v>
      </c>
    </row>
    <row r="146" customFormat="false" ht="15" hidden="false" customHeight="false" outlineLevel="0" collapsed="false">
      <c r="A146" s="4" t="s">
        <v>1003</v>
      </c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</row>
    <row r="147" customFormat="false" ht="15" hidden="false" customHeight="false" outlineLevel="0" collapsed="false">
      <c r="D147" s="0" t="s">
        <v>1004</v>
      </c>
      <c r="E147" s="0" t="s">
        <v>47</v>
      </c>
      <c r="F147" s="20" t="n">
        <f aca="false">Inputs!$F$281/100*Funding!$F$17</f>
        <v>4.92097793704128</v>
      </c>
    </row>
    <row r="148" customFormat="false" ht="15" hidden="false" customHeight="false" outlineLevel="0" collapsed="false">
      <c r="D148" s="0" t="s">
        <v>1005</v>
      </c>
      <c r="E148" s="0" t="s">
        <v>47</v>
      </c>
      <c r="F148" s="20" t="n">
        <f aca="false">(1-Inputs!$F$293/100)*Funding!$F$41</f>
        <v>1.14548307157132</v>
      </c>
    </row>
    <row r="149" customFormat="false" ht="15" hidden="false" customHeight="false" outlineLevel="0" collapsed="false">
      <c r="D149" s="0" t="s">
        <v>1006</v>
      </c>
      <c r="E149" s="0" t="s">
        <v>47</v>
      </c>
      <c r="F149" s="20" t="n">
        <f aca="false">Inputs!$F$264+Inputs!$F$265+Funding!$F$147+Funding!$F$148</f>
        <v>467.266461008613</v>
      </c>
    </row>
    <row r="150" customFormat="false" ht="15" hidden="false" customHeight="false" outlineLevel="0" collapsed="false">
      <c r="D150" s="0" t="s">
        <v>1007</v>
      </c>
      <c r="E150" s="0" t="s">
        <v>47</v>
      </c>
      <c r="F150" s="20" t="n">
        <f aca="false">Funding!$F$149-Funding!$F$17-Funding!$F$41</f>
        <v>81.9271116272947</v>
      </c>
    </row>
    <row r="151" customFormat="false" ht="15" hidden="false" customHeight="false" outlineLevel="0" collapsed="false">
      <c r="D151" s="0" t="s">
        <v>1008</v>
      </c>
      <c r="E151" s="0" t="s">
        <v>47</v>
      </c>
      <c r="F151" s="20" t="n">
        <f aca="false">Inputs!$F$303/100*Funding!$F$50</f>
        <v>0.512484127307955</v>
      </c>
    </row>
    <row r="152" customFormat="false" ht="15" hidden="false" customHeight="false" outlineLevel="0" collapsed="false">
      <c r="D152" s="0" t="s">
        <v>1009</v>
      </c>
      <c r="E152" s="0" t="s">
        <v>47</v>
      </c>
      <c r="F152" s="20" t="n">
        <f aca="false">Inputs!$F$267+Inputs!$F$268+Funding!$F$151</f>
        <v>66.812484127308</v>
      </c>
    </row>
    <row r="153" customFormat="false" ht="15" hidden="false" customHeight="false" outlineLevel="0" collapsed="false">
      <c r="D153" s="0" t="s">
        <v>1010</v>
      </c>
      <c r="E153" s="0" t="s">
        <v>47</v>
      </c>
      <c r="F153" s="20" t="n">
        <f aca="false">Funding!$F$152-Funding!$F$50</f>
        <v>30.2064750338826</v>
      </c>
    </row>
    <row r="154" customFormat="false" ht="15" hidden="false" customHeight="false" outlineLevel="0" collapsed="false">
      <c r="D154" s="0" t="s">
        <v>1011</v>
      </c>
      <c r="E154" s="0" t="s">
        <v>47</v>
      </c>
      <c r="F154" s="20" t="n">
        <f aca="false">Inputs!$F$272/100*Inputs!$F$271</f>
        <v>20.38</v>
      </c>
    </row>
    <row r="155" customFormat="false" ht="15" hidden="false" customHeight="false" outlineLevel="0" collapsed="false">
      <c r="D155" s="0" t="s">
        <v>351</v>
      </c>
      <c r="E155" s="0" t="s">
        <v>47</v>
      </c>
      <c r="F155" s="20" t="n">
        <f aca="false">(1-Inputs!$F$310/100)*Funding!$F$63</f>
        <v>0.933137338161108</v>
      </c>
    </row>
    <row r="156" customFormat="false" ht="15" hidden="false" customHeight="false" outlineLevel="0" collapsed="false">
      <c r="D156" s="0" t="s">
        <v>1012</v>
      </c>
      <c r="E156" s="0" t="s">
        <v>47</v>
      </c>
      <c r="F156" s="20" t="n">
        <f aca="false">Tax!$F$8*Inputs!$F$259</f>
        <v>22.31322</v>
      </c>
    </row>
    <row r="157" customFormat="false" ht="15" hidden="false" customHeight="false" outlineLevel="0" collapsed="false">
      <c r="D157" s="0" t="s">
        <v>1013</v>
      </c>
      <c r="E157" s="0" t="s">
        <v>47</v>
      </c>
      <c r="F157" s="20" t="n">
        <f aca="false">Tax!$F$9*Inputs!$F$259</f>
        <v>26.580615</v>
      </c>
    </row>
    <row r="158" customFormat="false" ht="15" hidden="false" customHeight="false" outlineLevel="0" collapsed="false">
      <c r="D158" s="0" t="s">
        <v>1014</v>
      </c>
      <c r="E158" s="0" t="s">
        <v>47</v>
      </c>
      <c r="F158" s="20" t="n">
        <f aca="false">Funding!$F$154+Inputs!$F$273+Funding!$F$155</f>
        <v>25.7131373381611</v>
      </c>
    </row>
    <row r="159" customFormat="false" ht="15" hidden="false" customHeight="false" outlineLevel="0" collapsed="false">
      <c r="D159" s="0" t="s">
        <v>1015</v>
      </c>
      <c r="E159" s="0" t="s">
        <v>47</v>
      </c>
      <c r="F159" s="20" t="n">
        <f aca="false">MAX(0,Funding!$F$158-Funding!$F$63)</f>
        <v>0</v>
      </c>
    </row>
    <row r="160" customFormat="false" ht="15" hidden="false" customHeight="false" outlineLevel="0" collapsed="false">
      <c r="D160" s="0" t="s">
        <v>1016</v>
      </c>
      <c r="E160" s="0" t="s">
        <v>47</v>
      </c>
      <c r="F160" s="20" t="n">
        <f aca="false">MAX(0,Funding!$F$63-Funding!$F$158)</f>
        <v>67.6005964779496</v>
      </c>
    </row>
    <row r="161" customFormat="false" ht="15" hidden="false" customHeight="false" outlineLevel="0" collapsed="false">
      <c r="D161" s="0" t="s">
        <v>1017</v>
      </c>
      <c r="E161" s="0" t="s">
        <v>47</v>
      </c>
      <c r="F161" s="20" t="n">
        <f aca="false">Inputs!$F$270-Funding!$F$160-Funding!$F$156</f>
        <v>-2.51381647794958</v>
      </c>
    </row>
    <row r="162" customFormat="false" ht="15" hidden="false" customHeight="false" outlineLevel="0" collapsed="false">
      <c r="D162" s="0" t="s">
        <v>1018</v>
      </c>
      <c r="E162" s="0" t="s">
        <v>47</v>
      </c>
      <c r="F162" s="20" t="n">
        <f aca="false">MAX(0,Funding!$F$161)</f>
        <v>0</v>
      </c>
    </row>
    <row r="163" customFormat="false" ht="15" hidden="false" customHeight="false" outlineLevel="0" collapsed="false">
      <c r="D163" s="0" t="s">
        <v>1019</v>
      </c>
      <c r="E163" s="0" t="s">
        <v>47</v>
      </c>
      <c r="F163" s="20" t="n">
        <f aca="false">MAX(0,-Funding!$F$161)</f>
        <v>2.51381647794958</v>
      </c>
    </row>
    <row r="164" customFormat="false" ht="15" hidden="false" customHeight="false" outlineLevel="0" collapsed="false">
      <c r="D164" s="0" t="s">
        <v>1020</v>
      </c>
      <c r="E164" s="0" t="s">
        <v>47</v>
      </c>
      <c r="F164" s="20" t="n">
        <f aca="false">Inputs!$F$271-Funding!$F$154-Funding!$F$163-Funding!$F$157</f>
        <v>52.4255685220504</v>
      </c>
    </row>
    <row r="165" customFormat="false" ht="15" hidden="false" customHeight="false" outlineLevel="0" collapsed="false">
      <c r="D165" s="0" t="s">
        <v>1021</v>
      </c>
      <c r="E165" s="0" t="s">
        <v>47</v>
      </c>
      <c r="F165" s="20" t="n">
        <f aca="false">MAX(0,Funding!$F$164)</f>
        <v>52.4255685220504</v>
      </c>
    </row>
    <row r="166" customFormat="false" ht="15" hidden="false" customHeight="false" outlineLevel="0" collapsed="false">
      <c r="D166" s="0" t="s">
        <v>1022</v>
      </c>
      <c r="E166" s="0" t="s">
        <v>47</v>
      </c>
      <c r="F166" s="20" t="n">
        <f aca="false">MAX(0,-Funding!$F$164)</f>
        <v>0</v>
      </c>
    </row>
    <row r="167" customFormat="false" ht="15" hidden="false" customHeight="false" outlineLevel="0" collapsed="false">
      <c r="D167" s="0" t="s">
        <v>1023</v>
      </c>
      <c r="E167" s="0" t="s">
        <v>47</v>
      </c>
      <c r="F167" s="20" t="n">
        <f aca="false">Inputs!$F$270+Inputs!$F$271+Inputs!$F$273+Funding!$F$155</f>
        <v>194.633137338161</v>
      </c>
    </row>
    <row r="168" customFormat="false" ht="15" hidden="false" customHeight="false" outlineLevel="0" collapsed="false">
      <c r="D168" s="0" t="s">
        <v>1024</v>
      </c>
      <c r="E168" s="0" t="s">
        <v>47</v>
      </c>
      <c r="F168" s="20" t="n">
        <f aca="false">Funding!$F$159+Funding!$F$162+Funding!$F$165-Funding!$F$166</f>
        <v>52.4255685220504</v>
      </c>
    </row>
    <row r="170" customFormat="false" ht="15" hidden="false" customHeight="false" outlineLevel="0" collapsed="false">
      <c r="A170" s="4" t="s">
        <v>1025</v>
      </c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</row>
    <row r="171" customFormat="false" ht="15" hidden="false" customHeight="false" outlineLevel="0" collapsed="false">
      <c r="D171" s="0" t="s">
        <v>1026</v>
      </c>
      <c r="E171" s="0" t="s">
        <v>27</v>
      </c>
      <c r="J171" s="14" t="n">
        <f aca="false">(1+Inputs!$F$328/100)^(-(Time!J$4-Inputs!$F$314))</f>
        <v>1.110325488875</v>
      </c>
      <c r="K171" s="14" t="n">
        <f aca="false">(1+Inputs!$F$328/100)^(-(Time!K$4-Inputs!$F$314))</f>
        <v>1.07226025</v>
      </c>
      <c r="L171" s="14" t="n">
        <f aca="false">(1+Inputs!$F$328/100)^(-(Time!L$4-Inputs!$F$314))</f>
        <v>1.0355</v>
      </c>
      <c r="M171" s="14" t="n">
        <f aca="false">(1+Inputs!$F$328/100)^(-(Time!M$4-Inputs!$F$314))</f>
        <v>1</v>
      </c>
      <c r="N171" s="14" t="n">
        <f aca="false">(1+Inputs!$F$328/100)^(-(Time!N$4-Inputs!$F$314))</f>
        <v>0.965717044905843</v>
      </c>
      <c r="O171" s="14" t="n">
        <f aca="false">(1+Inputs!$F$328/100)^(-(Time!O$4-Inputs!$F$314))</f>
        <v>0.932609410821673</v>
      </c>
      <c r="P171" s="14" t="n">
        <f aca="false">(1+Inputs!$F$328/100)^(-(Time!P$4-Inputs!$F$314))</f>
        <v>0.900636804270085</v>
      </c>
      <c r="Q171" s="14" t="n">
        <f aca="false">(1+Inputs!$F$328/100)^(-(Time!Q$4-Inputs!$F$314))</f>
        <v>0.869760313153148</v>
      </c>
      <c r="R171" s="14" t="n">
        <f aca="false">(1+Inputs!$F$328/100)^(-(Time!R$4-Inputs!$F$314))</f>
        <v>0.839942359394638</v>
      </c>
      <c r="S171" s="14" t="n">
        <f aca="false">(1+Inputs!$F$328/100)^(-(Time!S$4-Inputs!$F$314))</f>
        <v>0.811146653205831</v>
      </c>
      <c r="T171" s="14" t="n">
        <f aca="false">(1+Inputs!$F$328/100)^(-(Time!T$4-Inputs!$F$314))</f>
        <v>0.7833381489192</v>
      </c>
      <c r="U171" s="14" t="n">
        <f aca="false">(1+Inputs!$F$328/100)^(-(Time!U$4-Inputs!$F$314))</f>
        <v>0.756483002336262</v>
      </c>
      <c r="V171" s="14" t="n">
        <f aca="false">(1+Inputs!$F$328/100)^(-(Time!V$4-Inputs!$F$314))</f>
        <v>0.730548529537675</v>
      </c>
      <c r="W171" s="14" t="n">
        <f aca="false">(1+Inputs!$F$328/100)^(-(Time!W$4-Inputs!$F$314))</f>
        <v>0.705503167105432</v>
      </c>
      <c r="X171" s="14" t="n">
        <f aca="false">(1+Inputs!$F$328/100)^(-(Time!X$4-Inputs!$F$314))</f>
        <v>0.681316433708771</v>
      </c>
      <c r="Y171" s="14" t="n">
        <f aca="false">(1+Inputs!$F$328/100)^(-(Time!Y$4-Inputs!$F$314))</f>
        <v>0.657958893007021</v>
      </c>
      <c r="Z171" s="14" t="n">
        <f aca="false">(1+Inputs!$F$328/100)^(-(Time!Z$4-Inputs!$F$314))</f>
        <v>0.63540211782426</v>
      </c>
      <c r="AA171" s="14" t="n">
        <f aca="false">(1+Inputs!$F$328/100)^(-(Time!AA$4-Inputs!$F$314))</f>
        <v>0.613618655552158</v>
      </c>
      <c r="AB171" s="14" t="n">
        <f aca="false">(1+Inputs!$F$328/100)^(-(Time!AB$4-Inputs!$F$314))</f>
        <v>0.592581994738926</v>
      </c>
      <c r="AC171" s="14" t="n">
        <f aca="false">(1+Inputs!$F$328/100)^(-(Time!AC$4-Inputs!$F$314))</f>
        <v>0.572266532823685</v>
      </c>
      <c r="AD171" s="14" t="n">
        <f aca="false">(1+Inputs!$F$328/100)^(-(Time!AD$4-Inputs!$F$314))</f>
        <v>0.552647544977002</v>
      </c>
      <c r="AE171" s="14" t="n">
        <f aca="false">(1+Inputs!$F$328/100)^(-(Time!AE$4-Inputs!$F$314))</f>
        <v>0.533701154009659</v>
      </c>
      <c r="AF171" s="14" t="n">
        <f aca="false">(1+Inputs!$F$328/100)^(-(Time!AF$4-Inputs!$F$314))</f>
        <v>0.515404301313046</v>
      </c>
      <c r="AG171" s="14" t="n">
        <f aca="false">(1+Inputs!$F$328/100)^(-(Time!AG$4-Inputs!$F$314))</f>
        <v>0.497734718795795</v>
      </c>
      <c r="AH171" s="14" t="n">
        <f aca="false">(1+Inputs!$F$328/100)^(-(Time!AH$4-Inputs!$F$314))</f>
        <v>0.480670901782516</v>
      </c>
      <c r="AI171" s="14" t="n">
        <f aca="false">(1+Inputs!$F$328/100)^(-(Time!AI$4-Inputs!$F$314))</f>
        <v>0.464192082841637</v>
      </c>
      <c r="AJ171" s="14" t="n">
        <f aca="false">(1+Inputs!$F$328/100)^(-(Time!AJ$4-Inputs!$F$314))</f>
        <v>0.448278206510514</v>
      </c>
      <c r="AK171" s="14" t="n">
        <f aca="false">(1+Inputs!$F$328/100)^(-(Time!AK$4-Inputs!$F$314))</f>
        <v>0.432909904887025</v>
      </c>
      <c r="AL171" s="14" t="n">
        <f aca="false">(1+Inputs!$F$328/100)^(-(Time!AL$4-Inputs!$F$314))</f>
        <v>0.418068474057967</v>
      </c>
      <c r="AM171" s="14" t="n">
        <f aca="false">(1+Inputs!$F$328/100)^(-(Time!AM$4-Inputs!$F$314))</f>
        <v>0.403735851335555</v>
      </c>
      <c r="AN171" s="14" t="n">
        <f aca="false">(1+Inputs!$F$328/100)^(-(Time!AN$4-Inputs!$F$314))</f>
        <v>0.389894593274316</v>
      </c>
      <c r="AO171" s="14" t="n">
        <f aca="false">(1+Inputs!$F$328/100)^(-(Time!AO$4-Inputs!$F$314))</f>
        <v>0.376527854441638</v>
      </c>
      <c r="AP171" s="14" t="n">
        <f aca="false">(1+Inputs!$F$328/100)^(-(Time!AP$4-Inputs!$F$314))</f>
        <v>0.363619366916116</v>
      </c>
      <c r="AQ171" s="14" t="n">
        <f aca="false">(1+Inputs!$F$328/100)^(-(Time!AQ$4-Inputs!$F$314))</f>
        <v>0.351153420488765</v>
      </c>
      <c r="AR171" s="14" t="n">
        <f aca="false">(1+Inputs!$F$328/100)^(-(Time!AR$4-Inputs!$F$314))</f>
        <v>0.339114843542989</v>
      </c>
      <c r="AS171" s="14" t="n">
        <f aca="false">(1+Inputs!$F$328/100)^(-(Time!AS$4-Inputs!$F$314))</f>
        <v>0.327488984590042</v>
      </c>
      <c r="AT171" s="14" t="n">
        <f aca="false">(1+Inputs!$F$328/100)^(-(Time!AT$4-Inputs!$F$314))</f>
        <v>0.316261694437511</v>
      </c>
      <c r="AU171" s="14" t="n">
        <f aca="false">(1+Inputs!$F$328/100)^(-(Time!AU$4-Inputs!$F$314))</f>
        <v>0.305419308969107</v>
      </c>
    </row>
    <row r="172" customFormat="false" ht="15" hidden="false" customHeight="false" outlineLevel="0" collapsed="false">
      <c r="D172" s="0" t="s">
        <v>1027</v>
      </c>
      <c r="E172" s="0" t="s">
        <v>458</v>
      </c>
      <c r="J172" s="14" t="n">
        <f aca="false">MAX(0,MIN(Inputs!$F$288,Time!J$6)-MAX(Inputs!$F$315,Time!J$5))/Time!J$7</f>
        <v>0</v>
      </c>
      <c r="K172" s="14" t="n">
        <f aca="false">MAX(0,MIN(Inputs!$F$288,Time!K$6)-MAX(Inputs!$F$315,Time!K$5))/Time!K$7</f>
        <v>0</v>
      </c>
      <c r="L172" s="14" t="n">
        <f aca="false">MAX(0,MIN(Inputs!$F$288,Time!L$6)-MAX(Inputs!$F$315,Time!L$5))/Time!L$7</f>
        <v>0</v>
      </c>
      <c r="M172" s="14" t="n">
        <f aca="false">MAX(0,MIN(Inputs!$F$288,Time!M$6)-MAX(Inputs!$F$315,Time!M$5))/Time!M$7</f>
        <v>0</v>
      </c>
      <c r="N172" s="14" t="n">
        <f aca="false">MAX(0,MIN(Inputs!$F$288,Time!N$6)-MAX(Inputs!$F$315,Time!N$5))/Time!N$7</f>
        <v>1</v>
      </c>
      <c r="O172" s="14" t="n">
        <f aca="false">MAX(0,MIN(Inputs!$F$288,Time!O$6)-MAX(Inputs!$F$315,Time!O$5))/Time!O$7</f>
        <v>1</v>
      </c>
      <c r="P172" s="14" t="n">
        <f aca="false">MAX(0,MIN(Inputs!$F$288,Time!P$6)-MAX(Inputs!$F$315,Time!P$5))/Time!P$7</f>
        <v>1</v>
      </c>
      <c r="Q172" s="14" t="n">
        <f aca="false">MAX(0,MIN(Inputs!$F$288,Time!Q$6)-MAX(Inputs!$F$315,Time!Q$5))/Time!Q$7</f>
        <v>0.221917808219178</v>
      </c>
      <c r="R172" s="14" t="n">
        <f aca="false">MAX(0,MIN(Inputs!$F$288,Time!R$6)-MAX(Inputs!$F$315,Time!R$5))/Time!R$7</f>
        <v>0</v>
      </c>
      <c r="S172" s="14" t="n">
        <f aca="false">MAX(0,MIN(Inputs!$F$288,Time!S$6)-MAX(Inputs!$F$315,Time!S$5))/Time!S$7</f>
        <v>0</v>
      </c>
      <c r="T172" s="14" t="n">
        <f aca="false">MAX(0,MIN(Inputs!$F$288,Time!T$6)-MAX(Inputs!$F$315,Time!T$5))/Time!T$7</f>
        <v>0</v>
      </c>
      <c r="U172" s="14" t="n">
        <f aca="false">MAX(0,MIN(Inputs!$F$288,Time!U$6)-MAX(Inputs!$F$315,Time!U$5))/Time!U$7</f>
        <v>0</v>
      </c>
      <c r="V172" s="14" t="n">
        <f aca="false">MAX(0,MIN(Inputs!$F$288,Time!V$6)-MAX(Inputs!$F$315,Time!V$5))/Time!V$7</f>
        <v>0</v>
      </c>
      <c r="W172" s="14" t="n">
        <f aca="false">MAX(0,MIN(Inputs!$F$288,Time!W$6)-MAX(Inputs!$F$315,Time!W$5))/Time!W$7</f>
        <v>0</v>
      </c>
      <c r="X172" s="14" t="n">
        <f aca="false">MAX(0,MIN(Inputs!$F$288,Time!X$6)-MAX(Inputs!$F$315,Time!X$5))/Time!X$7</f>
        <v>0</v>
      </c>
      <c r="Y172" s="14" t="n">
        <f aca="false">MAX(0,MIN(Inputs!$F$288,Time!Y$6)-MAX(Inputs!$F$315,Time!Y$5))/Time!Y$7</f>
        <v>0</v>
      </c>
      <c r="Z172" s="14" t="n">
        <f aca="false">MAX(0,MIN(Inputs!$F$288,Time!Z$6)-MAX(Inputs!$F$315,Time!Z$5))/Time!Z$7</f>
        <v>0</v>
      </c>
      <c r="AA172" s="14" t="n">
        <f aca="false">MAX(0,MIN(Inputs!$F$288,Time!AA$6)-MAX(Inputs!$F$315,Time!AA$5))/Time!AA$7</f>
        <v>0</v>
      </c>
      <c r="AB172" s="14" t="n">
        <f aca="false">MAX(0,MIN(Inputs!$F$288,Time!AB$6)-MAX(Inputs!$F$315,Time!AB$5))/Time!AB$7</f>
        <v>0</v>
      </c>
      <c r="AC172" s="14" t="n">
        <f aca="false">MAX(0,MIN(Inputs!$F$288,Time!AC$6)-MAX(Inputs!$F$315,Time!AC$5))/Time!AC$7</f>
        <v>0</v>
      </c>
      <c r="AD172" s="14" t="n">
        <f aca="false">MAX(0,MIN(Inputs!$F$288,Time!AD$6)-MAX(Inputs!$F$315,Time!AD$5))/Time!AD$7</f>
        <v>0</v>
      </c>
      <c r="AE172" s="14" t="n">
        <f aca="false">MAX(0,MIN(Inputs!$F$288,Time!AE$6)-MAX(Inputs!$F$315,Time!AE$5))/Time!AE$7</f>
        <v>0</v>
      </c>
      <c r="AF172" s="14" t="n">
        <f aca="false">MAX(0,MIN(Inputs!$F$288,Time!AF$6)-MAX(Inputs!$F$315,Time!AF$5))/Time!AF$7</f>
        <v>0</v>
      </c>
      <c r="AG172" s="14" t="n">
        <f aca="false">MAX(0,MIN(Inputs!$F$288,Time!AG$6)-MAX(Inputs!$F$315,Time!AG$5))/Time!AG$7</f>
        <v>0</v>
      </c>
      <c r="AH172" s="14" t="n">
        <f aca="false">MAX(0,MIN(Inputs!$F$288,Time!AH$6)-MAX(Inputs!$F$315,Time!AH$5))/Time!AH$7</f>
        <v>0</v>
      </c>
      <c r="AI172" s="14" t="n">
        <f aca="false">MAX(0,MIN(Inputs!$F$288,Time!AI$6)-MAX(Inputs!$F$315,Time!AI$5))/Time!AI$7</f>
        <v>0</v>
      </c>
      <c r="AJ172" s="14" t="n">
        <f aca="false">MAX(0,MIN(Inputs!$F$288,Time!AJ$6)-MAX(Inputs!$F$315,Time!AJ$5))/Time!AJ$7</f>
        <v>0</v>
      </c>
      <c r="AK172" s="14" t="n">
        <f aca="false">MAX(0,MIN(Inputs!$F$288,Time!AK$6)-MAX(Inputs!$F$315,Time!AK$5))/Time!AK$7</f>
        <v>0</v>
      </c>
      <c r="AL172" s="14" t="n">
        <f aca="false">MAX(0,MIN(Inputs!$F$288,Time!AL$6)-MAX(Inputs!$F$315,Time!AL$5))/Time!AL$7</f>
        <v>0</v>
      </c>
      <c r="AM172" s="14" t="n">
        <f aca="false">MAX(0,MIN(Inputs!$F$288,Time!AM$6)-MAX(Inputs!$F$315,Time!AM$5))/Time!AM$7</f>
        <v>0</v>
      </c>
      <c r="AN172" s="14" t="n">
        <f aca="false">MAX(0,MIN(Inputs!$F$288,Time!AN$6)-MAX(Inputs!$F$315,Time!AN$5))/Time!AN$7</f>
        <v>0</v>
      </c>
      <c r="AO172" s="14" t="n">
        <f aca="false">MAX(0,MIN(Inputs!$F$288,Time!AO$6)-MAX(Inputs!$F$315,Time!AO$5))/Time!AO$7</f>
        <v>0</v>
      </c>
      <c r="AP172" s="14" t="n">
        <f aca="false">MAX(0,MIN(Inputs!$F$288,Time!AP$6)-MAX(Inputs!$F$315,Time!AP$5))/Time!AP$7</f>
        <v>0</v>
      </c>
      <c r="AQ172" s="14" t="n">
        <f aca="false">MAX(0,MIN(Inputs!$F$288,Time!AQ$6)-MAX(Inputs!$F$315,Time!AQ$5))/Time!AQ$7</f>
        <v>0</v>
      </c>
      <c r="AR172" s="14" t="n">
        <f aca="false">MAX(0,MIN(Inputs!$F$288,Time!AR$6)-MAX(Inputs!$F$315,Time!AR$5))/Time!AR$7</f>
        <v>0</v>
      </c>
      <c r="AS172" s="14" t="n">
        <f aca="false">MAX(0,MIN(Inputs!$F$288,Time!AS$6)-MAX(Inputs!$F$315,Time!AS$5))/Time!AS$7</f>
        <v>0</v>
      </c>
      <c r="AT172" s="14" t="n">
        <f aca="false">MAX(0,MIN(Inputs!$F$288,Time!AT$6)-MAX(Inputs!$F$315,Time!AT$5))/Time!AT$7</f>
        <v>0</v>
      </c>
      <c r="AU172" s="14" t="n">
        <f aca="false">MAX(0,MIN(Inputs!$F$288,Time!AU$6)-MAX(Inputs!$F$315,Time!AU$5))/Time!AU$7</f>
        <v>0</v>
      </c>
    </row>
    <row r="173" customFormat="false" ht="15" hidden="false" customHeight="false" outlineLevel="0" collapsed="false">
      <c r="D173" s="0" t="s">
        <v>1028</v>
      </c>
      <c r="E173" s="0" t="s">
        <v>458</v>
      </c>
      <c r="J173" s="14" t="n">
        <f aca="false">MAX(0,MIN(Inputs!$F$301,Time!J$6)-MAX(Inputs!$F$315,Time!J$5))/Time!J$7</f>
        <v>0</v>
      </c>
      <c r="K173" s="14" t="n">
        <f aca="false">MAX(0,MIN(Inputs!$F$301,Time!K$6)-MAX(Inputs!$F$315,Time!K$5))/Time!K$7</f>
        <v>0</v>
      </c>
      <c r="L173" s="14" t="n">
        <f aca="false">MAX(0,MIN(Inputs!$F$301,Time!L$6)-MAX(Inputs!$F$315,Time!L$5))/Time!L$7</f>
        <v>0</v>
      </c>
      <c r="M173" s="14" t="n">
        <f aca="false">MAX(0,MIN(Inputs!$F$301,Time!M$6)-MAX(Inputs!$F$315,Time!M$5))/Time!M$7</f>
        <v>0</v>
      </c>
      <c r="N173" s="14" t="n">
        <f aca="false">MAX(0,MIN(Inputs!$F$301,Time!N$6)-MAX(Inputs!$F$315,Time!N$5))/Time!N$7</f>
        <v>1</v>
      </c>
      <c r="O173" s="14" t="n">
        <f aca="false">MAX(0,MIN(Inputs!$F$301,Time!O$6)-MAX(Inputs!$F$315,Time!O$5))/Time!O$7</f>
        <v>1</v>
      </c>
      <c r="P173" s="14" t="n">
        <f aca="false">MAX(0,MIN(Inputs!$F$301,Time!P$6)-MAX(Inputs!$F$315,Time!P$5))/Time!P$7</f>
        <v>1</v>
      </c>
      <c r="Q173" s="14" t="n">
        <f aca="false">MAX(0,MIN(Inputs!$F$301,Time!Q$6)-MAX(Inputs!$F$315,Time!Q$5))/Time!Q$7</f>
        <v>1</v>
      </c>
      <c r="R173" s="14" t="n">
        <f aca="false">MAX(0,MIN(Inputs!$F$301,Time!R$6)-MAX(Inputs!$F$315,Time!R$5))/Time!R$7</f>
        <v>0.495890410958904</v>
      </c>
      <c r="S173" s="14" t="n">
        <f aca="false">MAX(0,MIN(Inputs!$F$301,Time!S$6)-MAX(Inputs!$F$315,Time!S$5))/Time!S$7</f>
        <v>0</v>
      </c>
      <c r="T173" s="14" t="n">
        <f aca="false">MAX(0,MIN(Inputs!$F$301,Time!T$6)-MAX(Inputs!$F$315,Time!T$5))/Time!T$7</f>
        <v>0</v>
      </c>
      <c r="U173" s="14" t="n">
        <f aca="false">MAX(0,MIN(Inputs!$F$301,Time!U$6)-MAX(Inputs!$F$315,Time!U$5))/Time!U$7</f>
        <v>0</v>
      </c>
      <c r="V173" s="14" t="n">
        <f aca="false">MAX(0,MIN(Inputs!$F$301,Time!V$6)-MAX(Inputs!$F$315,Time!V$5))/Time!V$7</f>
        <v>0</v>
      </c>
      <c r="W173" s="14" t="n">
        <f aca="false">MAX(0,MIN(Inputs!$F$301,Time!W$6)-MAX(Inputs!$F$315,Time!W$5))/Time!W$7</f>
        <v>0</v>
      </c>
      <c r="X173" s="14" t="n">
        <f aca="false">MAX(0,MIN(Inputs!$F$301,Time!X$6)-MAX(Inputs!$F$315,Time!X$5))/Time!X$7</f>
        <v>0</v>
      </c>
      <c r="Y173" s="14" t="n">
        <f aca="false">MAX(0,MIN(Inputs!$F$301,Time!Y$6)-MAX(Inputs!$F$315,Time!Y$5))/Time!Y$7</f>
        <v>0</v>
      </c>
      <c r="Z173" s="14" t="n">
        <f aca="false">MAX(0,MIN(Inputs!$F$301,Time!Z$6)-MAX(Inputs!$F$315,Time!Z$5))/Time!Z$7</f>
        <v>0</v>
      </c>
      <c r="AA173" s="14" t="n">
        <f aca="false">MAX(0,MIN(Inputs!$F$301,Time!AA$6)-MAX(Inputs!$F$315,Time!AA$5))/Time!AA$7</f>
        <v>0</v>
      </c>
      <c r="AB173" s="14" t="n">
        <f aca="false">MAX(0,MIN(Inputs!$F$301,Time!AB$6)-MAX(Inputs!$F$315,Time!AB$5))/Time!AB$7</f>
        <v>0</v>
      </c>
      <c r="AC173" s="14" t="n">
        <f aca="false">MAX(0,MIN(Inputs!$F$301,Time!AC$6)-MAX(Inputs!$F$315,Time!AC$5))/Time!AC$7</f>
        <v>0</v>
      </c>
      <c r="AD173" s="14" t="n">
        <f aca="false">MAX(0,MIN(Inputs!$F$301,Time!AD$6)-MAX(Inputs!$F$315,Time!AD$5))/Time!AD$7</f>
        <v>0</v>
      </c>
      <c r="AE173" s="14" t="n">
        <f aca="false">MAX(0,MIN(Inputs!$F$301,Time!AE$6)-MAX(Inputs!$F$315,Time!AE$5))/Time!AE$7</f>
        <v>0</v>
      </c>
      <c r="AF173" s="14" t="n">
        <f aca="false">MAX(0,MIN(Inputs!$F$301,Time!AF$6)-MAX(Inputs!$F$315,Time!AF$5))/Time!AF$7</f>
        <v>0</v>
      </c>
      <c r="AG173" s="14" t="n">
        <f aca="false">MAX(0,MIN(Inputs!$F$301,Time!AG$6)-MAX(Inputs!$F$315,Time!AG$5))/Time!AG$7</f>
        <v>0</v>
      </c>
      <c r="AH173" s="14" t="n">
        <f aca="false">MAX(0,MIN(Inputs!$F$301,Time!AH$6)-MAX(Inputs!$F$315,Time!AH$5))/Time!AH$7</f>
        <v>0</v>
      </c>
      <c r="AI173" s="14" t="n">
        <f aca="false">MAX(0,MIN(Inputs!$F$301,Time!AI$6)-MAX(Inputs!$F$315,Time!AI$5))/Time!AI$7</f>
        <v>0</v>
      </c>
      <c r="AJ173" s="14" t="n">
        <f aca="false">MAX(0,MIN(Inputs!$F$301,Time!AJ$6)-MAX(Inputs!$F$315,Time!AJ$5))/Time!AJ$7</f>
        <v>0</v>
      </c>
      <c r="AK173" s="14" t="n">
        <f aca="false">MAX(0,MIN(Inputs!$F$301,Time!AK$6)-MAX(Inputs!$F$315,Time!AK$5))/Time!AK$7</f>
        <v>0</v>
      </c>
      <c r="AL173" s="14" t="n">
        <f aca="false">MAX(0,MIN(Inputs!$F$301,Time!AL$6)-MAX(Inputs!$F$315,Time!AL$5))/Time!AL$7</f>
        <v>0</v>
      </c>
      <c r="AM173" s="14" t="n">
        <f aca="false">MAX(0,MIN(Inputs!$F$301,Time!AM$6)-MAX(Inputs!$F$315,Time!AM$5))/Time!AM$7</f>
        <v>0</v>
      </c>
      <c r="AN173" s="14" t="n">
        <f aca="false">MAX(0,MIN(Inputs!$F$301,Time!AN$6)-MAX(Inputs!$F$315,Time!AN$5))/Time!AN$7</f>
        <v>0</v>
      </c>
      <c r="AO173" s="14" t="n">
        <f aca="false">MAX(0,MIN(Inputs!$F$301,Time!AO$6)-MAX(Inputs!$F$315,Time!AO$5))/Time!AO$7</f>
        <v>0</v>
      </c>
      <c r="AP173" s="14" t="n">
        <f aca="false">MAX(0,MIN(Inputs!$F$301,Time!AP$6)-MAX(Inputs!$F$315,Time!AP$5))/Time!AP$7</f>
        <v>0</v>
      </c>
      <c r="AQ173" s="14" t="n">
        <f aca="false">MAX(0,MIN(Inputs!$F$301,Time!AQ$6)-MAX(Inputs!$F$315,Time!AQ$5))/Time!AQ$7</f>
        <v>0</v>
      </c>
      <c r="AR173" s="14" t="n">
        <f aca="false">MAX(0,MIN(Inputs!$F$301,Time!AR$6)-MAX(Inputs!$F$315,Time!AR$5))/Time!AR$7</f>
        <v>0</v>
      </c>
      <c r="AS173" s="14" t="n">
        <f aca="false">MAX(0,MIN(Inputs!$F$301,Time!AS$6)-MAX(Inputs!$F$315,Time!AS$5))/Time!AS$7</f>
        <v>0</v>
      </c>
      <c r="AT173" s="14" t="n">
        <f aca="false">MAX(0,MIN(Inputs!$F$301,Time!AT$6)-MAX(Inputs!$F$315,Time!AT$5))/Time!AT$7</f>
        <v>0</v>
      </c>
      <c r="AU173" s="14" t="n">
        <f aca="false">MAX(0,MIN(Inputs!$F$301,Time!AU$6)-MAX(Inputs!$F$315,Time!AU$5))/Time!AU$7</f>
        <v>0</v>
      </c>
    </row>
    <row r="174" customFormat="false" ht="15" hidden="false" customHeight="false" outlineLevel="0" collapsed="false">
      <c r="D174" s="0" t="s">
        <v>1029</v>
      </c>
      <c r="E174" s="0" t="s">
        <v>47</v>
      </c>
      <c r="F174" s="20" t="n">
        <f aca="false">SUMPRODUCT(Inputs!$F$286/100*Funding!$J$22:$AU$22*(Inputs!$F$328-Inputs!$F$287)/100*Funding!$J$172:$AU$172,Funding!$J$171:$AU$171)</f>
        <v>6.71062683959136</v>
      </c>
    </row>
    <row r="175" customFormat="false" ht="15" hidden="false" customHeight="false" outlineLevel="0" collapsed="false">
      <c r="D175" s="0" t="s">
        <v>1030</v>
      </c>
      <c r="E175" s="0" t="s">
        <v>47</v>
      </c>
      <c r="F175" s="20" t="n">
        <f aca="false">SUMPRODUCT(Inputs!$F$305/100*Funding!$J$51:$AU$51*(Inputs!$F$306-Inputs!$F$328)/100*Funding!$J$173:$AU$173,Funding!$J$171:$AU$171)</f>
        <v>0.415132756049723</v>
      </c>
    </row>
    <row r="176" customFormat="false" ht="15" hidden="false" customHeight="false" outlineLevel="0" collapsed="false">
      <c r="D176" s="0" t="s">
        <v>368</v>
      </c>
      <c r="E176" s="0" t="s">
        <v>47</v>
      </c>
      <c r="F176" s="20" t="n">
        <f aca="false">Inputs!$F$327/100*Funding!$F$83</f>
        <v>3.90761579602493</v>
      </c>
    </row>
    <row r="177" customFormat="false" ht="15" hidden="false" customHeight="false" outlineLevel="0" collapsed="false">
      <c r="D177" s="0" t="s">
        <v>1031</v>
      </c>
      <c r="E177" s="0" t="s">
        <v>47</v>
      </c>
      <c r="F177" s="20" t="n">
        <f aca="false">SUMIF(Time!$J$4:$AU$4,Inputs!$F$314,Funding!$J$25:$AU$25)</f>
        <v>251.557131207374</v>
      </c>
    </row>
    <row r="178" customFormat="false" ht="15" hidden="false" customHeight="false" outlineLevel="0" collapsed="false">
      <c r="D178" s="0" t="s">
        <v>1032</v>
      </c>
      <c r="E178" s="0" t="s">
        <v>47</v>
      </c>
      <c r="F178" s="20" t="n">
        <f aca="false">SUMIF(Time!$J$4:$AU$4,Inputs!$F$314,Funding!$J$53:$AU$53)</f>
        <v>25.6339817363271</v>
      </c>
    </row>
    <row r="179" customFormat="false" ht="15" hidden="false" customHeight="false" outlineLevel="0" collapsed="false">
      <c r="D179" s="0" t="s">
        <v>1033</v>
      </c>
      <c r="E179" s="0" t="s">
        <v>47</v>
      </c>
      <c r="F179" s="20" t="n">
        <f aca="false">Funding!$F$83-Funding!$F$176-Funding!$F$177-Funding!$F$178+Funding!$F$174-Funding!$F$175</f>
        <v>80.4345649824461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1034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1035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1036</v>
      </c>
      <c r="E8" s="0" t="s">
        <v>20</v>
      </c>
      <c r="J8" s="12" t="n">
        <f aca="false">(Inputs!$F$10=1)*(Time!J$4&gt;Inputs!$F$314)</f>
        <v>0</v>
      </c>
      <c r="K8" s="12" t="n">
        <f aca="false">(Inputs!$F$10=1)*(Time!K$4&gt;Inputs!$F$314)</f>
        <v>0</v>
      </c>
      <c r="L8" s="12" t="n">
        <f aca="false">(Inputs!$F$10=1)*(Time!L$4&gt;Inputs!$F$314)</f>
        <v>0</v>
      </c>
      <c r="M8" s="12" t="n">
        <f aca="false">(Inputs!$F$10=1)*(Time!M$4&gt;Inputs!$F$314)</f>
        <v>0</v>
      </c>
      <c r="N8" s="12" t="n">
        <f aca="false">(Inputs!$F$10=1)*(Time!N$4&gt;Inputs!$F$314)</f>
        <v>1</v>
      </c>
      <c r="O8" s="12" t="n">
        <f aca="false">(Inputs!$F$10=1)*(Time!O$4&gt;Inputs!$F$314)</f>
        <v>1</v>
      </c>
      <c r="P8" s="12" t="n">
        <f aca="false">(Inputs!$F$10=1)*(Time!P$4&gt;Inputs!$F$314)</f>
        <v>1</v>
      </c>
      <c r="Q8" s="12" t="n">
        <f aca="false">(Inputs!$F$10=1)*(Time!Q$4&gt;Inputs!$F$314)</f>
        <v>1</v>
      </c>
      <c r="R8" s="12" t="n">
        <f aca="false">(Inputs!$F$10=1)*(Time!R$4&gt;Inputs!$F$314)</f>
        <v>1</v>
      </c>
      <c r="S8" s="12" t="n">
        <f aca="false">(Inputs!$F$10=1)*(Time!S$4&gt;Inputs!$F$314)</f>
        <v>1</v>
      </c>
      <c r="T8" s="12" t="n">
        <f aca="false">(Inputs!$F$10=1)*(Time!T$4&gt;Inputs!$F$314)</f>
        <v>1</v>
      </c>
      <c r="U8" s="12" t="n">
        <f aca="false">(Inputs!$F$10=1)*(Time!U$4&gt;Inputs!$F$314)</f>
        <v>1</v>
      </c>
      <c r="V8" s="12" t="n">
        <f aca="false">(Inputs!$F$10=1)*(Time!V$4&gt;Inputs!$F$314)</f>
        <v>1</v>
      </c>
      <c r="W8" s="12" t="n">
        <f aca="false">(Inputs!$F$10=1)*(Time!W$4&gt;Inputs!$F$314)</f>
        <v>1</v>
      </c>
      <c r="X8" s="12" t="n">
        <f aca="false">(Inputs!$F$10=1)*(Time!X$4&gt;Inputs!$F$314)</f>
        <v>1</v>
      </c>
      <c r="Y8" s="12" t="n">
        <f aca="false">(Inputs!$F$10=1)*(Time!Y$4&gt;Inputs!$F$314)</f>
        <v>1</v>
      </c>
      <c r="Z8" s="12" t="n">
        <f aca="false">(Inputs!$F$10=1)*(Time!Z$4&gt;Inputs!$F$314)</f>
        <v>1</v>
      </c>
      <c r="AA8" s="12" t="n">
        <f aca="false">(Inputs!$F$10=1)*(Time!AA$4&gt;Inputs!$F$314)</f>
        <v>1</v>
      </c>
      <c r="AB8" s="12" t="n">
        <f aca="false">(Inputs!$F$10=1)*(Time!AB$4&gt;Inputs!$F$314)</f>
        <v>1</v>
      </c>
      <c r="AC8" s="12" t="n">
        <f aca="false">(Inputs!$F$10=1)*(Time!AC$4&gt;Inputs!$F$314)</f>
        <v>1</v>
      </c>
      <c r="AD8" s="12" t="n">
        <f aca="false">(Inputs!$F$10=1)*(Time!AD$4&gt;Inputs!$F$314)</f>
        <v>1</v>
      </c>
      <c r="AE8" s="12" t="n">
        <f aca="false">(Inputs!$F$10=1)*(Time!AE$4&gt;Inputs!$F$314)</f>
        <v>1</v>
      </c>
      <c r="AF8" s="12" t="n">
        <f aca="false">(Inputs!$F$10=1)*(Time!AF$4&gt;Inputs!$F$314)</f>
        <v>1</v>
      </c>
      <c r="AG8" s="12" t="n">
        <f aca="false">(Inputs!$F$10=1)*(Time!AG$4&gt;Inputs!$F$314)</f>
        <v>1</v>
      </c>
      <c r="AH8" s="12" t="n">
        <f aca="false">(Inputs!$F$10=1)*(Time!AH$4&gt;Inputs!$F$314)</f>
        <v>1</v>
      </c>
      <c r="AI8" s="12" t="n">
        <f aca="false">(Inputs!$F$10=1)*(Time!AI$4&gt;Inputs!$F$314)</f>
        <v>1</v>
      </c>
      <c r="AJ8" s="12" t="n">
        <f aca="false">(Inputs!$F$10=1)*(Time!AJ$4&gt;Inputs!$F$314)</f>
        <v>1</v>
      </c>
      <c r="AK8" s="12" t="n">
        <f aca="false">(Inputs!$F$10=1)*(Time!AK$4&gt;Inputs!$F$314)</f>
        <v>1</v>
      </c>
      <c r="AL8" s="12" t="n">
        <f aca="false">(Inputs!$F$10=1)*(Time!AL$4&gt;Inputs!$F$314)</f>
        <v>1</v>
      </c>
      <c r="AM8" s="12" t="n">
        <f aca="false">(Inputs!$F$10=1)*(Time!AM$4&gt;Inputs!$F$314)</f>
        <v>1</v>
      </c>
      <c r="AN8" s="12" t="n">
        <f aca="false">(Inputs!$F$10=1)*(Time!AN$4&gt;Inputs!$F$314)</f>
        <v>1</v>
      </c>
      <c r="AO8" s="12" t="n">
        <f aca="false">(Inputs!$F$10=1)*(Time!AO$4&gt;Inputs!$F$314)</f>
        <v>1</v>
      </c>
      <c r="AP8" s="12" t="n">
        <f aca="false">(Inputs!$F$10=1)*(Time!AP$4&gt;Inputs!$F$314)</f>
        <v>1</v>
      </c>
      <c r="AQ8" s="12" t="n">
        <f aca="false">(Inputs!$F$10=1)*(Time!AQ$4&gt;Inputs!$F$314)</f>
        <v>1</v>
      </c>
      <c r="AR8" s="12" t="n">
        <f aca="false">(Inputs!$F$10=1)*(Time!AR$4&gt;Inputs!$F$314)</f>
        <v>1</v>
      </c>
      <c r="AS8" s="12" t="n">
        <f aca="false">(Inputs!$F$10=1)*(Time!AS$4&gt;Inputs!$F$314)</f>
        <v>1</v>
      </c>
      <c r="AT8" s="12" t="n">
        <f aca="false">(Inputs!$F$10=1)*(Time!AT$4&gt;Inputs!$F$314)</f>
        <v>1</v>
      </c>
      <c r="AU8" s="12" t="n">
        <f aca="false">(Inputs!$F$10=1)*(Time!AU$4&gt;Inputs!$F$314)</f>
        <v>1</v>
      </c>
    </row>
    <row r="9" customFormat="false" ht="15" hidden="false" customHeight="false" outlineLevel="0" collapsed="false">
      <c r="D9" s="0" t="s">
        <v>1037</v>
      </c>
      <c r="E9" s="0" t="s">
        <v>20</v>
      </c>
      <c r="J9" s="12" t="n">
        <f aca="false">(Inputs!$F$10=1)*(Time!J$4=Inputs!$F$314)</f>
        <v>0</v>
      </c>
      <c r="K9" s="12" t="n">
        <f aca="false">(Inputs!$F$10=1)*(Time!K$4=Inputs!$F$314)</f>
        <v>0</v>
      </c>
      <c r="L9" s="12" t="n">
        <f aca="false">(Inputs!$F$10=1)*(Time!L$4=Inputs!$F$314)</f>
        <v>0</v>
      </c>
      <c r="M9" s="12" t="n">
        <f aca="false">(Inputs!$F$10=1)*(Time!M$4=Inputs!$F$314)</f>
        <v>1</v>
      </c>
      <c r="N9" s="12" t="n">
        <f aca="false">(Inputs!$F$10=1)*(Time!N$4=Inputs!$F$314)</f>
        <v>0</v>
      </c>
      <c r="O9" s="12" t="n">
        <f aca="false">(Inputs!$F$10=1)*(Time!O$4=Inputs!$F$314)</f>
        <v>0</v>
      </c>
      <c r="P9" s="12" t="n">
        <f aca="false">(Inputs!$F$10=1)*(Time!P$4=Inputs!$F$314)</f>
        <v>0</v>
      </c>
      <c r="Q9" s="12" t="n">
        <f aca="false">(Inputs!$F$10=1)*(Time!Q$4=Inputs!$F$314)</f>
        <v>0</v>
      </c>
      <c r="R9" s="12" t="n">
        <f aca="false">(Inputs!$F$10=1)*(Time!R$4=Inputs!$F$314)</f>
        <v>0</v>
      </c>
      <c r="S9" s="12" t="n">
        <f aca="false">(Inputs!$F$10=1)*(Time!S$4=Inputs!$F$314)</f>
        <v>0</v>
      </c>
      <c r="T9" s="12" t="n">
        <f aca="false">(Inputs!$F$10=1)*(Time!T$4=Inputs!$F$314)</f>
        <v>0</v>
      </c>
      <c r="U9" s="12" t="n">
        <f aca="false">(Inputs!$F$10=1)*(Time!U$4=Inputs!$F$314)</f>
        <v>0</v>
      </c>
      <c r="V9" s="12" t="n">
        <f aca="false">(Inputs!$F$10=1)*(Time!V$4=Inputs!$F$314)</f>
        <v>0</v>
      </c>
      <c r="W9" s="12" t="n">
        <f aca="false">(Inputs!$F$10=1)*(Time!W$4=Inputs!$F$314)</f>
        <v>0</v>
      </c>
      <c r="X9" s="12" t="n">
        <f aca="false">(Inputs!$F$10=1)*(Time!X$4=Inputs!$F$314)</f>
        <v>0</v>
      </c>
      <c r="Y9" s="12" t="n">
        <f aca="false">(Inputs!$F$10=1)*(Time!Y$4=Inputs!$F$314)</f>
        <v>0</v>
      </c>
      <c r="Z9" s="12" t="n">
        <f aca="false">(Inputs!$F$10=1)*(Time!Z$4=Inputs!$F$314)</f>
        <v>0</v>
      </c>
      <c r="AA9" s="12" t="n">
        <f aca="false">(Inputs!$F$10=1)*(Time!AA$4=Inputs!$F$314)</f>
        <v>0</v>
      </c>
      <c r="AB9" s="12" t="n">
        <f aca="false">(Inputs!$F$10=1)*(Time!AB$4=Inputs!$F$314)</f>
        <v>0</v>
      </c>
      <c r="AC9" s="12" t="n">
        <f aca="false">(Inputs!$F$10=1)*(Time!AC$4=Inputs!$F$314)</f>
        <v>0</v>
      </c>
      <c r="AD9" s="12" t="n">
        <f aca="false">(Inputs!$F$10=1)*(Time!AD$4=Inputs!$F$314)</f>
        <v>0</v>
      </c>
      <c r="AE9" s="12" t="n">
        <f aca="false">(Inputs!$F$10=1)*(Time!AE$4=Inputs!$F$314)</f>
        <v>0</v>
      </c>
      <c r="AF9" s="12" t="n">
        <f aca="false">(Inputs!$F$10=1)*(Time!AF$4=Inputs!$F$314)</f>
        <v>0</v>
      </c>
      <c r="AG9" s="12" t="n">
        <f aca="false">(Inputs!$F$10=1)*(Time!AG$4=Inputs!$F$314)</f>
        <v>0</v>
      </c>
      <c r="AH9" s="12" t="n">
        <f aca="false">(Inputs!$F$10=1)*(Time!AH$4=Inputs!$F$314)</f>
        <v>0</v>
      </c>
      <c r="AI9" s="12" t="n">
        <f aca="false">(Inputs!$F$10=1)*(Time!AI$4=Inputs!$F$314)</f>
        <v>0</v>
      </c>
      <c r="AJ9" s="12" t="n">
        <f aca="false">(Inputs!$F$10=1)*(Time!AJ$4=Inputs!$F$314)</f>
        <v>0</v>
      </c>
      <c r="AK9" s="12" t="n">
        <f aca="false">(Inputs!$F$10=1)*(Time!AK$4=Inputs!$F$314)</f>
        <v>0</v>
      </c>
      <c r="AL9" s="12" t="n">
        <f aca="false">(Inputs!$F$10=1)*(Time!AL$4=Inputs!$F$314)</f>
        <v>0</v>
      </c>
      <c r="AM9" s="12" t="n">
        <f aca="false">(Inputs!$F$10=1)*(Time!AM$4=Inputs!$F$314)</f>
        <v>0</v>
      </c>
      <c r="AN9" s="12" t="n">
        <f aca="false">(Inputs!$F$10=1)*(Time!AN$4=Inputs!$F$314)</f>
        <v>0</v>
      </c>
      <c r="AO9" s="12" t="n">
        <f aca="false">(Inputs!$F$10=1)*(Time!AO$4=Inputs!$F$314)</f>
        <v>0</v>
      </c>
      <c r="AP9" s="12" t="n">
        <f aca="false">(Inputs!$F$10=1)*(Time!AP$4=Inputs!$F$314)</f>
        <v>0</v>
      </c>
      <c r="AQ9" s="12" t="n">
        <f aca="false">(Inputs!$F$10=1)*(Time!AQ$4=Inputs!$F$314)</f>
        <v>0</v>
      </c>
      <c r="AR9" s="12" t="n">
        <f aca="false">(Inputs!$F$10=1)*(Time!AR$4=Inputs!$F$314)</f>
        <v>0</v>
      </c>
      <c r="AS9" s="12" t="n">
        <f aca="false">(Inputs!$F$10=1)*(Time!AS$4=Inputs!$F$314)</f>
        <v>0</v>
      </c>
      <c r="AT9" s="12" t="n">
        <f aca="false">(Inputs!$F$10=1)*(Time!AT$4=Inputs!$F$314)</f>
        <v>0</v>
      </c>
      <c r="AU9" s="12" t="n">
        <f aca="false">(Inputs!$F$10=1)*(Time!AU$4=Inputs!$F$314)</f>
        <v>0</v>
      </c>
    </row>
    <row r="10" customFormat="false" ht="15" hidden="false" customHeight="false" outlineLevel="0" collapsed="false">
      <c r="D10" s="0" t="s">
        <v>1038</v>
      </c>
      <c r="E10" s="0" t="s">
        <v>84</v>
      </c>
      <c r="J10" s="15" t="n">
        <f aca="false">Inputs!J80+Inputs!$F$15</f>
        <v>2.04</v>
      </c>
      <c r="K10" s="15" t="n">
        <f aca="false">Inputs!K80+Inputs!$F$15</f>
        <v>5.17</v>
      </c>
      <c r="L10" s="15" t="n">
        <f aca="false">Inputs!L80+Inputs!$F$15</f>
        <v>5.16</v>
      </c>
      <c r="M10" s="15" t="n">
        <f aca="false">Inputs!M80+Inputs!$F$15</f>
        <v>4.27</v>
      </c>
      <c r="N10" s="15" t="n">
        <f aca="false">Inputs!N80+Inputs!$F$15</f>
        <v>3.66</v>
      </c>
      <c r="O10" s="15" t="n">
        <f aca="false">Inputs!O80+Inputs!$F$15</f>
        <v>3.45</v>
      </c>
      <c r="P10" s="15" t="n">
        <f aca="false">Inputs!P80+Inputs!$F$15</f>
        <v>3.5</v>
      </c>
      <c r="Q10" s="15" t="n">
        <f aca="false">Inputs!Q80+Inputs!$F$15</f>
        <v>3.5</v>
      </c>
      <c r="R10" s="15" t="n">
        <f aca="false">Inputs!R80+Inputs!$F$15</f>
        <v>3.5</v>
      </c>
      <c r="S10" s="15" t="n">
        <f aca="false">Inputs!S80+Inputs!$F$15</f>
        <v>3.5</v>
      </c>
      <c r="T10" s="15" t="n">
        <f aca="false">Inputs!T80+Inputs!$F$15</f>
        <v>3.5</v>
      </c>
      <c r="U10" s="15" t="n">
        <f aca="false">Inputs!U80+Inputs!$F$15</f>
        <v>3.5</v>
      </c>
      <c r="V10" s="15" t="n">
        <f aca="false">Inputs!V80+Inputs!$F$15</f>
        <v>3.5</v>
      </c>
      <c r="W10" s="15" t="n">
        <f aca="false">Inputs!W80+Inputs!$F$15</f>
        <v>3.5</v>
      </c>
      <c r="X10" s="15" t="n">
        <f aca="false">Inputs!X80+Inputs!$F$15</f>
        <v>3.5</v>
      </c>
      <c r="Y10" s="15" t="n">
        <f aca="false">Inputs!Y80+Inputs!$F$15</f>
        <v>3.5</v>
      </c>
      <c r="Z10" s="15" t="n">
        <f aca="false">Inputs!Z80+Inputs!$F$15</f>
        <v>3.5</v>
      </c>
      <c r="AA10" s="15" t="n">
        <f aca="false">Inputs!AA80+Inputs!$F$15</f>
        <v>3.5</v>
      </c>
      <c r="AB10" s="15" t="n">
        <f aca="false">Inputs!AB80+Inputs!$F$15</f>
        <v>3.5</v>
      </c>
      <c r="AC10" s="15" t="n">
        <f aca="false">Inputs!AC80+Inputs!$F$15</f>
        <v>3.5</v>
      </c>
      <c r="AD10" s="15" t="n">
        <f aca="false">Inputs!AD80+Inputs!$F$15</f>
        <v>3.5</v>
      </c>
      <c r="AE10" s="15" t="n">
        <f aca="false">Inputs!AE80+Inputs!$F$15</f>
        <v>3.5</v>
      </c>
      <c r="AF10" s="15" t="n">
        <f aca="false">Inputs!AF80+Inputs!$F$15</f>
        <v>3.5</v>
      </c>
      <c r="AG10" s="15" t="n">
        <f aca="false">Inputs!AG80+Inputs!$F$15</f>
        <v>3.5</v>
      </c>
      <c r="AH10" s="15" t="n">
        <f aca="false">Inputs!AH80+Inputs!$F$15</f>
        <v>3.5</v>
      </c>
      <c r="AI10" s="15" t="n">
        <f aca="false">Inputs!AI80+Inputs!$F$15</f>
        <v>3.5</v>
      </c>
      <c r="AJ10" s="15" t="n">
        <f aca="false">Inputs!AJ80+Inputs!$F$15</f>
        <v>3.5</v>
      </c>
      <c r="AK10" s="15" t="n">
        <f aca="false">Inputs!AK80+Inputs!$F$15</f>
        <v>3.5</v>
      </c>
      <c r="AL10" s="15" t="n">
        <f aca="false">Inputs!AL80+Inputs!$F$15</f>
        <v>3.5</v>
      </c>
      <c r="AM10" s="15" t="n">
        <f aca="false">Inputs!AM80+Inputs!$F$15</f>
        <v>3.5</v>
      </c>
      <c r="AN10" s="15" t="n">
        <f aca="false">Inputs!AN80+Inputs!$F$15</f>
        <v>3.5</v>
      </c>
      <c r="AO10" s="15" t="n">
        <f aca="false">Inputs!AO80+Inputs!$F$15</f>
        <v>3.5</v>
      </c>
      <c r="AP10" s="15" t="n">
        <f aca="false">Inputs!AP80+Inputs!$F$15</f>
        <v>3.5</v>
      </c>
      <c r="AQ10" s="15" t="n">
        <f aca="false">Inputs!AQ80+Inputs!$F$15</f>
        <v>3.5</v>
      </c>
      <c r="AR10" s="15" t="n">
        <f aca="false">Inputs!AR80+Inputs!$F$15</f>
        <v>3.5</v>
      </c>
      <c r="AS10" s="15" t="n">
        <f aca="false">Inputs!AS80+Inputs!$F$15</f>
        <v>3.5</v>
      </c>
      <c r="AT10" s="15" t="n">
        <f aca="false">Inputs!AT80+Inputs!$F$15</f>
        <v>3.5</v>
      </c>
      <c r="AU10" s="15" t="n">
        <f aca="false">Inputs!AU80+Inputs!$F$15</f>
        <v>3.5</v>
      </c>
    </row>
    <row r="12" customFormat="false" ht="15" hidden="false" customHeight="false" outlineLevel="0" collapsed="false">
      <c r="A12" s="4" t="s">
        <v>1039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</row>
    <row r="13" customFormat="false" ht="15" hidden="false" customHeight="false" outlineLevel="0" collapsed="false">
      <c r="D13" s="0" t="s">
        <v>1040</v>
      </c>
      <c r="E13" s="0" t="s">
        <v>84</v>
      </c>
      <c r="J13" s="15" t="n">
        <f aca="false">Funding!J11*Inputs!$F$287+(1-Funding!J11)*Debt!J10+Funding!J10</f>
        <v>3.9795</v>
      </c>
      <c r="K13" s="15" t="n">
        <f aca="false">Funding!K11*Inputs!$F$287+(1-Funding!K11)*Debt!K10+Funding!K10</f>
        <v>4.449</v>
      </c>
      <c r="L13" s="15" t="n">
        <f aca="false">Funding!L11*Inputs!$F$287+(1-Funding!L11)*Debt!L10+Funding!L10</f>
        <v>4.4475</v>
      </c>
      <c r="M13" s="15" t="n">
        <f aca="false">Funding!M11*Inputs!$F$287+(1-Funding!M11)*Debt!M10+Funding!M10</f>
        <v>4.314</v>
      </c>
      <c r="N13" s="15" t="n">
        <f aca="false">Funding!N11*Inputs!$F$287+(1-Funding!N11)*Debt!N10+Funding!N10</f>
        <v>4.41702054794521</v>
      </c>
      <c r="O13" s="15" t="n">
        <f aca="false">Funding!O11*Inputs!$F$287+(1-Funding!O11)*Debt!O10+Funding!O10</f>
        <v>4.441</v>
      </c>
      <c r="P13" s="15" t="n">
        <f aca="false">Funding!P11*Inputs!$F$287+(1-Funding!P11)*Debt!P10+Funding!P10</f>
        <v>4.4485</v>
      </c>
      <c r="Q13" s="15" t="n">
        <f aca="false">Funding!Q11*Inputs!$F$287+(1-Funding!Q11)*Debt!Q10+Funding!Q10</f>
        <v>5.16939315068493</v>
      </c>
      <c r="R13" s="15" t="n">
        <f aca="false">Funding!R11*Inputs!$F$287+(1-Funding!R11)*Debt!R10+Funding!R10</f>
        <v>5.375</v>
      </c>
      <c r="S13" s="15" t="n">
        <f aca="false">Funding!S11*Inputs!$F$287+(1-Funding!S11)*Debt!S10+Funding!S10</f>
        <v>5.375</v>
      </c>
      <c r="T13" s="15" t="n">
        <f aca="false">Funding!T11*Inputs!$F$287+(1-Funding!T11)*Debt!T10+Funding!T10</f>
        <v>5.375</v>
      </c>
      <c r="U13" s="15" t="n">
        <f aca="false">Funding!U11*Inputs!$F$287+(1-Funding!U11)*Debt!U10+Funding!U10</f>
        <v>5.375</v>
      </c>
      <c r="V13" s="15" t="n">
        <f aca="false">Funding!V11*Inputs!$F$287+(1-Funding!V11)*Debt!V10+Funding!V10</f>
        <v>5.375</v>
      </c>
      <c r="W13" s="15" t="n">
        <f aca="false">Funding!W11*Inputs!$F$287+(1-Funding!W11)*Debt!W10+Funding!W10</f>
        <v>5.375</v>
      </c>
      <c r="X13" s="15" t="n">
        <f aca="false">Funding!X11*Inputs!$F$287+(1-Funding!X11)*Debt!X10+Funding!X10</f>
        <v>5.375</v>
      </c>
      <c r="Y13" s="15" t="n">
        <f aca="false">Funding!Y11*Inputs!$F$287+(1-Funding!Y11)*Debt!Y10+Funding!Y10</f>
        <v>5.375</v>
      </c>
      <c r="Z13" s="15" t="n">
        <f aca="false">Funding!Z11*Inputs!$F$287+(1-Funding!Z11)*Debt!Z10+Funding!Z10</f>
        <v>5.375</v>
      </c>
      <c r="AA13" s="15" t="n">
        <f aca="false">Funding!AA11*Inputs!$F$287+(1-Funding!AA11)*Debt!AA10+Funding!AA10</f>
        <v>5.375</v>
      </c>
      <c r="AB13" s="15" t="n">
        <f aca="false">Funding!AB11*Inputs!$F$287+(1-Funding!AB11)*Debt!AB10+Funding!AB10</f>
        <v>5.375</v>
      </c>
      <c r="AC13" s="15" t="n">
        <f aca="false">Funding!AC11*Inputs!$F$287+(1-Funding!AC11)*Debt!AC10+Funding!AC10</f>
        <v>5.375</v>
      </c>
      <c r="AD13" s="15" t="n">
        <f aca="false">Funding!AD11*Inputs!$F$287+(1-Funding!AD11)*Debt!AD10+Funding!AD10</f>
        <v>5.375</v>
      </c>
      <c r="AE13" s="15" t="n">
        <f aca="false">Funding!AE11*Inputs!$F$287+(1-Funding!AE11)*Debt!AE10+Funding!AE10</f>
        <v>5.375</v>
      </c>
      <c r="AF13" s="15" t="n">
        <f aca="false">Funding!AF11*Inputs!$F$287+(1-Funding!AF11)*Debt!AF10+Funding!AF10</f>
        <v>5.375</v>
      </c>
      <c r="AG13" s="15" t="n">
        <f aca="false">Funding!AG11*Inputs!$F$287+(1-Funding!AG11)*Debt!AG10+Funding!AG10</f>
        <v>5.375</v>
      </c>
      <c r="AH13" s="15" t="n">
        <f aca="false">Funding!AH11*Inputs!$F$287+(1-Funding!AH11)*Debt!AH10+Funding!AH10</f>
        <v>5.375</v>
      </c>
      <c r="AI13" s="15" t="n">
        <f aca="false">Funding!AI11*Inputs!$F$287+(1-Funding!AI11)*Debt!AI10+Funding!AI10</f>
        <v>5.375</v>
      </c>
      <c r="AJ13" s="15" t="n">
        <f aca="false">Funding!AJ11*Inputs!$F$287+(1-Funding!AJ11)*Debt!AJ10+Funding!AJ10</f>
        <v>5.375</v>
      </c>
      <c r="AK13" s="15" t="n">
        <f aca="false">Funding!AK11*Inputs!$F$287+(1-Funding!AK11)*Debt!AK10+Funding!AK10</f>
        <v>5.375</v>
      </c>
      <c r="AL13" s="15" t="n">
        <f aca="false">Funding!AL11*Inputs!$F$287+(1-Funding!AL11)*Debt!AL10+Funding!AL10</f>
        <v>5.375</v>
      </c>
      <c r="AM13" s="15" t="n">
        <f aca="false">Funding!AM11*Inputs!$F$287+(1-Funding!AM11)*Debt!AM10+Funding!AM10</f>
        <v>5.375</v>
      </c>
      <c r="AN13" s="15" t="n">
        <f aca="false">Funding!AN11*Inputs!$F$287+(1-Funding!AN11)*Debt!AN10+Funding!AN10</f>
        <v>5.375</v>
      </c>
      <c r="AO13" s="15" t="n">
        <f aca="false">Funding!AO11*Inputs!$F$287+(1-Funding!AO11)*Debt!AO10+Funding!AO10</f>
        <v>5.375</v>
      </c>
      <c r="AP13" s="15" t="n">
        <f aca="false">Funding!AP11*Inputs!$F$287+(1-Funding!AP11)*Debt!AP10+Funding!AP10</f>
        <v>5.375</v>
      </c>
      <c r="AQ13" s="15" t="n">
        <f aca="false">Funding!AQ11*Inputs!$F$287+(1-Funding!AQ11)*Debt!AQ10+Funding!AQ10</f>
        <v>5.375</v>
      </c>
      <c r="AR13" s="15" t="n">
        <f aca="false">Funding!AR11*Inputs!$F$287+(1-Funding!AR11)*Debt!AR10+Funding!AR10</f>
        <v>5.375</v>
      </c>
      <c r="AS13" s="15" t="n">
        <f aca="false">Funding!AS11*Inputs!$F$287+(1-Funding!AS11)*Debt!AS10+Funding!AS10</f>
        <v>5.375</v>
      </c>
      <c r="AT13" s="15" t="n">
        <f aca="false">Funding!AT11*Inputs!$F$287+(1-Funding!AT11)*Debt!AT10+Funding!AT10</f>
        <v>5.375</v>
      </c>
      <c r="AU13" s="15" t="n">
        <f aca="false">Funding!AU11*Inputs!$F$287+(1-Funding!AU11)*Debt!AU10+Funding!AU10</f>
        <v>5.375</v>
      </c>
    </row>
    <row r="14" customFormat="false" ht="15" hidden="false" customHeight="false" outlineLevel="0" collapsed="false">
      <c r="D14" s="0" t="s">
        <v>1041</v>
      </c>
      <c r="E14" s="0" t="s">
        <v>47</v>
      </c>
      <c r="J14" s="20" t="n">
        <f aca="false">IF(Time!J$4=YEAR(Inputs!$F$276),Funding!$F$17,I19)</f>
        <v>328.065195802752</v>
      </c>
      <c r="K14" s="20" t="n">
        <f aca="false">IF(Time!K$4=YEAR(Inputs!$F$276),Funding!$F$17,J19)</f>
        <v>308.247331572021</v>
      </c>
      <c r="L14" s="20" t="n">
        <f aca="false">IF(Time!L$4=YEAR(Inputs!$F$276),Funding!$F$17,K19)</f>
        <v>288.312629071127</v>
      </c>
      <c r="M14" s="20" t="n">
        <f aca="false">IF(Time!M$4=YEAR(Inputs!$F$276),Funding!$F$17,L19)</f>
        <v>270.334487136456</v>
      </c>
      <c r="N14" s="20" t="n">
        <f aca="false">IF(Time!N$4=YEAR(Inputs!$F$276),Funding!$F$17,M19)</f>
        <v>0</v>
      </c>
      <c r="O14" s="20" t="n">
        <f aca="false">IF(Time!O$4=YEAR(Inputs!$F$276),Funding!$F$17,N19)</f>
        <v>0</v>
      </c>
      <c r="P14" s="20" t="n">
        <f aca="false">IF(Time!P$4=YEAR(Inputs!$F$276),Funding!$F$17,O19)</f>
        <v>0</v>
      </c>
      <c r="Q14" s="20" t="n">
        <f aca="false">IF(Time!Q$4=YEAR(Inputs!$F$276),Funding!$F$17,P19)</f>
        <v>0</v>
      </c>
      <c r="R14" s="20" t="n">
        <f aca="false">IF(Time!R$4=YEAR(Inputs!$F$276),Funding!$F$17,Q19)</f>
        <v>0</v>
      </c>
      <c r="S14" s="20" t="n">
        <f aca="false">IF(Time!S$4=YEAR(Inputs!$F$276),Funding!$F$17,R19)</f>
        <v>0</v>
      </c>
      <c r="T14" s="20" t="n">
        <f aca="false">IF(Time!T$4=YEAR(Inputs!$F$276),Funding!$F$17,S19)</f>
        <v>0</v>
      </c>
      <c r="U14" s="20" t="n">
        <f aca="false">IF(Time!U$4=YEAR(Inputs!$F$276),Funding!$F$17,T19)</f>
        <v>0</v>
      </c>
      <c r="V14" s="20" t="n">
        <f aca="false">IF(Time!V$4=YEAR(Inputs!$F$276),Funding!$F$17,U19)</f>
        <v>0</v>
      </c>
      <c r="W14" s="20" t="n">
        <f aca="false">IF(Time!W$4=YEAR(Inputs!$F$276),Funding!$F$17,V19)</f>
        <v>0</v>
      </c>
      <c r="X14" s="20" t="n">
        <f aca="false">IF(Time!X$4=YEAR(Inputs!$F$276),Funding!$F$17,W19)</f>
        <v>0</v>
      </c>
      <c r="Y14" s="20" t="n">
        <f aca="false">IF(Time!Y$4=YEAR(Inputs!$F$276),Funding!$F$17,X19)</f>
        <v>0</v>
      </c>
      <c r="Z14" s="20" t="n">
        <f aca="false">IF(Time!Z$4=YEAR(Inputs!$F$276),Funding!$F$17,Y19)</f>
        <v>0</v>
      </c>
      <c r="AA14" s="20" t="n">
        <f aca="false">IF(Time!AA$4=YEAR(Inputs!$F$276),Funding!$F$17,Z19)</f>
        <v>0</v>
      </c>
      <c r="AB14" s="20" t="n">
        <f aca="false">IF(Time!AB$4=YEAR(Inputs!$F$276),Funding!$F$17,AA19)</f>
        <v>0</v>
      </c>
      <c r="AC14" s="20" t="n">
        <f aca="false">IF(Time!AC$4=YEAR(Inputs!$F$276),Funding!$F$17,AB19)</f>
        <v>0</v>
      </c>
      <c r="AD14" s="20" t="n">
        <f aca="false">IF(Time!AD$4=YEAR(Inputs!$F$276),Funding!$F$17,AC19)</f>
        <v>0</v>
      </c>
      <c r="AE14" s="20" t="n">
        <f aca="false">IF(Time!AE$4=YEAR(Inputs!$F$276),Funding!$F$17,AD19)</f>
        <v>0</v>
      </c>
      <c r="AF14" s="20" t="n">
        <f aca="false">IF(Time!AF$4=YEAR(Inputs!$F$276),Funding!$F$17,AE19)</f>
        <v>0</v>
      </c>
      <c r="AG14" s="20" t="n">
        <f aca="false">IF(Time!AG$4=YEAR(Inputs!$F$276),Funding!$F$17,AF19)</f>
        <v>0</v>
      </c>
      <c r="AH14" s="20" t="n">
        <f aca="false">IF(Time!AH$4=YEAR(Inputs!$F$276),Funding!$F$17,AG19)</f>
        <v>0</v>
      </c>
      <c r="AI14" s="20" t="n">
        <f aca="false">IF(Time!AI$4=YEAR(Inputs!$F$276),Funding!$F$17,AH19)</f>
        <v>0</v>
      </c>
      <c r="AJ14" s="20" t="n">
        <f aca="false">IF(Time!AJ$4=YEAR(Inputs!$F$276),Funding!$F$17,AI19)</f>
        <v>0</v>
      </c>
      <c r="AK14" s="20" t="n">
        <f aca="false">IF(Time!AK$4=YEAR(Inputs!$F$276),Funding!$F$17,AJ19)</f>
        <v>0</v>
      </c>
      <c r="AL14" s="20" t="n">
        <f aca="false">IF(Time!AL$4=YEAR(Inputs!$F$276),Funding!$F$17,AK19)</f>
        <v>0</v>
      </c>
      <c r="AM14" s="20" t="n">
        <f aca="false">IF(Time!AM$4=YEAR(Inputs!$F$276),Funding!$F$17,AL19)</f>
        <v>0</v>
      </c>
      <c r="AN14" s="20" t="n">
        <f aca="false">IF(Time!AN$4=YEAR(Inputs!$F$276),Funding!$F$17,AM19)</f>
        <v>0</v>
      </c>
      <c r="AO14" s="20" t="n">
        <f aca="false">IF(Time!AO$4=YEAR(Inputs!$F$276),Funding!$F$17,AN19)</f>
        <v>0</v>
      </c>
      <c r="AP14" s="20" t="n">
        <f aca="false">IF(Time!AP$4=YEAR(Inputs!$F$276),Funding!$F$17,AO19)</f>
        <v>0</v>
      </c>
      <c r="AQ14" s="20" t="n">
        <f aca="false">IF(Time!AQ$4=YEAR(Inputs!$F$276),Funding!$F$17,AP19)</f>
        <v>0</v>
      </c>
      <c r="AR14" s="20" t="n">
        <f aca="false">IF(Time!AR$4=YEAR(Inputs!$F$276),Funding!$F$17,AQ19)</f>
        <v>0</v>
      </c>
      <c r="AS14" s="20" t="n">
        <f aca="false">IF(Time!AS$4=YEAR(Inputs!$F$276),Funding!$F$17,AR19)</f>
        <v>0</v>
      </c>
      <c r="AT14" s="20" t="n">
        <f aca="false">IF(Time!AT$4=YEAR(Inputs!$F$276),Funding!$F$17,AS19)</f>
        <v>0</v>
      </c>
      <c r="AU14" s="20" t="n">
        <f aca="false">IF(Time!AU$4=YEAR(Inputs!$F$276),Funding!$F$17,AT19)</f>
        <v>0</v>
      </c>
    </row>
    <row r="15" customFormat="false" ht="15" hidden="false" customHeight="false" outlineLevel="0" collapsed="false">
      <c r="D15" s="0" t="s">
        <v>1042</v>
      </c>
      <c r="E15" s="0" t="s">
        <v>47</v>
      </c>
      <c r="G15" s="20" t="n">
        <f aca="false">SUM(J15:AU15)</f>
        <v>48.3569965527802</v>
      </c>
      <c r="J15" s="20" t="n">
        <f aca="false">Debt!J14*Debt!J13/100*Funding!J8</f>
        <v>10.158138818136</v>
      </c>
      <c r="K15" s="20" t="n">
        <f aca="false">Debt!K14*Debt!K13/100*Funding!K8</f>
        <v>13.7139237816392</v>
      </c>
      <c r="L15" s="20" t="n">
        <f aca="false">Debt!L14*Debt!L13/100*Funding!L8</f>
        <v>12.8227041779384</v>
      </c>
      <c r="M15" s="20" t="n">
        <f aca="false">Debt!M14*Debt!M13/100*Funding!M8</f>
        <v>11.6622297750667</v>
      </c>
      <c r="N15" s="20" t="n">
        <f aca="false">Debt!N14*Debt!N13/100*Funding!N8</f>
        <v>0</v>
      </c>
      <c r="O15" s="20" t="n">
        <f aca="false">Debt!O14*Debt!O13/100*Funding!O8</f>
        <v>0</v>
      </c>
      <c r="P15" s="20" t="n">
        <f aca="false">Debt!P14*Debt!P13/100*Funding!P8</f>
        <v>0</v>
      </c>
      <c r="Q15" s="20" t="n">
        <f aca="false">Debt!Q14*Debt!Q13/100*Funding!Q8</f>
        <v>0</v>
      </c>
      <c r="R15" s="20" t="n">
        <f aca="false">Debt!R14*Debt!R13/100*Funding!R8</f>
        <v>0</v>
      </c>
      <c r="S15" s="20" t="n">
        <f aca="false">Debt!S14*Debt!S13/100*Funding!S8</f>
        <v>0</v>
      </c>
      <c r="T15" s="20" t="n">
        <f aca="false">Debt!T14*Debt!T13/100*Funding!T8</f>
        <v>0</v>
      </c>
      <c r="U15" s="20" t="n">
        <f aca="false">Debt!U14*Debt!U13/100*Funding!U8</f>
        <v>0</v>
      </c>
      <c r="V15" s="20" t="n">
        <f aca="false">Debt!V14*Debt!V13/100*Funding!V8</f>
        <v>0</v>
      </c>
      <c r="W15" s="20" t="n">
        <f aca="false">Debt!W14*Debt!W13/100*Funding!W8</f>
        <v>0</v>
      </c>
      <c r="X15" s="20" t="n">
        <f aca="false">Debt!X14*Debt!X13/100*Funding!X8</f>
        <v>0</v>
      </c>
      <c r="Y15" s="20" t="n">
        <f aca="false">Debt!Y14*Debt!Y13/100*Funding!Y8</f>
        <v>0</v>
      </c>
      <c r="Z15" s="20" t="n">
        <f aca="false">Debt!Z14*Debt!Z13/100*Funding!Z8</f>
        <v>0</v>
      </c>
      <c r="AA15" s="20" t="n">
        <f aca="false">Debt!AA14*Debt!AA13/100*Funding!AA8</f>
        <v>0</v>
      </c>
      <c r="AB15" s="20" t="n">
        <f aca="false">Debt!AB14*Debt!AB13/100*Funding!AB8</f>
        <v>0</v>
      </c>
      <c r="AC15" s="20" t="n">
        <f aca="false">Debt!AC14*Debt!AC13/100*Funding!AC8</f>
        <v>0</v>
      </c>
      <c r="AD15" s="20" t="n">
        <f aca="false">Debt!AD14*Debt!AD13/100*Funding!AD8</f>
        <v>0</v>
      </c>
      <c r="AE15" s="20" t="n">
        <f aca="false">Debt!AE14*Debt!AE13/100*Funding!AE8</f>
        <v>0</v>
      </c>
      <c r="AF15" s="20" t="n">
        <f aca="false">Debt!AF14*Debt!AF13/100*Funding!AF8</f>
        <v>0</v>
      </c>
      <c r="AG15" s="20" t="n">
        <f aca="false">Debt!AG14*Debt!AG13/100*Funding!AG8</f>
        <v>0</v>
      </c>
      <c r="AH15" s="20" t="n">
        <f aca="false">Debt!AH14*Debt!AH13/100*Funding!AH8</f>
        <v>0</v>
      </c>
      <c r="AI15" s="20" t="n">
        <f aca="false">Debt!AI14*Debt!AI13/100*Funding!AI8</f>
        <v>0</v>
      </c>
      <c r="AJ15" s="20" t="n">
        <f aca="false">Debt!AJ14*Debt!AJ13/100*Funding!AJ8</f>
        <v>0</v>
      </c>
      <c r="AK15" s="20" t="n">
        <f aca="false">Debt!AK14*Debt!AK13/100*Funding!AK8</f>
        <v>0</v>
      </c>
      <c r="AL15" s="20" t="n">
        <f aca="false">Debt!AL14*Debt!AL13/100*Funding!AL8</f>
        <v>0</v>
      </c>
      <c r="AM15" s="20" t="n">
        <f aca="false">Debt!AM14*Debt!AM13/100*Funding!AM8</f>
        <v>0</v>
      </c>
      <c r="AN15" s="20" t="n">
        <f aca="false">Debt!AN14*Debt!AN13/100*Funding!AN8</f>
        <v>0</v>
      </c>
      <c r="AO15" s="20" t="n">
        <f aca="false">Debt!AO14*Debt!AO13/100*Funding!AO8</f>
        <v>0</v>
      </c>
      <c r="AP15" s="20" t="n">
        <f aca="false">Debt!AP14*Debt!AP13/100*Funding!AP8</f>
        <v>0</v>
      </c>
      <c r="AQ15" s="20" t="n">
        <f aca="false">Debt!AQ14*Debt!AQ13/100*Funding!AQ8</f>
        <v>0</v>
      </c>
      <c r="AR15" s="20" t="n">
        <f aca="false">Debt!AR14*Debt!AR13/100*Funding!AR8</f>
        <v>0</v>
      </c>
      <c r="AS15" s="20" t="n">
        <f aca="false">Debt!AS14*Debt!AS13/100*Funding!AS8</f>
        <v>0</v>
      </c>
      <c r="AT15" s="20" t="n">
        <f aca="false">Debt!AT14*Debt!AT13/100*Funding!AT8</f>
        <v>0</v>
      </c>
      <c r="AU15" s="20" t="n">
        <f aca="false">Debt!AU14*Debt!AU13/100*Funding!AU8</f>
        <v>0</v>
      </c>
    </row>
    <row r="16" customFormat="false" ht="15" hidden="false" customHeight="false" outlineLevel="0" collapsed="false">
      <c r="D16" s="0" t="s">
        <v>1043</v>
      </c>
      <c r="E16" s="0" t="s">
        <v>47</v>
      </c>
      <c r="G16" s="20" t="n">
        <f aca="false">SUM(J16:AU16)</f>
        <v>76.5080645953782</v>
      </c>
      <c r="J16" s="20" t="n">
        <f aca="false">MIN(Debt!J14,Funding!J24)*(1-Debt!J8)</f>
        <v>19.8178642307314</v>
      </c>
      <c r="K16" s="20" t="n">
        <f aca="false">MIN(Debt!K14,Funding!K24)*(1-Debt!K8)</f>
        <v>19.9347025008938</v>
      </c>
      <c r="L16" s="20" t="n">
        <f aca="false">MIN(Debt!L14,Funding!L24)*(1-Debt!L8)</f>
        <v>17.9781419346706</v>
      </c>
      <c r="M16" s="20" t="n">
        <f aca="false">MIN(Debt!M14,Funding!M24)*(1-Debt!M8)</f>
        <v>18.7773559290825</v>
      </c>
      <c r="N16" s="20" t="n">
        <f aca="false">MIN(Debt!N14,Funding!N24)*(1-Debt!N8)</f>
        <v>0</v>
      </c>
      <c r="O16" s="20" t="n">
        <f aca="false">MIN(Debt!O14,Funding!O24)*(1-Debt!O8)</f>
        <v>0</v>
      </c>
      <c r="P16" s="20" t="n">
        <f aca="false">MIN(Debt!P14,Funding!P24)*(1-Debt!P8)</f>
        <v>0</v>
      </c>
      <c r="Q16" s="20" t="n">
        <f aca="false">MIN(Debt!Q14,Funding!Q24)*(1-Debt!Q8)</f>
        <v>0</v>
      </c>
      <c r="R16" s="20" t="n">
        <f aca="false">MIN(Debt!R14,Funding!R24)*(1-Debt!R8)</f>
        <v>0</v>
      </c>
      <c r="S16" s="20" t="n">
        <f aca="false">MIN(Debt!S14,Funding!S24)*(1-Debt!S8)</f>
        <v>0</v>
      </c>
      <c r="T16" s="20" t="n">
        <f aca="false">MIN(Debt!T14,Funding!T24)*(1-Debt!T8)</f>
        <v>0</v>
      </c>
      <c r="U16" s="20" t="n">
        <f aca="false">MIN(Debt!U14,Funding!U24)*(1-Debt!U8)</f>
        <v>0</v>
      </c>
      <c r="V16" s="20" t="n">
        <f aca="false">MIN(Debt!V14,Funding!V24)*(1-Debt!V8)</f>
        <v>0</v>
      </c>
      <c r="W16" s="20" t="n">
        <f aca="false">MIN(Debt!W14,Funding!W24)*(1-Debt!W8)</f>
        <v>0</v>
      </c>
      <c r="X16" s="20" t="n">
        <f aca="false">MIN(Debt!X14,Funding!X24)*(1-Debt!X8)</f>
        <v>0</v>
      </c>
      <c r="Y16" s="20" t="n">
        <f aca="false">MIN(Debt!Y14,Funding!Y24)*(1-Debt!Y8)</f>
        <v>0</v>
      </c>
      <c r="Z16" s="20" t="n">
        <f aca="false">MIN(Debt!Z14,Funding!Z24)*(1-Debt!Z8)</f>
        <v>0</v>
      </c>
      <c r="AA16" s="20" t="n">
        <f aca="false">MIN(Debt!AA14,Funding!AA24)*(1-Debt!AA8)</f>
        <v>0</v>
      </c>
      <c r="AB16" s="20" t="n">
        <f aca="false">MIN(Debt!AB14,Funding!AB24)*(1-Debt!AB8)</f>
        <v>0</v>
      </c>
      <c r="AC16" s="20" t="n">
        <f aca="false">MIN(Debt!AC14,Funding!AC24)*(1-Debt!AC8)</f>
        <v>0</v>
      </c>
      <c r="AD16" s="20" t="n">
        <f aca="false">MIN(Debt!AD14,Funding!AD24)*(1-Debt!AD8)</f>
        <v>0</v>
      </c>
      <c r="AE16" s="20" t="n">
        <f aca="false">MIN(Debt!AE14,Funding!AE24)*(1-Debt!AE8)</f>
        <v>0</v>
      </c>
      <c r="AF16" s="20" t="n">
        <f aca="false">MIN(Debt!AF14,Funding!AF24)*(1-Debt!AF8)</f>
        <v>0</v>
      </c>
      <c r="AG16" s="20" t="n">
        <f aca="false">MIN(Debt!AG14,Funding!AG24)*(1-Debt!AG8)</f>
        <v>0</v>
      </c>
      <c r="AH16" s="20" t="n">
        <f aca="false">MIN(Debt!AH14,Funding!AH24)*(1-Debt!AH8)</f>
        <v>0</v>
      </c>
      <c r="AI16" s="20" t="n">
        <f aca="false">MIN(Debt!AI14,Funding!AI24)*(1-Debt!AI8)</f>
        <v>0</v>
      </c>
      <c r="AJ16" s="20" t="n">
        <f aca="false">MIN(Debt!AJ14,Funding!AJ24)*(1-Debt!AJ8)</f>
        <v>0</v>
      </c>
      <c r="AK16" s="20" t="n">
        <f aca="false">MIN(Debt!AK14,Funding!AK24)*(1-Debt!AK8)</f>
        <v>0</v>
      </c>
      <c r="AL16" s="20" t="n">
        <f aca="false">MIN(Debt!AL14,Funding!AL24)*(1-Debt!AL8)</f>
        <v>0</v>
      </c>
      <c r="AM16" s="20" t="n">
        <f aca="false">MIN(Debt!AM14,Funding!AM24)*(1-Debt!AM8)</f>
        <v>0</v>
      </c>
      <c r="AN16" s="20" t="n">
        <f aca="false">MIN(Debt!AN14,Funding!AN24)*(1-Debt!AN8)</f>
        <v>0</v>
      </c>
      <c r="AO16" s="20" t="n">
        <f aca="false">MIN(Debt!AO14,Funding!AO24)*(1-Debt!AO8)</f>
        <v>0</v>
      </c>
      <c r="AP16" s="20" t="n">
        <f aca="false">MIN(Debt!AP14,Funding!AP24)*(1-Debt!AP8)</f>
        <v>0</v>
      </c>
      <c r="AQ16" s="20" t="n">
        <f aca="false">MIN(Debt!AQ14,Funding!AQ24)*(1-Debt!AQ8)</f>
        <v>0</v>
      </c>
      <c r="AR16" s="20" t="n">
        <f aca="false">MIN(Debt!AR14,Funding!AR24)*(1-Debt!AR8)</f>
        <v>0</v>
      </c>
      <c r="AS16" s="20" t="n">
        <f aca="false">MIN(Debt!AS14,Funding!AS24)*(1-Debt!AS8)</f>
        <v>0</v>
      </c>
      <c r="AT16" s="20" t="n">
        <f aca="false">MIN(Debt!AT14,Funding!AT24)*(1-Debt!AT8)</f>
        <v>0</v>
      </c>
      <c r="AU16" s="20" t="n">
        <f aca="false">MIN(Debt!AU14,Funding!AU24)*(1-Debt!AU8)</f>
        <v>0</v>
      </c>
    </row>
    <row r="17" customFormat="false" ht="15" hidden="false" customHeight="false" outlineLevel="0" collapsed="false">
      <c r="D17" s="0" t="s">
        <v>1044</v>
      </c>
      <c r="E17" s="0" t="s">
        <v>47</v>
      </c>
      <c r="G17" s="20" t="n">
        <f aca="false">SUM(J17:AU17)</f>
        <v>251.557131207374</v>
      </c>
      <c r="J17" s="20" t="n">
        <f aca="false">Debt!J9*(Debt!J14-Debt!J16)</f>
        <v>0</v>
      </c>
      <c r="K17" s="20" t="n">
        <f aca="false">Debt!K9*(Debt!K14-Debt!K16)</f>
        <v>0</v>
      </c>
      <c r="L17" s="20" t="n">
        <f aca="false">Debt!L9*(Debt!L14-Debt!L16)</f>
        <v>0</v>
      </c>
      <c r="M17" s="20" t="n">
        <f aca="false">Debt!M9*(Debt!M14-Debt!M16)</f>
        <v>251.557131207374</v>
      </c>
      <c r="N17" s="20" t="n">
        <f aca="false">Debt!N9*(Debt!N14-Debt!N16)</f>
        <v>0</v>
      </c>
      <c r="O17" s="20" t="n">
        <f aca="false">Debt!O9*(Debt!O14-Debt!O16)</f>
        <v>0</v>
      </c>
      <c r="P17" s="20" t="n">
        <f aca="false">Debt!P9*(Debt!P14-Debt!P16)</f>
        <v>0</v>
      </c>
      <c r="Q17" s="20" t="n">
        <f aca="false">Debt!Q9*(Debt!Q14-Debt!Q16)</f>
        <v>0</v>
      </c>
      <c r="R17" s="20" t="n">
        <f aca="false">Debt!R9*(Debt!R14-Debt!R16)</f>
        <v>0</v>
      </c>
      <c r="S17" s="20" t="n">
        <f aca="false">Debt!S9*(Debt!S14-Debt!S16)</f>
        <v>0</v>
      </c>
      <c r="T17" s="20" t="n">
        <f aca="false">Debt!T9*(Debt!T14-Debt!T16)</f>
        <v>0</v>
      </c>
      <c r="U17" s="20" t="n">
        <f aca="false">Debt!U9*(Debt!U14-Debt!U16)</f>
        <v>0</v>
      </c>
      <c r="V17" s="20" t="n">
        <f aca="false">Debt!V9*(Debt!V14-Debt!V16)</f>
        <v>0</v>
      </c>
      <c r="W17" s="20" t="n">
        <f aca="false">Debt!W9*(Debt!W14-Debt!W16)</f>
        <v>0</v>
      </c>
      <c r="X17" s="20" t="n">
        <f aca="false">Debt!X9*(Debt!X14-Debt!X16)</f>
        <v>0</v>
      </c>
      <c r="Y17" s="20" t="n">
        <f aca="false">Debt!Y9*(Debt!Y14-Debt!Y16)</f>
        <v>0</v>
      </c>
      <c r="Z17" s="20" t="n">
        <f aca="false">Debt!Z9*(Debt!Z14-Debt!Z16)</f>
        <v>0</v>
      </c>
      <c r="AA17" s="20" t="n">
        <f aca="false">Debt!AA9*(Debt!AA14-Debt!AA16)</f>
        <v>0</v>
      </c>
      <c r="AB17" s="20" t="n">
        <f aca="false">Debt!AB9*(Debt!AB14-Debt!AB16)</f>
        <v>0</v>
      </c>
      <c r="AC17" s="20" t="n">
        <f aca="false">Debt!AC9*(Debt!AC14-Debt!AC16)</f>
        <v>0</v>
      </c>
      <c r="AD17" s="20" t="n">
        <f aca="false">Debt!AD9*(Debt!AD14-Debt!AD16)</f>
        <v>0</v>
      </c>
      <c r="AE17" s="20" t="n">
        <f aca="false">Debt!AE9*(Debt!AE14-Debt!AE16)</f>
        <v>0</v>
      </c>
      <c r="AF17" s="20" t="n">
        <f aca="false">Debt!AF9*(Debt!AF14-Debt!AF16)</f>
        <v>0</v>
      </c>
      <c r="AG17" s="20" t="n">
        <f aca="false">Debt!AG9*(Debt!AG14-Debt!AG16)</f>
        <v>0</v>
      </c>
      <c r="AH17" s="20" t="n">
        <f aca="false">Debt!AH9*(Debt!AH14-Debt!AH16)</f>
        <v>0</v>
      </c>
      <c r="AI17" s="20" t="n">
        <f aca="false">Debt!AI9*(Debt!AI14-Debt!AI16)</f>
        <v>0</v>
      </c>
      <c r="AJ17" s="20" t="n">
        <f aca="false">Debt!AJ9*(Debt!AJ14-Debt!AJ16)</f>
        <v>0</v>
      </c>
      <c r="AK17" s="20" t="n">
        <f aca="false">Debt!AK9*(Debt!AK14-Debt!AK16)</f>
        <v>0</v>
      </c>
      <c r="AL17" s="20" t="n">
        <f aca="false">Debt!AL9*(Debt!AL14-Debt!AL16)</f>
        <v>0</v>
      </c>
      <c r="AM17" s="20" t="n">
        <f aca="false">Debt!AM9*(Debt!AM14-Debt!AM16)</f>
        <v>0</v>
      </c>
      <c r="AN17" s="20" t="n">
        <f aca="false">Debt!AN9*(Debt!AN14-Debt!AN16)</f>
        <v>0</v>
      </c>
      <c r="AO17" s="20" t="n">
        <f aca="false">Debt!AO9*(Debt!AO14-Debt!AO16)</f>
        <v>0</v>
      </c>
      <c r="AP17" s="20" t="n">
        <f aca="false">Debt!AP9*(Debt!AP14-Debt!AP16)</f>
        <v>0</v>
      </c>
      <c r="AQ17" s="20" t="n">
        <f aca="false">Debt!AQ9*(Debt!AQ14-Debt!AQ16)</f>
        <v>0</v>
      </c>
      <c r="AR17" s="20" t="n">
        <f aca="false">Debt!AR9*(Debt!AR14-Debt!AR16)</f>
        <v>0</v>
      </c>
      <c r="AS17" s="20" t="n">
        <f aca="false">Debt!AS9*(Debt!AS14-Debt!AS16)</f>
        <v>0</v>
      </c>
      <c r="AT17" s="20" t="n">
        <f aca="false">Debt!AT9*(Debt!AT14-Debt!AT16)</f>
        <v>0</v>
      </c>
      <c r="AU17" s="20" t="n">
        <f aca="false">Debt!AU9*(Debt!AU14-Debt!AU16)</f>
        <v>0</v>
      </c>
    </row>
    <row r="18" customFormat="false" ht="15" hidden="false" customHeight="false" outlineLevel="0" collapsed="false">
      <c r="D18" s="0" t="s">
        <v>1045</v>
      </c>
      <c r="E18" s="0" t="s">
        <v>47</v>
      </c>
      <c r="G18" s="20" t="n">
        <f aca="false">SUM(J18:AU18)</f>
        <v>124.865061148158</v>
      </c>
      <c r="J18" s="20" t="n">
        <f aca="false">Debt!J15+Debt!J16</f>
        <v>29.9760030488673</v>
      </c>
      <c r="K18" s="20" t="n">
        <f aca="false">Debt!K15+Debt!K16</f>
        <v>33.6486262825329</v>
      </c>
      <c r="L18" s="20" t="n">
        <f aca="false">Debt!L15+Debt!L16</f>
        <v>30.8008461126089</v>
      </c>
      <c r="M18" s="20" t="n">
        <f aca="false">Debt!M15+Debt!M16</f>
        <v>30.4395857041492</v>
      </c>
      <c r="N18" s="20" t="n">
        <f aca="false">Debt!N15+Debt!N16</f>
        <v>0</v>
      </c>
      <c r="O18" s="20" t="n">
        <f aca="false">Debt!O15+Debt!O16</f>
        <v>0</v>
      </c>
      <c r="P18" s="20" t="n">
        <f aca="false">Debt!P15+Debt!P16</f>
        <v>0</v>
      </c>
      <c r="Q18" s="20" t="n">
        <f aca="false">Debt!Q15+Debt!Q16</f>
        <v>0</v>
      </c>
      <c r="R18" s="20" t="n">
        <f aca="false">Debt!R15+Debt!R16</f>
        <v>0</v>
      </c>
      <c r="S18" s="20" t="n">
        <f aca="false">Debt!S15+Debt!S16</f>
        <v>0</v>
      </c>
      <c r="T18" s="20" t="n">
        <f aca="false">Debt!T15+Debt!T16</f>
        <v>0</v>
      </c>
      <c r="U18" s="20" t="n">
        <f aca="false">Debt!U15+Debt!U16</f>
        <v>0</v>
      </c>
      <c r="V18" s="20" t="n">
        <f aca="false">Debt!V15+Debt!V16</f>
        <v>0</v>
      </c>
      <c r="W18" s="20" t="n">
        <f aca="false">Debt!W15+Debt!W16</f>
        <v>0</v>
      </c>
      <c r="X18" s="20" t="n">
        <f aca="false">Debt!X15+Debt!X16</f>
        <v>0</v>
      </c>
      <c r="Y18" s="20" t="n">
        <f aca="false">Debt!Y15+Debt!Y16</f>
        <v>0</v>
      </c>
      <c r="Z18" s="20" t="n">
        <f aca="false">Debt!Z15+Debt!Z16</f>
        <v>0</v>
      </c>
      <c r="AA18" s="20" t="n">
        <f aca="false">Debt!AA15+Debt!AA16</f>
        <v>0</v>
      </c>
      <c r="AB18" s="20" t="n">
        <f aca="false">Debt!AB15+Debt!AB16</f>
        <v>0</v>
      </c>
      <c r="AC18" s="20" t="n">
        <f aca="false">Debt!AC15+Debt!AC16</f>
        <v>0</v>
      </c>
      <c r="AD18" s="20" t="n">
        <f aca="false">Debt!AD15+Debt!AD16</f>
        <v>0</v>
      </c>
      <c r="AE18" s="20" t="n">
        <f aca="false">Debt!AE15+Debt!AE16</f>
        <v>0</v>
      </c>
      <c r="AF18" s="20" t="n">
        <f aca="false">Debt!AF15+Debt!AF16</f>
        <v>0</v>
      </c>
      <c r="AG18" s="20" t="n">
        <f aca="false">Debt!AG15+Debt!AG16</f>
        <v>0</v>
      </c>
      <c r="AH18" s="20" t="n">
        <f aca="false">Debt!AH15+Debt!AH16</f>
        <v>0</v>
      </c>
      <c r="AI18" s="20" t="n">
        <f aca="false">Debt!AI15+Debt!AI16</f>
        <v>0</v>
      </c>
      <c r="AJ18" s="20" t="n">
        <f aca="false">Debt!AJ15+Debt!AJ16</f>
        <v>0</v>
      </c>
      <c r="AK18" s="20" t="n">
        <f aca="false">Debt!AK15+Debt!AK16</f>
        <v>0</v>
      </c>
      <c r="AL18" s="20" t="n">
        <f aca="false">Debt!AL15+Debt!AL16</f>
        <v>0</v>
      </c>
      <c r="AM18" s="20" t="n">
        <f aca="false">Debt!AM15+Debt!AM16</f>
        <v>0</v>
      </c>
      <c r="AN18" s="20" t="n">
        <f aca="false">Debt!AN15+Debt!AN16</f>
        <v>0</v>
      </c>
      <c r="AO18" s="20" t="n">
        <f aca="false">Debt!AO15+Debt!AO16</f>
        <v>0</v>
      </c>
      <c r="AP18" s="20" t="n">
        <f aca="false">Debt!AP15+Debt!AP16</f>
        <v>0</v>
      </c>
      <c r="AQ18" s="20" t="n">
        <f aca="false">Debt!AQ15+Debt!AQ16</f>
        <v>0</v>
      </c>
      <c r="AR18" s="20" t="n">
        <f aca="false">Debt!AR15+Debt!AR16</f>
        <v>0</v>
      </c>
      <c r="AS18" s="20" t="n">
        <f aca="false">Debt!AS15+Debt!AS16</f>
        <v>0</v>
      </c>
      <c r="AT18" s="20" t="n">
        <f aca="false">Debt!AT15+Debt!AT16</f>
        <v>0</v>
      </c>
      <c r="AU18" s="20" t="n">
        <f aca="false">Debt!AU15+Debt!AU16</f>
        <v>0</v>
      </c>
    </row>
    <row r="19" customFormat="false" ht="15" hidden="false" customHeight="false" outlineLevel="0" collapsed="false">
      <c r="D19" s="0" t="s">
        <v>1046</v>
      </c>
      <c r="E19" s="0" t="s">
        <v>47</v>
      </c>
      <c r="J19" s="20" t="n">
        <f aca="false">Debt!J14-Debt!J16-Debt!J17</f>
        <v>308.247331572021</v>
      </c>
      <c r="K19" s="20" t="n">
        <f aca="false">Debt!K14-Debt!K16-Debt!K17</f>
        <v>288.312629071127</v>
      </c>
      <c r="L19" s="20" t="n">
        <f aca="false">Debt!L14-Debt!L16-Debt!L17</f>
        <v>270.334487136456</v>
      </c>
      <c r="M19" s="20" t="n">
        <f aca="false">Debt!M14-Debt!M16-Debt!M17</f>
        <v>0</v>
      </c>
      <c r="N19" s="20" t="n">
        <f aca="false">Debt!N14-Debt!N16-Debt!N17</f>
        <v>0</v>
      </c>
      <c r="O19" s="20" t="n">
        <f aca="false">Debt!O14-Debt!O16-Debt!O17</f>
        <v>0</v>
      </c>
      <c r="P19" s="20" t="n">
        <f aca="false">Debt!P14-Debt!P16-Debt!P17</f>
        <v>0</v>
      </c>
      <c r="Q19" s="20" t="n">
        <f aca="false">Debt!Q14-Debt!Q16-Debt!Q17</f>
        <v>0</v>
      </c>
      <c r="R19" s="20" t="n">
        <f aca="false">Debt!R14-Debt!R16-Debt!R17</f>
        <v>0</v>
      </c>
      <c r="S19" s="20" t="n">
        <f aca="false">Debt!S14-Debt!S16-Debt!S17</f>
        <v>0</v>
      </c>
      <c r="T19" s="20" t="n">
        <f aca="false">Debt!T14-Debt!T16-Debt!T17</f>
        <v>0</v>
      </c>
      <c r="U19" s="20" t="n">
        <f aca="false">Debt!U14-Debt!U16-Debt!U17</f>
        <v>0</v>
      </c>
      <c r="V19" s="20" t="n">
        <f aca="false">Debt!V14-Debt!V16-Debt!V17</f>
        <v>0</v>
      </c>
      <c r="W19" s="20" t="n">
        <f aca="false">Debt!W14-Debt!W16-Debt!W17</f>
        <v>0</v>
      </c>
      <c r="X19" s="20" t="n">
        <f aca="false">Debt!X14-Debt!X16-Debt!X17</f>
        <v>0</v>
      </c>
      <c r="Y19" s="20" t="n">
        <f aca="false">Debt!Y14-Debt!Y16-Debt!Y17</f>
        <v>0</v>
      </c>
      <c r="Z19" s="20" t="n">
        <f aca="false">Debt!Z14-Debt!Z16-Debt!Z17</f>
        <v>0</v>
      </c>
      <c r="AA19" s="20" t="n">
        <f aca="false">Debt!AA14-Debt!AA16-Debt!AA17</f>
        <v>0</v>
      </c>
      <c r="AB19" s="20" t="n">
        <f aca="false">Debt!AB14-Debt!AB16-Debt!AB17</f>
        <v>0</v>
      </c>
      <c r="AC19" s="20" t="n">
        <f aca="false">Debt!AC14-Debt!AC16-Debt!AC17</f>
        <v>0</v>
      </c>
      <c r="AD19" s="20" t="n">
        <f aca="false">Debt!AD14-Debt!AD16-Debt!AD17</f>
        <v>0</v>
      </c>
      <c r="AE19" s="20" t="n">
        <f aca="false">Debt!AE14-Debt!AE16-Debt!AE17</f>
        <v>0</v>
      </c>
      <c r="AF19" s="20" t="n">
        <f aca="false">Debt!AF14-Debt!AF16-Debt!AF17</f>
        <v>0</v>
      </c>
      <c r="AG19" s="20" t="n">
        <f aca="false">Debt!AG14-Debt!AG16-Debt!AG17</f>
        <v>0</v>
      </c>
      <c r="AH19" s="20" t="n">
        <f aca="false">Debt!AH14-Debt!AH16-Debt!AH17</f>
        <v>0</v>
      </c>
      <c r="AI19" s="20" t="n">
        <f aca="false">Debt!AI14-Debt!AI16-Debt!AI17</f>
        <v>0</v>
      </c>
      <c r="AJ19" s="20" t="n">
        <f aca="false">Debt!AJ14-Debt!AJ16-Debt!AJ17</f>
        <v>0</v>
      </c>
      <c r="AK19" s="20" t="n">
        <f aca="false">Debt!AK14-Debt!AK16-Debt!AK17</f>
        <v>0</v>
      </c>
      <c r="AL19" s="20" t="n">
        <f aca="false">Debt!AL14-Debt!AL16-Debt!AL17</f>
        <v>0</v>
      </c>
      <c r="AM19" s="20" t="n">
        <f aca="false">Debt!AM14-Debt!AM16-Debt!AM17</f>
        <v>0</v>
      </c>
      <c r="AN19" s="20" t="n">
        <f aca="false">Debt!AN14-Debt!AN16-Debt!AN17</f>
        <v>0</v>
      </c>
      <c r="AO19" s="20" t="n">
        <f aca="false">Debt!AO14-Debt!AO16-Debt!AO17</f>
        <v>0</v>
      </c>
      <c r="AP19" s="20" t="n">
        <f aca="false">Debt!AP14-Debt!AP16-Debt!AP17</f>
        <v>0</v>
      </c>
      <c r="AQ19" s="20" t="n">
        <f aca="false">Debt!AQ14-Debt!AQ16-Debt!AQ17</f>
        <v>0</v>
      </c>
      <c r="AR19" s="20" t="n">
        <f aca="false">Debt!AR14-Debt!AR16-Debt!AR17</f>
        <v>0</v>
      </c>
      <c r="AS19" s="20" t="n">
        <f aca="false">Debt!AS14-Debt!AS16-Debt!AS17</f>
        <v>0</v>
      </c>
      <c r="AT19" s="20" t="n">
        <f aca="false">Debt!AT14-Debt!AT16-Debt!AT17</f>
        <v>0</v>
      </c>
      <c r="AU19" s="20" t="n">
        <f aca="false">Debt!AU14-Debt!AU16-Debt!AU17</f>
        <v>0</v>
      </c>
    </row>
    <row r="21" customFormat="false" ht="15" hidden="false" customHeight="false" outlineLevel="0" collapsed="false">
      <c r="A21" s="4" t="s">
        <v>1047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</row>
    <row r="22" customFormat="false" ht="15" hidden="false" customHeight="false" outlineLevel="0" collapsed="false">
      <c r="D22" s="0" t="s">
        <v>937</v>
      </c>
      <c r="E22" s="0" t="s">
        <v>84</v>
      </c>
      <c r="J22" s="15" t="n">
        <f aca="false">Inputs!$F$305/100*Inputs!$F$306+(1-Inputs!$F$305/100)*Debt!J10+Inputs!$F$302</f>
        <v>5.895</v>
      </c>
      <c r="K22" s="15" t="n">
        <f aca="false">Inputs!$F$305/100*Inputs!$F$306+(1-Inputs!$F$305/100)*Debt!K10+Inputs!$F$302</f>
        <v>6.6775</v>
      </c>
      <c r="L22" s="15" t="n">
        <f aca="false">Inputs!$F$305/100*Inputs!$F$306+(1-Inputs!$F$305/100)*Debt!L10+Inputs!$F$302</f>
        <v>6.675</v>
      </c>
      <c r="M22" s="15" t="n">
        <f aca="false">Inputs!$F$305/100*Inputs!$F$306+(1-Inputs!$F$305/100)*Debt!M10+Inputs!$F$302</f>
        <v>6.4525</v>
      </c>
      <c r="N22" s="15" t="n">
        <f aca="false">Inputs!$F$305/100*Inputs!$F$306+(1-Inputs!$F$305/100)*Debt!N10+Inputs!$F$302</f>
        <v>6.3</v>
      </c>
      <c r="O22" s="15" t="n">
        <f aca="false">Inputs!$F$305/100*Inputs!$F$306+(1-Inputs!$F$305/100)*Debt!O10+Inputs!$F$302</f>
        <v>6.2475</v>
      </c>
      <c r="P22" s="15" t="n">
        <f aca="false">Inputs!$F$305/100*Inputs!$F$306+(1-Inputs!$F$305/100)*Debt!P10+Inputs!$F$302</f>
        <v>6.26</v>
      </c>
      <c r="Q22" s="15" t="n">
        <f aca="false">Inputs!$F$305/100*Inputs!$F$306+(1-Inputs!$F$305/100)*Debt!Q10+Inputs!$F$302</f>
        <v>6.26</v>
      </c>
      <c r="R22" s="15" t="n">
        <f aca="false">Inputs!$F$305/100*Inputs!$F$306+(1-Inputs!$F$305/100)*Debt!R10+Inputs!$F$302</f>
        <v>6.26</v>
      </c>
      <c r="S22" s="15" t="n">
        <f aca="false">Inputs!$F$305/100*Inputs!$F$306+(1-Inputs!$F$305/100)*Debt!S10+Inputs!$F$302</f>
        <v>6.26</v>
      </c>
      <c r="T22" s="15" t="n">
        <f aca="false">Inputs!$F$305/100*Inputs!$F$306+(1-Inputs!$F$305/100)*Debt!T10+Inputs!$F$302</f>
        <v>6.26</v>
      </c>
      <c r="U22" s="15" t="n">
        <f aca="false">Inputs!$F$305/100*Inputs!$F$306+(1-Inputs!$F$305/100)*Debt!U10+Inputs!$F$302</f>
        <v>6.26</v>
      </c>
      <c r="V22" s="15" t="n">
        <f aca="false">Inputs!$F$305/100*Inputs!$F$306+(1-Inputs!$F$305/100)*Debt!V10+Inputs!$F$302</f>
        <v>6.26</v>
      </c>
      <c r="W22" s="15" t="n">
        <f aca="false">Inputs!$F$305/100*Inputs!$F$306+(1-Inputs!$F$305/100)*Debt!W10+Inputs!$F$302</f>
        <v>6.26</v>
      </c>
      <c r="X22" s="15" t="n">
        <f aca="false">Inputs!$F$305/100*Inputs!$F$306+(1-Inputs!$F$305/100)*Debt!X10+Inputs!$F$302</f>
        <v>6.26</v>
      </c>
      <c r="Y22" s="15" t="n">
        <f aca="false">Inputs!$F$305/100*Inputs!$F$306+(1-Inputs!$F$305/100)*Debt!Y10+Inputs!$F$302</f>
        <v>6.26</v>
      </c>
      <c r="Z22" s="15" t="n">
        <f aca="false">Inputs!$F$305/100*Inputs!$F$306+(1-Inputs!$F$305/100)*Debt!Z10+Inputs!$F$302</f>
        <v>6.26</v>
      </c>
      <c r="AA22" s="15" t="n">
        <f aca="false">Inputs!$F$305/100*Inputs!$F$306+(1-Inputs!$F$305/100)*Debt!AA10+Inputs!$F$302</f>
        <v>6.26</v>
      </c>
      <c r="AB22" s="15" t="n">
        <f aca="false">Inputs!$F$305/100*Inputs!$F$306+(1-Inputs!$F$305/100)*Debt!AB10+Inputs!$F$302</f>
        <v>6.26</v>
      </c>
      <c r="AC22" s="15" t="n">
        <f aca="false">Inputs!$F$305/100*Inputs!$F$306+(1-Inputs!$F$305/100)*Debt!AC10+Inputs!$F$302</f>
        <v>6.26</v>
      </c>
      <c r="AD22" s="15" t="n">
        <f aca="false">Inputs!$F$305/100*Inputs!$F$306+(1-Inputs!$F$305/100)*Debt!AD10+Inputs!$F$302</f>
        <v>6.26</v>
      </c>
      <c r="AE22" s="15" t="n">
        <f aca="false">Inputs!$F$305/100*Inputs!$F$306+(1-Inputs!$F$305/100)*Debt!AE10+Inputs!$F$302</f>
        <v>6.26</v>
      </c>
      <c r="AF22" s="15" t="n">
        <f aca="false">Inputs!$F$305/100*Inputs!$F$306+(1-Inputs!$F$305/100)*Debt!AF10+Inputs!$F$302</f>
        <v>6.26</v>
      </c>
      <c r="AG22" s="15" t="n">
        <f aca="false">Inputs!$F$305/100*Inputs!$F$306+(1-Inputs!$F$305/100)*Debt!AG10+Inputs!$F$302</f>
        <v>6.26</v>
      </c>
      <c r="AH22" s="15" t="n">
        <f aca="false">Inputs!$F$305/100*Inputs!$F$306+(1-Inputs!$F$305/100)*Debt!AH10+Inputs!$F$302</f>
        <v>6.26</v>
      </c>
      <c r="AI22" s="15" t="n">
        <f aca="false">Inputs!$F$305/100*Inputs!$F$306+(1-Inputs!$F$305/100)*Debt!AI10+Inputs!$F$302</f>
        <v>6.26</v>
      </c>
      <c r="AJ22" s="15" t="n">
        <f aca="false">Inputs!$F$305/100*Inputs!$F$306+(1-Inputs!$F$305/100)*Debt!AJ10+Inputs!$F$302</f>
        <v>6.26</v>
      </c>
      <c r="AK22" s="15" t="n">
        <f aca="false">Inputs!$F$305/100*Inputs!$F$306+(1-Inputs!$F$305/100)*Debt!AK10+Inputs!$F$302</f>
        <v>6.26</v>
      </c>
      <c r="AL22" s="15" t="n">
        <f aca="false">Inputs!$F$305/100*Inputs!$F$306+(1-Inputs!$F$305/100)*Debt!AL10+Inputs!$F$302</f>
        <v>6.26</v>
      </c>
      <c r="AM22" s="15" t="n">
        <f aca="false">Inputs!$F$305/100*Inputs!$F$306+(1-Inputs!$F$305/100)*Debt!AM10+Inputs!$F$302</f>
        <v>6.26</v>
      </c>
      <c r="AN22" s="15" t="n">
        <f aca="false">Inputs!$F$305/100*Inputs!$F$306+(1-Inputs!$F$305/100)*Debt!AN10+Inputs!$F$302</f>
        <v>6.26</v>
      </c>
      <c r="AO22" s="15" t="n">
        <f aca="false">Inputs!$F$305/100*Inputs!$F$306+(1-Inputs!$F$305/100)*Debt!AO10+Inputs!$F$302</f>
        <v>6.26</v>
      </c>
      <c r="AP22" s="15" t="n">
        <f aca="false">Inputs!$F$305/100*Inputs!$F$306+(1-Inputs!$F$305/100)*Debt!AP10+Inputs!$F$302</f>
        <v>6.26</v>
      </c>
      <c r="AQ22" s="15" t="n">
        <f aca="false">Inputs!$F$305/100*Inputs!$F$306+(1-Inputs!$F$305/100)*Debt!AQ10+Inputs!$F$302</f>
        <v>6.26</v>
      </c>
      <c r="AR22" s="15" t="n">
        <f aca="false">Inputs!$F$305/100*Inputs!$F$306+(1-Inputs!$F$305/100)*Debt!AR10+Inputs!$F$302</f>
        <v>6.26</v>
      </c>
      <c r="AS22" s="15" t="n">
        <f aca="false">Inputs!$F$305/100*Inputs!$F$306+(1-Inputs!$F$305/100)*Debt!AS10+Inputs!$F$302</f>
        <v>6.26</v>
      </c>
      <c r="AT22" s="15" t="n">
        <f aca="false">Inputs!$F$305/100*Inputs!$F$306+(1-Inputs!$F$305/100)*Debt!AT10+Inputs!$F$302</f>
        <v>6.26</v>
      </c>
      <c r="AU22" s="15" t="n">
        <f aca="false">Inputs!$F$305/100*Inputs!$F$306+(1-Inputs!$F$305/100)*Debt!AU10+Inputs!$F$302</f>
        <v>6.26</v>
      </c>
    </row>
    <row r="23" customFormat="false" ht="15" hidden="false" customHeight="false" outlineLevel="0" collapsed="false">
      <c r="D23" s="0" t="s">
        <v>1041</v>
      </c>
      <c r="E23" s="0" t="s">
        <v>47</v>
      </c>
      <c r="J23" s="20" t="n">
        <f aca="false">IF(Time!J$4=YEAR(Inputs!$F$300),Funding!$F$50,I28)</f>
        <v>0</v>
      </c>
      <c r="K23" s="20" t="n">
        <f aca="false">IF(Time!K$4=YEAR(Inputs!$F$300),Funding!$F$50,J28)</f>
        <v>36.6060090934254</v>
      </c>
      <c r="L23" s="20" t="n">
        <f aca="false">IF(Time!L$4=YEAR(Inputs!$F$300),Funding!$F$50,K28)</f>
        <v>35.1047069149638</v>
      </c>
      <c r="M23" s="20" t="n">
        <f aca="false">IF(Time!M$4=YEAR(Inputs!$F$300),Funding!$F$50,L28)</f>
        <v>30.540845721908</v>
      </c>
      <c r="N23" s="20" t="n">
        <f aca="false">IF(Time!N$4=YEAR(Inputs!$F$300),Funding!$F$50,M28)</f>
        <v>0</v>
      </c>
      <c r="O23" s="20" t="n">
        <f aca="false">IF(Time!O$4=YEAR(Inputs!$F$300),Funding!$F$50,N28)</f>
        <v>0</v>
      </c>
      <c r="P23" s="20" t="n">
        <f aca="false">IF(Time!P$4=YEAR(Inputs!$F$300),Funding!$F$50,O28)</f>
        <v>0</v>
      </c>
      <c r="Q23" s="20" t="n">
        <f aca="false">IF(Time!Q$4=YEAR(Inputs!$F$300),Funding!$F$50,P28)</f>
        <v>0</v>
      </c>
      <c r="R23" s="20" t="n">
        <f aca="false">IF(Time!R$4=YEAR(Inputs!$F$300),Funding!$F$50,Q28)</f>
        <v>0</v>
      </c>
      <c r="S23" s="20" t="n">
        <f aca="false">IF(Time!S$4=YEAR(Inputs!$F$300),Funding!$F$50,R28)</f>
        <v>0</v>
      </c>
      <c r="T23" s="20" t="n">
        <f aca="false">IF(Time!T$4=YEAR(Inputs!$F$300),Funding!$F$50,S28)</f>
        <v>0</v>
      </c>
      <c r="U23" s="20" t="n">
        <f aca="false">IF(Time!U$4=YEAR(Inputs!$F$300),Funding!$F$50,T28)</f>
        <v>0</v>
      </c>
      <c r="V23" s="20" t="n">
        <f aca="false">IF(Time!V$4=YEAR(Inputs!$F$300),Funding!$F$50,U28)</f>
        <v>0</v>
      </c>
      <c r="W23" s="20" t="n">
        <f aca="false">IF(Time!W$4=YEAR(Inputs!$F$300),Funding!$F$50,V28)</f>
        <v>0</v>
      </c>
      <c r="X23" s="20" t="n">
        <f aca="false">IF(Time!X$4=YEAR(Inputs!$F$300),Funding!$F$50,W28)</f>
        <v>0</v>
      </c>
      <c r="Y23" s="20" t="n">
        <f aca="false">IF(Time!Y$4=YEAR(Inputs!$F$300),Funding!$F$50,X28)</f>
        <v>0</v>
      </c>
      <c r="Z23" s="20" t="n">
        <f aca="false">IF(Time!Z$4=YEAR(Inputs!$F$300),Funding!$F$50,Y28)</f>
        <v>0</v>
      </c>
      <c r="AA23" s="20" t="n">
        <f aca="false">IF(Time!AA$4=YEAR(Inputs!$F$300),Funding!$F$50,Z28)</f>
        <v>0</v>
      </c>
      <c r="AB23" s="20" t="n">
        <f aca="false">IF(Time!AB$4=YEAR(Inputs!$F$300),Funding!$F$50,AA28)</f>
        <v>0</v>
      </c>
      <c r="AC23" s="20" t="n">
        <f aca="false">IF(Time!AC$4=YEAR(Inputs!$F$300),Funding!$F$50,AB28)</f>
        <v>0</v>
      </c>
      <c r="AD23" s="20" t="n">
        <f aca="false">IF(Time!AD$4=YEAR(Inputs!$F$300),Funding!$F$50,AC28)</f>
        <v>0</v>
      </c>
      <c r="AE23" s="20" t="n">
        <f aca="false">IF(Time!AE$4=YEAR(Inputs!$F$300),Funding!$F$50,AD28)</f>
        <v>0</v>
      </c>
      <c r="AF23" s="20" t="n">
        <f aca="false">IF(Time!AF$4=YEAR(Inputs!$F$300),Funding!$F$50,AE28)</f>
        <v>0</v>
      </c>
      <c r="AG23" s="20" t="n">
        <f aca="false">IF(Time!AG$4=YEAR(Inputs!$F$300),Funding!$F$50,AF28)</f>
        <v>0</v>
      </c>
      <c r="AH23" s="20" t="n">
        <f aca="false">IF(Time!AH$4=YEAR(Inputs!$F$300),Funding!$F$50,AG28)</f>
        <v>0</v>
      </c>
      <c r="AI23" s="20" t="n">
        <f aca="false">IF(Time!AI$4=YEAR(Inputs!$F$300),Funding!$F$50,AH28)</f>
        <v>0</v>
      </c>
      <c r="AJ23" s="20" t="n">
        <f aca="false">IF(Time!AJ$4=YEAR(Inputs!$F$300),Funding!$F$50,AI28)</f>
        <v>0</v>
      </c>
      <c r="AK23" s="20" t="n">
        <f aca="false">IF(Time!AK$4=YEAR(Inputs!$F$300),Funding!$F$50,AJ28)</f>
        <v>0</v>
      </c>
      <c r="AL23" s="20" t="n">
        <f aca="false">IF(Time!AL$4=YEAR(Inputs!$F$300),Funding!$F$50,AK28)</f>
        <v>0</v>
      </c>
      <c r="AM23" s="20" t="n">
        <f aca="false">IF(Time!AM$4=YEAR(Inputs!$F$300),Funding!$F$50,AL28)</f>
        <v>0</v>
      </c>
      <c r="AN23" s="20" t="n">
        <f aca="false">IF(Time!AN$4=YEAR(Inputs!$F$300),Funding!$F$50,AM28)</f>
        <v>0</v>
      </c>
      <c r="AO23" s="20" t="n">
        <f aca="false">IF(Time!AO$4=YEAR(Inputs!$F$300),Funding!$F$50,AN28)</f>
        <v>0</v>
      </c>
      <c r="AP23" s="20" t="n">
        <f aca="false">IF(Time!AP$4=YEAR(Inputs!$F$300),Funding!$F$50,AO28)</f>
        <v>0</v>
      </c>
      <c r="AQ23" s="20" t="n">
        <f aca="false">IF(Time!AQ$4=YEAR(Inputs!$F$300),Funding!$F$50,AP28)</f>
        <v>0</v>
      </c>
      <c r="AR23" s="20" t="n">
        <f aca="false">IF(Time!AR$4=YEAR(Inputs!$F$300),Funding!$F$50,AQ28)</f>
        <v>0</v>
      </c>
      <c r="AS23" s="20" t="n">
        <f aca="false">IF(Time!AS$4=YEAR(Inputs!$F$300),Funding!$F$50,AR28)</f>
        <v>0</v>
      </c>
      <c r="AT23" s="20" t="n">
        <f aca="false">IF(Time!AT$4=YEAR(Inputs!$F$300),Funding!$F$50,AS28)</f>
        <v>0</v>
      </c>
      <c r="AU23" s="20" t="n">
        <f aca="false">IF(Time!AU$4=YEAR(Inputs!$F$300),Funding!$F$50,AT28)</f>
        <v>0</v>
      </c>
    </row>
    <row r="24" customFormat="false" ht="15" hidden="false" customHeight="false" outlineLevel="0" collapsed="false">
      <c r="D24" s="0" t="s">
        <v>1042</v>
      </c>
      <c r="E24" s="0" t="s">
        <v>47</v>
      </c>
      <c r="G24" s="20" t="n">
        <f aca="false">SUM(J24:AU24)</f>
        <v>5.13090830713623</v>
      </c>
      <c r="J24" s="20" t="n">
        <f aca="false">Debt!J23*Debt!J22/100*Funding!J44</f>
        <v>0</v>
      </c>
      <c r="K24" s="20" t="n">
        <f aca="false">Debt!K23*Debt!K22/100*Funding!K44</f>
        <v>0.817021050356286</v>
      </c>
      <c r="L24" s="20" t="n">
        <f aca="false">Debt!L23*Debt!L22/100*Funding!L44</f>
        <v>2.34323918657383</v>
      </c>
      <c r="M24" s="20" t="n">
        <f aca="false">Debt!M23*Debt!M22/100*Funding!M44</f>
        <v>1.97064807020611</v>
      </c>
      <c r="N24" s="20" t="n">
        <f aca="false">Debt!N23*Debt!N22/100*Funding!N44</f>
        <v>0</v>
      </c>
      <c r="O24" s="20" t="n">
        <f aca="false">Debt!O23*Debt!O22/100*Funding!O44</f>
        <v>0</v>
      </c>
      <c r="P24" s="20" t="n">
        <f aca="false">Debt!P23*Debt!P22/100*Funding!P44</f>
        <v>0</v>
      </c>
      <c r="Q24" s="20" t="n">
        <f aca="false">Debt!Q23*Debt!Q22/100*Funding!Q44</f>
        <v>0</v>
      </c>
      <c r="R24" s="20" t="n">
        <f aca="false">Debt!R23*Debt!R22/100*Funding!R44</f>
        <v>0</v>
      </c>
      <c r="S24" s="20" t="n">
        <f aca="false">Debt!S23*Debt!S22/100*Funding!S44</f>
        <v>0</v>
      </c>
      <c r="T24" s="20" t="n">
        <f aca="false">Debt!T23*Debt!T22/100*Funding!T44</f>
        <v>0</v>
      </c>
      <c r="U24" s="20" t="n">
        <f aca="false">Debt!U23*Debt!U22/100*Funding!U44</f>
        <v>0</v>
      </c>
      <c r="V24" s="20" t="n">
        <f aca="false">Debt!V23*Debt!V22/100*Funding!V44</f>
        <v>0</v>
      </c>
      <c r="W24" s="20" t="n">
        <f aca="false">Debt!W23*Debt!W22/100*Funding!W44</f>
        <v>0</v>
      </c>
      <c r="X24" s="20" t="n">
        <f aca="false">Debt!X23*Debt!X22/100*Funding!X44</f>
        <v>0</v>
      </c>
      <c r="Y24" s="20" t="n">
        <f aca="false">Debt!Y23*Debt!Y22/100*Funding!Y44</f>
        <v>0</v>
      </c>
      <c r="Z24" s="20" t="n">
        <f aca="false">Debt!Z23*Debt!Z22/100*Funding!Z44</f>
        <v>0</v>
      </c>
      <c r="AA24" s="20" t="n">
        <f aca="false">Debt!AA23*Debt!AA22/100*Funding!AA44</f>
        <v>0</v>
      </c>
      <c r="AB24" s="20" t="n">
        <f aca="false">Debt!AB23*Debt!AB22/100*Funding!AB44</f>
        <v>0</v>
      </c>
      <c r="AC24" s="20" t="n">
        <f aca="false">Debt!AC23*Debt!AC22/100*Funding!AC44</f>
        <v>0</v>
      </c>
      <c r="AD24" s="20" t="n">
        <f aca="false">Debt!AD23*Debt!AD22/100*Funding!AD44</f>
        <v>0</v>
      </c>
      <c r="AE24" s="20" t="n">
        <f aca="false">Debt!AE23*Debt!AE22/100*Funding!AE44</f>
        <v>0</v>
      </c>
      <c r="AF24" s="20" t="n">
        <f aca="false">Debt!AF23*Debt!AF22/100*Funding!AF44</f>
        <v>0</v>
      </c>
      <c r="AG24" s="20" t="n">
        <f aca="false">Debt!AG23*Debt!AG22/100*Funding!AG44</f>
        <v>0</v>
      </c>
      <c r="AH24" s="20" t="n">
        <f aca="false">Debt!AH23*Debt!AH22/100*Funding!AH44</f>
        <v>0</v>
      </c>
      <c r="AI24" s="20" t="n">
        <f aca="false">Debt!AI23*Debt!AI22/100*Funding!AI44</f>
        <v>0</v>
      </c>
      <c r="AJ24" s="20" t="n">
        <f aca="false">Debt!AJ23*Debt!AJ22/100*Funding!AJ44</f>
        <v>0</v>
      </c>
      <c r="AK24" s="20" t="n">
        <f aca="false">Debt!AK23*Debt!AK22/100*Funding!AK44</f>
        <v>0</v>
      </c>
      <c r="AL24" s="20" t="n">
        <f aca="false">Debt!AL23*Debt!AL22/100*Funding!AL44</f>
        <v>0</v>
      </c>
      <c r="AM24" s="20" t="n">
        <f aca="false">Debt!AM23*Debt!AM22/100*Funding!AM44</f>
        <v>0</v>
      </c>
      <c r="AN24" s="20" t="n">
        <f aca="false">Debt!AN23*Debt!AN22/100*Funding!AN44</f>
        <v>0</v>
      </c>
      <c r="AO24" s="20" t="n">
        <f aca="false">Debt!AO23*Debt!AO22/100*Funding!AO44</f>
        <v>0</v>
      </c>
      <c r="AP24" s="20" t="n">
        <f aca="false">Debt!AP23*Debt!AP22/100*Funding!AP44</f>
        <v>0</v>
      </c>
      <c r="AQ24" s="20" t="n">
        <f aca="false">Debt!AQ23*Debt!AQ22/100*Funding!AQ44</f>
        <v>0</v>
      </c>
      <c r="AR24" s="20" t="n">
        <f aca="false">Debt!AR23*Debt!AR22/100*Funding!AR44</f>
        <v>0</v>
      </c>
      <c r="AS24" s="20" t="n">
        <f aca="false">Debt!AS23*Debt!AS22/100*Funding!AS44</f>
        <v>0</v>
      </c>
      <c r="AT24" s="20" t="n">
        <f aca="false">Debt!AT23*Debt!AT22/100*Funding!AT44</f>
        <v>0</v>
      </c>
      <c r="AU24" s="20" t="n">
        <f aca="false">Debt!AU23*Debt!AU22/100*Funding!AU44</f>
        <v>0</v>
      </c>
    </row>
    <row r="25" customFormat="false" ht="15" hidden="false" customHeight="false" outlineLevel="0" collapsed="false">
      <c r="D25" s="0" t="s">
        <v>1043</v>
      </c>
      <c r="E25" s="0" t="s">
        <v>47</v>
      </c>
      <c r="G25" s="20" t="n">
        <f aca="false">SUM(J25:AU25)</f>
        <v>10.9720273570983</v>
      </c>
      <c r="J25" s="20" t="n">
        <f aca="false">MIN(Debt!J23,Funding!J52)*(1-Debt!J8)</f>
        <v>0</v>
      </c>
      <c r="K25" s="20" t="n">
        <f aca="false">MIN(Debt!K23,Funding!K52)*(1-Debt!K8)</f>
        <v>1.50130217846157</v>
      </c>
      <c r="L25" s="20" t="n">
        <f aca="false">MIN(Debt!L23,Funding!L52)*(1-Debt!L8)</f>
        <v>4.5638611930558</v>
      </c>
      <c r="M25" s="20" t="n">
        <f aca="false">MIN(Debt!M23,Funding!M52)*(1-Debt!M8)</f>
        <v>4.90686398558093</v>
      </c>
      <c r="N25" s="20" t="n">
        <f aca="false">MIN(Debt!N23,Funding!N52)*(1-Debt!N8)</f>
        <v>0</v>
      </c>
      <c r="O25" s="20" t="n">
        <f aca="false">MIN(Debt!O23,Funding!O52)*(1-Debt!O8)</f>
        <v>0</v>
      </c>
      <c r="P25" s="20" t="n">
        <f aca="false">MIN(Debt!P23,Funding!P52)*(1-Debt!P8)</f>
        <v>0</v>
      </c>
      <c r="Q25" s="20" t="n">
        <f aca="false">MIN(Debt!Q23,Funding!Q52)*(1-Debt!Q8)</f>
        <v>0</v>
      </c>
      <c r="R25" s="20" t="n">
        <f aca="false">MIN(Debt!R23,Funding!R52)*(1-Debt!R8)</f>
        <v>0</v>
      </c>
      <c r="S25" s="20" t="n">
        <f aca="false">MIN(Debt!S23,Funding!S52)*(1-Debt!S8)</f>
        <v>0</v>
      </c>
      <c r="T25" s="20" t="n">
        <f aca="false">MIN(Debt!T23,Funding!T52)*(1-Debt!T8)</f>
        <v>0</v>
      </c>
      <c r="U25" s="20" t="n">
        <f aca="false">MIN(Debt!U23,Funding!U52)*(1-Debt!U8)</f>
        <v>0</v>
      </c>
      <c r="V25" s="20" t="n">
        <f aca="false">MIN(Debt!V23,Funding!V52)*(1-Debt!V8)</f>
        <v>0</v>
      </c>
      <c r="W25" s="20" t="n">
        <f aca="false">MIN(Debt!W23,Funding!W52)*(1-Debt!W8)</f>
        <v>0</v>
      </c>
      <c r="X25" s="20" t="n">
        <f aca="false">MIN(Debt!X23,Funding!X52)*(1-Debt!X8)</f>
        <v>0</v>
      </c>
      <c r="Y25" s="20" t="n">
        <f aca="false">MIN(Debt!Y23,Funding!Y52)*(1-Debt!Y8)</f>
        <v>0</v>
      </c>
      <c r="Z25" s="20" t="n">
        <f aca="false">MIN(Debt!Z23,Funding!Z52)*(1-Debt!Z8)</f>
        <v>0</v>
      </c>
      <c r="AA25" s="20" t="n">
        <f aca="false">MIN(Debt!AA23,Funding!AA52)*(1-Debt!AA8)</f>
        <v>0</v>
      </c>
      <c r="AB25" s="20" t="n">
        <f aca="false">MIN(Debt!AB23,Funding!AB52)*(1-Debt!AB8)</f>
        <v>0</v>
      </c>
      <c r="AC25" s="20" t="n">
        <f aca="false">MIN(Debt!AC23,Funding!AC52)*(1-Debt!AC8)</f>
        <v>0</v>
      </c>
      <c r="AD25" s="20" t="n">
        <f aca="false">MIN(Debt!AD23,Funding!AD52)*(1-Debt!AD8)</f>
        <v>0</v>
      </c>
      <c r="AE25" s="20" t="n">
        <f aca="false">MIN(Debt!AE23,Funding!AE52)*(1-Debt!AE8)</f>
        <v>0</v>
      </c>
      <c r="AF25" s="20" t="n">
        <f aca="false">MIN(Debt!AF23,Funding!AF52)*(1-Debt!AF8)</f>
        <v>0</v>
      </c>
      <c r="AG25" s="20" t="n">
        <f aca="false">MIN(Debt!AG23,Funding!AG52)*(1-Debt!AG8)</f>
        <v>0</v>
      </c>
      <c r="AH25" s="20" t="n">
        <f aca="false">MIN(Debt!AH23,Funding!AH52)*(1-Debt!AH8)</f>
        <v>0</v>
      </c>
      <c r="AI25" s="20" t="n">
        <f aca="false">MIN(Debt!AI23,Funding!AI52)*(1-Debt!AI8)</f>
        <v>0</v>
      </c>
      <c r="AJ25" s="20" t="n">
        <f aca="false">MIN(Debt!AJ23,Funding!AJ52)*(1-Debt!AJ8)</f>
        <v>0</v>
      </c>
      <c r="AK25" s="20" t="n">
        <f aca="false">MIN(Debt!AK23,Funding!AK52)*(1-Debt!AK8)</f>
        <v>0</v>
      </c>
      <c r="AL25" s="20" t="n">
        <f aca="false">MIN(Debt!AL23,Funding!AL52)*(1-Debt!AL8)</f>
        <v>0</v>
      </c>
      <c r="AM25" s="20" t="n">
        <f aca="false">MIN(Debt!AM23,Funding!AM52)*(1-Debt!AM8)</f>
        <v>0</v>
      </c>
      <c r="AN25" s="20" t="n">
        <f aca="false">MIN(Debt!AN23,Funding!AN52)*(1-Debt!AN8)</f>
        <v>0</v>
      </c>
      <c r="AO25" s="20" t="n">
        <f aca="false">MIN(Debt!AO23,Funding!AO52)*(1-Debt!AO8)</f>
        <v>0</v>
      </c>
      <c r="AP25" s="20" t="n">
        <f aca="false">MIN(Debt!AP23,Funding!AP52)*(1-Debt!AP8)</f>
        <v>0</v>
      </c>
      <c r="AQ25" s="20" t="n">
        <f aca="false">MIN(Debt!AQ23,Funding!AQ52)*(1-Debt!AQ8)</f>
        <v>0</v>
      </c>
      <c r="AR25" s="20" t="n">
        <f aca="false">MIN(Debt!AR23,Funding!AR52)*(1-Debt!AR8)</f>
        <v>0</v>
      </c>
      <c r="AS25" s="20" t="n">
        <f aca="false">MIN(Debt!AS23,Funding!AS52)*(1-Debt!AS8)</f>
        <v>0</v>
      </c>
      <c r="AT25" s="20" t="n">
        <f aca="false">MIN(Debt!AT23,Funding!AT52)*(1-Debt!AT8)</f>
        <v>0</v>
      </c>
      <c r="AU25" s="20" t="n">
        <f aca="false">MIN(Debt!AU23,Funding!AU52)*(1-Debt!AU8)</f>
        <v>0</v>
      </c>
    </row>
    <row r="26" customFormat="false" ht="15" hidden="false" customHeight="false" outlineLevel="0" collapsed="false">
      <c r="D26" s="0" t="s">
        <v>1044</v>
      </c>
      <c r="E26" s="0" t="s">
        <v>47</v>
      </c>
      <c r="J26" s="20" t="n">
        <f aca="false">Debt!J9*(Debt!J23-Debt!J25)</f>
        <v>0</v>
      </c>
      <c r="K26" s="20" t="n">
        <f aca="false">Debt!K9*(Debt!K23-Debt!K25)</f>
        <v>0</v>
      </c>
      <c r="L26" s="20" t="n">
        <f aca="false">Debt!L9*(Debt!L23-Debt!L25)</f>
        <v>0</v>
      </c>
      <c r="M26" s="20" t="n">
        <f aca="false">Debt!M9*(Debt!M23-Debt!M25)</f>
        <v>25.6339817363271</v>
      </c>
      <c r="N26" s="20" t="n">
        <f aca="false">Debt!N9*(Debt!N23-Debt!N25)</f>
        <v>0</v>
      </c>
      <c r="O26" s="20" t="n">
        <f aca="false">Debt!O9*(Debt!O23-Debt!O25)</f>
        <v>0</v>
      </c>
      <c r="P26" s="20" t="n">
        <f aca="false">Debt!P9*(Debt!P23-Debt!P25)</f>
        <v>0</v>
      </c>
      <c r="Q26" s="20" t="n">
        <f aca="false">Debt!Q9*(Debt!Q23-Debt!Q25)</f>
        <v>0</v>
      </c>
      <c r="R26" s="20" t="n">
        <f aca="false">Debt!R9*(Debt!R23-Debt!R25)</f>
        <v>0</v>
      </c>
      <c r="S26" s="20" t="n">
        <f aca="false">Debt!S9*(Debt!S23-Debt!S25)</f>
        <v>0</v>
      </c>
      <c r="T26" s="20" t="n">
        <f aca="false">Debt!T9*(Debt!T23-Debt!T25)</f>
        <v>0</v>
      </c>
      <c r="U26" s="20" t="n">
        <f aca="false">Debt!U9*(Debt!U23-Debt!U25)</f>
        <v>0</v>
      </c>
      <c r="V26" s="20" t="n">
        <f aca="false">Debt!V9*(Debt!V23-Debt!V25)</f>
        <v>0</v>
      </c>
      <c r="W26" s="20" t="n">
        <f aca="false">Debt!W9*(Debt!W23-Debt!W25)</f>
        <v>0</v>
      </c>
      <c r="X26" s="20" t="n">
        <f aca="false">Debt!X9*(Debt!X23-Debt!X25)</f>
        <v>0</v>
      </c>
      <c r="Y26" s="20" t="n">
        <f aca="false">Debt!Y9*(Debt!Y23-Debt!Y25)</f>
        <v>0</v>
      </c>
      <c r="Z26" s="20" t="n">
        <f aca="false">Debt!Z9*(Debt!Z23-Debt!Z25)</f>
        <v>0</v>
      </c>
      <c r="AA26" s="20" t="n">
        <f aca="false">Debt!AA9*(Debt!AA23-Debt!AA25)</f>
        <v>0</v>
      </c>
      <c r="AB26" s="20" t="n">
        <f aca="false">Debt!AB9*(Debt!AB23-Debt!AB25)</f>
        <v>0</v>
      </c>
      <c r="AC26" s="20" t="n">
        <f aca="false">Debt!AC9*(Debt!AC23-Debt!AC25)</f>
        <v>0</v>
      </c>
      <c r="AD26" s="20" t="n">
        <f aca="false">Debt!AD9*(Debt!AD23-Debt!AD25)</f>
        <v>0</v>
      </c>
      <c r="AE26" s="20" t="n">
        <f aca="false">Debt!AE9*(Debt!AE23-Debt!AE25)</f>
        <v>0</v>
      </c>
      <c r="AF26" s="20" t="n">
        <f aca="false">Debt!AF9*(Debt!AF23-Debt!AF25)</f>
        <v>0</v>
      </c>
      <c r="AG26" s="20" t="n">
        <f aca="false">Debt!AG9*(Debt!AG23-Debt!AG25)</f>
        <v>0</v>
      </c>
      <c r="AH26" s="20" t="n">
        <f aca="false">Debt!AH9*(Debt!AH23-Debt!AH25)</f>
        <v>0</v>
      </c>
      <c r="AI26" s="20" t="n">
        <f aca="false">Debt!AI9*(Debt!AI23-Debt!AI25)</f>
        <v>0</v>
      </c>
      <c r="AJ26" s="20" t="n">
        <f aca="false">Debt!AJ9*(Debt!AJ23-Debt!AJ25)</f>
        <v>0</v>
      </c>
      <c r="AK26" s="20" t="n">
        <f aca="false">Debt!AK9*(Debt!AK23-Debt!AK25)</f>
        <v>0</v>
      </c>
      <c r="AL26" s="20" t="n">
        <f aca="false">Debt!AL9*(Debt!AL23-Debt!AL25)</f>
        <v>0</v>
      </c>
      <c r="AM26" s="20" t="n">
        <f aca="false">Debt!AM9*(Debt!AM23-Debt!AM25)</f>
        <v>0</v>
      </c>
      <c r="AN26" s="20" t="n">
        <f aca="false">Debt!AN9*(Debt!AN23-Debt!AN25)</f>
        <v>0</v>
      </c>
      <c r="AO26" s="20" t="n">
        <f aca="false">Debt!AO9*(Debt!AO23-Debt!AO25)</f>
        <v>0</v>
      </c>
      <c r="AP26" s="20" t="n">
        <f aca="false">Debt!AP9*(Debt!AP23-Debt!AP25)</f>
        <v>0</v>
      </c>
      <c r="AQ26" s="20" t="n">
        <f aca="false">Debt!AQ9*(Debt!AQ23-Debt!AQ25)</f>
        <v>0</v>
      </c>
      <c r="AR26" s="20" t="n">
        <f aca="false">Debt!AR9*(Debt!AR23-Debt!AR25)</f>
        <v>0</v>
      </c>
      <c r="AS26" s="20" t="n">
        <f aca="false">Debt!AS9*(Debt!AS23-Debt!AS25)</f>
        <v>0</v>
      </c>
      <c r="AT26" s="20" t="n">
        <f aca="false">Debt!AT9*(Debt!AT23-Debt!AT25)</f>
        <v>0</v>
      </c>
      <c r="AU26" s="20" t="n">
        <f aca="false">Debt!AU9*(Debt!AU23-Debt!AU25)</f>
        <v>0</v>
      </c>
    </row>
    <row r="27" customFormat="false" ht="15" hidden="false" customHeight="false" outlineLevel="0" collapsed="false">
      <c r="D27" s="0" t="s">
        <v>1048</v>
      </c>
      <c r="E27" s="0" t="s">
        <v>47</v>
      </c>
      <c r="G27" s="20" t="n">
        <f aca="false">SUM(J27:AU27)</f>
        <v>16.1029356642345</v>
      </c>
      <c r="J27" s="20" t="n">
        <f aca="false">Debt!J24+Debt!J25</f>
        <v>0</v>
      </c>
      <c r="K27" s="20" t="n">
        <f aca="false">Debt!K24+Debt!K25</f>
        <v>2.31832322881786</v>
      </c>
      <c r="L27" s="20" t="n">
        <f aca="false">Debt!L24+Debt!L25</f>
        <v>6.90710037962963</v>
      </c>
      <c r="M27" s="20" t="n">
        <f aca="false">Debt!M24+Debt!M25</f>
        <v>6.87751205578704</v>
      </c>
      <c r="N27" s="20" t="n">
        <f aca="false">Debt!N24+Debt!N25</f>
        <v>0</v>
      </c>
      <c r="O27" s="20" t="n">
        <f aca="false">Debt!O24+Debt!O25</f>
        <v>0</v>
      </c>
      <c r="P27" s="20" t="n">
        <f aca="false">Debt!P24+Debt!P25</f>
        <v>0</v>
      </c>
      <c r="Q27" s="20" t="n">
        <f aca="false">Debt!Q24+Debt!Q25</f>
        <v>0</v>
      </c>
      <c r="R27" s="20" t="n">
        <f aca="false">Debt!R24+Debt!R25</f>
        <v>0</v>
      </c>
      <c r="S27" s="20" t="n">
        <f aca="false">Debt!S24+Debt!S25</f>
        <v>0</v>
      </c>
      <c r="T27" s="20" t="n">
        <f aca="false">Debt!T24+Debt!T25</f>
        <v>0</v>
      </c>
      <c r="U27" s="20" t="n">
        <f aca="false">Debt!U24+Debt!U25</f>
        <v>0</v>
      </c>
      <c r="V27" s="20" t="n">
        <f aca="false">Debt!V24+Debt!V25</f>
        <v>0</v>
      </c>
      <c r="W27" s="20" t="n">
        <f aca="false">Debt!W24+Debt!W25</f>
        <v>0</v>
      </c>
      <c r="X27" s="20" t="n">
        <f aca="false">Debt!X24+Debt!X25</f>
        <v>0</v>
      </c>
      <c r="Y27" s="20" t="n">
        <f aca="false">Debt!Y24+Debt!Y25</f>
        <v>0</v>
      </c>
      <c r="Z27" s="20" t="n">
        <f aca="false">Debt!Z24+Debt!Z25</f>
        <v>0</v>
      </c>
      <c r="AA27" s="20" t="n">
        <f aca="false">Debt!AA24+Debt!AA25</f>
        <v>0</v>
      </c>
      <c r="AB27" s="20" t="n">
        <f aca="false">Debt!AB24+Debt!AB25</f>
        <v>0</v>
      </c>
      <c r="AC27" s="20" t="n">
        <f aca="false">Debt!AC24+Debt!AC25</f>
        <v>0</v>
      </c>
      <c r="AD27" s="20" t="n">
        <f aca="false">Debt!AD24+Debt!AD25</f>
        <v>0</v>
      </c>
      <c r="AE27" s="20" t="n">
        <f aca="false">Debt!AE24+Debt!AE25</f>
        <v>0</v>
      </c>
      <c r="AF27" s="20" t="n">
        <f aca="false">Debt!AF24+Debt!AF25</f>
        <v>0</v>
      </c>
      <c r="AG27" s="20" t="n">
        <f aca="false">Debt!AG24+Debt!AG25</f>
        <v>0</v>
      </c>
      <c r="AH27" s="20" t="n">
        <f aca="false">Debt!AH24+Debt!AH25</f>
        <v>0</v>
      </c>
      <c r="AI27" s="20" t="n">
        <f aca="false">Debt!AI24+Debt!AI25</f>
        <v>0</v>
      </c>
      <c r="AJ27" s="20" t="n">
        <f aca="false">Debt!AJ24+Debt!AJ25</f>
        <v>0</v>
      </c>
      <c r="AK27" s="20" t="n">
        <f aca="false">Debt!AK24+Debt!AK25</f>
        <v>0</v>
      </c>
      <c r="AL27" s="20" t="n">
        <f aca="false">Debt!AL24+Debt!AL25</f>
        <v>0</v>
      </c>
      <c r="AM27" s="20" t="n">
        <f aca="false">Debt!AM24+Debt!AM25</f>
        <v>0</v>
      </c>
      <c r="AN27" s="20" t="n">
        <f aca="false">Debt!AN24+Debt!AN25</f>
        <v>0</v>
      </c>
      <c r="AO27" s="20" t="n">
        <f aca="false">Debt!AO24+Debt!AO25</f>
        <v>0</v>
      </c>
      <c r="AP27" s="20" t="n">
        <f aca="false">Debt!AP24+Debt!AP25</f>
        <v>0</v>
      </c>
      <c r="AQ27" s="20" t="n">
        <f aca="false">Debt!AQ24+Debt!AQ25</f>
        <v>0</v>
      </c>
      <c r="AR27" s="20" t="n">
        <f aca="false">Debt!AR24+Debt!AR25</f>
        <v>0</v>
      </c>
      <c r="AS27" s="20" t="n">
        <f aca="false">Debt!AS24+Debt!AS25</f>
        <v>0</v>
      </c>
      <c r="AT27" s="20" t="n">
        <f aca="false">Debt!AT24+Debt!AT25</f>
        <v>0</v>
      </c>
      <c r="AU27" s="20" t="n">
        <f aca="false">Debt!AU24+Debt!AU25</f>
        <v>0</v>
      </c>
    </row>
    <row r="28" customFormat="false" ht="15" hidden="false" customHeight="false" outlineLevel="0" collapsed="false">
      <c r="D28" s="0" t="s">
        <v>1046</v>
      </c>
      <c r="E28" s="0" t="s">
        <v>47</v>
      </c>
      <c r="J28" s="20" t="n">
        <f aca="false">Debt!J23-Debt!J25-Debt!J26</f>
        <v>0</v>
      </c>
      <c r="K28" s="20" t="n">
        <f aca="false">Debt!K23-Debt!K25-Debt!K26</f>
        <v>35.1047069149638</v>
      </c>
      <c r="L28" s="20" t="n">
        <f aca="false">Debt!L23-Debt!L25-Debt!L26</f>
        <v>30.540845721908</v>
      </c>
      <c r="M28" s="20" t="n">
        <f aca="false">Debt!M23-Debt!M25-Debt!M26</f>
        <v>0</v>
      </c>
      <c r="N28" s="20" t="n">
        <f aca="false">Debt!N23-Debt!N25-Debt!N26</f>
        <v>0</v>
      </c>
      <c r="O28" s="20" t="n">
        <f aca="false">Debt!O23-Debt!O25-Debt!O26</f>
        <v>0</v>
      </c>
      <c r="P28" s="20" t="n">
        <f aca="false">Debt!P23-Debt!P25-Debt!P26</f>
        <v>0</v>
      </c>
      <c r="Q28" s="20" t="n">
        <f aca="false">Debt!Q23-Debt!Q25-Debt!Q26</f>
        <v>0</v>
      </c>
      <c r="R28" s="20" t="n">
        <f aca="false">Debt!R23-Debt!R25-Debt!R26</f>
        <v>0</v>
      </c>
      <c r="S28" s="20" t="n">
        <f aca="false">Debt!S23-Debt!S25-Debt!S26</f>
        <v>0</v>
      </c>
      <c r="T28" s="20" t="n">
        <f aca="false">Debt!T23-Debt!T25-Debt!T26</f>
        <v>0</v>
      </c>
      <c r="U28" s="20" t="n">
        <f aca="false">Debt!U23-Debt!U25-Debt!U26</f>
        <v>0</v>
      </c>
      <c r="V28" s="20" t="n">
        <f aca="false">Debt!V23-Debt!V25-Debt!V26</f>
        <v>0</v>
      </c>
      <c r="W28" s="20" t="n">
        <f aca="false">Debt!W23-Debt!W25-Debt!W26</f>
        <v>0</v>
      </c>
      <c r="X28" s="20" t="n">
        <f aca="false">Debt!X23-Debt!X25-Debt!X26</f>
        <v>0</v>
      </c>
      <c r="Y28" s="20" t="n">
        <f aca="false">Debt!Y23-Debt!Y25-Debt!Y26</f>
        <v>0</v>
      </c>
      <c r="Z28" s="20" t="n">
        <f aca="false">Debt!Z23-Debt!Z25-Debt!Z26</f>
        <v>0</v>
      </c>
      <c r="AA28" s="20" t="n">
        <f aca="false">Debt!AA23-Debt!AA25-Debt!AA26</f>
        <v>0</v>
      </c>
      <c r="AB28" s="20" t="n">
        <f aca="false">Debt!AB23-Debt!AB25-Debt!AB26</f>
        <v>0</v>
      </c>
      <c r="AC28" s="20" t="n">
        <f aca="false">Debt!AC23-Debt!AC25-Debt!AC26</f>
        <v>0</v>
      </c>
      <c r="AD28" s="20" t="n">
        <f aca="false">Debt!AD23-Debt!AD25-Debt!AD26</f>
        <v>0</v>
      </c>
      <c r="AE28" s="20" t="n">
        <f aca="false">Debt!AE23-Debt!AE25-Debt!AE26</f>
        <v>0</v>
      </c>
      <c r="AF28" s="20" t="n">
        <f aca="false">Debt!AF23-Debt!AF25-Debt!AF26</f>
        <v>0</v>
      </c>
      <c r="AG28" s="20" t="n">
        <f aca="false">Debt!AG23-Debt!AG25-Debt!AG26</f>
        <v>0</v>
      </c>
      <c r="AH28" s="20" t="n">
        <f aca="false">Debt!AH23-Debt!AH25-Debt!AH26</f>
        <v>0</v>
      </c>
      <c r="AI28" s="20" t="n">
        <f aca="false">Debt!AI23-Debt!AI25-Debt!AI26</f>
        <v>0</v>
      </c>
      <c r="AJ28" s="20" t="n">
        <f aca="false">Debt!AJ23-Debt!AJ25-Debt!AJ26</f>
        <v>0</v>
      </c>
      <c r="AK28" s="20" t="n">
        <f aca="false">Debt!AK23-Debt!AK25-Debt!AK26</f>
        <v>0</v>
      </c>
      <c r="AL28" s="20" t="n">
        <f aca="false">Debt!AL23-Debt!AL25-Debt!AL26</f>
        <v>0</v>
      </c>
      <c r="AM28" s="20" t="n">
        <f aca="false">Debt!AM23-Debt!AM25-Debt!AM26</f>
        <v>0</v>
      </c>
      <c r="AN28" s="20" t="n">
        <f aca="false">Debt!AN23-Debt!AN25-Debt!AN26</f>
        <v>0</v>
      </c>
      <c r="AO28" s="20" t="n">
        <f aca="false">Debt!AO23-Debt!AO25-Debt!AO26</f>
        <v>0</v>
      </c>
      <c r="AP28" s="20" t="n">
        <f aca="false">Debt!AP23-Debt!AP25-Debt!AP26</f>
        <v>0</v>
      </c>
      <c r="AQ28" s="20" t="n">
        <f aca="false">Debt!AQ23-Debt!AQ25-Debt!AQ26</f>
        <v>0</v>
      </c>
      <c r="AR28" s="20" t="n">
        <f aca="false">Debt!AR23-Debt!AR25-Debt!AR26</f>
        <v>0</v>
      </c>
      <c r="AS28" s="20" t="n">
        <f aca="false">Debt!AS23-Debt!AS25-Debt!AS26</f>
        <v>0</v>
      </c>
      <c r="AT28" s="20" t="n">
        <f aca="false">Debt!AT23-Debt!AT25-Debt!AT26</f>
        <v>0</v>
      </c>
      <c r="AU28" s="20" t="n">
        <f aca="false">Debt!AU23-Debt!AU25-Debt!AU26</f>
        <v>0</v>
      </c>
    </row>
    <row r="30" customFormat="false" ht="15" hidden="false" customHeight="false" outlineLevel="0" collapsed="false">
      <c r="A30" s="4" t="s">
        <v>1049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</row>
    <row r="31" customFormat="false" ht="15" hidden="false" customHeight="false" outlineLevel="0" collapsed="false">
      <c r="D31" s="0" t="s">
        <v>1041</v>
      </c>
      <c r="E31" s="0" t="s">
        <v>47</v>
      </c>
      <c r="J31" s="20" t="n">
        <f aca="false">Funding!J78*Inputs!$F$10</f>
        <v>0</v>
      </c>
      <c r="K31" s="20" t="n">
        <f aca="false">Funding!K78*Inputs!$F$10</f>
        <v>0</v>
      </c>
      <c r="L31" s="20" t="n">
        <f aca="false">Funding!L78*Inputs!$F$10</f>
        <v>0</v>
      </c>
      <c r="M31" s="20" t="n">
        <f aca="false">Funding!M78*Inputs!$F$10</f>
        <v>0</v>
      </c>
      <c r="N31" s="20" t="n">
        <f aca="false">Funding!N78*Inputs!$F$10</f>
        <v>355.23779963863</v>
      </c>
      <c r="O31" s="20" t="n">
        <f aca="false">Funding!O78*Inputs!$F$10</f>
        <v>331.10218165993</v>
      </c>
      <c r="P31" s="20" t="n">
        <f aca="false">Funding!P78*Inputs!$F$10</f>
        <v>307.755944047818</v>
      </c>
      <c r="Q31" s="20" t="n">
        <f aca="false">Funding!Q78*Inputs!$F$10</f>
        <v>286.146561969485</v>
      </c>
      <c r="R31" s="20" t="n">
        <f aca="false">Funding!R78*Inputs!$F$10</f>
        <v>263.707496863836</v>
      </c>
      <c r="S31" s="20" t="n">
        <f aca="false">Funding!S78*Inputs!$F$10</f>
        <v>245.218810211095</v>
      </c>
      <c r="T31" s="20" t="n">
        <f aca="false">Funding!T78*Inputs!$F$10</f>
        <v>228.219342297658</v>
      </c>
      <c r="U31" s="20" t="n">
        <f aca="false">Funding!U78*Inputs!$F$10</f>
        <v>212.426235832124</v>
      </c>
      <c r="V31" s="20" t="n">
        <f aca="false">Funding!V78*Inputs!$F$10</f>
        <v>196.945605754298</v>
      </c>
      <c r="W31" s="20" t="n">
        <f aca="false">Funding!W78*Inputs!$F$10</f>
        <v>180.729502734314</v>
      </c>
      <c r="X31" s="20" t="n">
        <f aca="false">Funding!X78*Inputs!$F$10</f>
        <v>164.731610664347</v>
      </c>
      <c r="Y31" s="20" t="n">
        <f aca="false">Funding!Y78*Inputs!$F$10</f>
        <v>147.875258973197</v>
      </c>
      <c r="Z31" s="20" t="n">
        <f aca="false">Funding!Z78*Inputs!$F$10</f>
        <v>130.092489598907</v>
      </c>
      <c r="AA31" s="20" t="n">
        <f aca="false">Funding!AA78*Inputs!$F$10</f>
        <v>111.284720612223</v>
      </c>
      <c r="AB31" s="20" t="n">
        <f aca="false">Funding!AB78*Inputs!$F$10</f>
        <v>91.2766801100971</v>
      </c>
      <c r="AC31" s="20" t="n">
        <f aca="false">Funding!AC78*Inputs!$F$10</f>
        <v>69.9966635031964</v>
      </c>
      <c r="AD31" s="20" t="n">
        <f aca="false">Funding!AD78*Inputs!$F$10</f>
        <v>47.3761665268362</v>
      </c>
      <c r="AE31" s="20" t="n">
        <f aca="false">Funding!AE78*Inputs!$F$10</f>
        <v>23.3350032648462</v>
      </c>
      <c r="AF31" s="20" t="n">
        <f aca="false">Funding!AF78*Inputs!$F$10</f>
        <v>0</v>
      </c>
      <c r="AG31" s="20" t="n">
        <f aca="false">Funding!AG78*Inputs!$F$10</f>
        <v>0</v>
      </c>
      <c r="AH31" s="20" t="n">
        <f aca="false">Funding!AH78*Inputs!$F$10</f>
        <v>0</v>
      </c>
      <c r="AI31" s="20" t="n">
        <f aca="false">Funding!AI78*Inputs!$F$10</f>
        <v>0</v>
      </c>
      <c r="AJ31" s="20" t="n">
        <f aca="false">Funding!AJ78*Inputs!$F$10</f>
        <v>0</v>
      </c>
      <c r="AK31" s="20" t="n">
        <f aca="false">Funding!AK78*Inputs!$F$10</f>
        <v>0</v>
      </c>
      <c r="AL31" s="20" t="n">
        <f aca="false">Funding!AL78*Inputs!$F$10</f>
        <v>0</v>
      </c>
      <c r="AM31" s="20" t="n">
        <f aca="false">Funding!AM78*Inputs!$F$10</f>
        <v>0</v>
      </c>
      <c r="AN31" s="20" t="n">
        <f aca="false">Funding!AN78*Inputs!$F$10</f>
        <v>0</v>
      </c>
      <c r="AO31" s="20" t="n">
        <f aca="false">Funding!AO78*Inputs!$F$10</f>
        <v>0</v>
      </c>
      <c r="AP31" s="20" t="n">
        <f aca="false">Funding!AP78*Inputs!$F$10</f>
        <v>0</v>
      </c>
      <c r="AQ31" s="20" t="n">
        <f aca="false">Funding!AQ78*Inputs!$F$10</f>
        <v>0</v>
      </c>
      <c r="AR31" s="20" t="n">
        <f aca="false">Funding!AR78*Inputs!$F$10</f>
        <v>0</v>
      </c>
      <c r="AS31" s="20" t="n">
        <f aca="false">Funding!AS78*Inputs!$F$10</f>
        <v>0</v>
      </c>
      <c r="AT31" s="20" t="n">
        <f aca="false">Funding!AT78*Inputs!$F$10</f>
        <v>0</v>
      </c>
      <c r="AU31" s="20" t="n">
        <f aca="false">Funding!AU78*Inputs!$F$10</f>
        <v>0</v>
      </c>
    </row>
    <row r="32" customFormat="false" ht="15" hidden="false" customHeight="false" outlineLevel="0" collapsed="false">
      <c r="D32" s="0" t="s">
        <v>1042</v>
      </c>
      <c r="E32" s="0" t="s">
        <v>47</v>
      </c>
      <c r="G32" s="20" t="n">
        <f aca="false">SUM(J32:AU32)</f>
        <v>210.666616273775</v>
      </c>
      <c r="J32" s="20" t="n">
        <f aca="false">Funding!J79*Inputs!$F$10</f>
        <v>0</v>
      </c>
      <c r="K32" s="20" t="n">
        <f aca="false">Funding!K79*Inputs!$F$10</f>
        <v>0</v>
      </c>
      <c r="L32" s="20" t="n">
        <f aca="false">Funding!L79*Inputs!$F$10</f>
        <v>0</v>
      </c>
      <c r="M32" s="20" t="n">
        <f aca="false">Funding!M79*Inputs!$F$10</f>
        <v>0</v>
      </c>
      <c r="N32" s="20" t="n">
        <f aca="false">Funding!N79*Inputs!$F$10</f>
        <v>21.4733421497013</v>
      </c>
      <c r="O32" s="20" t="n">
        <f aca="false">Funding!O79*Inputs!$F$10</f>
        <v>20.0951983631175</v>
      </c>
      <c r="P32" s="20" t="n">
        <f aca="false">Funding!P79*Inputs!$F$10</f>
        <v>18.7621281954659</v>
      </c>
      <c r="Q32" s="20" t="n">
        <f aca="false">Funding!Q79*Inputs!$F$10</f>
        <v>17.5282324787931</v>
      </c>
      <c r="R32" s="20" t="n">
        <f aca="false">Funding!R79*Inputs!$F$10</f>
        <v>16.2469618612605</v>
      </c>
      <c r="S32" s="20" t="n">
        <f aca="false">Funding!S79*Inputs!$F$10</f>
        <v>15.191257853389</v>
      </c>
      <c r="T32" s="20" t="n">
        <f aca="false">Funding!T79*Inputs!$F$10</f>
        <v>14.2205882355317</v>
      </c>
      <c r="U32" s="20" t="n">
        <f aca="false">Funding!U79*Inputs!$F$10</f>
        <v>13.3188018563497</v>
      </c>
      <c r="V32" s="20" t="n">
        <f aca="false">Funding!V79*Inputs!$F$10</f>
        <v>12.3775795476179</v>
      </c>
      <c r="W32" s="20" t="n">
        <f aca="false">Funding!W79*Inputs!$F$10</f>
        <v>11.3916404840029</v>
      </c>
      <c r="X32" s="20" t="n">
        <f aca="false">Funding!X79*Inputs!$F$10</f>
        <v>10.4189686461489</v>
      </c>
      <c r="Y32" s="20" t="n">
        <f aca="false">Funding!Y79*Inputs!$F$10</f>
        <v>9.39410246332701</v>
      </c>
      <c r="Z32" s="20" t="n">
        <f aca="false">Funding!Z79*Inputs!$F$10</f>
        <v>8.31291008537018</v>
      </c>
      <c r="AA32" s="20" t="n">
        <f aca="false">Funding!AA79*Inputs!$F$10</f>
        <v>7.11109364712107</v>
      </c>
      <c r="AB32" s="20" t="n">
        <f aca="false">Funding!AB79*Inputs!$F$10</f>
        <v>5.8325798590352</v>
      </c>
      <c r="AC32" s="20" t="n">
        <f aca="false">Funding!AC79*Inputs!$F$10</f>
        <v>4.47278679785425</v>
      </c>
      <c r="AD32" s="20" t="n">
        <f aca="false">Funding!AD79*Inputs!$F$10</f>
        <v>3.02733704106484</v>
      </c>
      <c r="AE32" s="20" t="n">
        <f aca="false">Funding!AE79*Inputs!$F$10</f>
        <v>1.49110670862367</v>
      </c>
      <c r="AF32" s="20" t="n">
        <f aca="false">Funding!AF79*Inputs!$F$10</f>
        <v>0</v>
      </c>
      <c r="AG32" s="20" t="n">
        <f aca="false">Funding!AG79*Inputs!$F$10</f>
        <v>0</v>
      </c>
      <c r="AH32" s="20" t="n">
        <f aca="false">Funding!AH79*Inputs!$F$10</f>
        <v>0</v>
      </c>
      <c r="AI32" s="20" t="n">
        <f aca="false">Funding!AI79*Inputs!$F$10</f>
        <v>0</v>
      </c>
      <c r="AJ32" s="20" t="n">
        <f aca="false">Funding!AJ79*Inputs!$F$10</f>
        <v>0</v>
      </c>
      <c r="AK32" s="20" t="n">
        <f aca="false">Funding!AK79*Inputs!$F$10</f>
        <v>0</v>
      </c>
      <c r="AL32" s="20" t="n">
        <f aca="false">Funding!AL79*Inputs!$F$10</f>
        <v>0</v>
      </c>
      <c r="AM32" s="20" t="n">
        <f aca="false">Funding!AM79*Inputs!$F$10</f>
        <v>0</v>
      </c>
      <c r="AN32" s="20" t="n">
        <f aca="false">Funding!AN79*Inputs!$F$10</f>
        <v>0</v>
      </c>
      <c r="AO32" s="20" t="n">
        <f aca="false">Funding!AO79*Inputs!$F$10</f>
        <v>0</v>
      </c>
      <c r="AP32" s="20" t="n">
        <f aca="false">Funding!AP79*Inputs!$F$10</f>
        <v>0</v>
      </c>
      <c r="AQ32" s="20" t="n">
        <f aca="false">Funding!AQ79*Inputs!$F$10</f>
        <v>0</v>
      </c>
      <c r="AR32" s="20" t="n">
        <f aca="false">Funding!AR79*Inputs!$F$10</f>
        <v>0</v>
      </c>
      <c r="AS32" s="20" t="n">
        <f aca="false">Funding!AS79*Inputs!$F$10</f>
        <v>0</v>
      </c>
      <c r="AT32" s="20" t="n">
        <f aca="false">Funding!AT79*Inputs!$F$10</f>
        <v>0</v>
      </c>
      <c r="AU32" s="20" t="n">
        <f aca="false">Funding!AU79*Inputs!$F$10</f>
        <v>0</v>
      </c>
    </row>
    <row r="33" customFormat="false" ht="15" hidden="false" customHeight="false" outlineLevel="0" collapsed="false">
      <c r="D33" s="0" t="s">
        <v>1050</v>
      </c>
      <c r="E33" s="0" t="s">
        <v>47</v>
      </c>
      <c r="G33" s="20" t="n">
        <f aca="false">SUM(J33:AU33)</f>
        <v>355.23779963863</v>
      </c>
      <c r="J33" s="20" t="n">
        <f aca="false">Funding!J74*Inputs!$F$10</f>
        <v>0</v>
      </c>
      <c r="K33" s="20" t="n">
        <f aca="false">Funding!K74*Inputs!$F$10</f>
        <v>0</v>
      </c>
      <c r="L33" s="20" t="n">
        <f aca="false">Funding!L74*Inputs!$F$10</f>
        <v>0</v>
      </c>
      <c r="M33" s="20" t="n">
        <f aca="false">Funding!M74*Inputs!$F$10</f>
        <v>0</v>
      </c>
      <c r="N33" s="20" t="n">
        <f aca="false">Funding!N74*Inputs!$F$10</f>
        <v>24.1356179787002</v>
      </c>
      <c r="O33" s="20" t="n">
        <f aca="false">Funding!O74*Inputs!$F$10</f>
        <v>23.346237612112</v>
      </c>
      <c r="P33" s="20" t="n">
        <f aca="false">Funding!P74*Inputs!$F$10</f>
        <v>21.6093820783327</v>
      </c>
      <c r="Q33" s="20" t="n">
        <f aca="false">Funding!Q74*Inputs!$F$10</f>
        <v>22.4390651056495</v>
      </c>
      <c r="R33" s="20" t="n">
        <f aca="false">Funding!R74*Inputs!$F$10</f>
        <v>18.4886866527412</v>
      </c>
      <c r="S33" s="20" t="n">
        <f aca="false">Funding!S74*Inputs!$F$10</f>
        <v>16.9994679134367</v>
      </c>
      <c r="T33" s="20" t="n">
        <f aca="false">Funding!T74*Inputs!$F$10</f>
        <v>15.7931064655344</v>
      </c>
      <c r="U33" s="20" t="n">
        <f aca="false">Funding!U74*Inputs!$F$10</f>
        <v>15.4806300778253</v>
      </c>
      <c r="V33" s="20" t="n">
        <f aca="false">Funding!V74*Inputs!$F$10</f>
        <v>16.2161030199843</v>
      </c>
      <c r="W33" s="20" t="n">
        <f aca="false">Funding!W74*Inputs!$F$10</f>
        <v>15.9978920699665</v>
      </c>
      <c r="X33" s="20" t="n">
        <f aca="false">Funding!X74*Inputs!$F$10</f>
        <v>16.8563516911501</v>
      </c>
      <c r="Y33" s="20" t="n">
        <f aca="false">Funding!Y74*Inputs!$F$10</f>
        <v>17.7827693742899</v>
      </c>
      <c r="Z33" s="20" t="n">
        <f aca="false">Funding!Z74*Inputs!$F$10</f>
        <v>18.8077689866841</v>
      </c>
      <c r="AA33" s="20" t="n">
        <f aca="false">Funding!AA74*Inputs!$F$10</f>
        <v>20.0080405021263</v>
      </c>
      <c r="AB33" s="20" t="n">
        <f aca="false">Funding!AB74*Inputs!$F$10</f>
        <v>21.2800166069006</v>
      </c>
      <c r="AC33" s="20" t="n">
        <f aca="false">Funding!AC74*Inputs!$F$10</f>
        <v>22.6204969763602</v>
      </c>
      <c r="AD33" s="20" t="n">
        <f aca="false">Funding!AD74*Inputs!$F$10</f>
        <v>24.04116326199</v>
      </c>
      <c r="AE33" s="20" t="n">
        <f aca="false">Funding!AE74*Inputs!$F$10</f>
        <v>23.3350032648462</v>
      </c>
      <c r="AF33" s="20" t="n">
        <f aca="false">Funding!AF74*Inputs!$F$10</f>
        <v>0</v>
      </c>
      <c r="AG33" s="20" t="n">
        <f aca="false">Funding!AG74*Inputs!$F$10</f>
        <v>0</v>
      </c>
      <c r="AH33" s="20" t="n">
        <f aca="false">Funding!AH74*Inputs!$F$10</f>
        <v>0</v>
      </c>
      <c r="AI33" s="20" t="n">
        <f aca="false">Funding!AI74*Inputs!$F$10</f>
        <v>0</v>
      </c>
      <c r="AJ33" s="20" t="n">
        <f aca="false">Funding!AJ74*Inputs!$F$10</f>
        <v>0</v>
      </c>
      <c r="AK33" s="20" t="n">
        <f aca="false">Funding!AK74*Inputs!$F$10</f>
        <v>0</v>
      </c>
      <c r="AL33" s="20" t="n">
        <f aca="false">Funding!AL74*Inputs!$F$10</f>
        <v>0</v>
      </c>
      <c r="AM33" s="20" t="n">
        <f aca="false">Funding!AM74*Inputs!$F$10</f>
        <v>0</v>
      </c>
      <c r="AN33" s="20" t="n">
        <f aca="false">Funding!AN74*Inputs!$F$10</f>
        <v>0</v>
      </c>
      <c r="AO33" s="20" t="n">
        <f aca="false">Funding!AO74*Inputs!$F$10</f>
        <v>0</v>
      </c>
      <c r="AP33" s="20" t="n">
        <f aca="false">Funding!AP74*Inputs!$F$10</f>
        <v>0</v>
      </c>
      <c r="AQ33" s="20" t="n">
        <f aca="false">Funding!AQ74*Inputs!$F$10</f>
        <v>0</v>
      </c>
      <c r="AR33" s="20" t="n">
        <f aca="false">Funding!AR74*Inputs!$F$10</f>
        <v>0</v>
      </c>
      <c r="AS33" s="20" t="n">
        <f aca="false">Funding!AS74*Inputs!$F$10</f>
        <v>0</v>
      </c>
      <c r="AT33" s="20" t="n">
        <f aca="false">Funding!AT74*Inputs!$F$10</f>
        <v>0</v>
      </c>
      <c r="AU33" s="20" t="n">
        <f aca="false">Funding!AU74*Inputs!$F$10</f>
        <v>0</v>
      </c>
    </row>
    <row r="34" customFormat="false" ht="15" hidden="false" customHeight="false" outlineLevel="0" collapsed="false">
      <c r="D34" s="0" t="s">
        <v>1048</v>
      </c>
      <c r="E34" s="0" t="s">
        <v>47</v>
      </c>
      <c r="G34" s="20" t="n">
        <f aca="false">SUM(J34:AU34)</f>
        <v>565.904415912405</v>
      </c>
      <c r="J34" s="20" t="n">
        <f aca="false">Debt!J32+Debt!J33</f>
        <v>0</v>
      </c>
      <c r="K34" s="20" t="n">
        <f aca="false">Debt!K32+Debt!K33</f>
        <v>0</v>
      </c>
      <c r="L34" s="20" t="n">
        <f aca="false">Debt!L32+Debt!L33</f>
        <v>0</v>
      </c>
      <c r="M34" s="20" t="n">
        <f aca="false">Debt!M32+Debt!M33</f>
        <v>0</v>
      </c>
      <c r="N34" s="20" t="n">
        <f aca="false">Debt!N32+Debt!N33</f>
        <v>45.6089601284015</v>
      </c>
      <c r="O34" s="20" t="n">
        <f aca="false">Debt!O32+Debt!O33</f>
        <v>43.4414359752294</v>
      </c>
      <c r="P34" s="20" t="n">
        <f aca="false">Debt!P32+Debt!P33</f>
        <v>40.3715102737986</v>
      </c>
      <c r="Q34" s="20" t="n">
        <f aca="false">Debt!Q32+Debt!Q33</f>
        <v>39.9672975844426</v>
      </c>
      <c r="R34" s="20" t="n">
        <f aca="false">Debt!R32+Debt!R33</f>
        <v>34.7356485140017</v>
      </c>
      <c r="S34" s="20" t="n">
        <f aca="false">Debt!S32+Debt!S33</f>
        <v>32.1907257668257</v>
      </c>
      <c r="T34" s="20" t="n">
        <f aca="false">Debt!T32+Debt!T33</f>
        <v>30.0136947010661</v>
      </c>
      <c r="U34" s="20" t="n">
        <f aca="false">Debt!U32+Debt!U33</f>
        <v>28.799431934175</v>
      </c>
      <c r="V34" s="20" t="n">
        <f aca="false">Debt!V32+Debt!V33</f>
        <v>28.5936825676022</v>
      </c>
      <c r="W34" s="20" t="n">
        <f aca="false">Debt!W32+Debt!W33</f>
        <v>27.3895325539694</v>
      </c>
      <c r="X34" s="20" t="n">
        <f aca="false">Debt!X32+Debt!X33</f>
        <v>27.275320337299</v>
      </c>
      <c r="Y34" s="20" t="n">
        <f aca="false">Debt!Y32+Debt!Y33</f>
        <v>27.1768718376169</v>
      </c>
      <c r="Z34" s="20" t="n">
        <f aca="false">Debt!Z32+Debt!Z33</f>
        <v>27.1206790720543</v>
      </c>
      <c r="AA34" s="20" t="n">
        <f aca="false">Debt!AA32+Debt!AA33</f>
        <v>27.1191341492473</v>
      </c>
      <c r="AB34" s="20" t="n">
        <f aca="false">Debt!AB32+Debt!AB33</f>
        <v>27.1125964659358</v>
      </c>
      <c r="AC34" s="20" t="n">
        <f aca="false">Debt!AC32+Debt!AC33</f>
        <v>27.0932837742145</v>
      </c>
      <c r="AD34" s="20" t="n">
        <f aca="false">Debt!AD32+Debt!AD33</f>
        <v>27.0685003030548</v>
      </c>
      <c r="AE34" s="20" t="n">
        <f aca="false">Debt!AE32+Debt!AE33</f>
        <v>24.8261099734699</v>
      </c>
      <c r="AF34" s="20" t="n">
        <f aca="false">Debt!AF32+Debt!AF33</f>
        <v>0</v>
      </c>
      <c r="AG34" s="20" t="n">
        <f aca="false">Debt!AG32+Debt!AG33</f>
        <v>0</v>
      </c>
      <c r="AH34" s="20" t="n">
        <f aca="false">Debt!AH32+Debt!AH33</f>
        <v>0</v>
      </c>
      <c r="AI34" s="20" t="n">
        <f aca="false">Debt!AI32+Debt!AI33</f>
        <v>0</v>
      </c>
      <c r="AJ34" s="20" t="n">
        <f aca="false">Debt!AJ32+Debt!AJ33</f>
        <v>0</v>
      </c>
      <c r="AK34" s="20" t="n">
        <f aca="false">Debt!AK32+Debt!AK33</f>
        <v>0</v>
      </c>
      <c r="AL34" s="20" t="n">
        <f aca="false">Debt!AL32+Debt!AL33</f>
        <v>0</v>
      </c>
      <c r="AM34" s="20" t="n">
        <f aca="false">Debt!AM32+Debt!AM33</f>
        <v>0</v>
      </c>
      <c r="AN34" s="20" t="n">
        <f aca="false">Debt!AN32+Debt!AN33</f>
        <v>0</v>
      </c>
      <c r="AO34" s="20" t="n">
        <f aca="false">Debt!AO32+Debt!AO33</f>
        <v>0</v>
      </c>
      <c r="AP34" s="20" t="n">
        <f aca="false">Debt!AP32+Debt!AP33</f>
        <v>0</v>
      </c>
      <c r="AQ34" s="20" t="n">
        <f aca="false">Debt!AQ32+Debt!AQ33</f>
        <v>0</v>
      </c>
      <c r="AR34" s="20" t="n">
        <f aca="false">Debt!AR32+Debt!AR33</f>
        <v>0</v>
      </c>
      <c r="AS34" s="20" t="n">
        <f aca="false">Debt!AS32+Debt!AS33</f>
        <v>0</v>
      </c>
      <c r="AT34" s="20" t="n">
        <f aca="false">Debt!AT32+Debt!AT33</f>
        <v>0</v>
      </c>
      <c r="AU34" s="20" t="n">
        <f aca="false">Debt!AU32+Debt!AU33</f>
        <v>0</v>
      </c>
    </row>
    <row r="36" customFormat="false" ht="15" hidden="false" customHeight="false" outlineLevel="0" collapsed="false">
      <c r="A36" s="4" t="s">
        <v>1051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</row>
    <row r="37" customFormat="false" ht="15" hidden="false" customHeight="false" outlineLevel="0" collapsed="false">
      <c r="D37" s="0" t="s">
        <v>1052</v>
      </c>
      <c r="E37" s="0" t="s">
        <v>458</v>
      </c>
      <c r="J37" s="14" t="n">
        <f aca="false">MAX(0,MIN(Inputs!$F$26,Time!J$6)-MAX(Inputs!$F$289,Time!J$5))/Time!J$7</f>
        <v>0.778082191780822</v>
      </c>
      <c r="K37" s="14" t="n">
        <f aca="false">MAX(0,MIN(Inputs!$F$26,Time!K$6)-MAX(Inputs!$F$289,Time!K$5))/Time!K$7</f>
        <v>1</v>
      </c>
      <c r="L37" s="14" t="n">
        <f aca="false">MAX(0,MIN(Inputs!$F$26,Time!L$6)-MAX(Inputs!$F$289,Time!L$5))/Time!L$7</f>
        <v>1</v>
      </c>
      <c r="M37" s="14" t="n">
        <f aca="false">MAX(0,MIN(Inputs!$F$26,Time!M$6)-MAX(Inputs!$F$289,Time!M$5))/Time!M$7</f>
        <v>1</v>
      </c>
      <c r="N37" s="14" t="n">
        <f aca="false">MAX(0,MIN(Inputs!$F$26,Time!N$6)-MAX(Inputs!$F$289,Time!N$5))/Time!N$7</f>
        <v>1</v>
      </c>
      <c r="O37" s="14" t="n">
        <f aca="false">MAX(0,MIN(Inputs!$F$26,Time!O$6)-MAX(Inputs!$F$289,Time!O$5))/Time!O$7</f>
        <v>1</v>
      </c>
      <c r="P37" s="14" t="n">
        <f aca="false">MAX(0,MIN(Inputs!$F$26,Time!P$6)-MAX(Inputs!$F$289,Time!P$5))/Time!P$7</f>
        <v>1</v>
      </c>
      <c r="Q37" s="14" t="n">
        <f aca="false">MAX(0,MIN(Inputs!$F$26,Time!Q$6)-MAX(Inputs!$F$289,Time!Q$5))/Time!Q$7</f>
        <v>1</v>
      </c>
      <c r="R37" s="14" t="n">
        <f aca="false">MAX(0,MIN(Inputs!$F$26,Time!R$6)-MAX(Inputs!$F$289,Time!R$5))/Time!R$7</f>
        <v>1</v>
      </c>
      <c r="S37" s="14" t="n">
        <f aca="false">MAX(0,MIN(Inputs!$F$26,Time!S$6)-MAX(Inputs!$F$289,Time!S$5))/Time!S$7</f>
        <v>1</v>
      </c>
      <c r="T37" s="14" t="n">
        <f aca="false">MAX(0,MIN(Inputs!$F$26,Time!T$6)-MAX(Inputs!$F$289,Time!T$5))/Time!T$7</f>
        <v>1</v>
      </c>
      <c r="U37" s="14" t="n">
        <f aca="false">MAX(0,MIN(Inputs!$F$26,Time!U$6)-MAX(Inputs!$F$289,Time!U$5))/Time!U$7</f>
        <v>1</v>
      </c>
      <c r="V37" s="14" t="n">
        <f aca="false">MAX(0,MIN(Inputs!$F$26,Time!V$6)-MAX(Inputs!$F$289,Time!V$5))/Time!V$7</f>
        <v>1</v>
      </c>
      <c r="W37" s="14" t="n">
        <f aca="false">MAX(0,MIN(Inputs!$F$26,Time!W$6)-MAX(Inputs!$F$289,Time!W$5))/Time!W$7</f>
        <v>1</v>
      </c>
      <c r="X37" s="14" t="n">
        <f aca="false">MAX(0,MIN(Inputs!$F$26,Time!X$6)-MAX(Inputs!$F$289,Time!X$5))/Time!X$7</f>
        <v>1</v>
      </c>
      <c r="Y37" s="14" t="n">
        <f aca="false">MAX(0,MIN(Inputs!$F$26,Time!Y$6)-MAX(Inputs!$F$289,Time!Y$5))/Time!Y$7</f>
        <v>1</v>
      </c>
      <c r="Z37" s="14" t="n">
        <f aca="false">MAX(0,MIN(Inputs!$F$26,Time!Z$6)-MAX(Inputs!$F$289,Time!Z$5))/Time!Z$7</f>
        <v>1</v>
      </c>
      <c r="AA37" s="14" t="n">
        <f aca="false">MAX(0,MIN(Inputs!$F$26,Time!AA$6)-MAX(Inputs!$F$289,Time!AA$5))/Time!AA$7</f>
        <v>1</v>
      </c>
      <c r="AB37" s="14" t="n">
        <f aca="false">MAX(0,MIN(Inputs!$F$26,Time!AB$6)-MAX(Inputs!$F$289,Time!AB$5))/Time!AB$7</f>
        <v>1</v>
      </c>
      <c r="AC37" s="14" t="n">
        <f aca="false">MAX(0,MIN(Inputs!$F$26,Time!AC$6)-MAX(Inputs!$F$289,Time!AC$5))/Time!AC$7</f>
        <v>1</v>
      </c>
      <c r="AD37" s="14" t="n">
        <f aca="false">MAX(0,MIN(Inputs!$F$26,Time!AD$6)-MAX(Inputs!$F$289,Time!AD$5))/Time!AD$7</f>
        <v>1</v>
      </c>
      <c r="AE37" s="14" t="n">
        <f aca="false">MAX(0,MIN(Inputs!$F$26,Time!AE$6)-MAX(Inputs!$F$289,Time!AE$5))/Time!AE$7</f>
        <v>1</v>
      </c>
      <c r="AF37" s="14" t="n">
        <f aca="false">MAX(0,MIN(Inputs!$F$26,Time!AF$6)-MAX(Inputs!$F$289,Time!AF$5))/Time!AF$7</f>
        <v>1</v>
      </c>
      <c r="AG37" s="14" t="n">
        <f aca="false">MAX(0,MIN(Inputs!$F$26,Time!AG$6)-MAX(Inputs!$F$289,Time!AG$5))/Time!AG$7</f>
        <v>1</v>
      </c>
      <c r="AH37" s="14" t="n">
        <f aca="false">MAX(0,MIN(Inputs!$F$26,Time!AH$6)-MAX(Inputs!$F$289,Time!AH$5))/Time!AH$7</f>
        <v>1</v>
      </c>
      <c r="AI37" s="14" t="n">
        <f aca="false">MAX(0,MIN(Inputs!$F$26,Time!AI$6)-MAX(Inputs!$F$289,Time!AI$5))/Time!AI$7</f>
        <v>1</v>
      </c>
      <c r="AJ37" s="14" t="n">
        <f aca="false">MAX(0,MIN(Inputs!$F$26,Time!AJ$6)-MAX(Inputs!$F$289,Time!AJ$5))/Time!AJ$7</f>
        <v>1</v>
      </c>
      <c r="AK37" s="14" t="n">
        <f aca="false">MAX(0,MIN(Inputs!$F$26,Time!AK$6)-MAX(Inputs!$F$289,Time!AK$5))/Time!AK$7</f>
        <v>1</v>
      </c>
      <c r="AL37" s="14" t="n">
        <f aca="false">MAX(0,MIN(Inputs!$F$26,Time!AL$6)-MAX(Inputs!$F$289,Time!AL$5))/Time!AL$7</f>
        <v>1</v>
      </c>
      <c r="AM37" s="14" t="n">
        <f aca="false">MAX(0,MIN(Inputs!$F$26,Time!AM$6)-MAX(Inputs!$F$289,Time!AM$5))/Time!AM$7</f>
        <v>1</v>
      </c>
      <c r="AN37" s="14" t="n">
        <f aca="false">MAX(0,MIN(Inputs!$F$26,Time!AN$6)-MAX(Inputs!$F$289,Time!AN$5))/Time!AN$7</f>
        <v>1</v>
      </c>
      <c r="AO37" s="14" t="n">
        <f aca="false">MAX(0,MIN(Inputs!$F$26,Time!AO$6)-MAX(Inputs!$F$289,Time!AO$5))/Time!AO$7</f>
        <v>1</v>
      </c>
      <c r="AP37" s="14" t="n">
        <f aca="false">MAX(0,MIN(Inputs!$F$26,Time!AP$6)-MAX(Inputs!$F$289,Time!AP$5))/Time!AP$7</f>
        <v>1</v>
      </c>
      <c r="AQ37" s="14" t="n">
        <f aca="false">MAX(0,MIN(Inputs!$F$26,Time!AQ$6)-MAX(Inputs!$F$289,Time!AQ$5))/Time!AQ$7</f>
        <v>1</v>
      </c>
      <c r="AR37" s="14" t="n">
        <f aca="false">MAX(0,MIN(Inputs!$F$26,Time!AR$6)-MAX(Inputs!$F$289,Time!AR$5))/Time!AR$7</f>
        <v>1</v>
      </c>
      <c r="AS37" s="14" t="n">
        <f aca="false">MAX(0,MIN(Inputs!$F$26,Time!AS$6)-MAX(Inputs!$F$289,Time!AS$5))/Time!AS$7</f>
        <v>1</v>
      </c>
      <c r="AT37" s="14" t="n">
        <f aca="false">MAX(0,MIN(Inputs!$F$26,Time!AT$6)-MAX(Inputs!$F$289,Time!AT$5))/Time!AT$7</f>
        <v>1</v>
      </c>
      <c r="AU37" s="14" t="n">
        <f aca="false">MAX(0,MIN(Inputs!$F$26,Time!AU$6)-MAX(Inputs!$F$289,Time!AU$5))/Time!AU$7</f>
        <v>1</v>
      </c>
    </row>
    <row r="38" customFormat="false" ht="15" hidden="false" customHeight="false" outlineLevel="0" collapsed="false">
      <c r="D38" s="0" t="s">
        <v>1053</v>
      </c>
      <c r="E38" s="0" t="s">
        <v>84</v>
      </c>
      <c r="J38" s="15" t="n">
        <f aca="false">MAX(Debt!J10,Inputs!$F$292)+Inputs!$F$291</f>
        <v>6.79</v>
      </c>
      <c r="K38" s="15" t="n">
        <f aca="false">MAX(Debt!K10,Inputs!$F$292)+Inputs!$F$291</f>
        <v>9.92</v>
      </c>
      <c r="L38" s="15" t="n">
        <f aca="false">MAX(Debt!L10,Inputs!$F$292)+Inputs!$F$291</f>
        <v>9.91</v>
      </c>
      <c r="M38" s="15" t="n">
        <f aca="false">MAX(Debt!M10,Inputs!$F$292)+Inputs!$F$291</f>
        <v>9.02</v>
      </c>
      <c r="N38" s="15" t="n">
        <f aca="false">MAX(Debt!N10,Inputs!$F$292)+Inputs!$F$291</f>
        <v>8.41</v>
      </c>
      <c r="O38" s="15" t="n">
        <f aca="false">MAX(Debt!O10,Inputs!$F$292)+Inputs!$F$291</f>
        <v>8.2</v>
      </c>
      <c r="P38" s="15" t="n">
        <f aca="false">MAX(Debt!P10,Inputs!$F$292)+Inputs!$F$291</f>
        <v>8.25</v>
      </c>
      <c r="Q38" s="15" t="n">
        <f aca="false">MAX(Debt!Q10,Inputs!$F$292)+Inputs!$F$291</f>
        <v>8.25</v>
      </c>
      <c r="R38" s="15" t="n">
        <f aca="false">MAX(Debt!R10,Inputs!$F$292)+Inputs!$F$291</f>
        <v>8.25</v>
      </c>
      <c r="S38" s="15" t="n">
        <f aca="false">MAX(Debt!S10,Inputs!$F$292)+Inputs!$F$291</f>
        <v>8.25</v>
      </c>
      <c r="T38" s="15" t="n">
        <f aca="false">MAX(Debt!T10,Inputs!$F$292)+Inputs!$F$291</f>
        <v>8.25</v>
      </c>
      <c r="U38" s="15" t="n">
        <f aca="false">MAX(Debt!U10,Inputs!$F$292)+Inputs!$F$291</f>
        <v>8.25</v>
      </c>
      <c r="V38" s="15" t="n">
        <f aca="false">MAX(Debt!V10,Inputs!$F$292)+Inputs!$F$291</f>
        <v>8.25</v>
      </c>
      <c r="W38" s="15" t="n">
        <f aca="false">MAX(Debt!W10,Inputs!$F$292)+Inputs!$F$291</f>
        <v>8.25</v>
      </c>
      <c r="X38" s="15" t="n">
        <f aca="false">MAX(Debt!X10,Inputs!$F$292)+Inputs!$F$291</f>
        <v>8.25</v>
      </c>
      <c r="Y38" s="15" t="n">
        <f aca="false">MAX(Debt!Y10,Inputs!$F$292)+Inputs!$F$291</f>
        <v>8.25</v>
      </c>
      <c r="Z38" s="15" t="n">
        <f aca="false">MAX(Debt!Z10,Inputs!$F$292)+Inputs!$F$291</f>
        <v>8.25</v>
      </c>
      <c r="AA38" s="15" t="n">
        <f aca="false">MAX(Debt!AA10,Inputs!$F$292)+Inputs!$F$291</f>
        <v>8.25</v>
      </c>
      <c r="AB38" s="15" t="n">
        <f aca="false">MAX(Debt!AB10,Inputs!$F$292)+Inputs!$F$291</f>
        <v>8.25</v>
      </c>
      <c r="AC38" s="15" t="n">
        <f aca="false">MAX(Debt!AC10,Inputs!$F$292)+Inputs!$F$291</f>
        <v>8.25</v>
      </c>
      <c r="AD38" s="15" t="n">
        <f aca="false">MAX(Debt!AD10,Inputs!$F$292)+Inputs!$F$291</f>
        <v>8.25</v>
      </c>
      <c r="AE38" s="15" t="n">
        <f aca="false">MAX(Debt!AE10,Inputs!$F$292)+Inputs!$F$291</f>
        <v>8.25</v>
      </c>
      <c r="AF38" s="15" t="n">
        <f aca="false">MAX(Debt!AF10,Inputs!$F$292)+Inputs!$F$291</f>
        <v>8.25</v>
      </c>
      <c r="AG38" s="15" t="n">
        <f aca="false">MAX(Debt!AG10,Inputs!$F$292)+Inputs!$F$291</f>
        <v>8.25</v>
      </c>
      <c r="AH38" s="15" t="n">
        <f aca="false">MAX(Debt!AH10,Inputs!$F$292)+Inputs!$F$291</f>
        <v>8.25</v>
      </c>
      <c r="AI38" s="15" t="n">
        <f aca="false">MAX(Debt!AI10,Inputs!$F$292)+Inputs!$F$291</f>
        <v>8.25</v>
      </c>
      <c r="AJ38" s="15" t="n">
        <f aca="false">MAX(Debt!AJ10,Inputs!$F$292)+Inputs!$F$291</f>
        <v>8.25</v>
      </c>
      <c r="AK38" s="15" t="n">
        <f aca="false">MAX(Debt!AK10,Inputs!$F$292)+Inputs!$F$291</f>
        <v>8.25</v>
      </c>
      <c r="AL38" s="15" t="n">
        <f aca="false">MAX(Debt!AL10,Inputs!$F$292)+Inputs!$F$291</f>
        <v>8.25</v>
      </c>
      <c r="AM38" s="15" t="n">
        <f aca="false">MAX(Debt!AM10,Inputs!$F$292)+Inputs!$F$291</f>
        <v>8.25</v>
      </c>
      <c r="AN38" s="15" t="n">
        <f aca="false">MAX(Debt!AN10,Inputs!$F$292)+Inputs!$F$291</f>
        <v>8.25</v>
      </c>
      <c r="AO38" s="15" t="n">
        <f aca="false">MAX(Debt!AO10,Inputs!$F$292)+Inputs!$F$291</f>
        <v>8.25</v>
      </c>
      <c r="AP38" s="15" t="n">
        <f aca="false">MAX(Debt!AP10,Inputs!$F$292)+Inputs!$F$291</f>
        <v>8.25</v>
      </c>
      <c r="AQ38" s="15" t="n">
        <f aca="false">MAX(Debt!AQ10,Inputs!$F$292)+Inputs!$F$291</f>
        <v>8.25</v>
      </c>
      <c r="AR38" s="15" t="n">
        <f aca="false">MAX(Debt!AR10,Inputs!$F$292)+Inputs!$F$291</f>
        <v>8.25</v>
      </c>
      <c r="AS38" s="15" t="n">
        <f aca="false">MAX(Debt!AS10,Inputs!$F$292)+Inputs!$F$291</f>
        <v>8.25</v>
      </c>
      <c r="AT38" s="15" t="n">
        <f aca="false">MAX(Debt!AT10,Inputs!$F$292)+Inputs!$F$291</f>
        <v>8.25</v>
      </c>
      <c r="AU38" s="15" t="n">
        <f aca="false">MAX(Debt!AU10,Inputs!$F$292)+Inputs!$F$291</f>
        <v>8.25</v>
      </c>
    </row>
    <row r="39" customFormat="false" ht="15" hidden="false" customHeight="false" outlineLevel="0" collapsed="false">
      <c r="D39" s="0" t="s">
        <v>1054</v>
      </c>
      <c r="E39" s="0" t="s">
        <v>47</v>
      </c>
      <c r="F39" s="21" t="n">
        <f aca="false">Funding!$F$41</f>
        <v>57.274153578566</v>
      </c>
    </row>
    <row r="40" customFormat="false" ht="15" hidden="false" customHeight="false" outlineLevel="0" collapsed="false">
      <c r="D40" s="0" t="s">
        <v>1055</v>
      </c>
      <c r="E40" s="0" t="s">
        <v>458</v>
      </c>
      <c r="J40" s="14" t="n">
        <f aca="false">MAX(0,MIN(Inputs!$F$26,Time!J$6)-MAX(Inputs!$F$307,Time!J$5))/Time!J$7</f>
        <v>0</v>
      </c>
      <c r="K40" s="14" t="n">
        <f aca="false">MAX(0,MIN(Inputs!$F$26,Time!K$6)-MAX(Inputs!$F$307,Time!K$5))/Time!K$7</f>
        <v>0</v>
      </c>
      <c r="L40" s="14" t="n">
        <f aca="false">MAX(0,MIN(Inputs!$F$26,Time!L$6)-MAX(Inputs!$F$307,Time!L$5))/Time!L$7</f>
        <v>0.87431693989071</v>
      </c>
      <c r="M40" s="14" t="n">
        <f aca="false">MAX(0,MIN(Inputs!$F$26,Time!M$6)-MAX(Inputs!$F$307,Time!M$5))/Time!M$7</f>
        <v>1</v>
      </c>
      <c r="N40" s="14" t="n">
        <f aca="false">MAX(0,MIN(Inputs!$F$26,Time!N$6)-MAX(Inputs!$F$307,Time!N$5))/Time!N$7</f>
        <v>1</v>
      </c>
      <c r="O40" s="14" t="n">
        <f aca="false">MAX(0,MIN(Inputs!$F$26,Time!O$6)-MAX(Inputs!$F$307,Time!O$5))/Time!O$7</f>
        <v>1</v>
      </c>
      <c r="P40" s="14" t="n">
        <f aca="false">MAX(0,MIN(Inputs!$F$26,Time!P$6)-MAX(Inputs!$F$307,Time!P$5))/Time!P$7</f>
        <v>1</v>
      </c>
      <c r="Q40" s="14" t="n">
        <f aca="false">MAX(0,MIN(Inputs!$F$26,Time!Q$6)-MAX(Inputs!$F$307,Time!Q$5))/Time!Q$7</f>
        <v>1</v>
      </c>
      <c r="R40" s="14" t="n">
        <f aca="false">MAX(0,MIN(Inputs!$F$26,Time!R$6)-MAX(Inputs!$F$307,Time!R$5))/Time!R$7</f>
        <v>1</v>
      </c>
      <c r="S40" s="14" t="n">
        <f aca="false">MAX(0,MIN(Inputs!$F$26,Time!S$6)-MAX(Inputs!$F$307,Time!S$5))/Time!S$7</f>
        <v>1</v>
      </c>
      <c r="T40" s="14" t="n">
        <f aca="false">MAX(0,MIN(Inputs!$F$26,Time!T$6)-MAX(Inputs!$F$307,Time!T$5))/Time!T$7</f>
        <v>1</v>
      </c>
      <c r="U40" s="14" t="n">
        <f aca="false">MAX(0,MIN(Inputs!$F$26,Time!U$6)-MAX(Inputs!$F$307,Time!U$5))/Time!U$7</f>
        <v>1</v>
      </c>
      <c r="V40" s="14" t="n">
        <f aca="false">MAX(0,MIN(Inputs!$F$26,Time!V$6)-MAX(Inputs!$F$307,Time!V$5))/Time!V$7</f>
        <v>1</v>
      </c>
      <c r="W40" s="14" t="n">
        <f aca="false">MAX(0,MIN(Inputs!$F$26,Time!W$6)-MAX(Inputs!$F$307,Time!W$5))/Time!W$7</f>
        <v>1</v>
      </c>
      <c r="X40" s="14" t="n">
        <f aca="false">MAX(0,MIN(Inputs!$F$26,Time!X$6)-MAX(Inputs!$F$307,Time!X$5))/Time!X$7</f>
        <v>1</v>
      </c>
      <c r="Y40" s="14" t="n">
        <f aca="false">MAX(0,MIN(Inputs!$F$26,Time!Y$6)-MAX(Inputs!$F$307,Time!Y$5))/Time!Y$7</f>
        <v>1</v>
      </c>
      <c r="Z40" s="14" t="n">
        <f aca="false">MAX(0,MIN(Inputs!$F$26,Time!Z$6)-MAX(Inputs!$F$307,Time!Z$5))/Time!Z$7</f>
        <v>1</v>
      </c>
      <c r="AA40" s="14" t="n">
        <f aca="false">MAX(0,MIN(Inputs!$F$26,Time!AA$6)-MAX(Inputs!$F$307,Time!AA$5))/Time!AA$7</f>
        <v>1</v>
      </c>
      <c r="AB40" s="14" t="n">
        <f aca="false">MAX(0,MIN(Inputs!$F$26,Time!AB$6)-MAX(Inputs!$F$307,Time!AB$5))/Time!AB$7</f>
        <v>1</v>
      </c>
      <c r="AC40" s="14" t="n">
        <f aca="false">MAX(0,MIN(Inputs!$F$26,Time!AC$6)-MAX(Inputs!$F$307,Time!AC$5))/Time!AC$7</f>
        <v>1</v>
      </c>
      <c r="AD40" s="14" t="n">
        <f aca="false">MAX(0,MIN(Inputs!$F$26,Time!AD$6)-MAX(Inputs!$F$307,Time!AD$5))/Time!AD$7</f>
        <v>1</v>
      </c>
      <c r="AE40" s="14" t="n">
        <f aca="false">MAX(0,MIN(Inputs!$F$26,Time!AE$6)-MAX(Inputs!$F$307,Time!AE$5))/Time!AE$7</f>
        <v>1</v>
      </c>
      <c r="AF40" s="14" t="n">
        <f aca="false">MAX(0,MIN(Inputs!$F$26,Time!AF$6)-MAX(Inputs!$F$307,Time!AF$5))/Time!AF$7</f>
        <v>1</v>
      </c>
      <c r="AG40" s="14" t="n">
        <f aca="false">MAX(0,MIN(Inputs!$F$26,Time!AG$6)-MAX(Inputs!$F$307,Time!AG$5))/Time!AG$7</f>
        <v>1</v>
      </c>
      <c r="AH40" s="14" t="n">
        <f aca="false">MAX(0,MIN(Inputs!$F$26,Time!AH$6)-MAX(Inputs!$F$307,Time!AH$5))/Time!AH$7</f>
        <v>1</v>
      </c>
      <c r="AI40" s="14" t="n">
        <f aca="false">MAX(0,MIN(Inputs!$F$26,Time!AI$6)-MAX(Inputs!$F$307,Time!AI$5))/Time!AI$7</f>
        <v>1</v>
      </c>
      <c r="AJ40" s="14" t="n">
        <f aca="false">MAX(0,MIN(Inputs!$F$26,Time!AJ$6)-MAX(Inputs!$F$307,Time!AJ$5))/Time!AJ$7</f>
        <v>1</v>
      </c>
      <c r="AK40" s="14" t="n">
        <f aca="false">MAX(0,MIN(Inputs!$F$26,Time!AK$6)-MAX(Inputs!$F$307,Time!AK$5))/Time!AK$7</f>
        <v>1</v>
      </c>
      <c r="AL40" s="14" t="n">
        <f aca="false">MAX(0,MIN(Inputs!$F$26,Time!AL$6)-MAX(Inputs!$F$307,Time!AL$5))/Time!AL$7</f>
        <v>1</v>
      </c>
      <c r="AM40" s="14" t="n">
        <f aca="false">MAX(0,MIN(Inputs!$F$26,Time!AM$6)-MAX(Inputs!$F$307,Time!AM$5))/Time!AM$7</f>
        <v>1</v>
      </c>
      <c r="AN40" s="14" t="n">
        <f aca="false">MAX(0,MIN(Inputs!$F$26,Time!AN$6)-MAX(Inputs!$F$307,Time!AN$5))/Time!AN$7</f>
        <v>1</v>
      </c>
      <c r="AO40" s="14" t="n">
        <f aca="false">MAX(0,MIN(Inputs!$F$26,Time!AO$6)-MAX(Inputs!$F$307,Time!AO$5))/Time!AO$7</f>
        <v>1</v>
      </c>
      <c r="AP40" s="14" t="n">
        <f aca="false">MAX(0,MIN(Inputs!$F$26,Time!AP$6)-MAX(Inputs!$F$307,Time!AP$5))/Time!AP$7</f>
        <v>1</v>
      </c>
      <c r="AQ40" s="14" t="n">
        <f aca="false">MAX(0,MIN(Inputs!$F$26,Time!AQ$6)-MAX(Inputs!$F$307,Time!AQ$5))/Time!AQ$7</f>
        <v>1</v>
      </c>
      <c r="AR40" s="14" t="n">
        <f aca="false">MAX(0,MIN(Inputs!$F$26,Time!AR$6)-MAX(Inputs!$F$307,Time!AR$5))/Time!AR$7</f>
        <v>1</v>
      </c>
      <c r="AS40" s="14" t="n">
        <f aca="false">MAX(0,MIN(Inputs!$F$26,Time!AS$6)-MAX(Inputs!$F$307,Time!AS$5))/Time!AS$7</f>
        <v>1</v>
      </c>
      <c r="AT40" s="14" t="n">
        <f aca="false">MAX(0,MIN(Inputs!$F$26,Time!AT$6)-MAX(Inputs!$F$307,Time!AT$5))/Time!AT$7</f>
        <v>1</v>
      </c>
      <c r="AU40" s="14" t="n">
        <f aca="false">MAX(0,MIN(Inputs!$F$26,Time!AU$6)-MAX(Inputs!$F$307,Time!AU$5))/Time!AU$7</f>
        <v>1</v>
      </c>
    </row>
    <row r="41" customFormat="false" ht="15" hidden="false" customHeight="false" outlineLevel="0" collapsed="false">
      <c r="D41" s="0" t="s">
        <v>1056</v>
      </c>
      <c r="E41" s="0" t="s">
        <v>84</v>
      </c>
      <c r="J41" s="15" t="n">
        <f aca="false">MAX(Debt!J10,Inputs!$F$292)+Inputs!$F$309</f>
        <v>6.29</v>
      </c>
      <c r="K41" s="15" t="n">
        <f aca="false">MAX(Debt!K10,Inputs!$F$292)+Inputs!$F$309</f>
        <v>9.42</v>
      </c>
      <c r="L41" s="15" t="n">
        <f aca="false">MAX(Debt!L10,Inputs!$F$292)+Inputs!$F$309</f>
        <v>9.41</v>
      </c>
      <c r="M41" s="15" t="n">
        <f aca="false">MAX(Debt!M10,Inputs!$F$292)+Inputs!$F$309</f>
        <v>8.52</v>
      </c>
      <c r="N41" s="15" t="n">
        <f aca="false">MAX(Debt!N10,Inputs!$F$292)+Inputs!$F$309</f>
        <v>7.91</v>
      </c>
      <c r="O41" s="15" t="n">
        <f aca="false">MAX(Debt!O10,Inputs!$F$292)+Inputs!$F$309</f>
        <v>7.7</v>
      </c>
      <c r="P41" s="15" t="n">
        <f aca="false">MAX(Debt!P10,Inputs!$F$292)+Inputs!$F$309</f>
        <v>7.75</v>
      </c>
      <c r="Q41" s="15" t="n">
        <f aca="false">MAX(Debt!Q10,Inputs!$F$292)+Inputs!$F$309</f>
        <v>7.75</v>
      </c>
      <c r="R41" s="15" t="n">
        <f aca="false">MAX(Debt!R10,Inputs!$F$292)+Inputs!$F$309</f>
        <v>7.75</v>
      </c>
      <c r="S41" s="15" t="n">
        <f aca="false">MAX(Debt!S10,Inputs!$F$292)+Inputs!$F$309</f>
        <v>7.75</v>
      </c>
      <c r="T41" s="15" t="n">
        <f aca="false">MAX(Debt!T10,Inputs!$F$292)+Inputs!$F$309</f>
        <v>7.75</v>
      </c>
      <c r="U41" s="15" t="n">
        <f aca="false">MAX(Debt!U10,Inputs!$F$292)+Inputs!$F$309</f>
        <v>7.75</v>
      </c>
      <c r="V41" s="15" t="n">
        <f aca="false">MAX(Debt!V10,Inputs!$F$292)+Inputs!$F$309</f>
        <v>7.75</v>
      </c>
      <c r="W41" s="15" t="n">
        <f aca="false">MAX(Debt!W10,Inputs!$F$292)+Inputs!$F$309</f>
        <v>7.75</v>
      </c>
      <c r="X41" s="15" t="n">
        <f aca="false">MAX(Debt!X10,Inputs!$F$292)+Inputs!$F$309</f>
        <v>7.75</v>
      </c>
      <c r="Y41" s="15" t="n">
        <f aca="false">MAX(Debt!Y10,Inputs!$F$292)+Inputs!$F$309</f>
        <v>7.75</v>
      </c>
      <c r="Z41" s="15" t="n">
        <f aca="false">MAX(Debt!Z10,Inputs!$F$292)+Inputs!$F$309</f>
        <v>7.75</v>
      </c>
      <c r="AA41" s="15" t="n">
        <f aca="false">MAX(Debt!AA10,Inputs!$F$292)+Inputs!$F$309</f>
        <v>7.75</v>
      </c>
      <c r="AB41" s="15" t="n">
        <f aca="false">MAX(Debt!AB10,Inputs!$F$292)+Inputs!$F$309</f>
        <v>7.75</v>
      </c>
      <c r="AC41" s="15" t="n">
        <f aca="false">MAX(Debt!AC10,Inputs!$F$292)+Inputs!$F$309</f>
        <v>7.75</v>
      </c>
      <c r="AD41" s="15" t="n">
        <f aca="false">MAX(Debt!AD10,Inputs!$F$292)+Inputs!$F$309</f>
        <v>7.75</v>
      </c>
      <c r="AE41" s="15" t="n">
        <f aca="false">MAX(Debt!AE10,Inputs!$F$292)+Inputs!$F$309</f>
        <v>7.75</v>
      </c>
      <c r="AF41" s="15" t="n">
        <f aca="false">MAX(Debt!AF10,Inputs!$F$292)+Inputs!$F$309</f>
        <v>7.75</v>
      </c>
      <c r="AG41" s="15" t="n">
        <f aca="false">MAX(Debt!AG10,Inputs!$F$292)+Inputs!$F$309</f>
        <v>7.75</v>
      </c>
      <c r="AH41" s="15" t="n">
        <f aca="false">MAX(Debt!AH10,Inputs!$F$292)+Inputs!$F$309</f>
        <v>7.75</v>
      </c>
      <c r="AI41" s="15" t="n">
        <f aca="false">MAX(Debt!AI10,Inputs!$F$292)+Inputs!$F$309</f>
        <v>7.75</v>
      </c>
      <c r="AJ41" s="15" t="n">
        <f aca="false">MAX(Debt!AJ10,Inputs!$F$292)+Inputs!$F$309</f>
        <v>7.75</v>
      </c>
      <c r="AK41" s="15" t="n">
        <f aca="false">MAX(Debt!AK10,Inputs!$F$292)+Inputs!$F$309</f>
        <v>7.75</v>
      </c>
      <c r="AL41" s="15" t="n">
        <f aca="false">MAX(Debt!AL10,Inputs!$F$292)+Inputs!$F$309</f>
        <v>7.75</v>
      </c>
      <c r="AM41" s="15" t="n">
        <f aca="false">MAX(Debt!AM10,Inputs!$F$292)+Inputs!$F$309</f>
        <v>7.75</v>
      </c>
      <c r="AN41" s="15" t="n">
        <f aca="false">MAX(Debt!AN10,Inputs!$F$292)+Inputs!$F$309</f>
        <v>7.75</v>
      </c>
      <c r="AO41" s="15" t="n">
        <f aca="false">MAX(Debt!AO10,Inputs!$F$292)+Inputs!$F$309</f>
        <v>7.75</v>
      </c>
      <c r="AP41" s="15" t="n">
        <f aca="false">MAX(Debt!AP10,Inputs!$F$292)+Inputs!$F$309</f>
        <v>7.75</v>
      </c>
      <c r="AQ41" s="15" t="n">
        <f aca="false">MAX(Debt!AQ10,Inputs!$F$292)+Inputs!$F$309</f>
        <v>7.75</v>
      </c>
      <c r="AR41" s="15" t="n">
        <f aca="false">MAX(Debt!AR10,Inputs!$F$292)+Inputs!$F$309</f>
        <v>7.75</v>
      </c>
      <c r="AS41" s="15" t="n">
        <f aca="false">MAX(Debt!AS10,Inputs!$F$292)+Inputs!$F$309</f>
        <v>7.75</v>
      </c>
      <c r="AT41" s="15" t="n">
        <f aca="false">MAX(Debt!AT10,Inputs!$F$292)+Inputs!$F$309</f>
        <v>7.75</v>
      </c>
      <c r="AU41" s="15" t="n">
        <f aca="false">MAX(Debt!AU10,Inputs!$F$292)+Inputs!$F$309</f>
        <v>7.75</v>
      </c>
    </row>
    <row r="42" customFormat="false" ht="15" hidden="false" customHeight="false" outlineLevel="0" collapsed="false">
      <c r="D42" s="0" t="s">
        <v>1057</v>
      </c>
      <c r="E42" s="0" t="s">
        <v>47</v>
      </c>
      <c r="F42" s="21" t="n">
        <f aca="false">Funding!$F$63</f>
        <v>93.3137338161107</v>
      </c>
    </row>
    <row r="43" customFormat="false" ht="15" hidden="false" customHeight="false" outlineLevel="0" collapsed="false">
      <c r="D43" s="0" t="s">
        <v>1058</v>
      </c>
      <c r="E43" s="0" t="s">
        <v>458</v>
      </c>
      <c r="J43" s="14" t="n">
        <f aca="false">MAX(0,MIN(Inputs!$F$26,Time!J$6)-MAX(Inputs!$F$315,Time!J$5))/Time!J$7</f>
        <v>0</v>
      </c>
      <c r="K43" s="14" t="n">
        <f aca="false">MAX(0,MIN(Inputs!$F$26,Time!K$6)-MAX(Inputs!$F$315,Time!K$5))/Time!K$7</f>
        <v>0</v>
      </c>
      <c r="L43" s="14" t="n">
        <f aca="false">MAX(0,MIN(Inputs!$F$26,Time!L$6)-MAX(Inputs!$F$315,Time!L$5))/Time!L$7</f>
        <v>0</v>
      </c>
      <c r="M43" s="14" t="n">
        <f aca="false">MAX(0,MIN(Inputs!$F$26,Time!M$6)-MAX(Inputs!$F$315,Time!M$5))/Time!M$7</f>
        <v>0</v>
      </c>
      <c r="N43" s="14" t="n">
        <f aca="false">MAX(0,MIN(Inputs!$F$26,Time!N$6)-MAX(Inputs!$F$315,Time!N$5))/Time!N$7</f>
        <v>1</v>
      </c>
      <c r="O43" s="14" t="n">
        <f aca="false">MAX(0,MIN(Inputs!$F$26,Time!O$6)-MAX(Inputs!$F$315,Time!O$5))/Time!O$7</f>
        <v>1</v>
      </c>
      <c r="P43" s="14" t="n">
        <f aca="false">MAX(0,MIN(Inputs!$F$26,Time!P$6)-MAX(Inputs!$F$315,Time!P$5))/Time!P$7</f>
        <v>1</v>
      </c>
      <c r="Q43" s="14" t="n">
        <f aca="false">MAX(0,MIN(Inputs!$F$26,Time!Q$6)-MAX(Inputs!$F$315,Time!Q$5))/Time!Q$7</f>
        <v>1</v>
      </c>
      <c r="R43" s="14" t="n">
        <f aca="false">MAX(0,MIN(Inputs!$F$26,Time!R$6)-MAX(Inputs!$F$315,Time!R$5))/Time!R$7</f>
        <v>1</v>
      </c>
      <c r="S43" s="14" t="n">
        <f aca="false">MAX(0,MIN(Inputs!$F$26,Time!S$6)-MAX(Inputs!$F$315,Time!S$5))/Time!S$7</f>
        <v>1</v>
      </c>
      <c r="T43" s="14" t="n">
        <f aca="false">MAX(0,MIN(Inputs!$F$26,Time!T$6)-MAX(Inputs!$F$315,Time!T$5))/Time!T$7</f>
        <v>1</v>
      </c>
      <c r="U43" s="14" t="n">
        <f aca="false">MAX(0,MIN(Inputs!$F$26,Time!U$6)-MAX(Inputs!$F$315,Time!U$5))/Time!U$7</f>
        <v>1</v>
      </c>
      <c r="V43" s="14" t="n">
        <f aca="false">MAX(0,MIN(Inputs!$F$26,Time!V$6)-MAX(Inputs!$F$315,Time!V$5))/Time!V$7</f>
        <v>1</v>
      </c>
      <c r="W43" s="14" t="n">
        <f aca="false">MAX(0,MIN(Inputs!$F$26,Time!W$6)-MAX(Inputs!$F$315,Time!W$5))/Time!W$7</f>
        <v>1</v>
      </c>
      <c r="X43" s="14" t="n">
        <f aca="false">MAX(0,MIN(Inputs!$F$26,Time!X$6)-MAX(Inputs!$F$315,Time!X$5))/Time!X$7</f>
        <v>1</v>
      </c>
      <c r="Y43" s="14" t="n">
        <f aca="false">MAX(0,MIN(Inputs!$F$26,Time!Y$6)-MAX(Inputs!$F$315,Time!Y$5))/Time!Y$7</f>
        <v>1</v>
      </c>
      <c r="Z43" s="14" t="n">
        <f aca="false">MAX(0,MIN(Inputs!$F$26,Time!Z$6)-MAX(Inputs!$F$315,Time!Z$5))/Time!Z$7</f>
        <v>1</v>
      </c>
      <c r="AA43" s="14" t="n">
        <f aca="false">MAX(0,MIN(Inputs!$F$26,Time!AA$6)-MAX(Inputs!$F$315,Time!AA$5))/Time!AA$7</f>
        <v>1</v>
      </c>
      <c r="AB43" s="14" t="n">
        <f aca="false">MAX(0,MIN(Inputs!$F$26,Time!AB$6)-MAX(Inputs!$F$315,Time!AB$5))/Time!AB$7</f>
        <v>1</v>
      </c>
      <c r="AC43" s="14" t="n">
        <f aca="false">MAX(0,MIN(Inputs!$F$26,Time!AC$6)-MAX(Inputs!$F$315,Time!AC$5))/Time!AC$7</f>
        <v>1</v>
      </c>
      <c r="AD43" s="14" t="n">
        <f aca="false">MAX(0,MIN(Inputs!$F$26,Time!AD$6)-MAX(Inputs!$F$315,Time!AD$5))/Time!AD$7</f>
        <v>1</v>
      </c>
      <c r="AE43" s="14" t="n">
        <f aca="false">MAX(0,MIN(Inputs!$F$26,Time!AE$6)-MAX(Inputs!$F$315,Time!AE$5))/Time!AE$7</f>
        <v>1</v>
      </c>
      <c r="AF43" s="14" t="n">
        <f aca="false">MAX(0,MIN(Inputs!$F$26,Time!AF$6)-MAX(Inputs!$F$315,Time!AF$5))/Time!AF$7</f>
        <v>1</v>
      </c>
      <c r="AG43" s="14" t="n">
        <f aca="false">MAX(0,MIN(Inputs!$F$26,Time!AG$6)-MAX(Inputs!$F$315,Time!AG$5))/Time!AG$7</f>
        <v>1</v>
      </c>
      <c r="AH43" s="14" t="n">
        <f aca="false">MAX(0,MIN(Inputs!$F$26,Time!AH$6)-MAX(Inputs!$F$315,Time!AH$5))/Time!AH$7</f>
        <v>1</v>
      </c>
      <c r="AI43" s="14" t="n">
        <f aca="false">MAX(0,MIN(Inputs!$F$26,Time!AI$6)-MAX(Inputs!$F$315,Time!AI$5))/Time!AI$7</f>
        <v>1</v>
      </c>
      <c r="AJ43" s="14" t="n">
        <f aca="false">MAX(0,MIN(Inputs!$F$26,Time!AJ$6)-MAX(Inputs!$F$315,Time!AJ$5))/Time!AJ$7</f>
        <v>1</v>
      </c>
      <c r="AK43" s="14" t="n">
        <f aca="false">MAX(0,MIN(Inputs!$F$26,Time!AK$6)-MAX(Inputs!$F$315,Time!AK$5))/Time!AK$7</f>
        <v>1</v>
      </c>
      <c r="AL43" s="14" t="n">
        <f aca="false">MAX(0,MIN(Inputs!$F$26,Time!AL$6)-MAX(Inputs!$F$315,Time!AL$5))/Time!AL$7</f>
        <v>1</v>
      </c>
      <c r="AM43" s="14" t="n">
        <f aca="false">MAX(0,MIN(Inputs!$F$26,Time!AM$6)-MAX(Inputs!$F$315,Time!AM$5))/Time!AM$7</f>
        <v>1</v>
      </c>
      <c r="AN43" s="14" t="n">
        <f aca="false">MAX(0,MIN(Inputs!$F$26,Time!AN$6)-MAX(Inputs!$F$315,Time!AN$5))/Time!AN$7</f>
        <v>1</v>
      </c>
      <c r="AO43" s="14" t="n">
        <f aca="false">MAX(0,MIN(Inputs!$F$26,Time!AO$6)-MAX(Inputs!$F$315,Time!AO$5))/Time!AO$7</f>
        <v>1</v>
      </c>
      <c r="AP43" s="14" t="n">
        <f aca="false">MAX(0,MIN(Inputs!$F$26,Time!AP$6)-MAX(Inputs!$F$315,Time!AP$5))/Time!AP$7</f>
        <v>1</v>
      </c>
      <c r="AQ43" s="14" t="n">
        <f aca="false">MAX(0,MIN(Inputs!$F$26,Time!AQ$6)-MAX(Inputs!$F$315,Time!AQ$5))/Time!AQ$7</f>
        <v>1</v>
      </c>
      <c r="AR43" s="14" t="n">
        <f aca="false">MAX(0,MIN(Inputs!$F$26,Time!AR$6)-MAX(Inputs!$F$315,Time!AR$5))/Time!AR$7</f>
        <v>1</v>
      </c>
      <c r="AS43" s="14" t="n">
        <f aca="false">MAX(0,MIN(Inputs!$F$26,Time!AS$6)-MAX(Inputs!$F$315,Time!AS$5))/Time!AS$7</f>
        <v>1</v>
      </c>
      <c r="AT43" s="14" t="n">
        <f aca="false">MAX(0,MIN(Inputs!$F$26,Time!AT$6)-MAX(Inputs!$F$315,Time!AT$5))/Time!AT$7</f>
        <v>1</v>
      </c>
      <c r="AU43" s="14" t="n">
        <f aca="false">MAX(0,MIN(Inputs!$F$26,Time!AU$6)-MAX(Inputs!$F$315,Time!AU$5))/Time!AU$7</f>
        <v>1</v>
      </c>
    </row>
    <row r="44" customFormat="false" ht="15" hidden="false" customHeight="false" outlineLevel="0" collapsed="false">
      <c r="D44" s="0" t="s">
        <v>1059</v>
      </c>
      <c r="E44" s="0" t="s">
        <v>84</v>
      </c>
      <c r="J44" s="15" t="n">
        <f aca="false">MAX(Debt!J10,Inputs!$F$292)+Inputs!$F$329</f>
        <v>5.54</v>
      </c>
      <c r="K44" s="15" t="n">
        <f aca="false">MAX(Debt!K10,Inputs!$F$292)+Inputs!$F$329</f>
        <v>8.67</v>
      </c>
      <c r="L44" s="15" t="n">
        <f aca="false">MAX(Debt!L10,Inputs!$F$292)+Inputs!$F$329</f>
        <v>8.66</v>
      </c>
      <c r="M44" s="15" t="n">
        <f aca="false">MAX(Debt!M10,Inputs!$F$292)+Inputs!$F$329</f>
        <v>7.77</v>
      </c>
      <c r="N44" s="15" t="n">
        <f aca="false">MAX(Debt!N10,Inputs!$F$292)+Inputs!$F$329</f>
        <v>7.16</v>
      </c>
      <c r="O44" s="15" t="n">
        <f aca="false">MAX(Debt!O10,Inputs!$F$292)+Inputs!$F$329</f>
        <v>6.95</v>
      </c>
      <c r="P44" s="15" t="n">
        <f aca="false">MAX(Debt!P10,Inputs!$F$292)+Inputs!$F$329</f>
        <v>7</v>
      </c>
      <c r="Q44" s="15" t="n">
        <f aca="false">MAX(Debt!Q10,Inputs!$F$292)+Inputs!$F$329</f>
        <v>7</v>
      </c>
      <c r="R44" s="15" t="n">
        <f aca="false">MAX(Debt!R10,Inputs!$F$292)+Inputs!$F$329</f>
        <v>7</v>
      </c>
      <c r="S44" s="15" t="n">
        <f aca="false">MAX(Debt!S10,Inputs!$F$292)+Inputs!$F$329</f>
        <v>7</v>
      </c>
      <c r="T44" s="15" t="n">
        <f aca="false">MAX(Debt!T10,Inputs!$F$292)+Inputs!$F$329</f>
        <v>7</v>
      </c>
      <c r="U44" s="15" t="n">
        <f aca="false">MAX(Debt!U10,Inputs!$F$292)+Inputs!$F$329</f>
        <v>7</v>
      </c>
      <c r="V44" s="15" t="n">
        <f aca="false">MAX(Debt!V10,Inputs!$F$292)+Inputs!$F$329</f>
        <v>7</v>
      </c>
      <c r="W44" s="15" t="n">
        <f aca="false">MAX(Debt!W10,Inputs!$F$292)+Inputs!$F$329</f>
        <v>7</v>
      </c>
      <c r="X44" s="15" t="n">
        <f aca="false">MAX(Debt!X10,Inputs!$F$292)+Inputs!$F$329</f>
        <v>7</v>
      </c>
      <c r="Y44" s="15" t="n">
        <f aca="false">MAX(Debt!Y10,Inputs!$F$292)+Inputs!$F$329</f>
        <v>7</v>
      </c>
      <c r="Z44" s="15" t="n">
        <f aca="false">MAX(Debt!Z10,Inputs!$F$292)+Inputs!$F$329</f>
        <v>7</v>
      </c>
      <c r="AA44" s="15" t="n">
        <f aca="false">MAX(Debt!AA10,Inputs!$F$292)+Inputs!$F$329</f>
        <v>7</v>
      </c>
      <c r="AB44" s="15" t="n">
        <f aca="false">MAX(Debt!AB10,Inputs!$F$292)+Inputs!$F$329</f>
        <v>7</v>
      </c>
      <c r="AC44" s="15" t="n">
        <f aca="false">MAX(Debt!AC10,Inputs!$F$292)+Inputs!$F$329</f>
        <v>7</v>
      </c>
      <c r="AD44" s="15" t="n">
        <f aca="false">MAX(Debt!AD10,Inputs!$F$292)+Inputs!$F$329</f>
        <v>7</v>
      </c>
      <c r="AE44" s="15" t="n">
        <f aca="false">MAX(Debt!AE10,Inputs!$F$292)+Inputs!$F$329</f>
        <v>7</v>
      </c>
      <c r="AF44" s="15" t="n">
        <f aca="false">MAX(Debt!AF10,Inputs!$F$292)+Inputs!$F$329</f>
        <v>7</v>
      </c>
      <c r="AG44" s="15" t="n">
        <f aca="false">MAX(Debt!AG10,Inputs!$F$292)+Inputs!$F$329</f>
        <v>7</v>
      </c>
      <c r="AH44" s="15" t="n">
        <f aca="false">MAX(Debt!AH10,Inputs!$F$292)+Inputs!$F$329</f>
        <v>7</v>
      </c>
      <c r="AI44" s="15" t="n">
        <f aca="false">MAX(Debt!AI10,Inputs!$F$292)+Inputs!$F$329</f>
        <v>7</v>
      </c>
      <c r="AJ44" s="15" t="n">
        <f aca="false">MAX(Debt!AJ10,Inputs!$F$292)+Inputs!$F$329</f>
        <v>7</v>
      </c>
      <c r="AK44" s="15" t="n">
        <f aca="false">MAX(Debt!AK10,Inputs!$F$292)+Inputs!$F$329</f>
        <v>7</v>
      </c>
      <c r="AL44" s="15" t="n">
        <f aca="false">MAX(Debt!AL10,Inputs!$F$292)+Inputs!$F$329</f>
        <v>7</v>
      </c>
      <c r="AM44" s="15" t="n">
        <f aca="false">MAX(Debt!AM10,Inputs!$F$292)+Inputs!$F$329</f>
        <v>7</v>
      </c>
      <c r="AN44" s="15" t="n">
        <f aca="false">MAX(Debt!AN10,Inputs!$F$292)+Inputs!$F$329</f>
        <v>7</v>
      </c>
      <c r="AO44" s="15" t="n">
        <f aca="false">MAX(Debt!AO10,Inputs!$F$292)+Inputs!$F$329</f>
        <v>7</v>
      </c>
      <c r="AP44" s="15" t="n">
        <f aca="false">MAX(Debt!AP10,Inputs!$F$292)+Inputs!$F$329</f>
        <v>7</v>
      </c>
      <c r="AQ44" s="15" t="n">
        <f aca="false">MAX(Debt!AQ10,Inputs!$F$292)+Inputs!$F$329</f>
        <v>7</v>
      </c>
      <c r="AR44" s="15" t="n">
        <f aca="false">MAX(Debt!AR10,Inputs!$F$292)+Inputs!$F$329</f>
        <v>7</v>
      </c>
      <c r="AS44" s="15" t="n">
        <f aca="false">MAX(Debt!AS10,Inputs!$F$292)+Inputs!$F$329</f>
        <v>7</v>
      </c>
      <c r="AT44" s="15" t="n">
        <f aca="false">MAX(Debt!AT10,Inputs!$F$292)+Inputs!$F$329</f>
        <v>7</v>
      </c>
      <c r="AU44" s="15" t="n">
        <f aca="false">MAX(Debt!AU10,Inputs!$F$292)+Inputs!$F$329</f>
        <v>7</v>
      </c>
    </row>
    <row r="45" customFormat="false" ht="15" hidden="false" customHeight="false" outlineLevel="0" collapsed="false">
      <c r="D45" s="0" t="s">
        <v>1060</v>
      </c>
      <c r="E45" s="0" t="s">
        <v>47</v>
      </c>
      <c r="F45" s="21" t="n">
        <f aca="false">Funding!$F$103*Inputs!$F$10</f>
        <v>137.568689420324</v>
      </c>
    </row>
    <row r="46" customFormat="false" ht="15" hidden="false" customHeight="false" outlineLevel="0" collapsed="false">
      <c r="D46" s="0" t="s">
        <v>1061</v>
      </c>
      <c r="E46" s="0" t="s">
        <v>47</v>
      </c>
      <c r="J46" s="20" t="n">
        <f aca="false">IF(Time!J$4=YEAR(Inputs!$F$289),Debt!$F$39,I52)</f>
        <v>57.274153578566</v>
      </c>
      <c r="K46" s="20" t="n">
        <f aca="false">IF(Time!K$4=YEAR(Inputs!$F$289),Debt!$F$39,J52)</f>
        <v>50.9680568840651</v>
      </c>
      <c r="L46" s="20" t="n">
        <f aca="false">IF(Time!L$4=YEAR(Inputs!$F$289),Debt!$F$39,K52)</f>
        <v>46.5778409559791</v>
      </c>
      <c r="M46" s="20" t="n">
        <f aca="false">IF(Time!M$4=YEAR(Inputs!$F$289),Debt!$F$39,L52)</f>
        <v>45.0997147586665</v>
      </c>
      <c r="N46" s="20" t="n">
        <f aca="false">IF(Time!N$4=YEAR(Inputs!$F$289),Debt!$F$39,M52)</f>
        <v>0</v>
      </c>
      <c r="O46" s="20" t="n">
        <f aca="false">IF(Time!O$4=YEAR(Inputs!$F$289),Debt!$F$39,N52)</f>
        <v>0</v>
      </c>
      <c r="P46" s="20" t="n">
        <f aca="false">IF(Time!P$4=YEAR(Inputs!$F$289),Debt!$F$39,O52)</f>
        <v>0</v>
      </c>
      <c r="Q46" s="20" t="n">
        <f aca="false">IF(Time!Q$4=YEAR(Inputs!$F$289),Debt!$F$39,P52)</f>
        <v>0</v>
      </c>
      <c r="R46" s="20" t="n">
        <f aca="false">IF(Time!R$4=YEAR(Inputs!$F$289),Debt!$F$39,Q52)</f>
        <v>0</v>
      </c>
      <c r="S46" s="20" t="n">
        <f aca="false">IF(Time!S$4=YEAR(Inputs!$F$289),Debt!$F$39,R52)</f>
        <v>0</v>
      </c>
      <c r="T46" s="20" t="n">
        <f aca="false">IF(Time!T$4=YEAR(Inputs!$F$289),Debt!$F$39,S52)</f>
        <v>0</v>
      </c>
      <c r="U46" s="20" t="n">
        <f aca="false">IF(Time!U$4=YEAR(Inputs!$F$289),Debt!$F$39,T52)</f>
        <v>0</v>
      </c>
      <c r="V46" s="20" t="n">
        <f aca="false">IF(Time!V$4=YEAR(Inputs!$F$289),Debt!$F$39,U52)</f>
        <v>0</v>
      </c>
      <c r="W46" s="20" t="n">
        <f aca="false">IF(Time!W$4=YEAR(Inputs!$F$289),Debt!$F$39,V52)</f>
        <v>0</v>
      </c>
      <c r="X46" s="20" t="n">
        <f aca="false">IF(Time!X$4=YEAR(Inputs!$F$289),Debt!$F$39,W52)</f>
        <v>0</v>
      </c>
      <c r="Y46" s="20" t="n">
        <f aca="false">IF(Time!Y$4=YEAR(Inputs!$F$289),Debt!$F$39,X52)</f>
        <v>0</v>
      </c>
      <c r="Z46" s="20" t="n">
        <f aca="false">IF(Time!Z$4=YEAR(Inputs!$F$289),Debt!$F$39,Y52)</f>
        <v>0</v>
      </c>
      <c r="AA46" s="20" t="n">
        <f aca="false">IF(Time!AA$4=YEAR(Inputs!$F$289),Debt!$F$39,Z52)</f>
        <v>0</v>
      </c>
      <c r="AB46" s="20" t="n">
        <f aca="false">IF(Time!AB$4=YEAR(Inputs!$F$289),Debt!$F$39,AA52)</f>
        <v>0</v>
      </c>
      <c r="AC46" s="20" t="n">
        <f aca="false">IF(Time!AC$4=YEAR(Inputs!$F$289),Debt!$F$39,AB52)</f>
        <v>0</v>
      </c>
      <c r="AD46" s="20" t="n">
        <f aca="false">IF(Time!AD$4=YEAR(Inputs!$F$289),Debt!$F$39,AC52)</f>
        <v>0</v>
      </c>
      <c r="AE46" s="20" t="n">
        <f aca="false">IF(Time!AE$4=YEAR(Inputs!$F$289),Debt!$F$39,AD52)</f>
        <v>0</v>
      </c>
      <c r="AF46" s="20" t="n">
        <f aca="false">IF(Time!AF$4=YEAR(Inputs!$F$289),Debt!$F$39,AE52)</f>
        <v>0</v>
      </c>
      <c r="AG46" s="20" t="n">
        <f aca="false">IF(Time!AG$4=YEAR(Inputs!$F$289),Debt!$F$39,AF52)</f>
        <v>0</v>
      </c>
      <c r="AH46" s="20" t="n">
        <f aca="false">IF(Time!AH$4=YEAR(Inputs!$F$289),Debt!$F$39,AG52)</f>
        <v>0</v>
      </c>
      <c r="AI46" s="20" t="n">
        <f aca="false">IF(Time!AI$4=YEAR(Inputs!$F$289),Debt!$F$39,AH52)</f>
        <v>0</v>
      </c>
      <c r="AJ46" s="20" t="n">
        <f aca="false">IF(Time!AJ$4=YEAR(Inputs!$F$289),Debt!$F$39,AI52)</f>
        <v>0</v>
      </c>
      <c r="AK46" s="20" t="n">
        <f aca="false">IF(Time!AK$4=YEAR(Inputs!$F$289),Debt!$F$39,AJ52)</f>
        <v>0</v>
      </c>
      <c r="AL46" s="20" t="n">
        <f aca="false">IF(Time!AL$4=YEAR(Inputs!$F$289),Debt!$F$39,AK52)</f>
        <v>0</v>
      </c>
      <c r="AM46" s="20" t="n">
        <f aca="false">IF(Time!AM$4=YEAR(Inputs!$F$289),Debt!$F$39,AL52)</f>
        <v>0</v>
      </c>
      <c r="AN46" s="20" t="n">
        <f aca="false">IF(Time!AN$4=YEAR(Inputs!$F$289),Debt!$F$39,AM52)</f>
        <v>0</v>
      </c>
      <c r="AO46" s="20" t="n">
        <f aca="false">IF(Time!AO$4=YEAR(Inputs!$F$289),Debt!$F$39,AN52)</f>
        <v>0</v>
      </c>
      <c r="AP46" s="20" t="n">
        <f aca="false">IF(Time!AP$4=YEAR(Inputs!$F$289),Debt!$F$39,AO52)</f>
        <v>0</v>
      </c>
      <c r="AQ46" s="20" t="n">
        <f aca="false">IF(Time!AQ$4=YEAR(Inputs!$F$289),Debt!$F$39,AP52)</f>
        <v>0</v>
      </c>
      <c r="AR46" s="20" t="n">
        <f aca="false">IF(Time!AR$4=YEAR(Inputs!$F$289),Debt!$F$39,AQ52)</f>
        <v>0</v>
      </c>
      <c r="AS46" s="20" t="n">
        <f aca="false">IF(Time!AS$4=YEAR(Inputs!$F$289),Debt!$F$39,AR52)</f>
        <v>0</v>
      </c>
      <c r="AT46" s="20" t="n">
        <f aca="false">IF(Time!AT$4=YEAR(Inputs!$F$289),Debt!$F$39,AS52)</f>
        <v>0</v>
      </c>
      <c r="AU46" s="20" t="n">
        <f aca="false">IF(Time!AU$4=YEAR(Inputs!$F$289),Debt!$F$39,AT52)</f>
        <v>0</v>
      </c>
    </row>
    <row r="47" customFormat="false" ht="15" hidden="false" customHeight="false" outlineLevel="0" collapsed="false">
      <c r="D47" s="0" t="s">
        <v>1062</v>
      </c>
      <c r="E47" s="0" t="s">
        <v>47</v>
      </c>
      <c r="G47" s="20" t="n">
        <f aca="false">SUM(J47:AU47)</f>
        <v>16.7657850814922</v>
      </c>
      <c r="J47" s="20" t="n">
        <f aca="false">Debt!J46*Debt!J38/100*Debt!J37</f>
        <v>3.02589552862366</v>
      </c>
      <c r="K47" s="20" t="n">
        <f aca="false">Debt!K46*Debt!K38/100*Debt!K37</f>
        <v>5.05603124289926</v>
      </c>
      <c r="L47" s="20" t="n">
        <f aca="false">Debt!L46*Debt!L38/100*Debt!L37</f>
        <v>4.61586403873753</v>
      </c>
      <c r="M47" s="20" t="n">
        <f aca="false">Debt!M46*Debt!M38/100*Debt!M37</f>
        <v>4.06799427123172</v>
      </c>
      <c r="N47" s="20" t="n">
        <f aca="false">Debt!N46*Debt!N38/100*Debt!N37</f>
        <v>0</v>
      </c>
      <c r="O47" s="20" t="n">
        <f aca="false">Debt!O46*Debt!O38/100*Debt!O37</f>
        <v>0</v>
      </c>
      <c r="P47" s="20" t="n">
        <f aca="false">Debt!P46*Debt!P38/100*Debt!P37</f>
        <v>0</v>
      </c>
      <c r="Q47" s="20" t="n">
        <f aca="false">Debt!Q46*Debt!Q38/100*Debt!Q37</f>
        <v>0</v>
      </c>
      <c r="R47" s="20" t="n">
        <f aca="false">Debt!R46*Debt!R38/100*Debt!R37</f>
        <v>0</v>
      </c>
      <c r="S47" s="20" t="n">
        <f aca="false">Debt!S46*Debt!S38/100*Debt!S37</f>
        <v>0</v>
      </c>
      <c r="T47" s="20" t="n">
        <f aca="false">Debt!T46*Debt!T38/100*Debt!T37</f>
        <v>0</v>
      </c>
      <c r="U47" s="20" t="n">
        <f aca="false">Debt!U46*Debt!U38/100*Debt!U37</f>
        <v>0</v>
      </c>
      <c r="V47" s="20" t="n">
        <f aca="false">Debt!V46*Debt!V38/100*Debt!V37</f>
        <v>0</v>
      </c>
      <c r="W47" s="20" t="n">
        <f aca="false">Debt!W46*Debt!W38/100*Debt!W37</f>
        <v>0</v>
      </c>
      <c r="X47" s="20" t="n">
        <f aca="false">Debt!X46*Debt!X38/100*Debt!X37</f>
        <v>0</v>
      </c>
      <c r="Y47" s="20" t="n">
        <f aca="false">Debt!Y46*Debt!Y38/100*Debt!Y37</f>
        <v>0</v>
      </c>
      <c r="Z47" s="20" t="n">
        <f aca="false">Debt!Z46*Debt!Z38/100*Debt!Z37</f>
        <v>0</v>
      </c>
      <c r="AA47" s="20" t="n">
        <f aca="false">Debt!AA46*Debt!AA38/100*Debt!AA37</f>
        <v>0</v>
      </c>
      <c r="AB47" s="20" t="n">
        <f aca="false">Debt!AB46*Debt!AB38/100*Debt!AB37</f>
        <v>0</v>
      </c>
      <c r="AC47" s="20" t="n">
        <f aca="false">Debt!AC46*Debt!AC38/100*Debt!AC37</f>
        <v>0</v>
      </c>
      <c r="AD47" s="20" t="n">
        <f aca="false">Debt!AD46*Debt!AD38/100*Debt!AD37</f>
        <v>0</v>
      </c>
      <c r="AE47" s="20" t="n">
        <f aca="false">Debt!AE46*Debt!AE38/100*Debt!AE37</f>
        <v>0</v>
      </c>
      <c r="AF47" s="20" t="n">
        <f aca="false">Debt!AF46*Debt!AF38/100*Debt!AF37</f>
        <v>0</v>
      </c>
      <c r="AG47" s="20" t="n">
        <f aca="false">Debt!AG46*Debt!AG38/100*Debt!AG37</f>
        <v>0</v>
      </c>
      <c r="AH47" s="20" t="n">
        <f aca="false">Debt!AH46*Debt!AH38/100*Debt!AH37</f>
        <v>0</v>
      </c>
      <c r="AI47" s="20" t="n">
        <f aca="false">Debt!AI46*Debt!AI38/100*Debt!AI37</f>
        <v>0</v>
      </c>
      <c r="AJ47" s="20" t="n">
        <f aca="false">Debt!AJ46*Debt!AJ38/100*Debt!AJ37</f>
        <v>0</v>
      </c>
      <c r="AK47" s="20" t="n">
        <f aca="false">Debt!AK46*Debt!AK38/100*Debt!AK37</f>
        <v>0</v>
      </c>
      <c r="AL47" s="20" t="n">
        <f aca="false">Debt!AL46*Debt!AL38/100*Debt!AL37</f>
        <v>0</v>
      </c>
      <c r="AM47" s="20" t="n">
        <f aca="false">Debt!AM46*Debt!AM38/100*Debt!AM37</f>
        <v>0</v>
      </c>
      <c r="AN47" s="20" t="n">
        <f aca="false">Debt!AN46*Debt!AN38/100*Debt!AN37</f>
        <v>0</v>
      </c>
      <c r="AO47" s="20" t="n">
        <f aca="false">Debt!AO46*Debt!AO38/100*Debt!AO37</f>
        <v>0</v>
      </c>
      <c r="AP47" s="20" t="n">
        <f aca="false">Debt!AP46*Debt!AP38/100*Debt!AP37</f>
        <v>0</v>
      </c>
      <c r="AQ47" s="20" t="n">
        <f aca="false">Debt!AQ46*Debt!AQ38/100*Debt!AQ37</f>
        <v>0</v>
      </c>
      <c r="AR47" s="20" t="n">
        <f aca="false">Debt!AR46*Debt!AR38/100*Debt!AR37</f>
        <v>0</v>
      </c>
      <c r="AS47" s="20" t="n">
        <f aca="false">Debt!AS46*Debt!AS38/100*Debt!AS37</f>
        <v>0</v>
      </c>
      <c r="AT47" s="20" t="n">
        <f aca="false">Debt!AT46*Debt!AT38/100*Debt!AT37</f>
        <v>0</v>
      </c>
      <c r="AU47" s="20" t="n">
        <f aca="false">Debt!AU46*Debt!AU38/100*Debt!AU37</f>
        <v>0</v>
      </c>
    </row>
    <row r="48" customFormat="false" ht="15" hidden="false" customHeight="false" outlineLevel="0" collapsed="false">
      <c r="D48" s="0" t="s">
        <v>1063</v>
      </c>
      <c r="E48" s="0" t="s">
        <v>47</v>
      </c>
      <c r="G48" s="20" t="n">
        <f aca="false">SUM(J48:AU48)</f>
        <v>2.163864596845</v>
      </c>
      <c r="J48" s="20" t="n">
        <f aca="false">MIN(Debt!J46,Inputs!$F$294/100*Debt!$F$39*Debt!J37)</f>
        <v>0.44563998948802</v>
      </c>
      <c r="K48" s="20" t="n">
        <f aca="false">MIN(Debt!K46,Inputs!$F$294/100*Debt!$F$39*Debt!K37)</f>
        <v>0.57274153578566</v>
      </c>
      <c r="L48" s="20" t="n">
        <f aca="false">MIN(Debt!L46,Inputs!$F$294/100*Debt!$F$39*Debt!L37)</f>
        <v>0.57274153578566</v>
      </c>
      <c r="M48" s="20" t="n">
        <f aca="false">MIN(Debt!M46,Inputs!$F$294/100*Debt!$F$39*Debt!M37)</f>
        <v>0.57274153578566</v>
      </c>
      <c r="N48" s="20" t="n">
        <f aca="false">MIN(Debt!N46,Inputs!$F$294/100*Debt!$F$39*Debt!N37)</f>
        <v>0</v>
      </c>
      <c r="O48" s="20" t="n">
        <f aca="false">MIN(Debt!O46,Inputs!$F$294/100*Debt!$F$39*Debt!O37)</f>
        <v>0</v>
      </c>
      <c r="P48" s="20" t="n">
        <f aca="false">MIN(Debt!P46,Inputs!$F$294/100*Debt!$F$39*Debt!P37)</f>
        <v>0</v>
      </c>
      <c r="Q48" s="20" t="n">
        <f aca="false">MIN(Debt!Q46,Inputs!$F$294/100*Debt!$F$39*Debt!Q37)</f>
        <v>0</v>
      </c>
      <c r="R48" s="20" t="n">
        <f aca="false">MIN(Debt!R46,Inputs!$F$294/100*Debt!$F$39*Debt!R37)</f>
        <v>0</v>
      </c>
      <c r="S48" s="20" t="n">
        <f aca="false">MIN(Debt!S46,Inputs!$F$294/100*Debt!$F$39*Debt!S37)</f>
        <v>0</v>
      </c>
      <c r="T48" s="20" t="n">
        <f aca="false">MIN(Debt!T46,Inputs!$F$294/100*Debt!$F$39*Debt!T37)</f>
        <v>0</v>
      </c>
      <c r="U48" s="20" t="n">
        <f aca="false">MIN(Debt!U46,Inputs!$F$294/100*Debt!$F$39*Debt!U37)</f>
        <v>0</v>
      </c>
      <c r="V48" s="20" t="n">
        <f aca="false">MIN(Debt!V46,Inputs!$F$294/100*Debt!$F$39*Debt!V37)</f>
        <v>0</v>
      </c>
      <c r="W48" s="20" t="n">
        <f aca="false">MIN(Debt!W46,Inputs!$F$294/100*Debt!$F$39*Debt!W37)</f>
        <v>0</v>
      </c>
      <c r="X48" s="20" t="n">
        <f aca="false">MIN(Debt!X46,Inputs!$F$294/100*Debt!$F$39*Debt!X37)</f>
        <v>0</v>
      </c>
      <c r="Y48" s="20" t="n">
        <f aca="false">MIN(Debt!Y46,Inputs!$F$294/100*Debt!$F$39*Debt!Y37)</f>
        <v>0</v>
      </c>
      <c r="Z48" s="20" t="n">
        <f aca="false">MIN(Debt!Z46,Inputs!$F$294/100*Debt!$F$39*Debt!Z37)</f>
        <v>0</v>
      </c>
      <c r="AA48" s="20" t="n">
        <f aca="false">MIN(Debt!AA46,Inputs!$F$294/100*Debt!$F$39*Debt!AA37)</f>
        <v>0</v>
      </c>
      <c r="AB48" s="20" t="n">
        <f aca="false">MIN(Debt!AB46,Inputs!$F$294/100*Debt!$F$39*Debt!AB37)</f>
        <v>0</v>
      </c>
      <c r="AC48" s="20" t="n">
        <f aca="false">MIN(Debt!AC46,Inputs!$F$294/100*Debt!$F$39*Debt!AC37)</f>
        <v>0</v>
      </c>
      <c r="AD48" s="20" t="n">
        <f aca="false">MIN(Debt!AD46,Inputs!$F$294/100*Debt!$F$39*Debt!AD37)</f>
        <v>0</v>
      </c>
      <c r="AE48" s="20" t="n">
        <f aca="false">MIN(Debt!AE46,Inputs!$F$294/100*Debt!$F$39*Debt!AE37)</f>
        <v>0</v>
      </c>
      <c r="AF48" s="20" t="n">
        <f aca="false">MIN(Debt!AF46,Inputs!$F$294/100*Debt!$F$39*Debt!AF37)</f>
        <v>0</v>
      </c>
      <c r="AG48" s="20" t="n">
        <f aca="false">MIN(Debt!AG46,Inputs!$F$294/100*Debt!$F$39*Debt!AG37)</f>
        <v>0</v>
      </c>
      <c r="AH48" s="20" t="n">
        <f aca="false">MIN(Debt!AH46,Inputs!$F$294/100*Debt!$F$39*Debt!AH37)</f>
        <v>0</v>
      </c>
      <c r="AI48" s="20" t="n">
        <f aca="false">MIN(Debt!AI46,Inputs!$F$294/100*Debt!$F$39*Debt!AI37)</f>
        <v>0</v>
      </c>
      <c r="AJ48" s="20" t="n">
        <f aca="false">MIN(Debt!AJ46,Inputs!$F$294/100*Debt!$F$39*Debt!AJ37)</f>
        <v>0</v>
      </c>
      <c r="AK48" s="20" t="n">
        <f aca="false">MIN(Debt!AK46,Inputs!$F$294/100*Debt!$F$39*Debt!AK37)</f>
        <v>0</v>
      </c>
      <c r="AL48" s="20" t="n">
        <f aca="false">MIN(Debt!AL46,Inputs!$F$294/100*Debt!$F$39*Debt!AL37)</f>
        <v>0</v>
      </c>
      <c r="AM48" s="20" t="n">
        <f aca="false">MIN(Debt!AM46,Inputs!$F$294/100*Debt!$F$39*Debt!AM37)</f>
        <v>0</v>
      </c>
      <c r="AN48" s="20" t="n">
        <f aca="false">MIN(Debt!AN46,Inputs!$F$294/100*Debt!$F$39*Debt!AN37)</f>
        <v>0</v>
      </c>
      <c r="AO48" s="20" t="n">
        <f aca="false">MIN(Debt!AO46,Inputs!$F$294/100*Debt!$F$39*Debt!AO37)</f>
        <v>0</v>
      </c>
      <c r="AP48" s="20" t="n">
        <f aca="false">MIN(Debt!AP46,Inputs!$F$294/100*Debt!$F$39*Debt!AP37)</f>
        <v>0</v>
      </c>
      <c r="AQ48" s="20" t="n">
        <f aca="false">MIN(Debt!AQ46,Inputs!$F$294/100*Debt!$F$39*Debt!AQ37)</f>
        <v>0</v>
      </c>
      <c r="AR48" s="20" t="n">
        <f aca="false">MIN(Debt!AR46,Inputs!$F$294/100*Debt!$F$39*Debt!AR37)</f>
        <v>0</v>
      </c>
      <c r="AS48" s="20" t="n">
        <f aca="false">MIN(Debt!AS46,Inputs!$F$294/100*Debt!$F$39*Debt!AS37)</f>
        <v>0</v>
      </c>
      <c r="AT48" s="20" t="n">
        <f aca="false">MIN(Debt!AT46,Inputs!$F$294/100*Debt!$F$39*Debt!AT37)</f>
        <v>0</v>
      </c>
      <c r="AU48" s="20" t="n">
        <f aca="false">MIN(Debt!AU46,Inputs!$F$294/100*Debt!$F$39*Debt!AU37)</f>
        <v>0</v>
      </c>
    </row>
    <row r="49" customFormat="false" ht="15" hidden="false" customHeight="false" outlineLevel="0" collapsed="false">
      <c r="D49" s="0" t="s">
        <v>1064</v>
      </c>
      <c r="E49" s="0" t="s">
        <v>47</v>
      </c>
      <c r="J49" s="20" t="n">
        <f aca="false">IF(Waterfall!J17&gt;0,Waterfall!J18*Debt!J50/Waterfall!J17,0)</f>
        <v>5.86045670501287</v>
      </c>
      <c r="K49" s="20" t="n">
        <f aca="false">IF(Waterfall!K17&gt;0,Waterfall!K18*Debt!K50/Waterfall!K17,0)</f>
        <v>3.81747439230033</v>
      </c>
      <c r="L49" s="20" t="n">
        <f aca="false">IF(Waterfall!L17&gt;0,Waterfall!L18*Debt!L50/Waterfall!L17,0)</f>
        <v>0.905384661526898</v>
      </c>
      <c r="M49" s="20" t="n">
        <f aca="false">IF(Waterfall!M17&gt;0,Waterfall!M18*Debt!M50/Waterfall!M17,0)</f>
        <v>2.5055039501008</v>
      </c>
      <c r="N49" s="20" t="n">
        <f aca="false">IF(Waterfall!N17&gt;0,Waterfall!N18*Debt!N50/Waterfall!N17,0)</f>
        <v>0</v>
      </c>
      <c r="O49" s="20" t="n">
        <f aca="false">IF(Waterfall!O17&gt;0,Waterfall!O18*Debt!O50/Waterfall!O17,0)</f>
        <v>0</v>
      </c>
      <c r="P49" s="20" t="n">
        <f aca="false">IF(Waterfall!P17&gt;0,Waterfall!P18*Debt!P50/Waterfall!P17,0)</f>
        <v>0</v>
      </c>
      <c r="Q49" s="20" t="n">
        <f aca="false">IF(Waterfall!Q17&gt;0,Waterfall!Q18*Debt!Q50/Waterfall!Q17,0)</f>
        <v>0</v>
      </c>
      <c r="R49" s="20" t="n">
        <f aca="false">IF(Waterfall!R17&gt;0,Waterfall!R18*Debt!R50/Waterfall!R17,0)</f>
        <v>0</v>
      </c>
      <c r="S49" s="20" t="n">
        <f aca="false">IF(Waterfall!S17&gt;0,Waterfall!S18*Debt!S50/Waterfall!S17,0)</f>
        <v>0</v>
      </c>
      <c r="T49" s="20" t="n">
        <f aca="false">IF(Waterfall!T17&gt;0,Waterfall!T18*Debt!T50/Waterfall!T17,0)</f>
        <v>0</v>
      </c>
      <c r="U49" s="20" t="n">
        <f aca="false">IF(Waterfall!U17&gt;0,Waterfall!U18*Debt!U50/Waterfall!U17,0)</f>
        <v>0</v>
      </c>
      <c r="V49" s="20" t="n">
        <f aca="false">IF(Waterfall!V17&gt;0,Waterfall!V18*Debt!V50/Waterfall!V17,0)</f>
        <v>0</v>
      </c>
      <c r="W49" s="20" t="n">
        <f aca="false">IF(Waterfall!W17&gt;0,Waterfall!W18*Debt!W50/Waterfall!W17,0)</f>
        <v>0</v>
      </c>
      <c r="X49" s="20" t="n">
        <f aca="false">IF(Waterfall!X17&gt;0,Waterfall!X18*Debt!X50/Waterfall!X17,0)</f>
        <v>0</v>
      </c>
      <c r="Y49" s="20" t="n">
        <f aca="false">IF(Waterfall!Y17&gt;0,Waterfall!Y18*Debt!Y50/Waterfall!Y17,0)</f>
        <v>0</v>
      </c>
      <c r="Z49" s="20" t="n">
        <f aca="false">IF(Waterfall!Z17&gt;0,Waterfall!Z18*Debt!Z50/Waterfall!Z17,0)</f>
        <v>0</v>
      </c>
      <c r="AA49" s="20" t="n">
        <f aca="false">IF(Waterfall!AA17&gt;0,Waterfall!AA18*Debt!AA50/Waterfall!AA17,0)</f>
        <v>0</v>
      </c>
      <c r="AB49" s="20" t="n">
        <f aca="false">IF(Waterfall!AB17&gt;0,Waterfall!AB18*Debt!AB50/Waterfall!AB17,0)</f>
        <v>0</v>
      </c>
      <c r="AC49" s="20" t="n">
        <f aca="false">IF(Waterfall!AC17&gt;0,Waterfall!AC18*Debt!AC50/Waterfall!AC17,0)</f>
        <v>0</v>
      </c>
      <c r="AD49" s="20" t="n">
        <f aca="false">IF(Waterfall!AD17&gt;0,Waterfall!AD18*Debt!AD50/Waterfall!AD17,0)</f>
        <v>0</v>
      </c>
      <c r="AE49" s="20" t="n">
        <f aca="false">IF(Waterfall!AE17&gt;0,Waterfall!AE18*Debt!AE50/Waterfall!AE17,0)</f>
        <v>0</v>
      </c>
      <c r="AF49" s="20" t="n">
        <f aca="false">IF(Waterfall!AF17&gt;0,Waterfall!AF18*Debt!AF50/Waterfall!AF17,0)</f>
        <v>0</v>
      </c>
      <c r="AG49" s="20" t="n">
        <f aca="false">IF(Waterfall!AG17&gt;0,Waterfall!AG18*Debt!AG50/Waterfall!AG17,0)</f>
        <v>0</v>
      </c>
      <c r="AH49" s="20" t="n">
        <f aca="false">IF(Waterfall!AH17&gt;0,Waterfall!AH18*Debt!AH50/Waterfall!AH17,0)</f>
        <v>0</v>
      </c>
      <c r="AI49" s="20" t="n">
        <f aca="false">IF(Waterfall!AI17&gt;0,Waterfall!AI18*Debt!AI50/Waterfall!AI17,0)</f>
        <v>0</v>
      </c>
      <c r="AJ49" s="20" t="n">
        <f aca="false">IF(Waterfall!AJ17&gt;0,Waterfall!AJ18*Debt!AJ50/Waterfall!AJ17,0)</f>
        <v>0</v>
      </c>
      <c r="AK49" s="20" t="n">
        <f aca="false">IF(Waterfall!AK17&gt;0,Waterfall!AK18*Debt!AK50/Waterfall!AK17,0)</f>
        <v>0</v>
      </c>
      <c r="AL49" s="20" t="n">
        <f aca="false">IF(Waterfall!AL17&gt;0,Waterfall!AL18*Debt!AL50/Waterfall!AL17,0)</f>
        <v>0</v>
      </c>
      <c r="AM49" s="20" t="n">
        <f aca="false">IF(Waterfall!AM17&gt;0,Waterfall!AM18*Debt!AM50/Waterfall!AM17,0)</f>
        <v>0</v>
      </c>
      <c r="AN49" s="20" t="n">
        <f aca="false">IF(Waterfall!AN17&gt;0,Waterfall!AN18*Debt!AN50/Waterfall!AN17,0)</f>
        <v>0</v>
      </c>
      <c r="AO49" s="20" t="n">
        <f aca="false">IF(Waterfall!AO17&gt;0,Waterfall!AO18*Debt!AO50/Waterfall!AO17,0)</f>
        <v>0</v>
      </c>
      <c r="AP49" s="20" t="n">
        <f aca="false">IF(Waterfall!AP17&gt;0,Waterfall!AP18*Debt!AP50/Waterfall!AP17,0)</f>
        <v>0</v>
      </c>
      <c r="AQ49" s="20" t="n">
        <f aca="false">IF(Waterfall!AQ17&gt;0,Waterfall!AQ18*Debt!AQ50/Waterfall!AQ17,0)</f>
        <v>0</v>
      </c>
      <c r="AR49" s="20" t="n">
        <f aca="false">IF(Waterfall!AR17&gt;0,Waterfall!AR18*Debt!AR50/Waterfall!AR17,0)</f>
        <v>0</v>
      </c>
      <c r="AS49" s="20" t="n">
        <f aca="false">IF(Waterfall!AS17&gt;0,Waterfall!AS18*Debt!AS50/Waterfall!AS17,0)</f>
        <v>0</v>
      </c>
      <c r="AT49" s="20" t="n">
        <f aca="false">IF(Waterfall!AT17&gt;0,Waterfall!AT18*Debt!AT50/Waterfall!AT17,0)</f>
        <v>0</v>
      </c>
      <c r="AU49" s="20" t="n">
        <f aca="false">IF(Waterfall!AU17&gt;0,Waterfall!AU18*Debt!AU50/Waterfall!AU17,0)</f>
        <v>0</v>
      </c>
    </row>
    <row r="50" customFormat="false" ht="15" hidden="false" customHeight="false" outlineLevel="0" collapsed="false">
      <c r="D50" s="0" t="s">
        <v>1065</v>
      </c>
      <c r="E50" s="0" t="s">
        <v>47</v>
      </c>
      <c r="J50" s="20" t="n">
        <f aca="false">Debt!J46-Debt!J48</f>
        <v>56.8285135890779</v>
      </c>
      <c r="K50" s="20" t="n">
        <f aca="false">Debt!K46-Debt!K48</f>
        <v>50.3953153482794</v>
      </c>
      <c r="L50" s="20" t="n">
        <f aca="false">Debt!L46-Debt!L48</f>
        <v>46.0050994201934</v>
      </c>
      <c r="M50" s="20" t="n">
        <f aca="false">Debt!M46-Debt!M48</f>
        <v>44.5269732228809</v>
      </c>
      <c r="N50" s="20" t="n">
        <f aca="false">Debt!N46-Debt!N48</f>
        <v>0</v>
      </c>
      <c r="O50" s="20" t="n">
        <f aca="false">Debt!O46-Debt!O48</f>
        <v>0</v>
      </c>
      <c r="P50" s="20" t="n">
        <f aca="false">Debt!P46-Debt!P48</f>
        <v>0</v>
      </c>
      <c r="Q50" s="20" t="n">
        <f aca="false">Debt!Q46-Debt!Q48</f>
        <v>0</v>
      </c>
      <c r="R50" s="20" t="n">
        <f aca="false">Debt!R46-Debt!R48</f>
        <v>0</v>
      </c>
      <c r="S50" s="20" t="n">
        <f aca="false">Debt!S46-Debt!S48</f>
        <v>0</v>
      </c>
      <c r="T50" s="20" t="n">
        <f aca="false">Debt!T46-Debt!T48</f>
        <v>0</v>
      </c>
      <c r="U50" s="20" t="n">
        <f aca="false">Debt!U46-Debt!U48</f>
        <v>0</v>
      </c>
      <c r="V50" s="20" t="n">
        <f aca="false">Debt!V46-Debt!V48</f>
        <v>0</v>
      </c>
      <c r="W50" s="20" t="n">
        <f aca="false">Debt!W46-Debt!W48</f>
        <v>0</v>
      </c>
      <c r="X50" s="20" t="n">
        <f aca="false">Debt!X46-Debt!X48</f>
        <v>0</v>
      </c>
      <c r="Y50" s="20" t="n">
        <f aca="false">Debt!Y46-Debt!Y48</f>
        <v>0</v>
      </c>
      <c r="Z50" s="20" t="n">
        <f aca="false">Debt!Z46-Debt!Z48</f>
        <v>0</v>
      </c>
      <c r="AA50" s="20" t="n">
        <f aca="false">Debt!AA46-Debt!AA48</f>
        <v>0</v>
      </c>
      <c r="AB50" s="20" t="n">
        <f aca="false">Debt!AB46-Debt!AB48</f>
        <v>0</v>
      </c>
      <c r="AC50" s="20" t="n">
        <f aca="false">Debt!AC46-Debt!AC48</f>
        <v>0</v>
      </c>
      <c r="AD50" s="20" t="n">
        <f aca="false">Debt!AD46-Debt!AD48</f>
        <v>0</v>
      </c>
      <c r="AE50" s="20" t="n">
        <f aca="false">Debt!AE46-Debt!AE48</f>
        <v>0</v>
      </c>
      <c r="AF50" s="20" t="n">
        <f aca="false">Debt!AF46-Debt!AF48</f>
        <v>0</v>
      </c>
      <c r="AG50" s="20" t="n">
        <f aca="false">Debt!AG46-Debt!AG48</f>
        <v>0</v>
      </c>
      <c r="AH50" s="20" t="n">
        <f aca="false">Debt!AH46-Debt!AH48</f>
        <v>0</v>
      </c>
      <c r="AI50" s="20" t="n">
        <f aca="false">Debt!AI46-Debt!AI48</f>
        <v>0</v>
      </c>
      <c r="AJ50" s="20" t="n">
        <f aca="false">Debt!AJ46-Debt!AJ48</f>
        <v>0</v>
      </c>
      <c r="AK50" s="20" t="n">
        <f aca="false">Debt!AK46-Debt!AK48</f>
        <v>0</v>
      </c>
      <c r="AL50" s="20" t="n">
        <f aca="false">Debt!AL46-Debt!AL48</f>
        <v>0</v>
      </c>
      <c r="AM50" s="20" t="n">
        <f aca="false">Debt!AM46-Debt!AM48</f>
        <v>0</v>
      </c>
      <c r="AN50" s="20" t="n">
        <f aca="false">Debt!AN46-Debt!AN48</f>
        <v>0</v>
      </c>
      <c r="AO50" s="20" t="n">
        <f aca="false">Debt!AO46-Debt!AO48</f>
        <v>0</v>
      </c>
      <c r="AP50" s="20" t="n">
        <f aca="false">Debt!AP46-Debt!AP48</f>
        <v>0</v>
      </c>
      <c r="AQ50" s="20" t="n">
        <f aca="false">Debt!AQ46-Debt!AQ48</f>
        <v>0</v>
      </c>
      <c r="AR50" s="20" t="n">
        <f aca="false">Debt!AR46-Debt!AR48</f>
        <v>0</v>
      </c>
      <c r="AS50" s="20" t="n">
        <f aca="false">Debt!AS46-Debt!AS48</f>
        <v>0</v>
      </c>
      <c r="AT50" s="20" t="n">
        <f aca="false">Debt!AT46-Debt!AT48</f>
        <v>0</v>
      </c>
      <c r="AU50" s="20" t="n">
        <f aca="false">Debt!AU46-Debt!AU48</f>
        <v>0</v>
      </c>
    </row>
    <row r="51" customFormat="false" ht="15" hidden="false" customHeight="false" outlineLevel="0" collapsed="false">
      <c r="D51" s="0" t="s">
        <v>1066</v>
      </c>
      <c r="E51" s="0" t="s">
        <v>47</v>
      </c>
      <c r="J51" s="20" t="n">
        <f aca="false">Debt!J9*(Debt!J50-Debt!J49)</f>
        <v>0</v>
      </c>
      <c r="K51" s="20" t="n">
        <f aca="false">Debt!K9*(Debt!K50-Debt!K49)</f>
        <v>0</v>
      </c>
      <c r="L51" s="20" t="n">
        <f aca="false">Debt!L9*(Debt!L50-Debt!L49)</f>
        <v>0</v>
      </c>
      <c r="M51" s="20" t="n">
        <f aca="false">Debt!M9*(Debt!M50-Debt!M49)</f>
        <v>42.0214692727801</v>
      </c>
      <c r="N51" s="20" t="n">
        <f aca="false">Debt!N9*(Debt!N50-Debt!N49)</f>
        <v>0</v>
      </c>
      <c r="O51" s="20" t="n">
        <f aca="false">Debt!O9*(Debt!O50-Debt!O49)</f>
        <v>0</v>
      </c>
      <c r="P51" s="20" t="n">
        <f aca="false">Debt!P9*(Debt!P50-Debt!P49)</f>
        <v>0</v>
      </c>
      <c r="Q51" s="20" t="n">
        <f aca="false">Debt!Q9*(Debt!Q50-Debt!Q49)</f>
        <v>0</v>
      </c>
      <c r="R51" s="20" t="n">
        <f aca="false">Debt!R9*(Debt!R50-Debt!R49)</f>
        <v>0</v>
      </c>
      <c r="S51" s="20" t="n">
        <f aca="false">Debt!S9*(Debt!S50-Debt!S49)</f>
        <v>0</v>
      </c>
      <c r="T51" s="20" t="n">
        <f aca="false">Debt!T9*(Debt!T50-Debt!T49)</f>
        <v>0</v>
      </c>
      <c r="U51" s="20" t="n">
        <f aca="false">Debt!U9*(Debt!U50-Debt!U49)</f>
        <v>0</v>
      </c>
      <c r="V51" s="20" t="n">
        <f aca="false">Debt!V9*(Debt!V50-Debt!V49)</f>
        <v>0</v>
      </c>
      <c r="W51" s="20" t="n">
        <f aca="false">Debt!W9*(Debt!W50-Debt!W49)</f>
        <v>0</v>
      </c>
      <c r="X51" s="20" t="n">
        <f aca="false">Debt!X9*(Debt!X50-Debt!X49)</f>
        <v>0</v>
      </c>
      <c r="Y51" s="20" t="n">
        <f aca="false">Debt!Y9*(Debt!Y50-Debt!Y49)</f>
        <v>0</v>
      </c>
      <c r="Z51" s="20" t="n">
        <f aca="false">Debt!Z9*(Debt!Z50-Debt!Z49)</f>
        <v>0</v>
      </c>
      <c r="AA51" s="20" t="n">
        <f aca="false">Debt!AA9*(Debt!AA50-Debt!AA49)</f>
        <v>0</v>
      </c>
      <c r="AB51" s="20" t="n">
        <f aca="false">Debt!AB9*(Debt!AB50-Debt!AB49)</f>
        <v>0</v>
      </c>
      <c r="AC51" s="20" t="n">
        <f aca="false">Debt!AC9*(Debt!AC50-Debt!AC49)</f>
        <v>0</v>
      </c>
      <c r="AD51" s="20" t="n">
        <f aca="false">Debt!AD9*(Debt!AD50-Debt!AD49)</f>
        <v>0</v>
      </c>
      <c r="AE51" s="20" t="n">
        <f aca="false">Debt!AE9*(Debt!AE50-Debt!AE49)</f>
        <v>0</v>
      </c>
      <c r="AF51" s="20" t="n">
        <f aca="false">Debt!AF9*(Debt!AF50-Debt!AF49)</f>
        <v>0</v>
      </c>
      <c r="AG51" s="20" t="n">
        <f aca="false">Debt!AG9*(Debt!AG50-Debt!AG49)</f>
        <v>0</v>
      </c>
      <c r="AH51" s="20" t="n">
        <f aca="false">Debt!AH9*(Debt!AH50-Debt!AH49)</f>
        <v>0</v>
      </c>
      <c r="AI51" s="20" t="n">
        <f aca="false">Debt!AI9*(Debt!AI50-Debt!AI49)</f>
        <v>0</v>
      </c>
      <c r="AJ51" s="20" t="n">
        <f aca="false">Debt!AJ9*(Debt!AJ50-Debt!AJ49)</f>
        <v>0</v>
      </c>
      <c r="AK51" s="20" t="n">
        <f aca="false">Debt!AK9*(Debt!AK50-Debt!AK49)</f>
        <v>0</v>
      </c>
      <c r="AL51" s="20" t="n">
        <f aca="false">Debt!AL9*(Debt!AL50-Debt!AL49)</f>
        <v>0</v>
      </c>
      <c r="AM51" s="20" t="n">
        <f aca="false">Debt!AM9*(Debt!AM50-Debt!AM49)</f>
        <v>0</v>
      </c>
      <c r="AN51" s="20" t="n">
        <f aca="false">Debt!AN9*(Debt!AN50-Debt!AN49)</f>
        <v>0</v>
      </c>
      <c r="AO51" s="20" t="n">
        <f aca="false">Debt!AO9*(Debt!AO50-Debt!AO49)</f>
        <v>0</v>
      </c>
      <c r="AP51" s="20" t="n">
        <f aca="false">Debt!AP9*(Debt!AP50-Debt!AP49)</f>
        <v>0</v>
      </c>
      <c r="AQ51" s="20" t="n">
        <f aca="false">Debt!AQ9*(Debt!AQ50-Debt!AQ49)</f>
        <v>0</v>
      </c>
      <c r="AR51" s="20" t="n">
        <f aca="false">Debt!AR9*(Debt!AR50-Debt!AR49)</f>
        <v>0</v>
      </c>
      <c r="AS51" s="20" t="n">
        <f aca="false">Debt!AS9*(Debt!AS50-Debt!AS49)</f>
        <v>0</v>
      </c>
      <c r="AT51" s="20" t="n">
        <f aca="false">Debt!AT9*(Debt!AT50-Debt!AT49)</f>
        <v>0</v>
      </c>
      <c r="AU51" s="20" t="n">
        <f aca="false">Debt!AU9*(Debt!AU50-Debt!AU49)</f>
        <v>0</v>
      </c>
    </row>
    <row r="52" customFormat="false" ht="15" hidden="false" customHeight="false" outlineLevel="0" collapsed="false">
      <c r="D52" s="0" t="s">
        <v>1067</v>
      </c>
      <c r="E52" s="0" t="s">
        <v>47</v>
      </c>
      <c r="J52" s="20" t="n">
        <f aca="false">Debt!J50-Debt!J49-Debt!J51</f>
        <v>50.9680568840651</v>
      </c>
      <c r="K52" s="20" t="n">
        <f aca="false">Debt!K50-Debt!K49-Debt!K51</f>
        <v>46.5778409559791</v>
      </c>
      <c r="L52" s="20" t="n">
        <f aca="false">Debt!L50-Debt!L49-Debt!L51</f>
        <v>45.0997147586665</v>
      </c>
      <c r="M52" s="20" t="n">
        <f aca="false">Debt!M50-Debt!M49-Debt!M51</f>
        <v>0</v>
      </c>
      <c r="N52" s="20" t="n">
        <f aca="false">Debt!N50-Debt!N49-Debt!N51</f>
        <v>0</v>
      </c>
      <c r="O52" s="20" t="n">
        <f aca="false">Debt!O50-Debt!O49-Debt!O51</f>
        <v>0</v>
      </c>
      <c r="P52" s="20" t="n">
        <f aca="false">Debt!P50-Debt!P49-Debt!P51</f>
        <v>0</v>
      </c>
      <c r="Q52" s="20" t="n">
        <f aca="false">Debt!Q50-Debt!Q49-Debt!Q51</f>
        <v>0</v>
      </c>
      <c r="R52" s="20" t="n">
        <f aca="false">Debt!R50-Debt!R49-Debt!R51</f>
        <v>0</v>
      </c>
      <c r="S52" s="20" t="n">
        <f aca="false">Debt!S50-Debt!S49-Debt!S51</f>
        <v>0</v>
      </c>
      <c r="T52" s="20" t="n">
        <f aca="false">Debt!T50-Debt!T49-Debt!T51</f>
        <v>0</v>
      </c>
      <c r="U52" s="20" t="n">
        <f aca="false">Debt!U50-Debt!U49-Debt!U51</f>
        <v>0</v>
      </c>
      <c r="V52" s="20" t="n">
        <f aca="false">Debt!V50-Debt!V49-Debt!V51</f>
        <v>0</v>
      </c>
      <c r="W52" s="20" t="n">
        <f aca="false">Debt!W50-Debt!W49-Debt!W51</f>
        <v>0</v>
      </c>
      <c r="X52" s="20" t="n">
        <f aca="false">Debt!X50-Debt!X49-Debt!X51</f>
        <v>0</v>
      </c>
      <c r="Y52" s="20" t="n">
        <f aca="false">Debt!Y50-Debt!Y49-Debt!Y51</f>
        <v>0</v>
      </c>
      <c r="Z52" s="20" t="n">
        <f aca="false">Debt!Z50-Debt!Z49-Debt!Z51</f>
        <v>0</v>
      </c>
      <c r="AA52" s="20" t="n">
        <f aca="false">Debt!AA50-Debt!AA49-Debt!AA51</f>
        <v>0</v>
      </c>
      <c r="AB52" s="20" t="n">
        <f aca="false">Debt!AB50-Debt!AB49-Debt!AB51</f>
        <v>0</v>
      </c>
      <c r="AC52" s="20" t="n">
        <f aca="false">Debt!AC50-Debt!AC49-Debt!AC51</f>
        <v>0</v>
      </c>
      <c r="AD52" s="20" t="n">
        <f aca="false">Debt!AD50-Debt!AD49-Debt!AD51</f>
        <v>0</v>
      </c>
      <c r="AE52" s="20" t="n">
        <f aca="false">Debt!AE50-Debt!AE49-Debt!AE51</f>
        <v>0</v>
      </c>
      <c r="AF52" s="20" t="n">
        <f aca="false">Debt!AF50-Debt!AF49-Debt!AF51</f>
        <v>0</v>
      </c>
      <c r="AG52" s="20" t="n">
        <f aca="false">Debt!AG50-Debt!AG49-Debt!AG51</f>
        <v>0</v>
      </c>
      <c r="AH52" s="20" t="n">
        <f aca="false">Debt!AH50-Debt!AH49-Debt!AH51</f>
        <v>0</v>
      </c>
      <c r="AI52" s="20" t="n">
        <f aca="false">Debt!AI50-Debt!AI49-Debt!AI51</f>
        <v>0</v>
      </c>
      <c r="AJ52" s="20" t="n">
        <f aca="false">Debt!AJ50-Debt!AJ49-Debt!AJ51</f>
        <v>0</v>
      </c>
      <c r="AK52" s="20" t="n">
        <f aca="false">Debt!AK50-Debt!AK49-Debt!AK51</f>
        <v>0</v>
      </c>
      <c r="AL52" s="20" t="n">
        <f aca="false">Debt!AL50-Debt!AL49-Debt!AL51</f>
        <v>0</v>
      </c>
      <c r="AM52" s="20" t="n">
        <f aca="false">Debt!AM50-Debt!AM49-Debt!AM51</f>
        <v>0</v>
      </c>
      <c r="AN52" s="20" t="n">
        <f aca="false">Debt!AN50-Debt!AN49-Debt!AN51</f>
        <v>0</v>
      </c>
      <c r="AO52" s="20" t="n">
        <f aca="false">Debt!AO50-Debt!AO49-Debt!AO51</f>
        <v>0</v>
      </c>
      <c r="AP52" s="20" t="n">
        <f aca="false">Debt!AP50-Debt!AP49-Debt!AP51</f>
        <v>0</v>
      </c>
      <c r="AQ52" s="20" t="n">
        <f aca="false">Debt!AQ50-Debt!AQ49-Debt!AQ51</f>
        <v>0</v>
      </c>
      <c r="AR52" s="20" t="n">
        <f aca="false">Debt!AR50-Debt!AR49-Debt!AR51</f>
        <v>0</v>
      </c>
      <c r="AS52" s="20" t="n">
        <f aca="false">Debt!AS50-Debt!AS49-Debt!AS51</f>
        <v>0</v>
      </c>
      <c r="AT52" s="20" t="n">
        <f aca="false">Debt!AT50-Debt!AT49-Debt!AT51</f>
        <v>0</v>
      </c>
      <c r="AU52" s="20" t="n">
        <f aca="false">Debt!AU50-Debt!AU49-Debt!AU51</f>
        <v>0</v>
      </c>
    </row>
    <row r="53" customFormat="false" ht="15" hidden="false" customHeight="false" outlineLevel="0" collapsed="false">
      <c r="D53" s="0" t="s">
        <v>1068</v>
      </c>
      <c r="E53" s="0" t="s">
        <v>47</v>
      </c>
      <c r="J53" s="20" t="n">
        <f aca="false">IF(Time!J$4=YEAR(Inputs!$F$307),Debt!$F$42,I59)</f>
        <v>0</v>
      </c>
      <c r="K53" s="20" t="n">
        <f aca="false">IF(Time!K$4=YEAR(Inputs!$F$307),Debt!$F$42,J59)</f>
        <v>0</v>
      </c>
      <c r="L53" s="20" t="n">
        <f aca="false">IF(Time!L$4=YEAR(Inputs!$F$307),Debt!$F$42,K59)</f>
        <v>93.3137338161107</v>
      </c>
      <c r="M53" s="20" t="n">
        <f aca="false">IF(Time!M$4=YEAR(Inputs!$F$307),Debt!$F$42,L59)</f>
        <v>90.6775091782511</v>
      </c>
      <c r="N53" s="20" t="n">
        <f aca="false">IF(Time!N$4=YEAR(Inputs!$F$307),Debt!$F$42,M59)</f>
        <v>0</v>
      </c>
      <c r="O53" s="20" t="n">
        <f aca="false">IF(Time!O$4=YEAR(Inputs!$F$307),Debt!$F$42,N59)</f>
        <v>0</v>
      </c>
      <c r="P53" s="20" t="n">
        <f aca="false">IF(Time!P$4=YEAR(Inputs!$F$307),Debt!$F$42,O59)</f>
        <v>0</v>
      </c>
      <c r="Q53" s="20" t="n">
        <f aca="false">IF(Time!Q$4=YEAR(Inputs!$F$307),Debt!$F$42,P59)</f>
        <v>0</v>
      </c>
      <c r="R53" s="20" t="n">
        <f aca="false">IF(Time!R$4=YEAR(Inputs!$F$307),Debt!$F$42,Q59)</f>
        <v>0</v>
      </c>
      <c r="S53" s="20" t="n">
        <f aca="false">IF(Time!S$4=YEAR(Inputs!$F$307),Debt!$F$42,R59)</f>
        <v>0</v>
      </c>
      <c r="T53" s="20" t="n">
        <f aca="false">IF(Time!T$4=YEAR(Inputs!$F$307),Debt!$F$42,S59)</f>
        <v>0</v>
      </c>
      <c r="U53" s="20" t="n">
        <f aca="false">IF(Time!U$4=YEAR(Inputs!$F$307),Debt!$F$42,T59)</f>
        <v>0</v>
      </c>
      <c r="V53" s="20" t="n">
        <f aca="false">IF(Time!V$4=YEAR(Inputs!$F$307),Debt!$F$42,U59)</f>
        <v>0</v>
      </c>
      <c r="W53" s="20" t="n">
        <f aca="false">IF(Time!W$4=YEAR(Inputs!$F$307),Debt!$F$42,V59)</f>
        <v>0</v>
      </c>
      <c r="X53" s="20" t="n">
        <f aca="false">IF(Time!X$4=YEAR(Inputs!$F$307),Debt!$F$42,W59)</f>
        <v>0</v>
      </c>
      <c r="Y53" s="20" t="n">
        <f aca="false">IF(Time!Y$4=YEAR(Inputs!$F$307),Debt!$F$42,X59)</f>
        <v>0</v>
      </c>
      <c r="Z53" s="20" t="n">
        <f aca="false">IF(Time!Z$4=YEAR(Inputs!$F$307),Debt!$F$42,Y59)</f>
        <v>0</v>
      </c>
      <c r="AA53" s="20" t="n">
        <f aca="false">IF(Time!AA$4=YEAR(Inputs!$F$307),Debt!$F$42,Z59)</f>
        <v>0</v>
      </c>
      <c r="AB53" s="20" t="n">
        <f aca="false">IF(Time!AB$4=YEAR(Inputs!$F$307),Debt!$F$42,AA59)</f>
        <v>0</v>
      </c>
      <c r="AC53" s="20" t="n">
        <f aca="false">IF(Time!AC$4=YEAR(Inputs!$F$307),Debt!$F$42,AB59)</f>
        <v>0</v>
      </c>
      <c r="AD53" s="20" t="n">
        <f aca="false">IF(Time!AD$4=YEAR(Inputs!$F$307),Debt!$F$42,AC59)</f>
        <v>0</v>
      </c>
      <c r="AE53" s="20" t="n">
        <f aca="false">IF(Time!AE$4=YEAR(Inputs!$F$307),Debt!$F$42,AD59)</f>
        <v>0</v>
      </c>
      <c r="AF53" s="20" t="n">
        <f aca="false">IF(Time!AF$4=YEAR(Inputs!$F$307),Debt!$F$42,AE59)</f>
        <v>0</v>
      </c>
      <c r="AG53" s="20" t="n">
        <f aca="false">IF(Time!AG$4=YEAR(Inputs!$F$307),Debt!$F$42,AF59)</f>
        <v>0</v>
      </c>
      <c r="AH53" s="20" t="n">
        <f aca="false">IF(Time!AH$4=YEAR(Inputs!$F$307),Debt!$F$42,AG59)</f>
        <v>0</v>
      </c>
      <c r="AI53" s="20" t="n">
        <f aca="false">IF(Time!AI$4=YEAR(Inputs!$F$307),Debt!$F$42,AH59)</f>
        <v>0</v>
      </c>
      <c r="AJ53" s="20" t="n">
        <f aca="false">IF(Time!AJ$4=YEAR(Inputs!$F$307),Debt!$F$42,AI59)</f>
        <v>0</v>
      </c>
      <c r="AK53" s="20" t="n">
        <f aca="false">IF(Time!AK$4=YEAR(Inputs!$F$307),Debt!$F$42,AJ59)</f>
        <v>0</v>
      </c>
      <c r="AL53" s="20" t="n">
        <f aca="false">IF(Time!AL$4=YEAR(Inputs!$F$307),Debt!$F$42,AK59)</f>
        <v>0</v>
      </c>
      <c r="AM53" s="20" t="n">
        <f aca="false">IF(Time!AM$4=YEAR(Inputs!$F$307),Debt!$F$42,AL59)</f>
        <v>0</v>
      </c>
      <c r="AN53" s="20" t="n">
        <f aca="false">IF(Time!AN$4=YEAR(Inputs!$F$307),Debt!$F$42,AM59)</f>
        <v>0</v>
      </c>
      <c r="AO53" s="20" t="n">
        <f aca="false">IF(Time!AO$4=YEAR(Inputs!$F$307),Debt!$F$42,AN59)</f>
        <v>0</v>
      </c>
      <c r="AP53" s="20" t="n">
        <f aca="false">IF(Time!AP$4=YEAR(Inputs!$F$307),Debt!$F$42,AO59)</f>
        <v>0</v>
      </c>
      <c r="AQ53" s="20" t="n">
        <f aca="false">IF(Time!AQ$4=YEAR(Inputs!$F$307),Debt!$F$42,AP59)</f>
        <v>0</v>
      </c>
      <c r="AR53" s="20" t="n">
        <f aca="false">IF(Time!AR$4=YEAR(Inputs!$F$307),Debt!$F$42,AQ59)</f>
        <v>0</v>
      </c>
      <c r="AS53" s="20" t="n">
        <f aca="false">IF(Time!AS$4=YEAR(Inputs!$F$307),Debt!$F$42,AR59)</f>
        <v>0</v>
      </c>
      <c r="AT53" s="20" t="n">
        <f aca="false">IF(Time!AT$4=YEAR(Inputs!$F$307),Debt!$F$42,AS59)</f>
        <v>0</v>
      </c>
      <c r="AU53" s="20" t="n">
        <f aca="false">IF(Time!AU$4=YEAR(Inputs!$F$307),Debt!$F$42,AT59)</f>
        <v>0</v>
      </c>
    </row>
    <row r="54" customFormat="false" ht="15" hidden="false" customHeight="false" outlineLevel="0" collapsed="false">
      <c r="D54" s="0" t="s">
        <v>1069</v>
      </c>
      <c r="E54" s="0" t="s">
        <v>47</v>
      </c>
      <c r="G54" s="20" t="n">
        <f aca="false">SUM(J54:AU54)</f>
        <v>15.4029455105955</v>
      </c>
      <c r="J54" s="20" t="n">
        <f aca="false">Debt!J53*Debt!J41/100*Debt!J40</f>
        <v>0</v>
      </c>
      <c r="K54" s="20" t="n">
        <f aca="false">Debt!K53*Debt!K41/100*Debt!K40</f>
        <v>0</v>
      </c>
      <c r="L54" s="20" t="n">
        <f aca="false">Debt!L53*Debt!L41/100*Debt!L40</f>
        <v>7.67722172860854</v>
      </c>
      <c r="M54" s="20" t="n">
        <f aca="false">Debt!M53*Debt!M41/100*Debt!M40</f>
        <v>7.72572378198699</v>
      </c>
      <c r="N54" s="20" t="n">
        <f aca="false">Debt!N53*Debt!N41/100*Debt!N40</f>
        <v>0</v>
      </c>
      <c r="O54" s="20" t="n">
        <f aca="false">Debt!O53*Debt!O41/100*Debt!O40</f>
        <v>0</v>
      </c>
      <c r="P54" s="20" t="n">
        <f aca="false">Debt!P53*Debt!P41/100*Debt!P40</f>
        <v>0</v>
      </c>
      <c r="Q54" s="20" t="n">
        <f aca="false">Debt!Q53*Debt!Q41/100*Debt!Q40</f>
        <v>0</v>
      </c>
      <c r="R54" s="20" t="n">
        <f aca="false">Debt!R53*Debt!R41/100*Debt!R40</f>
        <v>0</v>
      </c>
      <c r="S54" s="20" t="n">
        <f aca="false">Debt!S53*Debt!S41/100*Debt!S40</f>
        <v>0</v>
      </c>
      <c r="T54" s="20" t="n">
        <f aca="false">Debt!T53*Debt!T41/100*Debt!T40</f>
        <v>0</v>
      </c>
      <c r="U54" s="20" t="n">
        <f aca="false">Debt!U53*Debt!U41/100*Debt!U40</f>
        <v>0</v>
      </c>
      <c r="V54" s="20" t="n">
        <f aca="false">Debt!V53*Debt!V41/100*Debt!V40</f>
        <v>0</v>
      </c>
      <c r="W54" s="20" t="n">
        <f aca="false">Debt!W53*Debt!W41/100*Debt!W40</f>
        <v>0</v>
      </c>
      <c r="X54" s="20" t="n">
        <f aca="false">Debt!X53*Debt!X41/100*Debt!X40</f>
        <v>0</v>
      </c>
      <c r="Y54" s="20" t="n">
        <f aca="false">Debt!Y53*Debt!Y41/100*Debt!Y40</f>
        <v>0</v>
      </c>
      <c r="Z54" s="20" t="n">
        <f aca="false">Debt!Z53*Debt!Z41/100*Debt!Z40</f>
        <v>0</v>
      </c>
      <c r="AA54" s="20" t="n">
        <f aca="false">Debt!AA53*Debt!AA41/100*Debt!AA40</f>
        <v>0</v>
      </c>
      <c r="AB54" s="20" t="n">
        <f aca="false">Debt!AB53*Debt!AB41/100*Debt!AB40</f>
        <v>0</v>
      </c>
      <c r="AC54" s="20" t="n">
        <f aca="false">Debt!AC53*Debt!AC41/100*Debt!AC40</f>
        <v>0</v>
      </c>
      <c r="AD54" s="20" t="n">
        <f aca="false">Debt!AD53*Debt!AD41/100*Debt!AD40</f>
        <v>0</v>
      </c>
      <c r="AE54" s="20" t="n">
        <f aca="false">Debt!AE53*Debt!AE41/100*Debt!AE40</f>
        <v>0</v>
      </c>
      <c r="AF54" s="20" t="n">
        <f aca="false">Debt!AF53*Debt!AF41/100*Debt!AF40</f>
        <v>0</v>
      </c>
      <c r="AG54" s="20" t="n">
        <f aca="false">Debt!AG53*Debt!AG41/100*Debt!AG40</f>
        <v>0</v>
      </c>
      <c r="AH54" s="20" t="n">
        <f aca="false">Debt!AH53*Debt!AH41/100*Debt!AH40</f>
        <v>0</v>
      </c>
      <c r="AI54" s="20" t="n">
        <f aca="false">Debt!AI53*Debt!AI41/100*Debt!AI40</f>
        <v>0</v>
      </c>
      <c r="AJ54" s="20" t="n">
        <f aca="false">Debt!AJ53*Debt!AJ41/100*Debt!AJ40</f>
        <v>0</v>
      </c>
      <c r="AK54" s="20" t="n">
        <f aca="false">Debt!AK53*Debt!AK41/100*Debt!AK40</f>
        <v>0</v>
      </c>
      <c r="AL54" s="20" t="n">
        <f aca="false">Debt!AL53*Debt!AL41/100*Debt!AL40</f>
        <v>0</v>
      </c>
      <c r="AM54" s="20" t="n">
        <f aca="false">Debt!AM53*Debt!AM41/100*Debt!AM40</f>
        <v>0</v>
      </c>
      <c r="AN54" s="20" t="n">
        <f aca="false">Debt!AN53*Debt!AN41/100*Debt!AN40</f>
        <v>0</v>
      </c>
      <c r="AO54" s="20" t="n">
        <f aca="false">Debt!AO53*Debt!AO41/100*Debt!AO40</f>
        <v>0</v>
      </c>
      <c r="AP54" s="20" t="n">
        <f aca="false">Debt!AP53*Debt!AP41/100*Debt!AP40</f>
        <v>0</v>
      </c>
      <c r="AQ54" s="20" t="n">
        <f aca="false">Debt!AQ53*Debt!AQ41/100*Debt!AQ40</f>
        <v>0</v>
      </c>
      <c r="AR54" s="20" t="n">
        <f aca="false">Debt!AR53*Debt!AR41/100*Debt!AR40</f>
        <v>0</v>
      </c>
      <c r="AS54" s="20" t="n">
        <f aca="false">Debt!AS53*Debt!AS41/100*Debt!AS40</f>
        <v>0</v>
      </c>
      <c r="AT54" s="20" t="n">
        <f aca="false">Debt!AT53*Debt!AT41/100*Debt!AT40</f>
        <v>0</v>
      </c>
      <c r="AU54" s="20" t="n">
        <f aca="false">Debt!AU53*Debt!AU41/100*Debt!AU40</f>
        <v>0</v>
      </c>
    </row>
    <row r="55" customFormat="false" ht="15" hidden="false" customHeight="false" outlineLevel="0" collapsed="false">
      <c r="D55" s="0" t="s">
        <v>1070</v>
      </c>
      <c r="E55" s="0" t="s">
        <v>47</v>
      </c>
      <c r="G55" s="20" t="n">
        <f aca="false">SUM(J55:AU55)</f>
        <v>1.74899512015989</v>
      </c>
      <c r="J55" s="20" t="n">
        <f aca="false">MIN(Debt!J53,Inputs!$F$311/100*Debt!$F$42*Debt!J40)</f>
        <v>0</v>
      </c>
      <c r="K55" s="20" t="n">
        <f aca="false">MIN(Debt!K53,Inputs!$F$311/100*Debt!$F$42*Debt!K40)</f>
        <v>0</v>
      </c>
      <c r="L55" s="20" t="n">
        <f aca="false">MIN(Debt!L53,Inputs!$F$311/100*Debt!$F$42*Debt!L40)</f>
        <v>0.815857781998782</v>
      </c>
      <c r="M55" s="20" t="n">
        <f aca="false">MIN(Debt!M53,Inputs!$F$311/100*Debt!$F$42*Debt!M40)</f>
        <v>0.933137338161107</v>
      </c>
      <c r="N55" s="20" t="n">
        <f aca="false">MIN(Debt!N53,Inputs!$F$311/100*Debt!$F$42*Debt!N40)</f>
        <v>0</v>
      </c>
      <c r="O55" s="20" t="n">
        <f aca="false">MIN(Debt!O53,Inputs!$F$311/100*Debt!$F$42*Debt!O40)</f>
        <v>0</v>
      </c>
      <c r="P55" s="20" t="n">
        <f aca="false">MIN(Debt!P53,Inputs!$F$311/100*Debt!$F$42*Debt!P40)</f>
        <v>0</v>
      </c>
      <c r="Q55" s="20" t="n">
        <f aca="false">MIN(Debt!Q53,Inputs!$F$311/100*Debt!$F$42*Debt!Q40)</f>
        <v>0</v>
      </c>
      <c r="R55" s="20" t="n">
        <f aca="false">MIN(Debt!R53,Inputs!$F$311/100*Debt!$F$42*Debt!R40)</f>
        <v>0</v>
      </c>
      <c r="S55" s="20" t="n">
        <f aca="false">MIN(Debt!S53,Inputs!$F$311/100*Debt!$F$42*Debt!S40)</f>
        <v>0</v>
      </c>
      <c r="T55" s="20" t="n">
        <f aca="false">MIN(Debt!T53,Inputs!$F$311/100*Debt!$F$42*Debt!T40)</f>
        <v>0</v>
      </c>
      <c r="U55" s="20" t="n">
        <f aca="false">MIN(Debt!U53,Inputs!$F$311/100*Debt!$F$42*Debt!U40)</f>
        <v>0</v>
      </c>
      <c r="V55" s="20" t="n">
        <f aca="false">MIN(Debt!V53,Inputs!$F$311/100*Debt!$F$42*Debt!V40)</f>
        <v>0</v>
      </c>
      <c r="W55" s="20" t="n">
        <f aca="false">MIN(Debt!W53,Inputs!$F$311/100*Debt!$F$42*Debt!W40)</f>
        <v>0</v>
      </c>
      <c r="X55" s="20" t="n">
        <f aca="false">MIN(Debt!X53,Inputs!$F$311/100*Debt!$F$42*Debt!X40)</f>
        <v>0</v>
      </c>
      <c r="Y55" s="20" t="n">
        <f aca="false">MIN(Debt!Y53,Inputs!$F$311/100*Debt!$F$42*Debt!Y40)</f>
        <v>0</v>
      </c>
      <c r="Z55" s="20" t="n">
        <f aca="false">MIN(Debt!Z53,Inputs!$F$311/100*Debt!$F$42*Debt!Z40)</f>
        <v>0</v>
      </c>
      <c r="AA55" s="20" t="n">
        <f aca="false">MIN(Debt!AA53,Inputs!$F$311/100*Debt!$F$42*Debt!AA40)</f>
        <v>0</v>
      </c>
      <c r="AB55" s="20" t="n">
        <f aca="false">MIN(Debt!AB53,Inputs!$F$311/100*Debt!$F$42*Debt!AB40)</f>
        <v>0</v>
      </c>
      <c r="AC55" s="20" t="n">
        <f aca="false">MIN(Debt!AC53,Inputs!$F$311/100*Debt!$F$42*Debt!AC40)</f>
        <v>0</v>
      </c>
      <c r="AD55" s="20" t="n">
        <f aca="false">MIN(Debt!AD53,Inputs!$F$311/100*Debt!$F$42*Debt!AD40)</f>
        <v>0</v>
      </c>
      <c r="AE55" s="20" t="n">
        <f aca="false">MIN(Debt!AE53,Inputs!$F$311/100*Debt!$F$42*Debt!AE40)</f>
        <v>0</v>
      </c>
      <c r="AF55" s="20" t="n">
        <f aca="false">MIN(Debt!AF53,Inputs!$F$311/100*Debt!$F$42*Debt!AF40)</f>
        <v>0</v>
      </c>
      <c r="AG55" s="20" t="n">
        <f aca="false">MIN(Debt!AG53,Inputs!$F$311/100*Debt!$F$42*Debt!AG40)</f>
        <v>0</v>
      </c>
      <c r="AH55" s="20" t="n">
        <f aca="false">MIN(Debt!AH53,Inputs!$F$311/100*Debt!$F$42*Debt!AH40)</f>
        <v>0</v>
      </c>
      <c r="AI55" s="20" t="n">
        <f aca="false">MIN(Debt!AI53,Inputs!$F$311/100*Debt!$F$42*Debt!AI40)</f>
        <v>0</v>
      </c>
      <c r="AJ55" s="20" t="n">
        <f aca="false">MIN(Debt!AJ53,Inputs!$F$311/100*Debt!$F$42*Debt!AJ40)</f>
        <v>0</v>
      </c>
      <c r="AK55" s="20" t="n">
        <f aca="false">MIN(Debt!AK53,Inputs!$F$311/100*Debt!$F$42*Debt!AK40)</f>
        <v>0</v>
      </c>
      <c r="AL55" s="20" t="n">
        <f aca="false">MIN(Debt!AL53,Inputs!$F$311/100*Debt!$F$42*Debt!AL40)</f>
        <v>0</v>
      </c>
      <c r="AM55" s="20" t="n">
        <f aca="false">MIN(Debt!AM53,Inputs!$F$311/100*Debt!$F$42*Debt!AM40)</f>
        <v>0</v>
      </c>
      <c r="AN55" s="20" t="n">
        <f aca="false">MIN(Debt!AN53,Inputs!$F$311/100*Debt!$F$42*Debt!AN40)</f>
        <v>0</v>
      </c>
      <c r="AO55" s="20" t="n">
        <f aca="false">MIN(Debt!AO53,Inputs!$F$311/100*Debt!$F$42*Debt!AO40)</f>
        <v>0</v>
      </c>
      <c r="AP55" s="20" t="n">
        <f aca="false">MIN(Debt!AP53,Inputs!$F$311/100*Debt!$F$42*Debt!AP40)</f>
        <v>0</v>
      </c>
      <c r="AQ55" s="20" t="n">
        <f aca="false">MIN(Debt!AQ53,Inputs!$F$311/100*Debt!$F$42*Debt!AQ40)</f>
        <v>0</v>
      </c>
      <c r="AR55" s="20" t="n">
        <f aca="false">MIN(Debt!AR53,Inputs!$F$311/100*Debt!$F$42*Debt!AR40)</f>
        <v>0</v>
      </c>
      <c r="AS55" s="20" t="n">
        <f aca="false">MIN(Debt!AS53,Inputs!$F$311/100*Debt!$F$42*Debt!AS40)</f>
        <v>0</v>
      </c>
      <c r="AT55" s="20" t="n">
        <f aca="false">MIN(Debt!AT53,Inputs!$F$311/100*Debt!$F$42*Debt!AT40)</f>
        <v>0</v>
      </c>
      <c r="AU55" s="20" t="n">
        <f aca="false">MIN(Debt!AU53,Inputs!$F$311/100*Debt!$F$42*Debt!AU40)</f>
        <v>0</v>
      </c>
    </row>
    <row r="56" customFormat="false" ht="15" hidden="false" customHeight="false" outlineLevel="0" collapsed="false">
      <c r="D56" s="0" t="s">
        <v>1071</v>
      </c>
      <c r="E56" s="0" t="s">
        <v>47</v>
      </c>
      <c r="J56" s="20" t="n">
        <f aca="false">IF(Waterfall!J17&gt;0,Waterfall!J18*Debt!J57/Waterfall!J17,0)</f>
        <v>0</v>
      </c>
      <c r="K56" s="20" t="n">
        <f aca="false">IF(Waterfall!K17&gt;0,Waterfall!K18*Debt!K57/Waterfall!K17,0)</f>
        <v>0</v>
      </c>
      <c r="L56" s="20" t="n">
        <f aca="false">IF(Waterfall!L17&gt;0,Waterfall!L18*Debt!L57/Waterfall!L17,0)</f>
        <v>1.82036685586081</v>
      </c>
      <c r="M56" s="20" t="n">
        <f aca="false">IF(Waterfall!M17&gt;0,Waterfall!M18*Debt!M57/Waterfall!M17,0)</f>
        <v>5.04985769005999</v>
      </c>
      <c r="N56" s="20" t="n">
        <f aca="false">IF(Waterfall!N17&gt;0,Waterfall!N18*Debt!N57/Waterfall!N17,0)</f>
        <v>0</v>
      </c>
      <c r="O56" s="20" t="n">
        <f aca="false">IF(Waterfall!O17&gt;0,Waterfall!O18*Debt!O57/Waterfall!O17,0)</f>
        <v>0</v>
      </c>
      <c r="P56" s="20" t="n">
        <f aca="false">IF(Waterfall!P17&gt;0,Waterfall!P18*Debt!P57/Waterfall!P17,0)</f>
        <v>0</v>
      </c>
      <c r="Q56" s="20" t="n">
        <f aca="false">IF(Waterfall!Q17&gt;0,Waterfall!Q18*Debt!Q57/Waterfall!Q17,0)</f>
        <v>0</v>
      </c>
      <c r="R56" s="20" t="n">
        <f aca="false">IF(Waterfall!R17&gt;0,Waterfall!R18*Debt!R57/Waterfall!R17,0)</f>
        <v>0</v>
      </c>
      <c r="S56" s="20" t="n">
        <f aca="false">IF(Waterfall!S17&gt;0,Waterfall!S18*Debt!S57/Waterfall!S17,0)</f>
        <v>0</v>
      </c>
      <c r="T56" s="20" t="n">
        <f aca="false">IF(Waterfall!T17&gt;0,Waterfall!T18*Debt!T57/Waterfall!T17,0)</f>
        <v>0</v>
      </c>
      <c r="U56" s="20" t="n">
        <f aca="false">IF(Waterfall!U17&gt;0,Waterfall!U18*Debt!U57/Waterfall!U17,0)</f>
        <v>0</v>
      </c>
      <c r="V56" s="20" t="n">
        <f aca="false">IF(Waterfall!V17&gt;0,Waterfall!V18*Debt!V57/Waterfall!V17,0)</f>
        <v>0</v>
      </c>
      <c r="W56" s="20" t="n">
        <f aca="false">IF(Waterfall!W17&gt;0,Waterfall!W18*Debt!W57/Waterfall!W17,0)</f>
        <v>0</v>
      </c>
      <c r="X56" s="20" t="n">
        <f aca="false">IF(Waterfall!X17&gt;0,Waterfall!X18*Debt!X57/Waterfall!X17,0)</f>
        <v>0</v>
      </c>
      <c r="Y56" s="20" t="n">
        <f aca="false">IF(Waterfall!Y17&gt;0,Waterfall!Y18*Debt!Y57/Waterfall!Y17,0)</f>
        <v>0</v>
      </c>
      <c r="Z56" s="20" t="n">
        <f aca="false">IF(Waterfall!Z17&gt;0,Waterfall!Z18*Debt!Z57/Waterfall!Z17,0)</f>
        <v>0</v>
      </c>
      <c r="AA56" s="20" t="n">
        <f aca="false">IF(Waterfall!AA17&gt;0,Waterfall!AA18*Debt!AA57/Waterfall!AA17,0)</f>
        <v>0</v>
      </c>
      <c r="AB56" s="20" t="n">
        <f aca="false">IF(Waterfall!AB17&gt;0,Waterfall!AB18*Debt!AB57/Waterfall!AB17,0)</f>
        <v>0</v>
      </c>
      <c r="AC56" s="20" t="n">
        <f aca="false">IF(Waterfall!AC17&gt;0,Waterfall!AC18*Debt!AC57/Waterfall!AC17,0)</f>
        <v>0</v>
      </c>
      <c r="AD56" s="20" t="n">
        <f aca="false">IF(Waterfall!AD17&gt;0,Waterfall!AD18*Debt!AD57/Waterfall!AD17,0)</f>
        <v>0</v>
      </c>
      <c r="AE56" s="20" t="n">
        <f aca="false">IF(Waterfall!AE17&gt;0,Waterfall!AE18*Debt!AE57/Waterfall!AE17,0)</f>
        <v>0</v>
      </c>
      <c r="AF56" s="20" t="n">
        <f aca="false">IF(Waterfall!AF17&gt;0,Waterfall!AF18*Debt!AF57/Waterfall!AF17,0)</f>
        <v>0</v>
      </c>
      <c r="AG56" s="20" t="n">
        <f aca="false">IF(Waterfall!AG17&gt;0,Waterfall!AG18*Debt!AG57/Waterfall!AG17,0)</f>
        <v>0</v>
      </c>
      <c r="AH56" s="20" t="n">
        <f aca="false">IF(Waterfall!AH17&gt;0,Waterfall!AH18*Debt!AH57/Waterfall!AH17,0)</f>
        <v>0</v>
      </c>
      <c r="AI56" s="20" t="n">
        <f aca="false">IF(Waterfall!AI17&gt;0,Waterfall!AI18*Debt!AI57/Waterfall!AI17,0)</f>
        <v>0</v>
      </c>
      <c r="AJ56" s="20" t="n">
        <f aca="false">IF(Waterfall!AJ17&gt;0,Waterfall!AJ18*Debt!AJ57/Waterfall!AJ17,0)</f>
        <v>0</v>
      </c>
      <c r="AK56" s="20" t="n">
        <f aca="false">IF(Waterfall!AK17&gt;0,Waterfall!AK18*Debt!AK57/Waterfall!AK17,0)</f>
        <v>0</v>
      </c>
      <c r="AL56" s="20" t="n">
        <f aca="false">IF(Waterfall!AL17&gt;0,Waterfall!AL18*Debt!AL57/Waterfall!AL17,0)</f>
        <v>0</v>
      </c>
      <c r="AM56" s="20" t="n">
        <f aca="false">IF(Waterfall!AM17&gt;0,Waterfall!AM18*Debt!AM57/Waterfall!AM17,0)</f>
        <v>0</v>
      </c>
      <c r="AN56" s="20" t="n">
        <f aca="false">IF(Waterfall!AN17&gt;0,Waterfall!AN18*Debt!AN57/Waterfall!AN17,0)</f>
        <v>0</v>
      </c>
      <c r="AO56" s="20" t="n">
        <f aca="false">IF(Waterfall!AO17&gt;0,Waterfall!AO18*Debt!AO57/Waterfall!AO17,0)</f>
        <v>0</v>
      </c>
      <c r="AP56" s="20" t="n">
        <f aca="false">IF(Waterfall!AP17&gt;0,Waterfall!AP18*Debt!AP57/Waterfall!AP17,0)</f>
        <v>0</v>
      </c>
      <c r="AQ56" s="20" t="n">
        <f aca="false">IF(Waterfall!AQ17&gt;0,Waterfall!AQ18*Debt!AQ57/Waterfall!AQ17,0)</f>
        <v>0</v>
      </c>
      <c r="AR56" s="20" t="n">
        <f aca="false">IF(Waterfall!AR17&gt;0,Waterfall!AR18*Debt!AR57/Waterfall!AR17,0)</f>
        <v>0</v>
      </c>
      <c r="AS56" s="20" t="n">
        <f aca="false">IF(Waterfall!AS17&gt;0,Waterfall!AS18*Debt!AS57/Waterfall!AS17,0)</f>
        <v>0</v>
      </c>
      <c r="AT56" s="20" t="n">
        <f aca="false">IF(Waterfall!AT17&gt;0,Waterfall!AT18*Debt!AT57/Waterfall!AT17,0)</f>
        <v>0</v>
      </c>
      <c r="AU56" s="20" t="n">
        <f aca="false">IF(Waterfall!AU17&gt;0,Waterfall!AU18*Debt!AU57/Waterfall!AU17,0)</f>
        <v>0</v>
      </c>
    </row>
    <row r="57" customFormat="false" ht="15" hidden="false" customHeight="false" outlineLevel="0" collapsed="false">
      <c r="D57" s="0" t="s">
        <v>1072</v>
      </c>
      <c r="E57" s="0" t="s">
        <v>47</v>
      </c>
      <c r="J57" s="20" t="n">
        <f aca="false">Debt!J53-Debt!J55</f>
        <v>0</v>
      </c>
      <c r="K57" s="20" t="n">
        <f aca="false">Debt!K53-Debt!K55</f>
        <v>0</v>
      </c>
      <c r="L57" s="20" t="n">
        <f aca="false">Debt!L53-Debt!L55</f>
        <v>92.4978760341119</v>
      </c>
      <c r="M57" s="20" t="n">
        <f aca="false">Debt!M53-Debt!M55</f>
        <v>89.74437184009</v>
      </c>
      <c r="N57" s="20" t="n">
        <f aca="false">Debt!N53-Debt!N55</f>
        <v>0</v>
      </c>
      <c r="O57" s="20" t="n">
        <f aca="false">Debt!O53-Debt!O55</f>
        <v>0</v>
      </c>
      <c r="P57" s="20" t="n">
        <f aca="false">Debt!P53-Debt!P55</f>
        <v>0</v>
      </c>
      <c r="Q57" s="20" t="n">
        <f aca="false">Debt!Q53-Debt!Q55</f>
        <v>0</v>
      </c>
      <c r="R57" s="20" t="n">
        <f aca="false">Debt!R53-Debt!R55</f>
        <v>0</v>
      </c>
      <c r="S57" s="20" t="n">
        <f aca="false">Debt!S53-Debt!S55</f>
        <v>0</v>
      </c>
      <c r="T57" s="20" t="n">
        <f aca="false">Debt!T53-Debt!T55</f>
        <v>0</v>
      </c>
      <c r="U57" s="20" t="n">
        <f aca="false">Debt!U53-Debt!U55</f>
        <v>0</v>
      </c>
      <c r="V57" s="20" t="n">
        <f aca="false">Debt!V53-Debt!V55</f>
        <v>0</v>
      </c>
      <c r="W57" s="20" t="n">
        <f aca="false">Debt!W53-Debt!W55</f>
        <v>0</v>
      </c>
      <c r="X57" s="20" t="n">
        <f aca="false">Debt!X53-Debt!X55</f>
        <v>0</v>
      </c>
      <c r="Y57" s="20" t="n">
        <f aca="false">Debt!Y53-Debt!Y55</f>
        <v>0</v>
      </c>
      <c r="Z57" s="20" t="n">
        <f aca="false">Debt!Z53-Debt!Z55</f>
        <v>0</v>
      </c>
      <c r="AA57" s="20" t="n">
        <f aca="false">Debt!AA53-Debt!AA55</f>
        <v>0</v>
      </c>
      <c r="AB57" s="20" t="n">
        <f aca="false">Debt!AB53-Debt!AB55</f>
        <v>0</v>
      </c>
      <c r="AC57" s="20" t="n">
        <f aca="false">Debt!AC53-Debt!AC55</f>
        <v>0</v>
      </c>
      <c r="AD57" s="20" t="n">
        <f aca="false">Debt!AD53-Debt!AD55</f>
        <v>0</v>
      </c>
      <c r="AE57" s="20" t="n">
        <f aca="false">Debt!AE53-Debt!AE55</f>
        <v>0</v>
      </c>
      <c r="AF57" s="20" t="n">
        <f aca="false">Debt!AF53-Debt!AF55</f>
        <v>0</v>
      </c>
      <c r="AG57" s="20" t="n">
        <f aca="false">Debt!AG53-Debt!AG55</f>
        <v>0</v>
      </c>
      <c r="AH57" s="20" t="n">
        <f aca="false">Debt!AH53-Debt!AH55</f>
        <v>0</v>
      </c>
      <c r="AI57" s="20" t="n">
        <f aca="false">Debt!AI53-Debt!AI55</f>
        <v>0</v>
      </c>
      <c r="AJ57" s="20" t="n">
        <f aca="false">Debt!AJ53-Debt!AJ55</f>
        <v>0</v>
      </c>
      <c r="AK57" s="20" t="n">
        <f aca="false">Debt!AK53-Debt!AK55</f>
        <v>0</v>
      </c>
      <c r="AL57" s="20" t="n">
        <f aca="false">Debt!AL53-Debt!AL55</f>
        <v>0</v>
      </c>
      <c r="AM57" s="20" t="n">
        <f aca="false">Debt!AM53-Debt!AM55</f>
        <v>0</v>
      </c>
      <c r="AN57" s="20" t="n">
        <f aca="false">Debt!AN53-Debt!AN55</f>
        <v>0</v>
      </c>
      <c r="AO57" s="20" t="n">
        <f aca="false">Debt!AO53-Debt!AO55</f>
        <v>0</v>
      </c>
      <c r="AP57" s="20" t="n">
        <f aca="false">Debt!AP53-Debt!AP55</f>
        <v>0</v>
      </c>
      <c r="AQ57" s="20" t="n">
        <f aca="false">Debt!AQ53-Debt!AQ55</f>
        <v>0</v>
      </c>
      <c r="AR57" s="20" t="n">
        <f aca="false">Debt!AR53-Debt!AR55</f>
        <v>0</v>
      </c>
      <c r="AS57" s="20" t="n">
        <f aca="false">Debt!AS53-Debt!AS55</f>
        <v>0</v>
      </c>
      <c r="AT57" s="20" t="n">
        <f aca="false">Debt!AT53-Debt!AT55</f>
        <v>0</v>
      </c>
      <c r="AU57" s="20" t="n">
        <f aca="false">Debt!AU53-Debt!AU55</f>
        <v>0</v>
      </c>
    </row>
    <row r="58" customFormat="false" ht="15" hidden="false" customHeight="false" outlineLevel="0" collapsed="false">
      <c r="D58" s="0" t="s">
        <v>1073</v>
      </c>
      <c r="E58" s="0" t="s">
        <v>47</v>
      </c>
      <c r="J58" s="20" t="n">
        <f aca="false">Debt!J9*(Debt!J57-Debt!J56)</f>
        <v>0</v>
      </c>
      <c r="K58" s="20" t="n">
        <f aca="false">Debt!K9*(Debt!K57-Debt!K56)</f>
        <v>0</v>
      </c>
      <c r="L58" s="20" t="n">
        <f aca="false">Debt!L9*(Debt!L57-Debt!L56)</f>
        <v>0</v>
      </c>
      <c r="M58" s="20" t="n">
        <f aca="false">Debt!M9*(Debt!M57-Debt!M56)</f>
        <v>84.69451415003</v>
      </c>
      <c r="N58" s="20" t="n">
        <f aca="false">Debt!N9*(Debt!N57-Debt!N56)</f>
        <v>0</v>
      </c>
      <c r="O58" s="20" t="n">
        <f aca="false">Debt!O9*(Debt!O57-Debt!O56)</f>
        <v>0</v>
      </c>
      <c r="P58" s="20" t="n">
        <f aca="false">Debt!P9*(Debt!P57-Debt!P56)</f>
        <v>0</v>
      </c>
      <c r="Q58" s="20" t="n">
        <f aca="false">Debt!Q9*(Debt!Q57-Debt!Q56)</f>
        <v>0</v>
      </c>
      <c r="R58" s="20" t="n">
        <f aca="false">Debt!R9*(Debt!R57-Debt!R56)</f>
        <v>0</v>
      </c>
      <c r="S58" s="20" t="n">
        <f aca="false">Debt!S9*(Debt!S57-Debt!S56)</f>
        <v>0</v>
      </c>
      <c r="T58" s="20" t="n">
        <f aca="false">Debt!T9*(Debt!T57-Debt!T56)</f>
        <v>0</v>
      </c>
      <c r="U58" s="20" t="n">
        <f aca="false">Debt!U9*(Debt!U57-Debt!U56)</f>
        <v>0</v>
      </c>
      <c r="V58" s="20" t="n">
        <f aca="false">Debt!V9*(Debt!V57-Debt!V56)</f>
        <v>0</v>
      </c>
      <c r="W58" s="20" t="n">
        <f aca="false">Debt!W9*(Debt!W57-Debt!W56)</f>
        <v>0</v>
      </c>
      <c r="X58" s="20" t="n">
        <f aca="false">Debt!X9*(Debt!X57-Debt!X56)</f>
        <v>0</v>
      </c>
      <c r="Y58" s="20" t="n">
        <f aca="false">Debt!Y9*(Debt!Y57-Debt!Y56)</f>
        <v>0</v>
      </c>
      <c r="Z58" s="20" t="n">
        <f aca="false">Debt!Z9*(Debt!Z57-Debt!Z56)</f>
        <v>0</v>
      </c>
      <c r="AA58" s="20" t="n">
        <f aca="false">Debt!AA9*(Debt!AA57-Debt!AA56)</f>
        <v>0</v>
      </c>
      <c r="AB58" s="20" t="n">
        <f aca="false">Debt!AB9*(Debt!AB57-Debt!AB56)</f>
        <v>0</v>
      </c>
      <c r="AC58" s="20" t="n">
        <f aca="false">Debt!AC9*(Debt!AC57-Debt!AC56)</f>
        <v>0</v>
      </c>
      <c r="AD58" s="20" t="n">
        <f aca="false">Debt!AD9*(Debt!AD57-Debt!AD56)</f>
        <v>0</v>
      </c>
      <c r="AE58" s="20" t="n">
        <f aca="false">Debt!AE9*(Debt!AE57-Debt!AE56)</f>
        <v>0</v>
      </c>
      <c r="AF58" s="20" t="n">
        <f aca="false">Debt!AF9*(Debt!AF57-Debt!AF56)</f>
        <v>0</v>
      </c>
      <c r="AG58" s="20" t="n">
        <f aca="false">Debt!AG9*(Debt!AG57-Debt!AG56)</f>
        <v>0</v>
      </c>
      <c r="AH58" s="20" t="n">
        <f aca="false">Debt!AH9*(Debt!AH57-Debt!AH56)</f>
        <v>0</v>
      </c>
      <c r="AI58" s="20" t="n">
        <f aca="false">Debt!AI9*(Debt!AI57-Debt!AI56)</f>
        <v>0</v>
      </c>
      <c r="AJ58" s="20" t="n">
        <f aca="false">Debt!AJ9*(Debt!AJ57-Debt!AJ56)</f>
        <v>0</v>
      </c>
      <c r="AK58" s="20" t="n">
        <f aca="false">Debt!AK9*(Debt!AK57-Debt!AK56)</f>
        <v>0</v>
      </c>
      <c r="AL58" s="20" t="n">
        <f aca="false">Debt!AL9*(Debt!AL57-Debt!AL56)</f>
        <v>0</v>
      </c>
      <c r="AM58" s="20" t="n">
        <f aca="false">Debt!AM9*(Debt!AM57-Debt!AM56)</f>
        <v>0</v>
      </c>
      <c r="AN58" s="20" t="n">
        <f aca="false">Debt!AN9*(Debt!AN57-Debt!AN56)</f>
        <v>0</v>
      </c>
      <c r="AO58" s="20" t="n">
        <f aca="false">Debt!AO9*(Debt!AO57-Debt!AO56)</f>
        <v>0</v>
      </c>
      <c r="AP58" s="20" t="n">
        <f aca="false">Debt!AP9*(Debt!AP57-Debt!AP56)</f>
        <v>0</v>
      </c>
      <c r="AQ58" s="20" t="n">
        <f aca="false">Debt!AQ9*(Debt!AQ57-Debt!AQ56)</f>
        <v>0</v>
      </c>
      <c r="AR58" s="20" t="n">
        <f aca="false">Debt!AR9*(Debt!AR57-Debt!AR56)</f>
        <v>0</v>
      </c>
      <c r="AS58" s="20" t="n">
        <f aca="false">Debt!AS9*(Debt!AS57-Debt!AS56)</f>
        <v>0</v>
      </c>
      <c r="AT58" s="20" t="n">
        <f aca="false">Debt!AT9*(Debt!AT57-Debt!AT56)</f>
        <v>0</v>
      </c>
      <c r="AU58" s="20" t="n">
        <f aca="false">Debt!AU9*(Debt!AU57-Debt!AU56)</f>
        <v>0</v>
      </c>
    </row>
    <row r="59" customFormat="false" ht="15" hidden="false" customHeight="false" outlineLevel="0" collapsed="false">
      <c r="D59" s="0" t="s">
        <v>1074</v>
      </c>
      <c r="E59" s="0" t="s">
        <v>47</v>
      </c>
      <c r="J59" s="20" t="n">
        <f aca="false">Debt!J57-Debt!J56-Debt!J58</f>
        <v>0</v>
      </c>
      <c r="K59" s="20" t="n">
        <f aca="false">Debt!K57-Debt!K56-Debt!K58</f>
        <v>0</v>
      </c>
      <c r="L59" s="20" t="n">
        <f aca="false">Debt!L57-Debt!L56-Debt!L58</f>
        <v>90.6775091782511</v>
      </c>
      <c r="M59" s="20" t="n">
        <f aca="false">Debt!M57-Debt!M56-Debt!M58</f>
        <v>0</v>
      </c>
      <c r="N59" s="20" t="n">
        <f aca="false">Debt!N57-Debt!N56-Debt!N58</f>
        <v>0</v>
      </c>
      <c r="O59" s="20" t="n">
        <f aca="false">Debt!O57-Debt!O56-Debt!O58</f>
        <v>0</v>
      </c>
      <c r="P59" s="20" t="n">
        <f aca="false">Debt!P57-Debt!P56-Debt!P58</f>
        <v>0</v>
      </c>
      <c r="Q59" s="20" t="n">
        <f aca="false">Debt!Q57-Debt!Q56-Debt!Q58</f>
        <v>0</v>
      </c>
      <c r="R59" s="20" t="n">
        <f aca="false">Debt!R57-Debt!R56-Debt!R58</f>
        <v>0</v>
      </c>
      <c r="S59" s="20" t="n">
        <f aca="false">Debt!S57-Debt!S56-Debt!S58</f>
        <v>0</v>
      </c>
      <c r="T59" s="20" t="n">
        <f aca="false">Debt!T57-Debt!T56-Debt!T58</f>
        <v>0</v>
      </c>
      <c r="U59" s="20" t="n">
        <f aca="false">Debt!U57-Debt!U56-Debt!U58</f>
        <v>0</v>
      </c>
      <c r="V59" s="20" t="n">
        <f aca="false">Debt!V57-Debt!V56-Debt!V58</f>
        <v>0</v>
      </c>
      <c r="W59" s="20" t="n">
        <f aca="false">Debt!W57-Debt!W56-Debt!W58</f>
        <v>0</v>
      </c>
      <c r="X59" s="20" t="n">
        <f aca="false">Debt!X57-Debt!X56-Debt!X58</f>
        <v>0</v>
      </c>
      <c r="Y59" s="20" t="n">
        <f aca="false">Debt!Y57-Debt!Y56-Debt!Y58</f>
        <v>0</v>
      </c>
      <c r="Z59" s="20" t="n">
        <f aca="false">Debt!Z57-Debt!Z56-Debt!Z58</f>
        <v>0</v>
      </c>
      <c r="AA59" s="20" t="n">
        <f aca="false">Debt!AA57-Debt!AA56-Debt!AA58</f>
        <v>0</v>
      </c>
      <c r="AB59" s="20" t="n">
        <f aca="false">Debt!AB57-Debt!AB56-Debt!AB58</f>
        <v>0</v>
      </c>
      <c r="AC59" s="20" t="n">
        <f aca="false">Debt!AC57-Debt!AC56-Debt!AC58</f>
        <v>0</v>
      </c>
      <c r="AD59" s="20" t="n">
        <f aca="false">Debt!AD57-Debt!AD56-Debt!AD58</f>
        <v>0</v>
      </c>
      <c r="AE59" s="20" t="n">
        <f aca="false">Debt!AE57-Debt!AE56-Debt!AE58</f>
        <v>0</v>
      </c>
      <c r="AF59" s="20" t="n">
        <f aca="false">Debt!AF57-Debt!AF56-Debt!AF58</f>
        <v>0</v>
      </c>
      <c r="AG59" s="20" t="n">
        <f aca="false">Debt!AG57-Debt!AG56-Debt!AG58</f>
        <v>0</v>
      </c>
      <c r="AH59" s="20" t="n">
        <f aca="false">Debt!AH57-Debt!AH56-Debt!AH58</f>
        <v>0</v>
      </c>
      <c r="AI59" s="20" t="n">
        <f aca="false">Debt!AI57-Debt!AI56-Debt!AI58</f>
        <v>0</v>
      </c>
      <c r="AJ59" s="20" t="n">
        <f aca="false">Debt!AJ57-Debt!AJ56-Debt!AJ58</f>
        <v>0</v>
      </c>
      <c r="AK59" s="20" t="n">
        <f aca="false">Debt!AK57-Debt!AK56-Debt!AK58</f>
        <v>0</v>
      </c>
      <c r="AL59" s="20" t="n">
        <f aca="false">Debt!AL57-Debt!AL56-Debt!AL58</f>
        <v>0</v>
      </c>
      <c r="AM59" s="20" t="n">
        <f aca="false">Debt!AM57-Debt!AM56-Debt!AM58</f>
        <v>0</v>
      </c>
      <c r="AN59" s="20" t="n">
        <f aca="false">Debt!AN57-Debt!AN56-Debt!AN58</f>
        <v>0</v>
      </c>
      <c r="AO59" s="20" t="n">
        <f aca="false">Debt!AO57-Debt!AO56-Debt!AO58</f>
        <v>0</v>
      </c>
      <c r="AP59" s="20" t="n">
        <f aca="false">Debt!AP57-Debt!AP56-Debt!AP58</f>
        <v>0</v>
      </c>
      <c r="AQ59" s="20" t="n">
        <f aca="false">Debt!AQ57-Debt!AQ56-Debt!AQ58</f>
        <v>0</v>
      </c>
      <c r="AR59" s="20" t="n">
        <f aca="false">Debt!AR57-Debt!AR56-Debt!AR58</f>
        <v>0</v>
      </c>
      <c r="AS59" s="20" t="n">
        <f aca="false">Debt!AS57-Debt!AS56-Debt!AS58</f>
        <v>0</v>
      </c>
      <c r="AT59" s="20" t="n">
        <f aca="false">Debt!AT57-Debt!AT56-Debt!AT58</f>
        <v>0</v>
      </c>
      <c r="AU59" s="20" t="n">
        <f aca="false">Debt!AU57-Debt!AU56-Debt!AU58</f>
        <v>0</v>
      </c>
    </row>
    <row r="60" customFormat="false" ht="15" hidden="false" customHeight="false" outlineLevel="0" collapsed="false">
      <c r="D60" s="0" t="s">
        <v>1075</v>
      </c>
      <c r="E60" s="0" t="s">
        <v>47</v>
      </c>
      <c r="J60" s="20" t="n">
        <f aca="false">IF(AND(Inputs!$F$10=1,Time!J$4=Inputs!$F$314+1),Debt!$F$45,I66)</f>
        <v>0</v>
      </c>
      <c r="K60" s="20" t="n">
        <f aca="false">IF(AND(Inputs!$F$10=1,Time!K$4=Inputs!$F$314+1),Debt!$F$45,J66)</f>
        <v>0</v>
      </c>
      <c r="L60" s="20" t="n">
        <f aca="false">IF(AND(Inputs!$F$10=1,Time!L$4=Inputs!$F$314+1),Debt!$F$45,K66)</f>
        <v>0</v>
      </c>
      <c r="M60" s="20" t="n">
        <f aca="false">IF(AND(Inputs!$F$10=1,Time!M$4=Inputs!$F$314+1),Debt!$F$45,L66)</f>
        <v>0</v>
      </c>
      <c r="N60" s="20" t="n">
        <f aca="false">IF(AND(Inputs!$F$10=1,Time!N$4=Inputs!$F$314+1),Debt!$F$45,M66)</f>
        <v>137.568689420324</v>
      </c>
      <c r="O60" s="20" t="n">
        <f aca="false">IF(AND(Inputs!$F$10=1,Time!O$4=Inputs!$F$314+1),Debt!$F$45,N66)</f>
        <v>132.105083720623</v>
      </c>
      <c r="P60" s="20" t="n">
        <f aca="false">IF(AND(Inputs!$F$10=1,Time!P$4=Inputs!$F$314+1),Debt!$F$45,O66)</f>
        <v>126.424199672683</v>
      </c>
      <c r="Q60" s="20" t="n">
        <f aca="false">IF(AND(Inputs!$F$10=1,Time!Q$4=Inputs!$F$314+1),Debt!$F$45,P66)</f>
        <v>119.861343904629</v>
      </c>
      <c r="R60" s="20" t="n">
        <f aca="false">IF(AND(Inputs!$F$10=1,Time!R$4=Inputs!$F$314+1),Debt!$F$45,Q66)</f>
        <v>111.322319573395</v>
      </c>
      <c r="S60" s="20" t="n">
        <f aca="false">IF(AND(Inputs!$F$10=1,Time!S$4=Inputs!$F$314+1),Debt!$F$45,R66)</f>
        <v>99.7296914406818</v>
      </c>
      <c r="T60" s="20" t="n">
        <f aca="false">IF(AND(Inputs!$F$10=1,Time!T$4=Inputs!$F$314+1),Debt!$F$45,S66)</f>
        <v>88.0339718592981</v>
      </c>
      <c r="U60" s="20" t="n">
        <f aca="false">IF(AND(Inputs!$F$10=1,Time!U$4=Inputs!$F$314+1),Debt!$F$45,T66)</f>
        <v>75.791346826682</v>
      </c>
      <c r="V60" s="20" t="n">
        <f aca="false">IF(AND(Inputs!$F$10=1,Time!V$4=Inputs!$F$314+1),Debt!$F$45,U66)</f>
        <v>62.4646642420853</v>
      </c>
      <c r="W60" s="20" t="n">
        <f aca="false">IF(AND(Inputs!$F$10=1,Time!W$4=Inputs!$F$314+1),Debt!$F$45,V66)</f>
        <v>47.931174463582</v>
      </c>
      <c r="X60" s="20" t="n">
        <f aca="false">IF(AND(Inputs!$F$10=1,Time!X$4=Inputs!$F$314+1),Debt!$F$45,W66)</f>
        <v>32.7772833698204</v>
      </c>
      <c r="Y60" s="20" t="n">
        <f aca="false">IF(AND(Inputs!$F$10=1,Time!Y$4=Inputs!$F$314+1),Debt!$F$45,X66)</f>
        <v>17.2016835187056</v>
      </c>
      <c r="Z60" s="20" t="n">
        <f aca="false">IF(AND(Inputs!$F$10=1,Time!Z$4=Inputs!$F$314+1),Debt!$F$45,Y66)</f>
        <v>1.18224562086916</v>
      </c>
      <c r="AA60" s="20" t="n">
        <f aca="false">IF(AND(Inputs!$F$10=1,Time!AA$4=Inputs!$F$314+1),Debt!$F$45,Z66)</f>
        <v>0</v>
      </c>
      <c r="AB60" s="20" t="n">
        <f aca="false">IF(AND(Inputs!$F$10=1,Time!AB$4=Inputs!$F$314+1),Debt!$F$45,AA66)</f>
        <v>0</v>
      </c>
      <c r="AC60" s="20" t="n">
        <f aca="false">IF(AND(Inputs!$F$10=1,Time!AC$4=Inputs!$F$314+1),Debt!$F$45,AB66)</f>
        <v>0</v>
      </c>
      <c r="AD60" s="20" t="n">
        <f aca="false">IF(AND(Inputs!$F$10=1,Time!AD$4=Inputs!$F$314+1),Debt!$F$45,AC66)</f>
        <v>0</v>
      </c>
      <c r="AE60" s="20" t="n">
        <f aca="false">IF(AND(Inputs!$F$10=1,Time!AE$4=Inputs!$F$314+1),Debt!$F$45,AD66)</f>
        <v>0</v>
      </c>
      <c r="AF60" s="20" t="n">
        <f aca="false">IF(AND(Inputs!$F$10=1,Time!AF$4=Inputs!$F$314+1),Debt!$F$45,AE66)</f>
        <v>0</v>
      </c>
      <c r="AG60" s="20" t="n">
        <f aca="false">IF(AND(Inputs!$F$10=1,Time!AG$4=Inputs!$F$314+1),Debt!$F$45,AF66)</f>
        <v>0</v>
      </c>
      <c r="AH60" s="20" t="n">
        <f aca="false">IF(AND(Inputs!$F$10=1,Time!AH$4=Inputs!$F$314+1),Debt!$F$45,AG66)</f>
        <v>0</v>
      </c>
      <c r="AI60" s="20" t="n">
        <f aca="false">IF(AND(Inputs!$F$10=1,Time!AI$4=Inputs!$F$314+1),Debt!$F$45,AH66)</f>
        <v>0</v>
      </c>
      <c r="AJ60" s="20" t="n">
        <f aca="false">IF(AND(Inputs!$F$10=1,Time!AJ$4=Inputs!$F$314+1),Debt!$F$45,AI66)</f>
        <v>0</v>
      </c>
      <c r="AK60" s="20" t="n">
        <f aca="false">IF(AND(Inputs!$F$10=1,Time!AK$4=Inputs!$F$314+1),Debt!$F$45,AJ66)</f>
        <v>0</v>
      </c>
      <c r="AL60" s="20" t="n">
        <f aca="false">IF(AND(Inputs!$F$10=1,Time!AL$4=Inputs!$F$314+1),Debt!$F$45,AK66)</f>
        <v>0</v>
      </c>
      <c r="AM60" s="20" t="n">
        <f aca="false">IF(AND(Inputs!$F$10=1,Time!AM$4=Inputs!$F$314+1),Debt!$F$45,AL66)</f>
        <v>0</v>
      </c>
      <c r="AN60" s="20" t="n">
        <f aca="false">IF(AND(Inputs!$F$10=1,Time!AN$4=Inputs!$F$314+1),Debt!$F$45,AM66)</f>
        <v>0</v>
      </c>
      <c r="AO60" s="20" t="n">
        <f aca="false">IF(AND(Inputs!$F$10=1,Time!AO$4=Inputs!$F$314+1),Debt!$F$45,AN66)</f>
        <v>0</v>
      </c>
      <c r="AP60" s="20" t="n">
        <f aca="false">IF(AND(Inputs!$F$10=1,Time!AP$4=Inputs!$F$314+1),Debt!$F$45,AO66)</f>
        <v>0</v>
      </c>
      <c r="AQ60" s="20" t="n">
        <f aca="false">IF(AND(Inputs!$F$10=1,Time!AQ$4=Inputs!$F$314+1),Debt!$F$45,AP66)</f>
        <v>0</v>
      </c>
      <c r="AR60" s="20" t="n">
        <f aca="false">IF(AND(Inputs!$F$10=1,Time!AR$4=Inputs!$F$314+1),Debt!$F$45,AQ66)</f>
        <v>0</v>
      </c>
      <c r="AS60" s="20" t="n">
        <f aca="false">IF(AND(Inputs!$F$10=1,Time!AS$4=Inputs!$F$314+1),Debt!$F$45,AR66)</f>
        <v>0</v>
      </c>
      <c r="AT60" s="20" t="n">
        <f aca="false">IF(AND(Inputs!$F$10=1,Time!AT$4=Inputs!$F$314+1),Debt!$F$45,AS66)</f>
        <v>0</v>
      </c>
      <c r="AU60" s="20" t="n">
        <f aca="false">IF(AND(Inputs!$F$10=1,Time!AU$4=Inputs!$F$314+1),Debt!$F$45,AT66)</f>
        <v>0</v>
      </c>
    </row>
    <row r="61" customFormat="false" ht="15" hidden="false" customHeight="false" outlineLevel="0" collapsed="false">
      <c r="D61" s="0" t="s">
        <v>1076</v>
      </c>
      <c r="E61" s="0" t="s">
        <v>47</v>
      </c>
      <c r="G61" s="20" t="n">
        <f aca="false">SUM(J61:AU61)</f>
        <v>73.8216161955487</v>
      </c>
      <c r="J61" s="20" t="n">
        <f aca="false">Debt!J60*Debt!J44/100*Debt!J43</f>
        <v>0</v>
      </c>
      <c r="K61" s="20" t="n">
        <f aca="false">Debt!K60*Debt!K44/100*Debt!K43</f>
        <v>0</v>
      </c>
      <c r="L61" s="20" t="n">
        <f aca="false">Debt!L60*Debt!L44/100*Debt!L43</f>
        <v>0</v>
      </c>
      <c r="M61" s="20" t="n">
        <f aca="false">Debt!M60*Debt!M44/100*Debt!M43</f>
        <v>0</v>
      </c>
      <c r="N61" s="20" t="n">
        <f aca="false">Debt!N60*Debt!N44/100*Debt!N43</f>
        <v>9.84991816249518</v>
      </c>
      <c r="O61" s="20" t="n">
        <f aca="false">Debt!O60*Debt!O44/100*Debt!O43</f>
        <v>9.18130331858331</v>
      </c>
      <c r="P61" s="20" t="n">
        <f aca="false">Debt!P60*Debt!P44/100*Debt!P43</f>
        <v>8.84969397708782</v>
      </c>
      <c r="Q61" s="20" t="n">
        <f aca="false">Debt!Q60*Debt!Q44/100*Debt!Q43</f>
        <v>8.39029407332401</v>
      </c>
      <c r="R61" s="20" t="n">
        <f aca="false">Debt!R60*Debt!R44/100*Debt!R43</f>
        <v>7.79256237013768</v>
      </c>
      <c r="S61" s="20" t="n">
        <f aca="false">Debt!S60*Debt!S44/100*Debt!S43</f>
        <v>6.98107840084773</v>
      </c>
      <c r="T61" s="20" t="n">
        <f aca="false">Debt!T60*Debt!T44/100*Debt!T43</f>
        <v>6.16237803015087</v>
      </c>
      <c r="U61" s="20" t="n">
        <f aca="false">Debt!U60*Debt!U44/100*Debt!U43</f>
        <v>5.30539427786774</v>
      </c>
      <c r="V61" s="20" t="n">
        <f aca="false">Debt!V60*Debt!V44/100*Debt!V43</f>
        <v>4.37252649694597</v>
      </c>
      <c r="W61" s="20" t="n">
        <f aca="false">Debt!W60*Debt!W44/100*Debt!W43</f>
        <v>3.35518221245074</v>
      </c>
      <c r="X61" s="20" t="n">
        <f aca="false">Debt!X60*Debt!X44/100*Debt!X43</f>
        <v>2.29440983588743</v>
      </c>
      <c r="Y61" s="20" t="n">
        <f aca="false">Debt!Y60*Debt!Y44/100*Debt!Y43</f>
        <v>1.20411784630939</v>
      </c>
      <c r="Z61" s="20" t="n">
        <f aca="false">Debt!Z60*Debt!Z44/100*Debt!Z43</f>
        <v>0.0827571934608415</v>
      </c>
      <c r="AA61" s="20" t="n">
        <f aca="false">Debt!AA60*Debt!AA44/100*Debt!AA43</f>
        <v>0</v>
      </c>
      <c r="AB61" s="20" t="n">
        <f aca="false">Debt!AB60*Debt!AB44/100*Debt!AB43</f>
        <v>0</v>
      </c>
      <c r="AC61" s="20" t="n">
        <f aca="false">Debt!AC60*Debt!AC44/100*Debt!AC43</f>
        <v>0</v>
      </c>
      <c r="AD61" s="20" t="n">
        <f aca="false">Debt!AD60*Debt!AD44/100*Debt!AD43</f>
        <v>0</v>
      </c>
      <c r="AE61" s="20" t="n">
        <f aca="false">Debt!AE60*Debt!AE44/100*Debt!AE43</f>
        <v>0</v>
      </c>
      <c r="AF61" s="20" t="n">
        <f aca="false">Debt!AF60*Debt!AF44/100*Debt!AF43</f>
        <v>0</v>
      </c>
      <c r="AG61" s="20" t="n">
        <f aca="false">Debt!AG60*Debt!AG44/100*Debt!AG43</f>
        <v>0</v>
      </c>
      <c r="AH61" s="20" t="n">
        <f aca="false">Debt!AH60*Debt!AH44/100*Debt!AH43</f>
        <v>0</v>
      </c>
      <c r="AI61" s="20" t="n">
        <f aca="false">Debt!AI60*Debt!AI44/100*Debt!AI43</f>
        <v>0</v>
      </c>
      <c r="AJ61" s="20" t="n">
        <f aca="false">Debt!AJ60*Debt!AJ44/100*Debt!AJ43</f>
        <v>0</v>
      </c>
      <c r="AK61" s="20" t="n">
        <f aca="false">Debt!AK60*Debt!AK44/100*Debt!AK43</f>
        <v>0</v>
      </c>
      <c r="AL61" s="20" t="n">
        <f aca="false">Debt!AL60*Debt!AL44/100*Debt!AL43</f>
        <v>0</v>
      </c>
      <c r="AM61" s="20" t="n">
        <f aca="false">Debt!AM60*Debt!AM44/100*Debt!AM43</f>
        <v>0</v>
      </c>
      <c r="AN61" s="20" t="n">
        <f aca="false">Debt!AN60*Debt!AN44/100*Debt!AN43</f>
        <v>0</v>
      </c>
      <c r="AO61" s="20" t="n">
        <f aca="false">Debt!AO60*Debt!AO44/100*Debt!AO43</f>
        <v>0</v>
      </c>
      <c r="AP61" s="20" t="n">
        <f aca="false">Debt!AP60*Debt!AP44/100*Debt!AP43</f>
        <v>0</v>
      </c>
      <c r="AQ61" s="20" t="n">
        <f aca="false">Debt!AQ60*Debt!AQ44/100*Debt!AQ43</f>
        <v>0</v>
      </c>
      <c r="AR61" s="20" t="n">
        <f aca="false">Debt!AR60*Debt!AR44/100*Debt!AR43</f>
        <v>0</v>
      </c>
      <c r="AS61" s="20" t="n">
        <f aca="false">Debt!AS60*Debt!AS44/100*Debt!AS43</f>
        <v>0</v>
      </c>
      <c r="AT61" s="20" t="n">
        <f aca="false">Debt!AT60*Debt!AT44/100*Debt!AT43</f>
        <v>0</v>
      </c>
      <c r="AU61" s="20" t="n">
        <f aca="false">Debt!AU60*Debt!AU44/100*Debt!AU43</f>
        <v>0</v>
      </c>
    </row>
    <row r="62" customFormat="false" ht="15" hidden="false" customHeight="false" outlineLevel="0" collapsed="false">
      <c r="D62" s="0" t="s">
        <v>1077</v>
      </c>
      <c r="E62" s="0" t="s">
        <v>47</v>
      </c>
      <c r="G62" s="20" t="n">
        <f aca="false">SUM(J62:AU62)</f>
        <v>17.690488351308</v>
      </c>
      <c r="J62" s="20" t="n">
        <f aca="false">MIN(Debt!J60,Inputs!$F$332/100*Debt!$F$45*Debt!J43)</f>
        <v>0</v>
      </c>
      <c r="K62" s="20" t="n">
        <f aca="false">MIN(Debt!K60,Inputs!$F$332/100*Debt!$F$45*Debt!K43)</f>
        <v>0</v>
      </c>
      <c r="L62" s="20" t="n">
        <f aca="false">MIN(Debt!L60,Inputs!$F$332/100*Debt!$F$45*Debt!L43)</f>
        <v>0</v>
      </c>
      <c r="M62" s="20" t="n">
        <f aca="false">MIN(Debt!M60,Inputs!$F$332/100*Debt!$F$45*Debt!M43)</f>
        <v>0</v>
      </c>
      <c r="N62" s="20" t="n">
        <f aca="false">MIN(Debt!N60,Inputs!$F$332/100*Debt!$F$45*Debt!N43)</f>
        <v>1.37568689420324</v>
      </c>
      <c r="O62" s="20" t="n">
        <f aca="false">MIN(Debt!O60,Inputs!$F$332/100*Debt!$F$45*Debt!O43)</f>
        <v>1.37568689420324</v>
      </c>
      <c r="P62" s="20" t="n">
        <f aca="false">MIN(Debt!P60,Inputs!$F$332/100*Debt!$F$45*Debt!P43)</f>
        <v>1.37568689420324</v>
      </c>
      <c r="Q62" s="20" t="n">
        <f aca="false">MIN(Debt!Q60,Inputs!$F$332/100*Debt!$F$45*Debt!Q43)</f>
        <v>1.37568689420324</v>
      </c>
      <c r="R62" s="20" t="n">
        <f aca="false">MIN(Debt!R60,Inputs!$F$332/100*Debt!$F$45*Debt!R43)</f>
        <v>1.37568689420324</v>
      </c>
      <c r="S62" s="20" t="n">
        <f aca="false">MIN(Debt!S60,Inputs!$F$332/100*Debt!$F$45*Debt!S43)</f>
        <v>1.37568689420324</v>
      </c>
      <c r="T62" s="20" t="n">
        <f aca="false">MIN(Debt!T60,Inputs!$F$332/100*Debt!$F$45*Debt!T43)</f>
        <v>1.37568689420324</v>
      </c>
      <c r="U62" s="20" t="n">
        <f aca="false">MIN(Debt!U60,Inputs!$F$332/100*Debt!$F$45*Debt!U43)</f>
        <v>1.37568689420324</v>
      </c>
      <c r="V62" s="20" t="n">
        <f aca="false">MIN(Debt!V60,Inputs!$F$332/100*Debt!$F$45*Debt!V43)</f>
        <v>1.37568689420324</v>
      </c>
      <c r="W62" s="20" t="n">
        <f aca="false">MIN(Debt!W60,Inputs!$F$332/100*Debt!$F$45*Debt!W43)</f>
        <v>1.37568689420324</v>
      </c>
      <c r="X62" s="20" t="n">
        <f aca="false">MIN(Debt!X60,Inputs!$F$332/100*Debt!$F$45*Debt!X43)</f>
        <v>1.37568689420324</v>
      </c>
      <c r="Y62" s="20" t="n">
        <f aca="false">MIN(Debt!Y60,Inputs!$F$332/100*Debt!$F$45*Debt!Y43)</f>
        <v>1.37568689420324</v>
      </c>
      <c r="Z62" s="20" t="n">
        <f aca="false">MIN(Debt!Z60,Inputs!$F$332/100*Debt!$F$45*Debt!Z43)</f>
        <v>1.18224562086916</v>
      </c>
      <c r="AA62" s="20" t="n">
        <f aca="false">MIN(Debt!AA60,Inputs!$F$332/100*Debt!$F$45*Debt!AA43)</f>
        <v>0</v>
      </c>
      <c r="AB62" s="20" t="n">
        <f aca="false">MIN(Debt!AB60,Inputs!$F$332/100*Debt!$F$45*Debt!AB43)</f>
        <v>0</v>
      </c>
      <c r="AC62" s="20" t="n">
        <f aca="false">MIN(Debt!AC60,Inputs!$F$332/100*Debt!$F$45*Debt!AC43)</f>
        <v>0</v>
      </c>
      <c r="AD62" s="20" t="n">
        <f aca="false">MIN(Debt!AD60,Inputs!$F$332/100*Debt!$F$45*Debt!AD43)</f>
        <v>0</v>
      </c>
      <c r="AE62" s="20" t="n">
        <f aca="false">MIN(Debt!AE60,Inputs!$F$332/100*Debt!$F$45*Debt!AE43)</f>
        <v>0</v>
      </c>
      <c r="AF62" s="20" t="n">
        <f aca="false">MIN(Debt!AF60,Inputs!$F$332/100*Debt!$F$45*Debt!AF43)</f>
        <v>0</v>
      </c>
      <c r="AG62" s="20" t="n">
        <f aca="false">MIN(Debt!AG60,Inputs!$F$332/100*Debt!$F$45*Debt!AG43)</f>
        <v>0</v>
      </c>
      <c r="AH62" s="20" t="n">
        <f aca="false">MIN(Debt!AH60,Inputs!$F$332/100*Debt!$F$45*Debt!AH43)</f>
        <v>0</v>
      </c>
      <c r="AI62" s="20" t="n">
        <f aca="false">MIN(Debt!AI60,Inputs!$F$332/100*Debt!$F$45*Debt!AI43)</f>
        <v>0</v>
      </c>
      <c r="AJ62" s="20" t="n">
        <f aca="false">MIN(Debt!AJ60,Inputs!$F$332/100*Debt!$F$45*Debt!AJ43)</f>
        <v>0</v>
      </c>
      <c r="AK62" s="20" t="n">
        <f aca="false">MIN(Debt!AK60,Inputs!$F$332/100*Debt!$F$45*Debt!AK43)</f>
        <v>0</v>
      </c>
      <c r="AL62" s="20" t="n">
        <f aca="false">MIN(Debt!AL60,Inputs!$F$332/100*Debt!$F$45*Debt!AL43)</f>
        <v>0</v>
      </c>
      <c r="AM62" s="20" t="n">
        <f aca="false">MIN(Debt!AM60,Inputs!$F$332/100*Debt!$F$45*Debt!AM43)</f>
        <v>0</v>
      </c>
      <c r="AN62" s="20" t="n">
        <f aca="false">MIN(Debt!AN60,Inputs!$F$332/100*Debt!$F$45*Debt!AN43)</f>
        <v>0</v>
      </c>
      <c r="AO62" s="20" t="n">
        <f aca="false">MIN(Debt!AO60,Inputs!$F$332/100*Debt!$F$45*Debt!AO43)</f>
        <v>0</v>
      </c>
      <c r="AP62" s="20" t="n">
        <f aca="false">MIN(Debt!AP60,Inputs!$F$332/100*Debt!$F$45*Debt!AP43)</f>
        <v>0</v>
      </c>
      <c r="AQ62" s="20" t="n">
        <f aca="false">MIN(Debt!AQ60,Inputs!$F$332/100*Debt!$F$45*Debt!AQ43)</f>
        <v>0</v>
      </c>
      <c r="AR62" s="20" t="n">
        <f aca="false">MIN(Debt!AR60,Inputs!$F$332/100*Debt!$F$45*Debt!AR43)</f>
        <v>0</v>
      </c>
      <c r="AS62" s="20" t="n">
        <f aca="false">MIN(Debt!AS60,Inputs!$F$332/100*Debt!$F$45*Debt!AS43)</f>
        <v>0</v>
      </c>
      <c r="AT62" s="20" t="n">
        <f aca="false">MIN(Debt!AT60,Inputs!$F$332/100*Debt!$F$45*Debt!AT43)</f>
        <v>0</v>
      </c>
      <c r="AU62" s="20" t="n">
        <f aca="false">MIN(Debt!AU60,Inputs!$F$332/100*Debt!$F$45*Debt!AU43)</f>
        <v>0</v>
      </c>
    </row>
    <row r="63" customFormat="false" ht="15" hidden="false" customHeight="false" outlineLevel="0" collapsed="false">
      <c r="D63" s="0" t="s">
        <v>1078</v>
      </c>
      <c r="E63" s="0" t="s">
        <v>47</v>
      </c>
      <c r="J63" s="20" t="n">
        <f aca="false">IF(Waterfall!J17&gt;0,Waterfall!J18*Debt!J64/Waterfall!J17,0)</f>
        <v>0</v>
      </c>
      <c r="K63" s="20" t="n">
        <f aca="false">IF(Waterfall!K17&gt;0,Waterfall!K18*Debt!K64/Waterfall!K17,0)</f>
        <v>0</v>
      </c>
      <c r="L63" s="20" t="n">
        <f aca="false">IF(Waterfall!L17&gt;0,Waterfall!L18*Debt!L64/Waterfall!L17,0)</f>
        <v>0</v>
      </c>
      <c r="M63" s="20" t="n">
        <f aca="false">IF(Waterfall!M17&gt;0,Waterfall!M18*Debt!M64/Waterfall!M17,0)</f>
        <v>0</v>
      </c>
      <c r="N63" s="20" t="n">
        <f aca="false">IF(Waterfall!N17&gt;0,Waterfall!N18*Debt!N64/Waterfall!N17,0)</f>
        <v>4.08791880549738</v>
      </c>
      <c r="O63" s="20" t="n">
        <f aca="false">IF(Waterfall!O17&gt;0,Waterfall!O18*Debt!O64/Waterfall!O17,0)</f>
        <v>4.30519715373675</v>
      </c>
      <c r="P63" s="20" t="n">
        <f aca="false">IF(Waterfall!P17&gt;0,Waterfall!P18*Debt!P64/Waterfall!P17,0)</f>
        <v>5.1871688738513</v>
      </c>
      <c r="Q63" s="20" t="n">
        <f aca="false">IF(Waterfall!Q17&gt;0,Waterfall!Q18*Debt!Q64/Waterfall!Q17,0)</f>
        <v>7.16333743703004</v>
      </c>
      <c r="R63" s="20" t="n">
        <f aca="false">IF(Waterfall!R17&gt;0,Waterfall!R18*Debt!R64/Waterfall!R17,0)</f>
        <v>10.2169412385103</v>
      </c>
      <c r="S63" s="20" t="n">
        <f aca="false">IF(Waterfall!S17&gt;0,Waterfall!S18*Debt!S64/Waterfall!S17,0)</f>
        <v>10.3200326871805</v>
      </c>
      <c r="T63" s="20" t="n">
        <f aca="false">IF(Waterfall!T17&gt;0,Waterfall!T18*Debt!T64/Waterfall!T17,0)</f>
        <v>10.8669381384129</v>
      </c>
      <c r="U63" s="20" t="n">
        <f aca="false">IF(Waterfall!U17&gt;0,Waterfall!U18*Debt!U64/Waterfall!U17,0)</f>
        <v>11.9509956903935</v>
      </c>
      <c r="V63" s="20" t="n">
        <f aca="false">IF(Waterfall!V17&gt;0,Waterfall!V18*Debt!V64/Waterfall!V17,0)</f>
        <v>13.1578028843</v>
      </c>
      <c r="W63" s="20" t="n">
        <f aca="false">IF(Waterfall!W17&gt;0,Waterfall!W18*Debt!W64/Waterfall!W17,0)</f>
        <v>13.7782041995584</v>
      </c>
      <c r="X63" s="20" t="n">
        <f aca="false">IF(Waterfall!X17&gt;0,Waterfall!X18*Debt!X64/Waterfall!X17,0)</f>
        <v>14.1999129569115</v>
      </c>
      <c r="Y63" s="20" t="n">
        <f aca="false">IF(Waterfall!Y17&gt;0,Waterfall!Y18*Debt!Y64/Waterfall!Y17,0)</f>
        <v>14.6437510036332</v>
      </c>
      <c r="Z63" s="20" t="n">
        <f aca="false">IF(Waterfall!Z17&gt;0,Waterfall!Z18*Debt!Z64/Waterfall!Z17,0)</f>
        <v>0</v>
      </c>
      <c r="AA63" s="20" t="n">
        <f aca="false">IF(Waterfall!AA17&gt;0,Waterfall!AA18*Debt!AA64/Waterfall!AA17,0)</f>
        <v>0</v>
      </c>
      <c r="AB63" s="20" t="n">
        <f aca="false">IF(Waterfall!AB17&gt;0,Waterfall!AB18*Debt!AB64/Waterfall!AB17,0)</f>
        <v>0</v>
      </c>
      <c r="AC63" s="20" t="n">
        <f aca="false">IF(Waterfall!AC17&gt;0,Waterfall!AC18*Debt!AC64/Waterfall!AC17,0)</f>
        <v>0</v>
      </c>
      <c r="AD63" s="20" t="n">
        <f aca="false">IF(Waterfall!AD17&gt;0,Waterfall!AD18*Debt!AD64/Waterfall!AD17,0)</f>
        <v>0</v>
      </c>
      <c r="AE63" s="20" t="n">
        <f aca="false">IF(Waterfall!AE17&gt;0,Waterfall!AE18*Debt!AE64/Waterfall!AE17,0)</f>
        <v>0</v>
      </c>
      <c r="AF63" s="20" t="n">
        <f aca="false">IF(Waterfall!AF17&gt;0,Waterfall!AF18*Debt!AF64/Waterfall!AF17,0)</f>
        <v>0</v>
      </c>
      <c r="AG63" s="20" t="n">
        <f aca="false">IF(Waterfall!AG17&gt;0,Waterfall!AG18*Debt!AG64/Waterfall!AG17,0)</f>
        <v>0</v>
      </c>
      <c r="AH63" s="20" t="n">
        <f aca="false">IF(Waterfall!AH17&gt;0,Waterfall!AH18*Debt!AH64/Waterfall!AH17,0)</f>
        <v>0</v>
      </c>
      <c r="AI63" s="20" t="n">
        <f aca="false">IF(Waterfall!AI17&gt;0,Waterfall!AI18*Debt!AI64/Waterfall!AI17,0)</f>
        <v>0</v>
      </c>
      <c r="AJ63" s="20" t="n">
        <f aca="false">IF(Waterfall!AJ17&gt;0,Waterfall!AJ18*Debt!AJ64/Waterfall!AJ17,0)</f>
        <v>0</v>
      </c>
      <c r="AK63" s="20" t="n">
        <f aca="false">IF(Waterfall!AK17&gt;0,Waterfall!AK18*Debt!AK64/Waterfall!AK17,0)</f>
        <v>0</v>
      </c>
      <c r="AL63" s="20" t="n">
        <f aca="false">IF(Waterfall!AL17&gt;0,Waterfall!AL18*Debt!AL64/Waterfall!AL17,0)</f>
        <v>0</v>
      </c>
      <c r="AM63" s="20" t="n">
        <f aca="false">IF(Waterfall!AM17&gt;0,Waterfall!AM18*Debt!AM64/Waterfall!AM17,0)</f>
        <v>0</v>
      </c>
      <c r="AN63" s="20" t="n">
        <f aca="false">IF(Waterfall!AN17&gt;0,Waterfall!AN18*Debt!AN64/Waterfall!AN17,0)</f>
        <v>0</v>
      </c>
      <c r="AO63" s="20" t="n">
        <f aca="false">IF(Waterfall!AO17&gt;0,Waterfall!AO18*Debt!AO64/Waterfall!AO17,0)</f>
        <v>0</v>
      </c>
      <c r="AP63" s="20" t="n">
        <f aca="false">IF(Waterfall!AP17&gt;0,Waterfall!AP18*Debt!AP64/Waterfall!AP17,0)</f>
        <v>0</v>
      </c>
      <c r="AQ63" s="20" t="n">
        <f aca="false">IF(Waterfall!AQ17&gt;0,Waterfall!AQ18*Debt!AQ64/Waterfall!AQ17,0)</f>
        <v>0</v>
      </c>
      <c r="AR63" s="20" t="n">
        <f aca="false">IF(Waterfall!AR17&gt;0,Waterfall!AR18*Debt!AR64/Waterfall!AR17,0)</f>
        <v>0</v>
      </c>
      <c r="AS63" s="20" t="n">
        <f aca="false">IF(Waterfall!AS17&gt;0,Waterfall!AS18*Debt!AS64/Waterfall!AS17,0)</f>
        <v>0</v>
      </c>
      <c r="AT63" s="20" t="n">
        <f aca="false">IF(Waterfall!AT17&gt;0,Waterfall!AT18*Debt!AT64/Waterfall!AT17,0)</f>
        <v>0</v>
      </c>
      <c r="AU63" s="20" t="n">
        <f aca="false">IF(Waterfall!AU17&gt;0,Waterfall!AU18*Debt!AU64/Waterfall!AU17,0)</f>
        <v>0</v>
      </c>
    </row>
    <row r="64" customFormat="false" ht="15" hidden="false" customHeight="false" outlineLevel="0" collapsed="false">
      <c r="D64" s="0" t="s">
        <v>1079</v>
      </c>
      <c r="E64" s="0" t="s">
        <v>47</v>
      </c>
      <c r="J64" s="20" t="n">
        <f aca="false">Debt!J60-Debt!J62</f>
        <v>0</v>
      </c>
      <c r="K64" s="20" t="n">
        <f aca="false">Debt!K60-Debt!K62</f>
        <v>0</v>
      </c>
      <c r="L64" s="20" t="n">
        <f aca="false">Debt!L60-Debt!L62</f>
        <v>0</v>
      </c>
      <c r="M64" s="20" t="n">
        <f aca="false">Debt!M60-Debt!M62</f>
        <v>0</v>
      </c>
      <c r="N64" s="20" t="n">
        <f aca="false">Debt!N60-Debt!N62</f>
        <v>136.193002526121</v>
      </c>
      <c r="O64" s="20" t="n">
        <f aca="false">Debt!O60-Debt!O62</f>
        <v>130.72939682642</v>
      </c>
      <c r="P64" s="20" t="n">
        <f aca="false">Debt!P60-Debt!P62</f>
        <v>125.04851277848</v>
      </c>
      <c r="Q64" s="20" t="n">
        <f aca="false">Debt!Q60-Debt!Q62</f>
        <v>118.485657010425</v>
      </c>
      <c r="R64" s="20" t="n">
        <f aca="false">Debt!R60-Debt!R62</f>
        <v>109.946632679192</v>
      </c>
      <c r="S64" s="20" t="n">
        <f aca="false">Debt!S60-Debt!S62</f>
        <v>98.3540045464786</v>
      </c>
      <c r="T64" s="20" t="n">
        <f aca="false">Debt!T60-Debt!T62</f>
        <v>86.6582849650949</v>
      </c>
      <c r="U64" s="20" t="n">
        <f aca="false">Debt!U60-Debt!U62</f>
        <v>74.4156599324788</v>
      </c>
      <c r="V64" s="20" t="n">
        <f aca="false">Debt!V60-Debt!V62</f>
        <v>61.0889773478821</v>
      </c>
      <c r="W64" s="20" t="n">
        <f aca="false">Debt!W60-Debt!W62</f>
        <v>46.5554875693788</v>
      </c>
      <c r="X64" s="20" t="n">
        <f aca="false">Debt!X60-Debt!X62</f>
        <v>31.4015964756172</v>
      </c>
      <c r="Y64" s="20" t="n">
        <f aca="false">Debt!Y60-Debt!Y62</f>
        <v>15.8259966245024</v>
      </c>
      <c r="Z64" s="20" t="n">
        <f aca="false">Debt!Z60-Debt!Z62</f>
        <v>0</v>
      </c>
      <c r="AA64" s="20" t="n">
        <f aca="false">Debt!AA60-Debt!AA62</f>
        <v>0</v>
      </c>
      <c r="AB64" s="20" t="n">
        <f aca="false">Debt!AB60-Debt!AB62</f>
        <v>0</v>
      </c>
      <c r="AC64" s="20" t="n">
        <f aca="false">Debt!AC60-Debt!AC62</f>
        <v>0</v>
      </c>
      <c r="AD64" s="20" t="n">
        <f aca="false">Debt!AD60-Debt!AD62</f>
        <v>0</v>
      </c>
      <c r="AE64" s="20" t="n">
        <f aca="false">Debt!AE60-Debt!AE62</f>
        <v>0</v>
      </c>
      <c r="AF64" s="20" t="n">
        <f aca="false">Debt!AF60-Debt!AF62</f>
        <v>0</v>
      </c>
      <c r="AG64" s="20" t="n">
        <f aca="false">Debt!AG60-Debt!AG62</f>
        <v>0</v>
      </c>
      <c r="AH64" s="20" t="n">
        <f aca="false">Debt!AH60-Debt!AH62</f>
        <v>0</v>
      </c>
      <c r="AI64" s="20" t="n">
        <f aca="false">Debt!AI60-Debt!AI62</f>
        <v>0</v>
      </c>
      <c r="AJ64" s="20" t="n">
        <f aca="false">Debt!AJ60-Debt!AJ62</f>
        <v>0</v>
      </c>
      <c r="AK64" s="20" t="n">
        <f aca="false">Debt!AK60-Debt!AK62</f>
        <v>0</v>
      </c>
      <c r="AL64" s="20" t="n">
        <f aca="false">Debt!AL60-Debt!AL62</f>
        <v>0</v>
      </c>
      <c r="AM64" s="20" t="n">
        <f aca="false">Debt!AM60-Debt!AM62</f>
        <v>0</v>
      </c>
      <c r="AN64" s="20" t="n">
        <f aca="false">Debt!AN60-Debt!AN62</f>
        <v>0</v>
      </c>
      <c r="AO64" s="20" t="n">
        <f aca="false">Debt!AO60-Debt!AO62</f>
        <v>0</v>
      </c>
      <c r="AP64" s="20" t="n">
        <f aca="false">Debt!AP60-Debt!AP62</f>
        <v>0</v>
      </c>
      <c r="AQ64" s="20" t="n">
        <f aca="false">Debt!AQ60-Debt!AQ62</f>
        <v>0</v>
      </c>
      <c r="AR64" s="20" t="n">
        <f aca="false">Debt!AR60-Debt!AR62</f>
        <v>0</v>
      </c>
      <c r="AS64" s="20" t="n">
        <f aca="false">Debt!AS60-Debt!AS62</f>
        <v>0</v>
      </c>
      <c r="AT64" s="20" t="n">
        <f aca="false">Debt!AT60-Debt!AT62</f>
        <v>0</v>
      </c>
      <c r="AU64" s="20" t="n">
        <f aca="false">Debt!AU60-Debt!AU62</f>
        <v>0</v>
      </c>
    </row>
    <row r="65" customFormat="false" ht="15" hidden="false" customHeight="false" outlineLevel="0" collapsed="false">
      <c r="D65" s="0" t="s">
        <v>1080</v>
      </c>
      <c r="E65" s="0" t="s">
        <v>47</v>
      </c>
      <c r="J65" s="20" t="n">
        <f aca="false">0</f>
        <v>0</v>
      </c>
      <c r="K65" s="20" t="n">
        <f aca="false">0</f>
        <v>0</v>
      </c>
      <c r="L65" s="20" t="n">
        <f aca="false">0</f>
        <v>0</v>
      </c>
      <c r="M65" s="20" t="n">
        <f aca="false">0</f>
        <v>0</v>
      </c>
      <c r="N65" s="20" t="n">
        <f aca="false">0</f>
        <v>0</v>
      </c>
      <c r="O65" s="20" t="n">
        <f aca="false">0</f>
        <v>0</v>
      </c>
      <c r="P65" s="20" t="n">
        <f aca="false">0</f>
        <v>0</v>
      </c>
      <c r="Q65" s="20" t="n">
        <f aca="false">0</f>
        <v>0</v>
      </c>
      <c r="R65" s="20" t="n">
        <f aca="false">0</f>
        <v>0</v>
      </c>
      <c r="S65" s="20" t="n">
        <f aca="false">0</f>
        <v>0</v>
      </c>
      <c r="T65" s="20" t="n">
        <f aca="false">0</f>
        <v>0</v>
      </c>
      <c r="U65" s="20" t="n">
        <f aca="false">0</f>
        <v>0</v>
      </c>
      <c r="V65" s="20" t="n">
        <f aca="false">0</f>
        <v>0</v>
      </c>
      <c r="W65" s="20" t="n">
        <f aca="false">0</f>
        <v>0</v>
      </c>
      <c r="X65" s="20" t="n">
        <f aca="false">0</f>
        <v>0</v>
      </c>
      <c r="Y65" s="20" t="n">
        <f aca="false">0</f>
        <v>0</v>
      </c>
      <c r="Z65" s="20" t="n">
        <f aca="false">0</f>
        <v>0</v>
      </c>
      <c r="AA65" s="20" t="n">
        <f aca="false">0</f>
        <v>0</v>
      </c>
      <c r="AB65" s="20" t="n">
        <f aca="false">0</f>
        <v>0</v>
      </c>
      <c r="AC65" s="20" t="n">
        <f aca="false">0</f>
        <v>0</v>
      </c>
      <c r="AD65" s="20" t="n">
        <f aca="false">0</f>
        <v>0</v>
      </c>
      <c r="AE65" s="20" t="n">
        <f aca="false">0</f>
        <v>0</v>
      </c>
      <c r="AF65" s="20" t="n">
        <f aca="false">0</f>
        <v>0</v>
      </c>
      <c r="AG65" s="20" t="n">
        <f aca="false">0</f>
        <v>0</v>
      </c>
      <c r="AH65" s="20" t="n">
        <f aca="false">0</f>
        <v>0</v>
      </c>
      <c r="AI65" s="20" t="n">
        <f aca="false">0</f>
        <v>0</v>
      </c>
      <c r="AJ65" s="20" t="n">
        <f aca="false">0</f>
        <v>0</v>
      </c>
      <c r="AK65" s="20" t="n">
        <f aca="false">0</f>
        <v>0</v>
      </c>
      <c r="AL65" s="20" t="n">
        <f aca="false">0</f>
        <v>0</v>
      </c>
      <c r="AM65" s="20" t="n">
        <f aca="false">0</f>
        <v>0</v>
      </c>
      <c r="AN65" s="20" t="n">
        <f aca="false">0</f>
        <v>0</v>
      </c>
      <c r="AO65" s="20" t="n">
        <f aca="false">0</f>
        <v>0</v>
      </c>
      <c r="AP65" s="20" t="n">
        <f aca="false">0</f>
        <v>0</v>
      </c>
      <c r="AQ65" s="20" t="n">
        <f aca="false">0</f>
        <v>0</v>
      </c>
      <c r="AR65" s="20" t="n">
        <f aca="false">0</f>
        <v>0</v>
      </c>
      <c r="AS65" s="20" t="n">
        <f aca="false">0</f>
        <v>0</v>
      </c>
      <c r="AT65" s="20" t="n">
        <f aca="false">0</f>
        <v>0</v>
      </c>
      <c r="AU65" s="20" t="n">
        <f aca="false">0</f>
        <v>0</v>
      </c>
    </row>
    <row r="66" customFormat="false" ht="15" hidden="false" customHeight="false" outlineLevel="0" collapsed="false">
      <c r="D66" s="0" t="s">
        <v>1081</v>
      </c>
      <c r="E66" s="0" t="s">
        <v>47</v>
      </c>
      <c r="J66" s="20" t="n">
        <f aca="false">Debt!J64-Debt!J63-Debt!J65</f>
        <v>0</v>
      </c>
      <c r="K66" s="20" t="n">
        <f aca="false">Debt!K64-Debt!K63-Debt!K65</f>
        <v>0</v>
      </c>
      <c r="L66" s="20" t="n">
        <f aca="false">Debt!L64-Debt!L63-Debt!L65</f>
        <v>0</v>
      </c>
      <c r="M66" s="20" t="n">
        <f aca="false">Debt!M64-Debt!M63-Debt!M65</f>
        <v>0</v>
      </c>
      <c r="N66" s="20" t="n">
        <f aca="false">Debt!N64-Debt!N63-Debt!N65</f>
        <v>132.105083720623</v>
      </c>
      <c r="O66" s="20" t="n">
        <f aca="false">Debt!O64-Debt!O63-Debt!O65</f>
        <v>126.424199672683</v>
      </c>
      <c r="P66" s="20" t="n">
        <f aca="false">Debt!P64-Debt!P63-Debt!P65</f>
        <v>119.861343904629</v>
      </c>
      <c r="Q66" s="20" t="n">
        <f aca="false">Debt!Q64-Debt!Q63-Debt!Q65</f>
        <v>111.322319573395</v>
      </c>
      <c r="R66" s="20" t="n">
        <f aca="false">Debt!R64-Debt!R63-Debt!R65</f>
        <v>99.7296914406818</v>
      </c>
      <c r="S66" s="20" t="n">
        <f aca="false">Debt!S64-Debt!S63-Debt!S65</f>
        <v>88.0339718592981</v>
      </c>
      <c r="T66" s="20" t="n">
        <f aca="false">Debt!T64-Debt!T63-Debt!T65</f>
        <v>75.791346826682</v>
      </c>
      <c r="U66" s="20" t="n">
        <f aca="false">Debt!U64-Debt!U63-Debt!U65</f>
        <v>62.4646642420853</v>
      </c>
      <c r="V66" s="20" t="n">
        <f aca="false">Debt!V64-Debt!V63-Debt!V65</f>
        <v>47.931174463582</v>
      </c>
      <c r="W66" s="20" t="n">
        <f aca="false">Debt!W64-Debt!W63-Debt!W65</f>
        <v>32.7772833698204</v>
      </c>
      <c r="X66" s="20" t="n">
        <f aca="false">Debt!X64-Debt!X63-Debt!X65</f>
        <v>17.2016835187056</v>
      </c>
      <c r="Y66" s="20" t="n">
        <f aca="false">Debt!Y64-Debt!Y63-Debt!Y65</f>
        <v>1.18224562086916</v>
      </c>
      <c r="Z66" s="20" t="n">
        <f aca="false">Debt!Z64-Debt!Z63-Debt!Z65</f>
        <v>0</v>
      </c>
      <c r="AA66" s="20" t="n">
        <f aca="false">Debt!AA64-Debt!AA63-Debt!AA65</f>
        <v>0</v>
      </c>
      <c r="AB66" s="20" t="n">
        <f aca="false">Debt!AB64-Debt!AB63-Debt!AB65</f>
        <v>0</v>
      </c>
      <c r="AC66" s="20" t="n">
        <f aca="false">Debt!AC64-Debt!AC63-Debt!AC65</f>
        <v>0</v>
      </c>
      <c r="AD66" s="20" t="n">
        <f aca="false">Debt!AD64-Debt!AD63-Debt!AD65</f>
        <v>0</v>
      </c>
      <c r="AE66" s="20" t="n">
        <f aca="false">Debt!AE64-Debt!AE63-Debt!AE65</f>
        <v>0</v>
      </c>
      <c r="AF66" s="20" t="n">
        <f aca="false">Debt!AF64-Debt!AF63-Debt!AF65</f>
        <v>0</v>
      </c>
      <c r="AG66" s="20" t="n">
        <f aca="false">Debt!AG64-Debt!AG63-Debt!AG65</f>
        <v>0</v>
      </c>
      <c r="AH66" s="20" t="n">
        <f aca="false">Debt!AH64-Debt!AH63-Debt!AH65</f>
        <v>0</v>
      </c>
      <c r="AI66" s="20" t="n">
        <f aca="false">Debt!AI64-Debt!AI63-Debt!AI65</f>
        <v>0</v>
      </c>
      <c r="AJ66" s="20" t="n">
        <f aca="false">Debt!AJ64-Debt!AJ63-Debt!AJ65</f>
        <v>0</v>
      </c>
      <c r="AK66" s="20" t="n">
        <f aca="false">Debt!AK64-Debt!AK63-Debt!AK65</f>
        <v>0</v>
      </c>
      <c r="AL66" s="20" t="n">
        <f aca="false">Debt!AL64-Debt!AL63-Debt!AL65</f>
        <v>0</v>
      </c>
      <c r="AM66" s="20" t="n">
        <f aca="false">Debt!AM64-Debt!AM63-Debt!AM65</f>
        <v>0</v>
      </c>
      <c r="AN66" s="20" t="n">
        <f aca="false">Debt!AN64-Debt!AN63-Debt!AN65</f>
        <v>0</v>
      </c>
      <c r="AO66" s="20" t="n">
        <f aca="false">Debt!AO64-Debt!AO63-Debt!AO65</f>
        <v>0</v>
      </c>
      <c r="AP66" s="20" t="n">
        <f aca="false">Debt!AP64-Debt!AP63-Debt!AP65</f>
        <v>0</v>
      </c>
      <c r="AQ66" s="20" t="n">
        <f aca="false">Debt!AQ64-Debt!AQ63-Debt!AQ65</f>
        <v>0</v>
      </c>
      <c r="AR66" s="20" t="n">
        <f aca="false">Debt!AR64-Debt!AR63-Debt!AR65</f>
        <v>0</v>
      </c>
      <c r="AS66" s="20" t="n">
        <f aca="false">Debt!AS64-Debt!AS63-Debt!AS65</f>
        <v>0</v>
      </c>
      <c r="AT66" s="20" t="n">
        <f aca="false">Debt!AT64-Debt!AT63-Debt!AT65</f>
        <v>0</v>
      </c>
      <c r="AU66" s="20" t="n">
        <f aca="false">Debt!AU64-Debt!AU63-Debt!AU65</f>
        <v>0</v>
      </c>
    </row>
    <row r="67" customFormat="false" ht="15" hidden="false" customHeight="false" outlineLevel="0" collapsed="false">
      <c r="D67" s="0" t="s">
        <v>1082</v>
      </c>
      <c r="E67" s="0" t="s">
        <v>47</v>
      </c>
      <c r="G67" s="20" t="n">
        <f aca="false">SUM(J67:AU67)</f>
        <v>127.593694855949</v>
      </c>
      <c r="J67" s="20" t="n">
        <f aca="false">Debt!J47+Debt!J48+Debt!J54+Debt!J55+Debt!J61+Debt!J62</f>
        <v>3.47153551811168</v>
      </c>
      <c r="K67" s="20" t="n">
        <f aca="false">Debt!K47+Debt!K48+Debt!K54+Debt!K55+Debt!K61+Debt!K62</f>
        <v>5.62877277868492</v>
      </c>
      <c r="L67" s="20" t="n">
        <f aca="false">Debt!L47+Debt!L48+Debt!L54+Debt!L55+Debt!L61+Debt!L62</f>
        <v>13.6816850851305</v>
      </c>
      <c r="M67" s="20" t="n">
        <f aca="false">Debt!M47+Debt!M48+Debt!M54+Debt!M55+Debt!M61+Debt!M62</f>
        <v>13.2995969271655</v>
      </c>
      <c r="N67" s="20" t="n">
        <f aca="false">Debt!N47+Debt!N48+Debt!N54+Debt!N55+Debt!N61+Debt!N62</f>
        <v>11.2256050566984</v>
      </c>
      <c r="O67" s="20" t="n">
        <f aca="false">Debt!O47+Debt!O48+Debt!O54+Debt!O55+Debt!O61+Debt!O62</f>
        <v>10.5569902127865</v>
      </c>
      <c r="P67" s="20" t="n">
        <f aca="false">Debt!P47+Debt!P48+Debt!P54+Debt!P55+Debt!P61+Debt!P62</f>
        <v>10.2253808712911</v>
      </c>
      <c r="Q67" s="20" t="n">
        <f aca="false">Debt!Q47+Debt!Q48+Debt!Q54+Debt!Q55+Debt!Q61+Debt!Q62</f>
        <v>9.76598096752724</v>
      </c>
      <c r="R67" s="20" t="n">
        <f aca="false">Debt!R47+Debt!R48+Debt!R54+Debt!R55+Debt!R61+Debt!R62</f>
        <v>9.16824926434091</v>
      </c>
      <c r="S67" s="20" t="n">
        <f aca="false">Debt!S47+Debt!S48+Debt!S54+Debt!S55+Debt!S61+Debt!S62</f>
        <v>8.35676529505097</v>
      </c>
      <c r="T67" s="20" t="n">
        <f aca="false">Debt!T47+Debt!T48+Debt!T54+Debt!T55+Debt!T61+Debt!T62</f>
        <v>7.53806492435411</v>
      </c>
      <c r="U67" s="20" t="n">
        <f aca="false">Debt!U47+Debt!U48+Debt!U54+Debt!U55+Debt!U61+Debt!U62</f>
        <v>6.68108117207098</v>
      </c>
      <c r="V67" s="20" t="n">
        <f aca="false">Debt!V47+Debt!V48+Debt!V54+Debt!V55+Debt!V61+Debt!V62</f>
        <v>5.74821339114921</v>
      </c>
      <c r="W67" s="20" t="n">
        <f aca="false">Debt!W47+Debt!W48+Debt!W54+Debt!W55+Debt!W61+Debt!W62</f>
        <v>4.73086910665398</v>
      </c>
      <c r="X67" s="20" t="n">
        <f aca="false">Debt!X47+Debt!X48+Debt!X54+Debt!X55+Debt!X61+Debt!X62</f>
        <v>3.67009673009067</v>
      </c>
      <c r="Y67" s="20" t="n">
        <f aca="false">Debt!Y47+Debt!Y48+Debt!Y54+Debt!Y55+Debt!Y61+Debt!Y62</f>
        <v>2.57980474051263</v>
      </c>
      <c r="Z67" s="20" t="n">
        <f aca="false">Debt!Z47+Debt!Z48+Debt!Z54+Debt!Z55+Debt!Z61+Debt!Z62</f>
        <v>1.26500281433001</v>
      </c>
      <c r="AA67" s="20" t="n">
        <f aca="false">Debt!AA47+Debt!AA48+Debt!AA54+Debt!AA55+Debt!AA61+Debt!AA62</f>
        <v>0</v>
      </c>
      <c r="AB67" s="20" t="n">
        <f aca="false">Debt!AB47+Debt!AB48+Debt!AB54+Debt!AB55+Debt!AB61+Debt!AB62</f>
        <v>0</v>
      </c>
      <c r="AC67" s="20" t="n">
        <f aca="false">Debt!AC47+Debt!AC48+Debt!AC54+Debt!AC55+Debt!AC61+Debt!AC62</f>
        <v>0</v>
      </c>
      <c r="AD67" s="20" t="n">
        <f aca="false">Debt!AD47+Debt!AD48+Debt!AD54+Debt!AD55+Debt!AD61+Debt!AD62</f>
        <v>0</v>
      </c>
      <c r="AE67" s="20" t="n">
        <f aca="false">Debt!AE47+Debt!AE48+Debt!AE54+Debt!AE55+Debt!AE61+Debt!AE62</f>
        <v>0</v>
      </c>
      <c r="AF67" s="20" t="n">
        <f aca="false">Debt!AF47+Debt!AF48+Debt!AF54+Debt!AF55+Debt!AF61+Debt!AF62</f>
        <v>0</v>
      </c>
      <c r="AG67" s="20" t="n">
        <f aca="false">Debt!AG47+Debt!AG48+Debt!AG54+Debt!AG55+Debt!AG61+Debt!AG62</f>
        <v>0</v>
      </c>
      <c r="AH67" s="20" t="n">
        <f aca="false">Debt!AH47+Debt!AH48+Debt!AH54+Debt!AH55+Debt!AH61+Debt!AH62</f>
        <v>0</v>
      </c>
      <c r="AI67" s="20" t="n">
        <f aca="false">Debt!AI47+Debt!AI48+Debt!AI54+Debt!AI55+Debt!AI61+Debt!AI62</f>
        <v>0</v>
      </c>
      <c r="AJ67" s="20" t="n">
        <f aca="false">Debt!AJ47+Debt!AJ48+Debt!AJ54+Debt!AJ55+Debt!AJ61+Debt!AJ62</f>
        <v>0</v>
      </c>
      <c r="AK67" s="20" t="n">
        <f aca="false">Debt!AK47+Debt!AK48+Debt!AK54+Debt!AK55+Debt!AK61+Debt!AK62</f>
        <v>0</v>
      </c>
      <c r="AL67" s="20" t="n">
        <f aca="false">Debt!AL47+Debt!AL48+Debt!AL54+Debt!AL55+Debt!AL61+Debt!AL62</f>
        <v>0</v>
      </c>
      <c r="AM67" s="20" t="n">
        <f aca="false">Debt!AM47+Debt!AM48+Debt!AM54+Debt!AM55+Debt!AM61+Debt!AM62</f>
        <v>0</v>
      </c>
      <c r="AN67" s="20" t="n">
        <f aca="false">Debt!AN47+Debt!AN48+Debt!AN54+Debt!AN55+Debt!AN61+Debt!AN62</f>
        <v>0</v>
      </c>
      <c r="AO67" s="20" t="n">
        <f aca="false">Debt!AO47+Debt!AO48+Debt!AO54+Debt!AO55+Debt!AO61+Debt!AO62</f>
        <v>0</v>
      </c>
      <c r="AP67" s="20" t="n">
        <f aca="false">Debt!AP47+Debt!AP48+Debt!AP54+Debt!AP55+Debt!AP61+Debt!AP62</f>
        <v>0</v>
      </c>
      <c r="AQ67" s="20" t="n">
        <f aca="false">Debt!AQ47+Debt!AQ48+Debt!AQ54+Debt!AQ55+Debt!AQ61+Debt!AQ62</f>
        <v>0</v>
      </c>
      <c r="AR67" s="20" t="n">
        <f aca="false">Debt!AR47+Debt!AR48+Debt!AR54+Debt!AR55+Debt!AR61+Debt!AR62</f>
        <v>0</v>
      </c>
      <c r="AS67" s="20" t="n">
        <f aca="false">Debt!AS47+Debt!AS48+Debt!AS54+Debt!AS55+Debt!AS61+Debt!AS62</f>
        <v>0</v>
      </c>
      <c r="AT67" s="20" t="n">
        <f aca="false">Debt!AT47+Debt!AT48+Debt!AT54+Debt!AT55+Debt!AT61+Debt!AT62</f>
        <v>0</v>
      </c>
      <c r="AU67" s="20" t="n">
        <f aca="false">Debt!AU47+Debt!AU48+Debt!AU54+Debt!AU55+Debt!AU61+Debt!AU62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1083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1084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1085</v>
      </c>
      <c r="E8" s="0" t="s">
        <v>47</v>
      </c>
      <c r="G8" s="20" t="n">
        <f aca="false">SUM(J8:AU8)</f>
        <v>1532.16440562717</v>
      </c>
      <c r="J8" s="21" t="n">
        <f aca="false">Operations!J425</f>
        <v>45.1684519770048</v>
      </c>
      <c r="K8" s="21" t="n">
        <f aca="false">Operations!K425</f>
        <v>49.2306710746364</v>
      </c>
      <c r="L8" s="21" t="n">
        <f aca="false">Operations!L425</f>
        <v>56.8411346121445</v>
      </c>
      <c r="M8" s="21" t="n">
        <f aca="false">Operations!M425</f>
        <v>65.8945759169238</v>
      </c>
      <c r="N8" s="21" t="n">
        <f aca="false">Operations!N425</f>
        <v>65.2537689776237</v>
      </c>
      <c r="O8" s="21" t="n">
        <f aca="false">Operations!O425</f>
        <v>63.1658202142618</v>
      </c>
      <c r="P8" s="21" t="n">
        <f aca="false">Operations!P425</f>
        <v>61.6901319141478</v>
      </c>
      <c r="Q8" s="21" t="n">
        <f aca="false">Operations!Q425</f>
        <v>65.1634690357983</v>
      </c>
      <c r="R8" s="21" t="n">
        <f aca="false">Operations!R425</f>
        <v>66.08436273699</v>
      </c>
      <c r="S8" s="21" t="n">
        <f aca="false">Operations!S425</f>
        <v>62.8778833268807</v>
      </c>
      <c r="T8" s="21" t="n">
        <f aca="false">Operations!T425</f>
        <v>60.9710054500711</v>
      </c>
      <c r="U8" s="21" t="n">
        <f aca="false">Operations!U425</f>
        <v>61.1492506920541</v>
      </c>
      <c r="V8" s="21" t="n">
        <f aca="false">Operations!V425</f>
        <v>62.5622851519422</v>
      </c>
      <c r="W8" s="21" t="n">
        <f aca="false">Operations!W425</f>
        <v>61.6264482464312</v>
      </c>
      <c r="X8" s="21" t="n">
        <f aca="false">Operations!X425</f>
        <v>61.3694707589228</v>
      </c>
      <c r="Y8" s="21" t="n">
        <f aca="false">Operations!Y425</f>
        <v>61.1479616346381</v>
      </c>
      <c r="Z8" s="21" t="n">
        <f aca="false">Operations!Z425</f>
        <v>61.0215279121222</v>
      </c>
      <c r="AA8" s="21" t="n">
        <f aca="false">Operations!AA425</f>
        <v>61.0180518358065</v>
      </c>
      <c r="AB8" s="21" t="n">
        <f aca="false">Operations!AB425</f>
        <v>61.0033420483556</v>
      </c>
      <c r="AC8" s="21" t="n">
        <f aca="false">Operations!AC425</f>
        <v>60.9598884919826</v>
      </c>
      <c r="AD8" s="21" t="n">
        <f aca="false">Operations!AD425</f>
        <v>60.9041256818734</v>
      </c>
      <c r="AE8" s="21" t="n">
        <f aca="false">Operations!AE425</f>
        <v>55.8587474403073</v>
      </c>
      <c r="AF8" s="21" t="n">
        <f aca="false">Operations!AF425</f>
        <v>25.8442768269994</v>
      </c>
      <c r="AG8" s="21" t="n">
        <f aca="false">Operations!AG425</f>
        <v>43.6079096998585</v>
      </c>
      <c r="AH8" s="21" t="n">
        <f aca="false">Operations!AH425</f>
        <v>43.9196109427684</v>
      </c>
      <c r="AI8" s="21" t="n">
        <f aca="false">Operations!AI425</f>
        <v>4.38007787614134</v>
      </c>
      <c r="AJ8" s="21" t="n">
        <f aca="false">Operations!AJ425</f>
        <v>21.8649401908358</v>
      </c>
      <c r="AK8" s="21" t="n">
        <f aca="false">Operations!AK425</f>
        <v>3.77018461212898</v>
      </c>
      <c r="AL8" s="21" t="n">
        <f aca="false">Operations!AL425</f>
        <v>14.5361263223562</v>
      </c>
      <c r="AM8" s="21" t="n">
        <f aca="false">Operations!AM425</f>
        <v>14.5609618453642</v>
      </c>
      <c r="AN8" s="21" t="n">
        <f aca="false">Operations!AN425</f>
        <v>14.5807659312867</v>
      </c>
      <c r="AO8" s="21" t="n">
        <f aca="false">Operations!AO425</f>
        <v>14.5950604187952</v>
      </c>
      <c r="AP8" s="21" t="n">
        <f aca="false">Operations!AP425</f>
        <v>14.603360118158</v>
      </c>
      <c r="AQ8" s="21" t="n">
        <f aca="false">Operations!AQ425</f>
        <v>5.33567697167487</v>
      </c>
      <c r="AR8" s="21" t="n">
        <f aca="false">Operations!AR425</f>
        <v>-10.0942482153661</v>
      </c>
      <c r="AS8" s="21" t="n">
        <f aca="false">Operations!AS425</f>
        <v>0.468479792319108</v>
      </c>
      <c r="AT8" s="21" t="n">
        <f aca="false">Operations!AT425</f>
        <v>0.357517487264004</v>
      </c>
      <c r="AU8" s="21" t="n">
        <f aca="false">Operations!AU425</f>
        <v>-11.1286703243323</v>
      </c>
    </row>
    <row r="9" customFormat="false" ht="15" hidden="false" customHeight="false" outlineLevel="0" collapsed="false">
      <c r="D9" s="0" t="s">
        <v>1086</v>
      </c>
      <c r="E9" s="0" t="s">
        <v>47</v>
      </c>
      <c r="G9" s="20" t="n">
        <f aca="false">SUM(J9:AU9)</f>
        <v>706.872412724798</v>
      </c>
      <c r="J9" s="20" t="n">
        <f aca="false">Debt!J18+Debt!J27+Debt!J34</f>
        <v>29.9760030488673</v>
      </c>
      <c r="K9" s="20" t="n">
        <f aca="false">Debt!K18+Debt!K27+Debt!K34</f>
        <v>35.9669495113508</v>
      </c>
      <c r="L9" s="20" t="n">
        <f aca="false">Debt!L18+Debt!L27+Debt!L34</f>
        <v>37.7079464922386</v>
      </c>
      <c r="M9" s="20" t="n">
        <f aca="false">Debt!M18+Debt!M27+Debt!M34</f>
        <v>37.3170977599363</v>
      </c>
      <c r="N9" s="20" t="n">
        <f aca="false">Debt!N18+Debt!N27+Debt!N34</f>
        <v>45.6089601284015</v>
      </c>
      <c r="O9" s="20" t="n">
        <f aca="false">Debt!O18+Debt!O27+Debt!O34</f>
        <v>43.4414359752294</v>
      </c>
      <c r="P9" s="20" t="n">
        <f aca="false">Debt!P18+Debt!P27+Debt!P34</f>
        <v>40.3715102737986</v>
      </c>
      <c r="Q9" s="20" t="n">
        <f aca="false">Debt!Q18+Debt!Q27+Debt!Q34</f>
        <v>39.9672975844426</v>
      </c>
      <c r="R9" s="20" t="n">
        <f aca="false">Debt!R18+Debt!R27+Debt!R34</f>
        <v>34.7356485140017</v>
      </c>
      <c r="S9" s="20" t="n">
        <f aca="false">Debt!S18+Debt!S27+Debt!S34</f>
        <v>32.1907257668257</v>
      </c>
      <c r="T9" s="20" t="n">
        <f aca="false">Debt!T18+Debt!T27+Debt!T34</f>
        <v>30.0136947010661</v>
      </c>
      <c r="U9" s="20" t="n">
        <f aca="false">Debt!U18+Debt!U27+Debt!U34</f>
        <v>28.799431934175</v>
      </c>
      <c r="V9" s="20" t="n">
        <f aca="false">Debt!V18+Debt!V27+Debt!V34</f>
        <v>28.5936825676022</v>
      </c>
      <c r="W9" s="20" t="n">
        <f aca="false">Debt!W18+Debt!W27+Debt!W34</f>
        <v>27.3895325539694</v>
      </c>
      <c r="X9" s="20" t="n">
        <f aca="false">Debt!X18+Debt!X27+Debt!X34</f>
        <v>27.275320337299</v>
      </c>
      <c r="Y9" s="20" t="n">
        <f aca="false">Debt!Y18+Debt!Y27+Debt!Y34</f>
        <v>27.1768718376169</v>
      </c>
      <c r="Z9" s="20" t="n">
        <f aca="false">Debt!Z18+Debt!Z27+Debt!Z34</f>
        <v>27.1206790720543</v>
      </c>
      <c r="AA9" s="20" t="n">
        <f aca="false">Debt!AA18+Debt!AA27+Debt!AA34</f>
        <v>27.1191341492473</v>
      </c>
      <c r="AB9" s="20" t="n">
        <f aca="false">Debt!AB18+Debt!AB27+Debt!AB34</f>
        <v>27.1125964659358</v>
      </c>
      <c r="AC9" s="20" t="n">
        <f aca="false">Debt!AC18+Debt!AC27+Debt!AC34</f>
        <v>27.0932837742145</v>
      </c>
      <c r="AD9" s="20" t="n">
        <f aca="false">Debt!AD18+Debt!AD27+Debt!AD34</f>
        <v>27.0685003030548</v>
      </c>
      <c r="AE9" s="20" t="n">
        <f aca="false">Debt!AE18+Debt!AE27+Debt!AE34</f>
        <v>24.8261099734699</v>
      </c>
      <c r="AF9" s="20" t="n">
        <f aca="false">Debt!AF18+Debt!AF27+Debt!AF34</f>
        <v>0</v>
      </c>
      <c r="AG9" s="20" t="n">
        <f aca="false">Debt!AG18+Debt!AG27+Debt!AG34</f>
        <v>0</v>
      </c>
      <c r="AH9" s="20" t="n">
        <f aca="false">Debt!AH18+Debt!AH27+Debt!AH34</f>
        <v>0</v>
      </c>
      <c r="AI9" s="20" t="n">
        <f aca="false">Debt!AI18+Debt!AI27+Debt!AI34</f>
        <v>0</v>
      </c>
      <c r="AJ9" s="20" t="n">
        <f aca="false">Debt!AJ18+Debt!AJ27+Debt!AJ34</f>
        <v>0</v>
      </c>
      <c r="AK9" s="20" t="n">
        <f aca="false">Debt!AK18+Debt!AK27+Debt!AK34</f>
        <v>0</v>
      </c>
      <c r="AL9" s="20" t="n">
        <f aca="false">Debt!AL18+Debt!AL27+Debt!AL34</f>
        <v>0</v>
      </c>
      <c r="AM9" s="20" t="n">
        <f aca="false">Debt!AM18+Debt!AM27+Debt!AM34</f>
        <v>0</v>
      </c>
      <c r="AN9" s="20" t="n">
        <f aca="false">Debt!AN18+Debt!AN27+Debt!AN34</f>
        <v>0</v>
      </c>
      <c r="AO9" s="20" t="n">
        <f aca="false">Debt!AO18+Debt!AO27+Debt!AO34</f>
        <v>0</v>
      </c>
      <c r="AP9" s="20" t="n">
        <f aca="false">Debt!AP18+Debt!AP27+Debt!AP34</f>
        <v>0</v>
      </c>
      <c r="AQ9" s="20" t="n">
        <f aca="false">Debt!AQ18+Debt!AQ27+Debt!AQ34</f>
        <v>0</v>
      </c>
      <c r="AR9" s="20" t="n">
        <f aca="false">Debt!AR18+Debt!AR27+Debt!AR34</f>
        <v>0</v>
      </c>
      <c r="AS9" s="20" t="n">
        <f aca="false">Debt!AS18+Debt!AS27+Debt!AS34</f>
        <v>0</v>
      </c>
      <c r="AT9" s="20" t="n">
        <f aca="false">Debt!AT18+Debt!AT27+Debt!AT34</f>
        <v>0</v>
      </c>
      <c r="AU9" s="20" t="n">
        <f aca="false">Debt!AU18+Debt!AU27+Debt!AU34</f>
        <v>0</v>
      </c>
    </row>
    <row r="10" customFormat="false" ht="15" hidden="false" customHeight="false" outlineLevel="0" collapsed="false">
      <c r="D10" s="0" t="s">
        <v>1087</v>
      </c>
      <c r="E10" s="0" t="s">
        <v>47</v>
      </c>
      <c r="G10" s="20" t="n">
        <f aca="false">SUM(J10:AU10)</f>
        <v>825.291992902373</v>
      </c>
      <c r="J10" s="20" t="n">
        <f aca="false">Waterfall!J8-Waterfall!J9</f>
        <v>15.1924489281374</v>
      </c>
      <c r="K10" s="20" t="n">
        <f aca="false">Waterfall!K8-Waterfall!K9</f>
        <v>13.2637215632856</v>
      </c>
      <c r="L10" s="20" t="n">
        <f aca="false">Waterfall!L8-Waterfall!L9</f>
        <v>19.1331881199059</v>
      </c>
      <c r="M10" s="20" t="n">
        <f aca="false">Waterfall!M8-Waterfall!M9</f>
        <v>28.5774781569876</v>
      </c>
      <c r="N10" s="20" t="n">
        <f aca="false">Waterfall!N8-Waterfall!N9</f>
        <v>19.6448088492222</v>
      </c>
      <c r="O10" s="20" t="n">
        <f aca="false">Waterfall!O8-Waterfall!O9</f>
        <v>19.7243842390324</v>
      </c>
      <c r="P10" s="20" t="n">
        <f aca="false">Waterfall!P8-Waterfall!P9</f>
        <v>21.3186216403492</v>
      </c>
      <c r="Q10" s="20" t="n">
        <f aca="false">Waterfall!Q8-Waterfall!Q9</f>
        <v>25.1961714513557</v>
      </c>
      <c r="R10" s="20" t="n">
        <f aca="false">Waterfall!R8-Waterfall!R9</f>
        <v>31.3487142229884</v>
      </c>
      <c r="S10" s="20" t="n">
        <f aca="false">Waterfall!S8-Waterfall!S9</f>
        <v>30.687157560055</v>
      </c>
      <c r="T10" s="20" t="n">
        <f aca="false">Waterfall!T8-Waterfall!T9</f>
        <v>30.957310749005</v>
      </c>
      <c r="U10" s="20" t="n">
        <f aca="false">Waterfall!U8-Waterfall!U9</f>
        <v>32.3498187578791</v>
      </c>
      <c r="V10" s="20" t="n">
        <f aca="false">Waterfall!V8-Waterfall!V9</f>
        <v>33.96860258434</v>
      </c>
      <c r="W10" s="20" t="n">
        <f aca="false">Waterfall!W8-Waterfall!W9</f>
        <v>34.2369156924618</v>
      </c>
      <c r="X10" s="20" t="n">
        <f aca="false">Waterfall!X8-Waterfall!X9</f>
        <v>34.0941504216238</v>
      </c>
      <c r="Y10" s="20" t="n">
        <f aca="false">Waterfall!Y8-Waterfall!Y9</f>
        <v>33.9710897970212</v>
      </c>
      <c r="Z10" s="20" t="n">
        <f aca="false">Waterfall!Z8-Waterfall!Z9</f>
        <v>33.9008488400679</v>
      </c>
      <c r="AA10" s="20" t="n">
        <f aca="false">Waterfall!AA8-Waterfall!AA9</f>
        <v>33.8989176865592</v>
      </c>
      <c r="AB10" s="20" t="n">
        <f aca="false">Waterfall!AB8-Waterfall!AB9</f>
        <v>33.8907455824198</v>
      </c>
      <c r="AC10" s="20" t="n">
        <f aca="false">Waterfall!AC8-Waterfall!AC9</f>
        <v>33.8666047177681</v>
      </c>
      <c r="AD10" s="20" t="n">
        <f aca="false">Waterfall!AD8-Waterfall!AD9</f>
        <v>33.8356253788185</v>
      </c>
      <c r="AE10" s="20" t="n">
        <f aca="false">Waterfall!AE8-Waterfall!AE9</f>
        <v>31.0326374668374</v>
      </c>
      <c r="AF10" s="20" t="n">
        <f aca="false">Waterfall!AF8-Waterfall!AF9</f>
        <v>25.8442768269994</v>
      </c>
      <c r="AG10" s="20" t="n">
        <f aca="false">Waterfall!AG8-Waterfall!AG9</f>
        <v>43.6079096998585</v>
      </c>
      <c r="AH10" s="20" t="n">
        <f aca="false">Waterfall!AH8-Waterfall!AH9</f>
        <v>43.9196109427684</v>
      </c>
      <c r="AI10" s="20" t="n">
        <f aca="false">Waterfall!AI8-Waterfall!AI9</f>
        <v>4.38007787614134</v>
      </c>
      <c r="AJ10" s="20" t="n">
        <f aca="false">Waterfall!AJ8-Waterfall!AJ9</f>
        <v>21.8649401908358</v>
      </c>
      <c r="AK10" s="20" t="n">
        <f aca="false">Waterfall!AK8-Waterfall!AK9</f>
        <v>3.77018461212898</v>
      </c>
      <c r="AL10" s="20" t="n">
        <f aca="false">Waterfall!AL8-Waterfall!AL9</f>
        <v>14.5361263223562</v>
      </c>
      <c r="AM10" s="20" t="n">
        <f aca="false">Waterfall!AM8-Waterfall!AM9</f>
        <v>14.5609618453642</v>
      </c>
      <c r="AN10" s="20" t="n">
        <f aca="false">Waterfall!AN8-Waterfall!AN9</f>
        <v>14.5807659312867</v>
      </c>
      <c r="AO10" s="20" t="n">
        <f aca="false">Waterfall!AO8-Waterfall!AO9</f>
        <v>14.5950604187952</v>
      </c>
      <c r="AP10" s="20" t="n">
        <f aca="false">Waterfall!AP8-Waterfall!AP9</f>
        <v>14.603360118158</v>
      </c>
      <c r="AQ10" s="20" t="n">
        <f aca="false">Waterfall!AQ8-Waterfall!AQ9</f>
        <v>5.33567697167487</v>
      </c>
      <c r="AR10" s="20" t="n">
        <f aca="false">Waterfall!AR8-Waterfall!AR9</f>
        <v>-10.0942482153661</v>
      </c>
      <c r="AS10" s="20" t="n">
        <f aca="false">Waterfall!AS8-Waterfall!AS9</f>
        <v>0.468479792319108</v>
      </c>
      <c r="AT10" s="20" t="n">
        <f aca="false">Waterfall!AT8-Waterfall!AT9</f>
        <v>0.357517487264004</v>
      </c>
      <c r="AU10" s="20" t="n">
        <f aca="false">Waterfall!AU8-Waterfall!AU9</f>
        <v>-11.1286703243323</v>
      </c>
    </row>
    <row r="11" customFormat="false" ht="15" hidden="false" customHeight="false" outlineLevel="0" collapsed="false">
      <c r="D11" s="0" t="s">
        <v>1088</v>
      </c>
      <c r="E11" s="0" t="s">
        <v>47</v>
      </c>
      <c r="G11" s="20" t="n">
        <f aca="false">SUM(J11:AU11)</f>
        <v>80.4345649824461</v>
      </c>
      <c r="J11" s="20" t="n">
        <f aca="false">Debt!J9*Funding!$F$179</f>
        <v>0</v>
      </c>
      <c r="K11" s="20" t="n">
        <f aca="false">Debt!K9*Funding!$F$179</f>
        <v>0</v>
      </c>
      <c r="L11" s="20" t="n">
        <f aca="false">Debt!L9*Funding!$F$179</f>
        <v>0</v>
      </c>
      <c r="M11" s="20" t="n">
        <f aca="false">Debt!M9*Funding!$F$179</f>
        <v>80.4345649824461</v>
      </c>
      <c r="N11" s="20" t="n">
        <f aca="false">Debt!N9*Funding!$F$179</f>
        <v>0</v>
      </c>
      <c r="O11" s="20" t="n">
        <f aca="false">Debt!O9*Funding!$F$179</f>
        <v>0</v>
      </c>
      <c r="P11" s="20" t="n">
        <f aca="false">Debt!P9*Funding!$F$179</f>
        <v>0</v>
      </c>
      <c r="Q11" s="20" t="n">
        <f aca="false">Debt!Q9*Funding!$F$179</f>
        <v>0</v>
      </c>
      <c r="R11" s="20" t="n">
        <f aca="false">Debt!R9*Funding!$F$179</f>
        <v>0</v>
      </c>
      <c r="S11" s="20" t="n">
        <f aca="false">Debt!S9*Funding!$F$179</f>
        <v>0</v>
      </c>
      <c r="T11" s="20" t="n">
        <f aca="false">Debt!T9*Funding!$F$179</f>
        <v>0</v>
      </c>
      <c r="U11" s="20" t="n">
        <f aca="false">Debt!U9*Funding!$F$179</f>
        <v>0</v>
      </c>
      <c r="V11" s="20" t="n">
        <f aca="false">Debt!V9*Funding!$F$179</f>
        <v>0</v>
      </c>
      <c r="W11" s="20" t="n">
        <f aca="false">Debt!W9*Funding!$F$179</f>
        <v>0</v>
      </c>
      <c r="X11" s="20" t="n">
        <f aca="false">Debt!X9*Funding!$F$179</f>
        <v>0</v>
      </c>
      <c r="Y11" s="20" t="n">
        <f aca="false">Debt!Y9*Funding!$F$179</f>
        <v>0</v>
      </c>
      <c r="Z11" s="20" t="n">
        <f aca="false">Debt!Z9*Funding!$F$179</f>
        <v>0</v>
      </c>
      <c r="AA11" s="20" t="n">
        <f aca="false">Debt!AA9*Funding!$F$179</f>
        <v>0</v>
      </c>
      <c r="AB11" s="20" t="n">
        <f aca="false">Debt!AB9*Funding!$F$179</f>
        <v>0</v>
      </c>
      <c r="AC11" s="20" t="n">
        <f aca="false">Debt!AC9*Funding!$F$179</f>
        <v>0</v>
      </c>
      <c r="AD11" s="20" t="n">
        <f aca="false">Debt!AD9*Funding!$F$179</f>
        <v>0</v>
      </c>
      <c r="AE11" s="20" t="n">
        <f aca="false">Debt!AE9*Funding!$F$179</f>
        <v>0</v>
      </c>
      <c r="AF11" s="20" t="n">
        <f aca="false">Debt!AF9*Funding!$F$179</f>
        <v>0</v>
      </c>
      <c r="AG11" s="20" t="n">
        <f aca="false">Debt!AG9*Funding!$F$179</f>
        <v>0</v>
      </c>
      <c r="AH11" s="20" t="n">
        <f aca="false">Debt!AH9*Funding!$F$179</f>
        <v>0</v>
      </c>
      <c r="AI11" s="20" t="n">
        <f aca="false">Debt!AI9*Funding!$F$179</f>
        <v>0</v>
      </c>
      <c r="AJ11" s="20" t="n">
        <f aca="false">Debt!AJ9*Funding!$F$179</f>
        <v>0</v>
      </c>
      <c r="AK11" s="20" t="n">
        <f aca="false">Debt!AK9*Funding!$F$179</f>
        <v>0</v>
      </c>
      <c r="AL11" s="20" t="n">
        <f aca="false">Debt!AL9*Funding!$F$179</f>
        <v>0</v>
      </c>
      <c r="AM11" s="20" t="n">
        <f aca="false">Debt!AM9*Funding!$F$179</f>
        <v>0</v>
      </c>
      <c r="AN11" s="20" t="n">
        <f aca="false">Debt!AN9*Funding!$F$179</f>
        <v>0</v>
      </c>
      <c r="AO11" s="20" t="n">
        <f aca="false">Debt!AO9*Funding!$F$179</f>
        <v>0</v>
      </c>
      <c r="AP11" s="20" t="n">
        <f aca="false">Debt!AP9*Funding!$F$179</f>
        <v>0</v>
      </c>
      <c r="AQ11" s="20" t="n">
        <f aca="false">Debt!AQ9*Funding!$F$179</f>
        <v>0</v>
      </c>
      <c r="AR11" s="20" t="n">
        <f aca="false">Debt!AR9*Funding!$F$179</f>
        <v>0</v>
      </c>
      <c r="AS11" s="20" t="n">
        <f aca="false">Debt!AS9*Funding!$F$179</f>
        <v>0</v>
      </c>
      <c r="AT11" s="20" t="n">
        <f aca="false">Debt!AT9*Funding!$F$179</f>
        <v>0</v>
      </c>
      <c r="AU11" s="20" t="n">
        <f aca="false">Debt!AU9*Funding!$F$179</f>
        <v>0</v>
      </c>
    </row>
    <row r="13" customFormat="false" ht="15" hidden="false" customHeight="false" outlineLevel="0" collapsed="false">
      <c r="A13" s="4" t="s">
        <v>1089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</row>
    <row r="14" customFormat="false" ht="15" hidden="false" customHeight="false" outlineLevel="0" collapsed="false">
      <c r="D14" s="0" t="s">
        <v>895</v>
      </c>
      <c r="E14" s="0" t="s">
        <v>47</v>
      </c>
      <c r="J14" s="21" t="n">
        <f aca="false">Tax!J32</f>
        <v>0</v>
      </c>
      <c r="K14" s="21" t="n">
        <f aca="false">Tax!K32</f>
        <v>0</v>
      </c>
      <c r="L14" s="21" t="n">
        <f aca="false">Tax!L32</f>
        <v>0</v>
      </c>
      <c r="M14" s="21" t="n">
        <f aca="false">Tax!M32</f>
        <v>0.16715794950052</v>
      </c>
      <c r="N14" s="21" t="n">
        <f aca="false">Tax!N32</f>
        <v>0.243366181529061</v>
      </c>
      <c r="O14" s="21" t="n">
        <f aca="false">Tax!O32</f>
        <v>0.556999718772324</v>
      </c>
      <c r="P14" s="21" t="n">
        <f aca="false">Tax!P32</f>
        <v>0.718903021355577</v>
      </c>
      <c r="Q14" s="21" t="n">
        <f aca="false">Tax!Q32</f>
        <v>1.10351560976841</v>
      </c>
      <c r="R14" s="21" t="n">
        <f aca="false">Tax!R32</f>
        <v>1.74658248162686</v>
      </c>
      <c r="S14" s="21" t="n">
        <f aca="false">Tax!S32</f>
        <v>1.69032689064305</v>
      </c>
      <c r="T14" s="21" t="n">
        <f aca="false">Tax!T32</f>
        <v>1.68536954782511</v>
      </c>
      <c r="U14" s="21" t="n">
        <f aca="false">Tax!U32</f>
        <v>1.76674620502114</v>
      </c>
      <c r="V14" s="21" t="n">
        <f aca="false">Tax!V32</f>
        <v>1.90478342459069</v>
      </c>
      <c r="W14" s="21" t="n">
        <f aca="false">Tax!W32</f>
        <v>1.94963818669106</v>
      </c>
      <c r="X14" s="21" t="n">
        <f aca="false">Tax!X32</f>
        <v>2.02422777771003</v>
      </c>
      <c r="Y14" s="21" t="n">
        <f aca="false">Tax!Y32</f>
        <v>2.10378304924207</v>
      </c>
      <c r="Z14" s="21" t="n">
        <f aca="false">Tax!Z32</f>
        <v>2.19253653467903</v>
      </c>
      <c r="AA14" s="21" t="n">
        <f aca="false">Tax!AA32</f>
        <v>2.25602036212079</v>
      </c>
      <c r="AB14" s="21" t="n">
        <f aca="false">Tax!AB32</f>
        <v>2.31717201195146</v>
      </c>
      <c r="AC14" s="21" t="n">
        <f aca="false">Tax!AC32</f>
        <v>2.37245827115339</v>
      </c>
      <c r="AD14" s="21" t="n">
        <f aca="false">Tax!AD32</f>
        <v>6.79860500732865</v>
      </c>
      <c r="AE14" s="21" t="n">
        <f aca="false">Tax!AE32</f>
        <v>11.4172045536536</v>
      </c>
      <c r="AF14" s="21" t="n">
        <f aca="false">Tax!AF32</f>
        <v>5.42729813366987</v>
      </c>
      <c r="AG14" s="21" t="n">
        <f aca="false">Tax!AG32</f>
        <v>9.15766103697029</v>
      </c>
      <c r="AH14" s="21" t="n">
        <f aca="false">Tax!AH32</f>
        <v>9.22311829798136</v>
      </c>
      <c r="AI14" s="21" t="n">
        <f aca="false">Tax!AI32</f>
        <v>0.919816353989682</v>
      </c>
      <c r="AJ14" s="21" t="n">
        <f aca="false">Tax!AJ32</f>
        <v>4.59163744007551</v>
      </c>
      <c r="AK14" s="21" t="n">
        <f aca="false">Tax!AK32</f>
        <v>0.791738768547085</v>
      </c>
      <c r="AL14" s="21" t="n">
        <f aca="false">Tax!AL32</f>
        <v>3.0525865276948</v>
      </c>
      <c r="AM14" s="21" t="n">
        <f aca="false">Tax!AM32</f>
        <v>3.05780198752649</v>
      </c>
      <c r="AN14" s="21" t="n">
        <f aca="false">Tax!AN32</f>
        <v>3.06196084557021</v>
      </c>
      <c r="AO14" s="21" t="n">
        <f aca="false">Tax!AO32</f>
        <v>3.064962687947</v>
      </c>
      <c r="AP14" s="21" t="n">
        <f aca="false">Tax!AP32</f>
        <v>3.06670562481317</v>
      </c>
      <c r="AQ14" s="21" t="n">
        <f aca="false">Tax!AQ32</f>
        <v>1.12049216405172</v>
      </c>
      <c r="AR14" s="21" t="n">
        <f aca="false">Tax!AR32</f>
        <v>0</v>
      </c>
      <c r="AS14" s="21" t="n">
        <f aca="false">Tax!AS32</f>
        <v>0.0196761512774026</v>
      </c>
      <c r="AT14" s="21" t="n">
        <f aca="false">Tax!AT32</f>
        <v>0.0150157344650882</v>
      </c>
      <c r="AU14" s="21" t="n">
        <f aca="false">Tax!AU32</f>
        <v>0</v>
      </c>
    </row>
    <row r="15" customFormat="false" ht="15" hidden="false" customHeight="false" outlineLevel="0" collapsed="false">
      <c r="D15" s="0" t="s">
        <v>1090</v>
      </c>
      <c r="E15" s="0" t="s">
        <v>47</v>
      </c>
      <c r="J15" s="21" t="n">
        <f aca="false">Debt!J67</f>
        <v>3.47153551811168</v>
      </c>
      <c r="K15" s="21" t="n">
        <f aca="false">Debt!K67</f>
        <v>5.62877277868492</v>
      </c>
      <c r="L15" s="21" t="n">
        <f aca="false">Debt!L67</f>
        <v>13.6816850851305</v>
      </c>
      <c r="M15" s="21" t="n">
        <f aca="false">Debt!M67</f>
        <v>13.2995969271655</v>
      </c>
      <c r="N15" s="21" t="n">
        <f aca="false">Debt!N67</f>
        <v>11.2256050566984</v>
      </c>
      <c r="O15" s="21" t="n">
        <f aca="false">Debt!O67</f>
        <v>10.5569902127865</v>
      </c>
      <c r="P15" s="21" t="n">
        <f aca="false">Debt!P67</f>
        <v>10.2253808712911</v>
      </c>
      <c r="Q15" s="21" t="n">
        <f aca="false">Debt!Q67</f>
        <v>9.76598096752724</v>
      </c>
      <c r="R15" s="21" t="n">
        <f aca="false">Debt!R67</f>
        <v>9.16824926434091</v>
      </c>
      <c r="S15" s="21" t="n">
        <f aca="false">Debt!S67</f>
        <v>8.35676529505097</v>
      </c>
      <c r="T15" s="21" t="n">
        <f aca="false">Debt!T67</f>
        <v>7.53806492435411</v>
      </c>
      <c r="U15" s="21" t="n">
        <f aca="false">Debt!U67</f>
        <v>6.68108117207098</v>
      </c>
      <c r="V15" s="21" t="n">
        <f aca="false">Debt!V67</f>
        <v>5.74821339114921</v>
      </c>
      <c r="W15" s="21" t="n">
        <f aca="false">Debt!W67</f>
        <v>4.73086910665398</v>
      </c>
      <c r="X15" s="21" t="n">
        <f aca="false">Debt!X67</f>
        <v>3.67009673009067</v>
      </c>
      <c r="Y15" s="21" t="n">
        <f aca="false">Debt!Y67</f>
        <v>2.57980474051263</v>
      </c>
      <c r="Z15" s="21" t="n">
        <f aca="false">Debt!Z67</f>
        <v>1.26500281433001</v>
      </c>
      <c r="AA15" s="21" t="n">
        <f aca="false">Debt!AA67</f>
        <v>0</v>
      </c>
      <c r="AB15" s="21" t="n">
        <f aca="false">Debt!AB67</f>
        <v>0</v>
      </c>
      <c r="AC15" s="21" t="n">
        <f aca="false">Debt!AC67</f>
        <v>0</v>
      </c>
      <c r="AD15" s="21" t="n">
        <f aca="false">Debt!AD67</f>
        <v>0</v>
      </c>
      <c r="AE15" s="21" t="n">
        <f aca="false">Debt!AE67</f>
        <v>0</v>
      </c>
      <c r="AF15" s="21" t="n">
        <f aca="false">Debt!AF67</f>
        <v>0</v>
      </c>
      <c r="AG15" s="21" t="n">
        <f aca="false">Debt!AG67</f>
        <v>0</v>
      </c>
      <c r="AH15" s="21" t="n">
        <f aca="false">Debt!AH67</f>
        <v>0</v>
      </c>
      <c r="AI15" s="21" t="n">
        <f aca="false">Debt!AI67</f>
        <v>0</v>
      </c>
      <c r="AJ15" s="21" t="n">
        <f aca="false">Debt!AJ67</f>
        <v>0</v>
      </c>
      <c r="AK15" s="21" t="n">
        <f aca="false">Debt!AK67</f>
        <v>0</v>
      </c>
      <c r="AL15" s="21" t="n">
        <f aca="false">Debt!AL67</f>
        <v>0</v>
      </c>
      <c r="AM15" s="21" t="n">
        <f aca="false">Debt!AM67</f>
        <v>0</v>
      </c>
      <c r="AN15" s="21" t="n">
        <f aca="false">Debt!AN67</f>
        <v>0</v>
      </c>
      <c r="AO15" s="21" t="n">
        <f aca="false">Debt!AO67</f>
        <v>0</v>
      </c>
      <c r="AP15" s="21" t="n">
        <f aca="false">Debt!AP67</f>
        <v>0</v>
      </c>
      <c r="AQ15" s="21" t="n">
        <f aca="false">Debt!AQ67</f>
        <v>0</v>
      </c>
      <c r="AR15" s="21" t="n">
        <f aca="false">Debt!AR67</f>
        <v>0</v>
      </c>
      <c r="AS15" s="21" t="n">
        <f aca="false">Debt!AS67</f>
        <v>0</v>
      </c>
      <c r="AT15" s="21" t="n">
        <f aca="false">Debt!AT67</f>
        <v>0</v>
      </c>
      <c r="AU15" s="21" t="n">
        <f aca="false">Debt!AU67</f>
        <v>0</v>
      </c>
    </row>
    <row r="16" customFormat="false" ht="15" hidden="false" customHeight="false" outlineLevel="0" collapsed="false">
      <c r="D16" s="0" t="s">
        <v>1091</v>
      </c>
      <c r="E16" s="0" t="s">
        <v>47</v>
      </c>
      <c r="G16" s="20" t="n">
        <f aca="false">SUM(J16:AU16)</f>
        <v>606.112429506682</v>
      </c>
      <c r="J16" s="20" t="n">
        <f aca="false">Waterfall!J10-Waterfall!J14-Waterfall!J15</f>
        <v>11.7209134100257</v>
      </c>
      <c r="K16" s="20" t="n">
        <f aca="false">Waterfall!K10-Waterfall!K14-Waterfall!K15</f>
        <v>7.63494878460066</v>
      </c>
      <c r="L16" s="20" t="n">
        <f aca="false">Waterfall!L10-Waterfall!L14-Waterfall!L15</f>
        <v>5.45150303477541</v>
      </c>
      <c r="M16" s="20" t="n">
        <f aca="false">Waterfall!M10-Waterfall!M14-Waterfall!M15</f>
        <v>15.1107232803216</v>
      </c>
      <c r="N16" s="20" t="n">
        <f aca="false">Waterfall!N10-Waterfall!N14-Waterfall!N15</f>
        <v>8.17583761099475</v>
      </c>
      <c r="O16" s="20" t="n">
        <f aca="false">Waterfall!O10-Waterfall!O14-Waterfall!O15</f>
        <v>8.61039430747349</v>
      </c>
      <c r="P16" s="20" t="n">
        <f aca="false">Waterfall!P10-Waterfall!P14-Waterfall!P15</f>
        <v>10.3743377477026</v>
      </c>
      <c r="Q16" s="20" t="n">
        <f aca="false">Waterfall!Q10-Waterfall!Q14-Waterfall!Q15</f>
        <v>14.3266748740601</v>
      </c>
      <c r="R16" s="20" t="n">
        <f aca="false">Waterfall!R10-Waterfall!R14-Waterfall!R15</f>
        <v>20.4338824770206</v>
      </c>
      <c r="S16" s="20" t="n">
        <f aca="false">Waterfall!S10-Waterfall!S14-Waterfall!S15</f>
        <v>20.640065374361</v>
      </c>
      <c r="T16" s="20" t="n">
        <f aca="false">Waterfall!T10-Waterfall!T14-Waterfall!T15</f>
        <v>21.7338762768257</v>
      </c>
      <c r="U16" s="20" t="n">
        <f aca="false">Waterfall!U10-Waterfall!U14-Waterfall!U15</f>
        <v>23.9019913807869</v>
      </c>
      <c r="V16" s="20" t="n">
        <f aca="false">Waterfall!V10-Waterfall!V14-Waterfall!V15</f>
        <v>26.3156057686001</v>
      </c>
      <c r="W16" s="20" t="n">
        <f aca="false">Waterfall!W10-Waterfall!W14-Waterfall!W15</f>
        <v>27.5564083991167</v>
      </c>
      <c r="X16" s="20" t="n">
        <f aca="false">Waterfall!X10-Waterfall!X14-Waterfall!X15</f>
        <v>28.3998259138231</v>
      </c>
      <c r="Y16" s="20" t="n">
        <f aca="false">Waterfall!Y10-Waterfall!Y14-Waterfall!Y15</f>
        <v>29.2875020072665</v>
      </c>
      <c r="Z16" s="20" t="n">
        <f aca="false">Waterfall!Z10-Waterfall!Z14-Waterfall!Z15</f>
        <v>30.4433094910589</v>
      </c>
      <c r="AA16" s="20" t="n">
        <f aca="false">Waterfall!AA10-Waterfall!AA14-Waterfall!AA15</f>
        <v>31.6428973244384</v>
      </c>
      <c r="AB16" s="20" t="n">
        <f aca="false">Waterfall!AB10-Waterfall!AB14-Waterfall!AB15</f>
        <v>31.5735735704683</v>
      </c>
      <c r="AC16" s="20" t="n">
        <f aca="false">Waterfall!AC10-Waterfall!AC14-Waterfall!AC15</f>
        <v>31.4941464466147</v>
      </c>
      <c r="AD16" s="20" t="n">
        <f aca="false">Waterfall!AD10-Waterfall!AD14-Waterfall!AD15</f>
        <v>27.0370203714899</v>
      </c>
      <c r="AE16" s="20" t="n">
        <f aca="false">Waterfall!AE10-Waterfall!AE14-Waterfall!AE15</f>
        <v>19.6154329131838</v>
      </c>
      <c r="AF16" s="20" t="n">
        <f aca="false">Waterfall!AF10-Waterfall!AF14-Waterfall!AF15</f>
        <v>20.4169786933295</v>
      </c>
      <c r="AG16" s="20" t="n">
        <f aca="false">Waterfall!AG10-Waterfall!AG14-Waterfall!AG15</f>
        <v>34.4502486628882</v>
      </c>
      <c r="AH16" s="20" t="n">
        <f aca="false">Waterfall!AH10-Waterfall!AH14-Waterfall!AH15</f>
        <v>34.696492644787</v>
      </c>
      <c r="AI16" s="20" t="n">
        <f aca="false">Waterfall!AI10-Waterfall!AI14-Waterfall!AI15</f>
        <v>3.46026152215166</v>
      </c>
      <c r="AJ16" s="20" t="n">
        <f aca="false">Waterfall!AJ10-Waterfall!AJ14-Waterfall!AJ15</f>
        <v>17.2733027507602</v>
      </c>
      <c r="AK16" s="20" t="n">
        <f aca="false">Waterfall!AK10-Waterfall!AK14-Waterfall!AK15</f>
        <v>2.97844584358189</v>
      </c>
      <c r="AL16" s="20" t="n">
        <f aca="false">Waterfall!AL10-Waterfall!AL14-Waterfall!AL15</f>
        <v>11.4835397946614</v>
      </c>
      <c r="AM16" s="20" t="n">
        <f aca="false">Waterfall!AM10-Waterfall!AM14-Waterfall!AM15</f>
        <v>11.5031598578377</v>
      </c>
      <c r="AN16" s="20" t="n">
        <f aca="false">Waterfall!AN10-Waterfall!AN14-Waterfall!AN15</f>
        <v>11.5188050857165</v>
      </c>
      <c r="AO16" s="20" t="n">
        <f aca="false">Waterfall!AO10-Waterfall!AO14-Waterfall!AO15</f>
        <v>11.5300977308482</v>
      </c>
      <c r="AP16" s="20" t="n">
        <f aca="false">Waterfall!AP10-Waterfall!AP14-Waterfall!AP15</f>
        <v>11.5366544933448</v>
      </c>
      <c r="AQ16" s="20" t="n">
        <f aca="false">Waterfall!AQ10-Waterfall!AQ14-Waterfall!AQ15</f>
        <v>4.21518480762315</v>
      </c>
      <c r="AR16" s="20" t="n">
        <f aca="false">Waterfall!AR10-Waterfall!AR14-Waterfall!AR15</f>
        <v>-10.0942482153661</v>
      </c>
      <c r="AS16" s="20" t="n">
        <f aca="false">Waterfall!AS10-Waterfall!AS14-Waterfall!AS15</f>
        <v>0.448803641041706</v>
      </c>
      <c r="AT16" s="20" t="n">
        <f aca="false">Waterfall!AT10-Waterfall!AT14-Waterfall!AT15</f>
        <v>0.342501752798916</v>
      </c>
      <c r="AU16" s="20" t="n">
        <f aca="false">Waterfall!AU10-Waterfall!AU14-Waterfall!AU15</f>
        <v>-11.1286703243323</v>
      </c>
    </row>
    <row r="17" customFormat="false" ht="15" hidden="false" customHeight="false" outlineLevel="0" collapsed="false">
      <c r="D17" s="0" t="s">
        <v>1092</v>
      </c>
      <c r="E17" s="0" t="s">
        <v>47</v>
      </c>
      <c r="J17" s="20" t="n">
        <f aca="false">Debt!J50+Debt!J57+Debt!J64</f>
        <v>56.8285135890779</v>
      </c>
      <c r="K17" s="20" t="n">
        <f aca="false">Debt!K50+Debt!K57+Debt!K64</f>
        <v>50.3953153482794</v>
      </c>
      <c r="L17" s="20" t="n">
        <f aca="false">Debt!L50+Debt!L57+Debt!L64</f>
        <v>138.502975454305</v>
      </c>
      <c r="M17" s="20" t="n">
        <f aca="false">Debt!M50+Debt!M57+Debt!M64</f>
        <v>134.271345062971</v>
      </c>
      <c r="N17" s="20" t="n">
        <f aca="false">Debt!N50+Debt!N57+Debt!N64</f>
        <v>136.193002526121</v>
      </c>
      <c r="O17" s="20" t="n">
        <f aca="false">Debt!O50+Debt!O57+Debt!O64</f>
        <v>130.72939682642</v>
      </c>
      <c r="P17" s="20" t="n">
        <f aca="false">Debt!P50+Debt!P57+Debt!P64</f>
        <v>125.04851277848</v>
      </c>
      <c r="Q17" s="20" t="n">
        <f aca="false">Debt!Q50+Debt!Q57+Debt!Q64</f>
        <v>118.485657010425</v>
      </c>
      <c r="R17" s="20" t="n">
        <f aca="false">Debt!R50+Debt!R57+Debt!R64</f>
        <v>109.946632679192</v>
      </c>
      <c r="S17" s="20" t="n">
        <f aca="false">Debt!S50+Debt!S57+Debt!S64</f>
        <v>98.3540045464786</v>
      </c>
      <c r="T17" s="20" t="n">
        <f aca="false">Debt!T50+Debt!T57+Debt!T64</f>
        <v>86.6582849650949</v>
      </c>
      <c r="U17" s="20" t="n">
        <f aca="false">Debt!U50+Debt!U57+Debt!U64</f>
        <v>74.4156599324788</v>
      </c>
      <c r="V17" s="20" t="n">
        <f aca="false">Debt!V50+Debt!V57+Debt!V64</f>
        <v>61.0889773478821</v>
      </c>
      <c r="W17" s="20" t="n">
        <f aca="false">Debt!W50+Debt!W57+Debt!W64</f>
        <v>46.5554875693788</v>
      </c>
      <c r="X17" s="20" t="n">
        <f aca="false">Debt!X50+Debt!X57+Debt!X64</f>
        <v>31.4015964756172</v>
      </c>
      <c r="Y17" s="20" t="n">
        <f aca="false">Debt!Y50+Debt!Y57+Debt!Y64</f>
        <v>15.8259966245024</v>
      </c>
      <c r="Z17" s="20" t="n">
        <f aca="false">Debt!Z50+Debt!Z57+Debt!Z64</f>
        <v>0</v>
      </c>
      <c r="AA17" s="20" t="n">
        <f aca="false">Debt!AA50+Debt!AA57+Debt!AA64</f>
        <v>0</v>
      </c>
      <c r="AB17" s="20" t="n">
        <f aca="false">Debt!AB50+Debt!AB57+Debt!AB64</f>
        <v>0</v>
      </c>
      <c r="AC17" s="20" t="n">
        <f aca="false">Debt!AC50+Debt!AC57+Debt!AC64</f>
        <v>0</v>
      </c>
      <c r="AD17" s="20" t="n">
        <f aca="false">Debt!AD50+Debt!AD57+Debt!AD64</f>
        <v>0</v>
      </c>
      <c r="AE17" s="20" t="n">
        <f aca="false">Debt!AE50+Debt!AE57+Debt!AE64</f>
        <v>0</v>
      </c>
      <c r="AF17" s="20" t="n">
        <f aca="false">Debt!AF50+Debt!AF57+Debt!AF64</f>
        <v>0</v>
      </c>
      <c r="AG17" s="20" t="n">
        <f aca="false">Debt!AG50+Debt!AG57+Debt!AG64</f>
        <v>0</v>
      </c>
      <c r="AH17" s="20" t="n">
        <f aca="false">Debt!AH50+Debt!AH57+Debt!AH64</f>
        <v>0</v>
      </c>
      <c r="AI17" s="20" t="n">
        <f aca="false">Debt!AI50+Debt!AI57+Debt!AI64</f>
        <v>0</v>
      </c>
      <c r="AJ17" s="20" t="n">
        <f aca="false">Debt!AJ50+Debt!AJ57+Debt!AJ64</f>
        <v>0</v>
      </c>
      <c r="AK17" s="20" t="n">
        <f aca="false">Debt!AK50+Debt!AK57+Debt!AK64</f>
        <v>0</v>
      </c>
      <c r="AL17" s="20" t="n">
        <f aca="false">Debt!AL50+Debt!AL57+Debt!AL64</f>
        <v>0</v>
      </c>
      <c r="AM17" s="20" t="n">
        <f aca="false">Debt!AM50+Debt!AM57+Debt!AM64</f>
        <v>0</v>
      </c>
      <c r="AN17" s="20" t="n">
        <f aca="false">Debt!AN50+Debt!AN57+Debt!AN64</f>
        <v>0</v>
      </c>
      <c r="AO17" s="20" t="n">
        <f aca="false">Debt!AO50+Debt!AO57+Debt!AO64</f>
        <v>0</v>
      </c>
      <c r="AP17" s="20" t="n">
        <f aca="false">Debt!AP50+Debt!AP57+Debt!AP64</f>
        <v>0</v>
      </c>
      <c r="AQ17" s="20" t="n">
        <f aca="false">Debt!AQ50+Debt!AQ57+Debt!AQ64</f>
        <v>0</v>
      </c>
      <c r="AR17" s="20" t="n">
        <f aca="false">Debt!AR50+Debt!AR57+Debt!AR64</f>
        <v>0</v>
      </c>
      <c r="AS17" s="20" t="n">
        <f aca="false">Debt!AS50+Debt!AS57+Debt!AS64</f>
        <v>0</v>
      </c>
      <c r="AT17" s="20" t="n">
        <f aca="false">Debt!AT50+Debt!AT57+Debt!AT64</f>
        <v>0</v>
      </c>
      <c r="AU17" s="20" t="n">
        <f aca="false">Debt!AU50+Debt!AU57+Debt!AU64</f>
        <v>0</v>
      </c>
    </row>
    <row r="18" customFormat="false" ht="15" hidden="false" customHeight="false" outlineLevel="0" collapsed="false">
      <c r="D18" s="0" t="s">
        <v>1093</v>
      </c>
      <c r="E18" s="0" t="s">
        <v>47</v>
      </c>
      <c r="G18" s="20" t="n">
        <f aca="false">SUM(J18:AU18)</f>
        <v>139.837245323877</v>
      </c>
      <c r="J18" s="20" t="n">
        <f aca="false">MIN(Inputs!$F$295/100*MAX(Waterfall!J16,0),Waterfall!J17)</f>
        <v>5.86045670501287</v>
      </c>
      <c r="K18" s="20" t="n">
        <f aca="false">MIN(Inputs!$F$295/100*MAX(Waterfall!K16,0),Waterfall!K17)</f>
        <v>3.81747439230033</v>
      </c>
      <c r="L18" s="20" t="n">
        <f aca="false">MIN(Inputs!$F$295/100*MAX(Waterfall!L16,0),Waterfall!L17)</f>
        <v>2.72575151738771</v>
      </c>
      <c r="M18" s="20" t="n">
        <f aca="false">MIN(Inputs!$F$295/100*MAX(Waterfall!M16,0),Waterfall!M17)</f>
        <v>7.55536164016078</v>
      </c>
      <c r="N18" s="20" t="n">
        <f aca="false">MIN(Inputs!$F$295/100*MAX(Waterfall!N16,0),Waterfall!N17)</f>
        <v>4.08791880549738</v>
      </c>
      <c r="O18" s="20" t="n">
        <f aca="false">MIN(Inputs!$F$295/100*MAX(Waterfall!O16,0),Waterfall!O17)</f>
        <v>4.30519715373675</v>
      </c>
      <c r="P18" s="20" t="n">
        <f aca="false">MIN(Inputs!$F$295/100*MAX(Waterfall!P16,0),Waterfall!P17)</f>
        <v>5.1871688738513</v>
      </c>
      <c r="Q18" s="20" t="n">
        <f aca="false">MIN(Inputs!$F$295/100*MAX(Waterfall!Q16,0),Waterfall!Q17)</f>
        <v>7.16333743703004</v>
      </c>
      <c r="R18" s="20" t="n">
        <f aca="false">MIN(Inputs!$F$295/100*MAX(Waterfall!R16,0),Waterfall!R17)</f>
        <v>10.2169412385103</v>
      </c>
      <c r="S18" s="20" t="n">
        <f aca="false">MIN(Inputs!$F$295/100*MAX(Waterfall!S16,0),Waterfall!S17)</f>
        <v>10.3200326871805</v>
      </c>
      <c r="T18" s="20" t="n">
        <f aca="false">MIN(Inputs!$F$295/100*MAX(Waterfall!T16,0),Waterfall!T17)</f>
        <v>10.8669381384129</v>
      </c>
      <c r="U18" s="20" t="n">
        <f aca="false">MIN(Inputs!$F$295/100*MAX(Waterfall!U16,0),Waterfall!U17)</f>
        <v>11.9509956903935</v>
      </c>
      <c r="V18" s="20" t="n">
        <f aca="false">MIN(Inputs!$F$295/100*MAX(Waterfall!V16,0),Waterfall!V17)</f>
        <v>13.1578028843</v>
      </c>
      <c r="W18" s="20" t="n">
        <f aca="false">MIN(Inputs!$F$295/100*MAX(Waterfall!W16,0),Waterfall!W17)</f>
        <v>13.7782041995584</v>
      </c>
      <c r="X18" s="20" t="n">
        <f aca="false">MIN(Inputs!$F$295/100*MAX(Waterfall!X16,0),Waterfall!X17)</f>
        <v>14.1999129569115</v>
      </c>
      <c r="Y18" s="20" t="n">
        <f aca="false">MIN(Inputs!$F$295/100*MAX(Waterfall!Y16,0),Waterfall!Y17)</f>
        <v>14.6437510036332</v>
      </c>
      <c r="Z18" s="20" t="n">
        <f aca="false">MIN(Inputs!$F$295/100*MAX(Waterfall!Z16,0),Waterfall!Z17)</f>
        <v>0</v>
      </c>
      <c r="AA18" s="20" t="n">
        <f aca="false">MIN(Inputs!$F$295/100*MAX(Waterfall!AA16,0),Waterfall!AA17)</f>
        <v>0</v>
      </c>
      <c r="AB18" s="20" t="n">
        <f aca="false">MIN(Inputs!$F$295/100*MAX(Waterfall!AB16,0),Waterfall!AB17)</f>
        <v>0</v>
      </c>
      <c r="AC18" s="20" t="n">
        <f aca="false">MIN(Inputs!$F$295/100*MAX(Waterfall!AC16,0),Waterfall!AC17)</f>
        <v>0</v>
      </c>
      <c r="AD18" s="20" t="n">
        <f aca="false">MIN(Inputs!$F$295/100*MAX(Waterfall!AD16,0),Waterfall!AD17)</f>
        <v>0</v>
      </c>
      <c r="AE18" s="20" t="n">
        <f aca="false">MIN(Inputs!$F$295/100*MAX(Waterfall!AE16,0),Waterfall!AE17)</f>
        <v>0</v>
      </c>
      <c r="AF18" s="20" t="n">
        <f aca="false">MIN(Inputs!$F$295/100*MAX(Waterfall!AF16,0),Waterfall!AF17)</f>
        <v>0</v>
      </c>
      <c r="AG18" s="20" t="n">
        <f aca="false">MIN(Inputs!$F$295/100*MAX(Waterfall!AG16,0),Waterfall!AG17)</f>
        <v>0</v>
      </c>
      <c r="AH18" s="20" t="n">
        <f aca="false">MIN(Inputs!$F$295/100*MAX(Waterfall!AH16,0),Waterfall!AH17)</f>
        <v>0</v>
      </c>
      <c r="AI18" s="20" t="n">
        <f aca="false">MIN(Inputs!$F$295/100*MAX(Waterfall!AI16,0),Waterfall!AI17)</f>
        <v>0</v>
      </c>
      <c r="AJ18" s="20" t="n">
        <f aca="false">MIN(Inputs!$F$295/100*MAX(Waterfall!AJ16,0),Waterfall!AJ17)</f>
        <v>0</v>
      </c>
      <c r="AK18" s="20" t="n">
        <f aca="false">MIN(Inputs!$F$295/100*MAX(Waterfall!AK16,0),Waterfall!AK17)</f>
        <v>0</v>
      </c>
      <c r="AL18" s="20" t="n">
        <f aca="false">MIN(Inputs!$F$295/100*MAX(Waterfall!AL16,0),Waterfall!AL17)</f>
        <v>0</v>
      </c>
      <c r="AM18" s="20" t="n">
        <f aca="false">MIN(Inputs!$F$295/100*MAX(Waterfall!AM16,0),Waterfall!AM17)</f>
        <v>0</v>
      </c>
      <c r="AN18" s="20" t="n">
        <f aca="false">MIN(Inputs!$F$295/100*MAX(Waterfall!AN16,0),Waterfall!AN17)</f>
        <v>0</v>
      </c>
      <c r="AO18" s="20" t="n">
        <f aca="false">MIN(Inputs!$F$295/100*MAX(Waterfall!AO16,0),Waterfall!AO17)</f>
        <v>0</v>
      </c>
      <c r="AP18" s="20" t="n">
        <f aca="false">MIN(Inputs!$F$295/100*MAX(Waterfall!AP16,0),Waterfall!AP17)</f>
        <v>0</v>
      </c>
      <c r="AQ18" s="20" t="n">
        <f aca="false">MIN(Inputs!$F$295/100*MAX(Waterfall!AQ16,0),Waterfall!AQ17)</f>
        <v>0</v>
      </c>
      <c r="AR18" s="20" t="n">
        <f aca="false">MIN(Inputs!$F$295/100*MAX(Waterfall!AR16,0),Waterfall!AR17)</f>
        <v>0</v>
      </c>
      <c r="AS18" s="20" t="n">
        <f aca="false">MIN(Inputs!$F$295/100*MAX(Waterfall!AS16,0),Waterfall!AS17)</f>
        <v>0</v>
      </c>
      <c r="AT18" s="20" t="n">
        <f aca="false">MIN(Inputs!$F$295/100*MAX(Waterfall!AT16,0),Waterfall!AT17)</f>
        <v>0</v>
      </c>
      <c r="AU18" s="20" t="n">
        <f aca="false">MIN(Inputs!$F$295/100*MAX(Waterfall!AU16,0),Waterfall!AU17)</f>
        <v>0</v>
      </c>
    </row>
    <row r="19" customFormat="false" ht="15" hidden="false" customHeight="false" outlineLevel="0" collapsed="false">
      <c r="D19" s="0" t="s">
        <v>1094</v>
      </c>
      <c r="E19" s="0" t="s">
        <v>47</v>
      </c>
      <c r="G19" s="20" t="n">
        <f aca="false">SUM(J19:AU19)</f>
        <v>487.498102722502</v>
      </c>
      <c r="J19" s="20" t="n">
        <f aca="false">MAX(0,Waterfall!J16-Waterfall!J18)</f>
        <v>5.86045670501287</v>
      </c>
      <c r="K19" s="20" t="n">
        <f aca="false">MAX(0,Waterfall!K16-Waterfall!K18)</f>
        <v>3.81747439230033</v>
      </c>
      <c r="L19" s="20" t="n">
        <f aca="false">MAX(0,Waterfall!L16-Waterfall!L18)</f>
        <v>2.72575151738771</v>
      </c>
      <c r="M19" s="20" t="n">
        <f aca="false">MAX(0,Waterfall!M16-Waterfall!M18)</f>
        <v>7.55536164016078</v>
      </c>
      <c r="N19" s="20" t="n">
        <f aca="false">MAX(0,Waterfall!N16-Waterfall!N18)</f>
        <v>4.08791880549738</v>
      </c>
      <c r="O19" s="20" t="n">
        <f aca="false">MAX(0,Waterfall!O16-Waterfall!O18)</f>
        <v>4.30519715373675</v>
      </c>
      <c r="P19" s="20" t="n">
        <f aca="false">MAX(0,Waterfall!P16-Waterfall!P18)</f>
        <v>5.1871688738513</v>
      </c>
      <c r="Q19" s="20" t="n">
        <f aca="false">MAX(0,Waterfall!Q16-Waterfall!Q18)</f>
        <v>7.16333743703004</v>
      </c>
      <c r="R19" s="20" t="n">
        <f aca="false">MAX(0,Waterfall!R16-Waterfall!R18)</f>
        <v>10.2169412385103</v>
      </c>
      <c r="S19" s="20" t="n">
        <f aca="false">MAX(0,Waterfall!S16-Waterfall!S18)</f>
        <v>10.3200326871805</v>
      </c>
      <c r="T19" s="20" t="n">
        <f aca="false">MAX(0,Waterfall!T16-Waterfall!T18)</f>
        <v>10.8669381384129</v>
      </c>
      <c r="U19" s="20" t="n">
        <f aca="false">MAX(0,Waterfall!U16-Waterfall!U18)</f>
        <v>11.9509956903935</v>
      </c>
      <c r="V19" s="20" t="n">
        <f aca="false">MAX(0,Waterfall!V16-Waterfall!V18)</f>
        <v>13.1578028843</v>
      </c>
      <c r="W19" s="20" t="n">
        <f aca="false">MAX(0,Waterfall!W16-Waterfall!W18)</f>
        <v>13.7782041995584</v>
      </c>
      <c r="X19" s="20" t="n">
        <f aca="false">MAX(0,Waterfall!X16-Waterfall!X18)</f>
        <v>14.1999129569115</v>
      </c>
      <c r="Y19" s="20" t="n">
        <f aca="false">MAX(0,Waterfall!Y16-Waterfall!Y18)</f>
        <v>14.6437510036332</v>
      </c>
      <c r="Z19" s="20" t="n">
        <f aca="false">MAX(0,Waterfall!Z16-Waterfall!Z18)</f>
        <v>30.4433094910589</v>
      </c>
      <c r="AA19" s="20" t="n">
        <f aca="false">MAX(0,Waterfall!AA16-Waterfall!AA18)</f>
        <v>31.6428973244384</v>
      </c>
      <c r="AB19" s="20" t="n">
        <f aca="false">MAX(0,Waterfall!AB16-Waterfall!AB18)</f>
        <v>31.5735735704683</v>
      </c>
      <c r="AC19" s="20" t="n">
        <f aca="false">MAX(0,Waterfall!AC16-Waterfall!AC18)</f>
        <v>31.4941464466147</v>
      </c>
      <c r="AD19" s="20" t="n">
        <f aca="false">MAX(0,Waterfall!AD16-Waterfall!AD18)</f>
        <v>27.0370203714899</v>
      </c>
      <c r="AE19" s="20" t="n">
        <f aca="false">MAX(0,Waterfall!AE16-Waterfall!AE18)</f>
        <v>19.6154329131838</v>
      </c>
      <c r="AF19" s="20" t="n">
        <f aca="false">MAX(0,Waterfall!AF16-Waterfall!AF18)</f>
        <v>20.4169786933295</v>
      </c>
      <c r="AG19" s="20" t="n">
        <f aca="false">MAX(0,Waterfall!AG16-Waterfall!AG18)</f>
        <v>34.4502486628882</v>
      </c>
      <c r="AH19" s="20" t="n">
        <f aca="false">MAX(0,Waterfall!AH16-Waterfall!AH18)</f>
        <v>34.696492644787</v>
      </c>
      <c r="AI19" s="20" t="n">
        <f aca="false">MAX(0,Waterfall!AI16-Waterfall!AI18)</f>
        <v>3.46026152215166</v>
      </c>
      <c r="AJ19" s="20" t="n">
        <f aca="false">MAX(0,Waterfall!AJ16-Waterfall!AJ18)</f>
        <v>17.2733027507602</v>
      </c>
      <c r="AK19" s="20" t="n">
        <f aca="false">MAX(0,Waterfall!AK16-Waterfall!AK18)</f>
        <v>2.97844584358189</v>
      </c>
      <c r="AL19" s="20" t="n">
        <f aca="false">MAX(0,Waterfall!AL16-Waterfall!AL18)</f>
        <v>11.4835397946614</v>
      </c>
      <c r="AM19" s="20" t="n">
        <f aca="false">MAX(0,Waterfall!AM16-Waterfall!AM18)</f>
        <v>11.5031598578377</v>
      </c>
      <c r="AN19" s="20" t="n">
        <f aca="false">MAX(0,Waterfall!AN16-Waterfall!AN18)</f>
        <v>11.5188050857165</v>
      </c>
      <c r="AO19" s="20" t="n">
        <f aca="false">MAX(0,Waterfall!AO16-Waterfall!AO18)</f>
        <v>11.5300977308482</v>
      </c>
      <c r="AP19" s="20" t="n">
        <f aca="false">MAX(0,Waterfall!AP16-Waterfall!AP18)</f>
        <v>11.5366544933448</v>
      </c>
      <c r="AQ19" s="20" t="n">
        <f aca="false">MAX(0,Waterfall!AQ16-Waterfall!AQ18)</f>
        <v>4.21518480762315</v>
      </c>
      <c r="AR19" s="20" t="n">
        <f aca="false">MAX(0,Waterfall!AR16-Waterfall!AR18)</f>
        <v>0</v>
      </c>
      <c r="AS19" s="20" t="n">
        <f aca="false">MAX(0,Waterfall!AS16-Waterfall!AS18)</f>
        <v>0.448803641041706</v>
      </c>
      <c r="AT19" s="20" t="n">
        <f aca="false">MAX(0,Waterfall!AT16-Waterfall!AT18)</f>
        <v>0.342501752798916</v>
      </c>
      <c r="AU19" s="20" t="n">
        <f aca="false">MAX(0,Waterfall!AU16-Waterfall!AU18)</f>
        <v>0</v>
      </c>
    </row>
    <row r="20" customFormat="false" ht="15" hidden="false" customHeight="false" outlineLevel="0" collapsed="false">
      <c r="D20" s="0" t="s">
        <v>1095</v>
      </c>
      <c r="E20" s="0" t="s">
        <v>47</v>
      </c>
      <c r="G20" s="20" t="n">
        <f aca="false">SUM(J20:AU20)</f>
        <v>10.1648625504121</v>
      </c>
      <c r="J20" s="20" t="n">
        <f aca="false">Debt!J9*(Funding!$F$103*Inputs!$F$331/100-Debt!J51-Debt!J58)</f>
        <v>0</v>
      </c>
      <c r="K20" s="20" t="n">
        <f aca="false">Debt!K9*(Funding!$F$103*Inputs!$F$331/100-Debt!K51-Debt!K58)</f>
        <v>0</v>
      </c>
      <c r="L20" s="20" t="n">
        <f aca="false">Debt!L9*(Funding!$F$103*Inputs!$F$331/100-Debt!L51-Debt!L58)</f>
        <v>0</v>
      </c>
      <c r="M20" s="20" t="n">
        <f aca="false">Debt!M9*(Funding!$F$103*Inputs!$F$331/100-Debt!M51-Debt!M58)</f>
        <v>10.1648625504121</v>
      </c>
      <c r="N20" s="20" t="n">
        <f aca="false">Debt!N9*(Funding!$F$103*Inputs!$F$331/100-Debt!N51-Debt!N58)</f>
        <v>0</v>
      </c>
      <c r="O20" s="20" t="n">
        <f aca="false">Debt!O9*(Funding!$F$103*Inputs!$F$331/100-Debt!O51-Debt!O58)</f>
        <v>0</v>
      </c>
      <c r="P20" s="20" t="n">
        <f aca="false">Debt!P9*(Funding!$F$103*Inputs!$F$331/100-Debt!P51-Debt!P58)</f>
        <v>0</v>
      </c>
      <c r="Q20" s="20" t="n">
        <f aca="false">Debt!Q9*(Funding!$F$103*Inputs!$F$331/100-Debt!Q51-Debt!Q58)</f>
        <v>0</v>
      </c>
      <c r="R20" s="20" t="n">
        <f aca="false">Debt!R9*(Funding!$F$103*Inputs!$F$331/100-Debt!R51-Debt!R58)</f>
        <v>0</v>
      </c>
      <c r="S20" s="20" t="n">
        <f aca="false">Debt!S9*(Funding!$F$103*Inputs!$F$331/100-Debt!S51-Debt!S58)</f>
        <v>0</v>
      </c>
      <c r="T20" s="20" t="n">
        <f aca="false">Debt!T9*(Funding!$F$103*Inputs!$F$331/100-Debt!T51-Debt!T58)</f>
        <v>0</v>
      </c>
      <c r="U20" s="20" t="n">
        <f aca="false">Debt!U9*(Funding!$F$103*Inputs!$F$331/100-Debt!U51-Debt!U58)</f>
        <v>0</v>
      </c>
      <c r="V20" s="20" t="n">
        <f aca="false">Debt!V9*(Funding!$F$103*Inputs!$F$331/100-Debt!V51-Debt!V58)</f>
        <v>0</v>
      </c>
      <c r="W20" s="20" t="n">
        <f aca="false">Debt!W9*(Funding!$F$103*Inputs!$F$331/100-Debt!W51-Debt!W58)</f>
        <v>0</v>
      </c>
      <c r="X20" s="20" t="n">
        <f aca="false">Debt!X9*(Funding!$F$103*Inputs!$F$331/100-Debt!X51-Debt!X58)</f>
        <v>0</v>
      </c>
      <c r="Y20" s="20" t="n">
        <f aca="false">Debt!Y9*(Funding!$F$103*Inputs!$F$331/100-Debt!Y51-Debt!Y58)</f>
        <v>0</v>
      </c>
      <c r="Z20" s="20" t="n">
        <f aca="false">Debt!Z9*(Funding!$F$103*Inputs!$F$331/100-Debt!Z51-Debt!Z58)</f>
        <v>0</v>
      </c>
      <c r="AA20" s="20" t="n">
        <f aca="false">Debt!AA9*(Funding!$F$103*Inputs!$F$331/100-Debt!AA51-Debt!AA58)</f>
        <v>0</v>
      </c>
      <c r="AB20" s="20" t="n">
        <f aca="false">Debt!AB9*(Funding!$F$103*Inputs!$F$331/100-Debt!AB51-Debt!AB58)</f>
        <v>0</v>
      </c>
      <c r="AC20" s="20" t="n">
        <f aca="false">Debt!AC9*(Funding!$F$103*Inputs!$F$331/100-Debt!AC51-Debt!AC58)</f>
        <v>0</v>
      </c>
      <c r="AD20" s="20" t="n">
        <f aca="false">Debt!AD9*(Funding!$F$103*Inputs!$F$331/100-Debt!AD51-Debt!AD58)</f>
        <v>0</v>
      </c>
      <c r="AE20" s="20" t="n">
        <f aca="false">Debt!AE9*(Funding!$F$103*Inputs!$F$331/100-Debt!AE51-Debt!AE58)</f>
        <v>0</v>
      </c>
      <c r="AF20" s="20" t="n">
        <f aca="false">Debt!AF9*(Funding!$F$103*Inputs!$F$331/100-Debt!AF51-Debt!AF58)</f>
        <v>0</v>
      </c>
      <c r="AG20" s="20" t="n">
        <f aca="false">Debt!AG9*(Funding!$F$103*Inputs!$F$331/100-Debt!AG51-Debt!AG58)</f>
        <v>0</v>
      </c>
      <c r="AH20" s="20" t="n">
        <f aca="false">Debt!AH9*(Funding!$F$103*Inputs!$F$331/100-Debt!AH51-Debt!AH58)</f>
        <v>0</v>
      </c>
      <c r="AI20" s="20" t="n">
        <f aca="false">Debt!AI9*(Funding!$F$103*Inputs!$F$331/100-Debt!AI51-Debt!AI58)</f>
        <v>0</v>
      </c>
      <c r="AJ20" s="20" t="n">
        <f aca="false">Debt!AJ9*(Funding!$F$103*Inputs!$F$331/100-Debt!AJ51-Debt!AJ58)</f>
        <v>0</v>
      </c>
      <c r="AK20" s="20" t="n">
        <f aca="false">Debt!AK9*(Funding!$F$103*Inputs!$F$331/100-Debt!AK51-Debt!AK58)</f>
        <v>0</v>
      </c>
      <c r="AL20" s="20" t="n">
        <f aca="false">Debt!AL9*(Funding!$F$103*Inputs!$F$331/100-Debt!AL51-Debt!AL58)</f>
        <v>0</v>
      </c>
      <c r="AM20" s="20" t="n">
        <f aca="false">Debt!AM9*(Funding!$F$103*Inputs!$F$331/100-Debt!AM51-Debt!AM58)</f>
        <v>0</v>
      </c>
      <c r="AN20" s="20" t="n">
        <f aca="false">Debt!AN9*(Funding!$F$103*Inputs!$F$331/100-Debt!AN51-Debt!AN58)</f>
        <v>0</v>
      </c>
      <c r="AO20" s="20" t="n">
        <f aca="false">Debt!AO9*(Funding!$F$103*Inputs!$F$331/100-Debt!AO51-Debt!AO58)</f>
        <v>0</v>
      </c>
      <c r="AP20" s="20" t="n">
        <f aca="false">Debt!AP9*(Funding!$F$103*Inputs!$F$331/100-Debt!AP51-Debt!AP58)</f>
        <v>0</v>
      </c>
      <c r="AQ20" s="20" t="n">
        <f aca="false">Debt!AQ9*(Funding!$F$103*Inputs!$F$331/100-Debt!AQ51-Debt!AQ58)</f>
        <v>0</v>
      </c>
      <c r="AR20" s="20" t="n">
        <f aca="false">Debt!AR9*(Funding!$F$103*Inputs!$F$331/100-Debt!AR51-Debt!AR58)</f>
        <v>0</v>
      </c>
      <c r="AS20" s="20" t="n">
        <f aca="false">Debt!AS9*(Funding!$F$103*Inputs!$F$331/100-Debt!AS51-Debt!AS58)</f>
        <v>0</v>
      </c>
      <c r="AT20" s="20" t="n">
        <f aca="false">Debt!AT9*(Funding!$F$103*Inputs!$F$331/100-Debt!AT51-Debt!AT58)</f>
        <v>0</v>
      </c>
      <c r="AU20" s="20" t="n">
        <f aca="false">Debt!AU9*(Funding!$F$103*Inputs!$F$331/100-Debt!AU51-Debt!AU58)</f>
        <v>0</v>
      </c>
    </row>
    <row r="21" customFormat="false" ht="15" hidden="false" customHeight="false" outlineLevel="0" collapsed="false">
      <c r="D21" s="0" t="s">
        <v>1096</v>
      </c>
      <c r="E21" s="0" t="s">
        <v>47</v>
      </c>
      <c r="G21" s="20" t="n">
        <f aca="false">SUM(J21:AU21)</f>
        <v>90.5994275328581</v>
      </c>
      <c r="J21" s="20" t="n">
        <f aca="false">Waterfall!J11+Waterfall!J20</f>
        <v>0</v>
      </c>
      <c r="K21" s="20" t="n">
        <f aca="false">Waterfall!K11+Waterfall!K20</f>
        <v>0</v>
      </c>
      <c r="L21" s="20" t="n">
        <f aca="false">Waterfall!L11+Waterfall!L20</f>
        <v>0</v>
      </c>
      <c r="M21" s="20" t="n">
        <f aca="false">Waterfall!M11+Waterfall!M20</f>
        <v>90.5994275328581</v>
      </c>
      <c r="N21" s="20" t="n">
        <f aca="false">Waterfall!N11+Waterfall!N20</f>
        <v>0</v>
      </c>
      <c r="O21" s="20" t="n">
        <f aca="false">Waterfall!O11+Waterfall!O20</f>
        <v>0</v>
      </c>
      <c r="P21" s="20" t="n">
        <f aca="false">Waterfall!P11+Waterfall!P20</f>
        <v>0</v>
      </c>
      <c r="Q21" s="20" t="n">
        <f aca="false">Waterfall!Q11+Waterfall!Q20</f>
        <v>0</v>
      </c>
      <c r="R21" s="20" t="n">
        <f aca="false">Waterfall!R11+Waterfall!R20</f>
        <v>0</v>
      </c>
      <c r="S21" s="20" t="n">
        <f aca="false">Waterfall!S11+Waterfall!S20</f>
        <v>0</v>
      </c>
      <c r="T21" s="20" t="n">
        <f aca="false">Waterfall!T11+Waterfall!T20</f>
        <v>0</v>
      </c>
      <c r="U21" s="20" t="n">
        <f aca="false">Waterfall!U11+Waterfall!U20</f>
        <v>0</v>
      </c>
      <c r="V21" s="20" t="n">
        <f aca="false">Waterfall!V11+Waterfall!V20</f>
        <v>0</v>
      </c>
      <c r="W21" s="20" t="n">
        <f aca="false">Waterfall!W11+Waterfall!W20</f>
        <v>0</v>
      </c>
      <c r="X21" s="20" t="n">
        <f aca="false">Waterfall!X11+Waterfall!X20</f>
        <v>0</v>
      </c>
      <c r="Y21" s="20" t="n">
        <f aca="false">Waterfall!Y11+Waterfall!Y20</f>
        <v>0</v>
      </c>
      <c r="Z21" s="20" t="n">
        <f aca="false">Waterfall!Z11+Waterfall!Z20</f>
        <v>0</v>
      </c>
      <c r="AA21" s="20" t="n">
        <f aca="false">Waterfall!AA11+Waterfall!AA20</f>
        <v>0</v>
      </c>
      <c r="AB21" s="20" t="n">
        <f aca="false">Waterfall!AB11+Waterfall!AB20</f>
        <v>0</v>
      </c>
      <c r="AC21" s="20" t="n">
        <f aca="false">Waterfall!AC11+Waterfall!AC20</f>
        <v>0</v>
      </c>
      <c r="AD21" s="20" t="n">
        <f aca="false">Waterfall!AD11+Waterfall!AD20</f>
        <v>0</v>
      </c>
      <c r="AE21" s="20" t="n">
        <f aca="false">Waterfall!AE11+Waterfall!AE20</f>
        <v>0</v>
      </c>
      <c r="AF21" s="20" t="n">
        <f aca="false">Waterfall!AF11+Waterfall!AF20</f>
        <v>0</v>
      </c>
      <c r="AG21" s="20" t="n">
        <f aca="false">Waterfall!AG11+Waterfall!AG20</f>
        <v>0</v>
      </c>
      <c r="AH21" s="20" t="n">
        <f aca="false">Waterfall!AH11+Waterfall!AH20</f>
        <v>0</v>
      </c>
      <c r="AI21" s="20" t="n">
        <f aca="false">Waterfall!AI11+Waterfall!AI20</f>
        <v>0</v>
      </c>
      <c r="AJ21" s="20" t="n">
        <f aca="false">Waterfall!AJ11+Waterfall!AJ20</f>
        <v>0</v>
      </c>
      <c r="AK21" s="20" t="n">
        <f aca="false">Waterfall!AK11+Waterfall!AK20</f>
        <v>0</v>
      </c>
      <c r="AL21" s="20" t="n">
        <f aca="false">Waterfall!AL11+Waterfall!AL20</f>
        <v>0</v>
      </c>
      <c r="AM21" s="20" t="n">
        <f aca="false">Waterfall!AM11+Waterfall!AM20</f>
        <v>0</v>
      </c>
      <c r="AN21" s="20" t="n">
        <f aca="false">Waterfall!AN11+Waterfall!AN20</f>
        <v>0</v>
      </c>
      <c r="AO21" s="20" t="n">
        <f aca="false">Waterfall!AO11+Waterfall!AO20</f>
        <v>0</v>
      </c>
      <c r="AP21" s="20" t="n">
        <f aca="false">Waterfall!AP11+Waterfall!AP20</f>
        <v>0</v>
      </c>
      <c r="AQ21" s="20" t="n">
        <f aca="false">Waterfall!AQ11+Waterfall!AQ20</f>
        <v>0</v>
      </c>
      <c r="AR21" s="20" t="n">
        <f aca="false">Waterfall!AR11+Waterfall!AR20</f>
        <v>0</v>
      </c>
      <c r="AS21" s="20" t="n">
        <f aca="false">Waterfall!AS11+Waterfall!AS20</f>
        <v>0</v>
      </c>
      <c r="AT21" s="20" t="n">
        <f aca="false">Waterfall!AT11+Waterfall!AT20</f>
        <v>0</v>
      </c>
      <c r="AU21" s="20" t="n">
        <f aca="false">Waterfall!AU11+Waterfall!AU20</f>
        <v>0</v>
      </c>
    </row>
    <row r="22" customFormat="false" ht="15" hidden="false" customHeight="false" outlineLevel="0" collapsed="false">
      <c r="D22" s="0" t="s">
        <v>1097</v>
      </c>
      <c r="E22" s="0" t="s">
        <v>47</v>
      </c>
      <c r="G22" s="20" t="n">
        <f aca="false">SUM(J22:AU22)</f>
        <v>578.097530255361</v>
      </c>
      <c r="J22" s="20" t="n">
        <f aca="false">Waterfall!J19+Waterfall!J21</f>
        <v>5.86045670501287</v>
      </c>
      <c r="K22" s="20" t="n">
        <f aca="false">Waterfall!K19+Waterfall!K21</f>
        <v>3.81747439230033</v>
      </c>
      <c r="L22" s="20" t="n">
        <f aca="false">Waterfall!L19+Waterfall!L21</f>
        <v>2.72575151738771</v>
      </c>
      <c r="M22" s="20" t="n">
        <f aca="false">Waterfall!M19+Waterfall!M21</f>
        <v>98.1547891730189</v>
      </c>
      <c r="N22" s="20" t="n">
        <f aca="false">Waterfall!N19+Waterfall!N21</f>
        <v>4.08791880549738</v>
      </c>
      <c r="O22" s="20" t="n">
        <f aca="false">Waterfall!O19+Waterfall!O21</f>
        <v>4.30519715373675</v>
      </c>
      <c r="P22" s="20" t="n">
        <f aca="false">Waterfall!P19+Waterfall!P21</f>
        <v>5.1871688738513</v>
      </c>
      <c r="Q22" s="20" t="n">
        <f aca="false">Waterfall!Q19+Waterfall!Q21</f>
        <v>7.16333743703004</v>
      </c>
      <c r="R22" s="20" t="n">
        <f aca="false">Waterfall!R19+Waterfall!R21</f>
        <v>10.2169412385103</v>
      </c>
      <c r="S22" s="20" t="n">
        <f aca="false">Waterfall!S19+Waterfall!S21</f>
        <v>10.3200326871805</v>
      </c>
      <c r="T22" s="20" t="n">
        <f aca="false">Waterfall!T19+Waterfall!T21</f>
        <v>10.8669381384129</v>
      </c>
      <c r="U22" s="20" t="n">
        <f aca="false">Waterfall!U19+Waterfall!U21</f>
        <v>11.9509956903935</v>
      </c>
      <c r="V22" s="20" t="n">
        <f aca="false">Waterfall!V19+Waterfall!V21</f>
        <v>13.1578028843</v>
      </c>
      <c r="W22" s="20" t="n">
        <f aca="false">Waterfall!W19+Waterfall!W21</f>
        <v>13.7782041995584</v>
      </c>
      <c r="X22" s="20" t="n">
        <f aca="false">Waterfall!X19+Waterfall!X21</f>
        <v>14.1999129569115</v>
      </c>
      <c r="Y22" s="20" t="n">
        <f aca="false">Waterfall!Y19+Waterfall!Y21</f>
        <v>14.6437510036332</v>
      </c>
      <c r="Z22" s="20" t="n">
        <f aca="false">Waterfall!Z19+Waterfall!Z21</f>
        <v>30.4433094910589</v>
      </c>
      <c r="AA22" s="20" t="n">
        <f aca="false">Waterfall!AA19+Waterfall!AA21</f>
        <v>31.6428973244384</v>
      </c>
      <c r="AB22" s="20" t="n">
        <f aca="false">Waterfall!AB19+Waterfall!AB21</f>
        <v>31.5735735704683</v>
      </c>
      <c r="AC22" s="20" t="n">
        <f aca="false">Waterfall!AC19+Waterfall!AC21</f>
        <v>31.4941464466147</v>
      </c>
      <c r="AD22" s="20" t="n">
        <f aca="false">Waterfall!AD19+Waterfall!AD21</f>
        <v>27.0370203714899</v>
      </c>
      <c r="AE22" s="20" t="n">
        <f aca="false">Waterfall!AE19+Waterfall!AE21</f>
        <v>19.6154329131838</v>
      </c>
      <c r="AF22" s="20" t="n">
        <f aca="false">Waterfall!AF19+Waterfall!AF21</f>
        <v>20.4169786933295</v>
      </c>
      <c r="AG22" s="20" t="n">
        <f aca="false">Waterfall!AG19+Waterfall!AG21</f>
        <v>34.4502486628882</v>
      </c>
      <c r="AH22" s="20" t="n">
        <f aca="false">Waterfall!AH19+Waterfall!AH21</f>
        <v>34.696492644787</v>
      </c>
      <c r="AI22" s="20" t="n">
        <f aca="false">Waterfall!AI19+Waterfall!AI21</f>
        <v>3.46026152215166</v>
      </c>
      <c r="AJ22" s="20" t="n">
        <f aca="false">Waterfall!AJ19+Waterfall!AJ21</f>
        <v>17.2733027507602</v>
      </c>
      <c r="AK22" s="20" t="n">
        <f aca="false">Waterfall!AK19+Waterfall!AK21</f>
        <v>2.97844584358189</v>
      </c>
      <c r="AL22" s="20" t="n">
        <f aca="false">Waterfall!AL19+Waterfall!AL21</f>
        <v>11.4835397946614</v>
      </c>
      <c r="AM22" s="20" t="n">
        <f aca="false">Waterfall!AM19+Waterfall!AM21</f>
        <v>11.5031598578377</v>
      </c>
      <c r="AN22" s="20" t="n">
        <f aca="false">Waterfall!AN19+Waterfall!AN21</f>
        <v>11.5188050857165</v>
      </c>
      <c r="AO22" s="20" t="n">
        <f aca="false">Waterfall!AO19+Waterfall!AO21</f>
        <v>11.5300977308482</v>
      </c>
      <c r="AP22" s="20" t="n">
        <f aca="false">Waterfall!AP19+Waterfall!AP21</f>
        <v>11.5366544933448</v>
      </c>
      <c r="AQ22" s="20" t="n">
        <f aca="false">Waterfall!AQ19+Waterfall!AQ21</f>
        <v>4.21518480762315</v>
      </c>
      <c r="AR22" s="20" t="n">
        <f aca="false">Waterfall!AR19+Waterfall!AR21</f>
        <v>0</v>
      </c>
      <c r="AS22" s="20" t="n">
        <f aca="false">Waterfall!AS19+Waterfall!AS21</f>
        <v>0.448803641041706</v>
      </c>
      <c r="AT22" s="20" t="n">
        <f aca="false">Waterfall!AT19+Waterfall!AT21</f>
        <v>0.342501752798916</v>
      </c>
      <c r="AU22" s="20" t="n">
        <f aca="false">Waterfall!AU19+Waterfall!AU21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1098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1099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1100</v>
      </c>
      <c r="E8" s="0" t="s">
        <v>58</v>
      </c>
      <c r="J8" s="22" t="n">
        <f aca="false">IF(Debt!J18&gt;Inputs!$F$29,Operations!J424/Debt!J18,"")</f>
        <v>1.50682036905889</v>
      </c>
      <c r="K8" s="22" t="n">
        <f aca="false">IF(Debt!K18&gt;Inputs!$F$29,Operations!K424/Debt!K18,"")</f>
        <v>1.37006885002207</v>
      </c>
      <c r="L8" s="22" t="n">
        <f aca="false">IF(Debt!L18&gt;Inputs!$F$29,Operations!L424/Debt!L18,"")</f>
        <v>1.34929089014743</v>
      </c>
      <c r="M8" s="22" t="n">
        <f aca="false">IF(Debt!M18&gt;Inputs!$F$29,Operations!M424/Debt!M18,"")</f>
        <v>1.35302468908206</v>
      </c>
      <c r="N8" s="22" t="str">
        <f aca="false">IF(Debt!N18&gt;Inputs!$F$29,Operations!N424/Debt!N18,"")</f>
        <v/>
      </c>
      <c r="O8" s="22" t="str">
        <f aca="false">IF(Debt!O18&gt;Inputs!$F$29,Operations!O424/Debt!O18,"")</f>
        <v/>
      </c>
      <c r="P8" s="22" t="str">
        <f aca="false">IF(Debt!P18&gt;Inputs!$F$29,Operations!P424/Debt!P18,"")</f>
        <v/>
      </c>
      <c r="Q8" s="22" t="str">
        <f aca="false">IF(Debt!Q18&gt;Inputs!$F$29,Operations!Q424/Debt!Q18,"")</f>
        <v/>
      </c>
      <c r="R8" s="22" t="str">
        <f aca="false">IF(Debt!R18&gt;Inputs!$F$29,Operations!R424/Debt!R18,"")</f>
        <v/>
      </c>
      <c r="S8" s="22" t="str">
        <f aca="false">IF(Debt!S18&gt;Inputs!$F$29,Operations!S424/Debt!S18,"")</f>
        <v/>
      </c>
      <c r="T8" s="22" t="str">
        <f aca="false">IF(Debt!T18&gt;Inputs!$F$29,Operations!T424/Debt!T18,"")</f>
        <v/>
      </c>
      <c r="U8" s="22" t="str">
        <f aca="false">IF(Debt!U18&gt;Inputs!$F$29,Operations!U424/Debt!U18,"")</f>
        <v/>
      </c>
      <c r="V8" s="22" t="str">
        <f aca="false">IF(Debt!V18&gt;Inputs!$F$29,Operations!V424/Debt!V18,"")</f>
        <v/>
      </c>
      <c r="W8" s="22" t="str">
        <f aca="false">IF(Debt!W18&gt;Inputs!$F$29,Operations!W424/Debt!W18,"")</f>
        <v/>
      </c>
      <c r="X8" s="22" t="str">
        <f aca="false">IF(Debt!X18&gt;Inputs!$F$29,Operations!X424/Debt!X18,"")</f>
        <v/>
      </c>
      <c r="Y8" s="22" t="str">
        <f aca="false">IF(Debt!Y18&gt;Inputs!$F$29,Operations!Y424/Debt!Y18,"")</f>
        <v/>
      </c>
      <c r="Z8" s="22" t="str">
        <f aca="false">IF(Debt!Z18&gt;Inputs!$F$29,Operations!Z424/Debt!Z18,"")</f>
        <v/>
      </c>
      <c r="AA8" s="22" t="str">
        <f aca="false">IF(Debt!AA18&gt;Inputs!$F$29,Operations!AA424/Debt!AA18,"")</f>
        <v/>
      </c>
      <c r="AB8" s="22" t="str">
        <f aca="false">IF(Debt!AB18&gt;Inputs!$F$29,Operations!AB424/Debt!AB18,"")</f>
        <v/>
      </c>
      <c r="AC8" s="22" t="str">
        <f aca="false">IF(Debt!AC18&gt;Inputs!$F$29,Operations!AC424/Debt!AC18,"")</f>
        <v/>
      </c>
      <c r="AD8" s="22" t="str">
        <f aca="false">IF(Debt!AD18&gt;Inputs!$F$29,Operations!AD424/Debt!AD18,"")</f>
        <v/>
      </c>
      <c r="AE8" s="22" t="str">
        <f aca="false">IF(Debt!AE18&gt;Inputs!$F$29,Operations!AE424/Debt!AE18,"")</f>
        <v/>
      </c>
      <c r="AF8" s="22" t="str">
        <f aca="false">IF(Debt!AF18&gt;Inputs!$F$29,Operations!AF424/Debt!AF18,"")</f>
        <v/>
      </c>
      <c r="AG8" s="22" t="str">
        <f aca="false">IF(Debt!AG18&gt;Inputs!$F$29,Operations!AG424/Debt!AG18,"")</f>
        <v/>
      </c>
      <c r="AH8" s="22" t="str">
        <f aca="false">IF(Debt!AH18&gt;Inputs!$F$29,Operations!AH424/Debt!AH18,"")</f>
        <v/>
      </c>
      <c r="AI8" s="22" t="str">
        <f aca="false">IF(Debt!AI18&gt;Inputs!$F$29,Operations!AI424/Debt!AI18,"")</f>
        <v/>
      </c>
      <c r="AJ8" s="22" t="str">
        <f aca="false">IF(Debt!AJ18&gt;Inputs!$F$29,Operations!AJ424/Debt!AJ18,"")</f>
        <v/>
      </c>
      <c r="AK8" s="22" t="str">
        <f aca="false">IF(Debt!AK18&gt;Inputs!$F$29,Operations!AK424/Debt!AK18,"")</f>
        <v/>
      </c>
      <c r="AL8" s="22" t="str">
        <f aca="false">IF(Debt!AL18&gt;Inputs!$F$29,Operations!AL424/Debt!AL18,"")</f>
        <v/>
      </c>
      <c r="AM8" s="22" t="str">
        <f aca="false">IF(Debt!AM18&gt;Inputs!$F$29,Operations!AM424/Debt!AM18,"")</f>
        <v/>
      </c>
      <c r="AN8" s="22" t="str">
        <f aca="false">IF(Debt!AN18&gt;Inputs!$F$29,Operations!AN424/Debt!AN18,"")</f>
        <v/>
      </c>
      <c r="AO8" s="22" t="str">
        <f aca="false">IF(Debt!AO18&gt;Inputs!$F$29,Operations!AO424/Debt!AO18,"")</f>
        <v/>
      </c>
      <c r="AP8" s="22" t="str">
        <f aca="false">IF(Debt!AP18&gt;Inputs!$F$29,Operations!AP424/Debt!AP18,"")</f>
        <v/>
      </c>
      <c r="AQ8" s="22" t="str">
        <f aca="false">IF(Debt!AQ18&gt;Inputs!$F$29,Operations!AQ424/Debt!AQ18,"")</f>
        <v/>
      </c>
      <c r="AR8" s="22" t="str">
        <f aca="false">IF(Debt!AR18&gt;Inputs!$F$29,Operations!AR424/Debt!AR18,"")</f>
        <v/>
      </c>
      <c r="AS8" s="22" t="str">
        <f aca="false">IF(Debt!AS18&gt;Inputs!$F$29,Operations!AS424/Debt!AS18,"")</f>
        <v/>
      </c>
      <c r="AT8" s="22" t="str">
        <f aca="false">IF(Debt!AT18&gt;Inputs!$F$29,Operations!AT424/Debt!AT18,"")</f>
        <v/>
      </c>
      <c r="AU8" s="22" t="str">
        <f aca="false">IF(Debt!AU18&gt;Inputs!$F$29,Operations!AU424/Debt!AU18,"")</f>
        <v/>
      </c>
    </row>
    <row r="9" customFormat="false" ht="15" hidden="false" customHeight="false" outlineLevel="0" collapsed="false">
      <c r="D9" s="0" t="s">
        <v>1101</v>
      </c>
      <c r="E9" s="0" t="s">
        <v>58</v>
      </c>
      <c r="J9" s="22" t="str">
        <f aca="false">IF(Debt!J27&gt;Inputs!$F$29,Operations!J307/Debt!J27,"")</f>
        <v/>
      </c>
      <c r="K9" s="22" t="n">
        <f aca="false">IF(Debt!K27&gt;Inputs!$F$29,Operations!K307/Debt!K27,"")</f>
        <v>1.35</v>
      </c>
      <c r="L9" s="22" t="n">
        <f aca="false">IF(Debt!L27&gt;Inputs!$F$29,Operations!L307/Debt!L27,"")</f>
        <v>1.35</v>
      </c>
      <c r="M9" s="22" t="n">
        <f aca="false">IF(Debt!M27&gt;Inputs!$F$29,Operations!M307/Debt!M27,"")</f>
        <v>1.35</v>
      </c>
      <c r="N9" s="22" t="str">
        <f aca="false">IF(Debt!N27&gt;Inputs!$F$29,Operations!N307/Debt!N27,"")</f>
        <v/>
      </c>
      <c r="O9" s="22" t="str">
        <f aca="false">IF(Debt!O27&gt;Inputs!$F$29,Operations!O307/Debt!O27,"")</f>
        <v/>
      </c>
      <c r="P9" s="22" t="str">
        <f aca="false">IF(Debt!P27&gt;Inputs!$F$29,Operations!P307/Debt!P27,"")</f>
        <v/>
      </c>
      <c r="Q9" s="22" t="str">
        <f aca="false">IF(Debt!Q27&gt;Inputs!$F$29,Operations!Q307/Debt!Q27,"")</f>
        <v/>
      </c>
      <c r="R9" s="22" t="str">
        <f aca="false">IF(Debt!R27&gt;Inputs!$F$29,Operations!R307/Debt!R27,"")</f>
        <v/>
      </c>
      <c r="S9" s="22" t="str">
        <f aca="false">IF(Debt!S27&gt;Inputs!$F$29,Operations!S307/Debt!S27,"")</f>
        <v/>
      </c>
      <c r="T9" s="22" t="str">
        <f aca="false">IF(Debt!T27&gt;Inputs!$F$29,Operations!T307/Debt!T27,"")</f>
        <v/>
      </c>
      <c r="U9" s="22" t="str">
        <f aca="false">IF(Debt!U27&gt;Inputs!$F$29,Operations!U307/Debt!U27,"")</f>
        <v/>
      </c>
      <c r="V9" s="22" t="str">
        <f aca="false">IF(Debt!V27&gt;Inputs!$F$29,Operations!V307/Debt!V27,"")</f>
        <v/>
      </c>
      <c r="W9" s="22" t="str">
        <f aca="false">IF(Debt!W27&gt;Inputs!$F$29,Operations!W307/Debt!W27,"")</f>
        <v/>
      </c>
      <c r="X9" s="22" t="str">
        <f aca="false">IF(Debt!X27&gt;Inputs!$F$29,Operations!X307/Debt!X27,"")</f>
        <v/>
      </c>
      <c r="Y9" s="22" t="str">
        <f aca="false">IF(Debt!Y27&gt;Inputs!$F$29,Operations!Y307/Debt!Y27,"")</f>
        <v/>
      </c>
      <c r="Z9" s="22" t="str">
        <f aca="false">IF(Debt!Z27&gt;Inputs!$F$29,Operations!Z307/Debt!Z27,"")</f>
        <v/>
      </c>
      <c r="AA9" s="22" t="str">
        <f aca="false">IF(Debt!AA27&gt;Inputs!$F$29,Operations!AA307/Debt!AA27,"")</f>
        <v/>
      </c>
      <c r="AB9" s="22" t="str">
        <f aca="false">IF(Debt!AB27&gt;Inputs!$F$29,Operations!AB307/Debt!AB27,"")</f>
        <v/>
      </c>
      <c r="AC9" s="22" t="str">
        <f aca="false">IF(Debt!AC27&gt;Inputs!$F$29,Operations!AC307/Debt!AC27,"")</f>
        <v/>
      </c>
      <c r="AD9" s="22" t="str">
        <f aca="false">IF(Debt!AD27&gt;Inputs!$F$29,Operations!AD307/Debt!AD27,"")</f>
        <v/>
      </c>
      <c r="AE9" s="22" t="str">
        <f aca="false">IF(Debt!AE27&gt;Inputs!$F$29,Operations!AE307/Debt!AE27,"")</f>
        <v/>
      </c>
      <c r="AF9" s="22" t="str">
        <f aca="false">IF(Debt!AF27&gt;Inputs!$F$29,Operations!AF307/Debt!AF27,"")</f>
        <v/>
      </c>
      <c r="AG9" s="22" t="str">
        <f aca="false">IF(Debt!AG27&gt;Inputs!$F$29,Operations!AG307/Debt!AG27,"")</f>
        <v/>
      </c>
      <c r="AH9" s="22" t="str">
        <f aca="false">IF(Debt!AH27&gt;Inputs!$F$29,Operations!AH307/Debt!AH27,"")</f>
        <v/>
      </c>
      <c r="AI9" s="22" t="str">
        <f aca="false">IF(Debt!AI27&gt;Inputs!$F$29,Operations!AI307/Debt!AI27,"")</f>
        <v/>
      </c>
      <c r="AJ9" s="22" t="str">
        <f aca="false">IF(Debt!AJ27&gt;Inputs!$F$29,Operations!AJ307/Debt!AJ27,"")</f>
        <v/>
      </c>
      <c r="AK9" s="22" t="str">
        <f aca="false">IF(Debt!AK27&gt;Inputs!$F$29,Operations!AK307/Debt!AK27,"")</f>
        <v/>
      </c>
      <c r="AL9" s="22" t="str">
        <f aca="false">IF(Debt!AL27&gt;Inputs!$F$29,Operations!AL307/Debt!AL27,"")</f>
        <v/>
      </c>
      <c r="AM9" s="22" t="str">
        <f aca="false">IF(Debt!AM27&gt;Inputs!$F$29,Operations!AM307/Debt!AM27,"")</f>
        <v/>
      </c>
      <c r="AN9" s="22" t="str">
        <f aca="false">IF(Debt!AN27&gt;Inputs!$F$29,Operations!AN307/Debt!AN27,"")</f>
        <v/>
      </c>
      <c r="AO9" s="22" t="str">
        <f aca="false">IF(Debt!AO27&gt;Inputs!$F$29,Operations!AO307/Debt!AO27,"")</f>
        <v/>
      </c>
      <c r="AP9" s="22" t="str">
        <f aca="false">IF(Debt!AP27&gt;Inputs!$F$29,Operations!AP307/Debt!AP27,"")</f>
        <v/>
      </c>
      <c r="AQ9" s="22" t="str">
        <f aca="false">IF(Debt!AQ27&gt;Inputs!$F$29,Operations!AQ307/Debt!AQ27,"")</f>
        <v/>
      </c>
      <c r="AR9" s="22" t="str">
        <f aca="false">IF(Debt!AR27&gt;Inputs!$F$29,Operations!AR307/Debt!AR27,"")</f>
        <v/>
      </c>
      <c r="AS9" s="22" t="str">
        <f aca="false">IF(Debt!AS27&gt;Inputs!$F$29,Operations!AS307/Debt!AS27,"")</f>
        <v/>
      </c>
      <c r="AT9" s="22" t="str">
        <f aca="false">IF(Debt!AT27&gt;Inputs!$F$29,Operations!AT307/Debt!AT27,"")</f>
        <v/>
      </c>
      <c r="AU9" s="22" t="str">
        <f aca="false">IF(Debt!AU27&gt;Inputs!$F$29,Operations!AU307/Debt!AU27,"")</f>
        <v/>
      </c>
    </row>
    <row r="10" customFormat="false" ht="15" hidden="false" customHeight="false" outlineLevel="0" collapsed="false">
      <c r="D10" s="0" t="s">
        <v>1102</v>
      </c>
      <c r="E10" s="0" t="s">
        <v>58</v>
      </c>
      <c r="J10" s="22" t="str">
        <f aca="false">IF(Debt!J34&gt;Inputs!$F$29,Operations!J425/Debt!J34,"")</f>
        <v/>
      </c>
      <c r="K10" s="22" t="str">
        <f aca="false">IF(Debt!K34&gt;Inputs!$F$29,Operations!K425/Debt!K34,"")</f>
        <v/>
      </c>
      <c r="L10" s="22" t="str">
        <f aca="false">IF(Debt!L34&gt;Inputs!$F$29,Operations!L425/Debt!L34,"")</f>
        <v/>
      </c>
      <c r="M10" s="22" t="str">
        <f aca="false">IF(Debt!M34&gt;Inputs!$F$29,Operations!M425/Debt!M34,"")</f>
        <v/>
      </c>
      <c r="N10" s="22" t="n">
        <f aca="false">IF(Debt!N34&gt;Inputs!$F$29,Operations!N425/Debt!N34,"")</f>
        <v>1.43072257718476</v>
      </c>
      <c r="O10" s="22" t="n">
        <f aca="false">IF(Debt!O34&gt;Inputs!$F$29,Operations!O425/Debt!O34,"")</f>
        <v>1.45404540149822</v>
      </c>
      <c r="P10" s="22" t="n">
        <f aca="false">IF(Debt!P34&gt;Inputs!$F$29,Operations!P425/Debt!P34,"")</f>
        <v>1.52806103848399</v>
      </c>
      <c r="Q10" s="22" t="n">
        <f aca="false">IF(Debt!Q34&gt;Inputs!$F$29,Operations!Q425/Debt!Q34,"")</f>
        <v>1.63041969245285</v>
      </c>
      <c r="R10" s="22" t="n">
        <f aca="false">IF(Debt!R34&gt;Inputs!$F$29,Operations!R425/Debt!R34,"")</f>
        <v>1.90249399576783</v>
      </c>
      <c r="S10" s="22" t="n">
        <f aca="false">IF(Debt!S34&gt;Inputs!$F$29,Operations!S425/Debt!S34,"")</f>
        <v>1.95329188233711</v>
      </c>
      <c r="T10" s="22" t="n">
        <f aca="false">IF(Debt!T34&gt;Inputs!$F$29,Operations!T425/Debt!T34,"")</f>
        <v>2.03143951643865</v>
      </c>
      <c r="U10" s="22" t="n">
        <f aca="false">IF(Debt!U34&gt;Inputs!$F$29,Operations!U425/Debt!U34,"")</f>
        <v>2.12327975189993</v>
      </c>
      <c r="V10" s="22" t="n">
        <f aca="false">IF(Debt!V34&gt;Inputs!$F$29,Operations!V425/Debt!V34,"")</f>
        <v>2.18797578814936</v>
      </c>
      <c r="W10" s="22" t="n">
        <f aca="false">IF(Debt!W34&gt;Inputs!$F$29,Operations!W425/Debt!W34,"")</f>
        <v>2.25</v>
      </c>
      <c r="X10" s="22" t="n">
        <f aca="false">IF(Debt!X34&gt;Inputs!$F$29,Operations!X425/Debt!X34,"")</f>
        <v>2.25</v>
      </c>
      <c r="Y10" s="22" t="n">
        <f aca="false">IF(Debt!Y34&gt;Inputs!$F$29,Operations!Y425/Debt!Y34,"")</f>
        <v>2.25</v>
      </c>
      <c r="Z10" s="22" t="n">
        <f aca="false">IF(Debt!Z34&gt;Inputs!$F$29,Operations!Z425/Debt!Z34,"")</f>
        <v>2.25</v>
      </c>
      <c r="AA10" s="22" t="n">
        <f aca="false">IF(Debt!AA34&gt;Inputs!$F$29,Operations!AA425/Debt!AA34,"")</f>
        <v>2.25</v>
      </c>
      <c r="AB10" s="22" t="n">
        <f aca="false">IF(Debt!AB34&gt;Inputs!$F$29,Operations!AB425/Debt!AB34,"")</f>
        <v>2.25</v>
      </c>
      <c r="AC10" s="22" t="n">
        <f aca="false">IF(Debt!AC34&gt;Inputs!$F$29,Operations!AC425/Debt!AC34,"")</f>
        <v>2.25</v>
      </c>
      <c r="AD10" s="22" t="n">
        <f aca="false">IF(Debt!AD34&gt;Inputs!$F$29,Operations!AD425/Debt!AD34,"")</f>
        <v>2.25</v>
      </c>
      <c r="AE10" s="22" t="n">
        <f aca="false">IF(Debt!AE34&gt;Inputs!$F$29,Operations!AE425/Debt!AE34,"")</f>
        <v>2.25</v>
      </c>
      <c r="AF10" s="22" t="str">
        <f aca="false">IF(Debt!AF34&gt;Inputs!$F$29,Operations!AF425/Debt!AF34,"")</f>
        <v/>
      </c>
      <c r="AG10" s="22" t="str">
        <f aca="false">IF(Debt!AG34&gt;Inputs!$F$29,Operations!AG425/Debt!AG34,"")</f>
        <v/>
      </c>
      <c r="AH10" s="22" t="str">
        <f aca="false">IF(Debt!AH34&gt;Inputs!$F$29,Operations!AH425/Debt!AH34,"")</f>
        <v/>
      </c>
      <c r="AI10" s="22" t="str">
        <f aca="false">IF(Debt!AI34&gt;Inputs!$F$29,Operations!AI425/Debt!AI34,"")</f>
        <v/>
      </c>
      <c r="AJ10" s="22" t="str">
        <f aca="false">IF(Debt!AJ34&gt;Inputs!$F$29,Operations!AJ425/Debt!AJ34,"")</f>
        <v/>
      </c>
      <c r="AK10" s="22" t="str">
        <f aca="false">IF(Debt!AK34&gt;Inputs!$F$29,Operations!AK425/Debt!AK34,"")</f>
        <v/>
      </c>
      <c r="AL10" s="22" t="str">
        <f aca="false">IF(Debt!AL34&gt;Inputs!$F$29,Operations!AL425/Debt!AL34,"")</f>
        <v/>
      </c>
      <c r="AM10" s="22" t="str">
        <f aca="false">IF(Debt!AM34&gt;Inputs!$F$29,Operations!AM425/Debt!AM34,"")</f>
        <v/>
      </c>
      <c r="AN10" s="22" t="str">
        <f aca="false">IF(Debt!AN34&gt;Inputs!$F$29,Operations!AN425/Debt!AN34,"")</f>
        <v/>
      </c>
      <c r="AO10" s="22" t="str">
        <f aca="false">IF(Debt!AO34&gt;Inputs!$F$29,Operations!AO425/Debt!AO34,"")</f>
        <v/>
      </c>
      <c r="AP10" s="22" t="str">
        <f aca="false">IF(Debt!AP34&gt;Inputs!$F$29,Operations!AP425/Debt!AP34,"")</f>
        <v/>
      </c>
      <c r="AQ10" s="22" t="str">
        <f aca="false">IF(Debt!AQ34&gt;Inputs!$F$29,Operations!AQ425/Debt!AQ34,"")</f>
        <v/>
      </c>
      <c r="AR10" s="22" t="str">
        <f aca="false">IF(Debt!AR34&gt;Inputs!$F$29,Operations!AR425/Debt!AR34,"")</f>
        <v/>
      </c>
      <c r="AS10" s="22" t="str">
        <f aca="false">IF(Debt!AS34&gt;Inputs!$F$29,Operations!AS425/Debt!AS34,"")</f>
        <v/>
      </c>
      <c r="AT10" s="22" t="str">
        <f aca="false">IF(Debt!AT34&gt;Inputs!$F$29,Operations!AT425/Debt!AT34,"")</f>
        <v/>
      </c>
      <c r="AU10" s="22" t="str">
        <f aca="false">IF(Debt!AU34&gt;Inputs!$F$29,Operations!AU425/Debt!AU34,"")</f>
        <v/>
      </c>
    </row>
    <row r="11" customFormat="false" ht="15" hidden="false" customHeight="false" outlineLevel="0" collapsed="false">
      <c r="D11" s="0" t="s">
        <v>1103</v>
      </c>
      <c r="E11" s="0" t="s">
        <v>58</v>
      </c>
      <c r="J11" s="22" t="n">
        <f aca="false">IF(Waterfall!J9&gt;Inputs!$F$29,Operations!J425/Waterfall!J9,"")</f>
        <v>1.50682036905889</v>
      </c>
      <c r="K11" s="22" t="n">
        <f aca="false">IF(Waterfall!K9&gt;Inputs!$F$29,Operations!K425/Waterfall!K9,"")</f>
        <v>1.36877527128342</v>
      </c>
      <c r="L11" s="22" t="n">
        <f aca="false">IF(Waterfall!L9&gt;Inputs!$F$29,Operations!L425/Waterfall!L9,"")</f>
        <v>1.50740466930078</v>
      </c>
      <c r="M11" s="22" t="n">
        <f aca="false">IF(Waterfall!M9&gt;Inputs!$F$29,Operations!M425/Waterfall!M9,"")</f>
        <v>1.76580119763945</v>
      </c>
      <c r="N11" s="22" t="n">
        <f aca="false">IF(Waterfall!N9&gt;Inputs!$F$29,Operations!N425/Waterfall!N9,"")</f>
        <v>1.43072257718476</v>
      </c>
      <c r="O11" s="22" t="n">
        <f aca="false">IF(Waterfall!O9&gt;Inputs!$F$29,Operations!O425/Waterfall!O9,"")</f>
        <v>1.45404540149822</v>
      </c>
      <c r="P11" s="22" t="n">
        <f aca="false">IF(Waterfall!P9&gt;Inputs!$F$29,Operations!P425/Waterfall!P9,"")</f>
        <v>1.52806103848399</v>
      </c>
      <c r="Q11" s="22" t="n">
        <f aca="false">IF(Waterfall!Q9&gt;Inputs!$F$29,Operations!Q425/Waterfall!Q9,"")</f>
        <v>1.63041969245285</v>
      </c>
      <c r="R11" s="22" t="n">
        <f aca="false">IF(Waterfall!R9&gt;Inputs!$F$29,Operations!R425/Waterfall!R9,"")</f>
        <v>1.90249399576783</v>
      </c>
      <c r="S11" s="22" t="n">
        <f aca="false">IF(Waterfall!S9&gt;Inputs!$F$29,Operations!S425/Waterfall!S9,"")</f>
        <v>1.95329188233711</v>
      </c>
      <c r="T11" s="22" t="n">
        <f aca="false">IF(Waterfall!T9&gt;Inputs!$F$29,Operations!T425/Waterfall!T9,"")</f>
        <v>2.03143951643865</v>
      </c>
      <c r="U11" s="22" t="n">
        <f aca="false">IF(Waterfall!U9&gt;Inputs!$F$29,Operations!U425/Waterfall!U9,"")</f>
        <v>2.12327975189993</v>
      </c>
      <c r="V11" s="22" t="n">
        <f aca="false">IF(Waterfall!V9&gt;Inputs!$F$29,Operations!V425/Waterfall!V9,"")</f>
        <v>2.18797578814936</v>
      </c>
      <c r="W11" s="22" t="n">
        <f aca="false">IF(Waterfall!W9&gt;Inputs!$F$29,Operations!W425/Waterfall!W9,"")</f>
        <v>2.25</v>
      </c>
      <c r="X11" s="22" t="n">
        <f aca="false">IF(Waterfall!X9&gt;Inputs!$F$29,Operations!X425/Waterfall!X9,"")</f>
        <v>2.25</v>
      </c>
      <c r="Y11" s="22" t="n">
        <f aca="false">IF(Waterfall!Y9&gt;Inputs!$F$29,Operations!Y425/Waterfall!Y9,"")</f>
        <v>2.25</v>
      </c>
      <c r="Z11" s="22" t="n">
        <f aca="false">IF(Waterfall!Z9&gt;Inputs!$F$29,Operations!Z425/Waterfall!Z9,"")</f>
        <v>2.25</v>
      </c>
      <c r="AA11" s="22" t="n">
        <f aca="false">IF(Waterfall!AA9&gt;Inputs!$F$29,Operations!AA425/Waterfall!AA9,"")</f>
        <v>2.25</v>
      </c>
      <c r="AB11" s="22" t="n">
        <f aca="false">IF(Waterfall!AB9&gt;Inputs!$F$29,Operations!AB425/Waterfall!AB9,"")</f>
        <v>2.25</v>
      </c>
      <c r="AC11" s="22" t="n">
        <f aca="false">IF(Waterfall!AC9&gt;Inputs!$F$29,Operations!AC425/Waterfall!AC9,"")</f>
        <v>2.25</v>
      </c>
      <c r="AD11" s="22" t="n">
        <f aca="false">IF(Waterfall!AD9&gt;Inputs!$F$29,Operations!AD425/Waterfall!AD9,"")</f>
        <v>2.25</v>
      </c>
      <c r="AE11" s="22" t="n">
        <f aca="false">IF(Waterfall!AE9&gt;Inputs!$F$29,Operations!AE425/Waterfall!AE9,"")</f>
        <v>2.25</v>
      </c>
      <c r="AF11" s="22" t="str">
        <f aca="false">IF(Waterfall!AF9&gt;Inputs!$F$29,Operations!AF425/Waterfall!AF9,"")</f>
        <v/>
      </c>
      <c r="AG11" s="22" t="str">
        <f aca="false">IF(Waterfall!AG9&gt;Inputs!$F$29,Operations!AG425/Waterfall!AG9,"")</f>
        <v/>
      </c>
      <c r="AH11" s="22" t="str">
        <f aca="false">IF(Waterfall!AH9&gt;Inputs!$F$29,Operations!AH425/Waterfall!AH9,"")</f>
        <v/>
      </c>
      <c r="AI11" s="22" t="str">
        <f aca="false">IF(Waterfall!AI9&gt;Inputs!$F$29,Operations!AI425/Waterfall!AI9,"")</f>
        <v/>
      </c>
      <c r="AJ11" s="22" t="str">
        <f aca="false">IF(Waterfall!AJ9&gt;Inputs!$F$29,Operations!AJ425/Waterfall!AJ9,"")</f>
        <v/>
      </c>
      <c r="AK11" s="22" t="str">
        <f aca="false">IF(Waterfall!AK9&gt;Inputs!$F$29,Operations!AK425/Waterfall!AK9,"")</f>
        <v/>
      </c>
      <c r="AL11" s="22" t="str">
        <f aca="false">IF(Waterfall!AL9&gt;Inputs!$F$29,Operations!AL425/Waterfall!AL9,"")</f>
        <v/>
      </c>
      <c r="AM11" s="22" t="str">
        <f aca="false">IF(Waterfall!AM9&gt;Inputs!$F$29,Operations!AM425/Waterfall!AM9,"")</f>
        <v/>
      </c>
      <c r="AN11" s="22" t="str">
        <f aca="false">IF(Waterfall!AN9&gt;Inputs!$F$29,Operations!AN425/Waterfall!AN9,"")</f>
        <v/>
      </c>
      <c r="AO11" s="22" t="str">
        <f aca="false">IF(Waterfall!AO9&gt;Inputs!$F$29,Operations!AO425/Waterfall!AO9,"")</f>
        <v/>
      </c>
      <c r="AP11" s="22" t="str">
        <f aca="false">IF(Waterfall!AP9&gt;Inputs!$F$29,Operations!AP425/Waterfall!AP9,"")</f>
        <v/>
      </c>
      <c r="AQ11" s="22" t="str">
        <f aca="false">IF(Waterfall!AQ9&gt;Inputs!$F$29,Operations!AQ425/Waterfall!AQ9,"")</f>
        <v/>
      </c>
      <c r="AR11" s="22" t="str">
        <f aca="false">IF(Waterfall!AR9&gt;Inputs!$F$29,Operations!AR425/Waterfall!AR9,"")</f>
        <v/>
      </c>
      <c r="AS11" s="22" t="str">
        <f aca="false">IF(Waterfall!AS9&gt;Inputs!$F$29,Operations!AS425/Waterfall!AS9,"")</f>
        <v/>
      </c>
      <c r="AT11" s="22" t="str">
        <f aca="false">IF(Waterfall!AT9&gt;Inputs!$F$29,Operations!AT425/Waterfall!AT9,"")</f>
        <v/>
      </c>
      <c r="AU11" s="22" t="str">
        <f aca="false">IF(Waterfall!AU9&gt;Inputs!$F$29,Operations!AU425/Waterfall!AU9,"")</f>
        <v/>
      </c>
    </row>
    <row r="12" customFormat="false" ht="15" hidden="false" customHeight="false" outlineLevel="0" collapsed="false">
      <c r="D12" s="0" t="s">
        <v>1104</v>
      </c>
      <c r="E12" s="0" t="s">
        <v>58</v>
      </c>
      <c r="J12" s="22" t="n">
        <f aca="false">IF(Debt!J67&gt;Inputs!$F$29,Waterfall!J10/Debt!J67,"")</f>
        <v>4.37629079376416</v>
      </c>
      <c r="K12" s="22" t="n">
        <f aca="false">IF(Debt!K67&gt;Inputs!$F$29,Waterfall!K10/Debt!K67,"")</f>
        <v>2.3564144592073</v>
      </c>
      <c r="L12" s="22" t="n">
        <f aca="false">IF(Debt!L67&gt;Inputs!$F$29,Waterfall!L10/Debt!L67,"")</f>
        <v>1.39845260293998</v>
      </c>
      <c r="M12" s="22" t="n">
        <f aca="false">IF(Debt!M67&gt;Inputs!$F$29,Waterfall!M10/Debt!M67,"")</f>
        <v>2.14874768863226</v>
      </c>
      <c r="N12" s="22" t="n">
        <f aca="false">IF(Debt!N67&gt;Inputs!$F$29,Waterfall!N10/Debt!N67,"")</f>
        <v>1.75</v>
      </c>
      <c r="O12" s="22" t="n">
        <f aca="false">IF(Debt!O67&gt;Inputs!$F$29,Waterfall!O10/Debt!O67,"")</f>
        <v>1.86837193570023</v>
      </c>
      <c r="P12" s="22" t="n">
        <f aca="false">IF(Debt!P67&gt;Inputs!$F$29,Waterfall!P10/Debt!P67,"")</f>
        <v>2.08487311217949</v>
      </c>
      <c r="Q12" s="22" t="n">
        <f aca="false">IF(Debt!Q67&gt;Inputs!$F$29,Waterfall!Q10/Debt!Q67,"")</f>
        <v>2.57999391306774</v>
      </c>
      <c r="R12" s="22" t="n">
        <f aca="false">IF(Debt!R67&gt;Inputs!$F$29,Waterfall!R10/Debt!R67,"")</f>
        <v>3.41926940674665</v>
      </c>
      <c r="S12" s="22" t="n">
        <f aca="false">IF(Debt!S67&gt;Inputs!$F$29,Waterfall!S10/Debt!S67,"")</f>
        <v>3.67213347229322</v>
      </c>
      <c r="T12" s="22" t="n">
        <f aca="false">IF(Debt!T67&gt;Inputs!$F$29,Waterfall!T10/Debt!T67,"")</f>
        <v>4.10679810530519</v>
      </c>
      <c r="U12" s="22" t="n">
        <f aca="false">IF(Debt!U67&gt;Inputs!$F$29,Waterfall!U10/Debt!U67,"")</f>
        <v>4.84200355072941</v>
      </c>
      <c r="V12" s="22" t="n">
        <f aca="false">IF(Debt!V67&gt;Inputs!$F$29,Waterfall!V10/Debt!V67,"")</f>
        <v>5.90941920086736</v>
      </c>
      <c r="W12" s="22" t="n">
        <f aca="false">IF(Debt!W67&gt;Inputs!$F$29,Waterfall!W10/Debt!W67,"")</f>
        <v>7.23691882413476</v>
      </c>
      <c r="X12" s="22" t="n">
        <f aca="false">IF(Debt!X67&gt;Inputs!$F$29,Waterfall!X10/Debt!X67,"")</f>
        <v>9.28971439419841</v>
      </c>
      <c r="Y12" s="22" t="n">
        <f aca="false">IF(Debt!Y67&gt;Inputs!$F$29,Waterfall!Y10/Debt!Y67,"")</f>
        <v>13.1680856553007</v>
      </c>
      <c r="Z12" s="22" t="n">
        <f aca="false">IF(Debt!Z67&gt;Inputs!$F$29,Waterfall!Z10/Debt!Z67,"")</f>
        <v>26.7990303705554</v>
      </c>
      <c r="AA12" s="22" t="str">
        <f aca="false">IF(Debt!AA67&gt;Inputs!$F$29,Waterfall!AA10/Debt!AA67,"")</f>
        <v/>
      </c>
      <c r="AB12" s="22" t="str">
        <f aca="false">IF(Debt!AB67&gt;Inputs!$F$29,Waterfall!AB10/Debt!AB67,"")</f>
        <v/>
      </c>
      <c r="AC12" s="22" t="str">
        <f aca="false">IF(Debt!AC67&gt;Inputs!$F$29,Waterfall!AC10/Debt!AC67,"")</f>
        <v/>
      </c>
      <c r="AD12" s="22" t="str">
        <f aca="false">IF(Debt!AD67&gt;Inputs!$F$29,Waterfall!AD10/Debt!AD67,"")</f>
        <v/>
      </c>
      <c r="AE12" s="22" t="str">
        <f aca="false">IF(Debt!AE67&gt;Inputs!$F$29,Waterfall!AE10/Debt!AE67,"")</f>
        <v/>
      </c>
      <c r="AF12" s="22" t="str">
        <f aca="false">IF(Debt!AF67&gt;Inputs!$F$29,Waterfall!AF10/Debt!AF67,"")</f>
        <v/>
      </c>
      <c r="AG12" s="22" t="str">
        <f aca="false">IF(Debt!AG67&gt;Inputs!$F$29,Waterfall!AG10/Debt!AG67,"")</f>
        <v/>
      </c>
      <c r="AH12" s="22" t="str">
        <f aca="false">IF(Debt!AH67&gt;Inputs!$F$29,Waterfall!AH10/Debt!AH67,"")</f>
        <v/>
      </c>
      <c r="AI12" s="22" t="str">
        <f aca="false">IF(Debt!AI67&gt;Inputs!$F$29,Waterfall!AI10/Debt!AI67,"")</f>
        <v/>
      </c>
      <c r="AJ12" s="22" t="str">
        <f aca="false">IF(Debt!AJ67&gt;Inputs!$F$29,Waterfall!AJ10/Debt!AJ67,"")</f>
        <v/>
      </c>
      <c r="AK12" s="22" t="str">
        <f aca="false">IF(Debt!AK67&gt;Inputs!$F$29,Waterfall!AK10/Debt!AK67,"")</f>
        <v/>
      </c>
      <c r="AL12" s="22" t="str">
        <f aca="false">IF(Debt!AL67&gt;Inputs!$F$29,Waterfall!AL10/Debt!AL67,"")</f>
        <v/>
      </c>
      <c r="AM12" s="22" t="str">
        <f aca="false">IF(Debt!AM67&gt;Inputs!$F$29,Waterfall!AM10/Debt!AM67,"")</f>
        <v/>
      </c>
      <c r="AN12" s="22" t="str">
        <f aca="false">IF(Debt!AN67&gt;Inputs!$F$29,Waterfall!AN10/Debt!AN67,"")</f>
        <v/>
      </c>
      <c r="AO12" s="22" t="str">
        <f aca="false">IF(Debt!AO67&gt;Inputs!$F$29,Waterfall!AO10/Debt!AO67,"")</f>
        <v/>
      </c>
      <c r="AP12" s="22" t="str">
        <f aca="false">IF(Debt!AP67&gt;Inputs!$F$29,Waterfall!AP10/Debt!AP67,"")</f>
        <v/>
      </c>
      <c r="AQ12" s="22" t="str">
        <f aca="false">IF(Debt!AQ67&gt;Inputs!$F$29,Waterfall!AQ10/Debt!AQ67,"")</f>
        <v/>
      </c>
      <c r="AR12" s="22" t="str">
        <f aca="false">IF(Debt!AR67&gt;Inputs!$F$29,Waterfall!AR10/Debt!AR67,"")</f>
        <v/>
      </c>
      <c r="AS12" s="22" t="str">
        <f aca="false">IF(Debt!AS67&gt;Inputs!$F$29,Waterfall!AS10/Debt!AS67,"")</f>
        <v/>
      </c>
      <c r="AT12" s="22" t="str">
        <f aca="false">IF(Debt!AT67&gt;Inputs!$F$29,Waterfall!AT10/Debt!AT67,"")</f>
        <v/>
      </c>
      <c r="AU12" s="22" t="str">
        <f aca="false">IF(Debt!AU67&gt;Inputs!$F$29,Waterfall!AU10/Debt!AU67,"")</f>
        <v/>
      </c>
    </row>
    <row r="14" customFormat="false" ht="15" hidden="false" customHeight="false" outlineLevel="0" collapsed="false">
      <c r="A14" s="4" t="s">
        <v>1105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</row>
    <row r="15" customFormat="false" ht="15" hidden="false" customHeight="false" outlineLevel="0" collapsed="false">
      <c r="D15" s="0" t="s">
        <v>1106</v>
      </c>
      <c r="E15" s="0" t="s">
        <v>58</v>
      </c>
      <c r="F15" s="22" t="n">
        <f aca="false">IF(SUMPRODUCT(ISNUMBER(Ratios!$J$8:$AU$8)*(Time!$J$4:$AU$4&gt;=2022)*(Time!$J$4:$AU$4&lt;=2025))=0,"",_xlfn.MINIFS(Ratios!$J$8:$AU$8,Time!$J$4:$AU$4,"&gt;="&amp;2022,Time!$J$4:$AU$4,"&lt;="&amp;2025))</f>
        <v>1.34929089014743</v>
      </c>
    </row>
    <row r="16" customFormat="false" ht="15" hidden="false" customHeight="false" outlineLevel="0" collapsed="false">
      <c r="D16" s="0" t="s">
        <v>1107</v>
      </c>
      <c r="E16" s="0" t="s">
        <v>58</v>
      </c>
      <c r="F16" s="22" t="n">
        <f aca="false">IFERROR(AVERAGEIFS(Ratios!$J$8:$AU$8,Time!$J$4:$AU$4,"&gt;="&amp;2022,Time!$J$4:$AU$4,"&lt;="&amp;2025),"")</f>
        <v>1.39480119957761</v>
      </c>
    </row>
    <row r="17" customFormat="false" ht="15" hidden="false" customHeight="false" outlineLevel="0" collapsed="false">
      <c r="D17" s="0" t="s">
        <v>1108</v>
      </c>
      <c r="E17" s="0" t="s">
        <v>58</v>
      </c>
      <c r="F17" s="22" t="n">
        <f aca="false">IF(SUMPRODUCT(ISNUMBER(Ratios!$J$10:$AU$10)*(Time!$J$4:$AU$4&gt;=2026)*(Time!$J$4:$AU$4&lt;=2043))=0,"",_xlfn.MINIFS(Ratios!$J$10:$AU$10,Time!$J$4:$AU$4,"&gt;="&amp;2026,Time!$J$4:$AU$4,"&lt;="&amp;2043))</f>
        <v>1.43072257718476</v>
      </c>
    </row>
    <row r="18" customFormat="false" ht="15" hidden="false" customHeight="false" outlineLevel="0" collapsed="false">
      <c r="D18" s="0" t="s">
        <v>1109</v>
      </c>
      <c r="E18" s="0" t="s">
        <v>58</v>
      </c>
      <c r="F18" s="22" t="n">
        <f aca="false">IFERROR(AVERAGEIFS(Ratios!$J$10:$AU$10,Time!$J$4:$AU$4,"&gt;="&amp;2026,Time!$J$4:$AU$4,"&lt;="&amp;2043),"")</f>
        <v>2.02731831356737</v>
      </c>
    </row>
    <row r="19" customFormat="false" ht="15" hidden="false" customHeight="false" outlineLevel="0" collapsed="false">
      <c r="D19" s="0" t="s">
        <v>1110</v>
      </c>
      <c r="E19" s="0" t="s">
        <v>58</v>
      </c>
      <c r="F19" s="22" t="n">
        <f aca="false">IF(SUMPRODUCT(ISNUMBER(Ratios!$J$9:$AU$9)*(Time!$J$4:$AU$4&gt;=2024)*(Time!$J$4:$AU$4&lt;=2029))=0,"",_xlfn.MINIFS(Ratios!$J$9:$AU$9,Time!$J$4:$AU$4,"&gt;="&amp;2024,Time!$J$4:$AU$4,"&lt;="&amp;2029))</f>
        <v>1.35</v>
      </c>
    </row>
    <row r="20" customFormat="false" ht="15" hidden="false" customHeight="false" outlineLevel="0" collapsed="false">
      <c r="D20" s="0" t="s">
        <v>1111</v>
      </c>
      <c r="E20" s="0" t="s">
        <v>58</v>
      </c>
      <c r="F20" s="22" t="n">
        <f aca="false">IFERROR(AVERAGEIFS(Ratios!$J$9:$AU$9,Time!$J$4:$AU$4,"&gt;="&amp;2024,Time!$J$4:$AU$4,"&lt;="&amp;2029),"")</f>
        <v>1.35</v>
      </c>
    </row>
    <row r="21" customFormat="false" ht="15" hidden="false" customHeight="false" outlineLevel="0" collapsed="false">
      <c r="D21" s="0" t="s">
        <v>1112</v>
      </c>
      <c r="E21" s="0" t="s">
        <v>58</v>
      </c>
      <c r="F21" s="22" t="n">
        <f aca="false">IF(SUMPRODUCT(ISNUMBER(Ratios!$J$12:$AU$12)*(Time!$J$4:$AU$4&gt;=2023)*(Time!$J$4:$AU$4&lt;=2031))=0,"",_xlfn.MINIFS(Ratios!$J$12:$AU$12,Time!$J$4:$AU$4,"&gt;="&amp;2023,Time!$J$4:$AU$4,"&lt;="&amp;2031))</f>
        <v>1.39845260293998</v>
      </c>
    </row>
    <row r="22" customFormat="false" ht="15" hidden="false" customHeight="false" outlineLevel="0" collapsed="false">
      <c r="D22" s="0" t="s">
        <v>1113</v>
      </c>
      <c r="E22" s="0" t="s">
        <v>58</v>
      </c>
      <c r="F22" s="22" t="n">
        <f aca="false">IFERROR(AVERAGEIFS(Ratios!$J$12:$AU$12,Time!$J$4:$AU$4,"&gt;="&amp;2023,Time!$J$4:$AU$4,"&lt;="&amp;2031),"")</f>
        <v>2.36425073230743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1114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1115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1116</v>
      </c>
      <c r="E8" s="0" t="s">
        <v>51</v>
      </c>
      <c r="J8" s="14" t="n">
        <f aca="false">MAX(0,(Time!J$6-Inputs!$F$263)/Inputs!$F$27)</f>
        <v>0.778082191780822</v>
      </c>
      <c r="K8" s="14" t="n">
        <f aca="false">MAX(0,(Time!K$6-Inputs!$F$263)/Inputs!$F$27)</f>
        <v>1.77808219178082</v>
      </c>
      <c r="L8" s="14" t="n">
        <f aca="false">MAX(0,(Time!L$6-Inputs!$F$263)/Inputs!$F$27)</f>
        <v>2.78082191780822</v>
      </c>
      <c r="M8" s="14" t="n">
        <f aca="false">MAX(0,(Time!M$6-Inputs!$F$263)/Inputs!$F$27)</f>
        <v>3.78082191780822</v>
      </c>
      <c r="N8" s="14" t="n">
        <f aca="false">MAX(0,(Time!N$6-Inputs!$F$263)/Inputs!$F$27)</f>
        <v>4.78082191780822</v>
      </c>
      <c r="O8" s="14" t="n">
        <f aca="false">MAX(0,(Time!O$6-Inputs!$F$263)/Inputs!$F$27)</f>
        <v>5.78082191780822</v>
      </c>
      <c r="P8" s="14" t="n">
        <f aca="false">MAX(0,(Time!P$6-Inputs!$F$263)/Inputs!$F$27)</f>
        <v>6.78356164383562</v>
      </c>
      <c r="Q8" s="14" t="n">
        <f aca="false">MAX(0,(Time!Q$6-Inputs!$F$263)/Inputs!$F$27)</f>
        <v>7.78356164383562</v>
      </c>
      <c r="R8" s="14" t="n">
        <f aca="false">MAX(0,(Time!R$6-Inputs!$F$263)/Inputs!$F$27)</f>
        <v>8.78356164383562</v>
      </c>
      <c r="S8" s="14" t="n">
        <f aca="false">MAX(0,(Time!S$6-Inputs!$F$263)/Inputs!$F$27)</f>
        <v>9.78356164383562</v>
      </c>
      <c r="T8" s="14" t="n">
        <f aca="false">MAX(0,(Time!T$6-Inputs!$F$263)/Inputs!$F$27)</f>
        <v>10.786301369863</v>
      </c>
      <c r="U8" s="14" t="n">
        <f aca="false">MAX(0,(Time!U$6-Inputs!$F$263)/Inputs!$F$27)</f>
        <v>11.786301369863</v>
      </c>
      <c r="V8" s="14" t="n">
        <f aca="false">MAX(0,(Time!V$6-Inputs!$F$263)/Inputs!$F$27)</f>
        <v>12.786301369863</v>
      </c>
      <c r="W8" s="14" t="n">
        <f aca="false">MAX(0,(Time!W$6-Inputs!$F$263)/Inputs!$F$27)</f>
        <v>13.786301369863</v>
      </c>
      <c r="X8" s="14" t="n">
        <f aca="false">MAX(0,(Time!X$6-Inputs!$F$263)/Inputs!$F$27)</f>
        <v>14.7890410958904</v>
      </c>
      <c r="Y8" s="14" t="n">
        <f aca="false">MAX(0,(Time!Y$6-Inputs!$F$263)/Inputs!$F$27)</f>
        <v>15.7890410958904</v>
      </c>
      <c r="Z8" s="14" t="n">
        <f aca="false">MAX(0,(Time!Z$6-Inputs!$F$263)/Inputs!$F$27)</f>
        <v>16.7890410958904</v>
      </c>
      <c r="AA8" s="14" t="n">
        <f aca="false">MAX(0,(Time!AA$6-Inputs!$F$263)/Inputs!$F$27)</f>
        <v>17.7890410958904</v>
      </c>
      <c r="AB8" s="14" t="n">
        <f aca="false">MAX(0,(Time!AB$6-Inputs!$F$263)/Inputs!$F$27)</f>
        <v>18.7917808219178</v>
      </c>
      <c r="AC8" s="14" t="n">
        <f aca="false">MAX(0,(Time!AC$6-Inputs!$F$263)/Inputs!$F$27)</f>
        <v>19.7917808219178</v>
      </c>
      <c r="AD8" s="14" t="n">
        <f aca="false">MAX(0,(Time!AD$6-Inputs!$F$263)/Inputs!$F$27)</f>
        <v>20.7917808219178</v>
      </c>
      <c r="AE8" s="14" t="n">
        <f aca="false">MAX(0,(Time!AE$6-Inputs!$F$263)/Inputs!$F$27)</f>
        <v>21.7917808219178</v>
      </c>
      <c r="AF8" s="14" t="n">
        <f aca="false">MAX(0,(Time!AF$6-Inputs!$F$263)/Inputs!$F$27)</f>
        <v>22.7945205479452</v>
      </c>
      <c r="AG8" s="14" t="n">
        <f aca="false">MAX(0,(Time!AG$6-Inputs!$F$263)/Inputs!$F$27)</f>
        <v>23.7945205479452</v>
      </c>
      <c r="AH8" s="14" t="n">
        <f aca="false">MAX(0,(Time!AH$6-Inputs!$F$263)/Inputs!$F$27)</f>
        <v>24.7945205479452</v>
      </c>
      <c r="AI8" s="14" t="n">
        <f aca="false">MAX(0,(Time!AI$6-Inputs!$F$263)/Inputs!$F$27)</f>
        <v>25.7945205479452</v>
      </c>
      <c r="AJ8" s="14" t="n">
        <f aca="false">MAX(0,(Time!AJ$6-Inputs!$F$263)/Inputs!$F$27)</f>
        <v>26.7972602739726</v>
      </c>
      <c r="AK8" s="14" t="n">
        <f aca="false">MAX(0,(Time!AK$6-Inputs!$F$263)/Inputs!$F$27)</f>
        <v>27.7972602739726</v>
      </c>
      <c r="AL8" s="14" t="n">
        <f aca="false">MAX(0,(Time!AL$6-Inputs!$F$263)/Inputs!$F$27)</f>
        <v>28.7972602739726</v>
      </c>
      <c r="AM8" s="14" t="n">
        <f aca="false">MAX(0,(Time!AM$6-Inputs!$F$263)/Inputs!$F$27)</f>
        <v>29.7972602739726</v>
      </c>
      <c r="AN8" s="14" t="n">
        <f aca="false">MAX(0,(Time!AN$6-Inputs!$F$263)/Inputs!$F$27)</f>
        <v>30.8</v>
      </c>
      <c r="AO8" s="14" t="n">
        <f aca="false">MAX(0,(Time!AO$6-Inputs!$F$263)/Inputs!$F$27)</f>
        <v>31.8</v>
      </c>
      <c r="AP8" s="14" t="n">
        <f aca="false">MAX(0,(Time!AP$6-Inputs!$F$263)/Inputs!$F$27)</f>
        <v>32.8</v>
      </c>
      <c r="AQ8" s="14" t="n">
        <f aca="false">MAX(0,(Time!AQ$6-Inputs!$F$263)/Inputs!$F$27)</f>
        <v>33.8</v>
      </c>
      <c r="AR8" s="14" t="n">
        <f aca="false">MAX(0,(Time!AR$6-Inputs!$F$263)/Inputs!$F$27)</f>
        <v>34.8027397260274</v>
      </c>
      <c r="AS8" s="14" t="n">
        <f aca="false">MAX(0,(Time!AS$6-Inputs!$F$263)/Inputs!$F$27)</f>
        <v>35.8027397260274</v>
      </c>
      <c r="AT8" s="14" t="n">
        <f aca="false">MAX(0,(Time!AT$6-Inputs!$F$263)/Inputs!$F$27)</f>
        <v>36.8027397260274</v>
      </c>
      <c r="AU8" s="14" t="n">
        <f aca="false">MAX(0,(Time!AU$6-Inputs!$F$263)/Inputs!$F$27)</f>
        <v>37.8027397260274</v>
      </c>
    </row>
    <row r="9" customFormat="false" ht="15" hidden="false" customHeight="false" outlineLevel="0" collapsed="false">
      <c r="D9" s="0" t="s">
        <v>1117</v>
      </c>
      <c r="E9" s="0" t="s">
        <v>20</v>
      </c>
      <c r="J9" s="12" t="n">
        <f aca="false">--(Time!J$6&gt;=Inputs!$F$263)</f>
        <v>1</v>
      </c>
      <c r="K9" s="12" t="n">
        <f aca="false">--(Time!K$6&gt;=Inputs!$F$263)</f>
        <v>1</v>
      </c>
      <c r="L9" s="12" t="n">
        <f aca="false">--(Time!L$6&gt;=Inputs!$F$263)</f>
        <v>1</v>
      </c>
      <c r="M9" s="12" t="n">
        <f aca="false">--(Time!M$6&gt;=Inputs!$F$263)</f>
        <v>1</v>
      </c>
      <c r="N9" s="12" t="n">
        <f aca="false">--(Time!N$6&gt;=Inputs!$F$263)</f>
        <v>1</v>
      </c>
      <c r="O9" s="12" t="n">
        <f aca="false">--(Time!O$6&gt;=Inputs!$F$263)</f>
        <v>1</v>
      </c>
      <c r="P9" s="12" t="n">
        <f aca="false">--(Time!P$6&gt;=Inputs!$F$263)</f>
        <v>1</v>
      </c>
      <c r="Q9" s="12" t="n">
        <f aca="false">--(Time!Q$6&gt;=Inputs!$F$263)</f>
        <v>1</v>
      </c>
      <c r="R9" s="12" t="n">
        <f aca="false">--(Time!R$6&gt;=Inputs!$F$263)</f>
        <v>1</v>
      </c>
      <c r="S9" s="12" t="n">
        <f aca="false">--(Time!S$6&gt;=Inputs!$F$263)</f>
        <v>1</v>
      </c>
      <c r="T9" s="12" t="n">
        <f aca="false">--(Time!T$6&gt;=Inputs!$F$263)</f>
        <v>1</v>
      </c>
      <c r="U9" s="12" t="n">
        <f aca="false">--(Time!U$6&gt;=Inputs!$F$263)</f>
        <v>1</v>
      </c>
      <c r="V9" s="12" t="n">
        <f aca="false">--(Time!V$6&gt;=Inputs!$F$263)</f>
        <v>1</v>
      </c>
      <c r="W9" s="12" t="n">
        <f aca="false">--(Time!W$6&gt;=Inputs!$F$263)</f>
        <v>1</v>
      </c>
      <c r="X9" s="12" t="n">
        <f aca="false">--(Time!X$6&gt;=Inputs!$F$263)</f>
        <v>1</v>
      </c>
      <c r="Y9" s="12" t="n">
        <f aca="false">--(Time!Y$6&gt;=Inputs!$F$263)</f>
        <v>1</v>
      </c>
      <c r="Z9" s="12" t="n">
        <f aca="false">--(Time!Z$6&gt;=Inputs!$F$263)</f>
        <v>1</v>
      </c>
      <c r="AA9" s="12" t="n">
        <f aca="false">--(Time!AA$6&gt;=Inputs!$F$263)</f>
        <v>1</v>
      </c>
      <c r="AB9" s="12" t="n">
        <f aca="false">--(Time!AB$6&gt;=Inputs!$F$263)</f>
        <v>1</v>
      </c>
      <c r="AC9" s="12" t="n">
        <f aca="false">--(Time!AC$6&gt;=Inputs!$F$263)</f>
        <v>1</v>
      </c>
      <c r="AD9" s="12" t="n">
        <f aca="false">--(Time!AD$6&gt;=Inputs!$F$263)</f>
        <v>1</v>
      </c>
      <c r="AE9" s="12" t="n">
        <f aca="false">--(Time!AE$6&gt;=Inputs!$F$263)</f>
        <v>1</v>
      </c>
      <c r="AF9" s="12" t="n">
        <f aca="false">--(Time!AF$6&gt;=Inputs!$F$263)</f>
        <v>1</v>
      </c>
      <c r="AG9" s="12" t="n">
        <f aca="false">--(Time!AG$6&gt;=Inputs!$F$263)</f>
        <v>1</v>
      </c>
      <c r="AH9" s="12" t="n">
        <f aca="false">--(Time!AH$6&gt;=Inputs!$F$263)</f>
        <v>1</v>
      </c>
      <c r="AI9" s="12" t="n">
        <f aca="false">--(Time!AI$6&gt;=Inputs!$F$263)</f>
        <v>1</v>
      </c>
      <c r="AJ9" s="12" t="n">
        <f aca="false">--(Time!AJ$6&gt;=Inputs!$F$263)</f>
        <v>1</v>
      </c>
      <c r="AK9" s="12" t="n">
        <f aca="false">--(Time!AK$6&gt;=Inputs!$F$263)</f>
        <v>1</v>
      </c>
      <c r="AL9" s="12" t="n">
        <f aca="false">--(Time!AL$6&gt;=Inputs!$F$263)</f>
        <v>1</v>
      </c>
      <c r="AM9" s="12" t="n">
        <f aca="false">--(Time!AM$6&gt;=Inputs!$F$263)</f>
        <v>1</v>
      </c>
      <c r="AN9" s="12" t="n">
        <f aca="false">--(Time!AN$6&gt;=Inputs!$F$263)</f>
        <v>1</v>
      </c>
      <c r="AO9" s="12" t="n">
        <f aca="false">--(Time!AO$6&gt;=Inputs!$F$263)</f>
        <v>1</v>
      </c>
      <c r="AP9" s="12" t="n">
        <f aca="false">--(Time!AP$6&gt;=Inputs!$F$263)</f>
        <v>1</v>
      </c>
      <c r="AQ9" s="12" t="n">
        <f aca="false">--(Time!AQ$6&gt;=Inputs!$F$263)</f>
        <v>1</v>
      </c>
      <c r="AR9" s="12" t="n">
        <f aca="false">--(Time!AR$6&gt;=Inputs!$F$263)</f>
        <v>1</v>
      </c>
      <c r="AS9" s="12" t="n">
        <f aca="false">--(Time!AS$6&gt;=Inputs!$F$263)</f>
        <v>1</v>
      </c>
      <c r="AT9" s="12" t="n">
        <f aca="false">--(Time!AT$6&gt;=Inputs!$F$263)</f>
        <v>1</v>
      </c>
      <c r="AU9" s="12" t="n">
        <f aca="false">--(Time!AU$6&gt;=Inputs!$F$263)</f>
        <v>1</v>
      </c>
    </row>
    <row r="10" customFormat="false" ht="15" hidden="false" customHeight="false" outlineLevel="0" collapsed="false">
      <c r="D10" s="0" t="s">
        <v>1118</v>
      </c>
      <c r="E10" s="0" t="s">
        <v>27</v>
      </c>
      <c r="J10" s="14" t="n">
        <f aca="false">IF(Time!J$4&gt;Inputs!$F$342,(1+Inputs!$F$341/100)^(-Returns!J8),(1+Inputs!$F$337/100)^(-Returns!J8))*Returns!J9</f>
        <v>0.95044601663901</v>
      </c>
      <c r="K10" s="14" t="n">
        <f aca="false">IF(Time!K$4&gt;Inputs!$F$342,(1+Inputs!$F$341/100)^(-Returns!K8),(1+Inputs!$F$337/100)^(-Returns!K8))*Returns!K9</f>
        <v>0.890347556570501</v>
      </c>
      <c r="L10" s="14" t="n">
        <f aca="false">IF(Time!L$4&gt;Inputs!$F$342,(1+Inputs!$F$341/100)^(-Returns!L8),(1+Inputs!$F$337/100)^(-Returns!L8))*Returns!L9</f>
        <v>0.83389998735923</v>
      </c>
      <c r="M10" s="14" t="n">
        <f aca="false">IF(Time!M$4&gt;Inputs!$F$342,(1+Inputs!$F$341/100)^(-Returns!M8),(1+Inputs!$F$337/100)^(-Returns!M8))*Returns!M9</f>
        <v>0.781170948345883</v>
      </c>
      <c r="N10" s="14" t="n">
        <f aca="false">IF(Time!N$4&gt;Inputs!$F$342,(1+Inputs!$F$341/100)^(-Returns!N8),(1+Inputs!$F$337/100)^(-Returns!N8))*Returns!N9</f>
        <v>0.731776064024246</v>
      </c>
      <c r="O10" s="14" t="n">
        <f aca="false">IF(Time!O$4&gt;Inputs!$F$342,(1+Inputs!$F$341/100)^(-Returns!O8),(1+Inputs!$F$337/100)^(-Returns!O8))*Returns!O9</f>
        <v>0.685504509624587</v>
      </c>
      <c r="P10" s="14" t="n">
        <f aca="false">IF(Time!P$4&gt;Inputs!$F$342,(1+Inputs!$F$341/100)^(-Returns!P8),(1+Inputs!$F$337/100)^(-Returns!P8))*Returns!P9</f>
        <v>0.642043882405346</v>
      </c>
      <c r="Q10" s="14" t="n">
        <f aca="false">IF(Time!Q$4&gt;Inputs!$F$342,(1+Inputs!$F$341/100)^(-Returns!Q8),(1+Inputs!$F$337/100)^(-Returns!Q8))*Returns!Q9</f>
        <v>0.601446259864493</v>
      </c>
      <c r="R10" s="14" t="n">
        <f aca="false">IF(Time!R$4&gt;Inputs!$F$342,(1+Inputs!$F$341/100)^(-Returns!R8),(1+Inputs!$F$337/100)^(-Returns!R8))*Returns!R9</f>
        <v>0.563415700107253</v>
      </c>
      <c r="S10" s="14" t="n">
        <f aca="false">IF(Time!S$4&gt;Inputs!$F$342,(1+Inputs!$F$341/100)^(-Returns!S8),(1+Inputs!$F$337/100)^(-Returns!S8))*Returns!S9</f>
        <v>0.527789883004453</v>
      </c>
      <c r="T10" s="14" t="n">
        <f aca="false">IF(Time!T$4&gt;Inputs!$F$342,(1+Inputs!$F$341/100)^(-Returns!T8),(1+Inputs!$F$337/100)^(-Returns!T8))*Returns!T9</f>
        <v>0.494328280588584</v>
      </c>
      <c r="U10" s="14" t="n">
        <f aca="false">IF(Time!U$4&gt;Inputs!$F$342,(1+Inputs!$F$341/100)^(-Returns!U8),(1+Inputs!$F$337/100)^(-Returns!U8))*Returns!U9</f>
        <v>0.463070988841765</v>
      </c>
      <c r="V10" s="14" t="n">
        <f aca="false">IF(Time!V$4&gt;Inputs!$F$342,(1+Inputs!$F$341/100)^(-Returns!V8),(1+Inputs!$F$337/100)^(-Returns!V8))*Returns!V9</f>
        <v>0.433790153481747</v>
      </c>
      <c r="W10" s="14" t="n">
        <f aca="false">IF(Time!W$4&gt;Inputs!$F$342,(1+Inputs!$F$341/100)^(-Returns!W8),(1+Inputs!$F$337/100)^(-Returns!W8))*Returns!W9</f>
        <v>0.406360799514517</v>
      </c>
      <c r="X10" s="14" t="n">
        <f aca="false">IF(Time!X$4&gt;Inputs!$F$342,(1+Inputs!$F$341/100)^(-Returns!X8),(1+Inputs!$F$337/100)^(-Returns!X8))*Returns!X9</f>
        <v>0.380597737454014</v>
      </c>
      <c r="Y10" s="14" t="n">
        <f aca="false">IF(Time!Y$4&gt;Inputs!$F$342,(1+Inputs!$F$341/100)^(-Returns!Y8),(1+Inputs!$F$337/100)^(-Returns!Y8))*Returns!Y9</f>
        <v>0.356531838364416</v>
      </c>
      <c r="Z10" s="14" t="n">
        <f aca="false">IF(Time!Z$4&gt;Inputs!$F$342,(1+Inputs!$F$341/100)^(-Returns!Z8),(1+Inputs!$F$337/100)^(-Returns!Z8))*Returns!Z9</f>
        <v>0.333987670598984</v>
      </c>
      <c r="AA10" s="14" t="n">
        <f aca="false">IF(Time!AA$4&gt;Inputs!$F$342,(1+Inputs!$F$341/100)^(-Returns!AA8),(1+Inputs!$F$337/100)^(-Returns!AA8))*Returns!AA9</f>
        <v>0.312869012270711</v>
      </c>
      <c r="AB10" s="14" t="n">
        <f aca="false">IF(Time!AB$4&gt;Inputs!$F$342,(1+Inputs!$F$341/100)^(-Returns!AB8),(1+Inputs!$F$337/100)^(-Returns!AB8))*Returns!AB9</f>
        <v>0.293033280601789</v>
      </c>
      <c r="AC10" s="14" t="n">
        <f aca="false">IF(Time!AC$4&gt;Inputs!$F$342,(1+Inputs!$F$341/100)^(-Returns!AC8),(1+Inputs!$F$337/100)^(-Returns!AC8))*Returns!AC9</f>
        <v>0.138606404357044</v>
      </c>
      <c r="AD10" s="14" t="n">
        <f aca="false">IF(Time!AD$4&gt;Inputs!$F$342,(1+Inputs!$F$341/100)^(-Returns!AD8),(1+Inputs!$F$337/100)^(-Returns!AD8))*Returns!AD9</f>
        <v>0.125435660051624</v>
      </c>
      <c r="AE10" s="14" t="n">
        <f aca="false">IF(Time!AE$4&gt;Inputs!$F$342,(1+Inputs!$F$341/100)^(-Returns!AE8),(1+Inputs!$F$337/100)^(-Returns!AE8))*Returns!AE9</f>
        <v>0.113516434435858</v>
      </c>
      <c r="AF10" s="14" t="n">
        <f aca="false">IF(Time!AF$4&gt;Inputs!$F$342,(1+Inputs!$F$341/100)^(-Returns!AF8),(1+Inputs!$F$337/100)^(-Returns!AF8))*Returns!AF9</f>
        <v>0.102701707141237</v>
      </c>
      <c r="AG10" s="14" t="n">
        <f aca="false">IF(Time!AG$4&gt;Inputs!$F$342,(1+Inputs!$F$341/100)^(-Returns!AG8),(1+Inputs!$F$337/100)^(-Returns!AG8))*Returns!AG9</f>
        <v>0.0929427213947846</v>
      </c>
      <c r="AH10" s="14" t="n">
        <f aca="false">IF(Time!AH$4&gt;Inputs!$F$342,(1+Inputs!$F$341/100)^(-Returns!AH8),(1+Inputs!$F$337/100)^(-Returns!AH8))*Returns!AH9</f>
        <v>0.0841110600857779</v>
      </c>
      <c r="AI10" s="14" t="n">
        <f aca="false">IF(Time!AI$4&gt;Inputs!$F$342,(1+Inputs!$F$341/100)^(-Returns!AI8),(1+Inputs!$F$337/100)^(-Returns!AI8))*Returns!AI9</f>
        <v>0.0761186064124687</v>
      </c>
      <c r="AJ10" s="14" t="n">
        <f aca="false">IF(Time!AJ$4&gt;Inputs!$F$342,(1+Inputs!$F$341/100)^(-Returns!AJ8),(1+Inputs!$F$337/100)^(-Returns!AJ8))*Returns!AJ9</f>
        <v>0.0688667756578424</v>
      </c>
      <c r="AK10" s="14" t="n">
        <f aca="false">IF(Time!AK$4&gt;Inputs!$F$342,(1+Inputs!$F$341/100)^(-Returns!AK8),(1+Inputs!$F$337/100)^(-Returns!AK8))*Returns!AK9</f>
        <v>0.0623228738984999</v>
      </c>
      <c r="AL10" s="14" t="n">
        <f aca="false">IF(Time!AL$4&gt;Inputs!$F$342,(1+Inputs!$F$341/100)^(-Returns!AL8),(1+Inputs!$F$337/100)^(-Returns!AL8))*Returns!AL9</f>
        <v>0.056400790858371</v>
      </c>
      <c r="AM10" s="14" t="n">
        <f aca="false">IF(Time!AM$4&gt;Inputs!$F$342,(1+Inputs!$F$341/100)^(-Returns!AM8),(1+Inputs!$F$337/100)^(-Returns!AM8))*Returns!AM9</f>
        <v>0.0510414396908335</v>
      </c>
      <c r="AN10" s="14" t="n">
        <f aca="false">IF(Time!AN$4&gt;Inputs!$F$342,(1+Inputs!$F$341/100)^(-Returns!AN8),(1+Inputs!$F$337/100)^(-Returns!AN8))*Returns!AN9</f>
        <v>0.0461787142738091</v>
      </c>
      <c r="AO10" s="14" t="n">
        <f aca="false">IF(Time!AO$4&gt;Inputs!$F$342,(1+Inputs!$F$341/100)^(-Returns!AO8),(1+Inputs!$F$337/100)^(-Returns!AO8))*Returns!AO9</f>
        <v>0.0417906916505059</v>
      </c>
      <c r="AP10" s="14" t="n">
        <f aca="false">IF(Time!AP$4&gt;Inputs!$F$342,(1+Inputs!$F$341/100)^(-Returns!AP8),(1+Inputs!$F$337/100)^(-Returns!AP8))*Returns!AP9</f>
        <v>0.0378196304529466</v>
      </c>
      <c r="AQ10" s="14" t="n">
        <f aca="false">IF(Time!AQ$4&gt;Inputs!$F$342,(1+Inputs!$F$341/100)^(-Returns!AQ8),(1+Inputs!$F$337/100)^(-Returns!AQ8))*Returns!AQ9</f>
        <v>0.0342259099121688</v>
      </c>
      <c r="AR10" s="14" t="n">
        <f aca="false">IF(Time!AR$4&gt;Inputs!$F$342,(1+Inputs!$F$341/100)^(-Returns!AR8),(1+Inputs!$F$337/100)^(-Returns!AR8))*Returns!AR9</f>
        <v>0.0309652024740795</v>
      </c>
      <c r="AS10" s="14" t="n">
        <f aca="false">IF(Time!AS$4&gt;Inputs!$F$342,(1+Inputs!$F$341/100)^(-Returns!AS8),(1+Inputs!$F$337/100)^(-Returns!AS8))*Returns!AS9</f>
        <v>0.0280228076688502</v>
      </c>
      <c r="AT10" s="14" t="n">
        <f aca="false">IF(Time!AT$4&gt;Inputs!$F$342,(1+Inputs!$F$341/100)^(-Returns!AT8),(1+Inputs!$F$337/100)^(-Returns!AT8))*Returns!AT9</f>
        <v>0.0253600069401359</v>
      </c>
      <c r="AU10" s="14" t="n">
        <f aca="false">IF(Time!AU$4&gt;Inputs!$F$342,(1+Inputs!$F$341/100)^(-Returns!AU8),(1+Inputs!$F$337/100)^(-Returns!AU8))*Returns!AU9</f>
        <v>0.0229502325250099</v>
      </c>
    </row>
    <row r="11" customFormat="false" ht="15" hidden="false" customHeight="false" outlineLevel="0" collapsed="false">
      <c r="D11" s="0" t="s">
        <v>1119</v>
      </c>
      <c r="E11" s="0" t="s">
        <v>27</v>
      </c>
      <c r="J11" s="14" t="n">
        <f aca="false">IF(Time!J$4&gt;Inputs!$F$342,(1+Inputs!$F$341/100)^(-Returns!J8),(1+Inputs!$F$338/100)^(-Returns!J8))*Returns!J9</f>
        <v>0.943575579865137</v>
      </c>
      <c r="K11" s="14" t="n">
        <f aca="false">IF(Time!K$4&gt;Inputs!$F$342,(1+Inputs!$F$341/100)^(-Returns!K8),(1+Inputs!$F$338/100)^(-Returns!K8))*Returns!K9</f>
        <v>0.875708194770429</v>
      </c>
      <c r="L11" s="14" t="n">
        <f aca="false">IF(Time!L$4&gt;Inputs!$F$342,(1+Inputs!$F$341/100)^(-Returns!L8),(1+Inputs!$F$338/100)^(-Returns!L8))*Returns!L9</f>
        <v>0.812556035501322</v>
      </c>
      <c r="M11" s="14" t="n">
        <f aca="false">IF(Time!M$4&gt;Inputs!$F$342,(1+Inputs!$F$341/100)^(-Returns!M8),(1+Inputs!$F$338/100)^(-Returns!M8))*Returns!M9</f>
        <v>0.754112329931621</v>
      </c>
      <c r="N11" s="14" t="n">
        <f aca="false">IF(Time!N$4&gt;Inputs!$F$342,(1+Inputs!$F$341/100)^(-Returns!N8),(1+Inputs!$F$338/100)^(-Returns!N8))*Returns!N9</f>
        <v>0.699872231955101</v>
      </c>
      <c r="O11" s="14" t="n">
        <f aca="false">IF(Time!O$4&gt;Inputs!$F$342,(1+Inputs!$F$341/100)^(-Returns!O8),(1+Inputs!$F$338/100)^(-Returns!O8))*Returns!O9</f>
        <v>0.649533393925848</v>
      </c>
      <c r="P11" s="14" t="n">
        <f aca="false">IF(Time!P$4&gt;Inputs!$F$342,(1+Inputs!$F$341/100)^(-Returns!P8),(1+Inputs!$F$338/100)^(-Returns!P8))*Returns!P9</f>
        <v>0.602691949950823</v>
      </c>
      <c r="Q11" s="14" t="n">
        <f aca="false">IF(Time!Q$4&gt;Inputs!$F$342,(1+Inputs!$F$341/100)^(-Returns!Q8),(1+Inputs!$F$338/100)^(-Returns!Q8))*Returns!Q9</f>
        <v>0.559342876984523</v>
      </c>
      <c r="R11" s="14" t="n">
        <f aca="false">IF(Time!R$4&gt;Inputs!$F$342,(1+Inputs!$F$341/100)^(-Returns!R8),(1+Inputs!$F$338/100)^(-Returns!R8))*Returns!R9</f>
        <v>0.519111718779139</v>
      </c>
      <c r="S11" s="14" t="n">
        <f aca="false">IF(Time!S$4&gt;Inputs!$F$342,(1+Inputs!$F$341/100)^(-Returns!S8),(1+Inputs!$F$338/100)^(-Returns!S8))*Returns!S9</f>
        <v>0.481774216964399</v>
      </c>
      <c r="T11" s="14" t="n">
        <f aca="false">IF(Time!T$4&gt;Inputs!$F$342,(1+Inputs!$F$341/100)^(-Returns!T8),(1+Inputs!$F$338/100)^(-Returns!T8))*Returns!T9</f>
        <v>0.447030814695037</v>
      </c>
      <c r="U11" s="14" t="n">
        <f aca="false">IF(Time!U$4&gt;Inputs!$F$342,(1+Inputs!$F$341/100)^(-Returns!U8),(1+Inputs!$F$338/100)^(-Returns!U8))*Returns!U9</f>
        <v>0.414877786259895</v>
      </c>
      <c r="V11" s="14" t="n">
        <f aca="false">IF(Time!V$4&gt;Inputs!$F$342,(1+Inputs!$F$341/100)^(-Returns!V8),(1+Inputs!$F$338/100)^(-Returns!V8))*Returns!V9</f>
        <v>0.385037388640274</v>
      </c>
      <c r="W11" s="14" t="n">
        <f aca="false">IF(Time!W$4&gt;Inputs!$F$342,(1+Inputs!$F$341/100)^(-Returns!W8),(1+Inputs!$F$338/100)^(-Returns!W8))*Returns!W9</f>
        <v>0.357343284120904</v>
      </c>
      <c r="X11" s="14" t="n">
        <f aca="false">IF(Time!X$4&gt;Inputs!$F$342,(1+Inputs!$F$341/100)^(-Returns!X8),(1+Inputs!$F$338/100)^(-Returns!X8))*Returns!X9</f>
        <v>0.331573284334085</v>
      </c>
      <c r="Y11" s="14" t="n">
        <f aca="false">IF(Time!Y$4&gt;Inputs!$F$342,(1+Inputs!$F$341/100)^(-Returns!Y8),(1+Inputs!$F$338/100)^(-Returns!Y8))*Returns!Y9</f>
        <v>0.307724625832098</v>
      </c>
      <c r="Z11" s="14" t="n">
        <f aca="false">IF(Time!Z$4&gt;Inputs!$F$342,(1+Inputs!$F$341/100)^(-Returns!Z8),(1+Inputs!$F$338/100)^(-Returns!Z8))*Returns!Z9</f>
        <v>0.285591300076193</v>
      </c>
      <c r="AA11" s="14" t="n">
        <f aca="false">IF(Time!AA$4&gt;Inputs!$F$342,(1+Inputs!$F$341/100)^(-Returns!AA8),(1+Inputs!$F$338/100)^(-Returns!AA8))*Returns!AA9</f>
        <v>0.265049930465144</v>
      </c>
      <c r="AB11" s="14" t="n">
        <f aca="false">IF(Time!AB$4&gt;Inputs!$F$342,(1+Inputs!$F$341/100)^(-Returns!AB8),(1+Inputs!$F$338/100)^(-Returns!AB8))*Returns!AB9</f>
        <v>0.245935714653348</v>
      </c>
      <c r="AC11" s="14" t="n">
        <f aca="false">IF(Time!AC$4&gt;Inputs!$F$342,(1+Inputs!$F$341/100)^(-Returns!AC8),(1+Inputs!$F$338/100)^(-Returns!AC8))*Returns!AC9</f>
        <v>0.138606404357044</v>
      </c>
      <c r="AD11" s="14" t="n">
        <f aca="false">IF(Time!AD$4&gt;Inputs!$F$342,(1+Inputs!$F$341/100)^(-Returns!AD8),(1+Inputs!$F$338/100)^(-Returns!AD8))*Returns!AD9</f>
        <v>0.125435660051624</v>
      </c>
      <c r="AE11" s="14" t="n">
        <f aca="false">IF(Time!AE$4&gt;Inputs!$F$342,(1+Inputs!$F$341/100)^(-Returns!AE8),(1+Inputs!$F$338/100)^(-Returns!AE8))*Returns!AE9</f>
        <v>0.113516434435858</v>
      </c>
      <c r="AF11" s="14" t="n">
        <f aca="false">IF(Time!AF$4&gt;Inputs!$F$342,(1+Inputs!$F$341/100)^(-Returns!AF8),(1+Inputs!$F$338/100)^(-Returns!AF8))*Returns!AF9</f>
        <v>0.102701707141237</v>
      </c>
      <c r="AG11" s="14" t="n">
        <f aca="false">IF(Time!AG$4&gt;Inputs!$F$342,(1+Inputs!$F$341/100)^(-Returns!AG8),(1+Inputs!$F$338/100)^(-Returns!AG8))*Returns!AG9</f>
        <v>0.0929427213947846</v>
      </c>
      <c r="AH11" s="14" t="n">
        <f aca="false">IF(Time!AH$4&gt;Inputs!$F$342,(1+Inputs!$F$341/100)^(-Returns!AH8),(1+Inputs!$F$338/100)^(-Returns!AH8))*Returns!AH9</f>
        <v>0.0841110600857779</v>
      </c>
      <c r="AI11" s="14" t="n">
        <f aca="false">IF(Time!AI$4&gt;Inputs!$F$342,(1+Inputs!$F$341/100)^(-Returns!AI8),(1+Inputs!$F$338/100)^(-Returns!AI8))*Returns!AI9</f>
        <v>0.0761186064124687</v>
      </c>
      <c r="AJ11" s="14" t="n">
        <f aca="false">IF(Time!AJ$4&gt;Inputs!$F$342,(1+Inputs!$F$341/100)^(-Returns!AJ8),(1+Inputs!$F$338/100)^(-Returns!AJ8))*Returns!AJ9</f>
        <v>0.0688667756578424</v>
      </c>
      <c r="AK11" s="14" t="n">
        <f aca="false">IF(Time!AK$4&gt;Inputs!$F$342,(1+Inputs!$F$341/100)^(-Returns!AK8),(1+Inputs!$F$338/100)^(-Returns!AK8))*Returns!AK9</f>
        <v>0.0623228738984999</v>
      </c>
      <c r="AL11" s="14" t="n">
        <f aca="false">IF(Time!AL$4&gt;Inputs!$F$342,(1+Inputs!$F$341/100)^(-Returns!AL8),(1+Inputs!$F$338/100)^(-Returns!AL8))*Returns!AL9</f>
        <v>0.056400790858371</v>
      </c>
      <c r="AM11" s="14" t="n">
        <f aca="false">IF(Time!AM$4&gt;Inputs!$F$342,(1+Inputs!$F$341/100)^(-Returns!AM8),(1+Inputs!$F$338/100)^(-Returns!AM8))*Returns!AM9</f>
        <v>0.0510414396908335</v>
      </c>
      <c r="AN11" s="14" t="n">
        <f aca="false">IF(Time!AN$4&gt;Inputs!$F$342,(1+Inputs!$F$341/100)^(-Returns!AN8),(1+Inputs!$F$338/100)^(-Returns!AN8))*Returns!AN9</f>
        <v>0.0461787142738091</v>
      </c>
      <c r="AO11" s="14" t="n">
        <f aca="false">IF(Time!AO$4&gt;Inputs!$F$342,(1+Inputs!$F$341/100)^(-Returns!AO8),(1+Inputs!$F$338/100)^(-Returns!AO8))*Returns!AO9</f>
        <v>0.0417906916505059</v>
      </c>
      <c r="AP11" s="14" t="n">
        <f aca="false">IF(Time!AP$4&gt;Inputs!$F$342,(1+Inputs!$F$341/100)^(-Returns!AP8),(1+Inputs!$F$338/100)^(-Returns!AP8))*Returns!AP9</f>
        <v>0.0378196304529466</v>
      </c>
      <c r="AQ11" s="14" t="n">
        <f aca="false">IF(Time!AQ$4&gt;Inputs!$F$342,(1+Inputs!$F$341/100)^(-Returns!AQ8),(1+Inputs!$F$338/100)^(-Returns!AQ8))*Returns!AQ9</f>
        <v>0.0342259099121688</v>
      </c>
      <c r="AR11" s="14" t="n">
        <f aca="false">IF(Time!AR$4&gt;Inputs!$F$342,(1+Inputs!$F$341/100)^(-Returns!AR8),(1+Inputs!$F$338/100)^(-Returns!AR8))*Returns!AR9</f>
        <v>0.0309652024740795</v>
      </c>
      <c r="AS11" s="14" t="n">
        <f aca="false">IF(Time!AS$4&gt;Inputs!$F$342,(1+Inputs!$F$341/100)^(-Returns!AS8),(1+Inputs!$F$338/100)^(-Returns!AS8))*Returns!AS9</f>
        <v>0.0280228076688502</v>
      </c>
      <c r="AT11" s="14" t="n">
        <f aca="false">IF(Time!AT$4&gt;Inputs!$F$342,(1+Inputs!$F$341/100)^(-Returns!AT8),(1+Inputs!$F$338/100)^(-Returns!AT8))*Returns!AT9</f>
        <v>0.0253600069401359</v>
      </c>
      <c r="AU11" s="14" t="n">
        <f aca="false">IF(Time!AU$4&gt;Inputs!$F$342,(1+Inputs!$F$341/100)^(-Returns!AU8),(1+Inputs!$F$338/100)^(-Returns!AU8))*Returns!AU9</f>
        <v>0.0229502325250099</v>
      </c>
    </row>
    <row r="12" customFormat="false" ht="15" hidden="false" customHeight="false" outlineLevel="0" collapsed="false">
      <c r="D12" s="0" t="s">
        <v>1120</v>
      </c>
      <c r="E12" s="0" t="s">
        <v>27</v>
      </c>
      <c r="J12" s="14" t="n">
        <f aca="false">IF(Time!J$4&gt;Inputs!$F$342,(1+Inputs!$F$341/100)^(-Returns!J8),(1+Inputs!$F$339/100)^(-Returns!J8))*Returns!J9</f>
        <v>0.933479870662033</v>
      </c>
      <c r="K12" s="14" t="n">
        <f aca="false">IF(Time!K$4&gt;Inputs!$F$342,(1+Inputs!$F$341/100)^(-Returns!K8),(1+Inputs!$F$339/100)^(-Returns!K8))*Returns!K9</f>
        <v>0.854443817539618</v>
      </c>
      <c r="L12" s="14" t="n">
        <f aca="false">IF(Time!L$4&gt;Inputs!$F$342,(1+Inputs!$F$341/100)^(-Returns!L8),(1+Inputs!$F$339/100)^(-Returns!L8))*Returns!L9</f>
        <v>0.781910061936187</v>
      </c>
      <c r="M12" s="14" t="n">
        <f aca="false">IF(Time!M$4&gt;Inputs!$F$342,(1+Inputs!$F$341/100)^(-Returns!M8),(1+Inputs!$F$339/100)^(-Returns!M8))*Returns!M9</f>
        <v>0.715707150513672</v>
      </c>
      <c r="N12" s="14" t="n">
        <f aca="false">IF(Time!N$4&gt;Inputs!$F$342,(1+Inputs!$F$341/100)^(-Returns!N8),(1+Inputs!$F$339/100)^(-Returns!N8))*Returns!N9</f>
        <v>0.655109519920981</v>
      </c>
      <c r="O12" s="14" t="n">
        <f aca="false">IF(Time!O$4&gt;Inputs!$F$342,(1+Inputs!$F$341/100)^(-Returns!O8),(1+Inputs!$F$339/100)^(-Returns!O8))*Returns!O9</f>
        <v>0.599642581163369</v>
      </c>
      <c r="P12" s="14" t="n">
        <f aca="false">IF(Time!P$4&gt;Inputs!$F$342,(1+Inputs!$F$341/100)^(-Returns!P8),(1+Inputs!$F$339/100)^(-Returns!P8))*Returns!P9</f>
        <v>0.548738908459929</v>
      </c>
      <c r="Q12" s="14" t="n">
        <f aca="false">IF(Time!Q$4&gt;Inputs!$F$342,(1+Inputs!$F$341/100)^(-Returns!Q8),(1+Inputs!$F$339/100)^(-Returns!Q8))*Returns!Q9</f>
        <v>0.502278177080027</v>
      </c>
      <c r="R12" s="14" t="n">
        <f aca="false">IF(Time!R$4&gt;Inputs!$F$342,(1+Inputs!$F$341/100)^(-Returns!R8),(1+Inputs!$F$339/100)^(-Returns!R8))*Returns!R9</f>
        <v>0.459751191835265</v>
      </c>
      <c r="S12" s="14" t="n">
        <f aca="false">IF(Time!S$4&gt;Inputs!$F$342,(1+Inputs!$F$341/100)^(-Returns!S8),(1+Inputs!$F$339/100)^(-Returns!S8))*Returns!S9</f>
        <v>0.42082488955173</v>
      </c>
      <c r="T12" s="14" t="n">
        <f aca="false">IF(Time!T$4&gt;Inputs!$F$342,(1+Inputs!$F$341/100)^(-Returns!T8),(1+Inputs!$F$339/100)^(-Returns!T8))*Returns!T9</f>
        <v>0.385101054860667</v>
      </c>
      <c r="U12" s="14" t="n">
        <f aca="false">IF(Time!U$4&gt;Inputs!$F$342,(1+Inputs!$F$341/100)^(-Returns!U8),(1+Inputs!$F$339/100)^(-Returns!U8))*Returns!U9</f>
        <v>0.352495244723722</v>
      </c>
      <c r="V12" s="14" t="n">
        <f aca="false">IF(Time!V$4&gt;Inputs!$F$342,(1+Inputs!$F$341/100)^(-Returns!V8),(1+Inputs!$F$339/100)^(-Returns!V8))*Returns!V9</f>
        <v>0.322650109586931</v>
      </c>
      <c r="W12" s="14" t="n">
        <f aca="false">IF(Time!W$4&gt;Inputs!$F$342,(1+Inputs!$F$341/100)^(-Returns!W8),(1+Inputs!$F$339/100)^(-Returns!W8))*Returns!W9</f>
        <v>0.295331908088724</v>
      </c>
      <c r="X12" s="14" t="n">
        <f aca="false">IF(Time!X$4&gt;Inputs!$F$342,(1+Inputs!$F$341/100)^(-Returns!X8),(1+Inputs!$F$339/100)^(-Returns!X8))*Returns!X9</f>
        <v>0.27026117552156</v>
      </c>
      <c r="Y12" s="14" t="n">
        <f aca="false">IF(Time!Y$4&gt;Inputs!$F$342,(1+Inputs!$F$341/100)^(-Returns!Y8),(1+Inputs!$F$339/100)^(-Returns!Y8))*Returns!Y9</f>
        <v>0.247378650362984</v>
      </c>
      <c r="Z12" s="14" t="n">
        <f aca="false">IF(Time!Z$4&gt;Inputs!$F$342,(1+Inputs!$F$341/100)^(-Returns!Z8),(1+Inputs!$F$339/100)^(-Returns!Z8))*Returns!Z9</f>
        <v>0.226433547243006</v>
      </c>
      <c r="AA12" s="14" t="n">
        <f aca="false">IF(Time!AA$4&gt;Inputs!$F$342,(1+Inputs!$F$341/100)^(-Returns!AA8),(1+Inputs!$F$339/100)^(-Returns!AA8))*Returns!AA9</f>
        <v>0.207261828140051</v>
      </c>
      <c r="AB12" s="14" t="n">
        <f aca="false">IF(Time!AB$4&gt;Inputs!$F$342,(1+Inputs!$F$341/100)^(-Returns!AB8),(1+Inputs!$F$339/100)^(-Returns!AB8))*Returns!AB9</f>
        <v>0.189667366714232</v>
      </c>
      <c r="AC12" s="14" t="n">
        <f aca="false">IF(Time!AC$4&gt;Inputs!$F$342,(1+Inputs!$F$341/100)^(-Returns!AC8),(1+Inputs!$F$339/100)^(-Returns!AC8))*Returns!AC9</f>
        <v>0.138606404357044</v>
      </c>
      <c r="AD12" s="14" t="n">
        <f aca="false">IF(Time!AD$4&gt;Inputs!$F$342,(1+Inputs!$F$341/100)^(-Returns!AD8),(1+Inputs!$F$339/100)^(-Returns!AD8))*Returns!AD9</f>
        <v>0.125435660051624</v>
      </c>
      <c r="AE12" s="14" t="n">
        <f aca="false">IF(Time!AE$4&gt;Inputs!$F$342,(1+Inputs!$F$341/100)^(-Returns!AE8),(1+Inputs!$F$339/100)^(-Returns!AE8))*Returns!AE9</f>
        <v>0.113516434435858</v>
      </c>
      <c r="AF12" s="14" t="n">
        <f aca="false">IF(Time!AF$4&gt;Inputs!$F$342,(1+Inputs!$F$341/100)^(-Returns!AF8),(1+Inputs!$F$339/100)^(-Returns!AF8))*Returns!AF9</f>
        <v>0.102701707141237</v>
      </c>
      <c r="AG12" s="14" t="n">
        <f aca="false">IF(Time!AG$4&gt;Inputs!$F$342,(1+Inputs!$F$341/100)^(-Returns!AG8),(1+Inputs!$F$339/100)^(-Returns!AG8))*Returns!AG9</f>
        <v>0.0929427213947846</v>
      </c>
      <c r="AH12" s="14" t="n">
        <f aca="false">IF(Time!AH$4&gt;Inputs!$F$342,(1+Inputs!$F$341/100)^(-Returns!AH8),(1+Inputs!$F$339/100)^(-Returns!AH8))*Returns!AH9</f>
        <v>0.0841110600857779</v>
      </c>
      <c r="AI12" s="14" t="n">
        <f aca="false">IF(Time!AI$4&gt;Inputs!$F$342,(1+Inputs!$F$341/100)^(-Returns!AI8),(1+Inputs!$F$339/100)^(-Returns!AI8))*Returns!AI9</f>
        <v>0.0761186064124687</v>
      </c>
      <c r="AJ12" s="14" t="n">
        <f aca="false">IF(Time!AJ$4&gt;Inputs!$F$342,(1+Inputs!$F$341/100)^(-Returns!AJ8),(1+Inputs!$F$339/100)^(-Returns!AJ8))*Returns!AJ9</f>
        <v>0.0688667756578424</v>
      </c>
      <c r="AK12" s="14" t="n">
        <f aca="false">IF(Time!AK$4&gt;Inputs!$F$342,(1+Inputs!$F$341/100)^(-Returns!AK8),(1+Inputs!$F$339/100)^(-Returns!AK8))*Returns!AK9</f>
        <v>0.0623228738984999</v>
      </c>
      <c r="AL12" s="14" t="n">
        <f aca="false">IF(Time!AL$4&gt;Inputs!$F$342,(1+Inputs!$F$341/100)^(-Returns!AL8),(1+Inputs!$F$339/100)^(-Returns!AL8))*Returns!AL9</f>
        <v>0.056400790858371</v>
      </c>
      <c r="AM12" s="14" t="n">
        <f aca="false">IF(Time!AM$4&gt;Inputs!$F$342,(1+Inputs!$F$341/100)^(-Returns!AM8),(1+Inputs!$F$339/100)^(-Returns!AM8))*Returns!AM9</f>
        <v>0.0510414396908335</v>
      </c>
      <c r="AN12" s="14" t="n">
        <f aca="false">IF(Time!AN$4&gt;Inputs!$F$342,(1+Inputs!$F$341/100)^(-Returns!AN8),(1+Inputs!$F$339/100)^(-Returns!AN8))*Returns!AN9</f>
        <v>0.0461787142738091</v>
      </c>
      <c r="AO12" s="14" t="n">
        <f aca="false">IF(Time!AO$4&gt;Inputs!$F$342,(1+Inputs!$F$341/100)^(-Returns!AO8),(1+Inputs!$F$339/100)^(-Returns!AO8))*Returns!AO9</f>
        <v>0.0417906916505059</v>
      </c>
      <c r="AP12" s="14" t="n">
        <f aca="false">IF(Time!AP$4&gt;Inputs!$F$342,(1+Inputs!$F$341/100)^(-Returns!AP8),(1+Inputs!$F$339/100)^(-Returns!AP8))*Returns!AP9</f>
        <v>0.0378196304529466</v>
      </c>
      <c r="AQ12" s="14" t="n">
        <f aca="false">IF(Time!AQ$4&gt;Inputs!$F$342,(1+Inputs!$F$341/100)^(-Returns!AQ8),(1+Inputs!$F$339/100)^(-Returns!AQ8))*Returns!AQ9</f>
        <v>0.0342259099121688</v>
      </c>
      <c r="AR12" s="14" t="n">
        <f aca="false">IF(Time!AR$4&gt;Inputs!$F$342,(1+Inputs!$F$341/100)^(-Returns!AR8),(1+Inputs!$F$339/100)^(-Returns!AR8))*Returns!AR9</f>
        <v>0.0309652024740795</v>
      </c>
      <c r="AS12" s="14" t="n">
        <f aca="false">IF(Time!AS$4&gt;Inputs!$F$342,(1+Inputs!$F$341/100)^(-Returns!AS8),(1+Inputs!$F$339/100)^(-Returns!AS8))*Returns!AS9</f>
        <v>0.0280228076688502</v>
      </c>
      <c r="AT12" s="14" t="n">
        <f aca="false">IF(Time!AT$4&gt;Inputs!$F$342,(1+Inputs!$F$341/100)^(-Returns!AT8),(1+Inputs!$F$339/100)^(-Returns!AT8))*Returns!AT9</f>
        <v>0.0253600069401359</v>
      </c>
      <c r="AU12" s="14" t="n">
        <f aca="false">IF(Time!AU$4&gt;Inputs!$F$342,(1+Inputs!$F$341/100)^(-Returns!AU8),(1+Inputs!$F$339/100)^(-Returns!AU8))*Returns!AU9</f>
        <v>0.0229502325250099</v>
      </c>
    </row>
    <row r="13" customFormat="false" ht="15" hidden="false" customHeight="false" outlineLevel="0" collapsed="false">
      <c r="D13" s="0" t="s">
        <v>1121</v>
      </c>
      <c r="E13" s="0" t="s">
        <v>27</v>
      </c>
      <c r="J13" s="14" t="n">
        <f aca="false">IF(Time!J$4&gt;Inputs!$F$342,(1+Inputs!$F$341/100)^(-Returns!J8),(1+Inputs!$F$340/100)^(-Returns!J8))*Returns!J9</f>
        <v>0.926885242341725</v>
      </c>
      <c r="K13" s="14" t="n">
        <f aca="false">IF(Time!K$4&gt;Inputs!$F$342,(1+Inputs!$F$341/100)^(-Returns!K8),(1+Inputs!$F$340/100)^(-Returns!K8))*Returns!K9</f>
        <v>0.840712237951678</v>
      </c>
      <c r="L13" s="14" t="n">
        <f aca="false">IF(Time!L$4&gt;Inputs!$F$342,(1+Inputs!$F$341/100)^(-Returns!L8),(1+Inputs!$F$340/100)^(-Returns!L8))*Returns!L9</f>
        <v>0.762346947078403</v>
      </c>
      <c r="M13" s="14" t="n">
        <f aca="false">IF(Time!M$4&gt;Inputs!$F$342,(1+Inputs!$F$341/100)^(-Returns!M8),(1+Inputs!$F$340/100)^(-Returns!M8))*Returns!M9</f>
        <v>0.691471153812611</v>
      </c>
      <c r="N13" s="14" t="n">
        <f aca="false">IF(Time!N$4&gt;Inputs!$F$342,(1+Inputs!$F$341/100)^(-Returns!N8),(1+Inputs!$F$340/100)^(-Returns!N8))*Returns!N9</f>
        <v>0.627184720011438</v>
      </c>
      <c r="O13" s="14" t="n">
        <f aca="false">IF(Time!O$4&gt;Inputs!$F$342,(1+Inputs!$F$341/100)^(-Returns!O8),(1+Inputs!$F$340/100)^(-Returns!O8))*Returns!O9</f>
        <v>0.568875029488833</v>
      </c>
      <c r="P13" s="14" t="n">
        <f aca="false">IF(Time!P$4&gt;Inputs!$F$342,(1+Inputs!$F$341/100)^(-Returns!P8),(1+Inputs!$F$340/100)^(-Returns!P8))*Returns!P9</f>
        <v>0.515848494196507</v>
      </c>
      <c r="Q13" s="14" t="n">
        <f aca="false">IF(Time!Q$4&gt;Inputs!$F$342,(1+Inputs!$F$341/100)^(-Returns!Q8),(1+Inputs!$F$340/100)^(-Returns!Q8))*Returns!Q9</f>
        <v>0.467889790654428</v>
      </c>
      <c r="R13" s="14" t="n">
        <f aca="false">IF(Time!R$4&gt;Inputs!$F$342,(1+Inputs!$F$341/100)^(-Returns!R8),(1+Inputs!$F$340/100)^(-Returns!R8))*Returns!R9</f>
        <v>0.424389832793132</v>
      </c>
      <c r="S13" s="14" t="n">
        <f aca="false">IF(Time!S$4&gt;Inputs!$F$342,(1+Inputs!$F$341/100)^(-Returns!S8),(1+Inputs!$F$340/100)^(-Returns!S8))*Returns!S9</f>
        <v>0.384934088701254</v>
      </c>
      <c r="T13" s="14" t="n">
        <f aca="false">IF(Time!T$4&gt;Inputs!$F$342,(1+Inputs!$F$341/100)^(-Returns!T8),(1+Inputs!$F$340/100)^(-Returns!T8))*Returns!T9</f>
        <v>0.34905323617363</v>
      </c>
      <c r="U13" s="14" t="n">
        <f aca="false">IF(Time!U$4&gt;Inputs!$F$342,(1+Inputs!$F$341/100)^(-Returns!U8),(1+Inputs!$F$340/100)^(-Returns!U8))*Returns!U9</f>
        <v>0.316601574760662</v>
      </c>
      <c r="V13" s="14" t="n">
        <f aca="false">IF(Time!V$4&gt;Inputs!$F$342,(1+Inputs!$F$341/100)^(-Returns!V8),(1+Inputs!$F$340/100)^(-Returns!V8))*Returns!V9</f>
        <v>0.287166961234161</v>
      </c>
      <c r="W13" s="14" t="n">
        <f aca="false">IF(Time!W$4&gt;Inputs!$F$342,(1+Inputs!$F$341/100)^(-Returns!W8),(1+Inputs!$F$340/100)^(-Returns!W8))*Returns!W9</f>
        <v>0.260468899078604</v>
      </c>
      <c r="X13" s="14" t="n">
        <f aca="false">IF(Time!X$4&gt;Inputs!$F$342,(1+Inputs!$F$341/100)^(-Returns!X8),(1+Inputs!$F$340/100)^(-Returns!X8))*Returns!X9</f>
        <v>0.236189817463868</v>
      </c>
      <c r="Y13" s="14" t="n">
        <f aca="false">IF(Time!Y$4&gt;Inputs!$F$342,(1+Inputs!$F$341/100)^(-Returns!Y8),(1+Inputs!$F$340/100)^(-Returns!Y8))*Returns!Y9</f>
        <v>0.214231126951354</v>
      </c>
      <c r="Z13" s="14" t="n">
        <f aca="false">IF(Time!Z$4&gt;Inputs!$F$342,(1+Inputs!$F$341/100)^(-Returns!Z8),(1+Inputs!$F$340/100)^(-Returns!Z8))*Returns!Z9</f>
        <v>0.194313947348167</v>
      </c>
      <c r="AA13" s="14" t="n">
        <f aca="false">IF(Time!AA$4&gt;Inputs!$F$342,(1+Inputs!$F$341/100)^(-Returns!AA8),(1+Inputs!$F$340/100)^(-Returns!AA8))*Returns!AA9</f>
        <v>0.176248478320333</v>
      </c>
      <c r="AB13" s="14" t="n">
        <f aca="false">IF(Time!AB$4&gt;Inputs!$F$342,(1+Inputs!$F$341/100)^(-Returns!AB8),(1+Inputs!$F$340/100)^(-Returns!AB8))*Returns!AB9</f>
        <v>0.15981983288608</v>
      </c>
      <c r="AC13" s="14" t="n">
        <f aca="false">IF(Time!AC$4&gt;Inputs!$F$342,(1+Inputs!$F$341/100)^(-Returns!AC8),(1+Inputs!$F$340/100)^(-Returns!AC8))*Returns!AC9</f>
        <v>0.138606404357044</v>
      </c>
      <c r="AD13" s="14" t="n">
        <f aca="false">IF(Time!AD$4&gt;Inputs!$F$342,(1+Inputs!$F$341/100)^(-Returns!AD8),(1+Inputs!$F$340/100)^(-Returns!AD8))*Returns!AD9</f>
        <v>0.125435660051624</v>
      </c>
      <c r="AE13" s="14" t="n">
        <f aca="false">IF(Time!AE$4&gt;Inputs!$F$342,(1+Inputs!$F$341/100)^(-Returns!AE8),(1+Inputs!$F$340/100)^(-Returns!AE8))*Returns!AE9</f>
        <v>0.113516434435858</v>
      </c>
      <c r="AF13" s="14" t="n">
        <f aca="false">IF(Time!AF$4&gt;Inputs!$F$342,(1+Inputs!$F$341/100)^(-Returns!AF8),(1+Inputs!$F$340/100)^(-Returns!AF8))*Returns!AF9</f>
        <v>0.102701707141237</v>
      </c>
      <c r="AG13" s="14" t="n">
        <f aca="false">IF(Time!AG$4&gt;Inputs!$F$342,(1+Inputs!$F$341/100)^(-Returns!AG8),(1+Inputs!$F$340/100)^(-Returns!AG8))*Returns!AG9</f>
        <v>0.0929427213947846</v>
      </c>
      <c r="AH13" s="14" t="n">
        <f aca="false">IF(Time!AH$4&gt;Inputs!$F$342,(1+Inputs!$F$341/100)^(-Returns!AH8),(1+Inputs!$F$340/100)^(-Returns!AH8))*Returns!AH9</f>
        <v>0.0841110600857779</v>
      </c>
      <c r="AI13" s="14" t="n">
        <f aca="false">IF(Time!AI$4&gt;Inputs!$F$342,(1+Inputs!$F$341/100)^(-Returns!AI8),(1+Inputs!$F$340/100)^(-Returns!AI8))*Returns!AI9</f>
        <v>0.0761186064124687</v>
      </c>
      <c r="AJ13" s="14" t="n">
        <f aca="false">IF(Time!AJ$4&gt;Inputs!$F$342,(1+Inputs!$F$341/100)^(-Returns!AJ8),(1+Inputs!$F$340/100)^(-Returns!AJ8))*Returns!AJ9</f>
        <v>0.0688667756578424</v>
      </c>
      <c r="AK13" s="14" t="n">
        <f aca="false">IF(Time!AK$4&gt;Inputs!$F$342,(1+Inputs!$F$341/100)^(-Returns!AK8),(1+Inputs!$F$340/100)^(-Returns!AK8))*Returns!AK9</f>
        <v>0.0623228738984999</v>
      </c>
      <c r="AL13" s="14" t="n">
        <f aca="false">IF(Time!AL$4&gt;Inputs!$F$342,(1+Inputs!$F$341/100)^(-Returns!AL8),(1+Inputs!$F$340/100)^(-Returns!AL8))*Returns!AL9</f>
        <v>0.056400790858371</v>
      </c>
      <c r="AM13" s="14" t="n">
        <f aca="false">IF(Time!AM$4&gt;Inputs!$F$342,(1+Inputs!$F$341/100)^(-Returns!AM8),(1+Inputs!$F$340/100)^(-Returns!AM8))*Returns!AM9</f>
        <v>0.0510414396908335</v>
      </c>
      <c r="AN13" s="14" t="n">
        <f aca="false">IF(Time!AN$4&gt;Inputs!$F$342,(1+Inputs!$F$341/100)^(-Returns!AN8),(1+Inputs!$F$340/100)^(-Returns!AN8))*Returns!AN9</f>
        <v>0.0461787142738091</v>
      </c>
      <c r="AO13" s="14" t="n">
        <f aca="false">IF(Time!AO$4&gt;Inputs!$F$342,(1+Inputs!$F$341/100)^(-Returns!AO8),(1+Inputs!$F$340/100)^(-Returns!AO8))*Returns!AO9</f>
        <v>0.0417906916505059</v>
      </c>
      <c r="AP13" s="14" t="n">
        <f aca="false">IF(Time!AP$4&gt;Inputs!$F$342,(1+Inputs!$F$341/100)^(-Returns!AP8),(1+Inputs!$F$340/100)^(-Returns!AP8))*Returns!AP9</f>
        <v>0.0378196304529466</v>
      </c>
      <c r="AQ13" s="14" t="n">
        <f aca="false">IF(Time!AQ$4&gt;Inputs!$F$342,(1+Inputs!$F$341/100)^(-Returns!AQ8),(1+Inputs!$F$340/100)^(-Returns!AQ8))*Returns!AQ9</f>
        <v>0.0342259099121688</v>
      </c>
      <c r="AR13" s="14" t="n">
        <f aca="false">IF(Time!AR$4&gt;Inputs!$F$342,(1+Inputs!$F$341/100)^(-Returns!AR8),(1+Inputs!$F$340/100)^(-Returns!AR8))*Returns!AR9</f>
        <v>0.0309652024740795</v>
      </c>
      <c r="AS13" s="14" t="n">
        <f aca="false">IF(Time!AS$4&gt;Inputs!$F$342,(1+Inputs!$F$341/100)^(-Returns!AS8),(1+Inputs!$F$340/100)^(-Returns!AS8))*Returns!AS9</f>
        <v>0.0280228076688502</v>
      </c>
      <c r="AT13" s="14" t="n">
        <f aca="false">IF(Time!AT$4&gt;Inputs!$F$342,(1+Inputs!$F$341/100)^(-Returns!AT8),(1+Inputs!$F$340/100)^(-Returns!AT8))*Returns!AT9</f>
        <v>0.0253600069401359</v>
      </c>
      <c r="AU13" s="14" t="n">
        <f aca="false">IF(Time!AU$4&gt;Inputs!$F$342,(1+Inputs!$F$341/100)^(-Returns!AU8),(1+Inputs!$F$340/100)^(-Returns!AU8))*Returns!AU9</f>
        <v>0.0229502325250099</v>
      </c>
    </row>
    <row r="14" customFormat="false" ht="15" hidden="false" customHeight="false" outlineLevel="0" collapsed="false">
      <c r="D14" s="0" t="s">
        <v>1122</v>
      </c>
      <c r="E14" s="0" t="s">
        <v>27</v>
      </c>
      <c r="J14" s="14" t="n">
        <f aca="false">(1+Inputs!$F$337/100)^(-Returns!J8)*Returns!J9</f>
        <v>0.95044601663901</v>
      </c>
      <c r="K14" s="14" t="n">
        <f aca="false">(1+Inputs!$F$337/100)^(-Returns!K8)*Returns!K9</f>
        <v>0.890347556570501</v>
      </c>
      <c r="L14" s="14" t="n">
        <f aca="false">(1+Inputs!$F$337/100)^(-Returns!L8)*Returns!L9</f>
        <v>0.83389998735923</v>
      </c>
      <c r="M14" s="14" t="n">
        <f aca="false">(1+Inputs!$F$337/100)^(-Returns!M8)*Returns!M9</f>
        <v>0.781170948345883</v>
      </c>
      <c r="N14" s="14" t="n">
        <f aca="false">(1+Inputs!$F$337/100)^(-Returns!N8)*Returns!N9</f>
        <v>0.731776064024246</v>
      </c>
      <c r="O14" s="14" t="n">
        <f aca="false">(1+Inputs!$F$337/100)^(-Returns!O8)*Returns!O9</f>
        <v>0.685504509624587</v>
      </c>
      <c r="P14" s="14" t="n">
        <f aca="false">(1+Inputs!$F$337/100)^(-Returns!P8)*Returns!P9</f>
        <v>0.642043882405346</v>
      </c>
      <c r="Q14" s="14" t="n">
        <f aca="false">(1+Inputs!$F$337/100)^(-Returns!Q8)*Returns!Q9</f>
        <v>0.601446259864493</v>
      </c>
      <c r="R14" s="14" t="n">
        <f aca="false">(1+Inputs!$F$337/100)^(-Returns!R8)*Returns!R9</f>
        <v>0.563415700107253</v>
      </c>
      <c r="S14" s="14" t="n">
        <f aca="false">(1+Inputs!$F$337/100)^(-Returns!S8)*Returns!S9</f>
        <v>0.527789883004453</v>
      </c>
      <c r="T14" s="14" t="n">
        <f aca="false">(1+Inputs!$F$337/100)^(-Returns!T8)*Returns!T9</f>
        <v>0.494328280588584</v>
      </c>
      <c r="U14" s="14" t="n">
        <f aca="false">(1+Inputs!$F$337/100)^(-Returns!U8)*Returns!U9</f>
        <v>0.463070988841765</v>
      </c>
      <c r="V14" s="14" t="n">
        <f aca="false">(1+Inputs!$F$337/100)^(-Returns!V8)*Returns!V9</f>
        <v>0.433790153481747</v>
      </c>
      <c r="W14" s="14" t="n">
        <f aca="false">(1+Inputs!$F$337/100)^(-Returns!W8)*Returns!W9</f>
        <v>0.406360799514517</v>
      </c>
      <c r="X14" s="14" t="n">
        <f aca="false">(1+Inputs!$F$337/100)^(-Returns!X8)*Returns!X9</f>
        <v>0.380597737454014</v>
      </c>
      <c r="Y14" s="14" t="n">
        <f aca="false">(1+Inputs!$F$337/100)^(-Returns!Y8)*Returns!Y9</f>
        <v>0.356531838364416</v>
      </c>
      <c r="Z14" s="14" t="n">
        <f aca="false">(1+Inputs!$F$337/100)^(-Returns!Z8)*Returns!Z9</f>
        <v>0.333987670598984</v>
      </c>
      <c r="AA14" s="14" t="n">
        <f aca="false">(1+Inputs!$F$337/100)^(-Returns!AA8)*Returns!AA9</f>
        <v>0.312869012270711</v>
      </c>
      <c r="AB14" s="14" t="n">
        <f aca="false">(1+Inputs!$F$337/100)^(-Returns!AB8)*Returns!AB9</f>
        <v>0.293033280601789</v>
      </c>
      <c r="AC14" s="14" t="n">
        <f aca="false">(1+Inputs!$F$337/100)^(-Returns!AC8)*Returns!AC9</f>
        <v>0.274504244123456</v>
      </c>
      <c r="AD14" s="14" t="n">
        <f aca="false">(1+Inputs!$F$337/100)^(-Returns!AD8)*Returns!AD9</f>
        <v>0.257146832902535</v>
      </c>
      <c r="AE14" s="14" t="n">
        <f aca="false">(1+Inputs!$F$337/100)^(-Returns!AE8)*Returns!AE9</f>
        <v>0.240886962906356</v>
      </c>
      <c r="AF14" s="14" t="n">
        <f aca="false">(1+Inputs!$F$337/100)^(-Returns!AF8)*Returns!AF9</f>
        <v>0.22561485550245</v>
      </c>
      <c r="AG14" s="14" t="n">
        <f aca="false">(1+Inputs!$F$337/100)^(-Returns!AG8)*Returns!AG9</f>
        <v>0.211348810775129</v>
      </c>
      <c r="AH14" s="14" t="n">
        <f aca="false">(1+Inputs!$F$337/100)^(-Returns!AH8)*Returns!AH9</f>
        <v>0.19798483444977</v>
      </c>
      <c r="AI14" s="14" t="n">
        <f aca="false">(1+Inputs!$F$337/100)^(-Returns!AI8)*Returns!AI9</f>
        <v>0.185465887072384</v>
      </c>
      <c r="AJ14" s="14" t="n">
        <f aca="false">(1+Inputs!$F$337/100)^(-Returns!AJ8)*Returns!AJ9</f>
        <v>0.173707446877216</v>
      </c>
      <c r="AK14" s="14" t="n">
        <f aca="false">(1+Inputs!$F$337/100)^(-Returns!AK8)*Returns!AK9</f>
        <v>0.162723603632052</v>
      </c>
      <c r="AL14" s="14" t="n">
        <f aca="false">(1+Inputs!$F$337/100)^(-Returns!AL8)*Returns!AL9</f>
        <v>0.152434289116677</v>
      </c>
      <c r="AM14" s="14" t="n">
        <f aca="false">(1+Inputs!$F$337/100)^(-Returns!AM8)*Returns!AM9</f>
        <v>0.142795586994545</v>
      </c>
      <c r="AN14" s="14" t="n">
        <f aca="false">(1+Inputs!$F$337/100)^(-Returns!AN8)*Returns!AN9</f>
        <v>0.133742421497032</v>
      </c>
      <c r="AO14" s="14" t="n">
        <f aca="false">(1+Inputs!$F$337/100)^(-Returns!AO8)*Returns!AO9</f>
        <v>0.125285640746634</v>
      </c>
      <c r="AP14" s="14" t="n">
        <f aca="false">(1+Inputs!$F$337/100)^(-Returns!AP8)*Returns!AP9</f>
        <v>0.117363597889119</v>
      </c>
      <c r="AQ14" s="14" t="n">
        <f aca="false">(1+Inputs!$F$337/100)^(-Returns!AQ8)*Returns!AQ9</f>
        <v>0.109942480458191</v>
      </c>
      <c r="AR14" s="14" t="n">
        <f aca="false">(1+Inputs!$F$337/100)^(-Returns!AR8)*Returns!AR9</f>
        <v>0.102972184724661</v>
      </c>
      <c r="AS14" s="14" t="n">
        <f aca="false">(1+Inputs!$F$337/100)^(-Returns!AS8)*Returns!AS9</f>
        <v>0.096461062973921</v>
      </c>
      <c r="AT14" s="14" t="n">
        <f aca="false">(1+Inputs!$F$337/100)^(-Returns!AT8)*Returns!AT9</f>
        <v>0.0903616514978183</v>
      </c>
      <c r="AU14" s="14" t="n">
        <f aca="false">(1+Inputs!$F$337/100)^(-Returns!AU8)*Returns!AU9</f>
        <v>0.084647917093975</v>
      </c>
    </row>
    <row r="15" customFormat="false" ht="15" hidden="false" customHeight="false" outlineLevel="0" collapsed="false">
      <c r="D15" s="0" t="s">
        <v>1123</v>
      </c>
      <c r="E15" s="0" t="s">
        <v>51</v>
      </c>
      <c r="J15" s="14" t="n">
        <f aca="false">MAX(0,(Time!J$6-Inputs!$F$266)/Inputs!$F$27)</f>
        <v>0</v>
      </c>
      <c r="K15" s="14" t="n">
        <f aca="false">MAX(0,(Time!K$6-Inputs!$F$266)/Inputs!$F$27)</f>
        <v>0.334246575342466</v>
      </c>
      <c r="L15" s="14" t="n">
        <f aca="false">MAX(0,(Time!L$6-Inputs!$F$266)/Inputs!$F$27)</f>
        <v>1.33698630136986</v>
      </c>
      <c r="M15" s="14" t="n">
        <f aca="false">MAX(0,(Time!M$6-Inputs!$F$266)/Inputs!$F$27)</f>
        <v>2.33698630136986</v>
      </c>
      <c r="N15" s="14" t="n">
        <f aca="false">MAX(0,(Time!N$6-Inputs!$F$266)/Inputs!$F$27)</f>
        <v>3.33698630136986</v>
      </c>
      <c r="O15" s="14" t="n">
        <f aca="false">MAX(0,(Time!O$6-Inputs!$F$266)/Inputs!$F$27)</f>
        <v>4.33698630136986</v>
      </c>
      <c r="P15" s="14" t="n">
        <f aca="false">MAX(0,(Time!P$6-Inputs!$F$266)/Inputs!$F$27)</f>
        <v>5.33972602739726</v>
      </c>
      <c r="Q15" s="14" t="n">
        <f aca="false">MAX(0,(Time!Q$6-Inputs!$F$266)/Inputs!$F$27)</f>
        <v>6.33972602739726</v>
      </c>
      <c r="R15" s="14" t="n">
        <f aca="false">MAX(0,(Time!R$6-Inputs!$F$266)/Inputs!$F$27)</f>
        <v>7.33972602739726</v>
      </c>
      <c r="S15" s="14" t="n">
        <f aca="false">MAX(0,(Time!S$6-Inputs!$F$266)/Inputs!$F$27)</f>
        <v>8.33972602739726</v>
      </c>
      <c r="T15" s="14" t="n">
        <f aca="false">MAX(0,(Time!T$6-Inputs!$F$266)/Inputs!$F$27)</f>
        <v>9.34246575342466</v>
      </c>
      <c r="U15" s="14" t="n">
        <f aca="false">MAX(0,(Time!U$6-Inputs!$F$266)/Inputs!$F$27)</f>
        <v>10.3424657534247</v>
      </c>
      <c r="V15" s="14" t="n">
        <f aca="false">MAX(0,(Time!V$6-Inputs!$F$266)/Inputs!$F$27)</f>
        <v>11.3424657534247</v>
      </c>
      <c r="W15" s="14" t="n">
        <f aca="false">MAX(0,(Time!W$6-Inputs!$F$266)/Inputs!$F$27)</f>
        <v>12.3424657534247</v>
      </c>
      <c r="X15" s="14" t="n">
        <f aca="false">MAX(0,(Time!X$6-Inputs!$F$266)/Inputs!$F$27)</f>
        <v>13.3452054794521</v>
      </c>
      <c r="Y15" s="14" t="n">
        <f aca="false">MAX(0,(Time!Y$6-Inputs!$F$266)/Inputs!$F$27)</f>
        <v>14.3452054794521</v>
      </c>
      <c r="Z15" s="14" t="n">
        <f aca="false">MAX(0,(Time!Z$6-Inputs!$F$266)/Inputs!$F$27)</f>
        <v>15.3452054794521</v>
      </c>
      <c r="AA15" s="14" t="n">
        <f aca="false">MAX(0,(Time!AA$6-Inputs!$F$266)/Inputs!$F$27)</f>
        <v>16.3452054794521</v>
      </c>
      <c r="AB15" s="14" t="n">
        <f aca="false">MAX(0,(Time!AB$6-Inputs!$F$266)/Inputs!$F$27)</f>
        <v>17.3479452054795</v>
      </c>
      <c r="AC15" s="14" t="n">
        <f aca="false">MAX(0,(Time!AC$6-Inputs!$F$266)/Inputs!$F$27)</f>
        <v>18.3479452054795</v>
      </c>
      <c r="AD15" s="14" t="n">
        <f aca="false">MAX(0,(Time!AD$6-Inputs!$F$266)/Inputs!$F$27)</f>
        <v>19.3479452054795</v>
      </c>
      <c r="AE15" s="14" t="n">
        <f aca="false">MAX(0,(Time!AE$6-Inputs!$F$266)/Inputs!$F$27)</f>
        <v>20.3479452054795</v>
      </c>
      <c r="AF15" s="14" t="n">
        <f aca="false">MAX(0,(Time!AF$6-Inputs!$F$266)/Inputs!$F$27)</f>
        <v>21.3506849315068</v>
      </c>
      <c r="AG15" s="14" t="n">
        <f aca="false">MAX(0,(Time!AG$6-Inputs!$F$266)/Inputs!$F$27)</f>
        <v>22.3506849315068</v>
      </c>
      <c r="AH15" s="14" t="n">
        <f aca="false">MAX(0,(Time!AH$6-Inputs!$F$266)/Inputs!$F$27)</f>
        <v>23.3506849315068</v>
      </c>
      <c r="AI15" s="14" t="n">
        <f aca="false">MAX(0,(Time!AI$6-Inputs!$F$266)/Inputs!$F$27)</f>
        <v>24.3506849315068</v>
      </c>
      <c r="AJ15" s="14" t="n">
        <f aca="false">MAX(0,(Time!AJ$6-Inputs!$F$266)/Inputs!$F$27)</f>
        <v>25.3534246575342</v>
      </c>
      <c r="AK15" s="14" t="n">
        <f aca="false">MAX(0,(Time!AK$6-Inputs!$F$266)/Inputs!$F$27)</f>
        <v>26.3534246575342</v>
      </c>
      <c r="AL15" s="14" t="n">
        <f aca="false">MAX(0,(Time!AL$6-Inputs!$F$266)/Inputs!$F$27)</f>
        <v>27.3534246575342</v>
      </c>
      <c r="AM15" s="14" t="n">
        <f aca="false">MAX(0,(Time!AM$6-Inputs!$F$266)/Inputs!$F$27)</f>
        <v>28.3534246575342</v>
      </c>
      <c r="AN15" s="14" t="n">
        <f aca="false">MAX(0,(Time!AN$6-Inputs!$F$266)/Inputs!$F$27)</f>
        <v>29.3561643835616</v>
      </c>
      <c r="AO15" s="14" t="n">
        <f aca="false">MAX(0,(Time!AO$6-Inputs!$F$266)/Inputs!$F$27)</f>
        <v>30.3561643835616</v>
      </c>
      <c r="AP15" s="14" t="n">
        <f aca="false">MAX(0,(Time!AP$6-Inputs!$F$266)/Inputs!$F$27)</f>
        <v>31.3561643835616</v>
      </c>
      <c r="AQ15" s="14" t="n">
        <f aca="false">MAX(0,(Time!AQ$6-Inputs!$F$266)/Inputs!$F$27)</f>
        <v>32.3561643835616</v>
      </c>
      <c r="AR15" s="14" t="n">
        <f aca="false">MAX(0,(Time!AR$6-Inputs!$F$266)/Inputs!$F$27)</f>
        <v>33.358904109589</v>
      </c>
      <c r="AS15" s="14" t="n">
        <f aca="false">MAX(0,(Time!AS$6-Inputs!$F$266)/Inputs!$F$27)</f>
        <v>34.358904109589</v>
      </c>
      <c r="AT15" s="14" t="n">
        <f aca="false">MAX(0,(Time!AT$6-Inputs!$F$266)/Inputs!$F$27)</f>
        <v>35.358904109589</v>
      </c>
      <c r="AU15" s="14" t="n">
        <f aca="false">MAX(0,(Time!AU$6-Inputs!$F$266)/Inputs!$F$27)</f>
        <v>36.358904109589</v>
      </c>
    </row>
    <row r="16" customFormat="false" ht="15" hidden="false" customHeight="false" outlineLevel="0" collapsed="false">
      <c r="D16" s="0" t="s">
        <v>1117</v>
      </c>
      <c r="E16" s="0" t="s">
        <v>20</v>
      </c>
      <c r="J16" s="12" t="n">
        <f aca="false">--(Time!J$6&gt;=Inputs!$F$266)</f>
        <v>0</v>
      </c>
      <c r="K16" s="12" t="n">
        <f aca="false">--(Time!K$6&gt;=Inputs!$F$266)</f>
        <v>1</v>
      </c>
      <c r="L16" s="12" t="n">
        <f aca="false">--(Time!L$6&gt;=Inputs!$F$266)</f>
        <v>1</v>
      </c>
      <c r="M16" s="12" t="n">
        <f aca="false">--(Time!M$6&gt;=Inputs!$F$266)</f>
        <v>1</v>
      </c>
      <c r="N16" s="12" t="n">
        <f aca="false">--(Time!N$6&gt;=Inputs!$F$266)</f>
        <v>1</v>
      </c>
      <c r="O16" s="12" t="n">
        <f aca="false">--(Time!O$6&gt;=Inputs!$F$266)</f>
        <v>1</v>
      </c>
      <c r="P16" s="12" t="n">
        <f aca="false">--(Time!P$6&gt;=Inputs!$F$266)</f>
        <v>1</v>
      </c>
      <c r="Q16" s="12" t="n">
        <f aca="false">--(Time!Q$6&gt;=Inputs!$F$266)</f>
        <v>1</v>
      </c>
      <c r="R16" s="12" t="n">
        <f aca="false">--(Time!R$6&gt;=Inputs!$F$266)</f>
        <v>1</v>
      </c>
      <c r="S16" s="12" t="n">
        <f aca="false">--(Time!S$6&gt;=Inputs!$F$266)</f>
        <v>1</v>
      </c>
      <c r="T16" s="12" t="n">
        <f aca="false">--(Time!T$6&gt;=Inputs!$F$266)</f>
        <v>1</v>
      </c>
      <c r="U16" s="12" t="n">
        <f aca="false">--(Time!U$6&gt;=Inputs!$F$266)</f>
        <v>1</v>
      </c>
      <c r="V16" s="12" t="n">
        <f aca="false">--(Time!V$6&gt;=Inputs!$F$266)</f>
        <v>1</v>
      </c>
      <c r="W16" s="12" t="n">
        <f aca="false">--(Time!W$6&gt;=Inputs!$F$266)</f>
        <v>1</v>
      </c>
      <c r="X16" s="12" t="n">
        <f aca="false">--(Time!X$6&gt;=Inputs!$F$266)</f>
        <v>1</v>
      </c>
      <c r="Y16" s="12" t="n">
        <f aca="false">--(Time!Y$6&gt;=Inputs!$F$266)</f>
        <v>1</v>
      </c>
      <c r="Z16" s="12" t="n">
        <f aca="false">--(Time!Z$6&gt;=Inputs!$F$266)</f>
        <v>1</v>
      </c>
      <c r="AA16" s="12" t="n">
        <f aca="false">--(Time!AA$6&gt;=Inputs!$F$266)</f>
        <v>1</v>
      </c>
      <c r="AB16" s="12" t="n">
        <f aca="false">--(Time!AB$6&gt;=Inputs!$F$266)</f>
        <v>1</v>
      </c>
      <c r="AC16" s="12" t="n">
        <f aca="false">--(Time!AC$6&gt;=Inputs!$F$266)</f>
        <v>1</v>
      </c>
      <c r="AD16" s="12" t="n">
        <f aca="false">--(Time!AD$6&gt;=Inputs!$F$266)</f>
        <v>1</v>
      </c>
      <c r="AE16" s="12" t="n">
        <f aca="false">--(Time!AE$6&gt;=Inputs!$F$266)</f>
        <v>1</v>
      </c>
      <c r="AF16" s="12" t="n">
        <f aca="false">--(Time!AF$6&gt;=Inputs!$F$266)</f>
        <v>1</v>
      </c>
      <c r="AG16" s="12" t="n">
        <f aca="false">--(Time!AG$6&gt;=Inputs!$F$266)</f>
        <v>1</v>
      </c>
      <c r="AH16" s="12" t="n">
        <f aca="false">--(Time!AH$6&gt;=Inputs!$F$266)</f>
        <v>1</v>
      </c>
      <c r="AI16" s="12" t="n">
        <f aca="false">--(Time!AI$6&gt;=Inputs!$F$266)</f>
        <v>1</v>
      </c>
      <c r="AJ16" s="12" t="n">
        <f aca="false">--(Time!AJ$6&gt;=Inputs!$F$266)</f>
        <v>1</v>
      </c>
      <c r="AK16" s="12" t="n">
        <f aca="false">--(Time!AK$6&gt;=Inputs!$F$266)</f>
        <v>1</v>
      </c>
      <c r="AL16" s="12" t="n">
        <f aca="false">--(Time!AL$6&gt;=Inputs!$F$266)</f>
        <v>1</v>
      </c>
      <c r="AM16" s="12" t="n">
        <f aca="false">--(Time!AM$6&gt;=Inputs!$F$266)</f>
        <v>1</v>
      </c>
      <c r="AN16" s="12" t="n">
        <f aca="false">--(Time!AN$6&gt;=Inputs!$F$266)</f>
        <v>1</v>
      </c>
      <c r="AO16" s="12" t="n">
        <f aca="false">--(Time!AO$6&gt;=Inputs!$F$266)</f>
        <v>1</v>
      </c>
      <c r="AP16" s="12" t="n">
        <f aca="false">--(Time!AP$6&gt;=Inputs!$F$266)</f>
        <v>1</v>
      </c>
      <c r="AQ16" s="12" t="n">
        <f aca="false">--(Time!AQ$6&gt;=Inputs!$F$266)</f>
        <v>1</v>
      </c>
      <c r="AR16" s="12" t="n">
        <f aca="false">--(Time!AR$6&gt;=Inputs!$F$266)</f>
        <v>1</v>
      </c>
      <c r="AS16" s="12" t="n">
        <f aca="false">--(Time!AS$6&gt;=Inputs!$F$266)</f>
        <v>1</v>
      </c>
      <c r="AT16" s="12" t="n">
        <f aca="false">--(Time!AT$6&gt;=Inputs!$F$266)</f>
        <v>1</v>
      </c>
      <c r="AU16" s="12" t="n">
        <f aca="false">--(Time!AU$6&gt;=Inputs!$F$266)</f>
        <v>1</v>
      </c>
    </row>
    <row r="17" customFormat="false" ht="15" hidden="false" customHeight="false" outlineLevel="0" collapsed="false">
      <c r="D17" s="0" t="s">
        <v>1124</v>
      </c>
      <c r="E17" s="0" t="s">
        <v>27</v>
      </c>
      <c r="J17" s="14" t="n">
        <f aca="false">IF(Time!J$4&gt;Inputs!$F$342,(1+Inputs!$F$341/100)^(-Returns!J15),(1+Inputs!$F$337/100)^(-Returns!J15))*Returns!J16</f>
        <v>0</v>
      </c>
      <c r="K17" s="14" t="n">
        <f aca="false">IF(Time!K$4&gt;Inputs!$F$342,(1+Inputs!$F$341/100)^(-Returns!K15),(1+Inputs!$F$337/100)^(-Returns!K15))*Returns!K16</f>
        <v>0.978403802808631</v>
      </c>
      <c r="L17" s="14" t="n">
        <f aca="false">IF(Time!L$4&gt;Inputs!$F$342,(1+Inputs!$F$341/100)^(-Returns!L15),(1+Inputs!$F$337/100)^(-Returns!L15))*Returns!L16</f>
        <v>0.916373513661386</v>
      </c>
      <c r="M17" s="14" t="n">
        <f aca="false">IF(Time!M$4&gt;Inputs!$F$342,(1+Inputs!$F$341/100)^(-Returns!M15),(1+Inputs!$F$337/100)^(-Returns!M15))*Returns!M16</f>
        <v>0.858429520994272</v>
      </c>
      <c r="N17" s="14" t="n">
        <f aca="false">IF(Time!N$4&gt;Inputs!$F$342,(1+Inputs!$F$341/100)^(-Returns!N15),(1+Inputs!$F$337/100)^(-Returns!N15))*Returns!N16</f>
        <v>0.804149434186672</v>
      </c>
      <c r="O17" s="14" t="n">
        <f aca="false">IF(Time!O$4&gt;Inputs!$F$342,(1+Inputs!$F$341/100)^(-Returns!O15),(1+Inputs!$F$337/100)^(-Returns!O15))*Returns!O16</f>
        <v>0.753301577692433</v>
      </c>
      <c r="P17" s="14" t="n">
        <f aca="false">IF(Time!P$4&gt;Inputs!$F$342,(1+Inputs!$F$341/100)^(-Returns!P15),(1+Inputs!$F$337/100)^(-Returns!P15))*Returns!P16</f>
        <v>0.705542651832578</v>
      </c>
      <c r="Q17" s="14" t="n">
        <f aca="false">IF(Time!Q$4&gt;Inputs!$F$342,(1+Inputs!$F$341/100)^(-Returns!Q15),(1+Inputs!$F$337/100)^(-Returns!Q15))*Returns!Q16</f>
        <v>0.660929884620682</v>
      </c>
      <c r="R17" s="14" t="n">
        <f aca="false">IF(Time!R$4&gt;Inputs!$F$342,(1+Inputs!$F$341/100)^(-Returns!R15),(1+Inputs!$F$337/100)^(-Returns!R15))*Returns!R16</f>
        <v>0.619138065218438</v>
      </c>
      <c r="S17" s="14" t="n">
        <f aca="false">IF(Time!S$4&gt;Inputs!$F$342,(1+Inputs!$F$341/100)^(-Returns!S15),(1+Inputs!$F$337/100)^(-Returns!S15))*Returns!S16</f>
        <v>0.579988819876757</v>
      </c>
      <c r="T17" s="14" t="n">
        <f aca="false">IF(Time!T$4&gt;Inputs!$F$342,(1+Inputs!$F$341/100)^(-Returns!T15),(1+Inputs!$F$337/100)^(-Returns!T15))*Returns!T16</f>
        <v>0.543217832176332</v>
      </c>
      <c r="U17" s="14" t="n">
        <f aca="false">IF(Time!U$4&gt;Inputs!$F$342,(1+Inputs!$F$341/100)^(-Returns!U15),(1+Inputs!$F$337/100)^(-Returns!U15))*Returns!U16</f>
        <v>0.508869163631225</v>
      </c>
      <c r="V17" s="14" t="n">
        <f aca="false">IF(Time!V$4&gt;Inputs!$F$342,(1+Inputs!$F$341/100)^(-Returns!V15),(1+Inputs!$F$337/100)^(-Returns!V15))*Returns!V16</f>
        <v>0.476692424947283</v>
      </c>
      <c r="W17" s="14" t="n">
        <f aca="false">IF(Time!W$4&gt;Inputs!$F$342,(1+Inputs!$F$341/100)^(-Returns!W15),(1+Inputs!$F$337/100)^(-Returns!W15))*Returns!W16</f>
        <v>0.446550280981062</v>
      </c>
      <c r="X17" s="14" t="n">
        <f aca="false">IF(Time!X$4&gt;Inputs!$F$342,(1+Inputs!$F$341/100)^(-Returns!X15),(1+Inputs!$F$337/100)^(-Returns!X15))*Returns!X16</f>
        <v>0.418239226824768</v>
      </c>
      <c r="Y17" s="14" t="n">
        <f aca="false">IF(Time!Y$4&gt;Inputs!$F$342,(1+Inputs!$F$341/100)^(-Returns!Y15),(1+Inputs!$F$337/100)^(-Returns!Y15))*Returns!Y16</f>
        <v>0.391793186721094</v>
      </c>
      <c r="Z17" s="14" t="n">
        <f aca="false">IF(Time!Z$4&gt;Inputs!$F$342,(1+Inputs!$F$341/100)^(-Returns!Z15),(1+Inputs!$F$337/100)^(-Returns!Z15))*Returns!Z16</f>
        <v>0.367019378661447</v>
      </c>
      <c r="AA17" s="14" t="n">
        <f aca="false">IF(Time!AA$4&gt;Inputs!$F$342,(1+Inputs!$F$341/100)^(-Returns!AA15),(1+Inputs!$F$337/100)^(-Returns!AA15))*Returns!AA16</f>
        <v>0.343812064319856</v>
      </c>
      <c r="AB17" s="14" t="n">
        <f aca="false">IF(Time!AB$4&gt;Inputs!$F$342,(1+Inputs!$F$341/100)^(-Returns!AB15),(1+Inputs!$F$337/100)^(-Returns!AB15))*Returns!AB16</f>
        <v>0.322014559342003</v>
      </c>
      <c r="AC17" s="14" t="n">
        <f aca="false">IF(Time!AC$4&gt;Inputs!$F$342,(1+Inputs!$F$341/100)^(-Returns!AC15),(1+Inputs!$F$337/100)^(-Returns!AC15))*Returns!AC16</f>
        <v>0.160099987821574</v>
      </c>
      <c r="AD17" s="14" t="n">
        <f aca="false">IF(Time!AD$4&gt;Inputs!$F$342,(1+Inputs!$F$341/100)^(-Returns!AD15),(1+Inputs!$F$337/100)^(-Returns!AD15))*Returns!AD16</f>
        <v>0.144886866806854</v>
      </c>
      <c r="AE17" s="14" t="n">
        <f aca="false">IF(Time!AE$4&gt;Inputs!$F$342,(1+Inputs!$F$341/100)^(-Returns!AE15),(1+Inputs!$F$337/100)^(-Returns!AE15))*Returns!AE16</f>
        <v>0.131119336476791</v>
      </c>
      <c r="AF17" s="14" t="n">
        <f aca="false">IF(Time!AF$4&gt;Inputs!$F$342,(1+Inputs!$F$341/100)^(-Returns!AF15),(1+Inputs!$F$337/100)^(-Returns!AF15))*Returns!AF16</f>
        <v>0.118627578132765</v>
      </c>
      <c r="AG17" s="14" t="n">
        <f aca="false">IF(Time!AG$4&gt;Inputs!$F$342,(1+Inputs!$F$341/100)^(-Returns!AG15),(1+Inputs!$F$337/100)^(-Returns!AG15))*Returns!AG16</f>
        <v>0.107355274328294</v>
      </c>
      <c r="AH17" s="14" t="n">
        <f aca="false">IF(Time!AH$4&gt;Inputs!$F$342,(1+Inputs!$F$341/100)^(-Returns!AH15),(1+Inputs!$F$337/100)^(-Returns!AH15))*Returns!AH16</f>
        <v>0.0971540944147459</v>
      </c>
      <c r="AI17" s="14" t="n">
        <f aca="false">IF(Time!AI$4&gt;Inputs!$F$342,(1+Inputs!$F$341/100)^(-Returns!AI15),(1+Inputs!$F$337/100)^(-Returns!AI15))*Returns!AI16</f>
        <v>0.0879222573889103</v>
      </c>
      <c r="AJ17" s="14" t="n">
        <f aca="false">IF(Time!AJ$4&gt;Inputs!$F$342,(1+Inputs!$F$341/100)^(-Returns!AJ15),(1+Inputs!$F$337/100)^(-Returns!AJ15))*Returns!AJ16</f>
        <v>0.0795458910811238</v>
      </c>
      <c r="AK17" s="14" t="n">
        <f aca="false">IF(Time!AK$4&gt;Inputs!$F$342,(1+Inputs!$F$341/100)^(-Returns!AK15),(1+Inputs!$F$337/100)^(-Returns!AK15))*Returns!AK16</f>
        <v>0.0719872317476233</v>
      </c>
      <c r="AL17" s="14" t="n">
        <f aca="false">IF(Time!AL$4&gt;Inputs!$F$342,(1+Inputs!$F$341/100)^(-Returns!AL15),(1+Inputs!$F$337/100)^(-Returns!AL15))*Returns!AL16</f>
        <v>0.0651468160611976</v>
      </c>
      <c r="AM17" s="14" t="n">
        <f aca="false">IF(Time!AM$4&gt;Inputs!$F$342,(1+Inputs!$F$341/100)^(-Returns!AM15),(1+Inputs!$F$337/100)^(-Returns!AM15))*Returns!AM16</f>
        <v>0.0589563946255182</v>
      </c>
      <c r="AN17" s="14" t="n">
        <f aca="false">IF(Time!AN$4&gt;Inputs!$F$342,(1+Inputs!$F$341/100)^(-Returns!AN15),(1+Inputs!$F$337/100)^(-Returns!AN15))*Returns!AN16</f>
        <v>0.0533396102954101</v>
      </c>
      <c r="AO17" s="14" t="n">
        <f aca="false">IF(Time!AO$4&gt;Inputs!$F$342,(1+Inputs!$F$341/100)^(-Returns!AO15),(1+Inputs!$F$337/100)^(-Returns!AO15))*Returns!AO16</f>
        <v>0.0482711405388327</v>
      </c>
      <c r="AP17" s="14" t="n">
        <f aca="false">IF(Time!AP$4&gt;Inputs!$F$342,(1+Inputs!$F$341/100)^(-Returns!AP15),(1+Inputs!$F$337/100)^(-Returns!AP15))*Returns!AP16</f>
        <v>0.0436842900803916</v>
      </c>
      <c r="AQ17" s="14" t="n">
        <f aca="false">IF(Time!AQ$4&gt;Inputs!$F$342,(1+Inputs!$F$341/100)^(-Returns!AQ15),(1+Inputs!$F$337/100)^(-Returns!AQ15))*Returns!AQ16</f>
        <v>0.0395332941903996</v>
      </c>
      <c r="AR17" s="14" t="n">
        <f aca="false">IF(Time!AR$4&gt;Inputs!$F$342,(1+Inputs!$F$341/100)^(-Returns!AR15),(1+Inputs!$F$337/100)^(-Returns!AR15))*Returns!AR16</f>
        <v>0.0357669514766598</v>
      </c>
      <c r="AS17" s="14" t="n">
        <f aca="false">IF(Time!AS$4&gt;Inputs!$F$342,(1+Inputs!$F$341/100)^(-Returns!AS15),(1+Inputs!$F$337/100)^(-Returns!AS15))*Returns!AS16</f>
        <v>0.0323682818793302</v>
      </c>
      <c r="AT17" s="14" t="n">
        <f aca="false">IF(Time!AT$4&gt;Inputs!$F$342,(1+Inputs!$F$341/100)^(-Returns!AT15),(1+Inputs!$F$337/100)^(-Returns!AT15))*Returns!AT16</f>
        <v>0.0292925627867241</v>
      </c>
      <c r="AU17" s="14" t="n">
        <f aca="false">IF(Time!AU$4&gt;Inputs!$F$342,(1+Inputs!$F$341/100)^(-Returns!AU15),(1+Inputs!$F$337/100)^(-Returns!AU15))*Returns!AU16</f>
        <v>0.0265091065943205</v>
      </c>
    </row>
    <row r="18" customFormat="false" ht="15" hidden="false" customHeight="false" outlineLevel="0" collapsed="false">
      <c r="D18" s="0" t="s">
        <v>1125</v>
      </c>
      <c r="E18" s="0" t="s">
        <v>27</v>
      </c>
      <c r="J18" s="14" t="n">
        <f aca="false">IF(Time!J$4&gt;Inputs!$F$342,(1+Inputs!$F$341/100)^(-Returns!J15),(1+Inputs!$F$338/100)^(-Returns!J15))*Returns!J16</f>
        <v>0</v>
      </c>
      <c r="K18" s="14" t="n">
        <f aca="false">IF(Time!K$4&gt;Inputs!$F$342,(1+Inputs!$F$341/100)^(-Returns!K15),(1+Inputs!$F$338/100)^(-Returns!K15))*Returns!K16</f>
        <v>0.975359314074617</v>
      </c>
      <c r="L18" s="14" t="n">
        <f aca="false">IF(Time!L$4&gt;Inputs!$F$342,(1+Inputs!$F$341/100)^(-Returns!L15),(1+Inputs!$F$338/100)^(-Returns!L15))*Returns!L16</f>
        <v>0.905020761672244</v>
      </c>
      <c r="M18" s="14" t="n">
        <f aca="false">IF(Time!M$4&gt;Inputs!$F$342,(1+Inputs!$F$341/100)^(-Returns!M15),(1+Inputs!$F$338/100)^(-Returns!M15))*Returns!M16</f>
        <v>0.839926460948718</v>
      </c>
      <c r="N18" s="14" t="n">
        <f aca="false">IF(Time!N$4&gt;Inputs!$F$342,(1+Inputs!$F$341/100)^(-Returns!N15),(1+Inputs!$F$338/100)^(-Returns!N15))*Returns!N16</f>
        <v>0.779514116889762</v>
      </c>
      <c r="O18" s="14" t="n">
        <f aca="false">IF(Time!O$4&gt;Inputs!$F$342,(1+Inputs!$F$341/100)^(-Returns!O15),(1+Inputs!$F$338/100)^(-Returns!O15))*Returns!O16</f>
        <v>0.723446976231797</v>
      </c>
      <c r="P18" s="14" t="n">
        <f aca="false">IF(Time!P$4&gt;Inputs!$F$342,(1+Inputs!$F$341/100)^(-Returns!P15),(1+Inputs!$F$338/100)^(-Returns!P15))*Returns!P16</f>
        <v>0.671275215206172</v>
      </c>
      <c r="Q18" s="14" t="n">
        <f aca="false">IF(Time!Q$4&gt;Inputs!$F$342,(1+Inputs!$F$341/100)^(-Returns!Q15),(1+Inputs!$F$338/100)^(-Returns!Q15))*Returns!Q16</f>
        <v>0.622993239170461</v>
      </c>
      <c r="R18" s="14" t="n">
        <f aca="false">IF(Time!R$4&gt;Inputs!$F$342,(1+Inputs!$F$341/100)^(-Returns!R15),(1+Inputs!$F$338/100)^(-Returns!R15))*Returns!R16</f>
        <v>0.578183980668642</v>
      </c>
      <c r="S18" s="14" t="n">
        <f aca="false">IF(Time!S$4&gt;Inputs!$F$342,(1+Inputs!$F$341/100)^(-Returns!S15),(1+Inputs!$F$338/100)^(-Returns!S15))*Returns!S16</f>
        <v>0.536597661873449</v>
      </c>
      <c r="T18" s="14" t="n">
        <f aca="false">IF(Time!T$4&gt;Inputs!$F$342,(1+Inputs!$F$341/100)^(-Returns!T15),(1+Inputs!$F$338/100)^(-Returns!T15))*Returns!T16</f>
        <v>0.497900637900816</v>
      </c>
      <c r="U18" s="14" t="n">
        <f aca="false">IF(Time!U$4&gt;Inputs!$F$342,(1+Inputs!$F$341/100)^(-Returns!U15),(1+Inputs!$F$338/100)^(-Returns!U15))*Returns!U16</f>
        <v>0.462088759072683</v>
      </c>
      <c r="V18" s="14" t="n">
        <f aca="false">IF(Time!V$4&gt;Inputs!$F$342,(1+Inputs!$F$341/100)^(-Returns!V15),(1+Inputs!$F$338/100)^(-Returns!V15))*Returns!V16</f>
        <v>0.428852676633581</v>
      </c>
      <c r="W18" s="14" t="n">
        <f aca="false">IF(Time!W$4&gt;Inputs!$F$342,(1+Inputs!$F$341/100)^(-Returns!W15),(1+Inputs!$F$338/100)^(-Returns!W15))*Returns!W16</f>
        <v>0.398007124485922</v>
      </c>
      <c r="X18" s="14" t="n">
        <f aca="false">IF(Time!X$4&gt;Inputs!$F$342,(1+Inputs!$F$341/100)^(-Returns!X15),(1+Inputs!$F$338/100)^(-Returns!X15))*Returns!X16</f>
        <v>0.369304630360737</v>
      </c>
      <c r="Y18" s="14" t="n">
        <f aca="false">IF(Time!Y$4&gt;Inputs!$F$342,(1+Inputs!$F$341/100)^(-Returns!Y15),(1+Inputs!$F$338/100)^(-Returns!Y15))*Returns!Y16</f>
        <v>0.342742116344071</v>
      </c>
      <c r="Z18" s="14" t="n">
        <f aca="false">IF(Time!Z$4&gt;Inputs!$F$342,(1+Inputs!$F$341/100)^(-Returns!Z15),(1+Inputs!$F$338/100)^(-Returns!Z15))*Returns!Z16</f>
        <v>0.318090131177792</v>
      </c>
      <c r="AA18" s="14" t="n">
        <f aca="false">IF(Time!AA$4&gt;Inputs!$F$342,(1+Inputs!$F$341/100)^(-Returns!AA15),(1+Inputs!$F$338/100)^(-Returns!AA15))*Returns!AA16</f>
        <v>0.295211258633682</v>
      </c>
      <c r="AB18" s="14" t="n">
        <f aca="false">IF(Time!AB$4&gt;Inputs!$F$342,(1+Inputs!$F$341/100)^(-Returns!AB15),(1+Inputs!$F$338/100)^(-Returns!AB15))*Returns!AB16</f>
        <v>0.273921942701044</v>
      </c>
      <c r="AC18" s="14" t="n">
        <f aca="false">IF(Time!AC$4&gt;Inputs!$F$342,(1+Inputs!$F$341/100)^(-Returns!AC15),(1+Inputs!$F$338/100)^(-Returns!AC15))*Returns!AC16</f>
        <v>0.160099987821574</v>
      </c>
      <c r="AD18" s="14" t="n">
        <f aca="false">IF(Time!AD$4&gt;Inputs!$F$342,(1+Inputs!$F$341/100)^(-Returns!AD15),(1+Inputs!$F$338/100)^(-Returns!AD15))*Returns!AD16</f>
        <v>0.144886866806854</v>
      </c>
      <c r="AE18" s="14" t="n">
        <f aca="false">IF(Time!AE$4&gt;Inputs!$F$342,(1+Inputs!$F$341/100)^(-Returns!AE15),(1+Inputs!$F$338/100)^(-Returns!AE15))*Returns!AE16</f>
        <v>0.131119336476791</v>
      </c>
      <c r="AF18" s="14" t="n">
        <f aca="false">IF(Time!AF$4&gt;Inputs!$F$342,(1+Inputs!$F$341/100)^(-Returns!AF15),(1+Inputs!$F$338/100)^(-Returns!AF15))*Returns!AF16</f>
        <v>0.118627578132765</v>
      </c>
      <c r="AG18" s="14" t="n">
        <f aca="false">IF(Time!AG$4&gt;Inputs!$F$342,(1+Inputs!$F$341/100)^(-Returns!AG15),(1+Inputs!$F$338/100)^(-Returns!AG15))*Returns!AG16</f>
        <v>0.107355274328294</v>
      </c>
      <c r="AH18" s="14" t="n">
        <f aca="false">IF(Time!AH$4&gt;Inputs!$F$342,(1+Inputs!$F$341/100)^(-Returns!AH15),(1+Inputs!$F$338/100)^(-Returns!AH15))*Returns!AH16</f>
        <v>0.0971540944147459</v>
      </c>
      <c r="AI18" s="14" t="n">
        <f aca="false">IF(Time!AI$4&gt;Inputs!$F$342,(1+Inputs!$F$341/100)^(-Returns!AI15),(1+Inputs!$F$338/100)^(-Returns!AI15))*Returns!AI16</f>
        <v>0.0879222573889103</v>
      </c>
      <c r="AJ18" s="14" t="n">
        <f aca="false">IF(Time!AJ$4&gt;Inputs!$F$342,(1+Inputs!$F$341/100)^(-Returns!AJ15),(1+Inputs!$F$338/100)^(-Returns!AJ15))*Returns!AJ16</f>
        <v>0.0795458910811238</v>
      </c>
      <c r="AK18" s="14" t="n">
        <f aca="false">IF(Time!AK$4&gt;Inputs!$F$342,(1+Inputs!$F$341/100)^(-Returns!AK15),(1+Inputs!$F$338/100)^(-Returns!AK15))*Returns!AK16</f>
        <v>0.0719872317476233</v>
      </c>
      <c r="AL18" s="14" t="n">
        <f aca="false">IF(Time!AL$4&gt;Inputs!$F$342,(1+Inputs!$F$341/100)^(-Returns!AL15),(1+Inputs!$F$338/100)^(-Returns!AL15))*Returns!AL16</f>
        <v>0.0651468160611976</v>
      </c>
      <c r="AM18" s="14" t="n">
        <f aca="false">IF(Time!AM$4&gt;Inputs!$F$342,(1+Inputs!$F$341/100)^(-Returns!AM15),(1+Inputs!$F$338/100)^(-Returns!AM15))*Returns!AM16</f>
        <v>0.0589563946255182</v>
      </c>
      <c r="AN18" s="14" t="n">
        <f aca="false">IF(Time!AN$4&gt;Inputs!$F$342,(1+Inputs!$F$341/100)^(-Returns!AN15),(1+Inputs!$F$338/100)^(-Returns!AN15))*Returns!AN16</f>
        <v>0.0533396102954101</v>
      </c>
      <c r="AO18" s="14" t="n">
        <f aca="false">IF(Time!AO$4&gt;Inputs!$F$342,(1+Inputs!$F$341/100)^(-Returns!AO15),(1+Inputs!$F$338/100)^(-Returns!AO15))*Returns!AO16</f>
        <v>0.0482711405388327</v>
      </c>
      <c r="AP18" s="14" t="n">
        <f aca="false">IF(Time!AP$4&gt;Inputs!$F$342,(1+Inputs!$F$341/100)^(-Returns!AP15),(1+Inputs!$F$338/100)^(-Returns!AP15))*Returns!AP16</f>
        <v>0.0436842900803916</v>
      </c>
      <c r="AQ18" s="14" t="n">
        <f aca="false">IF(Time!AQ$4&gt;Inputs!$F$342,(1+Inputs!$F$341/100)^(-Returns!AQ15),(1+Inputs!$F$338/100)^(-Returns!AQ15))*Returns!AQ16</f>
        <v>0.0395332941903996</v>
      </c>
      <c r="AR18" s="14" t="n">
        <f aca="false">IF(Time!AR$4&gt;Inputs!$F$342,(1+Inputs!$F$341/100)^(-Returns!AR15),(1+Inputs!$F$338/100)^(-Returns!AR15))*Returns!AR16</f>
        <v>0.0357669514766598</v>
      </c>
      <c r="AS18" s="14" t="n">
        <f aca="false">IF(Time!AS$4&gt;Inputs!$F$342,(1+Inputs!$F$341/100)^(-Returns!AS15),(1+Inputs!$F$338/100)^(-Returns!AS15))*Returns!AS16</f>
        <v>0.0323682818793302</v>
      </c>
      <c r="AT18" s="14" t="n">
        <f aca="false">IF(Time!AT$4&gt;Inputs!$F$342,(1+Inputs!$F$341/100)^(-Returns!AT15),(1+Inputs!$F$338/100)^(-Returns!AT15))*Returns!AT16</f>
        <v>0.0292925627867241</v>
      </c>
      <c r="AU18" s="14" t="n">
        <f aca="false">IF(Time!AU$4&gt;Inputs!$F$342,(1+Inputs!$F$341/100)^(-Returns!AU15),(1+Inputs!$F$338/100)^(-Returns!AU15))*Returns!AU16</f>
        <v>0.0265091065943205</v>
      </c>
    </row>
    <row r="19" customFormat="false" ht="15" hidden="false" customHeight="false" outlineLevel="0" collapsed="false">
      <c r="D19" s="0" t="s">
        <v>1126</v>
      </c>
      <c r="E19" s="0" t="s">
        <v>27</v>
      </c>
      <c r="J19" s="14" t="n">
        <f aca="false">IF(Time!J$4&gt;Inputs!$F$342,(1+Inputs!$F$341/100)^(-Returns!J15),(1+Inputs!$F$339/100)^(-Returns!J15))*Returns!J16</f>
        <v>0</v>
      </c>
      <c r="K19" s="14" t="n">
        <f aca="false">IF(Time!K$4&gt;Inputs!$F$342,(1+Inputs!$F$341/100)^(-Returns!K15),(1+Inputs!$F$339/100)^(-Returns!K15))*Returns!K16</f>
        <v>0.970862582226309</v>
      </c>
      <c r="L19" s="14" t="n">
        <f aca="false">IF(Time!L$4&gt;Inputs!$F$342,(1+Inputs!$F$341/100)^(-Returns!L15),(1+Inputs!$F$339/100)^(-Returns!L15))*Returns!L16</f>
        <v>0.888446034972803</v>
      </c>
      <c r="M19" s="14" t="n">
        <f aca="false">IF(Time!M$4&gt;Inputs!$F$342,(1+Inputs!$F$341/100)^(-Returns!M15),(1+Inputs!$F$339/100)^(-Returns!M15))*Returns!M16</f>
        <v>0.813222915306914</v>
      </c>
      <c r="N19" s="14" t="n">
        <f aca="false">IF(Time!N$4&gt;Inputs!$F$342,(1+Inputs!$F$341/100)^(-Returns!N15),(1+Inputs!$F$339/100)^(-Returns!N15))*Returns!N16</f>
        <v>0.74436880119626</v>
      </c>
      <c r="O19" s="14" t="n">
        <f aca="false">IF(Time!O$4&gt;Inputs!$F$342,(1+Inputs!$F$341/100)^(-Returns!O15),(1+Inputs!$F$339/100)^(-Returns!O15))*Returns!O16</f>
        <v>0.681344440454242</v>
      </c>
      <c r="P19" s="14" t="n">
        <f aca="false">IF(Time!P$4&gt;Inputs!$F$342,(1+Inputs!$F$341/100)^(-Returns!P15),(1+Inputs!$F$339/100)^(-Returns!P15))*Returns!P16</f>
        <v>0.623505095009656</v>
      </c>
      <c r="Q19" s="14" t="n">
        <f aca="false">IF(Time!Q$4&gt;Inputs!$F$342,(1+Inputs!$F$341/100)^(-Returns!Q15),(1+Inputs!$F$339/100)^(-Returns!Q15))*Returns!Q16</f>
        <v>0.570714045775429</v>
      </c>
      <c r="R19" s="14" t="n">
        <f aca="false">IF(Time!R$4&gt;Inputs!$F$342,(1+Inputs!$F$341/100)^(-Returns!R15),(1+Inputs!$F$339/100)^(-Returns!R15))*Returns!R16</f>
        <v>0.522392719245244</v>
      </c>
      <c r="S19" s="14" t="n">
        <f aca="false">IF(Time!S$4&gt;Inputs!$F$342,(1+Inputs!$F$341/100)^(-Returns!S15),(1+Inputs!$F$339/100)^(-Returns!S15))*Returns!S16</f>
        <v>0.478162672078027</v>
      </c>
      <c r="T19" s="14" t="n">
        <f aca="false">IF(Time!T$4&gt;Inputs!$F$342,(1+Inputs!$F$341/100)^(-Returns!T15),(1+Inputs!$F$339/100)^(-Returns!T15))*Returns!T16</f>
        <v>0.437571431690729</v>
      </c>
      <c r="U19" s="14" t="n">
        <f aca="false">IF(Time!U$4&gt;Inputs!$F$342,(1+Inputs!$F$341/100)^(-Returns!U15),(1+Inputs!$F$339/100)^(-Returns!U15))*Returns!U16</f>
        <v>0.400523049602497</v>
      </c>
      <c r="V19" s="14" t="n">
        <f aca="false">IF(Time!V$4&gt;Inputs!$F$342,(1+Inputs!$F$341/100)^(-Returns!V15),(1+Inputs!$F$339/100)^(-Returns!V15))*Returns!V16</f>
        <v>0.366611487050341</v>
      </c>
      <c r="W19" s="14" t="n">
        <f aca="false">IF(Time!W$4&gt;Inputs!$F$342,(1+Inputs!$F$341/100)^(-Returns!W15),(1+Inputs!$F$339/100)^(-Returns!W15))*Returns!W16</f>
        <v>0.33557115519482</v>
      </c>
      <c r="X19" s="14" t="n">
        <f aca="false">IF(Time!X$4&gt;Inputs!$F$342,(1+Inputs!$F$341/100)^(-Returns!X15),(1+Inputs!$F$339/100)^(-Returns!X15))*Returns!X16</f>
        <v>0.307084512002117</v>
      </c>
      <c r="Y19" s="14" t="n">
        <f aca="false">IF(Time!Y$4&gt;Inputs!$F$342,(1+Inputs!$F$341/100)^(-Returns!Y15),(1+Inputs!$F$339/100)^(-Returns!Y15))*Returns!Y16</f>
        <v>0.281084221512235</v>
      </c>
      <c r="Z19" s="14" t="n">
        <f aca="false">IF(Time!Z$4&gt;Inputs!$F$342,(1+Inputs!$F$341/100)^(-Returns!Z15),(1+Inputs!$F$339/100)^(-Returns!Z15))*Returns!Z16</f>
        <v>0.257285328615318</v>
      </c>
      <c r="AA19" s="14" t="n">
        <f aca="false">IF(Time!AA$4&gt;Inputs!$F$342,(1+Inputs!$F$341/100)^(-Returns!AA15),(1+Inputs!$F$339/100)^(-Returns!AA15))*Returns!AA16</f>
        <v>0.235501444956813</v>
      </c>
      <c r="AB19" s="14" t="n">
        <f aca="false">IF(Time!AB$4&gt;Inputs!$F$342,(1+Inputs!$F$341/100)^(-Returns!AB15),(1+Inputs!$F$339/100)^(-Returns!AB15))*Returns!AB16</f>
        <v>0.215509721800644</v>
      </c>
      <c r="AC19" s="14" t="n">
        <f aca="false">IF(Time!AC$4&gt;Inputs!$F$342,(1+Inputs!$F$341/100)^(-Returns!AC15),(1+Inputs!$F$339/100)^(-Returns!AC15))*Returns!AC16</f>
        <v>0.160099987821574</v>
      </c>
      <c r="AD19" s="14" t="n">
        <f aca="false">IF(Time!AD$4&gt;Inputs!$F$342,(1+Inputs!$F$341/100)^(-Returns!AD15),(1+Inputs!$F$339/100)^(-Returns!AD15))*Returns!AD16</f>
        <v>0.144886866806854</v>
      </c>
      <c r="AE19" s="14" t="n">
        <f aca="false">IF(Time!AE$4&gt;Inputs!$F$342,(1+Inputs!$F$341/100)^(-Returns!AE15),(1+Inputs!$F$339/100)^(-Returns!AE15))*Returns!AE16</f>
        <v>0.131119336476791</v>
      </c>
      <c r="AF19" s="14" t="n">
        <f aca="false">IF(Time!AF$4&gt;Inputs!$F$342,(1+Inputs!$F$341/100)^(-Returns!AF15),(1+Inputs!$F$339/100)^(-Returns!AF15))*Returns!AF16</f>
        <v>0.118627578132765</v>
      </c>
      <c r="AG19" s="14" t="n">
        <f aca="false">IF(Time!AG$4&gt;Inputs!$F$342,(1+Inputs!$F$341/100)^(-Returns!AG15),(1+Inputs!$F$339/100)^(-Returns!AG15))*Returns!AG16</f>
        <v>0.107355274328294</v>
      </c>
      <c r="AH19" s="14" t="n">
        <f aca="false">IF(Time!AH$4&gt;Inputs!$F$342,(1+Inputs!$F$341/100)^(-Returns!AH15),(1+Inputs!$F$339/100)^(-Returns!AH15))*Returns!AH16</f>
        <v>0.0971540944147459</v>
      </c>
      <c r="AI19" s="14" t="n">
        <f aca="false">IF(Time!AI$4&gt;Inputs!$F$342,(1+Inputs!$F$341/100)^(-Returns!AI15),(1+Inputs!$F$339/100)^(-Returns!AI15))*Returns!AI16</f>
        <v>0.0879222573889103</v>
      </c>
      <c r="AJ19" s="14" t="n">
        <f aca="false">IF(Time!AJ$4&gt;Inputs!$F$342,(1+Inputs!$F$341/100)^(-Returns!AJ15),(1+Inputs!$F$339/100)^(-Returns!AJ15))*Returns!AJ16</f>
        <v>0.0795458910811238</v>
      </c>
      <c r="AK19" s="14" t="n">
        <f aca="false">IF(Time!AK$4&gt;Inputs!$F$342,(1+Inputs!$F$341/100)^(-Returns!AK15),(1+Inputs!$F$339/100)^(-Returns!AK15))*Returns!AK16</f>
        <v>0.0719872317476233</v>
      </c>
      <c r="AL19" s="14" t="n">
        <f aca="false">IF(Time!AL$4&gt;Inputs!$F$342,(1+Inputs!$F$341/100)^(-Returns!AL15),(1+Inputs!$F$339/100)^(-Returns!AL15))*Returns!AL16</f>
        <v>0.0651468160611976</v>
      </c>
      <c r="AM19" s="14" t="n">
        <f aca="false">IF(Time!AM$4&gt;Inputs!$F$342,(1+Inputs!$F$341/100)^(-Returns!AM15),(1+Inputs!$F$339/100)^(-Returns!AM15))*Returns!AM16</f>
        <v>0.0589563946255182</v>
      </c>
      <c r="AN19" s="14" t="n">
        <f aca="false">IF(Time!AN$4&gt;Inputs!$F$342,(1+Inputs!$F$341/100)^(-Returns!AN15),(1+Inputs!$F$339/100)^(-Returns!AN15))*Returns!AN16</f>
        <v>0.0533396102954101</v>
      </c>
      <c r="AO19" s="14" t="n">
        <f aca="false">IF(Time!AO$4&gt;Inputs!$F$342,(1+Inputs!$F$341/100)^(-Returns!AO15),(1+Inputs!$F$339/100)^(-Returns!AO15))*Returns!AO16</f>
        <v>0.0482711405388327</v>
      </c>
      <c r="AP19" s="14" t="n">
        <f aca="false">IF(Time!AP$4&gt;Inputs!$F$342,(1+Inputs!$F$341/100)^(-Returns!AP15),(1+Inputs!$F$339/100)^(-Returns!AP15))*Returns!AP16</f>
        <v>0.0436842900803916</v>
      </c>
      <c r="AQ19" s="14" t="n">
        <f aca="false">IF(Time!AQ$4&gt;Inputs!$F$342,(1+Inputs!$F$341/100)^(-Returns!AQ15),(1+Inputs!$F$339/100)^(-Returns!AQ15))*Returns!AQ16</f>
        <v>0.0395332941903996</v>
      </c>
      <c r="AR19" s="14" t="n">
        <f aca="false">IF(Time!AR$4&gt;Inputs!$F$342,(1+Inputs!$F$341/100)^(-Returns!AR15),(1+Inputs!$F$339/100)^(-Returns!AR15))*Returns!AR16</f>
        <v>0.0357669514766598</v>
      </c>
      <c r="AS19" s="14" t="n">
        <f aca="false">IF(Time!AS$4&gt;Inputs!$F$342,(1+Inputs!$F$341/100)^(-Returns!AS15),(1+Inputs!$F$339/100)^(-Returns!AS15))*Returns!AS16</f>
        <v>0.0323682818793302</v>
      </c>
      <c r="AT19" s="14" t="n">
        <f aca="false">IF(Time!AT$4&gt;Inputs!$F$342,(1+Inputs!$F$341/100)^(-Returns!AT15),(1+Inputs!$F$339/100)^(-Returns!AT15))*Returns!AT16</f>
        <v>0.0292925627867241</v>
      </c>
      <c r="AU19" s="14" t="n">
        <f aca="false">IF(Time!AU$4&gt;Inputs!$F$342,(1+Inputs!$F$341/100)^(-Returns!AU15),(1+Inputs!$F$339/100)^(-Returns!AU15))*Returns!AU16</f>
        <v>0.0265091065943205</v>
      </c>
    </row>
    <row r="20" customFormat="false" ht="15" hidden="false" customHeight="false" outlineLevel="0" collapsed="false">
      <c r="D20" s="0" t="s">
        <v>1127</v>
      </c>
      <c r="E20" s="0" t="s">
        <v>27</v>
      </c>
      <c r="J20" s="14" t="n">
        <f aca="false">IF(Time!J$4&gt;Inputs!$F$342,(1+Inputs!$F$341/100)^(-Returns!J15),(1+Inputs!$F$340/100)^(-Returns!J15))*Returns!J16</f>
        <v>0</v>
      </c>
      <c r="K20" s="14" t="n">
        <f aca="false">IF(Time!K$4&gt;Inputs!$F$342,(1+Inputs!$F$341/100)^(-Returns!K15),(1+Inputs!$F$340/100)^(-Returns!K15))*Returns!K16</f>
        <v>0.967910271660023</v>
      </c>
      <c r="L20" s="14" t="n">
        <f aca="false">IF(Time!L$4&gt;Inputs!$F$342,(1+Inputs!$F$341/100)^(-Returns!L15),(1+Inputs!$F$340/100)^(-Returns!L15))*Returns!L16</f>
        <v>0.877688473339743</v>
      </c>
      <c r="M20" s="14" t="n">
        <f aca="false">IF(Time!M$4&gt;Inputs!$F$342,(1+Inputs!$F$341/100)^(-Returns!M15),(1+Inputs!$F$340/100)^(-Returns!M15))*Returns!M16</f>
        <v>0.796089318221989</v>
      </c>
      <c r="N20" s="14" t="n">
        <f aca="false">IF(Time!N$4&gt;Inputs!$F$342,(1+Inputs!$F$341/100)^(-Returns!N15),(1+Inputs!$F$340/100)^(-Returns!N15))*Returns!N16</f>
        <v>0.722076479112915</v>
      </c>
      <c r="O20" s="14" t="n">
        <f aca="false">IF(Time!O$4&gt;Inputs!$F$342,(1+Inputs!$F$341/100)^(-Returns!O15),(1+Inputs!$F$340/100)^(-Returns!O15))*Returns!O16</f>
        <v>0.654944652256613</v>
      </c>
      <c r="P20" s="14" t="n">
        <f aca="false">IF(Time!P$4&gt;Inputs!$F$342,(1+Inputs!$F$341/100)^(-Returns!P15),(1+Inputs!$F$340/100)^(-Returns!P15))*Returns!P16</f>
        <v>0.593895311158601</v>
      </c>
      <c r="Q20" s="14" t="n">
        <f aca="false">IF(Time!Q$4&gt;Inputs!$F$342,(1+Inputs!$F$341/100)^(-Returns!Q15),(1+Inputs!$F$340/100)^(-Returns!Q15))*Returns!Q16</f>
        <v>0.538680554338867</v>
      </c>
      <c r="R20" s="14" t="n">
        <f aca="false">IF(Time!R$4&gt;Inputs!$F$342,(1+Inputs!$F$341/100)^(-Returns!R15),(1+Inputs!$F$340/100)^(-Returns!R15))*Returns!R16</f>
        <v>0.488599142257475</v>
      </c>
      <c r="S20" s="14" t="n">
        <f aca="false">IF(Time!S$4&gt;Inputs!$F$342,(1+Inputs!$F$341/100)^(-Returns!S15),(1+Inputs!$F$340/100)^(-Returns!S15))*Returns!S16</f>
        <v>0.443173825176848</v>
      </c>
      <c r="T20" s="14" t="n">
        <f aca="false">IF(Time!T$4&gt;Inputs!$F$342,(1+Inputs!$F$341/100)^(-Returns!T15),(1+Inputs!$F$340/100)^(-Returns!T15))*Returns!T16</f>
        <v>0.401864273406768</v>
      </c>
      <c r="U20" s="14" t="n">
        <f aca="false">IF(Time!U$4&gt;Inputs!$F$342,(1+Inputs!$F$341/100)^(-Returns!U15),(1+Inputs!$F$340/100)^(-Returns!U15))*Returns!U16</f>
        <v>0.364502742319064</v>
      </c>
      <c r="V20" s="14" t="n">
        <f aca="false">IF(Time!V$4&gt;Inputs!$F$342,(1+Inputs!$F$341/100)^(-Returns!V15),(1+Inputs!$F$340/100)^(-Returns!V15))*Returns!V16</f>
        <v>0.330614732262189</v>
      </c>
      <c r="W20" s="14" t="n">
        <f aca="false">IF(Time!W$4&gt;Inputs!$F$342,(1+Inputs!$F$341/100)^(-Returns!W15),(1+Inputs!$F$340/100)^(-Returns!W15))*Returns!W16</f>
        <v>0.299877308174321</v>
      </c>
      <c r="X20" s="14" t="n">
        <f aca="false">IF(Time!X$4&gt;Inputs!$F$342,(1+Inputs!$F$341/100)^(-Returns!X15),(1+Inputs!$F$340/100)^(-Returns!X15))*Returns!X16</f>
        <v>0.271924851411433</v>
      </c>
      <c r="Y20" s="14" t="n">
        <f aca="false">IF(Time!Y$4&gt;Inputs!$F$342,(1+Inputs!$F$341/100)^(-Returns!Y15),(1+Inputs!$F$340/100)^(-Returns!Y15))*Returns!Y16</f>
        <v>0.246643856155495</v>
      </c>
      <c r="Z20" s="14" t="n">
        <f aca="false">IF(Time!Z$4&gt;Inputs!$F$342,(1+Inputs!$F$341/100)^(-Returns!Z15),(1+Inputs!$F$340/100)^(-Returns!Z15))*Returns!Z16</f>
        <v>0.223713248213601</v>
      </c>
      <c r="AA20" s="14" t="n">
        <f aca="false">IF(Time!AA$4&gt;Inputs!$F$342,(1+Inputs!$F$341/100)^(-Returns!AA15),(1+Inputs!$F$340/100)^(-Returns!AA15))*Returns!AA16</f>
        <v>0.202914510851339</v>
      </c>
      <c r="AB20" s="14" t="n">
        <f aca="false">IF(Time!AB$4&gt;Inputs!$F$342,(1+Inputs!$F$341/100)^(-Returns!AB15),(1+Inputs!$F$340/100)^(-Returns!AB15))*Returns!AB16</f>
        <v>0.184000245128247</v>
      </c>
      <c r="AC20" s="14" t="n">
        <f aca="false">IF(Time!AC$4&gt;Inputs!$F$342,(1+Inputs!$F$341/100)^(-Returns!AC15),(1+Inputs!$F$340/100)^(-Returns!AC15))*Returns!AC16</f>
        <v>0.160099987821574</v>
      </c>
      <c r="AD20" s="14" t="n">
        <f aca="false">IF(Time!AD$4&gt;Inputs!$F$342,(1+Inputs!$F$341/100)^(-Returns!AD15),(1+Inputs!$F$340/100)^(-Returns!AD15))*Returns!AD16</f>
        <v>0.144886866806854</v>
      </c>
      <c r="AE20" s="14" t="n">
        <f aca="false">IF(Time!AE$4&gt;Inputs!$F$342,(1+Inputs!$F$341/100)^(-Returns!AE15),(1+Inputs!$F$340/100)^(-Returns!AE15))*Returns!AE16</f>
        <v>0.131119336476791</v>
      </c>
      <c r="AF20" s="14" t="n">
        <f aca="false">IF(Time!AF$4&gt;Inputs!$F$342,(1+Inputs!$F$341/100)^(-Returns!AF15),(1+Inputs!$F$340/100)^(-Returns!AF15))*Returns!AF16</f>
        <v>0.118627578132765</v>
      </c>
      <c r="AG20" s="14" t="n">
        <f aca="false">IF(Time!AG$4&gt;Inputs!$F$342,(1+Inputs!$F$341/100)^(-Returns!AG15),(1+Inputs!$F$340/100)^(-Returns!AG15))*Returns!AG16</f>
        <v>0.107355274328294</v>
      </c>
      <c r="AH20" s="14" t="n">
        <f aca="false">IF(Time!AH$4&gt;Inputs!$F$342,(1+Inputs!$F$341/100)^(-Returns!AH15),(1+Inputs!$F$340/100)^(-Returns!AH15))*Returns!AH16</f>
        <v>0.0971540944147459</v>
      </c>
      <c r="AI20" s="14" t="n">
        <f aca="false">IF(Time!AI$4&gt;Inputs!$F$342,(1+Inputs!$F$341/100)^(-Returns!AI15),(1+Inputs!$F$340/100)^(-Returns!AI15))*Returns!AI16</f>
        <v>0.0879222573889103</v>
      </c>
      <c r="AJ20" s="14" t="n">
        <f aca="false">IF(Time!AJ$4&gt;Inputs!$F$342,(1+Inputs!$F$341/100)^(-Returns!AJ15),(1+Inputs!$F$340/100)^(-Returns!AJ15))*Returns!AJ16</f>
        <v>0.0795458910811238</v>
      </c>
      <c r="AK20" s="14" t="n">
        <f aca="false">IF(Time!AK$4&gt;Inputs!$F$342,(1+Inputs!$F$341/100)^(-Returns!AK15),(1+Inputs!$F$340/100)^(-Returns!AK15))*Returns!AK16</f>
        <v>0.0719872317476233</v>
      </c>
      <c r="AL20" s="14" t="n">
        <f aca="false">IF(Time!AL$4&gt;Inputs!$F$342,(1+Inputs!$F$341/100)^(-Returns!AL15),(1+Inputs!$F$340/100)^(-Returns!AL15))*Returns!AL16</f>
        <v>0.0651468160611976</v>
      </c>
      <c r="AM20" s="14" t="n">
        <f aca="false">IF(Time!AM$4&gt;Inputs!$F$342,(1+Inputs!$F$341/100)^(-Returns!AM15),(1+Inputs!$F$340/100)^(-Returns!AM15))*Returns!AM16</f>
        <v>0.0589563946255182</v>
      </c>
      <c r="AN20" s="14" t="n">
        <f aca="false">IF(Time!AN$4&gt;Inputs!$F$342,(1+Inputs!$F$341/100)^(-Returns!AN15),(1+Inputs!$F$340/100)^(-Returns!AN15))*Returns!AN16</f>
        <v>0.0533396102954101</v>
      </c>
      <c r="AO20" s="14" t="n">
        <f aca="false">IF(Time!AO$4&gt;Inputs!$F$342,(1+Inputs!$F$341/100)^(-Returns!AO15),(1+Inputs!$F$340/100)^(-Returns!AO15))*Returns!AO16</f>
        <v>0.0482711405388327</v>
      </c>
      <c r="AP20" s="14" t="n">
        <f aca="false">IF(Time!AP$4&gt;Inputs!$F$342,(1+Inputs!$F$341/100)^(-Returns!AP15),(1+Inputs!$F$340/100)^(-Returns!AP15))*Returns!AP16</f>
        <v>0.0436842900803916</v>
      </c>
      <c r="AQ20" s="14" t="n">
        <f aca="false">IF(Time!AQ$4&gt;Inputs!$F$342,(1+Inputs!$F$341/100)^(-Returns!AQ15),(1+Inputs!$F$340/100)^(-Returns!AQ15))*Returns!AQ16</f>
        <v>0.0395332941903996</v>
      </c>
      <c r="AR20" s="14" t="n">
        <f aca="false">IF(Time!AR$4&gt;Inputs!$F$342,(1+Inputs!$F$341/100)^(-Returns!AR15),(1+Inputs!$F$340/100)^(-Returns!AR15))*Returns!AR16</f>
        <v>0.0357669514766598</v>
      </c>
      <c r="AS20" s="14" t="n">
        <f aca="false">IF(Time!AS$4&gt;Inputs!$F$342,(1+Inputs!$F$341/100)^(-Returns!AS15),(1+Inputs!$F$340/100)^(-Returns!AS15))*Returns!AS16</f>
        <v>0.0323682818793302</v>
      </c>
      <c r="AT20" s="14" t="n">
        <f aca="false">IF(Time!AT$4&gt;Inputs!$F$342,(1+Inputs!$F$341/100)^(-Returns!AT15),(1+Inputs!$F$340/100)^(-Returns!AT15))*Returns!AT16</f>
        <v>0.0292925627867241</v>
      </c>
      <c r="AU20" s="14" t="n">
        <f aca="false">IF(Time!AU$4&gt;Inputs!$F$342,(1+Inputs!$F$341/100)^(-Returns!AU15),(1+Inputs!$F$340/100)^(-Returns!AU15))*Returns!AU16</f>
        <v>0.0265091065943205</v>
      </c>
    </row>
    <row r="21" customFormat="false" ht="15" hidden="false" customHeight="false" outlineLevel="0" collapsed="false">
      <c r="D21" s="0" t="s">
        <v>1128</v>
      </c>
      <c r="E21" s="0" t="s">
        <v>27</v>
      </c>
      <c r="J21" s="14" t="n">
        <f aca="false">(1+Inputs!$F$337/100)^(-Returns!J15)*Returns!J16</f>
        <v>0</v>
      </c>
      <c r="K21" s="14" t="n">
        <f aca="false">(1+Inputs!$F$337/100)^(-Returns!K15)*Returns!K16</f>
        <v>0.978403802808631</v>
      </c>
      <c r="L21" s="14" t="n">
        <f aca="false">(1+Inputs!$F$337/100)^(-Returns!L15)*Returns!L16</f>
        <v>0.916373513661386</v>
      </c>
      <c r="M21" s="14" t="n">
        <f aca="false">(1+Inputs!$F$337/100)^(-Returns!M15)*Returns!M16</f>
        <v>0.858429520994272</v>
      </c>
      <c r="N21" s="14" t="n">
        <f aca="false">(1+Inputs!$F$337/100)^(-Returns!N15)*Returns!N16</f>
        <v>0.804149434186672</v>
      </c>
      <c r="O21" s="14" t="n">
        <f aca="false">(1+Inputs!$F$337/100)^(-Returns!O15)*Returns!O16</f>
        <v>0.753301577692433</v>
      </c>
      <c r="P21" s="14" t="n">
        <f aca="false">(1+Inputs!$F$337/100)^(-Returns!P15)*Returns!P16</f>
        <v>0.705542651832578</v>
      </c>
      <c r="Q21" s="14" t="n">
        <f aca="false">(1+Inputs!$F$337/100)^(-Returns!Q15)*Returns!Q16</f>
        <v>0.660929884620682</v>
      </c>
      <c r="R21" s="14" t="n">
        <f aca="false">(1+Inputs!$F$337/100)^(-Returns!R15)*Returns!R16</f>
        <v>0.619138065218438</v>
      </c>
      <c r="S21" s="14" t="n">
        <f aca="false">(1+Inputs!$F$337/100)^(-Returns!S15)*Returns!S16</f>
        <v>0.579988819876757</v>
      </c>
      <c r="T21" s="14" t="n">
        <f aca="false">(1+Inputs!$F$337/100)^(-Returns!T15)*Returns!T16</f>
        <v>0.543217832176332</v>
      </c>
      <c r="U21" s="14" t="n">
        <f aca="false">(1+Inputs!$F$337/100)^(-Returns!U15)*Returns!U16</f>
        <v>0.508869163631225</v>
      </c>
      <c r="V21" s="14" t="n">
        <f aca="false">(1+Inputs!$F$337/100)^(-Returns!V15)*Returns!V16</f>
        <v>0.476692424947283</v>
      </c>
      <c r="W21" s="14" t="n">
        <f aca="false">(1+Inputs!$F$337/100)^(-Returns!W15)*Returns!W16</f>
        <v>0.446550280981062</v>
      </c>
      <c r="X21" s="14" t="n">
        <f aca="false">(1+Inputs!$F$337/100)^(-Returns!X15)*Returns!X16</f>
        <v>0.418239226824768</v>
      </c>
      <c r="Y21" s="14" t="n">
        <f aca="false">(1+Inputs!$F$337/100)^(-Returns!Y15)*Returns!Y16</f>
        <v>0.391793186721094</v>
      </c>
      <c r="Z21" s="14" t="n">
        <f aca="false">(1+Inputs!$F$337/100)^(-Returns!Z15)*Returns!Z16</f>
        <v>0.367019378661447</v>
      </c>
      <c r="AA21" s="14" t="n">
        <f aca="false">(1+Inputs!$F$337/100)^(-Returns!AA15)*Returns!AA16</f>
        <v>0.343812064319856</v>
      </c>
      <c r="AB21" s="14" t="n">
        <f aca="false">(1+Inputs!$F$337/100)^(-Returns!AB15)*Returns!AB16</f>
        <v>0.322014559342003</v>
      </c>
      <c r="AC21" s="14" t="n">
        <f aca="false">(1+Inputs!$F$337/100)^(-Returns!AC15)*Returns!AC16</f>
        <v>0.301652982990167</v>
      </c>
      <c r="AD21" s="14" t="n">
        <f aca="false">(1+Inputs!$F$337/100)^(-Returns!AD15)*Returns!AD16</f>
        <v>0.282578906782358</v>
      </c>
      <c r="AE21" s="14" t="n">
        <f aca="false">(1+Inputs!$F$337/100)^(-Returns!AE15)*Returns!AE16</f>
        <v>0.264710919702443</v>
      </c>
      <c r="AF21" s="14" t="n">
        <f aca="false">(1+Inputs!$F$337/100)^(-Returns!AF15)*Returns!AF16</f>
        <v>0.247928385903576</v>
      </c>
      <c r="AG21" s="14" t="n">
        <f aca="false">(1+Inputs!$F$337/100)^(-Returns!AG15)*Returns!AG16</f>
        <v>0.232251415366347</v>
      </c>
      <c r="AH21" s="14" t="n">
        <f aca="false">(1+Inputs!$F$337/100)^(-Returns!AH15)*Returns!AH16</f>
        <v>0.217565728680419</v>
      </c>
      <c r="AI21" s="14" t="n">
        <f aca="false">(1+Inputs!$F$337/100)^(-Returns!AI15)*Returns!AI16</f>
        <v>0.203808645133882</v>
      </c>
      <c r="AJ21" s="14" t="n">
        <f aca="false">(1+Inputs!$F$337/100)^(-Returns!AJ15)*Returns!AJ16</f>
        <v>0.190887283675483</v>
      </c>
      <c r="AK21" s="14" t="n">
        <f aca="false">(1+Inputs!$F$337/100)^(-Returns!AK15)*Returns!AK16</f>
        <v>0.178817127564855</v>
      </c>
      <c r="AL21" s="14" t="n">
        <f aca="false">(1+Inputs!$F$337/100)^(-Returns!AL15)*Returns!AL16</f>
        <v>0.167510189756304</v>
      </c>
      <c r="AM21" s="14" t="n">
        <f aca="false">(1+Inputs!$F$337/100)^(-Returns!AM15)*Returns!AM16</f>
        <v>0.156918210544547</v>
      </c>
      <c r="AN21" s="14" t="n">
        <f aca="false">(1+Inputs!$F$337/100)^(-Returns!AN15)*Returns!AN16</f>
        <v>0.146969678103642</v>
      </c>
      <c r="AO21" s="14" t="n">
        <f aca="false">(1+Inputs!$F$337/100)^(-Returns!AO15)*Returns!AO16</f>
        <v>0.137676513446035</v>
      </c>
      <c r="AP21" s="14" t="n">
        <f aca="false">(1+Inputs!$F$337/100)^(-Returns!AP15)*Returns!AP16</f>
        <v>0.128970972783171</v>
      </c>
      <c r="AQ21" s="14" t="n">
        <f aca="false">(1+Inputs!$F$337/100)^(-Returns!AQ15)*Returns!AQ16</f>
        <v>0.12081589956269</v>
      </c>
      <c r="AR21" s="14" t="n">
        <f aca="false">(1+Inputs!$F$337/100)^(-Returns!AR15)*Returns!AR16</f>
        <v>0.113156234747462</v>
      </c>
      <c r="AS21" s="14" t="n">
        <f aca="false">(1+Inputs!$F$337/100)^(-Returns!AS15)*Returns!AS16</f>
        <v>0.106001156672095</v>
      </c>
      <c r="AT21" s="14" t="n">
        <f aca="false">(1+Inputs!$F$337/100)^(-Returns!AT15)*Returns!AT16</f>
        <v>0.0992985074211667</v>
      </c>
      <c r="AU21" s="14" t="n">
        <f aca="false">(1+Inputs!$F$337/100)^(-Returns!AU15)*Returns!AU16</f>
        <v>0.0930196790830602</v>
      </c>
    </row>
    <row r="22" customFormat="false" ht="15" hidden="false" customHeight="false" outlineLevel="0" collapsed="false">
      <c r="D22" s="0" t="s">
        <v>1129</v>
      </c>
      <c r="E22" s="0" t="s">
        <v>51</v>
      </c>
      <c r="J22" s="14" t="n">
        <f aca="false">MAX(0,(Time!J$6-Inputs!$F$269)/Inputs!$F$27)</f>
        <v>0</v>
      </c>
      <c r="K22" s="14" t="n">
        <f aca="false">MAX(0,(Time!K$6-Inputs!$F$269)/Inputs!$F$27)</f>
        <v>0</v>
      </c>
      <c r="L22" s="14" t="n">
        <f aca="false">MAX(0,(Time!L$6-Inputs!$F$269)/Inputs!$F$27)</f>
        <v>0.876712328767123</v>
      </c>
      <c r="M22" s="14" t="n">
        <f aca="false">MAX(0,(Time!M$6-Inputs!$F$269)/Inputs!$F$27)</f>
        <v>1.87671232876712</v>
      </c>
      <c r="N22" s="14" t="n">
        <f aca="false">MAX(0,(Time!N$6-Inputs!$F$269)/Inputs!$F$27)</f>
        <v>2.87671232876712</v>
      </c>
      <c r="O22" s="14" t="n">
        <f aca="false">MAX(0,(Time!O$6-Inputs!$F$269)/Inputs!$F$27)</f>
        <v>3.87671232876712</v>
      </c>
      <c r="P22" s="14" t="n">
        <f aca="false">MAX(0,(Time!P$6-Inputs!$F$269)/Inputs!$F$27)</f>
        <v>4.87945205479452</v>
      </c>
      <c r="Q22" s="14" t="n">
        <f aca="false">MAX(0,(Time!Q$6-Inputs!$F$269)/Inputs!$F$27)</f>
        <v>5.87945205479452</v>
      </c>
      <c r="R22" s="14" t="n">
        <f aca="false">MAX(0,(Time!R$6-Inputs!$F$269)/Inputs!$F$27)</f>
        <v>6.87945205479452</v>
      </c>
      <c r="S22" s="14" t="n">
        <f aca="false">MAX(0,(Time!S$6-Inputs!$F$269)/Inputs!$F$27)</f>
        <v>7.87945205479452</v>
      </c>
      <c r="T22" s="14" t="n">
        <f aca="false">MAX(0,(Time!T$6-Inputs!$F$269)/Inputs!$F$27)</f>
        <v>8.88219178082192</v>
      </c>
      <c r="U22" s="14" t="n">
        <f aca="false">MAX(0,(Time!U$6-Inputs!$F$269)/Inputs!$F$27)</f>
        <v>9.88219178082192</v>
      </c>
      <c r="V22" s="14" t="n">
        <f aca="false">MAX(0,(Time!V$6-Inputs!$F$269)/Inputs!$F$27)</f>
        <v>10.8821917808219</v>
      </c>
      <c r="W22" s="14" t="n">
        <f aca="false">MAX(0,(Time!W$6-Inputs!$F$269)/Inputs!$F$27)</f>
        <v>11.8821917808219</v>
      </c>
      <c r="X22" s="14" t="n">
        <f aca="false">MAX(0,(Time!X$6-Inputs!$F$269)/Inputs!$F$27)</f>
        <v>12.8849315068493</v>
      </c>
      <c r="Y22" s="14" t="n">
        <f aca="false">MAX(0,(Time!Y$6-Inputs!$F$269)/Inputs!$F$27)</f>
        <v>13.8849315068493</v>
      </c>
      <c r="Z22" s="14" t="n">
        <f aca="false">MAX(0,(Time!Z$6-Inputs!$F$269)/Inputs!$F$27)</f>
        <v>14.8849315068493</v>
      </c>
      <c r="AA22" s="14" t="n">
        <f aca="false">MAX(0,(Time!AA$6-Inputs!$F$269)/Inputs!$F$27)</f>
        <v>15.8849315068493</v>
      </c>
      <c r="AB22" s="14" t="n">
        <f aca="false">MAX(0,(Time!AB$6-Inputs!$F$269)/Inputs!$F$27)</f>
        <v>16.8876712328767</v>
      </c>
      <c r="AC22" s="14" t="n">
        <f aca="false">MAX(0,(Time!AC$6-Inputs!$F$269)/Inputs!$F$27)</f>
        <v>17.8876712328767</v>
      </c>
      <c r="AD22" s="14" t="n">
        <f aca="false">MAX(0,(Time!AD$6-Inputs!$F$269)/Inputs!$F$27)</f>
        <v>18.8876712328767</v>
      </c>
      <c r="AE22" s="14" t="n">
        <f aca="false">MAX(0,(Time!AE$6-Inputs!$F$269)/Inputs!$F$27)</f>
        <v>19.8876712328767</v>
      </c>
      <c r="AF22" s="14" t="n">
        <f aca="false">MAX(0,(Time!AF$6-Inputs!$F$269)/Inputs!$F$27)</f>
        <v>20.8904109589041</v>
      </c>
      <c r="AG22" s="14" t="n">
        <f aca="false">MAX(0,(Time!AG$6-Inputs!$F$269)/Inputs!$F$27)</f>
        <v>21.8904109589041</v>
      </c>
      <c r="AH22" s="14" t="n">
        <f aca="false">MAX(0,(Time!AH$6-Inputs!$F$269)/Inputs!$F$27)</f>
        <v>22.8904109589041</v>
      </c>
      <c r="AI22" s="14" t="n">
        <f aca="false">MAX(0,(Time!AI$6-Inputs!$F$269)/Inputs!$F$27)</f>
        <v>23.8904109589041</v>
      </c>
      <c r="AJ22" s="14" t="n">
        <f aca="false">MAX(0,(Time!AJ$6-Inputs!$F$269)/Inputs!$F$27)</f>
        <v>24.8931506849315</v>
      </c>
      <c r="AK22" s="14" t="n">
        <f aca="false">MAX(0,(Time!AK$6-Inputs!$F$269)/Inputs!$F$27)</f>
        <v>25.8931506849315</v>
      </c>
      <c r="AL22" s="14" t="n">
        <f aca="false">MAX(0,(Time!AL$6-Inputs!$F$269)/Inputs!$F$27)</f>
        <v>26.8931506849315</v>
      </c>
      <c r="AM22" s="14" t="n">
        <f aca="false">MAX(0,(Time!AM$6-Inputs!$F$269)/Inputs!$F$27)</f>
        <v>27.8931506849315</v>
      </c>
      <c r="AN22" s="14" t="n">
        <f aca="false">MAX(0,(Time!AN$6-Inputs!$F$269)/Inputs!$F$27)</f>
        <v>28.8958904109589</v>
      </c>
      <c r="AO22" s="14" t="n">
        <f aca="false">MAX(0,(Time!AO$6-Inputs!$F$269)/Inputs!$F$27)</f>
        <v>29.8958904109589</v>
      </c>
      <c r="AP22" s="14" t="n">
        <f aca="false">MAX(0,(Time!AP$6-Inputs!$F$269)/Inputs!$F$27)</f>
        <v>30.8958904109589</v>
      </c>
      <c r="AQ22" s="14" t="n">
        <f aca="false">MAX(0,(Time!AQ$6-Inputs!$F$269)/Inputs!$F$27)</f>
        <v>31.8958904109589</v>
      </c>
      <c r="AR22" s="14" t="n">
        <f aca="false">MAX(0,(Time!AR$6-Inputs!$F$269)/Inputs!$F$27)</f>
        <v>32.8986301369863</v>
      </c>
      <c r="AS22" s="14" t="n">
        <f aca="false">MAX(0,(Time!AS$6-Inputs!$F$269)/Inputs!$F$27)</f>
        <v>33.8986301369863</v>
      </c>
      <c r="AT22" s="14" t="n">
        <f aca="false">MAX(0,(Time!AT$6-Inputs!$F$269)/Inputs!$F$27)</f>
        <v>34.8986301369863</v>
      </c>
      <c r="AU22" s="14" t="n">
        <f aca="false">MAX(0,(Time!AU$6-Inputs!$F$269)/Inputs!$F$27)</f>
        <v>35.8986301369863</v>
      </c>
    </row>
    <row r="23" customFormat="false" ht="15" hidden="false" customHeight="false" outlineLevel="0" collapsed="false">
      <c r="D23" s="0" t="s">
        <v>1117</v>
      </c>
      <c r="E23" s="0" t="s">
        <v>20</v>
      </c>
      <c r="J23" s="12" t="n">
        <f aca="false">--(Time!J$6&gt;=Inputs!$F$269)</f>
        <v>0</v>
      </c>
      <c r="K23" s="12" t="n">
        <f aca="false">--(Time!K$6&gt;=Inputs!$F$269)</f>
        <v>0</v>
      </c>
      <c r="L23" s="12" t="n">
        <f aca="false">--(Time!L$6&gt;=Inputs!$F$269)</f>
        <v>1</v>
      </c>
      <c r="M23" s="12" t="n">
        <f aca="false">--(Time!M$6&gt;=Inputs!$F$269)</f>
        <v>1</v>
      </c>
      <c r="N23" s="12" t="n">
        <f aca="false">--(Time!N$6&gt;=Inputs!$F$269)</f>
        <v>1</v>
      </c>
      <c r="O23" s="12" t="n">
        <f aca="false">--(Time!O$6&gt;=Inputs!$F$269)</f>
        <v>1</v>
      </c>
      <c r="P23" s="12" t="n">
        <f aca="false">--(Time!P$6&gt;=Inputs!$F$269)</f>
        <v>1</v>
      </c>
      <c r="Q23" s="12" t="n">
        <f aca="false">--(Time!Q$6&gt;=Inputs!$F$269)</f>
        <v>1</v>
      </c>
      <c r="R23" s="12" t="n">
        <f aca="false">--(Time!R$6&gt;=Inputs!$F$269)</f>
        <v>1</v>
      </c>
      <c r="S23" s="12" t="n">
        <f aca="false">--(Time!S$6&gt;=Inputs!$F$269)</f>
        <v>1</v>
      </c>
      <c r="T23" s="12" t="n">
        <f aca="false">--(Time!T$6&gt;=Inputs!$F$269)</f>
        <v>1</v>
      </c>
      <c r="U23" s="12" t="n">
        <f aca="false">--(Time!U$6&gt;=Inputs!$F$269)</f>
        <v>1</v>
      </c>
      <c r="V23" s="12" t="n">
        <f aca="false">--(Time!V$6&gt;=Inputs!$F$269)</f>
        <v>1</v>
      </c>
      <c r="W23" s="12" t="n">
        <f aca="false">--(Time!W$6&gt;=Inputs!$F$269)</f>
        <v>1</v>
      </c>
      <c r="X23" s="12" t="n">
        <f aca="false">--(Time!X$6&gt;=Inputs!$F$269)</f>
        <v>1</v>
      </c>
      <c r="Y23" s="12" t="n">
        <f aca="false">--(Time!Y$6&gt;=Inputs!$F$269)</f>
        <v>1</v>
      </c>
      <c r="Z23" s="12" t="n">
        <f aca="false">--(Time!Z$6&gt;=Inputs!$F$269)</f>
        <v>1</v>
      </c>
      <c r="AA23" s="12" t="n">
        <f aca="false">--(Time!AA$6&gt;=Inputs!$F$269)</f>
        <v>1</v>
      </c>
      <c r="AB23" s="12" t="n">
        <f aca="false">--(Time!AB$6&gt;=Inputs!$F$269)</f>
        <v>1</v>
      </c>
      <c r="AC23" s="12" t="n">
        <f aca="false">--(Time!AC$6&gt;=Inputs!$F$269)</f>
        <v>1</v>
      </c>
      <c r="AD23" s="12" t="n">
        <f aca="false">--(Time!AD$6&gt;=Inputs!$F$269)</f>
        <v>1</v>
      </c>
      <c r="AE23" s="12" t="n">
        <f aca="false">--(Time!AE$6&gt;=Inputs!$F$269)</f>
        <v>1</v>
      </c>
      <c r="AF23" s="12" t="n">
        <f aca="false">--(Time!AF$6&gt;=Inputs!$F$269)</f>
        <v>1</v>
      </c>
      <c r="AG23" s="12" t="n">
        <f aca="false">--(Time!AG$6&gt;=Inputs!$F$269)</f>
        <v>1</v>
      </c>
      <c r="AH23" s="12" t="n">
        <f aca="false">--(Time!AH$6&gt;=Inputs!$F$269)</f>
        <v>1</v>
      </c>
      <c r="AI23" s="12" t="n">
        <f aca="false">--(Time!AI$6&gt;=Inputs!$F$269)</f>
        <v>1</v>
      </c>
      <c r="AJ23" s="12" t="n">
        <f aca="false">--(Time!AJ$6&gt;=Inputs!$F$269)</f>
        <v>1</v>
      </c>
      <c r="AK23" s="12" t="n">
        <f aca="false">--(Time!AK$6&gt;=Inputs!$F$269)</f>
        <v>1</v>
      </c>
      <c r="AL23" s="12" t="n">
        <f aca="false">--(Time!AL$6&gt;=Inputs!$F$269)</f>
        <v>1</v>
      </c>
      <c r="AM23" s="12" t="n">
        <f aca="false">--(Time!AM$6&gt;=Inputs!$F$269)</f>
        <v>1</v>
      </c>
      <c r="AN23" s="12" t="n">
        <f aca="false">--(Time!AN$6&gt;=Inputs!$F$269)</f>
        <v>1</v>
      </c>
      <c r="AO23" s="12" t="n">
        <f aca="false">--(Time!AO$6&gt;=Inputs!$F$269)</f>
        <v>1</v>
      </c>
      <c r="AP23" s="12" t="n">
        <f aca="false">--(Time!AP$6&gt;=Inputs!$F$269)</f>
        <v>1</v>
      </c>
      <c r="AQ23" s="12" t="n">
        <f aca="false">--(Time!AQ$6&gt;=Inputs!$F$269)</f>
        <v>1</v>
      </c>
      <c r="AR23" s="12" t="n">
        <f aca="false">--(Time!AR$6&gt;=Inputs!$F$269)</f>
        <v>1</v>
      </c>
      <c r="AS23" s="12" t="n">
        <f aca="false">--(Time!AS$6&gt;=Inputs!$F$269)</f>
        <v>1</v>
      </c>
      <c r="AT23" s="12" t="n">
        <f aca="false">--(Time!AT$6&gt;=Inputs!$F$269)</f>
        <v>1</v>
      </c>
      <c r="AU23" s="12" t="n">
        <f aca="false">--(Time!AU$6&gt;=Inputs!$F$269)</f>
        <v>1</v>
      </c>
    </row>
    <row r="24" customFormat="false" ht="15" hidden="false" customHeight="false" outlineLevel="0" collapsed="false">
      <c r="D24" s="0" t="s">
        <v>1130</v>
      </c>
      <c r="E24" s="0" t="s">
        <v>27</v>
      </c>
      <c r="J24" s="14" t="n">
        <f aca="false">IF(Time!J$4&gt;Inputs!$F$342,(1+Inputs!$F$341/100)^(-Returns!J22),(1+Inputs!$F$337/100)^(-Returns!J22))*Returns!J23</f>
        <v>0</v>
      </c>
      <c r="K24" s="14" t="n">
        <f aca="false">IF(Time!K$4&gt;Inputs!$F$342,(1+Inputs!$F$341/100)^(-Returns!K22),(1+Inputs!$F$337/100)^(-Returns!K22))*Returns!K23</f>
        <v>0</v>
      </c>
      <c r="L24" s="14" t="n">
        <f aca="false">IF(Time!L$4&gt;Inputs!$F$342,(1+Inputs!$F$341/100)^(-Returns!L22),(1+Inputs!$F$337/100)^(-Returns!L22))*Returns!L23</f>
        <v>0.944342480722224</v>
      </c>
      <c r="M24" s="14" t="n">
        <f aca="false">IF(Time!M$4&gt;Inputs!$F$342,(1+Inputs!$F$341/100)^(-Returns!M22),(1+Inputs!$F$337/100)^(-Returns!M22))*Returns!M23</f>
        <v>0.88462995852199</v>
      </c>
      <c r="N24" s="14" t="n">
        <f aca="false">IF(Time!N$4&gt;Inputs!$F$342,(1+Inputs!$F$341/100)^(-Returns!N22),(1+Inputs!$F$337/100)^(-Returns!N22))*Returns!N23</f>
        <v>0.828693169575635</v>
      </c>
      <c r="O24" s="14" t="n">
        <f aca="false">IF(Time!O$4&gt;Inputs!$F$342,(1+Inputs!$F$341/100)^(-Returns!O22),(1+Inputs!$F$337/100)^(-Returns!O22))*Returns!O23</f>
        <v>0.776293367283967</v>
      </c>
      <c r="P24" s="14" t="n">
        <f aca="false">IF(Time!P$4&gt;Inputs!$F$342,(1+Inputs!$F$341/100)^(-Returns!P22),(1+Inputs!$F$337/100)^(-Returns!P22))*Returns!P23</f>
        <v>0.727076773994487</v>
      </c>
      <c r="Q24" s="14" t="n">
        <f aca="false">IF(Time!Q$4&gt;Inputs!$F$342,(1+Inputs!$F$341/100)^(-Returns!Q22),(1+Inputs!$F$337/100)^(-Returns!Q22))*Returns!Q23</f>
        <v>0.681102364397646</v>
      </c>
      <c r="R24" s="14" t="n">
        <f aca="false">IF(Time!R$4&gt;Inputs!$F$342,(1+Inputs!$F$341/100)^(-Returns!R22),(1+Inputs!$F$337/100)^(-Returns!R22))*Returns!R23</f>
        <v>0.638035001777654</v>
      </c>
      <c r="S24" s="14" t="n">
        <f aca="false">IF(Time!S$4&gt;Inputs!$F$342,(1+Inputs!$F$341/100)^(-Returns!S22),(1+Inputs!$F$337/100)^(-Returns!S22))*Returns!S23</f>
        <v>0.597690868175789</v>
      </c>
      <c r="T24" s="14" t="n">
        <f aca="false">IF(Time!T$4&gt;Inputs!$F$342,(1+Inputs!$F$341/100)^(-Returns!T22),(1+Inputs!$F$337/100)^(-Returns!T22))*Returns!T23</f>
        <v>0.559797579875821</v>
      </c>
      <c r="U24" s="14" t="n">
        <f aca="false">IF(Time!U$4&gt;Inputs!$F$342,(1+Inputs!$F$341/100)^(-Returns!U22),(1+Inputs!$F$337/100)^(-Returns!U22))*Returns!U23</f>
        <v>0.5244005432092</v>
      </c>
      <c r="V24" s="14" t="n">
        <f aca="false">IF(Time!V$4&gt;Inputs!$F$342,(1+Inputs!$F$341/100)^(-Returns!V22),(1+Inputs!$F$337/100)^(-Returns!V22))*Returns!V23</f>
        <v>0.491241726659672</v>
      </c>
      <c r="W24" s="14" t="n">
        <f aca="false">IF(Time!W$4&gt;Inputs!$F$342,(1+Inputs!$F$341/100)^(-Returns!W22),(1+Inputs!$F$337/100)^(-Returns!W22))*Returns!W23</f>
        <v>0.460179603428265</v>
      </c>
      <c r="X24" s="14" t="n">
        <f aca="false">IF(Time!X$4&gt;Inputs!$F$342,(1+Inputs!$F$341/100)^(-Returns!X22),(1+Inputs!$F$337/100)^(-Returns!X22))*Returns!X23</f>
        <v>0.431004457360376</v>
      </c>
      <c r="Y24" s="14" t="n">
        <f aca="false">IF(Time!Y$4&gt;Inputs!$F$342,(1+Inputs!$F$341/100)^(-Returns!Y22),(1+Inputs!$F$337/100)^(-Returns!Y22))*Returns!Y23</f>
        <v>0.403751248112764</v>
      </c>
      <c r="Z24" s="14" t="n">
        <f aca="false">IF(Time!Z$4&gt;Inputs!$F$342,(1+Inputs!$F$341/100)^(-Returns!Z22),(1+Inputs!$F$337/100)^(-Returns!Z22))*Returns!Z23</f>
        <v>0.378221309707507</v>
      </c>
      <c r="AA24" s="14" t="n">
        <f aca="false">IF(Time!AA$4&gt;Inputs!$F$342,(1+Inputs!$F$341/100)^(-Returns!AA22),(1+Inputs!$F$337/100)^(-Returns!AA22))*Returns!AA23</f>
        <v>0.354305676540991</v>
      </c>
      <c r="AB24" s="14" t="n">
        <f aca="false">IF(Time!AB$4&gt;Inputs!$F$342,(1+Inputs!$F$341/100)^(-Returns!AB22),(1+Inputs!$F$337/100)^(-Returns!AB22))*Returns!AB23</f>
        <v>0.331842882039111</v>
      </c>
      <c r="AC24" s="14" t="n">
        <f aca="false">IF(Time!AC$4&gt;Inputs!$F$342,(1+Inputs!$F$341/100)^(-Returns!AC22),(1+Inputs!$F$337/100)^(-Returns!AC22))*Returns!AC23</f>
        <v>0.167629259624216</v>
      </c>
      <c r="AD24" s="14" t="n">
        <f aca="false">IF(Time!AD$4&gt;Inputs!$F$342,(1+Inputs!$F$341/100)^(-Returns!AD22),(1+Inputs!$F$337/100)^(-Returns!AD22))*Returns!AD23</f>
        <v>0.15170068744273</v>
      </c>
      <c r="AE24" s="14" t="n">
        <f aca="false">IF(Time!AE$4&gt;Inputs!$F$342,(1+Inputs!$F$341/100)^(-Returns!AE22),(1+Inputs!$F$337/100)^(-Returns!AE22))*Returns!AE23</f>
        <v>0.137285689993421</v>
      </c>
      <c r="AF24" s="14" t="n">
        <f aca="false">IF(Time!AF$4&gt;Inputs!$F$342,(1+Inputs!$F$341/100)^(-Returns!AF22),(1+Inputs!$F$337/100)^(-Returns!AF22))*Returns!AF23</f>
        <v>0.124206462248898</v>
      </c>
      <c r="AG24" s="14" t="n">
        <f aca="false">IF(Time!AG$4&gt;Inputs!$F$342,(1+Inputs!$F$341/100)^(-Returns!AG22),(1+Inputs!$F$337/100)^(-Returns!AG22))*Returns!AG23</f>
        <v>0.112404038234297</v>
      </c>
      <c r="AH24" s="14" t="n">
        <f aca="false">IF(Time!AH$4&gt;Inputs!$F$342,(1+Inputs!$F$341/100)^(-Returns!AH22),(1+Inputs!$F$337/100)^(-Returns!AH22))*Returns!AH23</f>
        <v>0.10172311152425</v>
      </c>
      <c r="AI24" s="14" t="n">
        <f aca="false">IF(Time!AI$4&gt;Inputs!$F$342,(1+Inputs!$F$341/100)^(-Returns!AI22),(1+Inputs!$F$337/100)^(-Returns!AI22))*Returns!AI23</f>
        <v>0.092057114501584</v>
      </c>
      <c r="AJ24" s="14" t="n">
        <f aca="false">IF(Time!AJ$4&gt;Inputs!$F$342,(1+Inputs!$F$341/100)^(-Returns!AJ22),(1+Inputs!$F$337/100)^(-Returns!AJ22))*Returns!AJ23</f>
        <v>0.0832868197525279</v>
      </c>
      <c r="AK24" s="14" t="n">
        <f aca="false">IF(Time!AK$4&gt;Inputs!$F$342,(1+Inputs!$F$341/100)^(-Returns!AK22),(1+Inputs!$F$337/100)^(-Returns!AK22))*Returns!AK23</f>
        <v>0.0753726875588488</v>
      </c>
      <c r="AL24" s="14" t="n">
        <f aca="false">IF(Time!AL$4&gt;Inputs!$F$342,(1+Inputs!$F$341/100)^(-Returns!AL22),(1+Inputs!$F$337/100)^(-Returns!AL22))*Returns!AL23</f>
        <v>0.0682105769763337</v>
      </c>
      <c r="AM24" s="14" t="n">
        <f aca="false">IF(Time!AM$4&gt;Inputs!$F$342,(1+Inputs!$F$341/100)^(-Returns!AM22),(1+Inputs!$F$337/100)^(-Returns!AM22))*Returns!AM23</f>
        <v>0.0617290289378586</v>
      </c>
      <c r="AN24" s="14" t="n">
        <f aca="false">IF(Time!AN$4&gt;Inputs!$F$342,(1+Inputs!$F$341/100)^(-Returns!AN22),(1+Inputs!$F$337/100)^(-Returns!AN22))*Returns!AN23</f>
        <v>0.0558480953317035</v>
      </c>
      <c r="AO24" s="14" t="n">
        <f aca="false">IF(Time!AO$4&gt;Inputs!$F$342,(1+Inputs!$F$341/100)^(-Returns!AO22),(1+Inputs!$F$337/100)^(-Returns!AO22))*Returns!AO23</f>
        <v>0.0505412627436231</v>
      </c>
      <c r="AP24" s="14" t="n">
        <f aca="false">IF(Time!AP$4&gt;Inputs!$F$342,(1+Inputs!$F$341/100)^(-Returns!AP22),(1+Inputs!$F$337/100)^(-Returns!AP22))*Returns!AP23</f>
        <v>0.045738699315496</v>
      </c>
      <c r="AQ24" s="14" t="n">
        <f aca="false">IF(Time!AQ$4&gt;Inputs!$F$342,(1+Inputs!$F$341/100)^(-Returns!AQ22),(1+Inputs!$F$337/100)^(-Returns!AQ22))*Returns!AQ23</f>
        <v>0.0413924880683222</v>
      </c>
      <c r="AR24" s="14" t="n">
        <f aca="false">IF(Time!AR$4&gt;Inputs!$F$342,(1+Inputs!$F$341/100)^(-Returns!AR22),(1+Inputs!$F$337/100)^(-Returns!AR22))*Returns!AR23</f>
        <v>0.0374490196821854</v>
      </c>
      <c r="AS24" s="14" t="n">
        <f aca="false">IF(Time!AS$4&gt;Inputs!$F$342,(1+Inputs!$F$341/100)^(-Returns!AS22),(1+Inputs!$F$337/100)^(-Returns!AS22))*Returns!AS23</f>
        <v>0.0338905155494891</v>
      </c>
      <c r="AT24" s="14" t="n">
        <f aca="false">IF(Time!AT$4&gt;Inputs!$F$342,(1+Inputs!$F$341/100)^(-Returns!AT22),(1+Inputs!$F$337/100)^(-Returns!AT22))*Returns!AT23</f>
        <v>0.0306701498185421</v>
      </c>
      <c r="AU24" s="14" t="n">
        <f aca="false">IF(Time!AU$4&gt;Inputs!$F$342,(1+Inputs!$F$341/100)^(-Returns!AU22),(1+Inputs!$F$337/100)^(-Returns!AU22))*Returns!AU23</f>
        <v>0.0277557916909884</v>
      </c>
    </row>
    <row r="25" customFormat="false" ht="15" hidden="false" customHeight="false" outlineLevel="0" collapsed="false">
      <c r="D25" s="0" t="s">
        <v>1131</v>
      </c>
      <c r="E25" s="0" t="s">
        <v>27</v>
      </c>
      <c r="J25" s="14" t="n">
        <f aca="false">IF(Time!J$4&gt;Inputs!$F$342,(1+Inputs!$F$341/100)^(-Returns!J22),(1+Inputs!$F$338/100)^(-Returns!J22))*Returns!J23</f>
        <v>0</v>
      </c>
      <c r="K25" s="14" t="n">
        <f aca="false">IF(Time!K$4&gt;Inputs!$F$342,(1+Inputs!$F$341/100)^(-Returns!K22),(1+Inputs!$F$338/100)^(-Returns!K22))*Returns!K23</f>
        <v>0</v>
      </c>
      <c r="L25" s="14" t="n">
        <f aca="false">IF(Time!L$4&gt;Inputs!$F$342,(1+Inputs!$F$341/100)^(-Returns!L22),(1+Inputs!$F$338/100)^(-Returns!L22))*Returns!L23</f>
        <v>0.936654387904394</v>
      </c>
      <c r="M25" s="14" t="n">
        <f aca="false">IF(Time!M$4&gt;Inputs!$F$342,(1+Inputs!$F$341/100)^(-Returns!M22),(1+Inputs!$F$338/100)^(-Returns!M22))*Returns!M23</f>
        <v>0.869284814760459</v>
      </c>
      <c r="N25" s="14" t="n">
        <f aca="false">IF(Time!N$4&gt;Inputs!$F$342,(1+Inputs!$F$341/100)^(-Returns!N22),(1+Inputs!$F$338/100)^(-Returns!N22))*Returns!N23</f>
        <v>0.806760848965623</v>
      </c>
      <c r="O25" s="14" t="n">
        <f aca="false">IF(Time!O$4&gt;Inputs!$F$342,(1+Inputs!$F$341/100)^(-Returns!O22),(1+Inputs!$F$338/100)^(-Returns!O22))*Returns!O23</f>
        <v>0.748733966557423</v>
      </c>
      <c r="P25" s="14" t="n">
        <f aca="false">IF(Time!P$4&gt;Inputs!$F$342,(1+Inputs!$F$341/100)^(-Returns!P22),(1+Inputs!$F$338/100)^(-Returns!P22))*Returns!P23</f>
        <v>0.694738620860537</v>
      </c>
      <c r="Q25" s="14" t="n">
        <f aca="false">IF(Time!Q$4&gt;Inputs!$F$342,(1+Inputs!$F$341/100)^(-Returns!Q22),(1+Inputs!$F$338/100)^(-Returns!Q22))*Returns!Q23</f>
        <v>0.644769021680313</v>
      </c>
      <c r="R25" s="14" t="n">
        <f aca="false">IF(Time!R$4&gt;Inputs!$F$342,(1+Inputs!$F$341/100)^(-Returns!R22),(1+Inputs!$F$338/100)^(-Returns!R22))*Returns!R23</f>
        <v>0.598393523601218</v>
      </c>
      <c r="S25" s="14" t="n">
        <f aca="false">IF(Time!S$4&gt;Inputs!$F$342,(1+Inputs!$F$341/100)^(-Returns!S22),(1+Inputs!$F$338/100)^(-Returns!S22))*Returns!S23</f>
        <v>0.555353618191386</v>
      </c>
      <c r="T25" s="14" t="n">
        <f aca="false">IF(Time!T$4&gt;Inputs!$F$342,(1+Inputs!$F$341/100)^(-Returns!T22),(1+Inputs!$F$338/100)^(-Returns!T22))*Returns!T23</f>
        <v>0.515303998516545</v>
      </c>
      <c r="U25" s="14" t="n">
        <f aca="false">IF(Time!U$4&gt;Inputs!$F$342,(1+Inputs!$F$341/100)^(-Returns!U22),(1+Inputs!$F$338/100)^(-Returns!U22))*Returns!U23</f>
        <v>0.478240369852942</v>
      </c>
      <c r="V25" s="14" t="n">
        <f aca="false">IF(Time!V$4&gt;Inputs!$F$342,(1+Inputs!$F$341/100)^(-Returns!V22),(1+Inputs!$F$338/100)^(-Returns!V22))*Returns!V23</f>
        <v>0.44384257062918</v>
      </c>
      <c r="W25" s="14" t="n">
        <f aca="false">IF(Time!W$4&gt;Inputs!$F$342,(1+Inputs!$F$341/100)^(-Returns!W22),(1+Inputs!$F$338/100)^(-Returns!W22))*Returns!W23</f>
        <v>0.411918859052604</v>
      </c>
      <c r="X25" s="14" t="n">
        <f aca="false">IF(Time!X$4&gt;Inputs!$F$342,(1+Inputs!$F$341/100)^(-Returns!X22),(1+Inputs!$F$338/100)^(-Returns!X22))*Returns!X23</f>
        <v>0.382213112836927</v>
      </c>
      <c r="Y25" s="14" t="n">
        <f aca="false">IF(Time!Y$4&gt;Inputs!$F$342,(1+Inputs!$F$341/100)^(-Returns!Y22),(1+Inputs!$F$338/100)^(-Returns!Y22))*Returns!Y23</f>
        <v>0.354722146484387</v>
      </c>
      <c r="Z25" s="14" t="n">
        <f aca="false">IF(Time!Z$4&gt;Inputs!$F$342,(1+Inputs!$F$341/100)^(-Returns!Z22),(1+Inputs!$F$338/100)^(-Returns!Z22))*Returns!Z23</f>
        <v>0.3292084886166</v>
      </c>
      <c r="AA25" s="14" t="n">
        <f aca="false">IF(Time!AA$4&gt;Inputs!$F$342,(1+Inputs!$F$341/100)^(-Returns!AA22),(1+Inputs!$F$338/100)^(-Returns!AA22))*Returns!AA23</f>
        <v>0.305529919829791</v>
      </c>
      <c r="AB25" s="14" t="n">
        <f aca="false">IF(Time!AB$4&gt;Inputs!$F$342,(1+Inputs!$F$341/100)^(-Returns!AB22),(1+Inputs!$F$338/100)^(-Returns!AB22))*Returns!AB23</f>
        <v>0.283496468191684</v>
      </c>
      <c r="AC25" s="14" t="n">
        <f aca="false">IF(Time!AC$4&gt;Inputs!$F$342,(1+Inputs!$F$341/100)^(-Returns!AC22),(1+Inputs!$F$338/100)^(-Returns!AC22))*Returns!AC23</f>
        <v>0.167629259624216</v>
      </c>
      <c r="AD25" s="14" t="n">
        <f aca="false">IF(Time!AD$4&gt;Inputs!$F$342,(1+Inputs!$F$341/100)^(-Returns!AD22),(1+Inputs!$F$338/100)^(-Returns!AD22))*Returns!AD23</f>
        <v>0.15170068744273</v>
      </c>
      <c r="AE25" s="14" t="n">
        <f aca="false">IF(Time!AE$4&gt;Inputs!$F$342,(1+Inputs!$F$341/100)^(-Returns!AE22),(1+Inputs!$F$338/100)^(-Returns!AE22))*Returns!AE23</f>
        <v>0.137285689993421</v>
      </c>
      <c r="AF25" s="14" t="n">
        <f aca="false">IF(Time!AF$4&gt;Inputs!$F$342,(1+Inputs!$F$341/100)^(-Returns!AF22),(1+Inputs!$F$338/100)^(-Returns!AF22))*Returns!AF23</f>
        <v>0.124206462248898</v>
      </c>
      <c r="AG25" s="14" t="n">
        <f aca="false">IF(Time!AG$4&gt;Inputs!$F$342,(1+Inputs!$F$341/100)^(-Returns!AG22),(1+Inputs!$F$338/100)^(-Returns!AG22))*Returns!AG23</f>
        <v>0.112404038234297</v>
      </c>
      <c r="AH25" s="14" t="n">
        <f aca="false">IF(Time!AH$4&gt;Inputs!$F$342,(1+Inputs!$F$341/100)^(-Returns!AH22),(1+Inputs!$F$338/100)^(-Returns!AH22))*Returns!AH23</f>
        <v>0.10172311152425</v>
      </c>
      <c r="AI25" s="14" t="n">
        <f aca="false">IF(Time!AI$4&gt;Inputs!$F$342,(1+Inputs!$F$341/100)^(-Returns!AI22),(1+Inputs!$F$338/100)^(-Returns!AI22))*Returns!AI23</f>
        <v>0.092057114501584</v>
      </c>
      <c r="AJ25" s="14" t="n">
        <f aca="false">IF(Time!AJ$4&gt;Inputs!$F$342,(1+Inputs!$F$341/100)^(-Returns!AJ22),(1+Inputs!$F$338/100)^(-Returns!AJ22))*Returns!AJ23</f>
        <v>0.0832868197525279</v>
      </c>
      <c r="AK25" s="14" t="n">
        <f aca="false">IF(Time!AK$4&gt;Inputs!$F$342,(1+Inputs!$F$341/100)^(-Returns!AK22),(1+Inputs!$F$338/100)^(-Returns!AK22))*Returns!AK23</f>
        <v>0.0753726875588488</v>
      </c>
      <c r="AL25" s="14" t="n">
        <f aca="false">IF(Time!AL$4&gt;Inputs!$F$342,(1+Inputs!$F$341/100)^(-Returns!AL22),(1+Inputs!$F$338/100)^(-Returns!AL22))*Returns!AL23</f>
        <v>0.0682105769763337</v>
      </c>
      <c r="AM25" s="14" t="n">
        <f aca="false">IF(Time!AM$4&gt;Inputs!$F$342,(1+Inputs!$F$341/100)^(-Returns!AM22),(1+Inputs!$F$338/100)^(-Returns!AM22))*Returns!AM23</f>
        <v>0.0617290289378586</v>
      </c>
      <c r="AN25" s="14" t="n">
        <f aca="false">IF(Time!AN$4&gt;Inputs!$F$342,(1+Inputs!$F$341/100)^(-Returns!AN22),(1+Inputs!$F$338/100)^(-Returns!AN22))*Returns!AN23</f>
        <v>0.0558480953317035</v>
      </c>
      <c r="AO25" s="14" t="n">
        <f aca="false">IF(Time!AO$4&gt;Inputs!$F$342,(1+Inputs!$F$341/100)^(-Returns!AO22),(1+Inputs!$F$338/100)^(-Returns!AO22))*Returns!AO23</f>
        <v>0.0505412627436231</v>
      </c>
      <c r="AP25" s="14" t="n">
        <f aca="false">IF(Time!AP$4&gt;Inputs!$F$342,(1+Inputs!$F$341/100)^(-Returns!AP22),(1+Inputs!$F$338/100)^(-Returns!AP22))*Returns!AP23</f>
        <v>0.045738699315496</v>
      </c>
      <c r="AQ25" s="14" t="n">
        <f aca="false">IF(Time!AQ$4&gt;Inputs!$F$342,(1+Inputs!$F$341/100)^(-Returns!AQ22),(1+Inputs!$F$338/100)^(-Returns!AQ22))*Returns!AQ23</f>
        <v>0.0413924880683222</v>
      </c>
      <c r="AR25" s="14" t="n">
        <f aca="false">IF(Time!AR$4&gt;Inputs!$F$342,(1+Inputs!$F$341/100)^(-Returns!AR22),(1+Inputs!$F$338/100)^(-Returns!AR22))*Returns!AR23</f>
        <v>0.0374490196821854</v>
      </c>
      <c r="AS25" s="14" t="n">
        <f aca="false">IF(Time!AS$4&gt;Inputs!$F$342,(1+Inputs!$F$341/100)^(-Returns!AS22),(1+Inputs!$F$338/100)^(-Returns!AS22))*Returns!AS23</f>
        <v>0.0338905155494891</v>
      </c>
      <c r="AT25" s="14" t="n">
        <f aca="false">IF(Time!AT$4&gt;Inputs!$F$342,(1+Inputs!$F$341/100)^(-Returns!AT22),(1+Inputs!$F$338/100)^(-Returns!AT22))*Returns!AT23</f>
        <v>0.0306701498185421</v>
      </c>
      <c r="AU25" s="14" t="n">
        <f aca="false">IF(Time!AU$4&gt;Inputs!$F$342,(1+Inputs!$F$341/100)^(-Returns!AU22),(1+Inputs!$F$338/100)^(-Returns!AU22))*Returns!AU23</f>
        <v>0.0277557916909884</v>
      </c>
    </row>
    <row r="26" customFormat="false" ht="15" hidden="false" customHeight="false" outlineLevel="0" collapsed="false">
      <c r="D26" s="0" t="s">
        <v>1132</v>
      </c>
      <c r="E26" s="0" t="s">
        <v>27</v>
      </c>
      <c r="J26" s="14" t="n">
        <f aca="false">IF(Time!J$4&gt;Inputs!$F$342,(1+Inputs!$F$341/100)^(-Returns!J22),(1+Inputs!$F$339/100)^(-Returns!J22))*Returns!J23</f>
        <v>0</v>
      </c>
      <c r="K26" s="14" t="n">
        <f aca="false">IF(Time!K$4&gt;Inputs!$F$342,(1+Inputs!$F$341/100)^(-Returns!K22),(1+Inputs!$F$339/100)^(-Returns!K22))*Returns!K23</f>
        <v>0</v>
      </c>
      <c r="L26" s="14" t="n">
        <f aca="false">IF(Time!L$4&gt;Inputs!$F$342,(1+Inputs!$F$341/100)^(-Returns!L22),(1+Inputs!$F$339/100)^(-Returns!L22))*Returns!L23</f>
        <v>0.925370062044478</v>
      </c>
      <c r="M26" s="14" t="n">
        <f aca="false">IF(Time!M$4&gt;Inputs!$F$342,(1+Inputs!$F$341/100)^(-Returns!M22),(1+Inputs!$F$339/100)^(-Returns!M22))*Returns!M23</f>
        <v>0.84702065175696</v>
      </c>
      <c r="N26" s="14" t="n">
        <f aca="false">IF(Time!N$4&gt;Inputs!$F$342,(1+Inputs!$F$341/100)^(-Returns!N22),(1+Inputs!$F$339/100)^(-Returns!N22))*Returns!N23</f>
        <v>0.775304944399963</v>
      </c>
      <c r="O26" s="14" t="n">
        <f aca="false">IF(Time!O$4&gt;Inputs!$F$342,(1+Inputs!$F$341/100)^(-Returns!O22),(1+Inputs!$F$339/100)^(-Returns!O22))*Returns!O23</f>
        <v>0.709661276338639</v>
      </c>
      <c r="P26" s="14" t="n">
        <f aca="false">IF(Time!P$4&gt;Inputs!$F$342,(1+Inputs!$F$341/100)^(-Returns!P22),(1+Inputs!$F$339/100)^(-Returns!P22))*Returns!P23</f>
        <v>0.64941811403525</v>
      </c>
      <c r="Q26" s="14" t="n">
        <f aca="false">IF(Time!Q$4&gt;Inputs!$F$342,(1+Inputs!$F$341/100)^(-Returns!Q22),(1+Inputs!$F$339/100)^(-Returns!Q22))*Returns!Q23</f>
        <v>0.594433056325172</v>
      </c>
      <c r="R26" s="14" t="n">
        <f aca="false">IF(Time!R$4&gt;Inputs!$F$342,(1+Inputs!$F$341/100)^(-Returns!R22),(1+Inputs!$F$339/100)^(-Returns!R22))*Returns!R23</f>
        <v>0.544103484050501</v>
      </c>
      <c r="S26" s="14" t="n">
        <f aca="false">IF(Time!S$4&gt;Inputs!$F$342,(1+Inputs!$F$341/100)^(-Returns!S22),(1+Inputs!$F$339/100)^(-Returns!S22))*Returns!S23</f>
        <v>0.498035225675515</v>
      </c>
      <c r="T26" s="14" t="n">
        <f aca="false">IF(Time!T$4&gt;Inputs!$F$342,(1+Inputs!$F$341/100)^(-Returns!T22),(1+Inputs!$F$339/100)^(-Returns!T22))*Returns!T23</f>
        <v>0.455757003749739</v>
      </c>
      <c r="U26" s="14" t="n">
        <f aca="false">IF(Time!U$4&gt;Inputs!$F$342,(1+Inputs!$F$341/100)^(-Returns!U22),(1+Inputs!$F$339/100)^(-Returns!U22))*Returns!U23</f>
        <v>0.417168882150791</v>
      </c>
      <c r="V26" s="14" t="n">
        <f aca="false">IF(Time!V$4&gt;Inputs!$F$342,(1+Inputs!$F$341/100)^(-Returns!V22),(1+Inputs!$F$339/100)^(-Returns!V22))*Returns!V23</f>
        <v>0.381847947048779</v>
      </c>
      <c r="W26" s="14" t="n">
        <f aca="false">IF(Time!W$4&gt;Inputs!$F$342,(1+Inputs!$F$341/100)^(-Returns!W22),(1+Inputs!$F$339/100)^(-Returns!W22))*Returns!W23</f>
        <v>0.349517571669363</v>
      </c>
      <c r="X26" s="14" t="n">
        <f aca="false">IF(Time!X$4&gt;Inputs!$F$342,(1+Inputs!$F$341/100)^(-Returns!X22),(1+Inputs!$F$339/100)^(-Returns!X22))*Returns!X23</f>
        <v>0.319847016856793</v>
      </c>
      <c r="Y26" s="14" t="n">
        <f aca="false">IF(Time!Y$4&gt;Inputs!$F$342,(1+Inputs!$F$341/100)^(-Returns!Y22),(1+Inputs!$F$339/100)^(-Returns!Y22))*Returns!Y23</f>
        <v>0.292766148152671</v>
      </c>
      <c r="Z26" s="14" t="n">
        <f aca="false">IF(Time!Z$4&gt;Inputs!$F$342,(1+Inputs!$F$341/100)^(-Returns!Z22),(1+Inputs!$F$339/100)^(-Returns!Z22))*Returns!Z23</f>
        <v>0.267978167645465</v>
      </c>
      <c r="AA26" s="14" t="n">
        <f aca="false">IF(Time!AA$4&gt;Inputs!$F$342,(1+Inputs!$F$341/100)^(-Returns!AA22),(1+Inputs!$F$339/100)^(-Returns!AA22))*Returns!AA23</f>
        <v>0.245288940636582</v>
      </c>
      <c r="AB26" s="14" t="n">
        <f aca="false">IF(Time!AB$4&gt;Inputs!$F$342,(1+Inputs!$F$341/100)^(-Returns!AB22),(1+Inputs!$F$339/100)^(-Returns!AB22))*Returns!AB23</f>
        <v>0.224466356743834</v>
      </c>
      <c r="AC26" s="14" t="n">
        <f aca="false">IF(Time!AC$4&gt;Inputs!$F$342,(1+Inputs!$F$341/100)^(-Returns!AC22),(1+Inputs!$F$339/100)^(-Returns!AC22))*Returns!AC23</f>
        <v>0.167629259624216</v>
      </c>
      <c r="AD26" s="14" t="n">
        <f aca="false">IF(Time!AD$4&gt;Inputs!$F$342,(1+Inputs!$F$341/100)^(-Returns!AD22),(1+Inputs!$F$339/100)^(-Returns!AD22))*Returns!AD23</f>
        <v>0.15170068744273</v>
      </c>
      <c r="AE26" s="14" t="n">
        <f aca="false">IF(Time!AE$4&gt;Inputs!$F$342,(1+Inputs!$F$341/100)^(-Returns!AE22),(1+Inputs!$F$339/100)^(-Returns!AE22))*Returns!AE23</f>
        <v>0.137285689993421</v>
      </c>
      <c r="AF26" s="14" t="n">
        <f aca="false">IF(Time!AF$4&gt;Inputs!$F$342,(1+Inputs!$F$341/100)^(-Returns!AF22),(1+Inputs!$F$339/100)^(-Returns!AF22))*Returns!AF23</f>
        <v>0.124206462248898</v>
      </c>
      <c r="AG26" s="14" t="n">
        <f aca="false">IF(Time!AG$4&gt;Inputs!$F$342,(1+Inputs!$F$341/100)^(-Returns!AG22),(1+Inputs!$F$339/100)^(-Returns!AG22))*Returns!AG23</f>
        <v>0.112404038234297</v>
      </c>
      <c r="AH26" s="14" t="n">
        <f aca="false">IF(Time!AH$4&gt;Inputs!$F$342,(1+Inputs!$F$341/100)^(-Returns!AH22),(1+Inputs!$F$339/100)^(-Returns!AH22))*Returns!AH23</f>
        <v>0.10172311152425</v>
      </c>
      <c r="AI26" s="14" t="n">
        <f aca="false">IF(Time!AI$4&gt;Inputs!$F$342,(1+Inputs!$F$341/100)^(-Returns!AI22),(1+Inputs!$F$339/100)^(-Returns!AI22))*Returns!AI23</f>
        <v>0.092057114501584</v>
      </c>
      <c r="AJ26" s="14" t="n">
        <f aca="false">IF(Time!AJ$4&gt;Inputs!$F$342,(1+Inputs!$F$341/100)^(-Returns!AJ22),(1+Inputs!$F$339/100)^(-Returns!AJ22))*Returns!AJ23</f>
        <v>0.0832868197525279</v>
      </c>
      <c r="AK26" s="14" t="n">
        <f aca="false">IF(Time!AK$4&gt;Inputs!$F$342,(1+Inputs!$F$341/100)^(-Returns!AK22),(1+Inputs!$F$339/100)^(-Returns!AK22))*Returns!AK23</f>
        <v>0.0753726875588488</v>
      </c>
      <c r="AL26" s="14" t="n">
        <f aca="false">IF(Time!AL$4&gt;Inputs!$F$342,(1+Inputs!$F$341/100)^(-Returns!AL22),(1+Inputs!$F$339/100)^(-Returns!AL22))*Returns!AL23</f>
        <v>0.0682105769763337</v>
      </c>
      <c r="AM26" s="14" t="n">
        <f aca="false">IF(Time!AM$4&gt;Inputs!$F$342,(1+Inputs!$F$341/100)^(-Returns!AM22),(1+Inputs!$F$339/100)^(-Returns!AM22))*Returns!AM23</f>
        <v>0.0617290289378586</v>
      </c>
      <c r="AN26" s="14" t="n">
        <f aca="false">IF(Time!AN$4&gt;Inputs!$F$342,(1+Inputs!$F$341/100)^(-Returns!AN22),(1+Inputs!$F$339/100)^(-Returns!AN22))*Returns!AN23</f>
        <v>0.0558480953317035</v>
      </c>
      <c r="AO26" s="14" t="n">
        <f aca="false">IF(Time!AO$4&gt;Inputs!$F$342,(1+Inputs!$F$341/100)^(-Returns!AO22),(1+Inputs!$F$339/100)^(-Returns!AO22))*Returns!AO23</f>
        <v>0.0505412627436231</v>
      </c>
      <c r="AP26" s="14" t="n">
        <f aca="false">IF(Time!AP$4&gt;Inputs!$F$342,(1+Inputs!$F$341/100)^(-Returns!AP22),(1+Inputs!$F$339/100)^(-Returns!AP22))*Returns!AP23</f>
        <v>0.045738699315496</v>
      </c>
      <c r="AQ26" s="14" t="n">
        <f aca="false">IF(Time!AQ$4&gt;Inputs!$F$342,(1+Inputs!$F$341/100)^(-Returns!AQ22),(1+Inputs!$F$339/100)^(-Returns!AQ22))*Returns!AQ23</f>
        <v>0.0413924880683222</v>
      </c>
      <c r="AR26" s="14" t="n">
        <f aca="false">IF(Time!AR$4&gt;Inputs!$F$342,(1+Inputs!$F$341/100)^(-Returns!AR22),(1+Inputs!$F$339/100)^(-Returns!AR22))*Returns!AR23</f>
        <v>0.0374490196821854</v>
      </c>
      <c r="AS26" s="14" t="n">
        <f aca="false">IF(Time!AS$4&gt;Inputs!$F$342,(1+Inputs!$F$341/100)^(-Returns!AS22),(1+Inputs!$F$339/100)^(-Returns!AS22))*Returns!AS23</f>
        <v>0.0338905155494891</v>
      </c>
      <c r="AT26" s="14" t="n">
        <f aca="false">IF(Time!AT$4&gt;Inputs!$F$342,(1+Inputs!$F$341/100)^(-Returns!AT22),(1+Inputs!$F$339/100)^(-Returns!AT22))*Returns!AT23</f>
        <v>0.0306701498185421</v>
      </c>
      <c r="AU26" s="14" t="n">
        <f aca="false">IF(Time!AU$4&gt;Inputs!$F$342,(1+Inputs!$F$341/100)^(-Returns!AU22),(1+Inputs!$F$339/100)^(-Returns!AU22))*Returns!AU23</f>
        <v>0.0277557916909884</v>
      </c>
    </row>
    <row r="27" customFormat="false" ht="15" hidden="false" customHeight="false" outlineLevel="0" collapsed="false">
      <c r="D27" s="0" t="s">
        <v>1133</v>
      </c>
      <c r="E27" s="0" t="s">
        <v>27</v>
      </c>
      <c r="J27" s="14" t="n">
        <f aca="false">IF(Time!J$4&gt;Inputs!$F$342,(1+Inputs!$F$341/100)^(-Returns!J22),(1+Inputs!$F$340/100)^(-Returns!J22))*Returns!J23</f>
        <v>0</v>
      </c>
      <c r="K27" s="14" t="n">
        <f aca="false">IF(Time!K$4&gt;Inputs!$F$342,(1+Inputs!$F$341/100)^(-Returns!K22),(1+Inputs!$F$340/100)^(-Returns!K22))*Returns!K23</f>
        <v>0</v>
      </c>
      <c r="L27" s="14" t="n">
        <f aca="false">IF(Time!L$4&gt;Inputs!$F$342,(1+Inputs!$F$341/100)^(-Returns!L22),(1+Inputs!$F$340/100)^(-Returns!L22))*Returns!L23</f>
        <v>0.918007354551412</v>
      </c>
      <c r="M27" s="14" t="n">
        <f aca="false">IF(Time!M$4&gt;Inputs!$F$342,(1+Inputs!$F$341/100)^(-Returns!M22),(1+Inputs!$F$340/100)^(-Returns!M22))*Returns!M23</f>
        <v>0.832659732019421</v>
      </c>
      <c r="N27" s="14" t="n">
        <f aca="false">IF(Time!N$4&gt;Inputs!$F$342,(1+Inputs!$F$341/100)^(-Returns!N22),(1+Inputs!$F$340/100)^(-Returns!N22))*Returns!N23</f>
        <v>0.755246922466595</v>
      </c>
      <c r="O27" s="14" t="n">
        <f aca="false">IF(Time!O$4&gt;Inputs!$F$342,(1+Inputs!$F$341/100)^(-Returns!O22),(1+Inputs!$F$340/100)^(-Returns!O22))*Returns!O23</f>
        <v>0.685031222191923</v>
      </c>
      <c r="P27" s="14" t="n">
        <f aca="false">IF(Time!P$4&gt;Inputs!$F$342,(1+Inputs!$F$341/100)^(-Returns!P22),(1+Inputs!$F$340/100)^(-Returns!P22))*Returns!P23</f>
        <v>0.621177422329157</v>
      </c>
      <c r="Q27" s="14" t="n">
        <f aca="false">IF(Time!Q$4&gt;Inputs!$F$342,(1+Inputs!$F$341/100)^(-Returns!Q22),(1+Inputs!$F$340/100)^(-Returns!Q22))*Returns!Q23</f>
        <v>0.563426233405131</v>
      </c>
      <c r="R27" s="14" t="n">
        <f aca="false">IF(Time!R$4&gt;Inputs!$F$342,(1+Inputs!$F$341/100)^(-Returns!R22),(1+Inputs!$F$340/100)^(-Returns!R22))*Returns!R23</f>
        <v>0.511044202635039</v>
      </c>
      <c r="S27" s="14" t="n">
        <f aca="false">IF(Time!S$4&gt;Inputs!$F$342,(1+Inputs!$F$341/100)^(-Returns!S22),(1+Inputs!$F$340/100)^(-Returns!S22))*Returns!S23</f>
        <v>0.46353215658507</v>
      </c>
      <c r="T27" s="14" t="n">
        <f aca="false">IF(Time!T$4&gt;Inputs!$F$342,(1+Inputs!$F$341/100)^(-Returns!T22),(1+Inputs!$F$340/100)^(-Returns!T22))*Returns!T23</f>
        <v>0.420324944128632</v>
      </c>
      <c r="U27" s="14" t="n">
        <f aca="false">IF(Time!U$4&gt;Inputs!$F$342,(1+Inputs!$F$341/100)^(-Returns!U22),(1+Inputs!$F$340/100)^(-Returns!U22))*Returns!U23</f>
        <v>0.381247114855902</v>
      </c>
      <c r="V27" s="14" t="n">
        <f aca="false">IF(Time!V$4&gt;Inputs!$F$342,(1+Inputs!$F$341/100)^(-Returns!V22),(1+Inputs!$F$340/100)^(-Returns!V22))*Returns!V23</f>
        <v>0.345802371751385</v>
      </c>
      <c r="W27" s="14" t="n">
        <f aca="false">IF(Time!W$4&gt;Inputs!$F$342,(1+Inputs!$F$341/100)^(-Returns!W22),(1+Inputs!$F$340/100)^(-Returns!W22))*Returns!W23</f>
        <v>0.313652944899216</v>
      </c>
      <c r="X27" s="14" t="n">
        <f aca="false">IF(Time!X$4&gt;Inputs!$F$342,(1+Inputs!$F$341/100)^(-Returns!X22),(1+Inputs!$F$340/100)^(-Returns!X22))*Returns!X23</f>
        <v>0.28441642002101</v>
      </c>
      <c r="Y27" s="14" t="n">
        <f aca="false">IF(Time!Y$4&gt;Inputs!$F$342,(1+Inputs!$F$341/100)^(-Returns!Y22),(1+Inputs!$F$340/100)^(-Returns!Y22))*Returns!Y23</f>
        <v>0.257974077116562</v>
      </c>
      <c r="Z27" s="14" t="n">
        <f aca="false">IF(Time!Z$4&gt;Inputs!$F$342,(1+Inputs!$F$341/100)^(-Returns!Z22),(1+Inputs!$F$340/100)^(-Returns!Z22))*Returns!Z23</f>
        <v>0.233990092622732</v>
      </c>
      <c r="AA27" s="14" t="n">
        <f aca="false">IF(Time!AA$4&gt;Inputs!$F$342,(1+Inputs!$F$341/100)^(-Returns!AA22),(1+Inputs!$F$340/100)^(-Returns!AA22))*Returns!AA23</f>
        <v>0.212235911675948</v>
      </c>
      <c r="AB27" s="14" t="n">
        <f aca="false">IF(Time!AB$4&gt;Inputs!$F$342,(1+Inputs!$F$341/100)^(-Returns!AB22),(1+Inputs!$F$340/100)^(-Returns!AB22))*Returns!AB23</f>
        <v>0.192452770428043</v>
      </c>
      <c r="AC27" s="14" t="n">
        <f aca="false">IF(Time!AC$4&gt;Inputs!$F$342,(1+Inputs!$F$341/100)^(-Returns!AC22),(1+Inputs!$F$340/100)^(-Returns!AC22))*Returns!AC23</f>
        <v>0.167629259624216</v>
      </c>
      <c r="AD27" s="14" t="n">
        <f aca="false">IF(Time!AD$4&gt;Inputs!$F$342,(1+Inputs!$F$341/100)^(-Returns!AD22),(1+Inputs!$F$340/100)^(-Returns!AD22))*Returns!AD23</f>
        <v>0.15170068744273</v>
      </c>
      <c r="AE27" s="14" t="n">
        <f aca="false">IF(Time!AE$4&gt;Inputs!$F$342,(1+Inputs!$F$341/100)^(-Returns!AE22),(1+Inputs!$F$340/100)^(-Returns!AE22))*Returns!AE23</f>
        <v>0.137285689993421</v>
      </c>
      <c r="AF27" s="14" t="n">
        <f aca="false">IF(Time!AF$4&gt;Inputs!$F$342,(1+Inputs!$F$341/100)^(-Returns!AF22),(1+Inputs!$F$340/100)^(-Returns!AF22))*Returns!AF23</f>
        <v>0.124206462248898</v>
      </c>
      <c r="AG27" s="14" t="n">
        <f aca="false">IF(Time!AG$4&gt;Inputs!$F$342,(1+Inputs!$F$341/100)^(-Returns!AG22),(1+Inputs!$F$340/100)^(-Returns!AG22))*Returns!AG23</f>
        <v>0.112404038234297</v>
      </c>
      <c r="AH27" s="14" t="n">
        <f aca="false">IF(Time!AH$4&gt;Inputs!$F$342,(1+Inputs!$F$341/100)^(-Returns!AH22),(1+Inputs!$F$340/100)^(-Returns!AH22))*Returns!AH23</f>
        <v>0.10172311152425</v>
      </c>
      <c r="AI27" s="14" t="n">
        <f aca="false">IF(Time!AI$4&gt;Inputs!$F$342,(1+Inputs!$F$341/100)^(-Returns!AI22),(1+Inputs!$F$340/100)^(-Returns!AI22))*Returns!AI23</f>
        <v>0.092057114501584</v>
      </c>
      <c r="AJ27" s="14" t="n">
        <f aca="false">IF(Time!AJ$4&gt;Inputs!$F$342,(1+Inputs!$F$341/100)^(-Returns!AJ22),(1+Inputs!$F$340/100)^(-Returns!AJ22))*Returns!AJ23</f>
        <v>0.0832868197525279</v>
      </c>
      <c r="AK27" s="14" t="n">
        <f aca="false">IF(Time!AK$4&gt;Inputs!$F$342,(1+Inputs!$F$341/100)^(-Returns!AK22),(1+Inputs!$F$340/100)^(-Returns!AK22))*Returns!AK23</f>
        <v>0.0753726875588488</v>
      </c>
      <c r="AL27" s="14" t="n">
        <f aca="false">IF(Time!AL$4&gt;Inputs!$F$342,(1+Inputs!$F$341/100)^(-Returns!AL22),(1+Inputs!$F$340/100)^(-Returns!AL22))*Returns!AL23</f>
        <v>0.0682105769763337</v>
      </c>
      <c r="AM27" s="14" t="n">
        <f aca="false">IF(Time!AM$4&gt;Inputs!$F$342,(1+Inputs!$F$341/100)^(-Returns!AM22),(1+Inputs!$F$340/100)^(-Returns!AM22))*Returns!AM23</f>
        <v>0.0617290289378586</v>
      </c>
      <c r="AN27" s="14" t="n">
        <f aca="false">IF(Time!AN$4&gt;Inputs!$F$342,(1+Inputs!$F$341/100)^(-Returns!AN22),(1+Inputs!$F$340/100)^(-Returns!AN22))*Returns!AN23</f>
        <v>0.0558480953317035</v>
      </c>
      <c r="AO27" s="14" t="n">
        <f aca="false">IF(Time!AO$4&gt;Inputs!$F$342,(1+Inputs!$F$341/100)^(-Returns!AO22),(1+Inputs!$F$340/100)^(-Returns!AO22))*Returns!AO23</f>
        <v>0.0505412627436231</v>
      </c>
      <c r="AP27" s="14" t="n">
        <f aca="false">IF(Time!AP$4&gt;Inputs!$F$342,(1+Inputs!$F$341/100)^(-Returns!AP22),(1+Inputs!$F$340/100)^(-Returns!AP22))*Returns!AP23</f>
        <v>0.045738699315496</v>
      </c>
      <c r="AQ27" s="14" t="n">
        <f aca="false">IF(Time!AQ$4&gt;Inputs!$F$342,(1+Inputs!$F$341/100)^(-Returns!AQ22),(1+Inputs!$F$340/100)^(-Returns!AQ22))*Returns!AQ23</f>
        <v>0.0413924880683222</v>
      </c>
      <c r="AR27" s="14" t="n">
        <f aca="false">IF(Time!AR$4&gt;Inputs!$F$342,(1+Inputs!$F$341/100)^(-Returns!AR22),(1+Inputs!$F$340/100)^(-Returns!AR22))*Returns!AR23</f>
        <v>0.0374490196821854</v>
      </c>
      <c r="AS27" s="14" t="n">
        <f aca="false">IF(Time!AS$4&gt;Inputs!$F$342,(1+Inputs!$F$341/100)^(-Returns!AS22),(1+Inputs!$F$340/100)^(-Returns!AS22))*Returns!AS23</f>
        <v>0.0338905155494891</v>
      </c>
      <c r="AT27" s="14" t="n">
        <f aca="false">IF(Time!AT$4&gt;Inputs!$F$342,(1+Inputs!$F$341/100)^(-Returns!AT22),(1+Inputs!$F$340/100)^(-Returns!AT22))*Returns!AT23</f>
        <v>0.0306701498185421</v>
      </c>
      <c r="AU27" s="14" t="n">
        <f aca="false">IF(Time!AU$4&gt;Inputs!$F$342,(1+Inputs!$F$341/100)^(-Returns!AU22),(1+Inputs!$F$340/100)^(-Returns!AU22))*Returns!AU23</f>
        <v>0.0277557916909884</v>
      </c>
    </row>
    <row r="28" customFormat="false" ht="15" hidden="false" customHeight="false" outlineLevel="0" collapsed="false">
      <c r="D28" s="0" t="s">
        <v>1134</v>
      </c>
      <c r="E28" s="0" t="s">
        <v>27</v>
      </c>
      <c r="J28" s="14" t="n">
        <f aca="false">(1+Inputs!$F$337/100)^(-Returns!J22)*Returns!J23</f>
        <v>0</v>
      </c>
      <c r="K28" s="14" t="n">
        <f aca="false">(1+Inputs!$F$337/100)^(-Returns!K22)*Returns!K23</f>
        <v>0</v>
      </c>
      <c r="L28" s="14" t="n">
        <f aca="false">(1+Inputs!$F$337/100)^(-Returns!L22)*Returns!L23</f>
        <v>0.944342480722224</v>
      </c>
      <c r="M28" s="14" t="n">
        <f aca="false">(1+Inputs!$F$337/100)^(-Returns!M22)*Returns!M23</f>
        <v>0.88462995852199</v>
      </c>
      <c r="N28" s="14" t="n">
        <f aca="false">(1+Inputs!$F$337/100)^(-Returns!N22)*Returns!N23</f>
        <v>0.828693169575635</v>
      </c>
      <c r="O28" s="14" t="n">
        <f aca="false">(1+Inputs!$F$337/100)^(-Returns!O22)*Returns!O23</f>
        <v>0.776293367283967</v>
      </c>
      <c r="P28" s="14" t="n">
        <f aca="false">(1+Inputs!$F$337/100)^(-Returns!P22)*Returns!P23</f>
        <v>0.727076773994487</v>
      </c>
      <c r="Q28" s="14" t="n">
        <f aca="false">(1+Inputs!$F$337/100)^(-Returns!Q22)*Returns!Q23</f>
        <v>0.681102364397646</v>
      </c>
      <c r="R28" s="14" t="n">
        <f aca="false">(1+Inputs!$F$337/100)^(-Returns!R22)*Returns!R23</f>
        <v>0.638035001777654</v>
      </c>
      <c r="S28" s="14" t="n">
        <f aca="false">(1+Inputs!$F$337/100)^(-Returns!S22)*Returns!S23</f>
        <v>0.597690868175789</v>
      </c>
      <c r="T28" s="14" t="n">
        <f aca="false">(1+Inputs!$F$337/100)^(-Returns!T22)*Returns!T23</f>
        <v>0.559797579875821</v>
      </c>
      <c r="U28" s="14" t="n">
        <f aca="false">(1+Inputs!$F$337/100)^(-Returns!U22)*Returns!U23</f>
        <v>0.5244005432092</v>
      </c>
      <c r="V28" s="14" t="n">
        <f aca="false">(1+Inputs!$F$337/100)^(-Returns!V22)*Returns!V23</f>
        <v>0.491241726659672</v>
      </c>
      <c r="W28" s="14" t="n">
        <f aca="false">(1+Inputs!$F$337/100)^(-Returns!W22)*Returns!W23</f>
        <v>0.460179603428265</v>
      </c>
      <c r="X28" s="14" t="n">
        <f aca="false">(1+Inputs!$F$337/100)^(-Returns!X22)*Returns!X23</f>
        <v>0.431004457360376</v>
      </c>
      <c r="Y28" s="14" t="n">
        <f aca="false">(1+Inputs!$F$337/100)^(-Returns!Y22)*Returns!Y23</f>
        <v>0.403751248112764</v>
      </c>
      <c r="Z28" s="14" t="n">
        <f aca="false">(1+Inputs!$F$337/100)^(-Returns!Z22)*Returns!Z23</f>
        <v>0.378221309707507</v>
      </c>
      <c r="AA28" s="14" t="n">
        <f aca="false">(1+Inputs!$F$337/100)^(-Returns!AA22)*Returns!AA23</f>
        <v>0.354305676540991</v>
      </c>
      <c r="AB28" s="14" t="n">
        <f aca="false">(1+Inputs!$F$337/100)^(-Returns!AB22)*Returns!AB23</f>
        <v>0.331842882039111</v>
      </c>
      <c r="AC28" s="14" t="n">
        <f aca="false">(1+Inputs!$F$337/100)^(-Returns!AC22)*Returns!AC23</f>
        <v>0.310859842659589</v>
      </c>
      <c r="AD28" s="14" t="n">
        <f aca="false">(1+Inputs!$F$337/100)^(-Returns!AD22)*Returns!AD23</f>
        <v>0.291203599681114</v>
      </c>
      <c r="AE28" s="14" t="n">
        <f aca="false">(1+Inputs!$F$337/100)^(-Returns!AE22)*Returns!AE23</f>
        <v>0.272790257312519</v>
      </c>
      <c r="AF28" s="14" t="n">
        <f aca="false">(1+Inputs!$F$337/100)^(-Returns!AF22)*Returns!AF23</f>
        <v>0.255495497736695</v>
      </c>
      <c r="AG28" s="14" t="n">
        <f aca="false">(1+Inputs!$F$337/100)^(-Returns!AG22)*Returns!AG23</f>
        <v>0.239340044718215</v>
      </c>
      <c r="AH28" s="14" t="n">
        <f aca="false">(1+Inputs!$F$337/100)^(-Returns!AH22)*Returns!AH23</f>
        <v>0.224206130883574</v>
      </c>
      <c r="AI28" s="14" t="n">
        <f aca="false">(1+Inputs!$F$337/100)^(-Returns!AI22)*Returns!AI23</f>
        <v>0.21002916242021</v>
      </c>
      <c r="AJ28" s="14" t="n">
        <f aca="false">(1+Inputs!$F$337/100)^(-Returns!AJ22)*Returns!AJ23</f>
        <v>0.19671342342075</v>
      </c>
      <c r="AK28" s="14" t="n">
        <f aca="false">(1+Inputs!$F$337/100)^(-Returns!AK22)*Returns!AK23</f>
        <v>0.184274869714988</v>
      </c>
      <c r="AL28" s="14" t="n">
        <f aca="false">(1+Inputs!$F$337/100)^(-Returns!AL22)*Returns!AL23</f>
        <v>0.172622828772822</v>
      </c>
      <c r="AM28" s="14" t="n">
        <f aca="false">(1+Inputs!$F$337/100)^(-Returns!AM22)*Returns!AM23</f>
        <v>0.16170756793707</v>
      </c>
      <c r="AN28" s="14" t="n">
        <f aca="false">(1+Inputs!$F$337/100)^(-Returns!AN22)*Returns!AN23</f>
        <v>0.151455392743515</v>
      </c>
      <c r="AO28" s="14" t="n">
        <f aca="false">(1+Inputs!$F$337/100)^(-Returns!AO22)*Returns!AO23</f>
        <v>0.141878588050132</v>
      </c>
      <c r="AP28" s="14" t="n">
        <f aca="false">(1+Inputs!$F$337/100)^(-Returns!AP22)*Returns!AP23</f>
        <v>0.132907342435721</v>
      </c>
      <c r="AQ28" s="14" t="n">
        <f aca="false">(1+Inputs!$F$337/100)^(-Returns!AQ22)*Returns!AQ23</f>
        <v>0.124503365279363</v>
      </c>
      <c r="AR28" s="14" t="n">
        <f aca="false">(1+Inputs!$F$337/100)^(-Returns!AR22)*Returns!AR23</f>
        <v>0.116609917067169</v>
      </c>
      <c r="AS28" s="14" t="n">
        <f aca="false">(1+Inputs!$F$337/100)^(-Returns!AS22)*Returns!AS23</f>
        <v>0.109236456269011</v>
      </c>
      <c r="AT28" s="14" t="n">
        <f aca="false">(1+Inputs!$F$337/100)^(-Returns!AT22)*Returns!AT23</f>
        <v>0.102329233038886</v>
      </c>
      <c r="AU28" s="14" t="n">
        <f aca="false">(1+Inputs!$F$337/100)^(-Returns!AU22)*Returns!AU23</f>
        <v>0.0958587663127739</v>
      </c>
    </row>
    <row r="30" customFormat="false" ht="15" hidden="false" customHeight="false" outlineLevel="0" collapsed="false">
      <c r="A30" s="4" t="s">
        <v>1135</v>
      </c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</row>
    <row r="31" customFormat="false" ht="15" hidden="false" customHeight="false" outlineLevel="0" collapsed="false">
      <c r="D31" s="0" t="s">
        <v>1136</v>
      </c>
      <c r="E31" s="0" t="s">
        <v>47</v>
      </c>
      <c r="F31" s="20" t="n">
        <f aca="false">SUMPRODUCT(Operations!$J$96:$AU$96,Operations!$J$97:$AU$97,Returns!$J$10:$AU$10)</f>
        <v>0</v>
      </c>
    </row>
    <row r="32" customFormat="false" ht="15" hidden="false" customHeight="false" outlineLevel="0" collapsed="false">
      <c r="D32" s="0" t="s">
        <v>1137</v>
      </c>
      <c r="E32" s="0" t="s">
        <v>47</v>
      </c>
      <c r="F32" s="20" t="n">
        <f aca="false">SUMPRODUCT(Operations!$J$96:$AU$96,Operations!$J$98:$AU$98,Returns!$J$11:$AU$11)</f>
        <v>25.7822278374091</v>
      </c>
    </row>
    <row r="33" customFormat="false" ht="15" hidden="false" customHeight="false" outlineLevel="0" collapsed="false">
      <c r="D33" s="0" t="s">
        <v>1138</v>
      </c>
      <c r="E33" s="0" t="s">
        <v>47</v>
      </c>
      <c r="F33" s="20" t="n">
        <f aca="false">SUMPRODUCT(Operations!$J$96:$AU$96,Operations!$J$99:$AU$99,Returns!$J$12:$AU$12)</f>
        <v>52.8060781893375</v>
      </c>
    </row>
    <row r="34" customFormat="false" ht="15" hidden="false" customHeight="false" outlineLevel="0" collapsed="false">
      <c r="D34" s="0" t="s">
        <v>1139</v>
      </c>
      <c r="E34" s="0" t="s">
        <v>47</v>
      </c>
      <c r="F34" s="20" t="n">
        <f aca="false">Returns!$F$31+Returns!$F$32+Returns!$F$33</f>
        <v>78.5883060267466</v>
      </c>
    </row>
    <row r="35" customFormat="false" ht="15" hidden="false" customHeight="false" outlineLevel="0" collapsed="false">
      <c r="D35" s="0" t="s">
        <v>1140</v>
      </c>
      <c r="E35" s="0" t="s">
        <v>47</v>
      </c>
      <c r="F35" s="20" t="n">
        <f aca="false">SUMPRODUCT(Operations!$J$138:$AU$138,Operations!$J$139:$AU$139,Returns!$J$10:$AU$10)</f>
        <v>51.3991054472929</v>
      </c>
    </row>
    <row r="36" customFormat="false" ht="15" hidden="false" customHeight="false" outlineLevel="0" collapsed="false">
      <c r="D36" s="0" t="s">
        <v>1141</v>
      </c>
      <c r="E36" s="0" t="s">
        <v>47</v>
      </c>
      <c r="F36" s="20" t="n">
        <f aca="false">SUMPRODUCT(Operations!$J$138:$AU$138,Operations!$J$140:$AU$140,Returns!$J$11:$AU$11)</f>
        <v>0</v>
      </c>
    </row>
    <row r="37" customFormat="false" ht="15" hidden="false" customHeight="false" outlineLevel="0" collapsed="false">
      <c r="D37" s="0" t="s">
        <v>1142</v>
      </c>
      <c r="E37" s="0" t="s">
        <v>47</v>
      </c>
      <c r="F37" s="20" t="n">
        <f aca="false">SUMPRODUCT(Operations!$J$138:$AU$138,Operations!$J$141:$AU$141,Returns!$J$12:$AU$12)</f>
        <v>68.7070216888958</v>
      </c>
    </row>
    <row r="38" customFormat="false" ht="15" hidden="false" customHeight="false" outlineLevel="0" collapsed="false">
      <c r="D38" s="0" t="s">
        <v>1143</v>
      </c>
      <c r="E38" s="0" t="s">
        <v>47</v>
      </c>
      <c r="F38" s="20" t="n">
        <f aca="false">Returns!$F$35+Returns!$F$36+Returns!$F$37</f>
        <v>120.106127136189</v>
      </c>
    </row>
    <row r="39" customFormat="false" ht="15" hidden="false" customHeight="false" outlineLevel="0" collapsed="false">
      <c r="D39" s="0" t="s">
        <v>1144</v>
      </c>
      <c r="E39" s="0" t="s">
        <v>47</v>
      </c>
      <c r="F39" s="20" t="n">
        <f aca="false">SUMPRODUCT(Operations!$J$181:$AU$181,Operations!$J$182:$AU$182,Returns!$J$10:$AU$10)</f>
        <v>62.6053963836711</v>
      </c>
    </row>
    <row r="40" customFormat="false" ht="15" hidden="false" customHeight="false" outlineLevel="0" collapsed="false">
      <c r="D40" s="0" t="s">
        <v>1145</v>
      </c>
      <c r="E40" s="0" t="s">
        <v>47</v>
      </c>
      <c r="F40" s="20" t="n">
        <f aca="false">SUMPRODUCT(Operations!$J$181:$AU$181,Operations!$J$183:$AU$183,Returns!$J$11:$AU$11)</f>
        <v>0</v>
      </c>
    </row>
    <row r="41" customFormat="false" ht="15" hidden="false" customHeight="false" outlineLevel="0" collapsed="false">
      <c r="D41" s="0" t="s">
        <v>1146</v>
      </c>
      <c r="E41" s="0" t="s">
        <v>47</v>
      </c>
      <c r="F41" s="20" t="n">
        <f aca="false">SUMPRODUCT(Operations!$J$181:$AU$181,Operations!$J$184:$AU$184,Returns!$J$12:$AU$12)</f>
        <v>18.5842959860821</v>
      </c>
    </row>
    <row r="42" customFormat="false" ht="15" hidden="false" customHeight="false" outlineLevel="0" collapsed="false">
      <c r="D42" s="0" t="s">
        <v>1147</v>
      </c>
      <c r="E42" s="0" t="s">
        <v>47</v>
      </c>
      <c r="F42" s="20" t="n">
        <f aca="false">Returns!$F$39+Returns!$F$40+Returns!$F$41</f>
        <v>81.1896923697532</v>
      </c>
    </row>
    <row r="43" customFormat="false" ht="15" hidden="false" customHeight="false" outlineLevel="0" collapsed="false">
      <c r="D43" s="0" t="s">
        <v>1148</v>
      </c>
      <c r="E43" s="0" t="s">
        <v>47</v>
      </c>
      <c r="F43" s="20" t="n">
        <f aca="false">SUMPRODUCT(Operations!$J$224:$AU$224,Operations!$J$225:$AU$225,Returns!$J$10:$AU$10)</f>
        <v>0</v>
      </c>
    </row>
    <row r="44" customFormat="false" ht="15" hidden="false" customHeight="false" outlineLevel="0" collapsed="false">
      <c r="D44" s="0" t="s">
        <v>1149</v>
      </c>
      <c r="E44" s="0" t="s">
        <v>47</v>
      </c>
      <c r="F44" s="20" t="n">
        <f aca="false">SUMPRODUCT(Operations!$J$224:$AU$224,Operations!$J$226:$AU$226,Returns!$J$11:$AU$11)</f>
        <v>17.7903799866723</v>
      </c>
    </row>
    <row r="45" customFormat="false" ht="15" hidden="false" customHeight="false" outlineLevel="0" collapsed="false">
      <c r="D45" s="0" t="s">
        <v>1150</v>
      </c>
      <c r="E45" s="0" t="s">
        <v>47</v>
      </c>
      <c r="F45" s="20" t="n">
        <f aca="false">SUMPRODUCT(Operations!$J$224:$AU$224,Operations!$J$227:$AU$227,Returns!$J$12:$AU$12)</f>
        <v>27.0494724612874</v>
      </c>
    </row>
    <row r="46" customFormat="false" ht="15" hidden="false" customHeight="false" outlineLevel="0" collapsed="false">
      <c r="D46" s="0" t="s">
        <v>1151</v>
      </c>
      <c r="E46" s="0" t="s">
        <v>47</v>
      </c>
      <c r="F46" s="20" t="n">
        <f aca="false">Returns!$F$43+Returns!$F$44+Returns!$F$45</f>
        <v>44.8398524479597</v>
      </c>
    </row>
    <row r="47" customFormat="false" ht="15" hidden="false" customHeight="false" outlineLevel="0" collapsed="false">
      <c r="D47" s="0" t="s">
        <v>1152</v>
      </c>
      <c r="E47" s="0" t="s">
        <v>47</v>
      </c>
      <c r="F47" s="20" t="n">
        <f aca="false">SUMPRODUCT(Operations!$J$267:$AU$267,Operations!$J$268:$AU$268,Returns!$J$10:$AU$10)</f>
        <v>46.4914989552508</v>
      </c>
    </row>
    <row r="48" customFormat="false" ht="15" hidden="false" customHeight="false" outlineLevel="0" collapsed="false">
      <c r="D48" s="0" t="s">
        <v>1153</v>
      </c>
      <c r="E48" s="0" t="s">
        <v>47</v>
      </c>
      <c r="F48" s="20" t="n">
        <f aca="false">SUMPRODUCT(Operations!$J$267:$AU$267,Operations!$J$269:$AU$269,Returns!$J$11:$AU$11)</f>
        <v>0</v>
      </c>
    </row>
    <row r="49" customFormat="false" ht="15" hidden="false" customHeight="false" outlineLevel="0" collapsed="false">
      <c r="D49" s="0" t="s">
        <v>1154</v>
      </c>
      <c r="E49" s="0" t="s">
        <v>47</v>
      </c>
      <c r="F49" s="20" t="n">
        <f aca="false">SUMPRODUCT(Operations!$J$267:$AU$267,Operations!$J$270:$AU$270,Returns!$J$12:$AU$12)</f>
        <v>17.2171931893526</v>
      </c>
    </row>
    <row r="50" customFormat="false" ht="15" hidden="false" customHeight="false" outlineLevel="0" collapsed="false">
      <c r="D50" s="0" t="s">
        <v>1155</v>
      </c>
      <c r="E50" s="0" t="s">
        <v>47</v>
      </c>
      <c r="F50" s="20" t="n">
        <f aca="false">Returns!$F$47+Returns!$F$48+Returns!$F$49</f>
        <v>63.7086921446034</v>
      </c>
    </row>
    <row r="51" customFormat="false" ht="15" hidden="false" customHeight="false" outlineLevel="0" collapsed="false">
      <c r="D51" s="0" t="s">
        <v>1156</v>
      </c>
      <c r="E51" s="0" t="s">
        <v>47</v>
      </c>
      <c r="J51" s="20" t="n">
        <f aca="false">-Operations!J408*(1-Inputs!$F$248/100)</f>
        <v>-1.96699178082192</v>
      </c>
      <c r="K51" s="20" t="n">
        <f aca="false">-Operations!K408*(1-Inputs!$F$248/100)</f>
        <v>-2.5912</v>
      </c>
      <c r="L51" s="20" t="n">
        <f aca="false">-Operations!L408*(1-Inputs!$F$248/100)</f>
        <v>-2.65598</v>
      </c>
      <c r="M51" s="20" t="n">
        <f aca="false">-Operations!M408*(1-Inputs!$F$248/100)</f>
        <v>-2.7223795</v>
      </c>
      <c r="N51" s="20" t="n">
        <f aca="false">-Operations!N408*(1-Inputs!$F$248/100)</f>
        <v>-2.7904389875</v>
      </c>
      <c r="O51" s="20" t="n">
        <f aca="false">-Operations!O408*(1-Inputs!$F$248/100)</f>
        <v>-2.8601999621875</v>
      </c>
      <c r="P51" s="20" t="n">
        <f aca="false">-Operations!P408*(1-Inputs!$F$248/100)</f>
        <v>-2.93170496124219</v>
      </c>
      <c r="Q51" s="20" t="n">
        <f aca="false">-Operations!Q408*(1-Inputs!$F$248/100)</f>
        <v>-3.00499758527324</v>
      </c>
      <c r="R51" s="20" t="n">
        <f aca="false">-Operations!R408*(1-Inputs!$F$248/100)</f>
        <v>-3.08012252490507</v>
      </c>
      <c r="S51" s="20" t="n">
        <f aca="false">-Operations!S408*(1-Inputs!$F$248/100)</f>
        <v>-3.1571255880277</v>
      </c>
      <c r="T51" s="20" t="n">
        <f aca="false">-Operations!T408*(1-Inputs!$F$248/100)</f>
        <v>-3.23605372772839</v>
      </c>
      <c r="U51" s="20" t="n">
        <f aca="false">-Operations!U408*(1-Inputs!$F$248/100)</f>
        <v>-3.3169550709216</v>
      </c>
      <c r="V51" s="20" t="n">
        <f aca="false">-Operations!V408*(1-Inputs!$F$248/100)</f>
        <v>-3.39987894769464</v>
      </c>
      <c r="W51" s="20" t="n">
        <f aca="false">-Operations!W408*(1-Inputs!$F$248/100)</f>
        <v>-3.484875921387</v>
      </c>
      <c r="X51" s="20" t="n">
        <f aca="false">-Operations!X408*(1-Inputs!$F$248/100)</f>
        <v>-3.57199781942168</v>
      </c>
      <c r="Y51" s="20" t="n">
        <f aca="false">-Operations!Y408*(1-Inputs!$F$248/100)</f>
        <v>-3.66129776490722</v>
      </c>
      <c r="Z51" s="20" t="n">
        <f aca="false">-Operations!Z408*(1-Inputs!$F$248/100)</f>
        <v>-3.7528302090299</v>
      </c>
      <c r="AA51" s="20" t="n">
        <f aca="false">-Operations!AA408*(1-Inputs!$F$248/100)</f>
        <v>-3.84665096425565</v>
      </c>
      <c r="AB51" s="20" t="n">
        <f aca="false">-Operations!AB408*(1-Inputs!$F$248/100)</f>
        <v>-3.94281723836204</v>
      </c>
      <c r="AC51" s="20" t="n">
        <f aca="false">-Operations!AC408*(1-Inputs!$F$248/100)</f>
        <v>-4.04138766932109</v>
      </c>
      <c r="AD51" s="20" t="n">
        <f aca="false">-Operations!AD408*(1-Inputs!$F$248/100)</f>
        <v>-4.14242236105412</v>
      </c>
      <c r="AE51" s="20" t="n">
        <f aca="false">-Operations!AE408*(1-Inputs!$F$248/100)</f>
        <v>-4.24598292008047</v>
      </c>
      <c r="AF51" s="20" t="n">
        <f aca="false">-Operations!AF408*(1-Inputs!$F$248/100)</f>
        <v>-4.35213249308248</v>
      </c>
      <c r="AG51" s="20" t="n">
        <f aca="false">-Operations!AG408*(1-Inputs!$F$248/100)</f>
        <v>-4.46093580540954</v>
      </c>
      <c r="AH51" s="20" t="n">
        <f aca="false">-Operations!AH408*(1-Inputs!$F$248/100)</f>
        <v>-4.57245920054478</v>
      </c>
      <c r="AI51" s="20" t="n">
        <f aca="false">-Operations!AI408*(1-Inputs!$F$248/100)</f>
        <v>-4.6867706805584</v>
      </c>
      <c r="AJ51" s="20" t="n">
        <f aca="false">-Operations!AJ408*(1-Inputs!$F$248/100)</f>
        <v>-4.80393994757236</v>
      </c>
      <c r="AK51" s="20" t="n">
        <f aca="false">-Operations!AK408*(1-Inputs!$F$248/100)</f>
        <v>-4.92403844626167</v>
      </c>
      <c r="AL51" s="20" t="n">
        <f aca="false">-Operations!AL408*(1-Inputs!$F$248/100)</f>
        <v>-5.04713940741821</v>
      </c>
      <c r="AM51" s="20" t="n">
        <f aca="false">-Operations!AM408*(1-Inputs!$F$248/100)</f>
        <v>-5.17331789260366</v>
      </c>
      <c r="AN51" s="20" t="n">
        <f aca="false">-Operations!AN408*(1-Inputs!$F$248/100)</f>
        <v>-5.30265083991876</v>
      </c>
      <c r="AO51" s="20" t="n">
        <f aca="false">-Operations!AO408*(1-Inputs!$F$248/100)</f>
        <v>-5.43521711091672</v>
      </c>
      <c r="AP51" s="20" t="n">
        <f aca="false">-Operations!AP408*(1-Inputs!$F$248/100)</f>
        <v>-5.57109753868964</v>
      </c>
      <c r="AQ51" s="20" t="n">
        <f aca="false">-Operations!AQ408*(1-Inputs!$F$248/100)</f>
        <v>-5.71037497715688</v>
      </c>
      <c r="AR51" s="20" t="n">
        <f aca="false">-Operations!AR408*(1-Inputs!$F$248/100)</f>
        <v>-5.8531343515858</v>
      </c>
      <c r="AS51" s="20" t="n">
        <f aca="false">-Operations!AS408*(1-Inputs!$F$248/100)</f>
        <v>-5.99946271037545</v>
      </c>
      <c r="AT51" s="20" t="n">
        <f aca="false">-Operations!AT408*(1-Inputs!$F$248/100)</f>
        <v>-6.14944927813483</v>
      </c>
      <c r="AU51" s="20" t="n">
        <f aca="false">-Operations!AU408*(1-Inputs!$F$248/100)</f>
        <v>-6.3031855100882</v>
      </c>
    </row>
    <row r="52" customFormat="false" ht="15" hidden="false" customHeight="false" outlineLevel="0" collapsed="false">
      <c r="D52" s="0" t="s">
        <v>1157</v>
      </c>
      <c r="E52" s="0" t="s">
        <v>47</v>
      </c>
      <c r="F52" s="20" t="n">
        <f aca="false">SUMPRODUCT(Returns!$J$51:$AU$51,Operations!$J$427:$AU$427,Returns!$J$10:$AU$10)</f>
        <v>-10.5977505926579</v>
      </c>
    </row>
    <row r="53" customFormat="false" ht="15" hidden="false" customHeight="false" outlineLevel="0" collapsed="false">
      <c r="D53" s="0" t="s">
        <v>1158</v>
      </c>
      <c r="E53" s="0" t="s">
        <v>47</v>
      </c>
      <c r="F53" s="20" t="n">
        <f aca="false">SUMPRODUCT(Returns!$J$51:$AU$51,Operations!$J$428:$AU$428,Returns!$J$11:$AU$11)</f>
        <v>-3.19187897818123</v>
      </c>
    </row>
    <row r="54" customFormat="false" ht="15" hidden="false" customHeight="false" outlineLevel="0" collapsed="false">
      <c r="D54" s="0" t="s">
        <v>1159</v>
      </c>
      <c r="E54" s="0" t="s">
        <v>47</v>
      </c>
      <c r="F54" s="20" t="n">
        <f aca="false">SUMPRODUCT(Returns!$J$51:$AU$51,Operations!$J$429:$AU$429,Returns!$J$12:$AU$12)</f>
        <v>-19.568720881586</v>
      </c>
    </row>
    <row r="55" customFormat="false" ht="15" hidden="false" customHeight="false" outlineLevel="0" collapsed="false">
      <c r="D55" s="0" t="s">
        <v>1160</v>
      </c>
      <c r="E55" s="0" t="s">
        <v>47</v>
      </c>
      <c r="F55" s="20" t="n">
        <f aca="false">Returns!$F$52+Returns!$F$53+Returns!$F$54</f>
        <v>-33.3583504524252</v>
      </c>
    </row>
    <row r="56" customFormat="false" ht="15" hidden="false" customHeight="false" outlineLevel="0" collapsed="false">
      <c r="D56" s="0" t="s">
        <v>1161</v>
      </c>
      <c r="E56" s="0" t="s">
        <v>47</v>
      </c>
      <c r="F56" s="20" t="n">
        <f aca="false">Returns!$F$31+Returns!$F$35+Returns!$F$39+Returns!$F$43+Returns!$F$47+Returns!$F$52</f>
        <v>149.898250193557</v>
      </c>
    </row>
    <row r="57" customFormat="false" ht="15" hidden="false" customHeight="false" outlineLevel="0" collapsed="false">
      <c r="D57" s="0" t="s">
        <v>1162</v>
      </c>
      <c r="E57" s="0" t="s">
        <v>47</v>
      </c>
      <c r="F57" s="20" t="n">
        <f aca="false">Returns!$F$32+Returns!$F$36+Returns!$F$40+Returns!$F$44+Returns!$F$48+Returns!$F$53</f>
        <v>40.3807288459001</v>
      </c>
    </row>
    <row r="58" customFormat="false" ht="15" hidden="false" customHeight="false" outlineLevel="0" collapsed="false">
      <c r="D58" s="0" t="s">
        <v>1163</v>
      </c>
      <c r="E58" s="0" t="s">
        <v>47</v>
      </c>
      <c r="F58" s="20" t="n">
        <f aca="false">Returns!$F$33+Returns!$F$37+Returns!$F$41+Returns!$F$45+Returns!$F$49+Returns!$F$54</f>
        <v>164.795340633369</v>
      </c>
    </row>
    <row r="59" customFormat="false" ht="15" hidden="false" customHeight="false" outlineLevel="0" collapsed="false">
      <c r="D59" s="0" t="s">
        <v>1164</v>
      </c>
      <c r="E59" s="0" t="s">
        <v>47</v>
      </c>
      <c r="F59" s="20" t="n">
        <f aca="false">Returns!$F$34+Returns!$F$38+Returns!$F$42+Returns!$F$46+Returns!$F$50+Returns!$F$55</f>
        <v>355.074319672827</v>
      </c>
    </row>
    <row r="60" customFormat="false" ht="15" hidden="false" customHeight="false" outlineLevel="0" collapsed="false">
      <c r="D60" s="0" t="s">
        <v>1165</v>
      </c>
      <c r="E60" s="0" t="s">
        <v>27</v>
      </c>
      <c r="F60" s="14" t="n">
        <f aca="false">SUMPRODUCT(Tax!$J$14:$AU$14,Returns!$J$14:$AU$14)/Inputs!$F$264</f>
        <v>0.902923715807059</v>
      </c>
    </row>
    <row r="61" customFormat="false" ht="15" hidden="false" customHeight="false" outlineLevel="0" collapsed="false">
      <c r="D61" s="0" t="s">
        <v>1166</v>
      </c>
      <c r="E61" s="0" t="s">
        <v>47</v>
      </c>
      <c r="F61" s="20" t="n">
        <f aca="false">Inputs!$F$248/100*Returns!$F$60*Inputs!$F$264</f>
        <v>84.624719416585</v>
      </c>
    </row>
    <row r="62" customFormat="false" ht="15" hidden="false" customHeight="false" outlineLevel="0" collapsed="false">
      <c r="D62" s="0" t="s">
        <v>1167</v>
      </c>
      <c r="E62" s="0" t="s">
        <v>47</v>
      </c>
      <c r="F62" s="20" t="n">
        <f aca="false">Returns!$F$59+Returns!$F$61</f>
        <v>439.699039089412</v>
      </c>
    </row>
    <row r="63" customFormat="false" ht="15" hidden="false" customHeight="false" outlineLevel="0" collapsed="false">
      <c r="D63" s="0" t="s">
        <v>1168</v>
      </c>
      <c r="E63" s="0" t="s">
        <v>47</v>
      </c>
      <c r="F63" s="20" t="n">
        <f aca="false">Returns!$F$62-Inputs!$F$264</f>
        <v>-6.60096091058853</v>
      </c>
    </row>
    <row r="64" customFormat="false" ht="15" hidden="false" customHeight="false" outlineLevel="0" collapsed="false">
      <c r="D64" s="0" t="s">
        <v>1169</v>
      </c>
      <c r="E64" s="0" t="s">
        <v>47</v>
      </c>
      <c r="F64" s="20" t="n">
        <f aca="false">Returns!$F$59/(1-Inputs!$F$248/100*Returns!$F$60)</f>
        <v>438.154547400521</v>
      </c>
    </row>
    <row r="66" customFormat="false" ht="15" hidden="false" customHeight="false" outlineLevel="0" collapsed="false">
      <c r="A66" s="4" t="s">
        <v>1170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</row>
    <row r="67" customFormat="false" ht="15" hidden="false" customHeight="false" outlineLevel="0" collapsed="false">
      <c r="D67" s="0" t="s">
        <v>1171</v>
      </c>
      <c r="E67" s="0" t="s">
        <v>47</v>
      </c>
      <c r="F67" s="20" t="n">
        <f aca="false">SUMPRODUCT(Operations!$J$309:$AU$309,Operations!$J$310:$AU$310,Returns!$J$17:$AU$17)</f>
        <v>38.6104426603453</v>
      </c>
    </row>
    <row r="68" customFormat="false" ht="15" hidden="false" customHeight="false" outlineLevel="0" collapsed="false">
      <c r="D68" s="0" t="s">
        <v>1172</v>
      </c>
      <c r="E68" s="0" t="s">
        <v>47</v>
      </c>
      <c r="F68" s="20" t="n">
        <f aca="false">SUMPRODUCT(Operations!$J$309:$AU$309,Operations!$J$311:$AU$311,Returns!$J$18:$AU$18)</f>
        <v>0</v>
      </c>
    </row>
    <row r="69" customFormat="false" ht="15" hidden="false" customHeight="false" outlineLevel="0" collapsed="false">
      <c r="D69" s="0" t="s">
        <v>1173</v>
      </c>
      <c r="E69" s="0" t="s">
        <v>47</v>
      </c>
      <c r="F69" s="20" t="n">
        <f aca="false">SUMPRODUCT(Operations!$J$309:$AU$309,Operations!$J$312:$AU$312,Returns!$J$20:$AU$20)</f>
        <v>11.4150332338776</v>
      </c>
    </row>
    <row r="70" customFormat="false" ht="15" hidden="false" customHeight="false" outlineLevel="0" collapsed="false">
      <c r="D70" s="0" t="s">
        <v>1174</v>
      </c>
      <c r="E70" s="0" t="s">
        <v>47</v>
      </c>
      <c r="F70" s="20" t="n">
        <f aca="false">Returns!$F$67+Returns!$F$68+Returns!$F$69</f>
        <v>50.0254758942229</v>
      </c>
    </row>
    <row r="71" customFormat="false" ht="15" hidden="false" customHeight="false" outlineLevel="0" collapsed="false">
      <c r="D71" s="0" t="s">
        <v>1175</v>
      </c>
      <c r="E71" s="0" t="s">
        <v>27</v>
      </c>
      <c r="F71" s="14" t="n">
        <f aca="false">SUMPRODUCT(Tax!$J$17:$AU$17,Returns!$J$21:$AU$21)/Inputs!$F$267</f>
        <v>0.905183262741658</v>
      </c>
    </row>
    <row r="72" customFormat="false" ht="15" hidden="false" customHeight="false" outlineLevel="0" collapsed="false">
      <c r="D72" s="0" t="s">
        <v>1166</v>
      </c>
      <c r="E72" s="0" t="s">
        <v>47</v>
      </c>
      <c r="F72" s="20" t="n">
        <f aca="false">Inputs!$F$248/100*Returns!$F$71*Inputs!$F$267</f>
        <v>12.1086365056952</v>
      </c>
    </row>
    <row r="73" customFormat="false" ht="15" hidden="false" customHeight="false" outlineLevel="0" collapsed="false">
      <c r="D73" s="0" t="s">
        <v>1176</v>
      </c>
      <c r="E73" s="0" t="s">
        <v>47</v>
      </c>
      <c r="F73" s="20" t="n">
        <f aca="false">Returns!$F$70+Returns!$F$72</f>
        <v>62.1341123999181</v>
      </c>
    </row>
    <row r="74" customFormat="false" ht="15" hidden="false" customHeight="false" outlineLevel="0" collapsed="false">
      <c r="D74" s="0" t="s">
        <v>1168</v>
      </c>
      <c r="E74" s="0" t="s">
        <v>47</v>
      </c>
      <c r="F74" s="20" t="n">
        <f aca="false">Returns!$F$73-Inputs!$F$267</f>
        <v>-1.5658876000819</v>
      </c>
    </row>
    <row r="75" customFormat="false" ht="15" hidden="false" customHeight="false" outlineLevel="0" collapsed="false">
      <c r="D75" s="0" t="s">
        <v>1177</v>
      </c>
      <c r="E75" s="0" t="s">
        <v>47</v>
      </c>
      <c r="F75" s="20" t="n">
        <f aca="false">Returns!$F$70/(1-Inputs!$F$248/100*Returns!$F$71)</f>
        <v>61.7665942248991</v>
      </c>
    </row>
    <row r="77" customFormat="false" ht="15" hidden="false" customHeight="false" outlineLevel="0" collapsed="false">
      <c r="A77" s="4" t="s">
        <v>1178</v>
      </c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</row>
    <row r="78" customFormat="false" ht="15" hidden="false" customHeight="false" outlineLevel="0" collapsed="false">
      <c r="D78" s="0" t="s">
        <v>1179</v>
      </c>
      <c r="E78" s="0" t="s">
        <v>47</v>
      </c>
      <c r="F78" s="20" t="n">
        <f aca="false">SUMPRODUCT(Operations!$J$356:$AU$356,Operations!$J$357:$AU$357,Returns!$J$24:$AU$24)</f>
        <v>35.2696366460413</v>
      </c>
    </row>
    <row r="79" customFormat="false" ht="15" hidden="false" customHeight="false" outlineLevel="0" collapsed="false">
      <c r="D79" s="0" t="s">
        <v>1180</v>
      </c>
      <c r="E79" s="0" t="s">
        <v>47</v>
      </c>
      <c r="F79" s="20" t="n">
        <f aca="false">SUMPRODUCT(Operations!$J$356:$AU$356,Operations!$J$358:$AU$358,Returns!$J$25:$AU$25)</f>
        <v>0</v>
      </c>
    </row>
    <row r="80" customFormat="false" ht="15" hidden="false" customHeight="false" outlineLevel="0" collapsed="false">
      <c r="D80" s="0" t="s">
        <v>1181</v>
      </c>
      <c r="E80" s="0" t="s">
        <v>47</v>
      </c>
      <c r="F80" s="20" t="n">
        <f aca="false">SUMPRODUCT(Operations!$J$356:$AU$356,Operations!$J$359:$AU$359,Returns!$J$27:$AU$27)</f>
        <v>14.4004685929558</v>
      </c>
    </row>
    <row r="81" customFormat="false" ht="15" hidden="false" customHeight="false" outlineLevel="0" collapsed="false">
      <c r="D81" s="0" t="s">
        <v>1182</v>
      </c>
      <c r="E81" s="0" t="s">
        <v>47</v>
      </c>
      <c r="F81" s="20" t="n">
        <f aca="false">Returns!$F$78+Returns!$F$79+Returns!$F$80</f>
        <v>49.6701052389971</v>
      </c>
    </row>
    <row r="82" customFormat="false" ht="15" hidden="false" customHeight="false" outlineLevel="0" collapsed="false">
      <c r="D82" s="0" t="s">
        <v>1183</v>
      </c>
      <c r="E82" s="0" t="s">
        <v>47</v>
      </c>
      <c r="F82" s="20" t="n">
        <f aca="false">SUMPRODUCT(Operations!$J$398:$AU$398,Operations!$J$399:$AU$399,Returns!$J$24:$AU$24)</f>
        <v>0</v>
      </c>
    </row>
    <row r="83" customFormat="false" ht="15" hidden="false" customHeight="false" outlineLevel="0" collapsed="false">
      <c r="D83" s="0" t="s">
        <v>1184</v>
      </c>
      <c r="E83" s="0" t="s">
        <v>47</v>
      </c>
      <c r="F83" s="20" t="n">
        <f aca="false">SUMPRODUCT(Operations!$J$398:$AU$398,Operations!$J$400:$AU$400,Returns!$J$25:$AU$25)</f>
        <v>24.9270098053813</v>
      </c>
    </row>
    <row r="84" customFormat="false" ht="15" hidden="false" customHeight="false" outlineLevel="0" collapsed="false">
      <c r="D84" s="0" t="s">
        <v>1185</v>
      </c>
      <c r="E84" s="0" t="s">
        <v>47</v>
      </c>
      <c r="F84" s="20" t="n">
        <f aca="false">SUMPRODUCT(Operations!$J$398:$AU$398,Operations!$J$401:$AU$401,Returns!$J$26:$AU$26)</f>
        <v>30.0933115767</v>
      </c>
    </row>
    <row r="85" customFormat="false" ht="15" hidden="false" customHeight="false" outlineLevel="0" collapsed="false">
      <c r="D85" s="0" t="s">
        <v>1186</v>
      </c>
      <c r="E85" s="0" t="s">
        <v>47</v>
      </c>
      <c r="F85" s="20" t="n">
        <f aca="false">Returns!$F$82+Returns!$F$83+Returns!$F$84</f>
        <v>55.0203213820813</v>
      </c>
    </row>
    <row r="86" customFormat="false" ht="15" hidden="false" customHeight="false" outlineLevel="0" collapsed="false">
      <c r="D86" s="0" t="s">
        <v>1187</v>
      </c>
      <c r="E86" s="0" t="s">
        <v>51</v>
      </c>
      <c r="F86" s="14" t="n">
        <f aca="false">(Inputs!$F$157-Inputs!$F$269)/Inputs!$F$27</f>
        <v>0.128767123287671</v>
      </c>
    </row>
    <row r="87" customFormat="false" ht="15" hidden="false" customHeight="false" outlineLevel="0" collapsed="false">
      <c r="D87" s="0" t="s">
        <v>1188</v>
      </c>
      <c r="E87" s="0" t="s">
        <v>51</v>
      </c>
      <c r="F87" s="14" t="n">
        <f aca="false">(Inputs!$F$170-Inputs!$F$269)/Inputs!$F$27</f>
        <v>0.843835616438356</v>
      </c>
    </row>
    <row r="88" customFormat="false" ht="15" hidden="false" customHeight="false" outlineLevel="0" collapsed="false">
      <c r="D88" s="0" t="s">
        <v>1189</v>
      </c>
      <c r="E88" s="0" t="s">
        <v>47</v>
      </c>
      <c r="F88" s="20" t="n">
        <f aca="false">Funding!$F$156*(1+Inputs!$F$337/100)^(-Returns!$F$86)+Funding!$F$157*(1+Inputs!$F$337/100)^(-Returns!$F$87)</f>
        <v>47.28149697361</v>
      </c>
    </row>
    <row r="89" customFormat="false" ht="15" hidden="false" customHeight="false" outlineLevel="0" collapsed="false">
      <c r="D89" s="0" t="s">
        <v>1190</v>
      </c>
      <c r="E89" s="0" t="s">
        <v>47</v>
      </c>
      <c r="F89" s="20" t="n">
        <f aca="false">Inputs!$F$248/100*SUMPRODUCT(Tax!$J$20:$AU$20+Tax!$J$23:$AU$23,Returns!$J$28:$AU$28)</f>
        <v>29.0811678816248</v>
      </c>
    </row>
    <row r="90" customFormat="false" ht="15" hidden="false" customHeight="false" outlineLevel="0" collapsed="false">
      <c r="D90" s="0" t="s">
        <v>1191</v>
      </c>
      <c r="E90" s="0" t="s">
        <v>47</v>
      </c>
      <c r="F90" s="20" t="n">
        <f aca="false">Returns!$F$81+Returns!$F$85+Returns!$F$88+Returns!$F$89</f>
        <v>181.053091476313</v>
      </c>
    </row>
    <row r="91" customFormat="false" ht="15" hidden="false" customHeight="false" outlineLevel="0" collapsed="false">
      <c r="D91" s="0" t="s">
        <v>1192</v>
      </c>
      <c r="E91" s="0" t="s">
        <v>47</v>
      </c>
      <c r="F91" s="20" t="n">
        <f aca="false">Funding!$F$154+Inputs!$F$270*(1+Inputs!$F$337/100)^(-Returns!$F$86)+(Inputs!$F$271-Funding!$F$154)*(1+Inputs!$F$337/100)^(-Returns!$F$87)</f>
        <v>184.196257929253</v>
      </c>
    </row>
    <row r="92" customFormat="false" ht="15" hidden="false" customHeight="false" outlineLevel="0" collapsed="false">
      <c r="D92" s="0" t="s">
        <v>1193</v>
      </c>
      <c r="E92" s="0" t="s">
        <v>47</v>
      </c>
      <c r="F92" s="20" t="n">
        <f aca="false">Returns!$F$90-Returns!$F$91</f>
        <v>-3.14316645293937</v>
      </c>
    </row>
    <row r="94" customFormat="false" ht="15" hidden="false" customHeight="false" outlineLevel="0" collapsed="false">
      <c r="A94" s="4" t="s">
        <v>1194</v>
      </c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</row>
    <row r="95" customFormat="false" ht="15" hidden="false" customHeight="false" outlineLevel="0" collapsed="false">
      <c r="D95" s="0" t="s">
        <v>1195</v>
      </c>
      <c r="E95" s="0" t="s">
        <v>51</v>
      </c>
      <c r="J95" s="14" t="n">
        <f aca="false">MAX(0,(Time!J$6-Inputs!$F$347)/Inputs!$F$27)</f>
        <v>0</v>
      </c>
      <c r="K95" s="14" t="n">
        <f aca="false">MAX(0,(Time!K$6-Inputs!$F$347)/Inputs!$F$27)</f>
        <v>0</v>
      </c>
      <c r="L95" s="14" t="n">
        <f aca="false">MAX(0,(Time!L$6-Inputs!$F$347)/Inputs!$F$27)</f>
        <v>0</v>
      </c>
      <c r="M95" s="14" t="n">
        <f aca="false">MAX(0,(Time!M$6-Inputs!$F$347)/Inputs!$F$27)</f>
        <v>0</v>
      </c>
      <c r="N95" s="14" t="n">
        <f aca="false">MAX(0,(Time!N$6-Inputs!$F$347)/Inputs!$F$27)</f>
        <v>1</v>
      </c>
      <c r="O95" s="14" t="n">
        <f aca="false">MAX(0,(Time!O$6-Inputs!$F$347)/Inputs!$F$27)</f>
        <v>2</v>
      </c>
      <c r="P95" s="14" t="n">
        <f aca="false">MAX(0,(Time!P$6-Inputs!$F$347)/Inputs!$F$27)</f>
        <v>3.0027397260274</v>
      </c>
      <c r="Q95" s="14" t="n">
        <f aca="false">MAX(0,(Time!Q$6-Inputs!$F$347)/Inputs!$F$27)</f>
        <v>4.0027397260274</v>
      </c>
      <c r="R95" s="14" t="n">
        <f aca="false">MAX(0,(Time!R$6-Inputs!$F$347)/Inputs!$F$27)</f>
        <v>5.0027397260274</v>
      </c>
      <c r="S95" s="14" t="n">
        <f aca="false">MAX(0,(Time!S$6-Inputs!$F$347)/Inputs!$F$27)</f>
        <v>6.0027397260274</v>
      </c>
      <c r="T95" s="14" t="n">
        <f aca="false">MAX(0,(Time!T$6-Inputs!$F$347)/Inputs!$F$27)</f>
        <v>7.0054794520548</v>
      </c>
      <c r="U95" s="14" t="n">
        <f aca="false">MAX(0,(Time!U$6-Inputs!$F$347)/Inputs!$F$27)</f>
        <v>8.0054794520548</v>
      </c>
      <c r="V95" s="14" t="n">
        <f aca="false">MAX(0,(Time!V$6-Inputs!$F$347)/Inputs!$F$27)</f>
        <v>9.0054794520548</v>
      </c>
      <c r="W95" s="14" t="n">
        <f aca="false">MAX(0,(Time!W$6-Inputs!$F$347)/Inputs!$F$27)</f>
        <v>10.0054794520548</v>
      </c>
      <c r="X95" s="14" t="n">
        <f aca="false">MAX(0,(Time!X$6-Inputs!$F$347)/Inputs!$F$27)</f>
        <v>11.0082191780822</v>
      </c>
      <c r="Y95" s="14" t="n">
        <f aca="false">MAX(0,(Time!Y$6-Inputs!$F$347)/Inputs!$F$27)</f>
        <v>12.0082191780822</v>
      </c>
      <c r="Z95" s="14" t="n">
        <f aca="false">MAX(0,(Time!Z$6-Inputs!$F$347)/Inputs!$F$27)</f>
        <v>13.0082191780822</v>
      </c>
      <c r="AA95" s="14" t="n">
        <f aca="false">MAX(0,(Time!AA$6-Inputs!$F$347)/Inputs!$F$27)</f>
        <v>14.0082191780822</v>
      </c>
      <c r="AB95" s="14" t="n">
        <f aca="false">MAX(0,(Time!AB$6-Inputs!$F$347)/Inputs!$F$27)</f>
        <v>15.0109589041096</v>
      </c>
      <c r="AC95" s="14" t="n">
        <f aca="false">MAX(0,(Time!AC$6-Inputs!$F$347)/Inputs!$F$27)</f>
        <v>16.0109589041096</v>
      </c>
      <c r="AD95" s="14" t="n">
        <f aca="false">MAX(0,(Time!AD$6-Inputs!$F$347)/Inputs!$F$27)</f>
        <v>17.0109589041096</v>
      </c>
      <c r="AE95" s="14" t="n">
        <f aca="false">MAX(0,(Time!AE$6-Inputs!$F$347)/Inputs!$F$27)</f>
        <v>18.0109589041096</v>
      </c>
      <c r="AF95" s="14" t="n">
        <f aca="false">MAX(0,(Time!AF$6-Inputs!$F$347)/Inputs!$F$27)</f>
        <v>19.013698630137</v>
      </c>
      <c r="AG95" s="14" t="n">
        <f aca="false">MAX(0,(Time!AG$6-Inputs!$F$347)/Inputs!$F$27)</f>
        <v>20.013698630137</v>
      </c>
      <c r="AH95" s="14" t="n">
        <f aca="false">MAX(0,(Time!AH$6-Inputs!$F$347)/Inputs!$F$27)</f>
        <v>21.013698630137</v>
      </c>
      <c r="AI95" s="14" t="n">
        <f aca="false">MAX(0,(Time!AI$6-Inputs!$F$347)/Inputs!$F$27)</f>
        <v>22.013698630137</v>
      </c>
      <c r="AJ95" s="14" t="n">
        <f aca="false">MAX(0,(Time!AJ$6-Inputs!$F$347)/Inputs!$F$27)</f>
        <v>23.0164383561644</v>
      </c>
      <c r="AK95" s="14" t="n">
        <f aca="false">MAX(0,(Time!AK$6-Inputs!$F$347)/Inputs!$F$27)</f>
        <v>24.0164383561644</v>
      </c>
      <c r="AL95" s="14" t="n">
        <f aca="false">MAX(0,(Time!AL$6-Inputs!$F$347)/Inputs!$F$27)</f>
        <v>25.0164383561644</v>
      </c>
      <c r="AM95" s="14" t="n">
        <f aca="false">MAX(0,(Time!AM$6-Inputs!$F$347)/Inputs!$F$27)</f>
        <v>26.0164383561644</v>
      </c>
      <c r="AN95" s="14" t="n">
        <f aca="false">MAX(0,(Time!AN$6-Inputs!$F$347)/Inputs!$F$27)</f>
        <v>27.0191780821918</v>
      </c>
      <c r="AO95" s="14" t="n">
        <f aca="false">MAX(0,(Time!AO$6-Inputs!$F$347)/Inputs!$F$27)</f>
        <v>28.0191780821918</v>
      </c>
      <c r="AP95" s="14" t="n">
        <f aca="false">MAX(0,(Time!AP$6-Inputs!$F$347)/Inputs!$F$27)</f>
        <v>29.0191780821918</v>
      </c>
      <c r="AQ95" s="14" t="n">
        <f aca="false">MAX(0,(Time!AQ$6-Inputs!$F$347)/Inputs!$F$27)</f>
        <v>30.0191780821918</v>
      </c>
      <c r="AR95" s="14" t="n">
        <f aca="false">MAX(0,(Time!AR$6-Inputs!$F$347)/Inputs!$F$27)</f>
        <v>31.0219178082192</v>
      </c>
      <c r="AS95" s="14" t="n">
        <f aca="false">MAX(0,(Time!AS$6-Inputs!$F$347)/Inputs!$F$27)</f>
        <v>32.0219178082192</v>
      </c>
      <c r="AT95" s="14" t="n">
        <f aca="false">MAX(0,(Time!AT$6-Inputs!$F$347)/Inputs!$F$27)</f>
        <v>33.0219178082192</v>
      </c>
      <c r="AU95" s="14" t="n">
        <f aca="false">MAX(0,(Time!AU$6-Inputs!$F$347)/Inputs!$F$27)</f>
        <v>34.0219178082192</v>
      </c>
    </row>
    <row r="96" customFormat="false" ht="15" hidden="false" customHeight="false" outlineLevel="0" collapsed="false">
      <c r="D96" s="0" t="s">
        <v>1196</v>
      </c>
      <c r="E96" s="0" t="s">
        <v>27</v>
      </c>
      <c r="J96" s="14" t="n">
        <f aca="false">(Time!J$6&gt;Inputs!$F$347)*(Operations!J433*(1+Inputs!$F$343/100)^(-Returns!J95)+Operations!J434*(1+Inputs!$F$344/100)^(-Returns!J95)+Operations!J435*(1+Inputs!$F$345/100)^(-Returns!J95))</f>
        <v>0</v>
      </c>
      <c r="K96" s="14" t="n">
        <f aca="false">(Time!K$6&gt;Inputs!$F$347)*(Operations!K433*(1+Inputs!$F$343/100)^(-Returns!K95)+Operations!K434*(1+Inputs!$F$344/100)^(-Returns!K95)+Operations!K435*(1+Inputs!$F$345/100)^(-Returns!K95))</f>
        <v>0</v>
      </c>
      <c r="L96" s="14" t="n">
        <f aca="false">(Time!L$6&gt;Inputs!$F$347)*(Operations!L433*(1+Inputs!$F$343/100)^(-Returns!L95)+Operations!L434*(1+Inputs!$F$344/100)^(-Returns!L95)+Operations!L435*(1+Inputs!$F$345/100)^(-Returns!L95))</f>
        <v>0</v>
      </c>
      <c r="M96" s="14" t="n">
        <f aca="false">(Time!M$6&gt;Inputs!$F$347)*(Operations!M433*(1+Inputs!$F$343/100)^(-Returns!M95)+Operations!M434*(1+Inputs!$F$344/100)^(-Returns!M95)+Operations!M435*(1+Inputs!$F$345/100)^(-Returns!M95))</f>
        <v>0</v>
      </c>
      <c r="N96" s="14" t="n">
        <f aca="false">(Time!N$6&gt;Inputs!$F$347)*(Operations!N433*(1+Inputs!$F$343/100)^(-Returns!N95)+Operations!N434*(1+Inputs!$F$344/100)^(-Returns!N95)+Operations!N435*(1+Inputs!$F$345/100)^(-Returns!N95))</f>
        <v>0.918901885132412</v>
      </c>
      <c r="O96" s="14" t="n">
        <f aca="false">(Time!O$6&gt;Inputs!$F$347)*(Operations!O433*(1+Inputs!$F$343/100)^(-Returns!O95)+Operations!O434*(1+Inputs!$F$344/100)^(-Returns!O95)+Operations!O435*(1+Inputs!$F$345/100)^(-Returns!O95))</f>
        <v>0.84305764260308</v>
      </c>
      <c r="P96" s="14" t="n">
        <f aca="false">(Time!P$6&gt;Inputs!$F$347)*(Operations!P433*(1+Inputs!$F$343/100)^(-Returns!P95)+Operations!P434*(1+Inputs!$F$344/100)^(-Returns!P95)+Operations!P435*(1+Inputs!$F$345/100)^(-Returns!P95))</f>
        <v>0.76803763680714</v>
      </c>
      <c r="Q96" s="14" t="n">
        <f aca="false">(Time!Q$6&gt;Inputs!$F$347)*(Operations!Q433*(1+Inputs!$F$343/100)^(-Returns!Q95)+Operations!Q434*(1+Inputs!$F$344/100)^(-Returns!Q95)+Operations!Q435*(1+Inputs!$F$345/100)^(-Returns!Q95))</f>
        <v>0.692409362511687</v>
      </c>
      <c r="R96" s="14" t="n">
        <f aca="false">(Time!R$6&gt;Inputs!$F$347)*(Operations!R433*(1+Inputs!$F$343/100)^(-Returns!R95)+Operations!R434*(1+Inputs!$F$344/100)^(-Returns!R95)+Operations!R435*(1+Inputs!$F$345/100)^(-Returns!R95))</f>
        <v>0.604612717640813</v>
      </c>
      <c r="S96" s="14" t="n">
        <f aca="false">(Time!S$6&gt;Inputs!$F$347)*(Operations!S433*(1+Inputs!$F$343/100)^(-Returns!S95)+Operations!S434*(1+Inputs!$F$344/100)^(-Returns!S95)+Operations!S435*(1+Inputs!$F$345/100)^(-Returns!S95))</f>
        <v>0.542353332151198</v>
      </c>
      <c r="T96" s="14" t="n">
        <f aca="false">(Time!T$6&gt;Inputs!$F$347)*(Operations!T433*(1+Inputs!$F$343/100)^(-Returns!T95)+Operations!T434*(1+Inputs!$F$344/100)^(-Returns!T95)+Operations!T435*(1+Inputs!$F$345/100)^(-Returns!T95))</f>
        <v>0.482773586997263</v>
      </c>
      <c r="U96" s="14" t="n">
        <f aca="false">(Time!U$6&gt;Inputs!$F$347)*(Operations!U433*(1+Inputs!$F$343/100)^(-Returns!U95)+Operations!U434*(1+Inputs!$F$344/100)^(-Returns!U95)+Operations!U435*(1+Inputs!$F$345/100)^(-Returns!U95))</f>
        <v>0.427287737010177</v>
      </c>
      <c r="V96" s="14" t="n">
        <f aca="false">(Time!V$6&gt;Inputs!$F$347)*(Operations!V433*(1+Inputs!$F$343/100)^(-Returns!V95)+Operations!V434*(1+Inputs!$F$344/100)^(-Returns!V95)+Operations!V435*(1+Inputs!$F$345/100)^(-Returns!V95))</f>
        <v>0.378969714080761</v>
      </c>
      <c r="W96" s="14" t="n">
        <f aca="false">(Time!W$6&gt;Inputs!$F$347)*(Operations!W433*(1+Inputs!$F$343/100)^(-Returns!W95)+Operations!W434*(1+Inputs!$F$344/100)^(-Returns!W95)+Operations!W435*(1+Inputs!$F$345/100)^(-Returns!W95))</f>
        <v>0.336505592098986</v>
      </c>
      <c r="X96" s="14" t="n">
        <f aca="false">(Time!X$6&gt;Inputs!$F$347)*(Operations!X433*(1+Inputs!$F$343/100)^(-Returns!X95)+Operations!X434*(1+Inputs!$F$344/100)^(-Returns!X95)+Operations!X435*(1+Inputs!$F$345/100)^(-Returns!X95))</f>
        <v>0.301708744914877</v>
      </c>
      <c r="Y96" s="14" t="n">
        <f aca="false">(Time!Y$6&gt;Inputs!$F$347)*(Operations!Y433*(1+Inputs!$F$343/100)^(-Returns!Y95)+Operations!Y434*(1+Inputs!$F$344/100)^(-Returns!Y95)+Operations!Y435*(1+Inputs!$F$345/100)^(-Returns!Y95))</f>
        <v>0.270590802614239</v>
      </c>
      <c r="Z96" s="14" t="n">
        <f aca="false">(Time!Z$6&gt;Inputs!$F$347)*(Operations!Z433*(1+Inputs!$F$343/100)^(-Returns!Z95)+Operations!Z434*(1+Inputs!$F$344/100)^(-Returns!Z95)+Operations!Z435*(1+Inputs!$F$345/100)^(-Returns!Z95))</f>
        <v>0.242682334183174</v>
      </c>
      <c r="AA96" s="14" t="n">
        <f aca="false">(Time!AA$6&gt;Inputs!$F$347)*(Operations!AA433*(1+Inputs!$F$343/100)^(-Returns!AA95)+Operations!AA434*(1+Inputs!$F$344/100)^(-Returns!AA95)+Operations!AA435*(1+Inputs!$F$345/100)^(-Returns!AA95))</f>
        <v>0.217652317653071</v>
      </c>
      <c r="AB96" s="14" t="n">
        <f aca="false">(Time!AB$6&gt;Inputs!$F$347)*(Operations!AB433*(1+Inputs!$F$343/100)^(-Returns!AB95)+Operations!AB434*(1+Inputs!$F$344/100)^(-Returns!AB95)+Operations!AB435*(1+Inputs!$F$345/100)^(-Returns!AB95))</f>
        <v>0.195145665120494</v>
      </c>
      <c r="AC96" s="14" t="n">
        <f aca="false">(Time!AC$6&gt;Inputs!$F$347)*(Operations!AC433*(1+Inputs!$F$343/100)^(-Returns!AC95)+Operations!AC434*(1+Inputs!$F$344/100)^(-Returns!AC95)+Operations!AC435*(1+Inputs!$F$345/100)^(-Returns!AC95))</f>
        <v>0.175018533740353</v>
      </c>
      <c r="AD96" s="14" t="n">
        <f aca="false">(Time!AD$6&gt;Inputs!$F$347)*(Operations!AD433*(1+Inputs!$F$343/100)^(-Returns!AD95)+Operations!AD434*(1+Inputs!$F$344/100)^(-Returns!AD95)+Operations!AD435*(1+Inputs!$F$345/100)^(-Returns!AD95))</f>
        <v>0.156967294834397</v>
      </c>
      <c r="AE96" s="14" t="n">
        <f aca="false">(Time!AE$6&gt;Inputs!$F$347)*(Operations!AE433*(1+Inputs!$F$343/100)^(-Returns!AE95)+Operations!AE434*(1+Inputs!$F$344/100)^(-Returns!AE95)+Operations!AE435*(1+Inputs!$F$345/100)^(-Returns!AE95))</f>
        <v>0.140777842900805</v>
      </c>
      <c r="AF96" s="14" t="n">
        <f aca="false">(Time!AF$6&gt;Inputs!$F$347)*(Operations!AF433*(1+Inputs!$F$343/100)^(-Returns!AF95)+Operations!AF434*(1+Inputs!$F$344/100)^(-Returns!AF95)+Operations!AF435*(1+Inputs!$F$345/100)^(-Returns!AF95))</f>
        <v>0.126220506555301</v>
      </c>
      <c r="AG96" s="14" t="n">
        <f aca="false">(Time!AG$6&gt;Inputs!$F$347)*(Operations!AG433*(1+Inputs!$F$343/100)^(-Returns!AG95)+Operations!AG434*(1+Inputs!$F$344/100)^(-Returns!AG95)+Operations!AG435*(1+Inputs!$F$345/100)^(-Returns!AG95))</f>
        <v>0.11320224803166</v>
      </c>
      <c r="AH96" s="14" t="n">
        <f aca="false">(Time!AH$6&gt;Inputs!$F$347)*(Operations!AH433*(1+Inputs!$F$343/100)^(-Returns!AH95)+Operations!AH434*(1+Inputs!$F$344/100)^(-Returns!AH95)+Operations!AH435*(1+Inputs!$F$345/100)^(-Returns!AH95))</f>
        <v>0.101526679849023</v>
      </c>
      <c r="AI96" s="14" t="n">
        <f aca="false">(Time!AI$6&gt;Inputs!$F$347)*(Operations!AI433*(1+Inputs!$F$343/100)^(-Returns!AI95)+Operations!AI434*(1+Inputs!$F$344/100)^(-Returns!AI95)+Operations!AI435*(1+Inputs!$F$345/100)^(-Returns!AI95))</f>
        <v>0.0910553182502444</v>
      </c>
      <c r="AJ96" s="14" t="n">
        <f aca="false">(Time!AJ$6&gt;Inputs!$F$347)*(Operations!AJ433*(1+Inputs!$F$343/100)^(-Returns!AJ95)+Operations!AJ434*(1+Inputs!$F$344/100)^(-Returns!AJ95)+Operations!AJ435*(1+Inputs!$F$345/100)^(-Returns!AJ95))</f>
        <v>0.0816396114422513</v>
      </c>
      <c r="AK96" s="14" t="n">
        <f aca="false">(Time!AK$6&gt;Inputs!$F$347)*(Operations!AK433*(1+Inputs!$F$343/100)^(-Returns!AK95)+Operations!AK434*(1+Inputs!$F$344/100)^(-Returns!AK95)+Operations!AK435*(1+Inputs!$F$345/100)^(-Returns!AK95))</f>
        <v>0.0732193824594182</v>
      </c>
      <c r="AL96" s="14" t="n">
        <f aca="false">(Time!AL$6&gt;Inputs!$F$347)*(Operations!AL433*(1+Inputs!$F$343/100)^(-Returns!AL95)+Operations!AL434*(1+Inputs!$F$344/100)^(-Returns!AL95)+Operations!AL435*(1+Inputs!$F$345/100)^(-Returns!AL95))</f>
        <v>0.0656676075869222</v>
      </c>
      <c r="AM96" s="14" t="n">
        <f aca="false">(Time!AM$6&gt;Inputs!$F$347)*(Operations!AM433*(1+Inputs!$F$343/100)^(-Returns!AM95)+Operations!AM434*(1+Inputs!$F$344/100)^(-Returns!AM95)+Operations!AM435*(1+Inputs!$F$345/100)^(-Returns!AM95))</f>
        <v>0.0588947153245939</v>
      </c>
      <c r="AN96" s="14" t="n">
        <f aca="false">(Time!AN$6&gt;Inputs!$F$347)*(Operations!AN433*(1+Inputs!$F$343/100)^(-Returns!AN95)+Operations!AN434*(1+Inputs!$F$344/100)^(-Returns!AN95)+Operations!AN435*(1+Inputs!$F$345/100)^(-Returns!AN95))</f>
        <v>0.0528046221516439</v>
      </c>
      <c r="AO96" s="14" t="n">
        <f aca="false">(Time!AO$6&gt;Inputs!$F$347)*(Operations!AO433*(1+Inputs!$F$343/100)^(-Returns!AO95)+Operations!AO434*(1+Inputs!$F$344/100)^(-Returns!AO95)+Operations!AO435*(1+Inputs!$F$345/100)^(-Returns!AO95))</f>
        <v>0.0473584055171694</v>
      </c>
      <c r="AP96" s="14" t="n">
        <f aca="false">(Time!AP$6&gt;Inputs!$F$347)*(Operations!AP433*(1+Inputs!$F$343/100)^(-Returns!AP95)+Operations!AP434*(1+Inputs!$F$344/100)^(-Returns!AP95)+Operations!AP435*(1+Inputs!$F$345/100)^(-Returns!AP95))</f>
        <v>0.0424739062934255</v>
      </c>
      <c r="AQ96" s="14" t="n">
        <f aca="false">(Time!AQ$6&gt;Inputs!$F$347)*(Operations!AQ433*(1+Inputs!$F$343/100)^(-Returns!AQ95)+Operations!AQ434*(1+Inputs!$F$344/100)^(-Returns!AQ95)+Operations!AQ435*(1+Inputs!$F$345/100)^(-Returns!AQ95))</f>
        <v>0.03809318950083</v>
      </c>
      <c r="AR96" s="14" t="n">
        <f aca="false">(Time!AR$6&gt;Inputs!$F$347)*(Operations!AR433*(1+Inputs!$F$343/100)^(-Returns!AR95)+Operations!AR434*(1+Inputs!$F$344/100)^(-Returns!AR95)+Operations!AR435*(1+Inputs!$F$345/100)^(-Returns!AR95))</f>
        <v>0.0341541081751747</v>
      </c>
      <c r="AS96" s="14" t="n">
        <f aca="false">(Time!AS$6&gt;Inputs!$F$347)*(Operations!AS433*(1+Inputs!$F$343/100)^(-Returns!AS95)+Operations!AS434*(1+Inputs!$F$344/100)^(-Returns!AS95)+Operations!AS435*(1+Inputs!$F$345/100)^(-Returns!AS95))</f>
        <v>0.0306314871526231</v>
      </c>
      <c r="AT96" s="14" t="n">
        <f aca="false">(Time!AT$6&gt;Inputs!$F$347)*(Operations!AT433*(1+Inputs!$F$343/100)^(-Returns!AT95)+Operations!AT434*(1+Inputs!$F$344/100)^(-Returns!AT95)+Operations!AT435*(1+Inputs!$F$345/100)^(-Returns!AT95))</f>
        <v>0.0274721857871059</v>
      </c>
      <c r="AU96" s="14" t="n">
        <f aca="false">(Time!AU$6&gt;Inputs!$F$347)*(Operations!AU433*(1+Inputs!$F$343/100)^(-Returns!AU95)+Operations!AU434*(1+Inputs!$F$344/100)^(-Returns!AU95)+Operations!AU435*(1+Inputs!$F$345/100)^(-Returns!AU95))</f>
        <v>0.0246387316476286</v>
      </c>
    </row>
    <row r="97" customFormat="false" ht="15" hidden="false" customHeight="false" outlineLevel="0" collapsed="false">
      <c r="D97" s="0" t="s">
        <v>1197</v>
      </c>
      <c r="E97" s="0" t="s">
        <v>47</v>
      </c>
      <c r="F97" s="20" t="n">
        <f aca="false">SUMPRODUCT(Waterfall!$J$22:$AU$22,Returns!$J$96:$AU$96)</f>
        <v>104.483064719133</v>
      </c>
    </row>
    <row r="98" customFormat="false" ht="15" hidden="false" customHeight="false" outlineLevel="0" collapsed="false">
      <c r="D98" s="0" t="s">
        <v>1198</v>
      </c>
      <c r="E98" s="0" t="s">
        <v>47</v>
      </c>
      <c r="F98" s="20" t="n">
        <f aca="false">MAX(0,Returns!$F$97)</f>
        <v>104.483064719133</v>
      </c>
    </row>
    <row r="99" customFormat="false" ht="15" hidden="false" customHeight="false" outlineLevel="0" collapsed="false">
      <c r="D99" s="0" t="s">
        <v>1199</v>
      </c>
      <c r="E99" s="0" t="s">
        <v>47</v>
      </c>
      <c r="F99" s="20" t="n">
        <f aca="false">Funding!$F$150+Funding!$F$153+Funding!$F$168</f>
        <v>164.559155183228</v>
      </c>
    </row>
    <row r="100" customFormat="false" ht="15" hidden="false" customHeight="false" outlineLevel="0" collapsed="false">
      <c r="D100" s="0" t="s">
        <v>1200</v>
      </c>
      <c r="E100" s="0" t="s">
        <v>47</v>
      </c>
      <c r="F100" s="20" t="n">
        <f aca="false">SUM(Waterfall!$J$22:$AU$22)</f>
        <v>578.097530255361</v>
      </c>
    </row>
    <row r="101" customFormat="false" ht="15" hidden="false" customHeight="false" outlineLevel="0" collapsed="false">
      <c r="D101" s="0" t="s">
        <v>1201</v>
      </c>
      <c r="E101" s="0" t="s">
        <v>47</v>
      </c>
      <c r="F101" s="20" t="n">
        <f aca="false">SUMIF(Time!$J$4:$AU$4,"&lt;="&amp;Inputs!$F$314,Waterfall!$J$22:$AU$22)</f>
        <v>110.55847178772</v>
      </c>
    </row>
    <row r="102" customFormat="false" ht="15" hidden="false" customHeight="false" outlineLevel="0" collapsed="false">
      <c r="D102" s="0" t="s">
        <v>1202</v>
      </c>
      <c r="E102" s="0" t="s">
        <v>58</v>
      </c>
      <c r="F102" s="22" t="n">
        <f aca="false">Returns!$F$100/Returns!$F$99</f>
        <v>3.51300740218118</v>
      </c>
    </row>
    <row r="103" customFormat="false" ht="15" hidden="false" customHeight="false" outlineLevel="0" collapsed="false">
      <c r="D103" s="0" t="s">
        <v>1203</v>
      </c>
      <c r="E103" s="0" t="s">
        <v>58</v>
      </c>
      <c r="F103" s="22" t="n">
        <f aca="false">(Returns!$F$101+Returns!$F$98)/Returns!$F$99</f>
        <v>1.30677345947368</v>
      </c>
    </row>
    <row r="105" customFormat="false" ht="15" hidden="false" customHeight="false" outlineLevel="0" collapsed="false">
      <c r="D105" s="23" t="s">
        <v>1204</v>
      </c>
      <c r="E105" s="24" t="s">
        <v>1205</v>
      </c>
      <c r="F105" s="24" t="s">
        <v>47</v>
      </c>
      <c r="G105" s="24" t="s">
        <v>1206</v>
      </c>
    </row>
    <row r="106" customFormat="false" ht="15" hidden="false" customHeight="false" outlineLevel="0" collapsed="false">
      <c r="D106" s="0" t="s">
        <v>1207</v>
      </c>
      <c r="E106" s="13" t="n">
        <f aca="false">Inputs!$F$263</f>
        <v>44642</v>
      </c>
      <c r="F106" s="20" t="n">
        <f aca="false">-Funding!$F$150</f>
        <v>-81.9271116272947</v>
      </c>
      <c r="G106" s="20" t="n">
        <f aca="false">F106</f>
        <v>-81.9271116272947</v>
      </c>
    </row>
    <row r="107" customFormat="false" ht="15" hidden="false" customHeight="false" outlineLevel="0" collapsed="false">
      <c r="D107" s="0" t="s">
        <v>1208</v>
      </c>
      <c r="E107" s="13" t="n">
        <f aca="false">Inputs!$F$266</f>
        <v>45169</v>
      </c>
      <c r="F107" s="20" t="n">
        <f aca="false">-Funding!$F$153</f>
        <v>-30.2064750338826</v>
      </c>
      <c r="G107" s="20" t="n">
        <f aca="false">F107</f>
        <v>-30.2064750338826</v>
      </c>
    </row>
    <row r="108" customFormat="false" ht="15" hidden="false" customHeight="false" outlineLevel="0" collapsed="false">
      <c r="D108" s="0" t="s">
        <v>1015</v>
      </c>
      <c r="E108" s="13" t="n">
        <f aca="false">Inputs!$F$269</f>
        <v>45337</v>
      </c>
      <c r="F108" s="20" t="n">
        <f aca="false">-Funding!$F$159</f>
        <v>-0</v>
      </c>
      <c r="G108" s="20" t="n">
        <f aca="false">F108</f>
        <v>-0</v>
      </c>
    </row>
    <row r="109" customFormat="false" ht="15" hidden="false" customHeight="false" outlineLevel="0" collapsed="false">
      <c r="D109" s="0" t="s">
        <v>1018</v>
      </c>
      <c r="E109" s="13" t="n">
        <f aca="false">Inputs!$F$157</f>
        <v>45384</v>
      </c>
      <c r="F109" s="20" t="n">
        <f aca="false">-Funding!$F$162</f>
        <v>-0</v>
      </c>
      <c r="G109" s="20" t="n">
        <f aca="false">F109</f>
        <v>-0</v>
      </c>
    </row>
    <row r="110" customFormat="false" ht="15" hidden="false" customHeight="false" outlineLevel="0" collapsed="false">
      <c r="D110" s="0" t="s">
        <v>1209</v>
      </c>
      <c r="E110" s="13" t="n">
        <f aca="false">Inputs!$F$170</f>
        <v>45645</v>
      </c>
      <c r="F110" s="20" t="n">
        <f aca="false">-Funding!$F$165+Funding!$F$166</f>
        <v>-52.4255685220504</v>
      </c>
      <c r="G110" s="20" t="n">
        <f aca="false">F110</f>
        <v>-52.4255685220504</v>
      </c>
    </row>
    <row r="111" customFormat="false" ht="15" hidden="false" customHeight="false" outlineLevel="0" collapsed="false">
      <c r="C111" s="0" t="n">
        <v>1</v>
      </c>
      <c r="D111" s="0" t="s">
        <v>1210</v>
      </c>
      <c r="E111" s="13" t="n">
        <f aca="false">INDEX(Time!$J$6:$AU$6,C111)</f>
        <v>44926</v>
      </c>
      <c r="F111" s="20" t="n">
        <f aca="false">INDEX(Waterfall!$J$22:$AU$22,C111)</f>
        <v>5.86045670501287</v>
      </c>
      <c r="G111" s="20" t="n">
        <f aca="false">IF(YEAR(E111)&lt;Inputs!$F$314,F111,IF(YEAR(E111)=Inputs!$F$314,F111+Returns!$F$98,0))</f>
        <v>5.86045670501287</v>
      </c>
    </row>
    <row r="112" customFormat="false" ht="15" hidden="false" customHeight="false" outlineLevel="0" collapsed="false">
      <c r="C112" s="0" t="n">
        <v>2</v>
      </c>
      <c r="D112" s="0" t="s">
        <v>1211</v>
      </c>
      <c r="E112" s="13" t="n">
        <f aca="false">INDEX(Time!$J$6:$AU$6,C112)</f>
        <v>45291</v>
      </c>
      <c r="F112" s="20" t="n">
        <f aca="false">INDEX(Waterfall!$J$22:$AU$22,C112)</f>
        <v>3.81747439230033</v>
      </c>
      <c r="G112" s="20" t="n">
        <f aca="false">IF(YEAR(E112)&lt;Inputs!$F$314,F112,IF(YEAR(E112)=Inputs!$F$314,F112+Returns!$F$98,0))</f>
        <v>3.81747439230033</v>
      </c>
    </row>
    <row r="113" customFormat="false" ht="15" hidden="false" customHeight="false" outlineLevel="0" collapsed="false">
      <c r="C113" s="0" t="n">
        <v>3</v>
      </c>
      <c r="D113" s="0" t="s">
        <v>1212</v>
      </c>
      <c r="E113" s="13" t="n">
        <f aca="false">INDEX(Time!$J$6:$AU$6,C113)</f>
        <v>45657</v>
      </c>
      <c r="F113" s="20" t="n">
        <f aca="false">INDEX(Waterfall!$J$22:$AU$22,C113)</f>
        <v>2.72575151738771</v>
      </c>
      <c r="G113" s="20" t="n">
        <f aca="false">IF(YEAR(E113)&lt;Inputs!$F$314,F113,IF(YEAR(E113)=Inputs!$F$314,F113+Returns!$F$98,0))</f>
        <v>2.72575151738771</v>
      </c>
    </row>
    <row r="114" customFormat="false" ht="15" hidden="false" customHeight="false" outlineLevel="0" collapsed="false">
      <c r="C114" s="0" t="n">
        <v>4</v>
      </c>
      <c r="D114" s="0" t="s">
        <v>1213</v>
      </c>
      <c r="E114" s="13" t="n">
        <f aca="false">INDEX(Time!$J$6:$AU$6,C114)</f>
        <v>46022</v>
      </c>
      <c r="F114" s="20" t="n">
        <f aca="false">INDEX(Waterfall!$J$22:$AU$22,C114)</f>
        <v>98.1547891730189</v>
      </c>
      <c r="G114" s="20" t="n">
        <f aca="false">IF(YEAR(E114)&lt;Inputs!$F$314,F114,IF(YEAR(E114)=Inputs!$F$314,F114+Returns!$F$98,0))</f>
        <v>202.637853892152</v>
      </c>
    </row>
    <row r="115" customFormat="false" ht="15" hidden="false" customHeight="false" outlineLevel="0" collapsed="false">
      <c r="C115" s="0" t="n">
        <v>5</v>
      </c>
      <c r="D115" s="0" t="s">
        <v>1214</v>
      </c>
      <c r="E115" s="13" t="n">
        <f aca="false">INDEX(Time!$J$6:$AU$6,C115)</f>
        <v>46387</v>
      </c>
      <c r="F115" s="20" t="n">
        <f aca="false">INDEX(Waterfall!$J$22:$AU$22,C115)</f>
        <v>4.08791880549738</v>
      </c>
      <c r="G115" s="20" t="n">
        <f aca="false">IF(YEAR(E115)&lt;Inputs!$F$314,F115,IF(YEAR(E115)=Inputs!$F$314,F115+Returns!$F$98,0))</f>
        <v>0</v>
      </c>
    </row>
    <row r="116" customFormat="false" ht="15" hidden="false" customHeight="false" outlineLevel="0" collapsed="false">
      <c r="C116" s="0" t="n">
        <v>6</v>
      </c>
      <c r="D116" s="0" t="s">
        <v>1215</v>
      </c>
      <c r="E116" s="13" t="n">
        <f aca="false">INDEX(Time!$J$6:$AU$6,C116)</f>
        <v>46752</v>
      </c>
      <c r="F116" s="20" t="n">
        <f aca="false">INDEX(Waterfall!$J$22:$AU$22,C116)</f>
        <v>4.30519715373675</v>
      </c>
      <c r="G116" s="20" t="n">
        <f aca="false">IF(YEAR(E116)&lt;Inputs!$F$314,F116,IF(YEAR(E116)=Inputs!$F$314,F116+Returns!$F$98,0))</f>
        <v>0</v>
      </c>
    </row>
    <row r="117" customFormat="false" ht="15" hidden="false" customHeight="false" outlineLevel="0" collapsed="false">
      <c r="C117" s="0" t="n">
        <v>7</v>
      </c>
      <c r="D117" s="0" t="s">
        <v>1216</v>
      </c>
      <c r="E117" s="13" t="n">
        <f aca="false">INDEX(Time!$J$6:$AU$6,C117)</f>
        <v>47118</v>
      </c>
      <c r="F117" s="20" t="n">
        <f aca="false">INDEX(Waterfall!$J$22:$AU$22,C117)</f>
        <v>5.1871688738513</v>
      </c>
      <c r="G117" s="20" t="n">
        <f aca="false">IF(YEAR(E117)&lt;Inputs!$F$314,F117,IF(YEAR(E117)=Inputs!$F$314,F117+Returns!$F$98,0))</f>
        <v>0</v>
      </c>
    </row>
    <row r="118" customFormat="false" ht="15" hidden="false" customHeight="false" outlineLevel="0" collapsed="false">
      <c r="C118" s="0" t="n">
        <v>8</v>
      </c>
      <c r="D118" s="0" t="s">
        <v>1217</v>
      </c>
      <c r="E118" s="13" t="n">
        <f aca="false">INDEX(Time!$J$6:$AU$6,C118)</f>
        <v>47483</v>
      </c>
      <c r="F118" s="20" t="n">
        <f aca="false">INDEX(Waterfall!$J$22:$AU$22,C118)</f>
        <v>7.16333743703004</v>
      </c>
      <c r="G118" s="20" t="n">
        <f aca="false">IF(YEAR(E118)&lt;Inputs!$F$314,F118,IF(YEAR(E118)=Inputs!$F$314,F118+Returns!$F$98,0))</f>
        <v>0</v>
      </c>
    </row>
    <row r="119" customFormat="false" ht="15" hidden="false" customHeight="false" outlineLevel="0" collapsed="false">
      <c r="C119" s="0" t="n">
        <v>9</v>
      </c>
      <c r="D119" s="0" t="s">
        <v>1218</v>
      </c>
      <c r="E119" s="13" t="n">
        <f aca="false">INDEX(Time!$J$6:$AU$6,C119)</f>
        <v>47848</v>
      </c>
      <c r="F119" s="20" t="n">
        <f aca="false">INDEX(Waterfall!$J$22:$AU$22,C119)</f>
        <v>10.2169412385103</v>
      </c>
      <c r="G119" s="20" t="n">
        <f aca="false">IF(YEAR(E119)&lt;Inputs!$F$314,F119,IF(YEAR(E119)=Inputs!$F$314,F119+Returns!$F$98,0))</f>
        <v>0</v>
      </c>
    </row>
    <row r="120" customFormat="false" ht="15" hidden="false" customHeight="false" outlineLevel="0" collapsed="false">
      <c r="C120" s="0" t="n">
        <v>10</v>
      </c>
      <c r="D120" s="0" t="s">
        <v>1219</v>
      </c>
      <c r="E120" s="13" t="n">
        <f aca="false">INDEX(Time!$J$6:$AU$6,C120)</f>
        <v>48213</v>
      </c>
      <c r="F120" s="20" t="n">
        <f aca="false">INDEX(Waterfall!$J$22:$AU$22,C120)</f>
        <v>10.3200326871805</v>
      </c>
      <c r="G120" s="20" t="n">
        <f aca="false">IF(YEAR(E120)&lt;Inputs!$F$314,F120,IF(YEAR(E120)=Inputs!$F$314,F120+Returns!$F$98,0))</f>
        <v>0</v>
      </c>
    </row>
    <row r="121" customFormat="false" ht="15" hidden="false" customHeight="false" outlineLevel="0" collapsed="false">
      <c r="C121" s="0" t="n">
        <v>11</v>
      </c>
      <c r="D121" s="0" t="s">
        <v>1220</v>
      </c>
      <c r="E121" s="13" t="n">
        <f aca="false">INDEX(Time!$J$6:$AU$6,C121)</f>
        <v>48579</v>
      </c>
      <c r="F121" s="20" t="n">
        <f aca="false">INDEX(Waterfall!$J$22:$AU$22,C121)</f>
        <v>10.8669381384129</v>
      </c>
      <c r="G121" s="20" t="n">
        <f aca="false">IF(YEAR(E121)&lt;Inputs!$F$314,F121,IF(YEAR(E121)=Inputs!$F$314,F121+Returns!$F$98,0))</f>
        <v>0</v>
      </c>
    </row>
    <row r="122" customFormat="false" ht="15" hidden="false" customHeight="false" outlineLevel="0" collapsed="false">
      <c r="C122" s="0" t="n">
        <v>12</v>
      </c>
      <c r="D122" s="0" t="s">
        <v>1221</v>
      </c>
      <c r="E122" s="13" t="n">
        <f aca="false">INDEX(Time!$J$6:$AU$6,C122)</f>
        <v>48944</v>
      </c>
      <c r="F122" s="20" t="n">
        <f aca="false">INDEX(Waterfall!$J$22:$AU$22,C122)</f>
        <v>11.9509956903935</v>
      </c>
      <c r="G122" s="20" t="n">
        <f aca="false">IF(YEAR(E122)&lt;Inputs!$F$314,F122,IF(YEAR(E122)=Inputs!$F$314,F122+Returns!$F$98,0))</f>
        <v>0</v>
      </c>
    </row>
    <row r="123" customFormat="false" ht="15" hidden="false" customHeight="false" outlineLevel="0" collapsed="false">
      <c r="C123" s="0" t="n">
        <v>13</v>
      </c>
      <c r="D123" s="0" t="s">
        <v>1222</v>
      </c>
      <c r="E123" s="13" t="n">
        <f aca="false">INDEX(Time!$J$6:$AU$6,C123)</f>
        <v>49309</v>
      </c>
      <c r="F123" s="20" t="n">
        <f aca="false">INDEX(Waterfall!$J$22:$AU$22,C123)</f>
        <v>13.1578028843</v>
      </c>
      <c r="G123" s="20" t="n">
        <f aca="false">IF(YEAR(E123)&lt;Inputs!$F$314,F123,IF(YEAR(E123)=Inputs!$F$314,F123+Returns!$F$98,0))</f>
        <v>0</v>
      </c>
    </row>
    <row r="124" customFormat="false" ht="15" hidden="false" customHeight="false" outlineLevel="0" collapsed="false">
      <c r="C124" s="0" t="n">
        <v>14</v>
      </c>
      <c r="D124" s="0" t="s">
        <v>1223</v>
      </c>
      <c r="E124" s="13" t="n">
        <f aca="false">INDEX(Time!$J$6:$AU$6,C124)</f>
        <v>49674</v>
      </c>
      <c r="F124" s="20" t="n">
        <f aca="false">INDEX(Waterfall!$J$22:$AU$22,C124)</f>
        <v>13.7782041995584</v>
      </c>
      <c r="G124" s="20" t="n">
        <f aca="false">IF(YEAR(E124)&lt;Inputs!$F$314,F124,IF(YEAR(E124)=Inputs!$F$314,F124+Returns!$F$98,0))</f>
        <v>0</v>
      </c>
    </row>
    <row r="125" customFormat="false" ht="15" hidden="false" customHeight="false" outlineLevel="0" collapsed="false">
      <c r="C125" s="0" t="n">
        <v>15</v>
      </c>
      <c r="D125" s="0" t="s">
        <v>1224</v>
      </c>
      <c r="E125" s="13" t="n">
        <f aca="false">INDEX(Time!$J$6:$AU$6,C125)</f>
        <v>50040</v>
      </c>
      <c r="F125" s="20" t="n">
        <f aca="false">INDEX(Waterfall!$J$22:$AU$22,C125)</f>
        <v>14.1999129569115</v>
      </c>
      <c r="G125" s="20" t="n">
        <f aca="false">IF(YEAR(E125)&lt;Inputs!$F$314,F125,IF(YEAR(E125)=Inputs!$F$314,F125+Returns!$F$98,0))</f>
        <v>0</v>
      </c>
    </row>
    <row r="126" customFormat="false" ht="15" hidden="false" customHeight="false" outlineLevel="0" collapsed="false">
      <c r="C126" s="0" t="n">
        <v>16</v>
      </c>
      <c r="D126" s="0" t="s">
        <v>1225</v>
      </c>
      <c r="E126" s="13" t="n">
        <f aca="false">INDEX(Time!$J$6:$AU$6,C126)</f>
        <v>50405</v>
      </c>
      <c r="F126" s="20" t="n">
        <f aca="false">INDEX(Waterfall!$J$22:$AU$22,C126)</f>
        <v>14.6437510036332</v>
      </c>
      <c r="G126" s="20" t="n">
        <f aca="false">IF(YEAR(E126)&lt;Inputs!$F$314,F126,IF(YEAR(E126)=Inputs!$F$314,F126+Returns!$F$98,0))</f>
        <v>0</v>
      </c>
    </row>
    <row r="127" customFormat="false" ht="15" hidden="false" customHeight="false" outlineLevel="0" collapsed="false">
      <c r="C127" s="0" t="n">
        <v>17</v>
      </c>
      <c r="D127" s="0" t="s">
        <v>1226</v>
      </c>
      <c r="E127" s="13" t="n">
        <f aca="false">INDEX(Time!$J$6:$AU$6,C127)</f>
        <v>50770</v>
      </c>
      <c r="F127" s="20" t="n">
        <f aca="false">INDEX(Waterfall!$J$22:$AU$22,C127)</f>
        <v>30.4433094910589</v>
      </c>
      <c r="G127" s="20" t="n">
        <f aca="false">IF(YEAR(E127)&lt;Inputs!$F$314,F127,IF(YEAR(E127)=Inputs!$F$314,F127+Returns!$F$98,0))</f>
        <v>0</v>
      </c>
    </row>
    <row r="128" customFormat="false" ht="15" hidden="false" customHeight="false" outlineLevel="0" collapsed="false">
      <c r="C128" s="0" t="n">
        <v>18</v>
      </c>
      <c r="D128" s="0" t="s">
        <v>1227</v>
      </c>
      <c r="E128" s="13" t="n">
        <f aca="false">INDEX(Time!$J$6:$AU$6,C128)</f>
        <v>51135</v>
      </c>
      <c r="F128" s="20" t="n">
        <f aca="false">INDEX(Waterfall!$J$22:$AU$22,C128)</f>
        <v>31.6428973244384</v>
      </c>
      <c r="G128" s="20" t="n">
        <f aca="false">IF(YEAR(E128)&lt;Inputs!$F$314,F128,IF(YEAR(E128)=Inputs!$F$314,F128+Returns!$F$98,0))</f>
        <v>0</v>
      </c>
    </row>
    <row r="129" customFormat="false" ht="15" hidden="false" customHeight="false" outlineLevel="0" collapsed="false">
      <c r="C129" s="0" t="n">
        <v>19</v>
      </c>
      <c r="D129" s="0" t="s">
        <v>1228</v>
      </c>
      <c r="E129" s="13" t="n">
        <f aca="false">INDEX(Time!$J$6:$AU$6,C129)</f>
        <v>51501</v>
      </c>
      <c r="F129" s="20" t="n">
        <f aca="false">INDEX(Waterfall!$J$22:$AU$22,C129)</f>
        <v>31.5735735704683</v>
      </c>
      <c r="G129" s="20" t="n">
        <f aca="false">IF(YEAR(E129)&lt;Inputs!$F$314,F129,IF(YEAR(E129)=Inputs!$F$314,F129+Returns!$F$98,0))</f>
        <v>0</v>
      </c>
    </row>
    <row r="130" customFormat="false" ht="15" hidden="false" customHeight="false" outlineLevel="0" collapsed="false">
      <c r="C130" s="0" t="n">
        <v>20</v>
      </c>
      <c r="D130" s="0" t="s">
        <v>1229</v>
      </c>
      <c r="E130" s="13" t="n">
        <f aca="false">INDEX(Time!$J$6:$AU$6,C130)</f>
        <v>51866</v>
      </c>
      <c r="F130" s="20" t="n">
        <f aca="false">INDEX(Waterfall!$J$22:$AU$22,C130)</f>
        <v>31.4941464466147</v>
      </c>
      <c r="G130" s="20" t="n">
        <f aca="false">IF(YEAR(E130)&lt;Inputs!$F$314,F130,IF(YEAR(E130)=Inputs!$F$314,F130+Returns!$F$98,0))</f>
        <v>0</v>
      </c>
    </row>
    <row r="131" customFormat="false" ht="15" hidden="false" customHeight="false" outlineLevel="0" collapsed="false">
      <c r="C131" s="0" t="n">
        <v>21</v>
      </c>
      <c r="D131" s="0" t="s">
        <v>1230</v>
      </c>
      <c r="E131" s="13" t="n">
        <f aca="false">INDEX(Time!$J$6:$AU$6,C131)</f>
        <v>52231</v>
      </c>
      <c r="F131" s="20" t="n">
        <f aca="false">INDEX(Waterfall!$J$22:$AU$22,C131)</f>
        <v>27.0370203714899</v>
      </c>
      <c r="G131" s="20" t="n">
        <f aca="false">IF(YEAR(E131)&lt;Inputs!$F$314,F131,IF(YEAR(E131)=Inputs!$F$314,F131+Returns!$F$98,0))</f>
        <v>0</v>
      </c>
    </row>
    <row r="132" customFormat="false" ht="15" hidden="false" customHeight="false" outlineLevel="0" collapsed="false">
      <c r="C132" s="0" t="n">
        <v>22</v>
      </c>
      <c r="D132" s="0" t="s">
        <v>1231</v>
      </c>
      <c r="E132" s="13" t="n">
        <f aca="false">INDEX(Time!$J$6:$AU$6,C132)</f>
        <v>52596</v>
      </c>
      <c r="F132" s="20" t="n">
        <f aca="false">INDEX(Waterfall!$J$22:$AU$22,C132)</f>
        <v>19.6154329131838</v>
      </c>
      <c r="G132" s="20" t="n">
        <f aca="false">IF(YEAR(E132)&lt;Inputs!$F$314,F132,IF(YEAR(E132)=Inputs!$F$314,F132+Returns!$F$98,0))</f>
        <v>0</v>
      </c>
    </row>
    <row r="133" customFormat="false" ht="15" hidden="false" customHeight="false" outlineLevel="0" collapsed="false">
      <c r="C133" s="0" t="n">
        <v>23</v>
      </c>
      <c r="D133" s="0" t="s">
        <v>1232</v>
      </c>
      <c r="E133" s="13" t="n">
        <f aca="false">INDEX(Time!$J$6:$AU$6,C133)</f>
        <v>52962</v>
      </c>
      <c r="F133" s="20" t="n">
        <f aca="false">INDEX(Waterfall!$J$22:$AU$22,C133)</f>
        <v>20.4169786933295</v>
      </c>
      <c r="G133" s="20" t="n">
        <f aca="false">IF(YEAR(E133)&lt;Inputs!$F$314,F133,IF(YEAR(E133)=Inputs!$F$314,F133+Returns!$F$98,0))</f>
        <v>0</v>
      </c>
    </row>
    <row r="134" customFormat="false" ht="15" hidden="false" customHeight="false" outlineLevel="0" collapsed="false">
      <c r="C134" s="0" t="n">
        <v>24</v>
      </c>
      <c r="D134" s="0" t="s">
        <v>1233</v>
      </c>
      <c r="E134" s="13" t="n">
        <f aca="false">INDEX(Time!$J$6:$AU$6,C134)</f>
        <v>53327</v>
      </c>
      <c r="F134" s="20" t="n">
        <f aca="false">INDEX(Waterfall!$J$22:$AU$22,C134)</f>
        <v>34.4502486628882</v>
      </c>
      <c r="G134" s="20" t="n">
        <f aca="false">IF(YEAR(E134)&lt;Inputs!$F$314,F134,IF(YEAR(E134)=Inputs!$F$314,F134+Returns!$F$98,0))</f>
        <v>0</v>
      </c>
    </row>
    <row r="135" customFormat="false" ht="15" hidden="false" customHeight="false" outlineLevel="0" collapsed="false">
      <c r="C135" s="0" t="n">
        <v>25</v>
      </c>
      <c r="D135" s="0" t="s">
        <v>1234</v>
      </c>
      <c r="E135" s="13" t="n">
        <f aca="false">INDEX(Time!$J$6:$AU$6,C135)</f>
        <v>53692</v>
      </c>
      <c r="F135" s="20" t="n">
        <f aca="false">INDEX(Waterfall!$J$22:$AU$22,C135)</f>
        <v>34.696492644787</v>
      </c>
      <c r="G135" s="20" t="n">
        <f aca="false">IF(YEAR(E135)&lt;Inputs!$F$314,F135,IF(YEAR(E135)=Inputs!$F$314,F135+Returns!$F$98,0))</f>
        <v>0</v>
      </c>
    </row>
    <row r="136" customFormat="false" ht="15" hidden="false" customHeight="false" outlineLevel="0" collapsed="false">
      <c r="C136" s="0" t="n">
        <v>26</v>
      </c>
      <c r="D136" s="0" t="s">
        <v>1235</v>
      </c>
      <c r="E136" s="13" t="n">
        <f aca="false">INDEX(Time!$J$6:$AU$6,C136)</f>
        <v>54057</v>
      </c>
      <c r="F136" s="20" t="n">
        <f aca="false">INDEX(Waterfall!$J$22:$AU$22,C136)</f>
        <v>3.46026152215166</v>
      </c>
      <c r="G136" s="20" t="n">
        <f aca="false">IF(YEAR(E136)&lt;Inputs!$F$314,F136,IF(YEAR(E136)=Inputs!$F$314,F136+Returns!$F$98,0))</f>
        <v>0</v>
      </c>
    </row>
    <row r="137" customFormat="false" ht="15" hidden="false" customHeight="false" outlineLevel="0" collapsed="false">
      <c r="C137" s="0" t="n">
        <v>27</v>
      </c>
      <c r="D137" s="0" t="s">
        <v>1236</v>
      </c>
      <c r="E137" s="13" t="n">
        <f aca="false">INDEX(Time!$J$6:$AU$6,C137)</f>
        <v>54423</v>
      </c>
      <c r="F137" s="20" t="n">
        <f aca="false">INDEX(Waterfall!$J$22:$AU$22,C137)</f>
        <v>17.2733027507602</v>
      </c>
      <c r="G137" s="20" t="n">
        <f aca="false">IF(YEAR(E137)&lt;Inputs!$F$314,F137,IF(YEAR(E137)=Inputs!$F$314,F137+Returns!$F$98,0))</f>
        <v>0</v>
      </c>
    </row>
    <row r="138" customFormat="false" ht="15" hidden="false" customHeight="false" outlineLevel="0" collapsed="false">
      <c r="C138" s="0" t="n">
        <v>28</v>
      </c>
      <c r="D138" s="0" t="s">
        <v>1237</v>
      </c>
      <c r="E138" s="13" t="n">
        <f aca="false">INDEX(Time!$J$6:$AU$6,C138)</f>
        <v>54788</v>
      </c>
      <c r="F138" s="20" t="n">
        <f aca="false">INDEX(Waterfall!$J$22:$AU$22,C138)</f>
        <v>2.97844584358189</v>
      </c>
      <c r="G138" s="20" t="n">
        <f aca="false">IF(YEAR(E138)&lt;Inputs!$F$314,F138,IF(YEAR(E138)=Inputs!$F$314,F138+Returns!$F$98,0))</f>
        <v>0</v>
      </c>
    </row>
    <row r="139" customFormat="false" ht="15" hidden="false" customHeight="false" outlineLevel="0" collapsed="false">
      <c r="C139" s="0" t="n">
        <v>29</v>
      </c>
      <c r="D139" s="0" t="s">
        <v>1238</v>
      </c>
      <c r="E139" s="13" t="n">
        <f aca="false">INDEX(Time!$J$6:$AU$6,C139)</f>
        <v>55153</v>
      </c>
      <c r="F139" s="20" t="n">
        <f aca="false">INDEX(Waterfall!$J$22:$AU$22,C139)</f>
        <v>11.4835397946614</v>
      </c>
      <c r="G139" s="20" t="n">
        <f aca="false">IF(YEAR(E139)&lt;Inputs!$F$314,F139,IF(YEAR(E139)=Inputs!$F$314,F139+Returns!$F$98,0))</f>
        <v>0</v>
      </c>
    </row>
    <row r="140" customFormat="false" ht="15" hidden="false" customHeight="false" outlineLevel="0" collapsed="false">
      <c r="C140" s="0" t="n">
        <v>30</v>
      </c>
      <c r="D140" s="0" t="s">
        <v>1239</v>
      </c>
      <c r="E140" s="13" t="n">
        <f aca="false">INDEX(Time!$J$6:$AU$6,C140)</f>
        <v>55518</v>
      </c>
      <c r="F140" s="20" t="n">
        <f aca="false">INDEX(Waterfall!$J$22:$AU$22,C140)</f>
        <v>11.5031598578377</v>
      </c>
      <c r="G140" s="20" t="n">
        <f aca="false">IF(YEAR(E140)&lt;Inputs!$F$314,F140,IF(YEAR(E140)=Inputs!$F$314,F140+Returns!$F$98,0))</f>
        <v>0</v>
      </c>
    </row>
    <row r="141" customFormat="false" ht="15" hidden="false" customHeight="false" outlineLevel="0" collapsed="false">
      <c r="C141" s="0" t="n">
        <v>31</v>
      </c>
      <c r="D141" s="0" t="s">
        <v>1240</v>
      </c>
      <c r="E141" s="13" t="n">
        <f aca="false">INDEX(Time!$J$6:$AU$6,C141)</f>
        <v>55884</v>
      </c>
      <c r="F141" s="20" t="n">
        <f aca="false">INDEX(Waterfall!$J$22:$AU$22,C141)</f>
        <v>11.5188050857165</v>
      </c>
      <c r="G141" s="20" t="n">
        <f aca="false">IF(YEAR(E141)&lt;Inputs!$F$314,F141,IF(YEAR(E141)=Inputs!$F$314,F141+Returns!$F$98,0))</f>
        <v>0</v>
      </c>
    </row>
    <row r="142" customFormat="false" ht="15" hidden="false" customHeight="false" outlineLevel="0" collapsed="false">
      <c r="C142" s="0" t="n">
        <v>32</v>
      </c>
      <c r="D142" s="0" t="s">
        <v>1241</v>
      </c>
      <c r="E142" s="13" t="n">
        <f aca="false">INDEX(Time!$J$6:$AU$6,C142)</f>
        <v>56249</v>
      </c>
      <c r="F142" s="20" t="n">
        <f aca="false">INDEX(Waterfall!$J$22:$AU$22,C142)</f>
        <v>11.5300977308482</v>
      </c>
      <c r="G142" s="20" t="n">
        <f aca="false">IF(YEAR(E142)&lt;Inputs!$F$314,F142,IF(YEAR(E142)=Inputs!$F$314,F142+Returns!$F$98,0))</f>
        <v>0</v>
      </c>
    </row>
    <row r="143" customFormat="false" ht="15" hidden="false" customHeight="false" outlineLevel="0" collapsed="false">
      <c r="C143" s="0" t="n">
        <v>33</v>
      </c>
      <c r="D143" s="0" t="s">
        <v>1242</v>
      </c>
      <c r="E143" s="13" t="n">
        <f aca="false">INDEX(Time!$J$6:$AU$6,C143)</f>
        <v>56614</v>
      </c>
      <c r="F143" s="20" t="n">
        <f aca="false">INDEX(Waterfall!$J$22:$AU$22,C143)</f>
        <v>11.5366544933448</v>
      </c>
      <c r="G143" s="20" t="n">
        <f aca="false">IF(YEAR(E143)&lt;Inputs!$F$314,F143,IF(YEAR(E143)=Inputs!$F$314,F143+Returns!$F$98,0))</f>
        <v>0</v>
      </c>
    </row>
    <row r="144" customFormat="false" ht="15" hidden="false" customHeight="false" outlineLevel="0" collapsed="false">
      <c r="C144" s="0" t="n">
        <v>34</v>
      </c>
      <c r="D144" s="0" t="s">
        <v>1243</v>
      </c>
      <c r="E144" s="13" t="n">
        <f aca="false">INDEX(Time!$J$6:$AU$6,C144)</f>
        <v>56979</v>
      </c>
      <c r="F144" s="20" t="n">
        <f aca="false">INDEX(Waterfall!$J$22:$AU$22,C144)</f>
        <v>4.21518480762315</v>
      </c>
      <c r="G144" s="20" t="n">
        <f aca="false">IF(YEAR(E144)&lt;Inputs!$F$314,F144,IF(YEAR(E144)=Inputs!$F$314,F144+Returns!$F$98,0))</f>
        <v>0</v>
      </c>
    </row>
    <row r="145" customFormat="false" ht="15" hidden="false" customHeight="false" outlineLevel="0" collapsed="false">
      <c r="C145" s="0" t="n">
        <v>35</v>
      </c>
      <c r="D145" s="0" t="s">
        <v>1244</v>
      </c>
      <c r="E145" s="13" t="n">
        <f aca="false">INDEX(Time!$J$6:$AU$6,C145)</f>
        <v>57345</v>
      </c>
      <c r="F145" s="20" t="n">
        <f aca="false">INDEX(Waterfall!$J$22:$AU$22,C145)</f>
        <v>0</v>
      </c>
      <c r="G145" s="20" t="n">
        <f aca="false">IF(YEAR(E145)&lt;Inputs!$F$314,F145,IF(YEAR(E145)=Inputs!$F$314,F145+Returns!$F$98,0))</f>
        <v>0</v>
      </c>
    </row>
    <row r="146" customFormat="false" ht="15" hidden="false" customHeight="false" outlineLevel="0" collapsed="false">
      <c r="C146" s="0" t="n">
        <v>36</v>
      </c>
      <c r="D146" s="0" t="s">
        <v>1245</v>
      </c>
      <c r="E146" s="13" t="n">
        <f aca="false">INDEX(Time!$J$6:$AU$6,C146)</f>
        <v>57710</v>
      </c>
      <c r="F146" s="20" t="n">
        <f aca="false">INDEX(Waterfall!$J$22:$AU$22,C146)</f>
        <v>0.448803641041706</v>
      </c>
      <c r="G146" s="20" t="n">
        <f aca="false">IF(YEAR(E146)&lt;Inputs!$F$314,F146,IF(YEAR(E146)=Inputs!$F$314,F146+Returns!$F$98,0))</f>
        <v>0</v>
      </c>
    </row>
    <row r="147" customFormat="false" ht="15" hidden="false" customHeight="false" outlineLevel="0" collapsed="false">
      <c r="C147" s="0" t="n">
        <v>37</v>
      </c>
      <c r="D147" s="0" t="s">
        <v>1246</v>
      </c>
      <c r="E147" s="13" t="n">
        <f aca="false">INDEX(Time!$J$6:$AU$6,C147)</f>
        <v>58075</v>
      </c>
      <c r="F147" s="20" t="n">
        <f aca="false">INDEX(Waterfall!$J$22:$AU$22,C147)</f>
        <v>0.342501752798916</v>
      </c>
      <c r="G147" s="20" t="n">
        <f aca="false">IF(YEAR(E147)&lt;Inputs!$F$314,F147,IF(YEAR(E147)=Inputs!$F$314,F147+Returns!$F$98,0))</f>
        <v>0</v>
      </c>
    </row>
    <row r="148" customFormat="false" ht="15" hidden="false" customHeight="false" outlineLevel="0" collapsed="false">
      <c r="C148" s="0" t="n">
        <v>38</v>
      </c>
      <c r="D148" s="0" t="s">
        <v>1247</v>
      </c>
      <c r="E148" s="13" t="n">
        <f aca="false">INDEX(Time!$J$6:$AU$6,C148)</f>
        <v>58440</v>
      </c>
      <c r="F148" s="20" t="n">
        <f aca="false">INDEX(Waterfall!$J$22:$AU$22,C148)</f>
        <v>0</v>
      </c>
      <c r="G148" s="20" t="n">
        <f aca="false">IF(YEAR(E148)&lt;Inputs!$F$314,F148,IF(YEAR(E148)=Inputs!$F$314,F148+Returns!$F$98,0))</f>
        <v>0</v>
      </c>
    </row>
    <row r="150" customFormat="false" ht="15" hidden="false" customHeight="false" outlineLevel="0" collapsed="false">
      <c r="D150" s="0" t="s">
        <v>1248</v>
      </c>
      <c r="E150" s="0" t="s">
        <v>84</v>
      </c>
      <c r="F150" s="15" t="n">
        <f aca="false">100*XIRR(F106:F148,E106:E148)</f>
        <v>11.2299788151924</v>
      </c>
    </row>
    <row r="151" customFormat="false" ht="15" hidden="false" customHeight="false" outlineLevel="0" collapsed="false">
      <c r="D151" s="0" t="s">
        <v>1249</v>
      </c>
      <c r="E151" s="0" t="s">
        <v>84</v>
      </c>
      <c r="F151" s="15" t="n">
        <f aca="false">100*XIRR(G106:G148,E106:E148)</f>
        <v>10.977732443519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1250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8" customFormat="false" ht="15" hidden="false" customHeight="false" outlineLevel="0" collapsed="false">
      <c r="D8" s="0" t="s">
        <v>1251</v>
      </c>
      <c r="E8" s="0" t="s">
        <v>47</v>
      </c>
      <c r="F8" s="14" t="n">
        <f aca="false">ROUND(INDEX(Funding!$J$25:$AU$25,38),6)</f>
        <v>-0</v>
      </c>
    </row>
    <row r="9" customFormat="false" ht="15" hidden="false" customHeight="false" outlineLevel="0" collapsed="false">
      <c r="D9" s="0" t="s">
        <v>1252</v>
      </c>
      <c r="E9" s="0" t="s">
        <v>47</v>
      </c>
      <c r="F9" s="14" t="n">
        <f aca="false">ROUND(INDEX(Funding!$J$53:$AU$53,38),6)</f>
        <v>0</v>
      </c>
    </row>
    <row r="10" customFormat="false" ht="15" hidden="false" customHeight="false" outlineLevel="0" collapsed="false">
      <c r="D10" s="0" t="s">
        <v>1253</v>
      </c>
      <c r="E10" s="0" t="s">
        <v>47</v>
      </c>
      <c r="F10" s="14" t="n">
        <f aca="false">ROUND(Funding!$F$83-SUM(Debt!$J$33:$AU$33),6)</f>
        <v>0</v>
      </c>
    </row>
    <row r="11" customFormat="false" ht="15" hidden="false" customHeight="false" outlineLevel="0" collapsed="false">
      <c r="D11" s="0" t="s">
        <v>1254</v>
      </c>
      <c r="E11" s="0" t="s">
        <v>47</v>
      </c>
      <c r="F11" s="14" t="n">
        <f aca="false">ROUND(SUMPRODUCT(ABS(Debt!$J$32:$AU$32+Debt!$J$33:$AU$33-Debt!$J$34:$AU$34)),6)</f>
        <v>0</v>
      </c>
    </row>
    <row r="12" customFormat="false" ht="15" hidden="false" customHeight="false" outlineLevel="0" collapsed="false">
      <c r="D12" s="0" t="s">
        <v>1255</v>
      </c>
      <c r="E12" s="0" t="s">
        <v>47</v>
      </c>
      <c r="F12" s="14" t="n">
        <f aca="false">ROUND(Funding!$F$17+Funding!$F$41+Funding!$F$150-Funding!$F$149,6)</f>
        <v>0</v>
      </c>
    </row>
    <row r="13" customFormat="false" ht="15" hidden="false" customHeight="false" outlineLevel="0" collapsed="false">
      <c r="D13" s="0" t="s">
        <v>1256</v>
      </c>
      <c r="E13" s="0" t="s">
        <v>47</v>
      </c>
      <c r="F13" s="14" t="n">
        <f aca="false">ROUND(Funding!$F$63+Funding!$F$156+Funding!$F$157+Funding!$F$168-Funding!$F$167,6)</f>
        <v>0</v>
      </c>
    </row>
    <row r="14" customFormat="false" ht="15" hidden="false" customHeight="false" outlineLevel="0" collapsed="false">
      <c r="D14" s="0" t="s">
        <v>1257</v>
      </c>
      <c r="E14" s="0" t="s">
        <v>47</v>
      </c>
      <c r="F14" s="14" t="n">
        <f aca="false">ROUND(MIN(0,MIN(Tax!$J$33:$AU$33)),6)</f>
        <v>0</v>
      </c>
    </row>
    <row r="15" customFormat="false" ht="15" hidden="false" customHeight="false" outlineLevel="0" collapsed="false">
      <c r="D15" s="0" t="s">
        <v>1258</v>
      </c>
      <c r="E15" s="0" t="s">
        <v>47</v>
      </c>
      <c r="F15" s="14" t="n">
        <f aca="false">ROUND(MIN(0,MIN(Debt!$J$14:$AU$14),MIN(Debt!$J$23:$AU$23),MIN(Debt!$J$46:$AU$46),MIN(Debt!$J$53:$AU$53),MIN(Debt!$J$60:$AU$60)),6)</f>
        <v>0</v>
      </c>
    </row>
    <row r="16" customFormat="false" ht="15" hidden="false" customHeight="false" outlineLevel="0" collapsed="false">
      <c r="D16" s="0" t="s">
        <v>1259</v>
      </c>
      <c r="E16" s="0" t="s">
        <v>47</v>
      </c>
      <c r="F16" s="14" t="n">
        <f aca="false">COUNTIF(Operations!$J$292:$AU$292,"&lt;"&amp;Inputs!$F$191)</f>
        <v>0</v>
      </c>
    </row>
    <row r="17" customFormat="false" ht="15" hidden="false" customHeight="false" outlineLevel="0" collapsed="false">
      <c r="D17" s="0" t="s">
        <v>1260</v>
      </c>
      <c r="E17" s="0" t="s">
        <v>47</v>
      </c>
      <c r="F17" s="14" t="n">
        <f aca="false">ROUND(Inputs!$F$10*INDEX(Debt!$J$19:$AU$19,38),6)</f>
        <v>0</v>
      </c>
    </row>
    <row r="18" customFormat="false" ht="15" hidden="false" customHeight="false" outlineLevel="0" collapsed="false">
      <c r="D18" s="0" t="s">
        <v>1261</v>
      </c>
      <c r="E18" s="0" t="s">
        <v>47</v>
      </c>
      <c r="F18" s="14" t="n">
        <f aca="false">ROUND(SUMPRODUCT(ABS(Operations!$J$79:$AU$79+Operations!$J$80:$AU$80+Operations!$J$83:$AU$83-Operations!$J$82:$AU$82)),6)</f>
        <v>0</v>
      </c>
    </row>
    <row r="19" customFormat="false" ht="15" hidden="false" customHeight="false" outlineLevel="0" collapsed="false">
      <c r="D19" s="0" t="s">
        <v>1262</v>
      </c>
      <c r="E19" s="0" t="s">
        <v>47</v>
      </c>
      <c r="F19" s="14" t="n">
        <f aca="false">ROUND(SUMPRODUCT(ABS(Operations!$J$121:$AU$121+Operations!$J$122:$AU$122+Operations!$J$125:$AU$125-Operations!$J$124:$AU$124)),6)</f>
        <v>0</v>
      </c>
    </row>
    <row r="20" customFormat="false" ht="15" hidden="false" customHeight="false" outlineLevel="0" collapsed="false">
      <c r="D20" s="0" t="s">
        <v>1263</v>
      </c>
      <c r="E20" s="0" t="s">
        <v>47</v>
      </c>
      <c r="F20" s="14" t="n">
        <f aca="false">ROUND(SUMPRODUCT(ABS(Operations!$J$163:$AU$163+Operations!$J$164:$AU$164+Operations!$J$167:$AU$167-Operations!$J$166:$AU$166)),6)</f>
        <v>0</v>
      </c>
    </row>
    <row r="21" customFormat="false" ht="15" hidden="false" customHeight="false" outlineLevel="0" collapsed="false">
      <c r="D21" s="0" t="s">
        <v>1264</v>
      </c>
      <c r="E21" s="0" t="s">
        <v>47</v>
      </c>
      <c r="F21" s="14" t="n">
        <f aca="false">ROUND(SUMPRODUCT(ABS(Operations!$J$207:$AU$207+Operations!$J$208:$AU$208+Operations!$J$211:$AU$211-Operations!$J$210:$AU$210)),6)</f>
        <v>0</v>
      </c>
    </row>
    <row r="22" customFormat="false" ht="15" hidden="false" customHeight="false" outlineLevel="0" collapsed="false">
      <c r="D22" s="0" t="s">
        <v>1265</v>
      </c>
      <c r="E22" s="0" t="s">
        <v>47</v>
      </c>
      <c r="F22" s="14" t="n">
        <f aca="false">ROUND(SUMPRODUCT(ABS(Operations!$J$249:$AU$249+Operations!$J$250:$AU$250+Operations!$J$253:$AU$253-Operations!$J$252:$AU$252)),6)</f>
        <v>0</v>
      </c>
    </row>
    <row r="23" customFormat="false" ht="15" hidden="false" customHeight="false" outlineLevel="0" collapsed="false">
      <c r="D23" s="0" t="s">
        <v>1266</v>
      </c>
      <c r="E23" s="0" t="s">
        <v>47</v>
      </c>
      <c r="F23" s="14" t="n">
        <f aca="false">ROUND(SUMPRODUCT(ABS(Operations!$J$293:$AU$293+Operations!$J$294:$AU$294+Operations!$J$296:$AU$296-Operations!$J$295:$AU$295)),6)</f>
        <v>0</v>
      </c>
    </row>
    <row r="24" customFormat="false" ht="15" hidden="false" customHeight="false" outlineLevel="0" collapsed="false">
      <c r="D24" s="0" t="s">
        <v>1267</v>
      </c>
      <c r="E24" s="0" t="s">
        <v>47</v>
      </c>
      <c r="F24" s="14" t="n">
        <f aca="false">ROUND(SUMPRODUCT(ABS(Operations!$J$340:$AU$340+Operations!$J$341:$AU$341+Operations!$J$343:$AU$343-Operations!$J$342:$AU$342)),6)</f>
        <v>0</v>
      </c>
    </row>
    <row r="25" customFormat="false" ht="15" hidden="false" customHeight="false" outlineLevel="0" collapsed="false">
      <c r="D25" s="0" t="s">
        <v>1268</v>
      </c>
      <c r="E25" s="0" t="s">
        <v>47</v>
      </c>
      <c r="F25" s="14" t="n">
        <f aca="false">ROUND(SUMPRODUCT(ABS(Operations!$J$381:$AU$381+Operations!$J$382:$AU$382+Operations!$J$385:$AU$385-Operations!$J$384:$AU$384)),6)</f>
        <v>0</v>
      </c>
    </row>
    <row r="26" customFormat="false" ht="15" hidden="false" customHeight="false" outlineLevel="0" collapsed="false">
      <c r="D26" s="0" t="s">
        <v>1269</v>
      </c>
      <c r="E26" s="0" t="s">
        <v>47</v>
      </c>
      <c r="F26" s="14" t="n">
        <f aca="false">SUMPRODUCT(ABS(F8:F25))</f>
        <v>0</v>
      </c>
    </row>
  </sheetData>
  <conditionalFormatting sqref="F8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U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47" min="10" style="0" width="11"/>
  </cols>
  <sheetData>
    <row r="1" customFormat="false" ht="17.35" hidden="false" customHeight="false" outlineLevel="0" collapsed="false">
      <c r="A1" s="1" t="s">
        <v>1270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D4" s="0" t="s">
        <v>13</v>
      </c>
      <c r="J4" s="2" t="n">
        <f aca="false">Time!J$4</f>
        <v>2022</v>
      </c>
      <c r="K4" s="2" t="n">
        <f aca="false">Time!K$4</f>
        <v>2023</v>
      </c>
      <c r="L4" s="2" t="n">
        <f aca="false">Time!L$4</f>
        <v>2024</v>
      </c>
      <c r="M4" s="2" t="n">
        <f aca="false">Time!M$4</f>
        <v>2025</v>
      </c>
      <c r="N4" s="2" t="n">
        <f aca="false">Time!N$4</f>
        <v>2026</v>
      </c>
      <c r="O4" s="2" t="n">
        <f aca="false">Time!O$4</f>
        <v>2027</v>
      </c>
      <c r="P4" s="2" t="n">
        <f aca="false">Time!P$4</f>
        <v>2028</v>
      </c>
      <c r="Q4" s="2" t="n">
        <f aca="false">Time!Q$4</f>
        <v>2029</v>
      </c>
      <c r="R4" s="2" t="n">
        <f aca="false">Time!R$4</f>
        <v>2030</v>
      </c>
      <c r="S4" s="2" t="n">
        <f aca="false">Time!S$4</f>
        <v>2031</v>
      </c>
      <c r="T4" s="2" t="n">
        <f aca="false">Time!T$4</f>
        <v>2032</v>
      </c>
      <c r="U4" s="2" t="n">
        <f aca="false">Time!U$4</f>
        <v>2033</v>
      </c>
      <c r="V4" s="2" t="n">
        <f aca="false">Time!V$4</f>
        <v>2034</v>
      </c>
      <c r="W4" s="2" t="n">
        <f aca="false">Time!W$4</f>
        <v>2035</v>
      </c>
      <c r="X4" s="2" t="n">
        <f aca="false">Time!X$4</f>
        <v>2036</v>
      </c>
      <c r="Y4" s="2" t="n">
        <f aca="false">Time!Y$4</f>
        <v>2037</v>
      </c>
      <c r="Z4" s="2" t="n">
        <f aca="false">Time!Z$4</f>
        <v>2038</v>
      </c>
      <c r="AA4" s="2" t="n">
        <f aca="false">Time!AA$4</f>
        <v>2039</v>
      </c>
      <c r="AB4" s="2" t="n">
        <f aca="false">Time!AB$4</f>
        <v>2040</v>
      </c>
      <c r="AC4" s="2" t="n">
        <f aca="false">Time!AC$4</f>
        <v>2041</v>
      </c>
      <c r="AD4" s="2" t="n">
        <f aca="false">Time!AD$4</f>
        <v>2042</v>
      </c>
      <c r="AE4" s="2" t="n">
        <f aca="false">Time!AE$4</f>
        <v>2043</v>
      </c>
      <c r="AF4" s="2" t="n">
        <f aca="false">Time!AF$4</f>
        <v>2044</v>
      </c>
      <c r="AG4" s="2" t="n">
        <f aca="false">Time!AG$4</f>
        <v>2045</v>
      </c>
      <c r="AH4" s="2" t="n">
        <f aca="false">Time!AH$4</f>
        <v>2046</v>
      </c>
      <c r="AI4" s="2" t="n">
        <f aca="false">Time!AI$4</f>
        <v>2047</v>
      </c>
      <c r="AJ4" s="2" t="n">
        <f aca="false">Time!AJ$4</f>
        <v>2048</v>
      </c>
      <c r="AK4" s="2" t="n">
        <f aca="false">Time!AK$4</f>
        <v>2049</v>
      </c>
      <c r="AL4" s="2" t="n">
        <f aca="false">Time!AL$4</f>
        <v>2050</v>
      </c>
      <c r="AM4" s="2" t="n">
        <f aca="false">Time!AM$4</f>
        <v>2051</v>
      </c>
      <c r="AN4" s="2" t="n">
        <f aca="false">Time!AN$4</f>
        <v>2052</v>
      </c>
      <c r="AO4" s="2" t="n">
        <f aca="false">Time!AO$4</f>
        <v>2053</v>
      </c>
      <c r="AP4" s="2" t="n">
        <f aca="false">Time!AP$4</f>
        <v>2054</v>
      </c>
      <c r="AQ4" s="2" t="n">
        <f aca="false">Time!AQ$4</f>
        <v>2055</v>
      </c>
      <c r="AR4" s="2" t="n">
        <f aca="false">Time!AR$4</f>
        <v>2056</v>
      </c>
      <c r="AS4" s="2" t="n">
        <f aca="false">Time!AS$4</f>
        <v>2057</v>
      </c>
      <c r="AT4" s="2" t="n">
        <f aca="false">Time!AT$4</f>
        <v>2058</v>
      </c>
      <c r="AU4" s="2" t="n">
        <f aca="false">Time!AU$4</f>
        <v>2059</v>
      </c>
    </row>
    <row r="5" customFormat="false" ht="15" hidden="false" customHeight="false" outlineLevel="0" collapsed="false">
      <c r="D5" s="0" t="s">
        <v>14</v>
      </c>
      <c r="J5" s="3" t="n">
        <f aca="false">Time!J$6</f>
        <v>44926</v>
      </c>
      <c r="K5" s="3" t="n">
        <f aca="false">Time!K$6</f>
        <v>45291</v>
      </c>
      <c r="L5" s="3" t="n">
        <f aca="false">Time!L$6</f>
        <v>45657</v>
      </c>
      <c r="M5" s="3" t="n">
        <f aca="false">Time!M$6</f>
        <v>46022</v>
      </c>
      <c r="N5" s="3" t="n">
        <f aca="false">Time!N$6</f>
        <v>46387</v>
      </c>
      <c r="O5" s="3" t="n">
        <f aca="false">Time!O$6</f>
        <v>46752</v>
      </c>
      <c r="P5" s="3" t="n">
        <f aca="false">Time!P$6</f>
        <v>47118</v>
      </c>
      <c r="Q5" s="3" t="n">
        <f aca="false">Time!Q$6</f>
        <v>47483</v>
      </c>
      <c r="R5" s="3" t="n">
        <f aca="false">Time!R$6</f>
        <v>47848</v>
      </c>
      <c r="S5" s="3" t="n">
        <f aca="false">Time!S$6</f>
        <v>48213</v>
      </c>
      <c r="T5" s="3" t="n">
        <f aca="false">Time!T$6</f>
        <v>48579</v>
      </c>
      <c r="U5" s="3" t="n">
        <f aca="false">Time!U$6</f>
        <v>48944</v>
      </c>
      <c r="V5" s="3" t="n">
        <f aca="false">Time!V$6</f>
        <v>49309</v>
      </c>
      <c r="W5" s="3" t="n">
        <f aca="false">Time!W$6</f>
        <v>49674</v>
      </c>
      <c r="X5" s="3" t="n">
        <f aca="false">Time!X$6</f>
        <v>50040</v>
      </c>
      <c r="Y5" s="3" t="n">
        <f aca="false">Time!Y$6</f>
        <v>50405</v>
      </c>
      <c r="Z5" s="3" t="n">
        <f aca="false">Time!Z$6</f>
        <v>50770</v>
      </c>
      <c r="AA5" s="3" t="n">
        <f aca="false">Time!AA$6</f>
        <v>51135</v>
      </c>
      <c r="AB5" s="3" t="n">
        <f aca="false">Time!AB$6</f>
        <v>51501</v>
      </c>
      <c r="AC5" s="3" t="n">
        <f aca="false">Time!AC$6</f>
        <v>51866</v>
      </c>
      <c r="AD5" s="3" t="n">
        <f aca="false">Time!AD$6</f>
        <v>52231</v>
      </c>
      <c r="AE5" s="3" t="n">
        <f aca="false">Time!AE$6</f>
        <v>52596</v>
      </c>
      <c r="AF5" s="3" t="n">
        <f aca="false">Time!AF$6</f>
        <v>52962</v>
      </c>
      <c r="AG5" s="3" t="n">
        <f aca="false">Time!AG$6</f>
        <v>53327</v>
      </c>
      <c r="AH5" s="3" t="n">
        <f aca="false">Time!AH$6</f>
        <v>53692</v>
      </c>
      <c r="AI5" s="3" t="n">
        <f aca="false">Time!AI$6</f>
        <v>54057</v>
      </c>
      <c r="AJ5" s="3" t="n">
        <f aca="false">Time!AJ$6</f>
        <v>54423</v>
      </c>
      <c r="AK5" s="3" t="n">
        <f aca="false">Time!AK$6</f>
        <v>54788</v>
      </c>
      <c r="AL5" s="3" t="n">
        <f aca="false">Time!AL$6</f>
        <v>55153</v>
      </c>
      <c r="AM5" s="3" t="n">
        <f aca="false">Time!AM$6</f>
        <v>55518</v>
      </c>
      <c r="AN5" s="3" t="n">
        <f aca="false">Time!AN$6</f>
        <v>55884</v>
      </c>
      <c r="AO5" s="3" t="n">
        <f aca="false">Time!AO$6</f>
        <v>56249</v>
      </c>
      <c r="AP5" s="3" t="n">
        <f aca="false">Time!AP$6</f>
        <v>56614</v>
      </c>
      <c r="AQ5" s="3" t="n">
        <f aca="false">Time!AQ$6</f>
        <v>56979</v>
      </c>
      <c r="AR5" s="3" t="n">
        <f aca="false">Time!AR$6</f>
        <v>57345</v>
      </c>
      <c r="AS5" s="3" t="n">
        <f aca="false">Time!AS$6</f>
        <v>57710</v>
      </c>
      <c r="AT5" s="3" t="n">
        <f aca="false">Time!AT$6</f>
        <v>58075</v>
      </c>
      <c r="AU5" s="3" t="n">
        <f aca="false">Time!AU$6</f>
        <v>58440</v>
      </c>
    </row>
    <row r="7" customFormat="false" ht="15" hidden="false" customHeight="false" outlineLevel="0" collapsed="false">
      <c r="A7" s="4" t="s">
        <v>1271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customFormat="false" ht="15" hidden="false" customHeight="false" outlineLevel="0" collapsed="false">
      <c r="D8" s="0" t="s">
        <v>1272</v>
      </c>
      <c r="E8" s="0" t="s">
        <v>17</v>
      </c>
      <c r="F8" s="16" t="n">
        <f aca="false">Scenario</f>
        <v>1</v>
      </c>
    </row>
    <row r="9" customFormat="false" ht="15" hidden="false" customHeight="false" outlineLevel="0" collapsed="false">
      <c r="D9" s="0" t="s">
        <v>1273</v>
      </c>
      <c r="E9" s="0" t="s">
        <v>17</v>
      </c>
      <c r="F9" s="16" t="n">
        <f aca="false">Inputs!$F$9</f>
        <v>1</v>
      </c>
    </row>
    <row r="10" customFormat="false" ht="15" hidden="false" customHeight="false" outlineLevel="0" collapsed="false">
      <c r="D10" s="0" t="s">
        <v>1274</v>
      </c>
      <c r="E10" s="0" t="s">
        <v>20</v>
      </c>
      <c r="F10" s="16" t="n">
        <f aca="false">Inputs!$F$10</f>
        <v>1</v>
      </c>
    </row>
    <row r="12" customFormat="false" ht="15" hidden="false" customHeight="false" outlineLevel="0" collapsed="false">
      <c r="A12" s="4" t="s">
        <v>1275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</row>
    <row r="13" customFormat="false" ht="15" hidden="false" customHeight="false" outlineLevel="0" collapsed="false">
      <c r="D13" s="0" t="s">
        <v>1276</v>
      </c>
      <c r="E13" s="0" t="s">
        <v>47</v>
      </c>
      <c r="F13" s="21" t="n">
        <f aca="false">Funding!$F$17</f>
        <v>328.065195802752</v>
      </c>
    </row>
    <row r="14" customFormat="false" ht="15" hidden="false" customHeight="false" outlineLevel="0" collapsed="false">
      <c r="D14" s="0" t="s">
        <v>1277</v>
      </c>
      <c r="E14" s="0" t="s">
        <v>47</v>
      </c>
      <c r="F14" s="21" t="n">
        <f aca="false">Funding!$F$41</f>
        <v>57.274153578566</v>
      </c>
    </row>
    <row r="15" customFormat="false" ht="15" hidden="false" customHeight="false" outlineLevel="0" collapsed="false">
      <c r="D15" s="0" t="s">
        <v>1278</v>
      </c>
      <c r="E15" s="0" t="s">
        <v>47</v>
      </c>
      <c r="F15" s="21" t="n">
        <f aca="false">Funding!$F$50</f>
        <v>36.6060090934254</v>
      </c>
    </row>
    <row r="16" customFormat="false" ht="15" hidden="false" customHeight="false" outlineLevel="0" collapsed="false">
      <c r="D16" s="0" t="s">
        <v>1279</v>
      </c>
      <c r="E16" s="0" t="s">
        <v>47</v>
      </c>
      <c r="F16" s="21" t="n">
        <f aca="false">Funding!$F$63</f>
        <v>93.3137338161107</v>
      </c>
    </row>
    <row r="17" customFormat="false" ht="15" hidden="false" customHeight="false" outlineLevel="0" collapsed="false">
      <c r="D17" s="0" t="s">
        <v>1280</v>
      </c>
      <c r="E17" s="0" t="s">
        <v>47</v>
      </c>
      <c r="F17" s="21" t="n">
        <f aca="false">Funding!$F$83</f>
        <v>355.23779963863</v>
      </c>
    </row>
    <row r="18" customFormat="false" ht="15" hidden="false" customHeight="false" outlineLevel="0" collapsed="false">
      <c r="D18" s="0" t="s">
        <v>1281</v>
      </c>
      <c r="E18" s="0" t="s">
        <v>47</v>
      </c>
      <c r="F18" s="21" t="n">
        <f aca="false">Funding!$F$80</f>
        <v>142.811563806507</v>
      </c>
    </row>
    <row r="19" customFormat="false" ht="15" hidden="false" customHeight="false" outlineLevel="0" collapsed="false">
      <c r="D19" s="0" t="s">
        <v>1282</v>
      </c>
      <c r="E19" s="0" t="s">
        <v>47</v>
      </c>
      <c r="F19" s="21" t="n">
        <f aca="false">Funding!$F$81</f>
        <v>82.3337462332161</v>
      </c>
    </row>
    <row r="20" customFormat="false" ht="15" hidden="false" customHeight="false" outlineLevel="0" collapsed="false">
      <c r="D20" s="0" t="s">
        <v>1283</v>
      </c>
      <c r="E20" s="0" t="s">
        <v>47</v>
      </c>
      <c r="F20" s="21" t="n">
        <f aca="false">Funding!$F$82</f>
        <v>130.092489598907</v>
      </c>
    </row>
    <row r="21" customFormat="false" ht="15" hidden="false" customHeight="false" outlineLevel="0" collapsed="false">
      <c r="D21" s="0" t="s">
        <v>1284</v>
      </c>
      <c r="E21" s="0" t="s">
        <v>84</v>
      </c>
      <c r="F21" s="25" t="n">
        <f aca="false">Funding!$F$87</f>
        <v>6.04477962974246</v>
      </c>
    </row>
    <row r="22" customFormat="false" ht="15" hidden="false" customHeight="false" outlineLevel="0" collapsed="false">
      <c r="D22" s="0" t="s">
        <v>1285</v>
      </c>
      <c r="E22" s="0" t="s">
        <v>47</v>
      </c>
      <c r="F22" s="21" t="n">
        <f aca="false">Funding!$F$103</f>
        <v>137.568689420324</v>
      </c>
    </row>
    <row r="23" customFormat="false" ht="15" hidden="false" customHeight="false" outlineLevel="0" collapsed="false">
      <c r="D23" s="0" t="s">
        <v>1286</v>
      </c>
      <c r="E23" s="0" t="s">
        <v>47</v>
      </c>
      <c r="F23" s="21" t="n">
        <f aca="false">Funding!$F$179</f>
        <v>80.4345649824461</v>
      </c>
    </row>
    <row r="24" customFormat="false" ht="15" hidden="false" customHeight="false" outlineLevel="0" collapsed="false">
      <c r="D24" s="0" t="s">
        <v>1007</v>
      </c>
      <c r="E24" s="0" t="s">
        <v>47</v>
      </c>
      <c r="F24" s="21" t="n">
        <f aca="false">Funding!$F$150</f>
        <v>81.9271116272947</v>
      </c>
    </row>
    <row r="25" customFormat="false" ht="15" hidden="false" customHeight="false" outlineLevel="0" collapsed="false">
      <c r="D25" s="0" t="s">
        <v>1010</v>
      </c>
      <c r="E25" s="0" t="s">
        <v>47</v>
      </c>
      <c r="F25" s="21" t="n">
        <f aca="false">Funding!$F$153</f>
        <v>30.2064750338826</v>
      </c>
    </row>
    <row r="26" customFormat="false" ht="15" hidden="false" customHeight="false" outlineLevel="0" collapsed="false">
      <c r="D26" s="0" t="s">
        <v>1287</v>
      </c>
      <c r="E26" s="0" t="s">
        <v>47</v>
      </c>
      <c r="F26" s="21" t="n">
        <f aca="false">Funding!$F$168</f>
        <v>52.4255685220504</v>
      </c>
    </row>
    <row r="28" customFormat="false" ht="15" hidden="false" customHeight="false" outlineLevel="0" collapsed="false">
      <c r="A28" s="4" t="s">
        <v>1288</v>
      </c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</row>
    <row r="29" customFormat="false" ht="15" hidden="false" customHeight="false" outlineLevel="0" collapsed="false">
      <c r="D29" s="0" t="s">
        <v>1289</v>
      </c>
      <c r="F29" s="25" t="n">
        <f aca="false">Returns!$F$150</f>
        <v>11.2299788151924</v>
      </c>
    </row>
    <row r="30" customFormat="false" ht="15" hidden="false" customHeight="false" outlineLevel="0" collapsed="false">
      <c r="D30" s="0" t="s">
        <v>1290</v>
      </c>
      <c r="F30" s="25" t="n">
        <f aca="false">Returns!$F$151</f>
        <v>10.977732443519</v>
      </c>
    </row>
    <row r="31" customFormat="false" ht="15" hidden="false" customHeight="false" outlineLevel="0" collapsed="false">
      <c r="D31" s="0" t="s">
        <v>1291</v>
      </c>
      <c r="F31" s="21" t="n">
        <f aca="false">Returns!$F$98</f>
        <v>104.483064719133</v>
      </c>
    </row>
    <row r="32" customFormat="false" ht="15" hidden="false" customHeight="false" outlineLevel="0" collapsed="false">
      <c r="D32" s="0" t="s">
        <v>1202</v>
      </c>
      <c r="F32" s="26" t="n">
        <f aca="false">Returns!$F$102</f>
        <v>3.51300740218118</v>
      </c>
    </row>
    <row r="33" customFormat="false" ht="15" hidden="false" customHeight="false" outlineLevel="0" collapsed="false">
      <c r="D33" s="0" t="s">
        <v>1167</v>
      </c>
      <c r="F33" s="21" t="n">
        <f aca="false">Returns!$F$62</f>
        <v>439.699039089412</v>
      </c>
    </row>
    <row r="34" customFormat="false" ht="15" hidden="false" customHeight="false" outlineLevel="0" collapsed="false">
      <c r="D34" s="0" t="s">
        <v>1292</v>
      </c>
      <c r="F34" s="21" t="n">
        <f aca="false">Returns!$F$64</f>
        <v>438.154547400521</v>
      </c>
    </row>
    <row r="35" customFormat="false" ht="15" hidden="false" customHeight="false" outlineLevel="0" collapsed="false">
      <c r="D35" s="0" t="s">
        <v>1293</v>
      </c>
      <c r="F35" s="26" t="n">
        <f aca="false">Ratios!$F$17</f>
        <v>1.43072257718476</v>
      </c>
    </row>
    <row r="36" customFormat="false" ht="15" hidden="false" customHeight="false" outlineLevel="0" collapsed="false">
      <c r="D36" s="0" t="s">
        <v>1294</v>
      </c>
      <c r="F36" s="26" t="n">
        <f aca="false">Ratios!$F$18</f>
        <v>2.02731831356737</v>
      </c>
    </row>
    <row r="37" customFormat="false" ht="15" hidden="false" customHeight="false" outlineLevel="0" collapsed="false">
      <c r="D37" s="0" t="s">
        <v>1295</v>
      </c>
      <c r="F37" s="26" t="n">
        <f aca="false">Ratios!$F$15</f>
        <v>1.34929089014743</v>
      </c>
    </row>
    <row r="38" customFormat="false" ht="15" hidden="false" customHeight="false" outlineLevel="0" collapsed="false">
      <c r="D38" s="0" t="s">
        <v>1296</v>
      </c>
      <c r="F38" s="17" t="n">
        <f aca="false">Checks!$F$26</f>
        <v>0</v>
      </c>
    </row>
    <row r="40" customFormat="false" ht="15" hidden="false" customHeight="false" outlineLevel="0" collapsed="false">
      <c r="A40" s="4" t="s">
        <v>1297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</row>
    <row r="41" customFormat="false" ht="15" hidden="false" customHeight="false" outlineLevel="0" collapsed="false">
      <c r="D41" s="0" t="s">
        <v>1298</v>
      </c>
      <c r="E41" s="0" t="s">
        <v>47</v>
      </c>
      <c r="J41" s="21" t="n">
        <f aca="false">Operations!J425</f>
        <v>45.1684519770048</v>
      </c>
      <c r="K41" s="21" t="n">
        <f aca="false">Operations!K425</f>
        <v>49.2306710746364</v>
      </c>
      <c r="L41" s="21" t="n">
        <f aca="false">Operations!L425</f>
        <v>56.8411346121445</v>
      </c>
      <c r="M41" s="21" t="n">
        <f aca="false">Operations!M425</f>
        <v>65.8945759169238</v>
      </c>
      <c r="N41" s="21" t="n">
        <f aca="false">Operations!N425</f>
        <v>65.2537689776237</v>
      </c>
      <c r="O41" s="21" t="n">
        <f aca="false">Operations!O425</f>
        <v>63.1658202142618</v>
      </c>
      <c r="P41" s="21" t="n">
        <f aca="false">Operations!P425</f>
        <v>61.6901319141478</v>
      </c>
      <c r="Q41" s="21" t="n">
        <f aca="false">Operations!Q425</f>
        <v>65.1634690357983</v>
      </c>
      <c r="R41" s="21" t="n">
        <f aca="false">Operations!R425</f>
        <v>66.08436273699</v>
      </c>
      <c r="S41" s="21" t="n">
        <f aca="false">Operations!S425</f>
        <v>62.8778833268807</v>
      </c>
      <c r="T41" s="21" t="n">
        <f aca="false">Operations!T425</f>
        <v>60.9710054500711</v>
      </c>
      <c r="U41" s="21" t="n">
        <f aca="false">Operations!U425</f>
        <v>61.1492506920541</v>
      </c>
      <c r="V41" s="21" t="n">
        <f aca="false">Operations!V425</f>
        <v>62.5622851519422</v>
      </c>
      <c r="W41" s="21" t="n">
        <f aca="false">Operations!W425</f>
        <v>61.6264482464312</v>
      </c>
      <c r="X41" s="21" t="n">
        <f aca="false">Operations!X425</f>
        <v>61.3694707589228</v>
      </c>
      <c r="Y41" s="21" t="n">
        <f aca="false">Operations!Y425</f>
        <v>61.1479616346381</v>
      </c>
      <c r="Z41" s="21" t="n">
        <f aca="false">Operations!Z425</f>
        <v>61.0215279121222</v>
      </c>
      <c r="AA41" s="21" t="n">
        <f aca="false">Operations!AA425</f>
        <v>61.0180518358065</v>
      </c>
      <c r="AB41" s="21" t="n">
        <f aca="false">Operations!AB425</f>
        <v>61.0033420483556</v>
      </c>
      <c r="AC41" s="21" t="n">
        <f aca="false">Operations!AC425</f>
        <v>60.9598884919826</v>
      </c>
      <c r="AD41" s="21" t="n">
        <f aca="false">Operations!AD425</f>
        <v>60.9041256818734</v>
      </c>
      <c r="AE41" s="21" t="n">
        <f aca="false">Operations!AE425</f>
        <v>55.8587474403073</v>
      </c>
      <c r="AF41" s="21" t="n">
        <f aca="false">Operations!AF425</f>
        <v>25.8442768269994</v>
      </c>
      <c r="AG41" s="21" t="n">
        <f aca="false">Operations!AG425</f>
        <v>43.6079096998585</v>
      </c>
      <c r="AH41" s="21" t="n">
        <f aca="false">Operations!AH425</f>
        <v>43.9196109427684</v>
      </c>
      <c r="AI41" s="21" t="n">
        <f aca="false">Operations!AI425</f>
        <v>4.38007787614134</v>
      </c>
      <c r="AJ41" s="21" t="n">
        <f aca="false">Operations!AJ425</f>
        <v>21.8649401908358</v>
      </c>
      <c r="AK41" s="21" t="n">
        <f aca="false">Operations!AK425</f>
        <v>3.77018461212898</v>
      </c>
      <c r="AL41" s="21" t="n">
        <f aca="false">Operations!AL425</f>
        <v>14.5361263223562</v>
      </c>
      <c r="AM41" s="21" t="n">
        <f aca="false">Operations!AM425</f>
        <v>14.5609618453642</v>
      </c>
      <c r="AN41" s="21" t="n">
        <f aca="false">Operations!AN425</f>
        <v>14.5807659312867</v>
      </c>
      <c r="AO41" s="21" t="n">
        <f aca="false">Operations!AO425</f>
        <v>14.5950604187952</v>
      </c>
      <c r="AP41" s="21" t="n">
        <f aca="false">Operations!AP425</f>
        <v>14.603360118158</v>
      </c>
      <c r="AQ41" s="21" t="n">
        <f aca="false">Operations!AQ425</f>
        <v>5.33567697167487</v>
      </c>
      <c r="AR41" s="21" t="n">
        <f aca="false">Operations!AR425</f>
        <v>-10.0942482153661</v>
      </c>
      <c r="AS41" s="21" t="n">
        <f aca="false">Operations!AS425</f>
        <v>0.468479792319108</v>
      </c>
      <c r="AT41" s="21" t="n">
        <f aca="false">Operations!AT425</f>
        <v>0.357517487264004</v>
      </c>
      <c r="AU41" s="21" t="n">
        <f aca="false">Operations!AU425</f>
        <v>-11.1286703243323</v>
      </c>
    </row>
    <row r="42" customFormat="false" ht="15" hidden="false" customHeight="false" outlineLevel="0" collapsed="false">
      <c r="D42" s="0" t="s">
        <v>1299</v>
      </c>
      <c r="E42" s="0" t="s">
        <v>47</v>
      </c>
      <c r="J42" s="21" t="n">
        <f aca="false">Waterfall!J9</f>
        <v>29.9760030488673</v>
      </c>
      <c r="K42" s="21" t="n">
        <f aca="false">Waterfall!K9</f>
        <v>35.9669495113508</v>
      </c>
      <c r="L42" s="21" t="n">
        <f aca="false">Waterfall!L9</f>
        <v>37.7079464922386</v>
      </c>
      <c r="M42" s="21" t="n">
        <f aca="false">Waterfall!M9</f>
        <v>37.3170977599363</v>
      </c>
      <c r="N42" s="21" t="n">
        <f aca="false">Waterfall!N9</f>
        <v>45.6089601284015</v>
      </c>
      <c r="O42" s="21" t="n">
        <f aca="false">Waterfall!O9</f>
        <v>43.4414359752294</v>
      </c>
      <c r="P42" s="21" t="n">
        <f aca="false">Waterfall!P9</f>
        <v>40.3715102737986</v>
      </c>
      <c r="Q42" s="21" t="n">
        <f aca="false">Waterfall!Q9</f>
        <v>39.9672975844426</v>
      </c>
      <c r="R42" s="21" t="n">
        <f aca="false">Waterfall!R9</f>
        <v>34.7356485140017</v>
      </c>
      <c r="S42" s="21" t="n">
        <f aca="false">Waterfall!S9</f>
        <v>32.1907257668257</v>
      </c>
      <c r="T42" s="21" t="n">
        <f aca="false">Waterfall!T9</f>
        <v>30.0136947010661</v>
      </c>
      <c r="U42" s="21" t="n">
        <f aca="false">Waterfall!U9</f>
        <v>28.799431934175</v>
      </c>
      <c r="V42" s="21" t="n">
        <f aca="false">Waterfall!V9</f>
        <v>28.5936825676022</v>
      </c>
      <c r="W42" s="21" t="n">
        <f aca="false">Waterfall!W9</f>
        <v>27.3895325539694</v>
      </c>
      <c r="X42" s="21" t="n">
        <f aca="false">Waterfall!X9</f>
        <v>27.275320337299</v>
      </c>
      <c r="Y42" s="21" t="n">
        <f aca="false">Waterfall!Y9</f>
        <v>27.1768718376169</v>
      </c>
      <c r="Z42" s="21" t="n">
        <f aca="false">Waterfall!Z9</f>
        <v>27.1206790720543</v>
      </c>
      <c r="AA42" s="21" t="n">
        <f aca="false">Waterfall!AA9</f>
        <v>27.1191341492473</v>
      </c>
      <c r="AB42" s="21" t="n">
        <f aca="false">Waterfall!AB9</f>
        <v>27.1125964659358</v>
      </c>
      <c r="AC42" s="21" t="n">
        <f aca="false">Waterfall!AC9</f>
        <v>27.0932837742145</v>
      </c>
      <c r="AD42" s="21" t="n">
        <f aca="false">Waterfall!AD9</f>
        <v>27.0685003030548</v>
      </c>
      <c r="AE42" s="21" t="n">
        <f aca="false">Waterfall!AE9</f>
        <v>24.8261099734699</v>
      </c>
      <c r="AF42" s="21" t="n">
        <f aca="false">Waterfall!AF9</f>
        <v>0</v>
      </c>
      <c r="AG42" s="21" t="n">
        <f aca="false">Waterfall!AG9</f>
        <v>0</v>
      </c>
      <c r="AH42" s="21" t="n">
        <f aca="false">Waterfall!AH9</f>
        <v>0</v>
      </c>
      <c r="AI42" s="21" t="n">
        <f aca="false">Waterfall!AI9</f>
        <v>0</v>
      </c>
      <c r="AJ42" s="21" t="n">
        <f aca="false">Waterfall!AJ9</f>
        <v>0</v>
      </c>
      <c r="AK42" s="21" t="n">
        <f aca="false">Waterfall!AK9</f>
        <v>0</v>
      </c>
      <c r="AL42" s="21" t="n">
        <f aca="false">Waterfall!AL9</f>
        <v>0</v>
      </c>
      <c r="AM42" s="21" t="n">
        <f aca="false">Waterfall!AM9</f>
        <v>0</v>
      </c>
      <c r="AN42" s="21" t="n">
        <f aca="false">Waterfall!AN9</f>
        <v>0</v>
      </c>
      <c r="AO42" s="21" t="n">
        <f aca="false">Waterfall!AO9</f>
        <v>0</v>
      </c>
      <c r="AP42" s="21" t="n">
        <f aca="false">Waterfall!AP9</f>
        <v>0</v>
      </c>
      <c r="AQ42" s="21" t="n">
        <f aca="false">Waterfall!AQ9</f>
        <v>0</v>
      </c>
      <c r="AR42" s="21" t="n">
        <f aca="false">Waterfall!AR9</f>
        <v>0</v>
      </c>
      <c r="AS42" s="21" t="n">
        <f aca="false">Waterfall!AS9</f>
        <v>0</v>
      </c>
      <c r="AT42" s="21" t="n">
        <f aca="false">Waterfall!AT9</f>
        <v>0</v>
      </c>
      <c r="AU42" s="21" t="n">
        <f aca="false">Waterfall!AU9</f>
        <v>0</v>
      </c>
    </row>
    <row r="43" customFormat="false" ht="15" hidden="false" customHeight="false" outlineLevel="0" collapsed="false">
      <c r="D43" s="0" t="s">
        <v>1090</v>
      </c>
      <c r="E43" s="0" t="s">
        <v>47</v>
      </c>
      <c r="J43" s="21" t="n">
        <f aca="false">Debt!J67</f>
        <v>3.47153551811168</v>
      </c>
      <c r="K43" s="21" t="n">
        <f aca="false">Debt!K67</f>
        <v>5.62877277868492</v>
      </c>
      <c r="L43" s="21" t="n">
        <f aca="false">Debt!L67</f>
        <v>13.6816850851305</v>
      </c>
      <c r="M43" s="21" t="n">
        <f aca="false">Debt!M67</f>
        <v>13.2995969271655</v>
      </c>
      <c r="N43" s="21" t="n">
        <f aca="false">Debt!N67</f>
        <v>11.2256050566984</v>
      </c>
      <c r="O43" s="21" t="n">
        <f aca="false">Debt!O67</f>
        <v>10.5569902127865</v>
      </c>
      <c r="P43" s="21" t="n">
        <f aca="false">Debt!P67</f>
        <v>10.2253808712911</v>
      </c>
      <c r="Q43" s="21" t="n">
        <f aca="false">Debt!Q67</f>
        <v>9.76598096752724</v>
      </c>
      <c r="R43" s="21" t="n">
        <f aca="false">Debt!R67</f>
        <v>9.16824926434091</v>
      </c>
      <c r="S43" s="21" t="n">
        <f aca="false">Debt!S67</f>
        <v>8.35676529505097</v>
      </c>
      <c r="T43" s="21" t="n">
        <f aca="false">Debt!T67</f>
        <v>7.53806492435411</v>
      </c>
      <c r="U43" s="21" t="n">
        <f aca="false">Debt!U67</f>
        <v>6.68108117207098</v>
      </c>
      <c r="V43" s="21" t="n">
        <f aca="false">Debt!V67</f>
        <v>5.74821339114921</v>
      </c>
      <c r="W43" s="21" t="n">
        <f aca="false">Debt!W67</f>
        <v>4.73086910665398</v>
      </c>
      <c r="X43" s="21" t="n">
        <f aca="false">Debt!X67</f>
        <v>3.67009673009067</v>
      </c>
      <c r="Y43" s="21" t="n">
        <f aca="false">Debt!Y67</f>
        <v>2.57980474051263</v>
      </c>
      <c r="Z43" s="21" t="n">
        <f aca="false">Debt!Z67</f>
        <v>1.26500281433001</v>
      </c>
      <c r="AA43" s="21" t="n">
        <f aca="false">Debt!AA67</f>
        <v>0</v>
      </c>
      <c r="AB43" s="21" t="n">
        <f aca="false">Debt!AB67</f>
        <v>0</v>
      </c>
      <c r="AC43" s="21" t="n">
        <f aca="false">Debt!AC67</f>
        <v>0</v>
      </c>
      <c r="AD43" s="21" t="n">
        <f aca="false">Debt!AD67</f>
        <v>0</v>
      </c>
      <c r="AE43" s="21" t="n">
        <f aca="false">Debt!AE67</f>
        <v>0</v>
      </c>
      <c r="AF43" s="21" t="n">
        <f aca="false">Debt!AF67</f>
        <v>0</v>
      </c>
      <c r="AG43" s="21" t="n">
        <f aca="false">Debt!AG67</f>
        <v>0</v>
      </c>
      <c r="AH43" s="21" t="n">
        <f aca="false">Debt!AH67</f>
        <v>0</v>
      </c>
      <c r="AI43" s="21" t="n">
        <f aca="false">Debt!AI67</f>
        <v>0</v>
      </c>
      <c r="AJ43" s="21" t="n">
        <f aca="false">Debt!AJ67</f>
        <v>0</v>
      </c>
      <c r="AK43" s="21" t="n">
        <f aca="false">Debt!AK67</f>
        <v>0</v>
      </c>
      <c r="AL43" s="21" t="n">
        <f aca="false">Debt!AL67</f>
        <v>0</v>
      </c>
      <c r="AM43" s="21" t="n">
        <f aca="false">Debt!AM67</f>
        <v>0</v>
      </c>
      <c r="AN43" s="21" t="n">
        <f aca="false">Debt!AN67</f>
        <v>0</v>
      </c>
      <c r="AO43" s="21" t="n">
        <f aca="false">Debt!AO67</f>
        <v>0</v>
      </c>
      <c r="AP43" s="21" t="n">
        <f aca="false">Debt!AP67</f>
        <v>0</v>
      </c>
      <c r="AQ43" s="21" t="n">
        <f aca="false">Debt!AQ67</f>
        <v>0</v>
      </c>
      <c r="AR43" s="21" t="n">
        <f aca="false">Debt!AR67</f>
        <v>0</v>
      </c>
      <c r="AS43" s="21" t="n">
        <f aca="false">Debt!AS67</f>
        <v>0</v>
      </c>
      <c r="AT43" s="21" t="n">
        <f aca="false">Debt!AT67</f>
        <v>0</v>
      </c>
      <c r="AU43" s="21" t="n">
        <f aca="false">Debt!AU67</f>
        <v>0</v>
      </c>
    </row>
    <row r="44" customFormat="false" ht="15" hidden="false" customHeight="false" outlineLevel="0" collapsed="false">
      <c r="D44" s="0" t="s">
        <v>895</v>
      </c>
      <c r="E44" s="0" t="s">
        <v>47</v>
      </c>
      <c r="J44" s="21" t="n">
        <f aca="false">Tax!J32</f>
        <v>0</v>
      </c>
      <c r="K44" s="21" t="n">
        <f aca="false">Tax!K32</f>
        <v>0</v>
      </c>
      <c r="L44" s="21" t="n">
        <f aca="false">Tax!L32</f>
        <v>0</v>
      </c>
      <c r="M44" s="21" t="n">
        <f aca="false">Tax!M32</f>
        <v>0.16715794950052</v>
      </c>
      <c r="N44" s="21" t="n">
        <f aca="false">Tax!N32</f>
        <v>0.243366181529061</v>
      </c>
      <c r="O44" s="21" t="n">
        <f aca="false">Tax!O32</f>
        <v>0.556999718772324</v>
      </c>
      <c r="P44" s="21" t="n">
        <f aca="false">Tax!P32</f>
        <v>0.718903021355577</v>
      </c>
      <c r="Q44" s="21" t="n">
        <f aca="false">Tax!Q32</f>
        <v>1.10351560976841</v>
      </c>
      <c r="R44" s="21" t="n">
        <f aca="false">Tax!R32</f>
        <v>1.74658248162686</v>
      </c>
      <c r="S44" s="21" t="n">
        <f aca="false">Tax!S32</f>
        <v>1.69032689064305</v>
      </c>
      <c r="T44" s="21" t="n">
        <f aca="false">Tax!T32</f>
        <v>1.68536954782511</v>
      </c>
      <c r="U44" s="21" t="n">
        <f aca="false">Tax!U32</f>
        <v>1.76674620502114</v>
      </c>
      <c r="V44" s="21" t="n">
        <f aca="false">Tax!V32</f>
        <v>1.90478342459069</v>
      </c>
      <c r="W44" s="21" t="n">
        <f aca="false">Tax!W32</f>
        <v>1.94963818669106</v>
      </c>
      <c r="X44" s="21" t="n">
        <f aca="false">Tax!X32</f>
        <v>2.02422777771003</v>
      </c>
      <c r="Y44" s="21" t="n">
        <f aca="false">Tax!Y32</f>
        <v>2.10378304924207</v>
      </c>
      <c r="Z44" s="21" t="n">
        <f aca="false">Tax!Z32</f>
        <v>2.19253653467903</v>
      </c>
      <c r="AA44" s="21" t="n">
        <f aca="false">Tax!AA32</f>
        <v>2.25602036212079</v>
      </c>
      <c r="AB44" s="21" t="n">
        <f aca="false">Tax!AB32</f>
        <v>2.31717201195146</v>
      </c>
      <c r="AC44" s="21" t="n">
        <f aca="false">Tax!AC32</f>
        <v>2.37245827115339</v>
      </c>
      <c r="AD44" s="21" t="n">
        <f aca="false">Tax!AD32</f>
        <v>6.79860500732865</v>
      </c>
      <c r="AE44" s="21" t="n">
        <f aca="false">Tax!AE32</f>
        <v>11.4172045536536</v>
      </c>
      <c r="AF44" s="21" t="n">
        <f aca="false">Tax!AF32</f>
        <v>5.42729813366987</v>
      </c>
      <c r="AG44" s="21" t="n">
        <f aca="false">Tax!AG32</f>
        <v>9.15766103697029</v>
      </c>
      <c r="AH44" s="21" t="n">
        <f aca="false">Tax!AH32</f>
        <v>9.22311829798136</v>
      </c>
      <c r="AI44" s="21" t="n">
        <f aca="false">Tax!AI32</f>
        <v>0.919816353989682</v>
      </c>
      <c r="AJ44" s="21" t="n">
        <f aca="false">Tax!AJ32</f>
        <v>4.59163744007551</v>
      </c>
      <c r="AK44" s="21" t="n">
        <f aca="false">Tax!AK32</f>
        <v>0.791738768547085</v>
      </c>
      <c r="AL44" s="21" t="n">
        <f aca="false">Tax!AL32</f>
        <v>3.0525865276948</v>
      </c>
      <c r="AM44" s="21" t="n">
        <f aca="false">Tax!AM32</f>
        <v>3.05780198752649</v>
      </c>
      <c r="AN44" s="21" t="n">
        <f aca="false">Tax!AN32</f>
        <v>3.06196084557021</v>
      </c>
      <c r="AO44" s="21" t="n">
        <f aca="false">Tax!AO32</f>
        <v>3.064962687947</v>
      </c>
      <c r="AP44" s="21" t="n">
        <f aca="false">Tax!AP32</f>
        <v>3.06670562481317</v>
      </c>
      <c r="AQ44" s="21" t="n">
        <f aca="false">Tax!AQ32</f>
        <v>1.12049216405172</v>
      </c>
      <c r="AR44" s="21" t="n">
        <f aca="false">Tax!AR32</f>
        <v>0</v>
      </c>
      <c r="AS44" s="21" t="n">
        <f aca="false">Tax!AS32</f>
        <v>0.0196761512774026</v>
      </c>
      <c r="AT44" s="21" t="n">
        <f aca="false">Tax!AT32</f>
        <v>0.0150157344650882</v>
      </c>
      <c r="AU44" s="21" t="n">
        <f aca="false">Tax!AU32</f>
        <v>0</v>
      </c>
    </row>
    <row r="45" customFormat="false" ht="15" hidden="false" customHeight="false" outlineLevel="0" collapsed="false">
      <c r="D45" s="0" t="s">
        <v>1300</v>
      </c>
      <c r="E45" s="0" t="s">
        <v>47</v>
      </c>
      <c r="J45" s="21" t="n">
        <f aca="false">Waterfall!J22</f>
        <v>5.86045670501287</v>
      </c>
      <c r="K45" s="21" t="n">
        <f aca="false">Waterfall!K22</f>
        <v>3.81747439230033</v>
      </c>
      <c r="L45" s="21" t="n">
        <f aca="false">Waterfall!L22</f>
        <v>2.72575151738771</v>
      </c>
      <c r="M45" s="21" t="n">
        <f aca="false">Waterfall!M22</f>
        <v>98.1547891730189</v>
      </c>
      <c r="N45" s="21" t="n">
        <f aca="false">Waterfall!N22</f>
        <v>4.08791880549738</v>
      </c>
      <c r="O45" s="21" t="n">
        <f aca="false">Waterfall!O22</f>
        <v>4.30519715373675</v>
      </c>
      <c r="P45" s="21" t="n">
        <f aca="false">Waterfall!P22</f>
        <v>5.1871688738513</v>
      </c>
      <c r="Q45" s="21" t="n">
        <f aca="false">Waterfall!Q22</f>
        <v>7.16333743703004</v>
      </c>
      <c r="R45" s="21" t="n">
        <f aca="false">Waterfall!R22</f>
        <v>10.2169412385103</v>
      </c>
      <c r="S45" s="21" t="n">
        <f aca="false">Waterfall!S22</f>
        <v>10.3200326871805</v>
      </c>
      <c r="T45" s="21" t="n">
        <f aca="false">Waterfall!T22</f>
        <v>10.8669381384129</v>
      </c>
      <c r="U45" s="21" t="n">
        <f aca="false">Waterfall!U22</f>
        <v>11.9509956903935</v>
      </c>
      <c r="V45" s="21" t="n">
        <f aca="false">Waterfall!V22</f>
        <v>13.1578028843</v>
      </c>
      <c r="W45" s="21" t="n">
        <f aca="false">Waterfall!W22</f>
        <v>13.7782041995584</v>
      </c>
      <c r="X45" s="21" t="n">
        <f aca="false">Waterfall!X22</f>
        <v>14.1999129569115</v>
      </c>
      <c r="Y45" s="21" t="n">
        <f aca="false">Waterfall!Y22</f>
        <v>14.6437510036332</v>
      </c>
      <c r="Z45" s="21" t="n">
        <f aca="false">Waterfall!Z22</f>
        <v>30.4433094910589</v>
      </c>
      <c r="AA45" s="21" t="n">
        <f aca="false">Waterfall!AA22</f>
        <v>31.6428973244384</v>
      </c>
      <c r="AB45" s="21" t="n">
        <f aca="false">Waterfall!AB22</f>
        <v>31.5735735704683</v>
      </c>
      <c r="AC45" s="21" t="n">
        <f aca="false">Waterfall!AC22</f>
        <v>31.4941464466147</v>
      </c>
      <c r="AD45" s="21" t="n">
        <f aca="false">Waterfall!AD22</f>
        <v>27.0370203714899</v>
      </c>
      <c r="AE45" s="21" t="n">
        <f aca="false">Waterfall!AE22</f>
        <v>19.6154329131838</v>
      </c>
      <c r="AF45" s="21" t="n">
        <f aca="false">Waterfall!AF22</f>
        <v>20.4169786933295</v>
      </c>
      <c r="AG45" s="21" t="n">
        <f aca="false">Waterfall!AG22</f>
        <v>34.4502486628882</v>
      </c>
      <c r="AH45" s="21" t="n">
        <f aca="false">Waterfall!AH22</f>
        <v>34.696492644787</v>
      </c>
      <c r="AI45" s="21" t="n">
        <f aca="false">Waterfall!AI22</f>
        <v>3.46026152215166</v>
      </c>
      <c r="AJ45" s="21" t="n">
        <f aca="false">Waterfall!AJ22</f>
        <v>17.2733027507602</v>
      </c>
      <c r="AK45" s="21" t="n">
        <f aca="false">Waterfall!AK22</f>
        <v>2.97844584358189</v>
      </c>
      <c r="AL45" s="21" t="n">
        <f aca="false">Waterfall!AL22</f>
        <v>11.4835397946614</v>
      </c>
      <c r="AM45" s="21" t="n">
        <f aca="false">Waterfall!AM22</f>
        <v>11.5031598578377</v>
      </c>
      <c r="AN45" s="21" t="n">
        <f aca="false">Waterfall!AN22</f>
        <v>11.5188050857165</v>
      </c>
      <c r="AO45" s="21" t="n">
        <f aca="false">Waterfall!AO22</f>
        <v>11.5300977308482</v>
      </c>
      <c r="AP45" s="21" t="n">
        <f aca="false">Waterfall!AP22</f>
        <v>11.5366544933448</v>
      </c>
      <c r="AQ45" s="21" t="n">
        <f aca="false">Waterfall!AQ22</f>
        <v>4.21518480762315</v>
      </c>
      <c r="AR45" s="21" t="n">
        <f aca="false">Waterfall!AR22</f>
        <v>0</v>
      </c>
      <c r="AS45" s="21" t="n">
        <f aca="false">Waterfall!AS22</f>
        <v>0.448803641041706</v>
      </c>
      <c r="AT45" s="21" t="n">
        <f aca="false">Waterfall!AT22</f>
        <v>0.342501752798916</v>
      </c>
      <c r="AU45" s="21" t="n">
        <f aca="false">Waterfall!AU22</f>
        <v>0</v>
      </c>
    </row>
    <row r="46" customFormat="false" ht="15" hidden="false" customHeight="false" outlineLevel="0" collapsed="false">
      <c r="D46" s="0" t="s">
        <v>1301</v>
      </c>
      <c r="E46" s="0" t="s">
        <v>58</v>
      </c>
      <c r="J46" s="26" t="str">
        <f aca="false">Ratios!J10</f>
        <v/>
      </c>
      <c r="K46" s="26" t="str">
        <f aca="false">Ratios!K10</f>
        <v/>
      </c>
      <c r="L46" s="26" t="str">
        <f aca="false">Ratios!L10</f>
        <v/>
      </c>
      <c r="M46" s="26" t="str">
        <f aca="false">Ratios!M10</f>
        <v/>
      </c>
      <c r="N46" s="26" t="n">
        <f aca="false">Ratios!N10</f>
        <v>1.43072257718476</v>
      </c>
      <c r="O46" s="26" t="n">
        <f aca="false">Ratios!O10</f>
        <v>1.45404540149822</v>
      </c>
      <c r="P46" s="26" t="n">
        <f aca="false">Ratios!P10</f>
        <v>1.52806103848399</v>
      </c>
      <c r="Q46" s="26" t="n">
        <f aca="false">Ratios!Q10</f>
        <v>1.63041969245285</v>
      </c>
      <c r="R46" s="26" t="n">
        <f aca="false">Ratios!R10</f>
        <v>1.90249399576783</v>
      </c>
      <c r="S46" s="26" t="n">
        <f aca="false">Ratios!S10</f>
        <v>1.95329188233711</v>
      </c>
      <c r="T46" s="26" t="n">
        <f aca="false">Ratios!T10</f>
        <v>2.03143951643865</v>
      </c>
      <c r="U46" s="26" t="n">
        <f aca="false">Ratios!U10</f>
        <v>2.12327975189993</v>
      </c>
      <c r="V46" s="26" t="n">
        <f aca="false">Ratios!V10</f>
        <v>2.18797578814936</v>
      </c>
      <c r="W46" s="26" t="n">
        <f aca="false">Ratios!W10</f>
        <v>2.25</v>
      </c>
      <c r="X46" s="26" t="n">
        <f aca="false">Ratios!X10</f>
        <v>2.25</v>
      </c>
      <c r="Y46" s="26" t="n">
        <f aca="false">Ratios!Y10</f>
        <v>2.25</v>
      </c>
      <c r="Z46" s="26" t="n">
        <f aca="false">Ratios!Z10</f>
        <v>2.25</v>
      </c>
      <c r="AA46" s="26" t="n">
        <f aca="false">Ratios!AA10</f>
        <v>2.25</v>
      </c>
      <c r="AB46" s="26" t="n">
        <f aca="false">Ratios!AB10</f>
        <v>2.25</v>
      </c>
      <c r="AC46" s="26" t="n">
        <f aca="false">Ratios!AC10</f>
        <v>2.25</v>
      </c>
      <c r="AD46" s="26" t="n">
        <f aca="false">Ratios!AD10</f>
        <v>2.25</v>
      </c>
      <c r="AE46" s="26" t="n">
        <f aca="false">Ratios!AE10</f>
        <v>2.25</v>
      </c>
      <c r="AF46" s="26" t="str">
        <f aca="false">Ratios!AF10</f>
        <v/>
      </c>
      <c r="AG46" s="26" t="str">
        <f aca="false">Ratios!AG10</f>
        <v/>
      </c>
      <c r="AH46" s="26" t="str">
        <f aca="false">Ratios!AH10</f>
        <v/>
      </c>
      <c r="AI46" s="26" t="str">
        <f aca="false">Ratios!AI10</f>
        <v/>
      </c>
      <c r="AJ46" s="26" t="str">
        <f aca="false">Ratios!AJ10</f>
        <v/>
      </c>
      <c r="AK46" s="26" t="str">
        <f aca="false">Ratios!AK10</f>
        <v/>
      </c>
      <c r="AL46" s="26" t="str">
        <f aca="false">Ratios!AL10</f>
        <v/>
      </c>
      <c r="AM46" s="26" t="str">
        <f aca="false">Ratios!AM10</f>
        <v/>
      </c>
      <c r="AN46" s="26" t="str">
        <f aca="false">Ratios!AN10</f>
        <v/>
      </c>
      <c r="AO46" s="26" t="str">
        <f aca="false">Ratios!AO10</f>
        <v/>
      </c>
      <c r="AP46" s="26" t="str">
        <f aca="false">Ratios!AP10</f>
        <v/>
      </c>
      <c r="AQ46" s="26" t="str">
        <f aca="false">Ratios!AQ10</f>
        <v/>
      </c>
      <c r="AR46" s="26" t="str">
        <f aca="false">Ratios!AR10</f>
        <v/>
      </c>
      <c r="AS46" s="26" t="str">
        <f aca="false">Ratios!AS10</f>
        <v/>
      </c>
      <c r="AT46" s="26" t="str">
        <f aca="false">Ratios!AT10</f>
        <v/>
      </c>
      <c r="AU46" s="26" t="str">
        <f aca="false">Ratios!AU10</f>
        <v/>
      </c>
    </row>
    <row r="47" customFormat="false" ht="15" hidden="false" customHeight="false" outlineLevel="0" collapsed="false">
      <c r="D47" s="0" t="s">
        <v>1302</v>
      </c>
      <c r="E47" s="0" t="s">
        <v>58</v>
      </c>
      <c r="J47" s="26" t="n">
        <f aca="false">Ratios!J12</f>
        <v>4.37629079376416</v>
      </c>
      <c r="K47" s="26" t="n">
        <f aca="false">Ratios!K12</f>
        <v>2.3564144592073</v>
      </c>
      <c r="L47" s="26" t="n">
        <f aca="false">Ratios!L12</f>
        <v>1.39845260293998</v>
      </c>
      <c r="M47" s="26" t="n">
        <f aca="false">Ratios!M12</f>
        <v>2.14874768863226</v>
      </c>
      <c r="N47" s="26" t="n">
        <f aca="false">Ratios!N12</f>
        <v>1.75</v>
      </c>
      <c r="O47" s="26" t="n">
        <f aca="false">Ratios!O12</f>
        <v>1.86837193570023</v>
      </c>
      <c r="P47" s="26" t="n">
        <f aca="false">Ratios!P12</f>
        <v>2.08487311217949</v>
      </c>
      <c r="Q47" s="26" t="n">
        <f aca="false">Ratios!Q12</f>
        <v>2.57999391306774</v>
      </c>
      <c r="R47" s="26" t="n">
        <f aca="false">Ratios!R12</f>
        <v>3.41926940674665</v>
      </c>
      <c r="S47" s="26" t="n">
        <f aca="false">Ratios!S12</f>
        <v>3.67213347229322</v>
      </c>
      <c r="T47" s="26" t="n">
        <f aca="false">Ratios!T12</f>
        <v>4.10679810530519</v>
      </c>
      <c r="U47" s="26" t="n">
        <f aca="false">Ratios!U12</f>
        <v>4.84200355072941</v>
      </c>
      <c r="V47" s="26" t="n">
        <f aca="false">Ratios!V12</f>
        <v>5.90941920086736</v>
      </c>
      <c r="W47" s="26" t="n">
        <f aca="false">Ratios!W12</f>
        <v>7.23691882413476</v>
      </c>
      <c r="X47" s="26" t="n">
        <f aca="false">Ratios!X12</f>
        <v>9.28971439419841</v>
      </c>
      <c r="Y47" s="26" t="n">
        <f aca="false">Ratios!Y12</f>
        <v>13.1680856553007</v>
      </c>
      <c r="Z47" s="26" t="n">
        <f aca="false">Ratios!Z12</f>
        <v>26.7990303705554</v>
      </c>
      <c r="AA47" s="26" t="str">
        <f aca="false">Ratios!AA12</f>
        <v/>
      </c>
      <c r="AB47" s="26" t="str">
        <f aca="false">Ratios!AB12</f>
        <v/>
      </c>
      <c r="AC47" s="26" t="str">
        <f aca="false">Ratios!AC12</f>
        <v/>
      </c>
      <c r="AD47" s="26" t="str">
        <f aca="false">Ratios!AD12</f>
        <v/>
      </c>
      <c r="AE47" s="26" t="str">
        <f aca="false">Ratios!AE12</f>
        <v/>
      </c>
      <c r="AF47" s="26" t="str">
        <f aca="false">Ratios!AF12</f>
        <v/>
      </c>
      <c r="AG47" s="26" t="str">
        <f aca="false">Ratios!AG12</f>
        <v/>
      </c>
      <c r="AH47" s="26" t="str">
        <f aca="false">Ratios!AH12</f>
        <v/>
      </c>
      <c r="AI47" s="26" t="str">
        <f aca="false">Ratios!AI12</f>
        <v/>
      </c>
      <c r="AJ47" s="26" t="str">
        <f aca="false">Ratios!AJ12</f>
        <v/>
      </c>
      <c r="AK47" s="26" t="str">
        <f aca="false">Ratios!AK12</f>
        <v/>
      </c>
      <c r="AL47" s="26" t="str">
        <f aca="false">Ratios!AL12</f>
        <v/>
      </c>
      <c r="AM47" s="26" t="str">
        <f aca="false">Ratios!AM12</f>
        <v/>
      </c>
      <c r="AN47" s="26" t="str">
        <f aca="false">Ratios!AN12</f>
        <v/>
      </c>
      <c r="AO47" s="26" t="str">
        <f aca="false">Ratios!AO12</f>
        <v/>
      </c>
      <c r="AP47" s="26" t="str">
        <f aca="false">Ratios!AP12</f>
        <v/>
      </c>
      <c r="AQ47" s="26" t="str">
        <f aca="false">Ratios!AQ12</f>
        <v/>
      </c>
      <c r="AR47" s="26" t="str">
        <f aca="false">Ratios!AR12</f>
        <v/>
      </c>
      <c r="AS47" s="26" t="str">
        <f aca="false">Ratios!AS12</f>
        <v/>
      </c>
      <c r="AT47" s="26" t="str">
        <f aca="false">Ratios!AT12</f>
        <v/>
      </c>
      <c r="AU47" s="26" t="str">
        <f aca="false">Ratios!AU12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2026-10-03T20:59:34Z</dcterms:created>
  <dc:creator>openpyxl</dc:creator>
  <dc:description/>
  <dc:language>en-US</dc:language>
  <cp:lastModifiedBy/>
  <dcterms:modified xsi:type="dcterms:W3CDTF">2026-10-03T20:59:34Z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