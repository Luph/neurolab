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  <sheet name="AuditKey" sheetId="16" state="visible" r:id="rId16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/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654.6335649688092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205.2822002103596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0.02392266780166877</v>
      </c>
      <c r="Q219" s="5" t="n">
        <v>0.02454614391592512</v>
      </c>
      <c r="R219" s="5" t="n">
        <v>0.02555674578798327</v>
      </c>
      <c r="S219" s="5" t="n">
        <v>0.02624386397929464</v>
      </c>
      <c r="T219" s="5" t="n">
        <v>0.0280198871951497</v>
      </c>
      <c r="U219" s="5" t="n">
        <v>0.02842968849865342</v>
      </c>
      <c r="V219" s="5" t="n">
        <v>0.02902462138855125</v>
      </c>
      <c r="W219" s="5" t="n">
        <v>0.03009523497947188</v>
      </c>
      <c r="X219" s="5" t="n">
        <v>0.03085090837794667</v>
      </c>
      <c r="Y219" s="5" t="n">
        <v>0.03117754709209612</v>
      </c>
      <c r="Z219" s="5" t="n">
        <v>0.03251978689750772</v>
      </c>
      <c r="AA219" s="5" t="n">
        <v>0.03351802482461583</v>
      </c>
      <c r="AB219" s="5" t="n">
        <v>0.03568353293469283</v>
      </c>
      <c r="AC219" s="5" t="n">
        <v>0.03603291784291471</v>
      </c>
      <c r="AD219" s="5" t="n">
        <v>0.03782566855372986</v>
      </c>
      <c r="AE219" s="5" t="n">
        <v>0.03930240289051411</v>
      </c>
      <c r="AF219" s="5" t="n">
        <v>0.04288940539490554</v>
      </c>
      <c r="AG219" s="5" t="n">
        <v>0.04417160329008456</v>
      </c>
      <c r="AH219" s="5" t="n">
        <v>0.04612909026893513</v>
      </c>
      <c r="AI219" s="5" t="n">
        <v>0.04759606862657972</v>
      </c>
      <c r="AJ219" s="5" t="n">
        <v>0.05044534581552167</v>
      </c>
      <c r="AK219" s="5" t="n">
        <v>0.05164454173346997</v>
      </c>
      <c r="AL219" s="5" t="n">
        <v>0.05334294141157599</v>
      </c>
      <c r="AM219" s="5" t="n">
        <v>0.05523807330280946</v>
      </c>
      <c r="AN219" s="5" t="n">
        <v>0.0568902733573489</v>
      </c>
      <c r="AO219" s="5" t="n">
        <v>0.0589030138380523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523.706851937146</v>
      </c>
      <c r="Q222" s="5" t="n">
        <v>511.178386892796</v>
      </c>
      <c r="R222" s="5" t="n">
        <v>498.3234031353907</v>
      </c>
      <c r="S222" s="5" t="n">
        <v>484.939160253008</v>
      </c>
      <c r="T222" s="5" t="n">
        <v>471.1950688657449</v>
      </c>
      <c r="U222" s="5" t="n">
        <v>456.5208619511391</v>
      </c>
      <c r="V222" s="5" t="n">
        <v>441.6320392859556</v>
      </c>
      <c r="W222" s="5" t="n">
        <v>426.4316461898899</v>
      </c>
      <c r="X222" s="5" t="n">
        <v>410.670565420482</v>
      </c>
      <c r="Y222" s="5" t="n">
        <v>394.5137333144662</v>
      </c>
      <c r="Z222" s="5" t="n">
        <v>378.1858382757424</v>
      </c>
      <c r="AA222" s="5" t="n">
        <v>361.1550030539818</v>
      </c>
      <c r="AB222" s="5" t="n">
        <v>343.601383789931</v>
      </c>
      <c r="AC222" s="5" t="n">
        <v>324.9136730907077</v>
      </c>
      <c r="AD222" s="5" t="n">
        <v>306.0429871210849</v>
      </c>
      <c r="AE222" s="5" t="n">
        <v>286.2334253203931</v>
      </c>
      <c r="AF222" s="5" t="n">
        <v>265.6504876290365</v>
      </c>
      <c r="AG222" s="5" t="n">
        <v>243.1890121482145</v>
      </c>
      <c r="AH222" s="5" t="n">
        <v>220.0560408441478</v>
      </c>
      <c r="AI222" s="5" t="n">
        <v>195.8979201966794</v>
      </c>
      <c r="AJ222" s="5" t="n">
        <v>170.9715329316689</v>
      </c>
      <c r="AK222" s="5" t="n">
        <v>144.5529596797414</v>
      </c>
      <c r="AL222" s="5" t="n">
        <v>117.5063593087692</v>
      </c>
      <c r="AM222" s="5" t="n">
        <v>89.57029538904513</v>
      </c>
      <c r="AN222" s="5" t="n">
        <v>60.64173791255745</v>
      </c>
      <c r="AO222" s="5" t="n">
        <v>30.84791194673654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73.19638124762608</v>
      </c>
      <c r="L229" s="5" t="n">
        <v>74.67946239953815</v>
      </c>
      <c r="M229" s="5" t="n">
        <v>76.57139680476166</v>
      </c>
      <c r="N229" s="5" t="n">
        <v>79.25598227449528</v>
      </c>
      <c r="O229" s="5" t="n">
        <v>83.12578691088112</v>
      </c>
      <c r="P229" s="5" t="n">
        <v>88.48835197709543</v>
      </c>
      <c r="Q229" s="5" t="n">
        <v>95.49171221284163</v>
      </c>
      <c r="R229" s="5" t="n">
        <v>104.3698997617098</v>
      </c>
      <c r="S229" s="5" t="n">
        <v>115.128048112535</v>
      </c>
      <c r="T229" s="5" t="n">
        <v>127.7934260725741</v>
      </c>
      <c r="U229" s="5" t="n">
        <v>142.2505630606629</v>
      </c>
      <c r="V229" s="5" t="n">
        <v>158.4392155208578</v>
      </c>
      <c r="W229" s="5" t="n">
        <v>176.1364752576458</v>
      </c>
      <c r="X229" s="5" t="n">
        <v>195.0939697618758</v>
      </c>
      <c r="Y229" s="5" t="n">
        <v>215.0844771618137</v>
      </c>
      <c r="Z229" s="5" t="n">
        <v>235.7735753896208</v>
      </c>
      <c r="AA229" s="5" t="n">
        <v>256.8890582614347</v>
      </c>
      <c r="AB229" s="5" t="n">
        <v>278.8136177836356</v>
      </c>
      <c r="AC229" s="5" t="n">
        <v>299.7483327392383</v>
      </c>
      <c r="AD229" s="5" t="n">
        <v>320.1711342509395</v>
      </c>
      <c r="AE229" s="5" t="n">
        <v>339.7078840383886</v>
      </c>
      <c r="AF229" s="5" t="n">
        <v>358.13553524933</v>
      </c>
      <c r="AG229" s="5" t="n">
        <v>375.161458098032</v>
      </c>
      <c r="AH229" s="5" t="n">
        <v>390.6614145507713</v>
      </c>
      <c r="AI229" s="5" t="n">
        <v>404.4469329527338</v>
      </c>
      <c r="AJ229" s="5" t="n">
        <v>416.4034690399866</v>
      </c>
      <c r="AK229" s="5" t="n">
        <v>426.5694166239568</v>
      </c>
      <c r="AL229" s="5" t="n">
        <v>434.9386061182598</v>
      </c>
      <c r="AM229" s="5" t="n">
        <v>441.6990152668543</v>
      </c>
      <c r="AN229" s="5" t="n">
        <v>447.044235304092</v>
      </c>
      <c r="AO229" s="5" t="n">
        <v>451.1534174933294</v>
      </c>
      <c r="AP229" s="5" t="n">
        <v>454.5638666665233</v>
      </c>
      <c r="AQ229" s="5" t="n">
        <v>487.2304783947756</v>
      </c>
      <c r="AR229" s="5" t="n">
        <v>521.3236020388853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J17*(1+J12/100)^0.25</f>
        <v/>
      </c>
      <c r="K18" s="11">
        <f>K17*(1+K12/100)^0.25</f>
        <v/>
      </c>
      <c r="L18" s="11">
        <f>L17*(1+L12/100)^0.25</f>
        <v/>
      </c>
      <c r="M18" s="11">
        <f>M17*(1+M12/100)^0.25</f>
        <v/>
      </c>
      <c r="N18" s="11">
        <f>N17*(1+N12/100)^0.25</f>
        <v/>
      </c>
      <c r="O18" s="11">
        <f>O17*(1+O12/100)^0.25</f>
        <v/>
      </c>
      <c r="P18" s="11">
        <f>P17*(1+P12/100)^0.25</f>
        <v/>
      </c>
      <c r="Q18" s="11">
        <f>Q17*(1+Q12/100)^0.25</f>
        <v/>
      </c>
      <c r="R18" s="11">
        <f>R17*(1+R12/100)^0.25</f>
        <v/>
      </c>
      <c r="S18" s="11">
        <f>S17*(1+S12/100)^0.25</f>
        <v/>
      </c>
      <c r="T18" s="11">
        <f>T17*(1+T12/100)^0.25</f>
        <v/>
      </c>
      <c r="U18" s="11">
        <f>U17*(1+U12/100)^0.25</f>
        <v/>
      </c>
      <c r="V18" s="11">
        <f>V17*(1+V12/100)^0.25</f>
        <v/>
      </c>
      <c r="W18" s="11">
        <f>W17*(1+W12/100)^0.25</f>
        <v/>
      </c>
      <c r="X18" s="11">
        <f>X17*(1+X12/100)^0.25</f>
        <v/>
      </c>
      <c r="Y18" s="11">
        <f>Y17*(1+Y12/100)^0.25</f>
        <v/>
      </c>
      <c r="Z18" s="11">
        <f>Z17*(1+Z12/100)^0.25</f>
        <v/>
      </c>
      <c r="AA18" s="11">
        <f>AA17*(1+AA12/100)^0.25</f>
        <v/>
      </c>
      <c r="AB18" s="11">
        <f>AB17*(1+AB12/100)^0.25</f>
        <v/>
      </c>
      <c r="AC18" s="11">
        <f>AC17*(1+AC12/100)^0.25</f>
        <v/>
      </c>
      <c r="AD18" s="11">
        <f>AD17*(1+AD12/100)^0.25</f>
        <v/>
      </c>
      <c r="AE18" s="11">
        <f>AE17*(1+AE12/100)^0.25</f>
        <v/>
      </c>
      <c r="AF18" s="11">
        <f>AF17*(1+AF12/100)^0.25</f>
        <v/>
      </c>
      <c r="AG18" s="11">
        <f>AG17*(1+AG12/100)^0.25</f>
        <v/>
      </c>
      <c r="AH18" s="11">
        <f>AH17*(1+AH12/100)^0.25</f>
        <v/>
      </c>
      <c r="AI18" s="11">
        <f>AI17*(1+AI12/100)^0.25</f>
        <v/>
      </c>
      <c r="AJ18" s="11">
        <f>AJ17*(1+AJ12/100)^0.25</f>
        <v/>
      </c>
      <c r="AK18" s="11">
        <f>AK17*(1+AK12/100)^0.25</f>
        <v/>
      </c>
      <c r="AL18" s="11">
        <f>AL17*(1+AL12/100)^0.25</f>
        <v/>
      </c>
      <c r="AM18" s="11">
        <f>AM17*(1+AM12/100)^0.25</f>
        <v/>
      </c>
      <c r="AN18" s="11">
        <f>AN17*(1+AN12/100)^0.25</f>
        <v/>
      </c>
      <c r="AO18" s="11">
        <f>AO17*(1+AO12/100)^0.25</f>
        <v/>
      </c>
      <c r="AP18" s="11">
        <f>AP17*(1+AP12/100)^0.25</f>
        <v/>
      </c>
      <c r="AQ18" s="11">
        <f>AQ17*(1+AQ12/100)^0.25</f>
        <v/>
      </c>
      <c r="AR18" s="11">
        <f>AR17*(1+AR12/100)^0.25</f>
        <v/>
      </c>
      <c r="AS18" s="11">
        <f>AS17*(1+AS12/100)^0.25</f>
        <v/>
      </c>
      <c r="AT18" s="11">
        <f>AT17*(1+AT12/100)^0.25</f>
        <v/>
      </c>
      <c r="AU18" s="11">
        <f>AU17*(1+AU12/100)^0.25</f>
        <v/>
      </c>
      <c r="AV18" s="11">
        <f>AV17*(1+AV12/100)^0.25</f>
        <v/>
      </c>
      <c r="AW18" s="11">
        <f>AW17*(1+AW12/100)^0.25</f>
        <v/>
      </c>
      <c r="AX18" s="11">
        <f>AX17*(1+AX12/100)^0.25</f>
        <v/>
      </c>
      <c r="AY18" s="11">
        <f>AY17*(1+AY12/100)^0.25</f>
        <v/>
      </c>
      <c r="AZ18" s="11">
        <f>AZ17*(1+AZ12/100)^0.25</f>
        <v/>
      </c>
      <c r="BA18" s="11">
        <f>BA17*(1+BA12/100)^0.25</f>
        <v/>
      </c>
      <c r="BB18" s="11">
        <f>BB17*(1+BB12/100)^0.25</f>
        <v/>
      </c>
      <c r="BC18" s="11">
        <f>BC17*(1+BC12/100)^0.25</f>
        <v/>
      </c>
      <c r="BD18" s="11">
        <f>BD17*(1+BD12/100)^0.25</f>
        <v/>
      </c>
      <c r="BE18" s="11">
        <f>BE17*(1+BE12/100)^0.25</f>
        <v/>
      </c>
      <c r="BF18" s="11">
        <f>BF17*(1+BF12/100)^0.25</f>
        <v/>
      </c>
      <c r="BG18" s="11">
        <f>BG17*(1+BG12/100)^0.25</f>
        <v/>
      </c>
      <c r="BH18" s="11">
        <f>BH17*(1+BH12/100)^0.25</f>
        <v/>
      </c>
      <c r="BI18" s="11">
        <f>BI17*(1+BI12/100)^0.25</f>
        <v/>
      </c>
      <c r="BJ18" s="11">
        <f>BJ17*(1+BJ12/100)^0.25</f>
        <v/>
      </c>
      <c r="BK18" s="11">
        <f>BK17*(1+BK12/100)^0.25</f>
        <v/>
      </c>
      <c r="BL18" s="11">
        <f>BL17*(1+BL12/100)^0.25</f>
        <v/>
      </c>
      <c r="BM18" s="11">
        <f>BM17*(1+BM12/100)^0.25</f>
        <v/>
      </c>
      <c r="BN18" s="11">
        <f>BN17*(1+BN12/100)^0.25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J21*(1+J13/100)^0.25</f>
        <v/>
      </c>
      <c r="K22" s="11">
        <f>K21*(1+K13/100)^0.25</f>
        <v/>
      </c>
      <c r="L22" s="11">
        <f>L21*(1+L13/100)^0.25</f>
        <v/>
      </c>
      <c r="M22" s="11">
        <f>M21*(1+M13/100)^0.25</f>
        <v/>
      </c>
      <c r="N22" s="11">
        <f>N21*(1+N13/100)^0.25</f>
        <v/>
      </c>
      <c r="O22" s="11">
        <f>O21*(1+O13/100)^0.25</f>
        <v/>
      </c>
      <c r="P22" s="11">
        <f>P21*(1+P13/100)^0.25</f>
        <v/>
      </c>
      <c r="Q22" s="11">
        <f>Q21*(1+Q13/100)^0.25</f>
        <v/>
      </c>
      <c r="R22" s="11">
        <f>R21*(1+R13/100)^0.25</f>
        <v/>
      </c>
      <c r="S22" s="11">
        <f>S21*(1+S13/100)^0.25</f>
        <v/>
      </c>
      <c r="T22" s="11">
        <f>T21*(1+T13/100)^0.25</f>
        <v/>
      </c>
      <c r="U22" s="11">
        <f>U21*(1+U13/100)^0.25</f>
        <v/>
      </c>
      <c r="V22" s="11">
        <f>V21*(1+V13/100)^0.25</f>
        <v/>
      </c>
      <c r="W22" s="11">
        <f>W21*(1+W13/100)^0.25</f>
        <v/>
      </c>
      <c r="X22" s="11">
        <f>X21*(1+X13/100)^0.25</f>
        <v/>
      </c>
      <c r="Y22" s="11">
        <f>Y21*(1+Y13/100)^0.25</f>
        <v/>
      </c>
      <c r="Z22" s="11">
        <f>Z21*(1+Z13/100)^0.25</f>
        <v/>
      </c>
      <c r="AA22" s="11">
        <f>AA21*(1+AA13/100)^0.25</f>
        <v/>
      </c>
      <c r="AB22" s="11">
        <f>AB21*(1+AB13/100)^0.25</f>
        <v/>
      </c>
      <c r="AC22" s="11">
        <f>AC21*(1+AC13/100)^0.25</f>
        <v/>
      </c>
      <c r="AD22" s="11">
        <f>AD21*(1+AD13/100)^0.25</f>
        <v/>
      </c>
      <c r="AE22" s="11">
        <f>AE21*(1+AE13/100)^0.25</f>
        <v/>
      </c>
      <c r="AF22" s="11">
        <f>AF21*(1+AF13/100)^0.25</f>
        <v/>
      </c>
      <c r="AG22" s="11">
        <f>AG21*(1+AG13/100)^0.25</f>
        <v/>
      </c>
      <c r="AH22" s="11">
        <f>AH21*(1+AH13/100)^0.25</f>
        <v/>
      </c>
      <c r="AI22" s="11">
        <f>AI21*(1+AI13/100)^0.25</f>
        <v/>
      </c>
      <c r="AJ22" s="11">
        <f>AJ21*(1+AJ13/100)^0.25</f>
        <v/>
      </c>
      <c r="AK22" s="11">
        <f>AK21*(1+AK13/100)^0.25</f>
        <v/>
      </c>
      <c r="AL22" s="11">
        <f>AL21*(1+AL13/100)^0.25</f>
        <v/>
      </c>
      <c r="AM22" s="11">
        <f>AM21*(1+AM13/100)^0.25</f>
        <v/>
      </c>
      <c r="AN22" s="11">
        <f>AN21*(1+AN13/100)^0.25</f>
        <v/>
      </c>
      <c r="AO22" s="11">
        <f>AO21*(1+AO13/100)^0.25</f>
        <v/>
      </c>
      <c r="AP22" s="11">
        <f>AP21*(1+AP13/100)^0.25</f>
        <v/>
      </c>
      <c r="AQ22" s="11">
        <f>AQ21*(1+AQ13/100)^0.25</f>
        <v/>
      </c>
      <c r="AR22" s="11">
        <f>AR21*(1+AR13/100)^0.25</f>
        <v/>
      </c>
      <c r="AS22" s="11">
        <f>AS21*(1+AS13/100)^0.25</f>
        <v/>
      </c>
      <c r="AT22" s="11">
        <f>AT21*(1+AT13/100)^0.25</f>
        <v/>
      </c>
      <c r="AU22" s="11">
        <f>AU21*(1+AU13/100)^0.25</f>
        <v/>
      </c>
      <c r="AV22" s="11">
        <f>AV21*(1+AV13/100)^0.25</f>
        <v/>
      </c>
      <c r="AW22" s="11">
        <f>AW21*(1+AW13/100)^0.25</f>
        <v/>
      </c>
      <c r="AX22" s="11">
        <f>AX21*(1+AX13/100)^0.25</f>
        <v/>
      </c>
      <c r="AY22" s="11">
        <f>AY21*(1+AY13/100)^0.25</f>
        <v/>
      </c>
      <c r="AZ22" s="11">
        <f>AZ21*(1+AZ13/100)^0.25</f>
        <v/>
      </c>
      <c r="BA22" s="11">
        <f>BA21*(1+BA13/100)^0.25</f>
        <v/>
      </c>
      <c r="BB22" s="11">
        <f>BB21*(1+BB13/100)^0.25</f>
        <v/>
      </c>
      <c r="BC22" s="11">
        <f>BC21*(1+BC13/100)^0.25</f>
        <v/>
      </c>
      <c r="BD22" s="11">
        <f>BD21*(1+BD13/100)^0.25</f>
        <v/>
      </c>
      <c r="BE22" s="11">
        <f>BE21*(1+BE13/100)^0.25</f>
        <v/>
      </c>
      <c r="BF22" s="11">
        <f>BF21*(1+BF13/100)^0.25</f>
        <v/>
      </c>
      <c r="BG22" s="11">
        <f>BG21*(1+BG13/100)^0.25</f>
        <v/>
      </c>
      <c r="BH22" s="11">
        <f>BH21*(1+BH13/100)^0.25</f>
        <v/>
      </c>
      <c r="BI22" s="11">
        <f>BI21*(1+BI13/100)^0.25</f>
        <v/>
      </c>
      <c r="BJ22" s="11">
        <f>BJ21*(1+BJ13/100)^0.25</f>
        <v/>
      </c>
      <c r="BK22" s="11">
        <f>BK21*(1+BK13/100)^0.25</f>
        <v/>
      </c>
      <c r="BL22" s="11">
        <f>BL21*(1+BL13/100)^0.25</f>
        <v/>
      </c>
      <c r="BM22" s="11">
        <f>BM21*(1+BM13/100)^0.25</f>
        <v/>
      </c>
      <c r="BN22" s="11">
        <f>BN21*(1+BN13/100)^0.25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J28/Inputs!$F$130</f>
        <v/>
      </c>
      <c r="K42" s="11">
        <f>K28/Inputs!$F$130</f>
        <v/>
      </c>
      <c r="L42" s="11">
        <f>L28/Inputs!$F$130</f>
        <v/>
      </c>
      <c r="M42" s="11">
        <f>M28/Inputs!$F$130</f>
        <v/>
      </c>
      <c r="N42" s="11">
        <f>N28/Inputs!$F$130</f>
        <v/>
      </c>
      <c r="O42" s="11">
        <f>O28/Inputs!$F$130</f>
        <v/>
      </c>
      <c r="P42" s="11">
        <f>P28/Inputs!$F$130</f>
        <v/>
      </c>
      <c r="Q42" s="11">
        <f>Q28/Inputs!$F$130</f>
        <v/>
      </c>
      <c r="R42" s="11">
        <f>R28/Inputs!$F$130</f>
        <v/>
      </c>
      <c r="S42" s="11">
        <f>S28/Inputs!$F$130</f>
        <v/>
      </c>
      <c r="T42" s="11">
        <f>T28/Inputs!$F$130</f>
        <v/>
      </c>
      <c r="U42" s="11">
        <f>U28/Inputs!$F$130</f>
        <v/>
      </c>
      <c r="V42" s="11">
        <f>V28/Inputs!$F$130</f>
        <v/>
      </c>
      <c r="W42" s="11">
        <f>W28/Inputs!$F$130</f>
        <v/>
      </c>
      <c r="X42" s="11">
        <f>X28/Inputs!$F$130</f>
        <v/>
      </c>
      <c r="Y42" s="11">
        <f>Y28/Inputs!$F$130</f>
        <v/>
      </c>
      <c r="Z42" s="11">
        <f>Z28/Inputs!$F$130</f>
        <v/>
      </c>
      <c r="AA42" s="11">
        <f>AA28/Inputs!$F$130</f>
        <v/>
      </c>
      <c r="AB42" s="11">
        <f>AB28/Inputs!$F$130</f>
        <v/>
      </c>
      <c r="AC42" s="11">
        <f>AC28/Inputs!$F$130</f>
        <v/>
      </c>
      <c r="AD42" s="11">
        <f>AD28/Inputs!$F$130</f>
        <v/>
      </c>
      <c r="AE42" s="11">
        <f>AE28/Inputs!$F$130</f>
        <v/>
      </c>
      <c r="AF42" s="11">
        <f>AF28/Inputs!$F$130</f>
        <v/>
      </c>
      <c r="AG42" s="11">
        <f>AG28/Inputs!$F$130</f>
        <v/>
      </c>
      <c r="AH42" s="11">
        <f>AH28/Inputs!$F$130</f>
        <v/>
      </c>
      <c r="AI42" s="11">
        <f>AI28/Inputs!$F$130</f>
        <v/>
      </c>
      <c r="AJ42" s="11">
        <f>AJ28/Inputs!$F$130</f>
        <v/>
      </c>
      <c r="AK42" s="11">
        <f>AK28/Inputs!$F$130</f>
        <v/>
      </c>
      <c r="AL42" s="11">
        <f>AL28/Inputs!$F$130</f>
        <v/>
      </c>
      <c r="AM42" s="11">
        <f>AM28/Inputs!$F$130</f>
        <v/>
      </c>
      <c r="AN42" s="11">
        <f>AN28/Inputs!$F$130</f>
        <v/>
      </c>
      <c r="AO42" s="11">
        <f>AO28/Inputs!$F$130</f>
        <v/>
      </c>
      <c r="AP42" s="11">
        <f>AP28/Inputs!$F$130</f>
        <v/>
      </c>
      <c r="AQ42" s="11">
        <f>AQ28/Inputs!$F$130</f>
        <v/>
      </c>
      <c r="AR42" s="11">
        <f>AR28/Inputs!$F$130</f>
        <v/>
      </c>
      <c r="AS42" s="11">
        <f>AS28/Inputs!$F$130</f>
        <v/>
      </c>
      <c r="AT42" s="11">
        <f>AT28/Inputs!$F$130</f>
        <v/>
      </c>
      <c r="AU42" s="11">
        <f>AU28/Inputs!$F$130</f>
        <v/>
      </c>
      <c r="AV42" s="11">
        <f>AV28/Inputs!$F$130</f>
        <v/>
      </c>
      <c r="AW42" s="11">
        <f>AW28/Inputs!$F$130</f>
        <v/>
      </c>
      <c r="AX42" s="11">
        <f>AX28/Inputs!$F$130</f>
        <v/>
      </c>
      <c r="AY42" s="11">
        <f>AY28/Inputs!$F$130</f>
        <v/>
      </c>
      <c r="AZ42" s="11">
        <f>AZ28/Inputs!$F$130</f>
        <v/>
      </c>
      <c r="BA42" s="11">
        <f>BA28/Inputs!$F$130</f>
        <v/>
      </c>
      <c r="BB42" s="11">
        <f>BB28/Inputs!$F$130</f>
        <v/>
      </c>
      <c r="BC42" s="11">
        <f>BC28/Inputs!$F$130</f>
        <v/>
      </c>
      <c r="BD42" s="11">
        <f>BD28/Inputs!$F$130</f>
        <v/>
      </c>
      <c r="BE42" s="11">
        <f>BE28/Inputs!$F$130</f>
        <v/>
      </c>
      <c r="BF42" s="11">
        <f>BF28/Inputs!$F$130</f>
        <v/>
      </c>
      <c r="BG42" s="11">
        <f>BG28/Inputs!$F$130</f>
        <v/>
      </c>
      <c r="BH42" s="11">
        <f>BH28/Inputs!$F$130</f>
        <v/>
      </c>
      <c r="BI42" s="11">
        <f>BI28/Inputs!$F$130</f>
        <v/>
      </c>
      <c r="BJ42" s="11">
        <f>BJ28/Inputs!$F$130</f>
        <v/>
      </c>
      <c r="BK42" s="11">
        <f>BK28/Inputs!$F$130</f>
        <v/>
      </c>
      <c r="BL42" s="11">
        <f>BL28/Inputs!$F$130</f>
        <v/>
      </c>
      <c r="BM42" s="11">
        <f>BM28/Inputs!$F$130</f>
        <v/>
      </c>
      <c r="BN42" s="11">
        <f>BN28/Inputs!$F$130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J33*J35*(1000*Inputs!$F$121/Inputs!$F$122)*J36/1000000*0.765/(Inputs!$F$37/100)</f>
        <v/>
      </c>
      <c r="K46" s="11">
        <f>K33*K35*(1000*Inputs!$F$121/Inputs!$F$122)*K36/1000000*0.765/(Inputs!$F$37/100)</f>
        <v/>
      </c>
      <c r="L46" s="11">
        <f>L33*L35*(1000*Inputs!$F$121/Inputs!$F$122)*L36/1000000*0.765/(Inputs!$F$37/100)</f>
        <v/>
      </c>
      <c r="M46" s="11">
        <f>M33*M35*(1000*Inputs!$F$121/Inputs!$F$122)*M36/1000000*0.765/(Inputs!$F$37/100)</f>
        <v/>
      </c>
      <c r="N46" s="11">
        <f>N33*N35*(1000*Inputs!$F$121/Inputs!$F$122)*N36/1000000*0.765/(Inputs!$F$37/100)</f>
        <v/>
      </c>
      <c r="O46" s="11">
        <f>O33*O35*(1000*Inputs!$F$121/Inputs!$F$122)*O36/1000000*0.765/(Inputs!$F$37/100)</f>
        <v/>
      </c>
      <c r="P46" s="11">
        <f>P33*P35*(1000*Inputs!$F$121/Inputs!$F$122)*P36/1000000*0.765/(Inputs!$F$37/100)</f>
        <v/>
      </c>
      <c r="Q46" s="11">
        <f>Q33*Q35*(1000*Inputs!$F$121/Inputs!$F$122)*Q36/1000000*0.765/(Inputs!$F$37/100)</f>
        <v/>
      </c>
      <c r="R46" s="11">
        <f>R33*R35*(1000*Inputs!$F$121/Inputs!$F$122)*R36/1000000*0.765/(Inputs!$F$37/100)</f>
        <v/>
      </c>
      <c r="S46" s="11">
        <f>S33*S35*(1000*Inputs!$F$121/Inputs!$F$122)*S36/1000000*0.765/(Inputs!$F$37/100)</f>
        <v/>
      </c>
      <c r="T46" s="11">
        <f>T33*T35*(1000*Inputs!$F$121/Inputs!$F$122)*T36/1000000*0.765/(Inputs!$F$37/100)</f>
        <v/>
      </c>
      <c r="U46" s="11">
        <f>U33*U35*(1000*Inputs!$F$121/Inputs!$F$122)*U36/1000000*0.765/(Inputs!$F$37/100)</f>
        <v/>
      </c>
      <c r="V46" s="11">
        <f>V33*V35*(1000*Inputs!$F$121/Inputs!$F$122)*V36/1000000*0.765/(Inputs!$F$37/100)</f>
        <v/>
      </c>
      <c r="W46" s="11">
        <f>W33*W35*(1000*Inputs!$F$121/Inputs!$F$122)*W36/1000000*0.765/(Inputs!$F$37/100)</f>
        <v/>
      </c>
      <c r="X46" s="11">
        <f>X33*X35*(1000*Inputs!$F$121/Inputs!$F$122)*X36/1000000*0.765/(Inputs!$F$37/100)</f>
        <v/>
      </c>
      <c r="Y46" s="11">
        <f>Y33*Y35*(1000*Inputs!$F$121/Inputs!$F$122)*Y36/1000000*0.765/(Inputs!$F$37/100)</f>
        <v/>
      </c>
      <c r="Z46" s="11">
        <f>Z33*Z35*(1000*Inputs!$F$121/Inputs!$F$122)*Z36/1000000*0.765/(Inputs!$F$37/100)</f>
        <v/>
      </c>
      <c r="AA46" s="11">
        <f>AA33*AA35*(1000*Inputs!$F$121/Inputs!$F$122)*AA36/1000000*0.765/(Inputs!$F$37/100)</f>
        <v/>
      </c>
      <c r="AB46" s="11">
        <f>AB33*AB35*(1000*Inputs!$F$121/Inputs!$F$122)*AB36/1000000*0.765/(Inputs!$F$37/100)</f>
        <v/>
      </c>
      <c r="AC46" s="11">
        <f>AC33*AC35*(1000*Inputs!$F$121/Inputs!$F$122)*AC36/1000000*0.765/(Inputs!$F$37/100)</f>
        <v/>
      </c>
      <c r="AD46" s="11">
        <f>AD33*AD35*(1000*Inputs!$F$121/Inputs!$F$122)*AD36/1000000*0.765/(Inputs!$F$37/100)</f>
        <v/>
      </c>
      <c r="AE46" s="11">
        <f>AE33*AE35*(1000*Inputs!$F$121/Inputs!$F$122)*AE36/1000000*0.765/(Inputs!$F$37/100)</f>
        <v/>
      </c>
      <c r="AF46" s="11">
        <f>AF33*AF35*(1000*Inputs!$F$121/Inputs!$F$122)*AF36/1000000*0.765/(Inputs!$F$37/100)</f>
        <v/>
      </c>
      <c r="AG46" s="11">
        <f>AG33*AG35*(1000*Inputs!$F$121/Inputs!$F$122)*AG36/1000000*0.765/(Inputs!$F$37/100)</f>
        <v/>
      </c>
      <c r="AH46" s="11">
        <f>AH33*AH35*(1000*Inputs!$F$121/Inputs!$F$122)*AH36/1000000*0.765/(Inputs!$F$37/100)</f>
        <v/>
      </c>
      <c r="AI46" s="11">
        <f>AI33*AI35*(1000*Inputs!$F$121/Inputs!$F$122)*AI36/1000000*0.765/(Inputs!$F$37/100)</f>
        <v/>
      </c>
      <c r="AJ46" s="11">
        <f>AJ33*AJ35*(1000*Inputs!$F$121/Inputs!$F$122)*AJ36/1000000*0.765/(Inputs!$F$37/100)</f>
        <v/>
      </c>
      <c r="AK46" s="11">
        <f>AK33*AK35*(1000*Inputs!$F$121/Inputs!$F$122)*AK36/1000000*0.765/(Inputs!$F$37/100)</f>
        <v/>
      </c>
      <c r="AL46" s="11">
        <f>AL33*AL35*(1000*Inputs!$F$121/Inputs!$F$122)*AL36/1000000*0.765/(Inputs!$F$37/100)</f>
        <v/>
      </c>
      <c r="AM46" s="11">
        <f>AM33*AM35*(1000*Inputs!$F$121/Inputs!$F$122)*AM36/1000000*0.765/(Inputs!$F$37/100)</f>
        <v/>
      </c>
      <c r="AN46" s="11">
        <f>AN33*AN35*(1000*Inputs!$F$121/Inputs!$F$122)*AN36/1000000*0.765/(Inputs!$F$37/100)</f>
        <v/>
      </c>
      <c r="AO46" s="11">
        <f>AO33*AO35*(1000*Inputs!$F$121/Inputs!$F$122)*AO36/1000000*0.765/(Inputs!$F$37/100)</f>
        <v/>
      </c>
      <c r="AP46" s="11">
        <f>AP33*AP35*(1000*Inputs!$F$121/Inputs!$F$122)*AP36/1000000*0.765/(Inputs!$F$37/100)</f>
        <v/>
      </c>
      <c r="AQ46" s="11">
        <f>AQ33*AQ35*(1000*Inputs!$F$121/Inputs!$F$122)*AQ36/1000000*0.765/(Inputs!$F$37/100)</f>
        <v/>
      </c>
      <c r="AR46" s="11">
        <f>AR33*AR35*(1000*Inputs!$F$121/Inputs!$F$122)*AR36/1000000*0.765/(Inputs!$F$37/100)</f>
        <v/>
      </c>
      <c r="AS46" s="11">
        <f>AS33*AS35*(1000*Inputs!$F$121/Inputs!$F$122)*AS36/1000000*0.765/(Inputs!$F$37/100)</f>
        <v/>
      </c>
      <c r="AT46" s="11">
        <f>AT33*AT35*(1000*Inputs!$F$121/Inputs!$F$122)*AT36/1000000*0.765/(Inputs!$F$37/100)</f>
        <v/>
      </c>
      <c r="AU46" s="11">
        <f>AU33*AU35*(1000*Inputs!$F$121/Inputs!$F$122)*AU36/1000000*0.765/(Inputs!$F$37/100)</f>
        <v/>
      </c>
      <c r="AV46" s="11">
        <f>AV33*AV35*(1000*Inputs!$F$121/Inputs!$F$122)*AV36/1000000*0.765/(Inputs!$F$37/100)</f>
        <v/>
      </c>
      <c r="AW46" s="11">
        <f>AW33*AW35*(1000*Inputs!$F$121/Inputs!$F$122)*AW36/1000000*0.765/(Inputs!$F$37/100)</f>
        <v/>
      </c>
      <c r="AX46" s="11">
        <f>AX33*AX35*(1000*Inputs!$F$121/Inputs!$F$122)*AX36/1000000*0.765/(Inputs!$F$37/100)</f>
        <v/>
      </c>
      <c r="AY46" s="11">
        <f>AY33*AY35*(1000*Inputs!$F$121/Inputs!$F$122)*AY36/1000000*0.765/(Inputs!$F$37/100)</f>
        <v/>
      </c>
      <c r="AZ46" s="11">
        <f>AZ33*AZ35*(1000*Inputs!$F$121/Inputs!$F$122)*AZ36/1000000*0.765/(Inputs!$F$37/100)</f>
        <v/>
      </c>
      <c r="BA46" s="11">
        <f>BA33*BA35*(1000*Inputs!$F$121/Inputs!$F$122)*BA36/1000000*0.765/(Inputs!$F$37/100)</f>
        <v/>
      </c>
      <c r="BB46" s="11">
        <f>BB33*BB35*(1000*Inputs!$F$121/Inputs!$F$122)*BB36/1000000*0.765/(Inputs!$F$37/100)</f>
        <v/>
      </c>
      <c r="BC46" s="11">
        <f>BC33*BC35*(1000*Inputs!$F$121/Inputs!$F$122)*BC36/1000000*0.765/(Inputs!$F$37/100)</f>
        <v/>
      </c>
      <c r="BD46" s="11">
        <f>BD33*BD35*(1000*Inputs!$F$121/Inputs!$F$122)*BD36/1000000*0.765/(Inputs!$F$37/100)</f>
        <v/>
      </c>
      <c r="BE46" s="11">
        <f>BE33*BE35*(1000*Inputs!$F$121/Inputs!$F$122)*BE36/1000000*0.765/(Inputs!$F$37/100)</f>
        <v/>
      </c>
      <c r="BF46" s="11">
        <f>BF33*BF35*(1000*Inputs!$F$121/Inputs!$F$122)*BF36/1000000*0.765/(Inputs!$F$37/100)</f>
        <v/>
      </c>
      <c r="BG46" s="11">
        <f>BG33*BG35*(1000*Inputs!$F$121/Inputs!$F$122)*BG36/1000000*0.765/(Inputs!$F$37/100)</f>
        <v/>
      </c>
      <c r="BH46" s="11">
        <f>BH33*BH35*(1000*Inputs!$F$121/Inputs!$F$122)*BH36/1000000*0.765/(Inputs!$F$37/100)</f>
        <v/>
      </c>
      <c r="BI46" s="11">
        <f>BI33*BI35*(1000*Inputs!$F$121/Inputs!$F$122)*BI36/1000000*0.765/(Inputs!$F$37/100)</f>
        <v/>
      </c>
      <c r="BJ46" s="11">
        <f>BJ33*BJ35*(1000*Inputs!$F$121/Inputs!$F$122)*BJ36/1000000*0.765/(Inputs!$F$37/100)</f>
        <v/>
      </c>
      <c r="BK46" s="11">
        <f>BK33*BK35*(1000*Inputs!$F$121/Inputs!$F$122)*BK36/1000000*0.765/(Inputs!$F$37/100)</f>
        <v/>
      </c>
      <c r="BL46" s="11">
        <f>BL33*BL35*(1000*Inputs!$F$121/Inputs!$F$122)*BL36/1000000*0.765/(Inputs!$F$37/100)</f>
        <v/>
      </c>
      <c r="BM46" s="11">
        <f>BM33*BM35*(1000*Inputs!$F$121/Inputs!$F$122)*BM36/1000000*0.765/(Inputs!$F$37/100)</f>
        <v/>
      </c>
      <c r="BN46" s="11">
        <f>BN33*BN35*(1000*Inputs!$F$121/Inputs!$F$122)*BN36/1000000*0.765/(Inputs!$F$37/100)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IF(J27&gt;0,1*(Inputs!$F$127*J28/J27+Inputs!$F$128*Inputs!$F$129)*Time!J25/12,0)</f>
        <v/>
      </c>
      <c r="K58" s="13">
        <f>IF(K27&gt;0,1*(Inputs!$F$127*K28/K27+Inputs!$F$128*Inputs!$F$129)*Time!K25/12,0)</f>
        <v/>
      </c>
      <c r="L58" s="13">
        <f>IF(L27&gt;0,1*(Inputs!$F$127*L28/L27+Inputs!$F$128*Inputs!$F$129)*Time!L25/12,0)</f>
        <v/>
      </c>
      <c r="M58" s="13">
        <f>IF(M27&gt;0,1*(Inputs!$F$127*M28/M27+Inputs!$F$128*Inputs!$F$129)*Time!M25/12,0)</f>
        <v/>
      </c>
      <c r="N58" s="13">
        <f>IF(N27&gt;0,1*(Inputs!$F$127*N28/N27+Inputs!$F$128*Inputs!$F$129)*Time!N25/12,0)</f>
        <v/>
      </c>
      <c r="O58" s="13">
        <f>IF(O27&gt;0,1*(Inputs!$F$127*O28/O27+Inputs!$F$128*Inputs!$F$129)*Time!O25/12,0)</f>
        <v/>
      </c>
      <c r="P58" s="13">
        <f>IF(P27&gt;0,1*(Inputs!$F$127*P28/P27+Inputs!$F$128*Inputs!$F$129)*Time!P25/12,0)</f>
        <v/>
      </c>
      <c r="Q58" s="13">
        <f>IF(Q27&gt;0,1*(Inputs!$F$127*Q28/Q27+Inputs!$F$128*Inputs!$F$129)*Time!Q25/12,0)</f>
        <v/>
      </c>
      <c r="R58" s="13">
        <f>IF(R27&gt;0,1*(Inputs!$F$127*R28/R27+Inputs!$F$128*Inputs!$F$129)*Time!R25/12,0)</f>
        <v/>
      </c>
      <c r="S58" s="13">
        <f>IF(S27&gt;0,1*(Inputs!$F$127*S28/S27+Inputs!$F$128*Inputs!$F$129)*Time!S25/12,0)</f>
        <v/>
      </c>
      <c r="T58" s="13">
        <f>IF(T27&gt;0,1*(Inputs!$F$127*T28/T27+Inputs!$F$128*Inputs!$F$129)*Time!T25/12,0)</f>
        <v/>
      </c>
      <c r="U58" s="13">
        <f>IF(U27&gt;0,1*(Inputs!$F$127*U28/U27+Inputs!$F$128*Inputs!$F$129)*Time!U25/12,0)</f>
        <v/>
      </c>
      <c r="V58" s="13">
        <f>IF(V27&gt;0,1*(Inputs!$F$127*V28/V27+Inputs!$F$128*Inputs!$F$129)*Time!V25/12,0)</f>
        <v/>
      </c>
      <c r="W58" s="13">
        <f>IF(W27&gt;0,1*(Inputs!$F$127*W28/W27+Inputs!$F$128*Inputs!$F$129)*Time!W25/12,0)</f>
        <v/>
      </c>
      <c r="X58" s="13">
        <f>IF(X27&gt;0,1*(Inputs!$F$127*X28/X27+Inputs!$F$128*Inputs!$F$129)*Time!X25/12,0)</f>
        <v/>
      </c>
      <c r="Y58" s="13">
        <f>IF(Y27&gt;0,1*(Inputs!$F$127*Y28/Y27+Inputs!$F$128*Inputs!$F$129)*Time!Y25/12,0)</f>
        <v/>
      </c>
      <c r="Z58" s="13">
        <f>IF(Z27&gt;0,1*(Inputs!$F$127*Z28/Z27+Inputs!$F$128*Inputs!$F$129)*Time!Z25/12,0)</f>
        <v/>
      </c>
      <c r="AA58" s="13">
        <f>IF(AA27&gt;0,1*(Inputs!$F$127*AA28/AA27+Inputs!$F$128*Inputs!$F$129)*Time!AA25/12,0)</f>
        <v/>
      </c>
      <c r="AB58" s="13">
        <f>IF(AB27&gt;0,1*(Inputs!$F$127*AB28/AB27+Inputs!$F$128*Inputs!$F$129)*Time!AB25/12,0)</f>
        <v/>
      </c>
      <c r="AC58" s="13">
        <f>IF(AC27&gt;0,1*(Inputs!$F$127*AC28/AC27+Inputs!$F$128*Inputs!$F$129)*Time!AC25/12,0)</f>
        <v/>
      </c>
      <c r="AD58" s="13">
        <f>IF(AD27&gt;0,1*(Inputs!$F$127*AD28/AD27+Inputs!$F$128*Inputs!$F$129)*Time!AD25/12,0)</f>
        <v/>
      </c>
      <c r="AE58" s="13">
        <f>IF(AE27&gt;0,1*(Inputs!$F$127*AE28/AE27+Inputs!$F$128*Inputs!$F$129)*Time!AE25/12,0)</f>
        <v/>
      </c>
      <c r="AF58" s="13">
        <f>IF(AF27&gt;0,1*(Inputs!$F$127*AF28/AF27+Inputs!$F$128*Inputs!$F$129)*Time!AF25/12,0)</f>
        <v/>
      </c>
      <c r="AG58" s="13">
        <f>IF(AG27&gt;0,1*(Inputs!$F$127*AG28/AG27+Inputs!$F$128*Inputs!$F$129)*Time!AG25/12,0)</f>
        <v/>
      </c>
      <c r="AH58" s="13">
        <f>IF(AH27&gt;0,1*(Inputs!$F$127*AH28/AH27+Inputs!$F$128*Inputs!$F$129)*Time!AH25/12,0)</f>
        <v/>
      </c>
      <c r="AI58" s="13">
        <f>IF(AI27&gt;0,1*(Inputs!$F$127*AI28/AI27+Inputs!$F$128*Inputs!$F$129)*Time!AI25/12,0)</f>
        <v/>
      </c>
      <c r="AJ58" s="13">
        <f>IF(AJ27&gt;0,1*(Inputs!$F$127*AJ28/AJ27+Inputs!$F$128*Inputs!$F$129)*Time!AJ25/12,0)</f>
        <v/>
      </c>
      <c r="AK58" s="13">
        <f>IF(AK27&gt;0,1*(Inputs!$F$127*AK28/AK27+Inputs!$F$128*Inputs!$F$129)*Time!AK25/12,0)</f>
        <v/>
      </c>
      <c r="AL58" s="13">
        <f>IF(AL27&gt;0,1*(Inputs!$F$127*AL28/AL27+Inputs!$F$128*Inputs!$F$129)*Time!AL25/12,0)</f>
        <v/>
      </c>
      <c r="AM58" s="13">
        <f>IF(AM27&gt;0,1*(Inputs!$F$127*AM28/AM27+Inputs!$F$128*Inputs!$F$129)*Time!AM25/12,0)</f>
        <v/>
      </c>
      <c r="AN58" s="13">
        <f>IF(AN27&gt;0,1*(Inputs!$F$127*AN28/AN27+Inputs!$F$128*Inputs!$F$129)*Time!AN25/12,0)</f>
        <v/>
      </c>
      <c r="AO58" s="13">
        <f>IF(AO27&gt;0,1*(Inputs!$F$127*AO28/AO27+Inputs!$F$128*Inputs!$F$129)*Time!AO25/12,0)</f>
        <v/>
      </c>
      <c r="AP58" s="13">
        <f>IF(AP27&gt;0,1*(Inputs!$F$127*AP28/AP27+Inputs!$F$128*Inputs!$F$129)*Time!AP25/12,0)</f>
        <v/>
      </c>
      <c r="AQ58" s="13">
        <f>IF(AQ27&gt;0,1*(Inputs!$F$127*AQ28/AQ27+Inputs!$F$128*Inputs!$F$129)*Time!AQ25/12,0)</f>
        <v/>
      </c>
      <c r="AR58" s="13">
        <f>IF(AR27&gt;0,1*(Inputs!$F$127*AR28/AR27+Inputs!$F$128*Inputs!$F$129)*Time!AR25/12,0)</f>
        <v/>
      </c>
      <c r="AS58" s="13">
        <f>IF(AS27&gt;0,1*(Inputs!$F$127*AS28/AS27+Inputs!$F$128*Inputs!$F$129)*Time!AS25/12,0)</f>
        <v/>
      </c>
      <c r="AT58" s="13">
        <f>IF(AT27&gt;0,1*(Inputs!$F$127*AT28/AT27+Inputs!$F$128*Inputs!$F$129)*Time!AT25/12,0)</f>
        <v/>
      </c>
      <c r="AU58" s="13">
        <f>IF(AU27&gt;0,1*(Inputs!$F$127*AU28/AU27+Inputs!$F$128*Inputs!$F$129)*Time!AU25/12,0)</f>
        <v/>
      </c>
      <c r="AV58" s="13">
        <f>IF(AV27&gt;0,1*(Inputs!$F$127*AV28/AV27+Inputs!$F$128*Inputs!$F$129)*Time!AV25/12,0)</f>
        <v/>
      </c>
      <c r="AW58" s="13">
        <f>IF(AW27&gt;0,1*(Inputs!$F$127*AW28/AW27+Inputs!$F$128*Inputs!$F$129)*Time!AW25/12,0)</f>
        <v/>
      </c>
      <c r="AX58" s="13">
        <f>IF(AX27&gt;0,1*(Inputs!$F$127*AX28/AX27+Inputs!$F$128*Inputs!$F$129)*Time!AX25/12,0)</f>
        <v/>
      </c>
      <c r="AY58" s="13">
        <f>IF(AY27&gt;0,1*(Inputs!$F$127*AY28/AY27+Inputs!$F$128*Inputs!$F$129)*Time!AY25/12,0)</f>
        <v/>
      </c>
      <c r="AZ58" s="13">
        <f>IF(AZ27&gt;0,1*(Inputs!$F$127*AZ28/AZ27+Inputs!$F$128*Inputs!$F$129)*Time!AZ25/12,0)</f>
        <v/>
      </c>
      <c r="BA58" s="13">
        <f>IF(BA27&gt;0,1*(Inputs!$F$127*BA28/BA27+Inputs!$F$128*Inputs!$F$129)*Time!BA25/12,0)</f>
        <v/>
      </c>
      <c r="BB58" s="13">
        <f>IF(BB27&gt;0,1*(Inputs!$F$127*BB28/BB27+Inputs!$F$128*Inputs!$F$129)*Time!BB25/12,0)</f>
        <v/>
      </c>
      <c r="BC58" s="13">
        <f>IF(BC27&gt;0,1*(Inputs!$F$127*BC28/BC27+Inputs!$F$128*Inputs!$F$129)*Time!BC25/12,0)</f>
        <v/>
      </c>
      <c r="BD58" s="13">
        <f>IF(BD27&gt;0,1*(Inputs!$F$127*BD28/BD27+Inputs!$F$128*Inputs!$F$129)*Time!BD25/12,0)</f>
        <v/>
      </c>
      <c r="BE58" s="13">
        <f>IF(BE27&gt;0,1*(Inputs!$F$127*BE28/BE27+Inputs!$F$128*Inputs!$F$129)*Time!BE25/12,0)</f>
        <v/>
      </c>
      <c r="BF58" s="13">
        <f>IF(BF27&gt;0,1*(Inputs!$F$127*BF28/BF27+Inputs!$F$128*Inputs!$F$129)*Time!BF25/12,0)</f>
        <v/>
      </c>
      <c r="BG58" s="13">
        <f>IF(BG27&gt;0,1*(Inputs!$F$127*BG28/BG27+Inputs!$F$128*Inputs!$F$129)*Time!BG25/12,0)</f>
        <v/>
      </c>
      <c r="BH58" s="13">
        <f>IF(BH27&gt;0,1*(Inputs!$F$127*BH28/BH27+Inputs!$F$128*Inputs!$F$129)*Time!BH25/12,0)</f>
        <v/>
      </c>
      <c r="BI58" s="13">
        <f>IF(BI27&gt;0,1*(Inputs!$F$127*BI28/BI27+Inputs!$F$128*Inputs!$F$129)*Time!BI25/12,0)</f>
        <v/>
      </c>
      <c r="BJ58" s="13">
        <f>IF(BJ27&gt;0,1*(Inputs!$F$127*BJ28/BJ27+Inputs!$F$128*Inputs!$F$129)*Time!BJ25/12,0)</f>
        <v/>
      </c>
      <c r="BK58" s="13">
        <f>IF(BK27&gt;0,1*(Inputs!$F$127*BK28/BK27+Inputs!$F$128*Inputs!$F$129)*Time!BK25/12,0)</f>
        <v/>
      </c>
      <c r="BL58" s="13">
        <f>IF(BL27&gt;0,1*(Inputs!$F$127*BL28/BL27+Inputs!$F$128*Inputs!$F$129)*Time!BL25/12,0)</f>
        <v/>
      </c>
      <c r="BM58" s="13">
        <f>IF(BM27&gt;0,1*(Inputs!$F$127*BM28/BM27+Inputs!$F$128*Inputs!$F$129)*Time!BM25/12,0)</f>
        <v/>
      </c>
      <c r="BN58" s="13">
        <f>IF(BN27&gt;0,1*(Inputs!$F$127*BN28/BN27+Inputs!$F$128*Inputs!$F$129)*Time!BN25/12,0)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MAX(0,MIN(Time!J28,96)-MIN(Time!J27,96))</f>
        <v/>
      </c>
      <c r="K7" s="9">
        <f>MAX(0,MIN(Time!K28,96)-MIN(Time!K27,96))</f>
        <v/>
      </c>
      <c r="L7" s="9">
        <f>MAX(0,MIN(Time!L28,96)-MIN(Time!L27,96))</f>
        <v/>
      </c>
      <c r="M7" s="9">
        <f>MAX(0,MIN(Time!M28,96)-MIN(Time!M27,96))</f>
        <v/>
      </c>
      <c r="N7" s="9">
        <f>MAX(0,MIN(Time!N28,96)-MIN(Time!N27,96))</f>
        <v/>
      </c>
      <c r="O7" s="9">
        <f>MAX(0,MIN(Time!O28,96)-MIN(Time!O27,96))</f>
        <v/>
      </c>
      <c r="P7" s="9">
        <f>MAX(0,MIN(Time!P28,96)-MIN(Time!P27,96))</f>
        <v/>
      </c>
      <c r="Q7" s="9">
        <f>MAX(0,MIN(Time!Q28,96)-MIN(Time!Q27,96))</f>
        <v/>
      </c>
      <c r="R7" s="9">
        <f>MAX(0,MIN(Time!R28,96)-MIN(Time!R27,96))</f>
        <v/>
      </c>
      <c r="S7" s="9">
        <f>MAX(0,MIN(Time!S28,96)-MIN(Time!S27,96))</f>
        <v/>
      </c>
      <c r="T7" s="9">
        <f>MAX(0,MIN(Time!T28,96)-MIN(Time!T27,96))</f>
        <v/>
      </c>
      <c r="U7" s="9">
        <f>MAX(0,MIN(Time!U28,96)-MIN(Time!U27,96))</f>
        <v/>
      </c>
      <c r="V7" s="9">
        <f>MAX(0,MIN(Time!V28,96)-MIN(Time!V27,96))</f>
        <v/>
      </c>
      <c r="W7" s="9">
        <f>MAX(0,MIN(Time!W28,96)-MIN(Time!W27,96))</f>
        <v/>
      </c>
      <c r="X7" s="9">
        <f>MAX(0,MIN(Time!X28,96)-MIN(Time!X27,96))</f>
        <v/>
      </c>
      <c r="Y7" s="9">
        <f>MAX(0,MIN(Time!Y28,96)-MIN(Time!Y27,96))</f>
        <v/>
      </c>
      <c r="Z7" s="9">
        <f>MAX(0,MIN(Time!Z28,96)-MIN(Time!Z27,96))</f>
        <v/>
      </c>
      <c r="AA7" s="9">
        <f>MAX(0,MIN(Time!AA28,96)-MIN(Time!AA27,96))</f>
        <v/>
      </c>
      <c r="AB7" s="9">
        <f>MAX(0,MIN(Time!AB28,96)-MIN(Time!AB27,96))</f>
        <v/>
      </c>
      <c r="AC7" s="9">
        <f>MAX(0,MIN(Time!AC28,96)-MIN(Time!AC27,96))</f>
        <v/>
      </c>
      <c r="AD7" s="9">
        <f>MAX(0,MIN(Time!AD28,96)-MIN(Time!AD27,96))</f>
        <v/>
      </c>
      <c r="AE7" s="9">
        <f>MAX(0,MIN(Time!AE28,96)-MIN(Time!AE27,96))</f>
        <v/>
      </c>
      <c r="AF7" s="9">
        <f>MAX(0,MIN(Time!AF28,96)-MIN(Time!AF27,96))</f>
        <v/>
      </c>
      <c r="AG7" s="9">
        <f>MAX(0,MIN(Time!AG28,96)-MIN(Time!AG27,96))</f>
        <v/>
      </c>
      <c r="AH7" s="9">
        <f>MAX(0,MIN(Time!AH28,96)-MIN(Time!AH27,96))</f>
        <v/>
      </c>
      <c r="AI7" s="9">
        <f>MAX(0,MIN(Time!AI28,96)-MIN(Time!AI27,96))</f>
        <v/>
      </c>
      <c r="AJ7" s="9">
        <f>MAX(0,MIN(Time!AJ28,96)-MIN(Time!AJ27,96))</f>
        <v/>
      </c>
      <c r="AK7" s="9">
        <f>MAX(0,MIN(Time!AK28,96)-MIN(Time!AK27,96))</f>
        <v/>
      </c>
      <c r="AL7" s="9">
        <f>MAX(0,MIN(Time!AL28,96)-MIN(Time!AL27,96))</f>
        <v/>
      </c>
      <c r="AM7" s="9">
        <f>MAX(0,MIN(Time!AM28,96)-MIN(Time!AM27,96))</f>
        <v/>
      </c>
      <c r="AN7" s="9">
        <f>MAX(0,MIN(Time!AN28,96)-MIN(Time!AN27,96))</f>
        <v/>
      </c>
      <c r="AO7" s="9">
        <f>MAX(0,MIN(Time!AO28,96)-MIN(Time!AO27,96))</f>
        <v/>
      </c>
      <c r="AP7" s="9">
        <f>MAX(0,MIN(Time!AP28,96)-MIN(Time!AP27,96))</f>
        <v/>
      </c>
      <c r="AQ7" s="9">
        <f>MAX(0,MIN(Time!AQ28,96)-MIN(Time!AQ27,96))</f>
        <v/>
      </c>
      <c r="AR7" s="9">
        <f>MAX(0,MIN(Time!AR28,96)-MIN(Time!AR27,96))</f>
        <v/>
      </c>
      <c r="AS7" s="9">
        <f>MAX(0,MIN(Time!AS28,96)-MIN(Time!AS27,96))</f>
        <v/>
      </c>
      <c r="AT7" s="9">
        <f>MAX(0,MIN(Time!AT28,96)-MIN(Time!AT27,96))</f>
        <v/>
      </c>
      <c r="AU7" s="9">
        <f>MAX(0,MIN(Time!AU28,96)-MIN(Time!AU27,96))</f>
        <v/>
      </c>
      <c r="AV7" s="9">
        <f>MAX(0,MIN(Time!AV28,96)-MIN(Time!AV27,96))</f>
        <v/>
      </c>
      <c r="AW7" s="9">
        <f>MAX(0,MIN(Time!AW28,96)-MIN(Time!AW27,96))</f>
        <v/>
      </c>
      <c r="AX7" s="9">
        <f>MAX(0,MIN(Time!AX28,96)-MIN(Time!AX27,96))</f>
        <v/>
      </c>
      <c r="AY7" s="9">
        <f>MAX(0,MIN(Time!AY28,96)-MIN(Time!AY27,96))</f>
        <v/>
      </c>
      <c r="AZ7" s="9">
        <f>MAX(0,MIN(Time!AZ28,96)-MIN(Time!AZ27,96))</f>
        <v/>
      </c>
      <c r="BA7" s="9">
        <f>MAX(0,MIN(Time!BA28,96)-MIN(Time!BA27,96))</f>
        <v/>
      </c>
      <c r="BB7" s="9">
        <f>MAX(0,MIN(Time!BB28,96)-MIN(Time!BB27,96))</f>
        <v/>
      </c>
      <c r="BC7" s="9">
        <f>MAX(0,MIN(Time!BC28,96)-MIN(Time!BC27,96))</f>
        <v/>
      </c>
      <c r="BD7" s="9">
        <f>MAX(0,MIN(Time!BD28,96)-MIN(Time!BD27,96))</f>
        <v/>
      </c>
      <c r="BE7" s="9">
        <f>MAX(0,MIN(Time!BE28,96)-MIN(Time!BE27,96))</f>
        <v/>
      </c>
      <c r="BF7" s="9">
        <f>MAX(0,MIN(Time!BF28,96)-MIN(Time!BF27,96))</f>
        <v/>
      </c>
      <c r="BG7" s="9">
        <f>MAX(0,MIN(Time!BG28,96)-MIN(Time!BG27,96))</f>
        <v/>
      </c>
      <c r="BH7" s="9">
        <f>MAX(0,MIN(Time!BH28,96)-MIN(Time!BH27,96))</f>
        <v/>
      </c>
      <c r="BI7" s="9">
        <f>MAX(0,MIN(Time!BI28,96)-MIN(Time!BI27,96))</f>
        <v/>
      </c>
      <c r="BJ7" s="9">
        <f>MAX(0,MIN(Time!BJ28,96)-MIN(Time!BJ27,96))</f>
        <v/>
      </c>
      <c r="BK7" s="9">
        <f>MAX(0,MIN(Time!BK28,96)-MIN(Time!BK27,96))</f>
        <v/>
      </c>
      <c r="BL7" s="9">
        <f>MAX(0,MIN(Time!BL28,96)-MIN(Time!BL27,96))</f>
        <v/>
      </c>
      <c r="BM7" s="9">
        <f>MAX(0,MIN(Time!BM28,96)-MIN(Time!BM27,96))</f>
        <v/>
      </c>
      <c r="BN7" s="9">
        <f>MAX(0,MIN(Time!BN28,96)-MIN(Time!BN27,96))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MAX(0,MIN(Time!J28,96)-MIN(MAX(Time!J27,96),96))</f>
        <v/>
      </c>
      <c r="K8" s="9">
        <f>MAX(0,MIN(Time!K28,96)-MIN(MAX(Time!K27,96),96))</f>
        <v/>
      </c>
      <c r="L8" s="9">
        <f>MAX(0,MIN(Time!L28,96)-MIN(MAX(Time!L27,96),96))</f>
        <v/>
      </c>
      <c r="M8" s="9">
        <f>MAX(0,MIN(Time!M28,96)-MIN(MAX(Time!M27,96),96))</f>
        <v/>
      </c>
      <c r="N8" s="9">
        <f>MAX(0,MIN(Time!N28,96)-MIN(MAX(Time!N27,96),96))</f>
        <v/>
      </c>
      <c r="O8" s="9">
        <f>MAX(0,MIN(Time!O28,96)-MIN(MAX(Time!O27,96),96))</f>
        <v/>
      </c>
      <c r="P8" s="9">
        <f>MAX(0,MIN(Time!P28,96)-MIN(MAX(Time!P27,96),96))</f>
        <v/>
      </c>
      <c r="Q8" s="9">
        <f>MAX(0,MIN(Time!Q28,96)-MIN(MAX(Time!Q27,96),96))</f>
        <v/>
      </c>
      <c r="R8" s="9">
        <f>MAX(0,MIN(Time!R28,96)-MIN(MAX(Time!R27,96),96))</f>
        <v/>
      </c>
      <c r="S8" s="9">
        <f>MAX(0,MIN(Time!S28,96)-MIN(MAX(Time!S27,96),96))</f>
        <v/>
      </c>
      <c r="T8" s="9">
        <f>MAX(0,MIN(Time!T28,96)-MIN(MAX(Time!T27,96),96))</f>
        <v/>
      </c>
      <c r="U8" s="9">
        <f>MAX(0,MIN(Time!U28,96)-MIN(MAX(Time!U27,96),96))</f>
        <v/>
      </c>
      <c r="V8" s="9">
        <f>MAX(0,MIN(Time!V28,96)-MIN(MAX(Time!V27,96),96))</f>
        <v/>
      </c>
      <c r="W8" s="9">
        <f>MAX(0,MIN(Time!W28,96)-MIN(MAX(Time!W27,96),96))</f>
        <v/>
      </c>
      <c r="X8" s="9">
        <f>MAX(0,MIN(Time!X28,96)-MIN(MAX(Time!X27,96),96))</f>
        <v/>
      </c>
      <c r="Y8" s="9">
        <f>MAX(0,MIN(Time!Y28,96)-MIN(MAX(Time!Y27,96),96))</f>
        <v/>
      </c>
      <c r="Z8" s="9">
        <f>MAX(0,MIN(Time!Z28,96)-MIN(MAX(Time!Z27,96),96))</f>
        <v/>
      </c>
      <c r="AA8" s="9">
        <f>MAX(0,MIN(Time!AA28,96)-MIN(MAX(Time!AA27,96),96))</f>
        <v/>
      </c>
      <c r="AB8" s="9">
        <f>MAX(0,MIN(Time!AB28,96)-MIN(MAX(Time!AB27,96),96))</f>
        <v/>
      </c>
      <c r="AC8" s="9">
        <f>MAX(0,MIN(Time!AC28,96)-MIN(MAX(Time!AC27,96),96))</f>
        <v/>
      </c>
      <c r="AD8" s="9">
        <f>MAX(0,MIN(Time!AD28,96)-MIN(MAX(Time!AD27,96),96))</f>
        <v/>
      </c>
      <c r="AE8" s="9">
        <f>MAX(0,MIN(Time!AE28,96)-MIN(MAX(Time!AE27,96),96))</f>
        <v/>
      </c>
      <c r="AF8" s="9">
        <f>MAX(0,MIN(Time!AF28,96)-MIN(MAX(Time!AF27,96),96))</f>
        <v/>
      </c>
      <c r="AG8" s="9">
        <f>MAX(0,MIN(Time!AG28,96)-MIN(MAX(Time!AG27,96),96))</f>
        <v/>
      </c>
      <c r="AH8" s="9">
        <f>MAX(0,MIN(Time!AH28,96)-MIN(MAX(Time!AH27,96),96))</f>
        <v/>
      </c>
      <c r="AI8" s="9">
        <f>MAX(0,MIN(Time!AI28,96)-MIN(MAX(Time!AI27,96),96))</f>
        <v/>
      </c>
      <c r="AJ8" s="9">
        <f>MAX(0,MIN(Time!AJ28,96)-MIN(MAX(Time!AJ27,96),96))</f>
        <v/>
      </c>
      <c r="AK8" s="9">
        <f>MAX(0,MIN(Time!AK28,96)-MIN(MAX(Time!AK27,96),96))</f>
        <v/>
      </c>
      <c r="AL8" s="9">
        <f>MAX(0,MIN(Time!AL28,96)-MIN(MAX(Time!AL27,96),96))</f>
        <v/>
      </c>
      <c r="AM8" s="9">
        <f>MAX(0,MIN(Time!AM28,96)-MIN(MAX(Time!AM27,96),96))</f>
        <v/>
      </c>
      <c r="AN8" s="9">
        <f>MAX(0,MIN(Time!AN28,96)-MIN(MAX(Time!AN27,96),96))</f>
        <v/>
      </c>
      <c r="AO8" s="9">
        <f>MAX(0,MIN(Time!AO28,96)-MIN(MAX(Time!AO27,96),96))</f>
        <v/>
      </c>
      <c r="AP8" s="9">
        <f>MAX(0,MIN(Time!AP28,96)-MIN(MAX(Time!AP27,96),96))</f>
        <v/>
      </c>
      <c r="AQ8" s="9">
        <f>MAX(0,MIN(Time!AQ28,96)-MIN(MAX(Time!AQ27,96),96))</f>
        <v/>
      </c>
      <c r="AR8" s="9">
        <f>MAX(0,MIN(Time!AR28,96)-MIN(MAX(Time!AR27,96),96))</f>
        <v/>
      </c>
      <c r="AS8" s="9">
        <f>MAX(0,MIN(Time!AS28,96)-MIN(MAX(Time!AS27,96),96))</f>
        <v/>
      </c>
      <c r="AT8" s="9">
        <f>MAX(0,MIN(Time!AT28,96)-MIN(MAX(Time!AT27,96),96))</f>
        <v/>
      </c>
      <c r="AU8" s="9">
        <f>MAX(0,MIN(Time!AU28,96)-MIN(MAX(Time!AU27,96),96))</f>
        <v/>
      </c>
      <c r="AV8" s="9">
        <f>MAX(0,MIN(Time!AV28,96)-MIN(MAX(Time!AV27,96),96))</f>
        <v/>
      </c>
      <c r="AW8" s="9">
        <f>MAX(0,MIN(Time!AW28,96)-MIN(MAX(Time!AW27,96),96))</f>
        <v/>
      </c>
      <c r="AX8" s="9">
        <f>MAX(0,MIN(Time!AX28,96)-MIN(MAX(Time!AX27,96),96))</f>
        <v/>
      </c>
      <c r="AY8" s="9">
        <f>MAX(0,MIN(Time!AY28,96)-MIN(MAX(Time!AY27,96),96))</f>
        <v/>
      </c>
      <c r="AZ8" s="9">
        <f>MAX(0,MIN(Time!AZ28,96)-MIN(MAX(Time!AZ27,96),96))</f>
        <v/>
      </c>
      <c r="BA8" s="9">
        <f>MAX(0,MIN(Time!BA28,96)-MIN(MAX(Time!BA27,96),96))</f>
        <v/>
      </c>
      <c r="BB8" s="9">
        <f>MAX(0,MIN(Time!BB28,96)-MIN(MAX(Time!BB27,96),96))</f>
        <v/>
      </c>
      <c r="BC8" s="9">
        <f>MAX(0,MIN(Time!BC28,96)-MIN(MAX(Time!BC27,96),96))</f>
        <v/>
      </c>
      <c r="BD8" s="9">
        <f>MAX(0,MIN(Time!BD28,96)-MIN(MAX(Time!BD27,96),96))</f>
        <v/>
      </c>
      <c r="BE8" s="9">
        <f>MAX(0,MIN(Time!BE28,96)-MIN(MAX(Time!BE27,96),96))</f>
        <v/>
      </c>
      <c r="BF8" s="9">
        <f>MAX(0,MIN(Time!BF28,96)-MIN(MAX(Time!BF27,96),96))</f>
        <v/>
      </c>
      <c r="BG8" s="9">
        <f>MAX(0,MIN(Time!BG28,96)-MIN(MAX(Time!BG27,96),96))</f>
        <v/>
      </c>
      <c r="BH8" s="9">
        <f>MAX(0,MIN(Time!BH28,96)-MIN(MAX(Time!BH27,96),96))</f>
        <v/>
      </c>
      <c r="BI8" s="9">
        <f>MAX(0,MIN(Time!BI28,96)-MIN(MAX(Time!BI27,96),96))</f>
        <v/>
      </c>
      <c r="BJ8" s="9">
        <f>MAX(0,MIN(Time!BJ28,96)-MIN(MAX(Time!BJ27,96),96))</f>
        <v/>
      </c>
      <c r="BK8" s="9">
        <f>MAX(0,MIN(Time!BK28,96)-MIN(MAX(Time!BK27,96),96))</f>
        <v/>
      </c>
      <c r="BL8" s="9">
        <f>MAX(0,MIN(Time!BL28,96)-MIN(MAX(Time!BL27,96),96))</f>
        <v/>
      </c>
      <c r="BM8" s="9">
        <f>MAX(0,MIN(Time!BM28,96)-MIN(MAX(Time!BM27,96),96))</f>
        <v/>
      </c>
      <c r="BN8" s="9">
        <f>MAX(0,MIN(Time!BN28,96)-MIN(MAX(Time!BN27,96),96))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0+0-J20</f>
        <v/>
      </c>
      <c r="K21" s="11">
        <f>J21+0-K20</f>
        <v/>
      </c>
      <c r="L21" s="11">
        <f>K21+0-L20</f>
        <v/>
      </c>
      <c r="M21" s="11">
        <f>L21+0-M20</f>
        <v/>
      </c>
      <c r="N21" s="11">
        <f>M21+0-N20</f>
        <v/>
      </c>
      <c r="O21" s="11">
        <f>N21+0-O20</f>
        <v/>
      </c>
      <c r="P21" s="11">
        <f>O21+0-P20</f>
        <v/>
      </c>
      <c r="Q21" s="11">
        <f>P21+0-Q20</f>
        <v/>
      </c>
      <c r="R21" s="11">
        <f>Q21+0-R20</f>
        <v/>
      </c>
      <c r="S21" s="11">
        <f>R21+0-S20</f>
        <v/>
      </c>
      <c r="T21" s="11">
        <f>S21+0-T20</f>
        <v/>
      </c>
      <c r="U21" s="11">
        <f>T21+0-U20</f>
        <v/>
      </c>
      <c r="V21" s="11">
        <f>U21+0-V20</f>
        <v/>
      </c>
      <c r="W21" s="11">
        <f>V21+0-W20</f>
        <v/>
      </c>
      <c r="X21" s="11">
        <f>W21+0-X20</f>
        <v/>
      </c>
      <c r="Y21" s="11">
        <f>X21+0-Y20</f>
        <v/>
      </c>
      <c r="Z21" s="11">
        <f>Y21+0-Z20</f>
        <v/>
      </c>
      <c r="AA21" s="11">
        <f>Z21+0-AA20</f>
        <v/>
      </c>
      <c r="AB21" s="11">
        <f>AA21+0-AB20</f>
        <v/>
      </c>
      <c r="AC21" s="11">
        <f>AB21+0-AC20</f>
        <v/>
      </c>
      <c r="AD21" s="11">
        <f>AC21+0-AD20</f>
        <v/>
      </c>
      <c r="AE21" s="11">
        <f>AD21+0-AE20</f>
        <v/>
      </c>
      <c r="AF21" s="11">
        <f>AE21+0-AF20</f>
        <v/>
      </c>
      <c r="AG21" s="11">
        <f>AF21+0-AG20</f>
        <v/>
      </c>
      <c r="AH21" s="11">
        <f>AG21+0-AH20</f>
        <v/>
      </c>
      <c r="AI21" s="11">
        <f>AH21+0-AI20</f>
        <v/>
      </c>
      <c r="AJ21" s="11">
        <f>AI21+0-AJ20</f>
        <v/>
      </c>
      <c r="AK21" s="11">
        <f>AJ21+0-AK20</f>
        <v/>
      </c>
      <c r="AL21" s="11">
        <f>AK21+0-AL20</f>
        <v/>
      </c>
      <c r="AM21" s="11">
        <f>AL21+0-AM20</f>
        <v/>
      </c>
      <c r="AN21" s="11">
        <f>AM21+0-AN20</f>
        <v/>
      </c>
      <c r="AO21" s="11">
        <f>AN21+0-AO20</f>
        <v/>
      </c>
      <c r="AP21" s="11">
        <f>AO21+0-AP20</f>
        <v/>
      </c>
      <c r="AQ21" s="11">
        <f>AP21+0-AQ20</f>
        <v/>
      </c>
      <c r="AR21" s="11">
        <f>AQ21+0-AR20</f>
        <v/>
      </c>
      <c r="AS21" s="11">
        <f>AR21+0-AS20</f>
        <v/>
      </c>
      <c r="AT21" s="11">
        <f>AS21+0-AT20</f>
        <v/>
      </c>
      <c r="AU21" s="11">
        <f>AT21+0-AU20</f>
        <v/>
      </c>
      <c r="AV21" s="11">
        <f>AU21+0-AV20</f>
        <v/>
      </c>
      <c r="AW21" s="11">
        <f>AV21+0-AW20</f>
        <v/>
      </c>
      <c r="AX21" s="11">
        <f>AW21+0-AX20</f>
        <v/>
      </c>
      <c r="AY21" s="11">
        <f>AX21+0-AY20</f>
        <v/>
      </c>
      <c r="AZ21" s="11">
        <f>AY21+0-AZ20</f>
        <v/>
      </c>
      <c r="BA21" s="11">
        <f>AZ21+0-BA20</f>
        <v/>
      </c>
      <c r="BB21" s="11">
        <f>BA21+0-BB20</f>
        <v/>
      </c>
      <c r="BC21" s="11">
        <f>BB21+0-BC20</f>
        <v/>
      </c>
      <c r="BD21" s="11">
        <f>BC21+0-BD20</f>
        <v/>
      </c>
      <c r="BE21" s="11">
        <f>BD21+0-BE20</f>
        <v/>
      </c>
      <c r="BF21" s="11">
        <f>BE21+0-BF20</f>
        <v/>
      </c>
      <c r="BG21" s="11">
        <f>BF21+0-BG20</f>
        <v/>
      </c>
      <c r="BH21" s="11">
        <f>BG21+0-BH20</f>
        <v/>
      </c>
      <c r="BI21" s="11">
        <f>BH21+0-BI20</f>
        <v/>
      </c>
      <c r="BJ21" s="11">
        <f>BI21+0-BJ20</f>
        <v/>
      </c>
      <c r="BK21" s="11">
        <f>BJ21+0-BK20</f>
        <v/>
      </c>
      <c r="BL21" s="11">
        <f>BK21+0-BL20</f>
        <v/>
      </c>
      <c r="BM21" s="11">
        <f>BL21+0-BM20</f>
        <v/>
      </c>
      <c r="BN21" s="11">
        <f>BM21+0-BN20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$F$11+(INDEX(Operations!$J$9:$BN$9,1,Time!$F$12)+Inputs!$F$77)/100*0.5*1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$F$11+(INDEX(Operations!$J$9:$BN$9,1,Time!$F$12)+Inputs!$F$78)/100*0.5*1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$F$11+(INDEX(Operations!$J$9:$BN$9,1,Time!$F$12)+Inputs!$F$79)/100*0.5*1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$F$11+(INDEX(Operations!$J$9:$BN$9,1,Time!$F$12)+INDEX(Debt!$J$8:$BN$8,1,Time!$F$12))/100*0.5*(1/(1-Inputs!$F$91/100))+(Inputs!$F$93/100*Inputs!$F$94/100)*INDEX(Time!$J$20:$BN$20,1,Time!$F$12)/365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-1*INDEX(Inputs!$J$222:$BN$222,1,Time!$F$12)*(Inputs!$F$95/100*0.5-INDEX(Operations!$J$9:$BN$9,1,Time!$F$12)/100*INDEX(Time!$J$20:$BN$20,1,Time!$F$12)/360)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(1/12)*1+Inputs!$F$74*(Construction!J17+Inputs!$F$78)/100*(1/12)*1+Inputs!$F$75*(Construction!J17+Inputs!$F$79)/100*(1/12)*1+Inputs!$F$76*(Construction!J17+Inputs!$F$80)/100*(1/12)*(1/(1-Inputs!$F$91/100))+Inputs!$F$76*(Inputs!$F$93/100*Inputs!$F$94/100)*Construction!J11/365</f>
        <v/>
      </c>
      <c r="K19" s="14">
        <f>Inputs!$F$73*(Construction!K17+Inputs!$F$77)/100*(1/12)*1+Inputs!$F$74*(Construction!K17+Inputs!$F$78)/100*(1/12)*1+Inputs!$F$75*(Construction!K17+Inputs!$F$79)/100*(1/12)*1+Inputs!$F$76*(Construction!K17+Inputs!$F$80)/100*(1/12)*(1/(1-Inputs!$F$91/100))+Inputs!$F$76*(Inputs!$F$93/100*Inputs!$F$94/100)*Construction!K11/365</f>
        <v/>
      </c>
      <c r="L19" s="14">
        <f>Inputs!$F$73*(Construction!L17+Inputs!$F$77)/100*(1/12)*1+Inputs!$F$74*(Construction!L17+Inputs!$F$78)/100*(1/12)*1+Inputs!$F$75*(Construction!L17+Inputs!$F$79)/100*(1/12)*1+Inputs!$F$76*(Construction!L17+Inputs!$F$80)/100*(1/12)*(1/(1-Inputs!$F$91/100))+Inputs!$F$76*(Inputs!$F$93/100*Inputs!$F$94/100)*Construction!L11/365</f>
        <v/>
      </c>
      <c r="M19" s="14">
        <f>Inputs!$F$73*(Construction!M17+Inputs!$F$77)/100*(1/12)*1+Inputs!$F$74*(Construction!M17+Inputs!$F$78)/100*(1/12)*1+Inputs!$F$75*(Construction!M17+Inputs!$F$79)/100*(1/12)*1+Inputs!$F$76*(Construction!M17+Inputs!$F$80)/100*(1/12)*(1/(1-Inputs!$F$91/100))+Inputs!$F$76*(Inputs!$F$93/100*Inputs!$F$94/100)*Construction!M11/365</f>
        <v/>
      </c>
      <c r="N19" s="14">
        <f>Inputs!$F$73*(Construction!N17+Inputs!$F$77)/100*(1/12)*1+Inputs!$F$74*(Construction!N17+Inputs!$F$78)/100*(1/12)*1+Inputs!$F$75*(Construction!N17+Inputs!$F$79)/100*(1/12)*1+Inputs!$F$76*(Construction!N17+Inputs!$F$80)/100*(1/12)*(1/(1-Inputs!$F$91/100))+Inputs!$F$76*(Inputs!$F$93/100*Inputs!$F$94/100)*Construction!N11/365</f>
        <v/>
      </c>
      <c r="O19" s="14">
        <f>Inputs!$F$73*(Construction!O17+Inputs!$F$77)/100*(1/12)*1+Inputs!$F$74*(Construction!O17+Inputs!$F$78)/100*(1/12)*1+Inputs!$F$75*(Construction!O17+Inputs!$F$79)/100*(1/12)*1+Inputs!$F$76*(Construction!O17+Inputs!$F$80)/100*(1/12)*(1/(1-Inputs!$F$91/100))+Inputs!$F$76*(Inputs!$F$93/100*Inputs!$F$94/100)*Construction!O11/365</f>
        <v/>
      </c>
      <c r="P19" s="14">
        <f>Inputs!$F$73*(Construction!P17+Inputs!$F$77)/100*(1/12)*1+Inputs!$F$74*(Construction!P17+Inputs!$F$78)/100*(1/12)*1+Inputs!$F$75*(Construction!P17+Inputs!$F$79)/100*(1/12)*1+Inputs!$F$76*(Construction!P17+Inputs!$F$80)/100*(1/12)*(1/(1-Inputs!$F$91/100))+Inputs!$F$76*(Inputs!$F$93/100*Inputs!$F$94/100)*Construction!P11/365</f>
        <v/>
      </c>
      <c r="Q19" s="14">
        <f>Inputs!$F$73*(Construction!Q17+Inputs!$F$77)/100*(1/12)*1+Inputs!$F$74*(Construction!Q17+Inputs!$F$78)/100*(1/12)*1+Inputs!$F$75*(Construction!Q17+Inputs!$F$79)/100*(1/12)*1+Inputs!$F$76*(Construction!Q17+Inputs!$F$80)/100*(1/12)*(1/(1-Inputs!$F$91/100))+Inputs!$F$76*(Inputs!$F$93/100*Inputs!$F$94/100)*Construction!Q11/365</f>
        <v/>
      </c>
      <c r="R19" s="14">
        <f>Inputs!$F$73*(Construction!R17+Inputs!$F$77)/100*(1/12)*1+Inputs!$F$74*(Construction!R17+Inputs!$F$78)/100*(1/12)*1+Inputs!$F$75*(Construction!R17+Inputs!$F$79)/100*(1/12)*1+Inputs!$F$76*(Construction!R17+Inputs!$F$80)/100*(1/12)*(1/(1-Inputs!$F$91/100))+Inputs!$F$76*(Inputs!$F$93/100*Inputs!$F$94/100)*Construction!R11/365</f>
        <v/>
      </c>
      <c r="S19" s="14">
        <f>Inputs!$F$73*(Construction!S17+Inputs!$F$77)/100*(1/12)*1+Inputs!$F$74*(Construction!S17+Inputs!$F$78)/100*(1/12)*1+Inputs!$F$75*(Construction!S17+Inputs!$F$79)/100*(1/12)*1+Inputs!$F$76*(Construction!S17+Inputs!$F$80)/100*(1/12)*(1/(1-Inputs!$F$91/100))+Inputs!$F$76*(Inputs!$F$93/100*Inputs!$F$94/100)*Construction!S11/365</f>
        <v/>
      </c>
      <c r="T19" s="14">
        <f>Inputs!$F$73*(Construction!T17+Inputs!$F$77)/100*(1/12)*1+Inputs!$F$74*(Construction!T17+Inputs!$F$78)/100*(1/12)*1+Inputs!$F$75*(Construction!T17+Inputs!$F$79)/100*(1/12)*1+Inputs!$F$76*(Construction!T17+Inputs!$F$80)/100*(1/12)*(1/(1-Inputs!$F$91/100))+Inputs!$F$76*(Inputs!$F$93/100*Inputs!$F$94/100)*Construction!T11/365</f>
        <v/>
      </c>
      <c r="U19" s="14">
        <f>Inputs!$F$73*(Construction!U17+Inputs!$F$77)/100*(1/12)*1+Inputs!$F$74*(Construction!U17+Inputs!$F$78)/100*(1/12)*1+Inputs!$F$75*(Construction!U17+Inputs!$F$79)/100*(1/12)*1+Inputs!$F$76*(Construction!U17+Inputs!$F$80)/100*(1/12)*(1/(1-Inputs!$F$91/100))+Inputs!$F$76*(Inputs!$F$93/100*Inputs!$F$94/100)*Construction!U11/365</f>
        <v/>
      </c>
      <c r="V19" s="14">
        <f>Inputs!$F$73*(Construction!V17+Inputs!$F$77)/100*(1/12)*1+Inputs!$F$74*(Construction!V17+Inputs!$F$78)/100*(1/12)*1+Inputs!$F$75*(Construction!V17+Inputs!$F$79)/100*(1/12)*1+Inputs!$F$76*(Construction!V17+Inputs!$F$80)/100*(1/12)*(1/(1-Inputs!$F$91/100))+Inputs!$F$76*(Inputs!$F$93/100*Inputs!$F$94/100)*Construction!V11/365</f>
        <v/>
      </c>
      <c r="W19" s="14">
        <f>Inputs!$F$73*(Construction!W17+Inputs!$F$77)/100*(1/12)*1+Inputs!$F$74*(Construction!W17+Inputs!$F$78)/100*(1/12)*1+Inputs!$F$75*(Construction!W17+Inputs!$F$79)/100*(1/12)*1+Inputs!$F$76*(Construction!W17+Inputs!$F$80)/100*(1/12)*(1/(1-Inputs!$F$91/100))+Inputs!$F$76*(Inputs!$F$93/100*Inputs!$F$94/100)*Construction!W11/365</f>
        <v/>
      </c>
      <c r="X19" s="14">
        <f>Inputs!$F$73*(Construction!X17+Inputs!$F$77)/100*(1/12)*1+Inputs!$F$74*(Construction!X17+Inputs!$F$78)/100*(1/12)*1+Inputs!$F$75*(Construction!X17+Inputs!$F$79)/100*(1/12)*1+Inputs!$F$76*(Construction!X17+Inputs!$F$80)/100*(1/12)*(1/(1-Inputs!$F$91/100))+Inputs!$F$76*(Inputs!$F$93/100*Inputs!$F$94/100)*Construction!X11/365</f>
        <v/>
      </c>
      <c r="Y19" s="14">
        <f>Inputs!$F$73*(Construction!Y17+Inputs!$F$77)/100*(1/12)*1+Inputs!$F$74*(Construction!Y17+Inputs!$F$78)/100*(1/12)*1+Inputs!$F$75*(Construction!Y17+Inputs!$F$79)/100*(1/12)*1+Inputs!$F$76*(Construction!Y17+Inputs!$F$80)/100*(1/12)*(1/(1-Inputs!$F$91/100))+Inputs!$F$76*(Inputs!$F$93/100*Inputs!$F$94/100)*Construction!Y11/365</f>
        <v/>
      </c>
      <c r="Z19" s="14">
        <f>Inputs!$F$73*(Construction!Z17+Inputs!$F$77)/100*(1/12)*1+Inputs!$F$74*(Construction!Z17+Inputs!$F$78)/100*(1/12)*1+Inputs!$F$75*(Construction!Z17+Inputs!$F$79)/100*(1/12)*1+Inputs!$F$76*(Construction!Z17+Inputs!$F$80)/100*(1/12)*(1/(1-Inputs!$F$91/100))+Inputs!$F$76*(Inputs!$F$93/100*Inputs!$F$94/100)*Construction!Z11/365</f>
        <v/>
      </c>
      <c r="AA19" s="14">
        <f>Inputs!$F$73*(Construction!AA17+Inputs!$F$77)/100*(1/12)*1+Inputs!$F$74*(Construction!AA17+Inputs!$F$78)/100*(1/12)*1+Inputs!$F$75*(Construction!AA17+Inputs!$F$79)/100*(1/12)*1+Inputs!$F$76*(Construction!AA17+Inputs!$F$80)/100*(1/12)*(1/(1-Inputs!$F$91/100))+Inputs!$F$76*(Inputs!$F$93/100*Inputs!$F$94/100)*Construction!AA11/365</f>
        <v/>
      </c>
      <c r="AB19" s="14">
        <f>Inputs!$F$73*(Construction!AB17+Inputs!$F$77)/100*(1/12)*1+Inputs!$F$74*(Construction!AB17+Inputs!$F$78)/100*(1/12)*1+Inputs!$F$75*(Construction!AB17+Inputs!$F$79)/100*(1/12)*1+Inputs!$F$76*(Construction!AB17+Inputs!$F$80)/100*(1/12)*(1/(1-Inputs!$F$91/100))+Inputs!$F$76*(Inputs!$F$93/100*Inputs!$F$94/100)*Construction!AB11/365</f>
        <v/>
      </c>
      <c r="AC19" s="14">
        <f>Inputs!$F$73*(Construction!AC17+Inputs!$F$77)/100*(1/12)*1+Inputs!$F$74*(Construction!AC17+Inputs!$F$78)/100*(1/12)*1+Inputs!$F$75*(Construction!AC17+Inputs!$F$79)/100*(1/12)*1+Inputs!$F$76*(Construction!AC17+Inputs!$F$80)/100*(1/12)*(1/(1-Inputs!$F$91/100))+Inputs!$F$76*(Inputs!$F$93/100*Inputs!$F$94/100)*Construction!AC11/365</f>
        <v/>
      </c>
      <c r="AD19" s="14">
        <f>Inputs!$F$73*(Construction!AD17+Inputs!$F$77)/100*(1/12)*1+Inputs!$F$74*(Construction!AD17+Inputs!$F$78)/100*(1/12)*1+Inputs!$F$75*(Construction!AD17+Inputs!$F$79)/100*(1/12)*1+Inputs!$F$76*(Construction!AD17+Inputs!$F$80)/100*(1/12)*(1/(1-Inputs!$F$91/100))+Inputs!$F$76*(Inputs!$F$93/100*Inputs!$F$94/100)*Construction!AD11/365</f>
        <v/>
      </c>
      <c r="AE19" s="14">
        <f>Inputs!$F$73*(Construction!AE17+Inputs!$F$77)/100*(1/12)*1+Inputs!$F$74*(Construction!AE17+Inputs!$F$78)/100*(1/12)*1+Inputs!$F$75*(Construction!AE17+Inputs!$F$79)/100*(1/12)*1+Inputs!$F$76*(Construction!AE17+Inputs!$F$80)/100*(1/12)*(1/(1-Inputs!$F$91/100))+Inputs!$F$76*(Inputs!$F$93/100*Inputs!$F$94/100)*Construction!AE11/365</f>
        <v/>
      </c>
      <c r="AF19" s="14">
        <f>Inputs!$F$73*(Construction!AF17+Inputs!$F$77)/100*(1/12)*1+Inputs!$F$74*(Construction!AF17+Inputs!$F$78)/100*(1/12)*1+Inputs!$F$75*(Construction!AF17+Inputs!$F$79)/100*(1/12)*1+Inputs!$F$76*(Construction!AF17+Inputs!$F$80)/100*(1/12)*(1/(1-Inputs!$F$91/100))+Inputs!$F$76*(Inputs!$F$93/100*Inputs!$F$94/100)*Construction!AF11/365</f>
        <v/>
      </c>
      <c r="AG19" s="14">
        <f>Inputs!$F$73*(Construction!AG17+Inputs!$F$77)/100*(1/12)*1+Inputs!$F$74*(Construction!AG17+Inputs!$F$78)/100*(1/12)*1+Inputs!$F$75*(Construction!AG17+Inputs!$F$79)/100*(1/12)*1+Inputs!$F$76*(Construction!AG17+Inputs!$F$80)/100*(1/12)*(1/(1-Inputs!$F$91/100))+Inputs!$F$76*(Inputs!$F$93/100*Inputs!$F$94/100)*Construction!AG11/365</f>
        <v/>
      </c>
      <c r="AH19" s="14">
        <f>Inputs!$F$73*(Construction!AH17+Inputs!$F$77)/100*(1/12)*1+Inputs!$F$74*(Construction!AH17+Inputs!$F$78)/100*(1/12)*1+Inputs!$F$75*(Construction!AH17+Inputs!$F$79)/100*(1/12)*1+Inputs!$F$76*(Construction!AH17+Inputs!$F$80)/100*(1/12)*(1/(1-Inputs!$F$91/100))+Inputs!$F$76*(Inputs!$F$93/100*Inputs!$F$94/100)*Construction!AH11/365</f>
        <v/>
      </c>
      <c r="AI19" s="14">
        <f>Inputs!$F$73*(Construction!AI17+Inputs!$F$77)/100*(1/12)*1+Inputs!$F$74*(Construction!AI17+Inputs!$F$78)/100*(1/12)*1+Inputs!$F$75*(Construction!AI17+Inputs!$F$79)/100*(1/12)*1+Inputs!$F$76*(Construction!AI17+Inputs!$F$80)/100*(1/12)*(1/(1-Inputs!$F$91/100))+Inputs!$F$76*(Inputs!$F$93/100*Inputs!$F$94/100)*Construction!AI11/365</f>
        <v/>
      </c>
      <c r="AJ19" s="14">
        <f>Inputs!$F$73*(Construction!AJ17+Inputs!$F$77)/100*(1/12)*1+Inputs!$F$74*(Construction!AJ17+Inputs!$F$78)/100*(1/12)*1+Inputs!$F$75*(Construction!AJ17+Inputs!$F$79)/100*(1/12)*1+Inputs!$F$76*(Construction!AJ17+Inputs!$F$80)/100*(1/12)*(1/(1-Inputs!$F$91/100))+Inputs!$F$76*(Inputs!$F$93/100*Inputs!$F$94/100)*Construction!AJ11/365</f>
        <v/>
      </c>
      <c r="AK19" s="14">
        <f>Inputs!$F$73*(Construction!AK17+Inputs!$F$77)/100*(1/12)*1+Inputs!$F$74*(Construction!AK17+Inputs!$F$78)/100*(1/12)*1+Inputs!$F$75*(Construction!AK17+Inputs!$F$79)/100*(1/12)*1+Inputs!$F$76*(Construction!AK17+Inputs!$F$80)/100*(1/12)*(1/(1-Inputs!$F$91/100))+Inputs!$F$76*(Inputs!$F$93/100*Inputs!$F$94/100)*Construction!AK11/365</f>
        <v/>
      </c>
      <c r="AL19" s="14">
        <f>Inputs!$F$73*(Construction!AL17+Inputs!$F$77)/100*(1/12)*1+Inputs!$F$74*(Construction!AL17+Inputs!$F$78)/100*(1/12)*1+Inputs!$F$75*(Construction!AL17+Inputs!$F$79)/100*(1/12)*1+Inputs!$F$76*(Construction!AL17+Inputs!$F$80)/100*(1/12)*(1/(1-Inputs!$F$91/100))+Inputs!$F$76*(Inputs!$F$93/100*Inputs!$F$94/100)*Construction!AL11/365</f>
        <v/>
      </c>
      <c r="AM19" s="14">
        <f>Inputs!$F$73*(Construction!AM17+Inputs!$F$77)/100*(1/12)*1+Inputs!$F$74*(Construction!AM17+Inputs!$F$78)/100*(1/12)*1+Inputs!$F$75*(Construction!AM17+Inputs!$F$79)/100*(1/12)*1+Inputs!$F$76*(Construction!AM17+Inputs!$F$80)/100*(1/12)*(1/(1-Inputs!$F$91/100))+Inputs!$F$76*(Inputs!$F$93/100*Inputs!$F$94/100)*Construction!AM11/365</f>
        <v/>
      </c>
      <c r="AN19" s="14">
        <f>Inputs!$F$73*(Construction!AN17+Inputs!$F$77)/100*(1/12)*1+Inputs!$F$74*(Construction!AN17+Inputs!$F$78)/100*(1/12)*1+Inputs!$F$75*(Construction!AN17+Inputs!$F$79)/100*(1/12)*1+Inputs!$F$76*(Construction!AN17+Inputs!$F$80)/100*(1/12)*(1/(1-Inputs!$F$91/100))+Inputs!$F$76*(Inputs!$F$93/100*Inputs!$F$94/100)*Construction!AN11/365</f>
        <v/>
      </c>
      <c r="AO19" s="14">
        <f>Inputs!$F$73*(Construction!AO17+Inputs!$F$77)/100*(1/12)*1+Inputs!$F$74*(Construction!AO17+Inputs!$F$78)/100*(1/12)*1+Inputs!$F$75*(Construction!AO17+Inputs!$F$79)/100*(1/12)*1+Inputs!$F$76*(Construction!AO17+Inputs!$F$80)/100*(1/12)*(1/(1-Inputs!$F$91/100))+Inputs!$F$76*(Inputs!$F$93/100*Inputs!$F$94/100)*Construction!AO11/365</f>
        <v/>
      </c>
      <c r="AP19" s="14">
        <f>Inputs!$F$73*(Construction!AP17+Inputs!$F$77)/100*(1/12)*1+Inputs!$F$74*(Construction!AP17+Inputs!$F$78)/100*(1/12)*1+Inputs!$F$75*(Construction!AP17+Inputs!$F$79)/100*(1/12)*1+Inputs!$F$76*(Construction!AP17+Inputs!$F$80)/100*(1/12)*(1/(1-Inputs!$F$91/100))+Inputs!$F$76*(Inputs!$F$93/100*Inputs!$F$94/100)*Construction!AP11/365</f>
        <v/>
      </c>
      <c r="AQ19" s="14">
        <f>Inputs!$F$73*(Construction!AQ17+Inputs!$F$77)/100*(1/12)*1+Inputs!$F$74*(Construction!AQ17+Inputs!$F$78)/100*(1/12)*1+Inputs!$F$75*(Construction!AQ17+Inputs!$F$79)/100*(1/12)*1+Inputs!$F$76*(Construction!AQ17+Inputs!$F$80)/100*(1/12)*(1/(1-Inputs!$F$91/100))+Inputs!$F$76*(Inputs!$F$93/100*Inputs!$F$94/100)*Construction!AQ11/365</f>
        <v/>
      </c>
      <c r="AR19" s="14">
        <f>Inputs!$F$73*(Construction!AR17+Inputs!$F$77)/100*(1/12)*1+Inputs!$F$74*(Construction!AR17+Inputs!$F$78)/100*(1/12)*1+Inputs!$F$75*(Construction!AR17+Inputs!$F$79)/100*(1/12)*1+Inputs!$F$76*(Construction!AR17+Inputs!$F$80)/100*(1/12)*(1/(1-Inputs!$F$91/100))+Inputs!$F$76*(Inputs!$F$93/100*Inputs!$F$94/100)*Construction!AR11/365</f>
        <v/>
      </c>
      <c r="AS19" s="14">
        <f>Inputs!$F$73*(Construction!AS17+Inputs!$F$77)/100*(1/12)*1+Inputs!$F$74*(Construction!AS17+Inputs!$F$78)/100*(1/12)*1+Inputs!$F$75*(Construction!AS17+Inputs!$F$79)/100*(1/12)*1+Inputs!$F$76*(Construction!AS17+Inputs!$F$80)/100*(1/12)*(1/(1-Inputs!$F$91/100))+Inputs!$F$76*(Inputs!$F$93/100*Inputs!$F$94/100)*Construction!AS11/365</f>
        <v/>
      </c>
      <c r="AT19" s="14">
        <f>Inputs!$F$73*(Construction!AT17+Inputs!$F$77)/100*(1/12)*1+Inputs!$F$74*(Construction!AT17+Inputs!$F$78)/100*(1/12)*1+Inputs!$F$75*(Construction!AT17+Inputs!$F$79)/100*(1/12)*1+Inputs!$F$76*(Construction!AT17+Inputs!$F$80)/100*(1/12)*(1/(1-Inputs!$F$91/100))+Inputs!$F$76*(Inputs!$F$93/100*Inputs!$F$94/100)*Construction!AT11/365</f>
        <v/>
      </c>
      <c r="AU19" s="14">
        <f>Inputs!$F$73*(Construction!AU17+Inputs!$F$77)/100*(1/12)*1+Inputs!$F$74*(Construction!AU17+Inputs!$F$78)/100*(1/12)*1+Inputs!$F$75*(Construction!AU17+Inputs!$F$79)/100*(1/12)*1+Inputs!$F$76*(Construction!AU17+Inputs!$F$80)/100*(1/12)*(1/(1-Inputs!$F$91/100))+Inputs!$F$76*(Inputs!$F$93/100*Inputs!$F$94/100)*Construction!AU11/365</f>
        <v/>
      </c>
      <c r="AV19" s="14">
        <f>Inputs!$F$73*(Construction!AV17+Inputs!$F$77)/100*(1/12)*1+Inputs!$F$74*(Construction!AV17+Inputs!$F$78)/100*(1/12)*1+Inputs!$F$75*(Construction!AV17+Inputs!$F$79)/100*(1/12)*1+Inputs!$F$76*(Construction!AV17+Inputs!$F$80)/100*(1/12)*(1/(1-Inputs!$F$91/100))+Inputs!$F$76*(Inputs!$F$93/100*Inputs!$F$94/100)*Construction!AV11/365</f>
        <v/>
      </c>
      <c r="AW19" s="14">
        <f>Inputs!$F$73*(Construction!AW17+Inputs!$F$77)/100*(1/12)*1+Inputs!$F$74*(Construction!AW17+Inputs!$F$78)/100*(1/12)*1+Inputs!$F$75*(Construction!AW17+Inputs!$F$79)/100*(1/12)*1+Inputs!$F$76*(Construction!AW17+Inputs!$F$80)/100*(1/12)*(1/(1-Inputs!$F$91/100))+Inputs!$F$76*(Inputs!$F$93/100*Inputs!$F$94/100)*Construction!AW11/365</f>
        <v/>
      </c>
      <c r="AX19" s="14">
        <f>Inputs!$F$73*(Construction!AX17+Inputs!$F$77)/100*(1/12)*1+Inputs!$F$74*(Construction!AX17+Inputs!$F$78)/100*(1/12)*1+Inputs!$F$75*(Construction!AX17+Inputs!$F$79)/100*(1/12)*1+Inputs!$F$76*(Construction!AX17+Inputs!$F$80)/100*(1/12)*(1/(1-Inputs!$F$91/100))+Inputs!$F$76*(Inputs!$F$93/100*Inputs!$F$94/100)*Construction!AX11/365</f>
        <v/>
      </c>
      <c r="AY19" s="14">
        <f>Inputs!$F$73*(Construction!AY17+Inputs!$F$77)/100*(1/12)*1+Inputs!$F$74*(Construction!AY17+Inputs!$F$78)/100*(1/12)*1+Inputs!$F$75*(Construction!AY17+Inputs!$F$79)/100*(1/12)*1+Inputs!$F$76*(Construction!AY17+Inputs!$F$80)/100*(1/12)*(1/(1-Inputs!$F$91/100))+Inputs!$F$76*(Inputs!$F$93/100*Inputs!$F$94/100)*Construction!AY11/365</f>
        <v/>
      </c>
      <c r="AZ19" s="14">
        <f>Inputs!$F$73*(Construction!AZ17+Inputs!$F$77)/100*(1/12)*1+Inputs!$F$74*(Construction!AZ17+Inputs!$F$78)/100*(1/12)*1+Inputs!$F$75*(Construction!AZ17+Inputs!$F$79)/100*(1/12)*1+Inputs!$F$76*(Construction!AZ17+Inputs!$F$80)/100*(1/12)*(1/(1-Inputs!$F$91/100))+Inputs!$F$76*(Inputs!$F$93/100*Inputs!$F$94/100)*Construction!AZ11/365</f>
        <v/>
      </c>
      <c r="BA19" s="14">
        <f>Inputs!$F$73*(Construction!BA17+Inputs!$F$77)/100*(1/12)*1+Inputs!$F$74*(Construction!BA17+Inputs!$F$78)/100*(1/12)*1+Inputs!$F$75*(Construction!BA17+Inputs!$F$79)/100*(1/12)*1+Inputs!$F$76*(Construction!BA17+Inputs!$F$80)/100*(1/12)*(1/(1-Inputs!$F$91/100))+Inputs!$F$76*(Inputs!$F$93/100*Inputs!$F$94/100)*Construction!BA11/365</f>
        <v/>
      </c>
      <c r="BB19" s="14">
        <f>Inputs!$F$73*(Construction!BB17+Inputs!$F$77)/100*(1/12)*1+Inputs!$F$74*(Construction!BB17+Inputs!$F$78)/100*(1/12)*1+Inputs!$F$75*(Construction!BB17+Inputs!$F$79)/100*(1/12)*1+Inputs!$F$76*(Construction!BB17+Inputs!$F$80)/100*(1/12)*(1/(1-Inputs!$F$91/100))+Inputs!$F$76*(Inputs!$F$93/100*Inputs!$F$94/100)*Construction!BB11/365</f>
        <v/>
      </c>
      <c r="BC19" s="14">
        <f>Inputs!$F$73*(Construction!BC17+Inputs!$F$77)/100*(1/12)*1+Inputs!$F$74*(Construction!BC17+Inputs!$F$78)/100*(1/12)*1+Inputs!$F$75*(Construction!BC17+Inputs!$F$79)/100*(1/12)*1+Inputs!$F$76*(Construction!BC17+Inputs!$F$80)/100*(1/12)*(1/(1-Inputs!$F$91/100))+Inputs!$F$76*(Inputs!$F$93/100*Inputs!$F$94/100)*Construction!BC11/365</f>
        <v/>
      </c>
      <c r="BD19" s="14">
        <f>Inputs!$F$73*(Construction!BD17+Inputs!$F$77)/100*(1/12)*1+Inputs!$F$74*(Construction!BD17+Inputs!$F$78)/100*(1/12)*1+Inputs!$F$75*(Construction!BD17+Inputs!$F$79)/100*(1/12)*1+Inputs!$F$76*(Construction!BD17+Inputs!$F$80)/100*(1/12)*(1/(1-Inputs!$F$91/100))+Inputs!$F$76*(Inputs!$F$93/100*Inputs!$F$94/100)*Construction!BD11/365</f>
        <v/>
      </c>
      <c r="BE19" s="14">
        <f>Inputs!$F$73*(Construction!BE17+Inputs!$F$77)/100*(1/12)*1+Inputs!$F$74*(Construction!BE17+Inputs!$F$78)/100*(1/12)*1+Inputs!$F$75*(Construction!BE17+Inputs!$F$79)/100*(1/12)*1+Inputs!$F$76*(Construction!BE17+Inputs!$F$80)/100*(1/12)*(1/(1-Inputs!$F$91/100))+Inputs!$F$76*(Inputs!$F$93/100*Inputs!$F$94/100)*Construction!BE11/365</f>
        <v/>
      </c>
      <c r="BF19" s="14">
        <f>Inputs!$F$73*(Construction!BF17+Inputs!$F$77)/100*(1/12)*1+Inputs!$F$74*(Construction!BF17+Inputs!$F$78)/100*(1/12)*1+Inputs!$F$75*(Construction!BF17+Inputs!$F$79)/100*(1/12)*1+Inputs!$F$76*(Construction!BF17+Inputs!$F$80)/100*(1/12)*(1/(1-Inputs!$F$91/100))+Inputs!$F$76*(Inputs!$F$93/100*Inputs!$F$94/100)*Construction!BF11/365</f>
        <v/>
      </c>
      <c r="BG19" s="14">
        <f>Inputs!$F$73*(Construction!BG17+Inputs!$F$77)/100*(1/12)*1+Inputs!$F$74*(Construction!BG17+Inputs!$F$78)/100*(1/12)*1+Inputs!$F$75*(Construction!BG17+Inputs!$F$79)/100*(1/12)*1+Inputs!$F$76*(Construction!BG17+Inputs!$F$80)/100*(1/12)*(1/(1-Inputs!$F$91/100))+Inputs!$F$76*(Inputs!$F$93/100*Inputs!$F$94/100)*Construction!BG11/365</f>
        <v/>
      </c>
      <c r="BH19" s="14">
        <f>Inputs!$F$73*(Construction!BH17+Inputs!$F$77)/100*(1/12)*1+Inputs!$F$74*(Construction!BH17+Inputs!$F$78)/100*(1/12)*1+Inputs!$F$75*(Construction!BH17+Inputs!$F$79)/100*(1/12)*1+Inputs!$F$76*(Construction!BH17+Inputs!$F$80)/100*(1/12)*(1/(1-Inputs!$F$91/100))+Inputs!$F$76*(Inputs!$F$93/100*Inputs!$F$94/100)*Construction!BH11/365</f>
        <v/>
      </c>
      <c r="BI19" s="14">
        <f>Inputs!$F$73*(Construction!BI17+Inputs!$F$77)/100*(1/12)*1+Inputs!$F$74*(Construction!BI17+Inputs!$F$78)/100*(1/12)*1+Inputs!$F$75*(Construction!BI17+Inputs!$F$79)/100*(1/12)*1+Inputs!$F$76*(Construction!BI17+Inputs!$F$80)/100*(1/12)*(1/(1-Inputs!$F$91/100))+Inputs!$F$76*(Inputs!$F$93/100*Inputs!$F$94/100)*Construction!BI11/365</f>
        <v/>
      </c>
      <c r="BJ19" s="14">
        <f>Inputs!$F$73*(Construction!BJ17+Inputs!$F$77)/100*(1/12)*1+Inputs!$F$74*(Construction!BJ17+Inputs!$F$78)/100*(1/12)*1+Inputs!$F$75*(Construction!BJ17+Inputs!$F$79)/100*(1/12)*1+Inputs!$F$76*(Construction!BJ17+Inputs!$F$80)/100*(1/12)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Construction!J14*(Construction!J30+Construction!J36+Inputs!$F$105/12+-1*Inputs!J229*(Inputs!$F$95/100/12-Construction!J17/100*Construction!J11/360)+Inputs!$F$97*Inputs!$F$98/100*Construction!J11/360+Construction!J15*$F$17)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Construction!K14*(Construction!K30+Construction!K36+Inputs!$F$105/12+-1*Inputs!K229*(Inputs!$F$95/100/12-Construction!K17/100*Construction!K11/360)+Inputs!$F$97*Inputs!$F$98/100*Construction!K11/360+Construction!K15*$F$17)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Construction!L14*(Construction!L30+Construction!L36+Inputs!$F$105/12+-1*Inputs!L229*(Inputs!$F$95/100/12-Construction!L17/100*Construction!L11/360)+Inputs!$F$97*Inputs!$F$98/100*Construction!L11/360+Construction!L15*$F$17)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Construction!M14*(Construction!M30+Construction!M36+Inputs!$F$105/12+-1*Inputs!M229*(Inputs!$F$95/100/12-Construction!M17/100*Construction!M11/360)+Inputs!$F$97*Inputs!$F$98/100*Construction!M11/360+Construction!M15*$F$17)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Construction!N14*(Construction!N30+Construction!N36+Inputs!$F$105/12+-1*Inputs!N229*(Inputs!$F$95/100/12-Construction!N17/100*Construction!N11/360)+Inputs!$F$97*Inputs!$F$98/100*Construction!N11/360+Construction!N15*$F$17)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Construction!O14*(Construction!O30+Construction!O36+Inputs!$F$105/12+-1*Inputs!O229*(Inputs!$F$95/100/12-Construction!O17/100*Construction!O11/360)+Inputs!$F$97*Inputs!$F$98/100*Construction!O11/360+Construction!O15*$F$17)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Construction!P14*(Construction!P30+Construction!P36+Inputs!$F$105/12+-1*Inputs!P229*(Inputs!$F$95/100/12-Construction!P17/100*Construction!P11/360)+Inputs!$F$97*Inputs!$F$98/100*Construction!P11/360+Construction!P15*$F$17)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Construction!Q14*(Construction!Q30+Construction!Q36+Inputs!$F$105/12+-1*Inputs!Q229*(Inputs!$F$95/100/12-Construction!Q17/100*Construction!Q11/360)+Inputs!$F$97*Inputs!$F$98/100*Construction!Q11/360+Construction!Q15*$F$17)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Construction!R14*(Construction!R30+Construction!R36+Inputs!$F$105/12+-1*Inputs!R229*(Inputs!$F$95/100/12-Construction!R17/100*Construction!R11/360)+Inputs!$F$97*Inputs!$F$98/100*Construction!R11/360+Construction!R15*$F$17)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Construction!S14*(Construction!S30+Construction!S36+Inputs!$F$105/12+-1*Inputs!S229*(Inputs!$F$95/100/12-Construction!S17/100*Construction!S11/360)+Inputs!$F$97*Inputs!$F$98/100*Construction!S11/360+Construction!S15*$F$17)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Construction!T14*(Construction!T30+Construction!T36+Inputs!$F$105/12+-1*Inputs!T229*(Inputs!$F$95/100/12-Construction!T17/100*Construction!T11/360)+Inputs!$F$97*Inputs!$F$98/100*Construction!T11/360+Construction!T15*$F$17)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Construction!U14*(Construction!U30+Construction!U36+Inputs!$F$105/12+-1*Inputs!U229*(Inputs!$F$95/100/12-Construction!U17/100*Construction!U11/360)+Inputs!$F$97*Inputs!$F$98/100*Construction!U11/360+Construction!U15*$F$17)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Construction!V14*(Construction!V30+Construction!V36+Inputs!$F$105/12+-1*Inputs!V229*(Inputs!$F$95/100/12-Construction!V17/100*Construction!V11/360)+Inputs!$F$97*Inputs!$F$98/100*Construction!V11/360+Construction!V15*$F$17)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Construction!W14*(Construction!W30+Construction!W36+Inputs!$F$105/12+-1*Inputs!W229*(Inputs!$F$95/100/12-Construction!W17/100*Construction!W11/360)+Inputs!$F$97*Inputs!$F$98/100*Construction!W11/360+Construction!W15*$F$17)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Construction!X14*(Construction!X30+Construction!X36+Inputs!$F$105/12+-1*Inputs!X229*(Inputs!$F$95/100/12-Construction!X17/100*Construction!X11/360)+Inputs!$F$97*Inputs!$F$98/100*Construction!X11/360+Construction!X15*$F$17)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Construction!Y14*(Construction!Y30+Construction!Y36+Inputs!$F$105/12+-1*Inputs!Y229*(Inputs!$F$95/100/12-Construction!Y17/100*Construction!Y11/360)+Inputs!$F$97*Inputs!$F$98/100*Construction!Y11/360+Construction!Y15*$F$17)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Construction!Z14*(Construction!Z30+Construction!Z36+Inputs!$F$105/12+-1*Inputs!Z229*(Inputs!$F$95/100/12-Construction!Z17/100*Construction!Z11/360)+Inputs!$F$97*Inputs!$F$98/100*Construction!Z11/360+Construction!Z15*$F$17)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Construction!AA14*(Construction!AA30+Construction!AA36+Inputs!$F$105/12+-1*Inputs!AA229*(Inputs!$F$95/100/12-Construction!AA17/100*Construction!AA11/360)+Inputs!$F$97*Inputs!$F$98/100*Construction!AA11/360+Construction!AA15*$F$17)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Construction!AB14*(Construction!AB30+Construction!AB36+Inputs!$F$105/12+-1*Inputs!AB229*(Inputs!$F$95/100/12-Construction!AB17/100*Construction!AB11/360)+Inputs!$F$97*Inputs!$F$98/100*Construction!AB11/360+Construction!AB15*$F$17)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Construction!AC14*(Construction!AC30+Construction!AC36+Inputs!$F$105/12+-1*Inputs!AC229*(Inputs!$F$95/100/12-Construction!AC17/100*Construction!AC11/360)+Inputs!$F$97*Inputs!$F$98/100*Construction!AC11/360+Construction!AC15*$F$17)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Construction!AD14*(Construction!AD30+Construction!AD36+Inputs!$F$105/12+-1*Inputs!AD229*(Inputs!$F$95/100/12-Construction!AD17/100*Construction!AD11/360)+Inputs!$F$97*Inputs!$F$98/100*Construction!AD11/360+Construction!AD15*$F$17)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Construction!AE14*(Construction!AE30+Construction!AE36+Inputs!$F$105/12+-1*Inputs!AE229*(Inputs!$F$95/100/12-Construction!AE17/100*Construction!AE11/360)+Inputs!$F$97*Inputs!$F$98/100*Construction!AE11/360+Construction!AE15*$F$17)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Construction!AF14*(Construction!AF30+Construction!AF36+Inputs!$F$105/12+-1*Inputs!AF229*(Inputs!$F$95/100/12-Construction!AF17/100*Construction!AF11/360)+Inputs!$F$97*Inputs!$F$98/100*Construction!AF11/360+Construction!AF15*$F$17)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Construction!AG14*(Construction!AG30+Construction!AG36+Inputs!$F$105/12+-1*Inputs!AG229*(Inputs!$F$95/100/12-Construction!AG17/100*Construction!AG11/360)+Inputs!$F$97*Inputs!$F$98/100*Construction!AG11/360+Construction!AG15*$F$17)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Construction!AH14*(Construction!AH30+Construction!AH36+Inputs!$F$105/12+-1*Inputs!AH229*(Inputs!$F$95/100/12-Construction!AH17/100*Construction!AH11/360)+Inputs!$F$97*Inputs!$F$98/100*Construction!AH11/360+Construction!AH15*$F$17)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Construction!AI14*(Construction!AI30+Construction!AI36+Inputs!$F$105/12+-1*Inputs!AI229*(Inputs!$F$95/100/12-Construction!AI17/100*Construction!AI11/360)+Inputs!$F$97*Inputs!$F$98/100*Construction!AI11/360+Construction!AI15*$F$17)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Construction!AJ14*(Construction!AJ30+Construction!AJ36+Inputs!$F$105/12+-1*Inputs!AJ229*(Inputs!$F$95/100/12-Construction!AJ17/100*Construction!AJ11/360)+Inputs!$F$97*Inputs!$F$98/100*Construction!AJ11/360+Construction!AJ15*$F$17)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Construction!AK14*(Construction!AK30+Construction!AK36+Inputs!$F$105/12+-1*Inputs!AK229*(Inputs!$F$95/100/12-Construction!AK17/100*Construction!AK11/360)+Inputs!$F$97*Inputs!$F$98/100*Construction!AK11/360+Construction!AK15*$F$17)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Construction!AL14*(Construction!AL30+Construction!AL36+Inputs!$F$105/12+-1*Inputs!AL229*(Inputs!$F$95/100/12-Construction!AL17/100*Construction!AL11/360)+Inputs!$F$97*Inputs!$F$98/100*Construction!AL11/360+Construction!AL15*$F$17)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Construction!AM14*(Construction!AM30+Construction!AM36+Inputs!$F$105/12+-1*Inputs!AM229*(Inputs!$F$95/100/12-Construction!AM17/100*Construction!AM11/360)+Inputs!$F$97*Inputs!$F$98/100*Construction!AM11/360+Construction!AM15*$F$17)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Construction!AN14*(Construction!AN30+Construction!AN36+Inputs!$F$105/12+-1*Inputs!AN229*(Inputs!$F$95/100/12-Construction!AN17/100*Construction!AN11/360)+Inputs!$F$97*Inputs!$F$98/100*Construction!AN11/360+Construction!AN15*$F$17)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Construction!AO14*(Construction!AO30+Construction!AO36+Inputs!$F$105/12+-1*Inputs!AO229*(Inputs!$F$95/100/12-Construction!AO17/100*Construction!AO11/360)+Inputs!$F$97*Inputs!$F$98/100*Construction!AO11/360+Construction!AO15*$F$17)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Construction!AP14*(Construction!AP30+Construction!AP36+Inputs!$F$105/12+-1*Inputs!AP229*(Inputs!$F$95/100/12-Construction!AP17/100*Construction!AP11/360)+Inputs!$F$97*Inputs!$F$98/100*Construction!AP11/360+Construction!AP15*$F$17)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Construction!AQ14*(Construction!AQ30+Construction!AQ36+Inputs!$F$105/12+-1*Inputs!AQ229*(Inputs!$F$95/100/12-Construction!AQ17/100*Construction!AQ11/360)+Inputs!$F$97*Inputs!$F$98/100*Construction!AQ11/360+Construction!AQ15*$F$17)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Construction!AR14*(Construction!AR30+Construction!AR36+Inputs!$F$105/12+-1*Inputs!AR229*(Inputs!$F$95/100/12-Construction!AR17/100*Construction!AR11/360)+Inputs!$F$97*Inputs!$F$98/100*Construction!AR11/360+Construction!AR15*$F$17)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Construction!AS14*(Construction!AS30+Construction!AS36+Inputs!$F$105/12+-1*Inputs!AS229*(Inputs!$F$95/100/12-Construction!AS17/100*Construction!AS11/360)+Inputs!$F$97*Inputs!$F$98/100*Construction!AS11/360+Construction!AS15*$F$17)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Construction!AT14*(Construction!AT30+Construction!AT36+Inputs!$F$105/12+-1*Inputs!AT229*(Inputs!$F$95/100/12-Construction!AT17/100*Construction!AT11/360)+Inputs!$F$97*Inputs!$F$98/100*Construction!AT11/360+Construction!AT15*$F$17)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Construction!AU14*(Construction!AU30+Construction!AU36+Inputs!$F$105/12+-1*Inputs!AU229*(Inputs!$F$95/100/12-Construction!AU17/100*Construction!AU11/360)+Inputs!$F$97*Inputs!$F$98/100*Construction!AU11/360+Construction!AU15*$F$17)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Construction!AV14*(Construction!AV30+Construction!AV36+Inputs!$F$105/12+-1*Inputs!AV229*(Inputs!$F$95/100/12-Construction!AV17/100*Construction!AV11/360)+Inputs!$F$97*Inputs!$F$98/100*Construction!AV11/360+Construction!AV15*$F$17)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Construction!AW14*(Construction!AW30+Construction!AW36+Inputs!$F$105/12+-1*Inputs!AW229*(Inputs!$F$95/100/12-Construction!AW17/100*Construction!AW11/360)+Inputs!$F$97*Inputs!$F$98/100*Construction!AW11/360+Construction!AW15*$F$17)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Construction!AX14*(Construction!AX30+Construction!AX36+Inputs!$F$105/12+-1*Inputs!AX229*(Inputs!$F$95/100/12-Construction!AX17/100*Construction!AX11/360)+Inputs!$F$97*Inputs!$F$98/100*Construction!AX11/360+Construction!AX15*$F$17)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Construction!AY14*(Construction!AY30+Construction!AY36+Inputs!$F$105/12+-1*Inputs!AY229*(Inputs!$F$95/100/12-Construction!AY17/100*Construction!AY11/360)+Inputs!$F$97*Inputs!$F$98/100*Construction!AY11/360+Construction!AY15*$F$17)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Construction!AZ14*(Construction!AZ30+Construction!AZ36+Inputs!$F$105/12+-1*Inputs!AZ229*(Inputs!$F$95/100/12-Construction!AZ17/100*Construction!AZ11/360)+Inputs!$F$97*Inputs!$F$98/100*Construction!AZ11/360+Construction!AZ15*$F$17)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Construction!BA14*(Construction!BA30+Construction!BA36+Inputs!$F$105/12+-1*Inputs!BA229*(Inputs!$F$95/100/12-Construction!BA17/100*Construction!BA11/360)+Inputs!$F$97*Inputs!$F$98/100*Construction!BA11/360+Construction!BA15*$F$17)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Construction!BB14*(Construction!BB30+Construction!BB36+Inputs!$F$105/12+-1*Inputs!BB229*(Inputs!$F$95/100/12-Construction!BB17/100*Construction!BB11/360)+Inputs!$F$97*Inputs!$F$98/100*Construction!BB11/360+Construction!BB15*$F$17)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Construction!BC14*(Construction!BC30+Construction!BC36+Inputs!$F$105/12+-1*Inputs!BC229*(Inputs!$F$95/100/12-Construction!BC17/100*Construction!BC11/360)+Inputs!$F$97*Inputs!$F$98/100*Construction!BC11/360+Construction!BC15*$F$17)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Construction!BD14*(Construction!BD30+Construction!BD36+Inputs!$F$105/12+-1*Inputs!BD229*(Inputs!$F$95/100/12-Construction!BD17/100*Construction!BD11/360)+Inputs!$F$97*Inputs!$F$98/100*Construction!BD11/360+Construction!BD15*$F$17)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Construction!BE14*(Construction!BE30+Construction!BE36+Inputs!$F$105/12+-1*Inputs!BE229*(Inputs!$F$95/100/12-Construction!BE17/100*Construction!BE11/360)+Inputs!$F$97*Inputs!$F$98/100*Construction!BE11/360+Construction!BE15*$F$17)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Construction!BF14*(Construction!BF30+Construction!BF36+Inputs!$F$105/12+-1*Inputs!BF229*(Inputs!$F$95/100/12-Construction!BF17/100*Construction!BF11/360)+Inputs!$F$97*Inputs!$F$98/100*Construction!BF11/360+Construction!BF15*$F$17)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Construction!BG14*(Construction!BG30+Construction!BG36+Inputs!$F$105/12+-1*Inputs!BG229*(Inputs!$F$95/100/12-Construction!BG17/100*Construction!BG11/360)+Inputs!$F$97*Inputs!$F$98/100*Construction!BG11/360+Construction!BG15*$F$17)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Construction!BH14*(Construction!BH30+Construction!BH36+Inputs!$F$105/12+-1*Inputs!BH229*(Inputs!$F$95/100/12-Construction!BH17/100*Construction!BH11/360)+Inputs!$F$97*Inputs!$F$98/100*Construction!BH11/360+Construction!BH15*$F$17)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Construction!BI14*(Construction!BI30+Construction!BI36+Inputs!$F$105/12+-1*Inputs!BI229*(Inputs!$F$95/100/12-Construction!BI17/100*Construction!BI11/360)+Inputs!$F$97*Inputs!$F$98/100*Construction!BI11/360+Construction!BI15*$F$17)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Construction!BJ14*(Construction!BJ30+Construction!BJ36+Inputs!$F$105/12+-1*Inputs!BJ229*(Inputs!$F$95/100/12-Construction!BJ17/100*Construction!BJ11/360)+Inputs!$F$97*Inputs!$F$98/100*Construction!BJ11/360+Construction!BJ15*$F$17)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(Inputs!$F$111-SUM($J$44:$BJ$44))/(Inputs!$F$111+Inputs!$F$112-SUM($J$44:$BJ$44))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Construction!J14*J28*(Construction!J17+Inputs!$F$77)/100*(1/12)*1</f>
        <v/>
      </c>
      <c r="K33" s="11">
        <f>Construction!K14*K28*(Construction!K17+Inputs!$F$77)/100*(1/12)*1</f>
        <v/>
      </c>
      <c r="L33" s="11">
        <f>Construction!L14*L28*(Construction!L17+Inputs!$F$77)/100*(1/12)*1</f>
        <v/>
      </c>
      <c r="M33" s="11">
        <f>Construction!M14*M28*(Construction!M17+Inputs!$F$77)/100*(1/12)*1</f>
        <v/>
      </c>
      <c r="N33" s="11">
        <f>Construction!N14*N28*(Construction!N17+Inputs!$F$77)/100*(1/12)*1</f>
        <v/>
      </c>
      <c r="O33" s="11">
        <f>Construction!O14*O28*(Construction!O17+Inputs!$F$77)/100*(1/12)*1</f>
        <v/>
      </c>
      <c r="P33" s="11">
        <f>Construction!P14*P28*(Construction!P17+Inputs!$F$77)/100*(1/12)*1</f>
        <v/>
      </c>
      <c r="Q33" s="11">
        <f>Construction!Q14*Q28*(Construction!Q17+Inputs!$F$77)/100*(1/12)*1</f>
        <v/>
      </c>
      <c r="R33" s="11">
        <f>Construction!R14*R28*(Construction!R17+Inputs!$F$77)/100*(1/12)*1</f>
        <v/>
      </c>
      <c r="S33" s="11">
        <f>Construction!S14*S28*(Construction!S17+Inputs!$F$77)/100*(1/12)*1</f>
        <v/>
      </c>
      <c r="T33" s="11">
        <f>Construction!T14*T28*(Construction!T17+Inputs!$F$77)/100*(1/12)*1</f>
        <v/>
      </c>
      <c r="U33" s="11">
        <f>Construction!U14*U28*(Construction!U17+Inputs!$F$77)/100*(1/12)*1</f>
        <v/>
      </c>
      <c r="V33" s="11">
        <f>Construction!V14*V28*(Construction!V17+Inputs!$F$77)/100*(1/12)*1</f>
        <v/>
      </c>
      <c r="W33" s="11">
        <f>Construction!W14*W28*(Construction!W17+Inputs!$F$77)/100*(1/12)*1</f>
        <v/>
      </c>
      <c r="X33" s="11">
        <f>Construction!X14*X28*(Construction!X17+Inputs!$F$77)/100*(1/12)*1</f>
        <v/>
      </c>
      <c r="Y33" s="11">
        <f>Construction!Y14*Y28*(Construction!Y17+Inputs!$F$77)/100*(1/12)*1</f>
        <v/>
      </c>
      <c r="Z33" s="11">
        <f>Construction!Z14*Z28*(Construction!Z17+Inputs!$F$77)/100*(1/12)*1</f>
        <v/>
      </c>
      <c r="AA33" s="11">
        <f>Construction!AA14*AA28*(Construction!AA17+Inputs!$F$77)/100*(1/12)*1</f>
        <v/>
      </c>
      <c r="AB33" s="11">
        <f>Construction!AB14*AB28*(Construction!AB17+Inputs!$F$77)/100*(1/12)*1</f>
        <v/>
      </c>
      <c r="AC33" s="11">
        <f>Construction!AC14*AC28*(Construction!AC17+Inputs!$F$77)/100*(1/12)*1</f>
        <v/>
      </c>
      <c r="AD33" s="11">
        <f>Construction!AD14*AD28*(Construction!AD17+Inputs!$F$77)/100*(1/12)*1</f>
        <v/>
      </c>
      <c r="AE33" s="11">
        <f>Construction!AE14*AE28*(Construction!AE17+Inputs!$F$77)/100*(1/12)*1</f>
        <v/>
      </c>
      <c r="AF33" s="11">
        <f>Construction!AF14*AF28*(Construction!AF17+Inputs!$F$77)/100*(1/12)*1</f>
        <v/>
      </c>
      <c r="AG33" s="11">
        <f>Construction!AG14*AG28*(Construction!AG17+Inputs!$F$77)/100*(1/12)*1</f>
        <v/>
      </c>
      <c r="AH33" s="11">
        <f>Construction!AH14*AH28*(Construction!AH17+Inputs!$F$77)/100*(1/12)*1</f>
        <v/>
      </c>
      <c r="AI33" s="11">
        <f>Construction!AI14*AI28*(Construction!AI17+Inputs!$F$77)/100*(1/12)*1</f>
        <v/>
      </c>
      <c r="AJ33" s="11">
        <f>Construction!AJ14*AJ28*(Construction!AJ17+Inputs!$F$77)/100*(1/12)*1</f>
        <v/>
      </c>
      <c r="AK33" s="11">
        <f>Construction!AK14*AK28*(Construction!AK17+Inputs!$F$77)/100*(1/12)*1</f>
        <v/>
      </c>
      <c r="AL33" s="11">
        <f>Construction!AL14*AL28*(Construction!AL17+Inputs!$F$77)/100*(1/12)*1</f>
        <v/>
      </c>
      <c r="AM33" s="11">
        <f>Construction!AM14*AM28*(Construction!AM17+Inputs!$F$77)/100*(1/12)*1</f>
        <v/>
      </c>
      <c r="AN33" s="11">
        <f>Construction!AN14*AN28*(Construction!AN17+Inputs!$F$77)/100*(1/12)*1</f>
        <v/>
      </c>
      <c r="AO33" s="11">
        <f>Construction!AO14*AO28*(Construction!AO17+Inputs!$F$77)/100*(1/12)*1</f>
        <v/>
      </c>
      <c r="AP33" s="11">
        <f>Construction!AP14*AP28*(Construction!AP17+Inputs!$F$77)/100*(1/12)*1</f>
        <v/>
      </c>
      <c r="AQ33" s="11">
        <f>Construction!AQ14*AQ28*(Construction!AQ17+Inputs!$F$77)/100*(1/12)*1</f>
        <v/>
      </c>
      <c r="AR33" s="11">
        <f>Construction!AR14*AR28*(Construction!AR17+Inputs!$F$77)/100*(1/12)*1</f>
        <v/>
      </c>
      <c r="AS33" s="11">
        <f>Construction!AS14*AS28*(Construction!AS17+Inputs!$F$77)/100*(1/12)*1</f>
        <v/>
      </c>
      <c r="AT33" s="11">
        <f>Construction!AT14*AT28*(Construction!AT17+Inputs!$F$77)/100*(1/12)*1</f>
        <v/>
      </c>
      <c r="AU33" s="11">
        <f>Construction!AU14*AU28*(Construction!AU17+Inputs!$F$77)/100*(1/12)*1</f>
        <v/>
      </c>
      <c r="AV33" s="11">
        <f>Construction!AV14*AV28*(Construction!AV17+Inputs!$F$77)/100*(1/12)*1</f>
        <v/>
      </c>
      <c r="AW33" s="11">
        <f>Construction!AW14*AW28*(Construction!AW17+Inputs!$F$77)/100*(1/12)*1</f>
        <v/>
      </c>
      <c r="AX33" s="11">
        <f>Construction!AX14*AX28*(Construction!AX17+Inputs!$F$77)/100*(1/12)*1</f>
        <v/>
      </c>
      <c r="AY33" s="11">
        <f>Construction!AY14*AY28*(Construction!AY17+Inputs!$F$77)/100*(1/12)*1</f>
        <v/>
      </c>
      <c r="AZ33" s="11">
        <f>Construction!AZ14*AZ28*(Construction!AZ17+Inputs!$F$77)/100*(1/12)*1</f>
        <v/>
      </c>
      <c r="BA33" s="11">
        <f>Construction!BA14*BA28*(Construction!BA17+Inputs!$F$77)/100*(1/12)*1</f>
        <v/>
      </c>
      <c r="BB33" s="11">
        <f>Construction!BB14*BB28*(Construction!BB17+Inputs!$F$77)/100*(1/12)*1</f>
        <v/>
      </c>
      <c r="BC33" s="11">
        <f>Construction!BC14*BC28*(Construction!BC17+Inputs!$F$77)/100*(1/12)*1</f>
        <v/>
      </c>
      <c r="BD33" s="11">
        <f>Construction!BD14*BD28*(Construction!BD17+Inputs!$F$77)/100*(1/12)*1</f>
        <v/>
      </c>
      <c r="BE33" s="11">
        <f>Construction!BE14*BE28*(Construction!BE17+Inputs!$F$77)/100*(1/12)*1</f>
        <v/>
      </c>
      <c r="BF33" s="11">
        <f>Construction!BF14*BF28*(Construction!BF17+Inputs!$F$77)/100*(1/12)*1</f>
        <v/>
      </c>
      <c r="BG33" s="11">
        <f>Construction!BG14*BG28*(Construction!BG17+Inputs!$F$77)/100*(1/12)*1</f>
        <v/>
      </c>
      <c r="BH33" s="11">
        <f>Construction!BH14*BH28*(Construction!BH17+Inputs!$F$77)/100*(1/12)*1</f>
        <v/>
      </c>
      <c r="BI33" s="11">
        <f>Construction!BI14*BI28*(Construction!BI17+Inputs!$F$77)/100*(1/12)*1</f>
        <v/>
      </c>
      <c r="BJ33" s="11">
        <f>Construction!BJ14*BJ28*(Construction!BJ17+Inputs!$F$77)/100*(1/12)*1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Construction!J14*J29*(Construction!J17+Inputs!$F$78)/100*(1/12)*1</f>
        <v/>
      </c>
      <c r="K34" s="11">
        <f>Construction!K14*K29*(Construction!K17+Inputs!$F$78)/100*(1/12)*1</f>
        <v/>
      </c>
      <c r="L34" s="11">
        <f>Construction!L14*L29*(Construction!L17+Inputs!$F$78)/100*(1/12)*1</f>
        <v/>
      </c>
      <c r="M34" s="11">
        <f>Construction!M14*M29*(Construction!M17+Inputs!$F$78)/100*(1/12)*1</f>
        <v/>
      </c>
      <c r="N34" s="11">
        <f>Construction!N14*N29*(Construction!N17+Inputs!$F$78)/100*(1/12)*1</f>
        <v/>
      </c>
      <c r="O34" s="11">
        <f>Construction!O14*O29*(Construction!O17+Inputs!$F$78)/100*(1/12)*1</f>
        <v/>
      </c>
      <c r="P34" s="11">
        <f>Construction!P14*P29*(Construction!P17+Inputs!$F$78)/100*(1/12)*1</f>
        <v/>
      </c>
      <c r="Q34" s="11">
        <f>Construction!Q14*Q29*(Construction!Q17+Inputs!$F$78)/100*(1/12)*1</f>
        <v/>
      </c>
      <c r="R34" s="11">
        <f>Construction!R14*R29*(Construction!R17+Inputs!$F$78)/100*(1/12)*1</f>
        <v/>
      </c>
      <c r="S34" s="11">
        <f>Construction!S14*S29*(Construction!S17+Inputs!$F$78)/100*(1/12)*1</f>
        <v/>
      </c>
      <c r="T34" s="11">
        <f>Construction!T14*T29*(Construction!T17+Inputs!$F$78)/100*(1/12)*1</f>
        <v/>
      </c>
      <c r="U34" s="11">
        <f>Construction!U14*U29*(Construction!U17+Inputs!$F$78)/100*(1/12)*1</f>
        <v/>
      </c>
      <c r="V34" s="11">
        <f>Construction!V14*V29*(Construction!V17+Inputs!$F$78)/100*(1/12)*1</f>
        <v/>
      </c>
      <c r="W34" s="11">
        <f>Construction!W14*W29*(Construction!W17+Inputs!$F$78)/100*(1/12)*1</f>
        <v/>
      </c>
      <c r="X34" s="11">
        <f>Construction!X14*X29*(Construction!X17+Inputs!$F$78)/100*(1/12)*1</f>
        <v/>
      </c>
      <c r="Y34" s="11">
        <f>Construction!Y14*Y29*(Construction!Y17+Inputs!$F$78)/100*(1/12)*1</f>
        <v/>
      </c>
      <c r="Z34" s="11">
        <f>Construction!Z14*Z29*(Construction!Z17+Inputs!$F$78)/100*(1/12)*1</f>
        <v/>
      </c>
      <c r="AA34" s="11">
        <f>Construction!AA14*AA29*(Construction!AA17+Inputs!$F$78)/100*(1/12)*1</f>
        <v/>
      </c>
      <c r="AB34" s="11">
        <f>Construction!AB14*AB29*(Construction!AB17+Inputs!$F$78)/100*(1/12)*1</f>
        <v/>
      </c>
      <c r="AC34" s="11">
        <f>Construction!AC14*AC29*(Construction!AC17+Inputs!$F$78)/100*(1/12)*1</f>
        <v/>
      </c>
      <c r="AD34" s="11">
        <f>Construction!AD14*AD29*(Construction!AD17+Inputs!$F$78)/100*(1/12)*1</f>
        <v/>
      </c>
      <c r="AE34" s="11">
        <f>Construction!AE14*AE29*(Construction!AE17+Inputs!$F$78)/100*(1/12)*1</f>
        <v/>
      </c>
      <c r="AF34" s="11">
        <f>Construction!AF14*AF29*(Construction!AF17+Inputs!$F$78)/100*(1/12)*1</f>
        <v/>
      </c>
      <c r="AG34" s="11">
        <f>Construction!AG14*AG29*(Construction!AG17+Inputs!$F$78)/100*(1/12)*1</f>
        <v/>
      </c>
      <c r="AH34" s="11">
        <f>Construction!AH14*AH29*(Construction!AH17+Inputs!$F$78)/100*(1/12)*1</f>
        <v/>
      </c>
      <c r="AI34" s="11">
        <f>Construction!AI14*AI29*(Construction!AI17+Inputs!$F$78)/100*(1/12)*1</f>
        <v/>
      </c>
      <c r="AJ34" s="11">
        <f>Construction!AJ14*AJ29*(Construction!AJ17+Inputs!$F$78)/100*(1/12)*1</f>
        <v/>
      </c>
      <c r="AK34" s="11">
        <f>Construction!AK14*AK29*(Construction!AK17+Inputs!$F$78)/100*(1/12)*1</f>
        <v/>
      </c>
      <c r="AL34" s="11">
        <f>Construction!AL14*AL29*(Construction!AL17+Inputs!$F$78)/100*(1/12)*1</f>
        <v/>
      </c>
      <c r="AM34" s="11">
        <f>Construction!AM14*AM29*(Construction!AM17+Inputs!$F$78)/100*(1/12)*1</f>
        <v/>
      </c>
      <c r="AN34" s="11">
        <f>Construction!AN14*AN29*(Construction!AN17+Inputs!$F$78)/100*(1/12)*1</f>
        <v/>
      </c>
      <c r="AO34" s="11">
        <f>Construction!AO14*AO29*(Construction!AO17+Inputs!$F$78)/100*(1/12)*1</f>
        <v/>
      </c>
      <c r="AP34" s="11">
        <f>Construction!AP14*AP29*(Construction!AP17+Inputs!$F$78)/100*(1/12)*1</f>
        <v/>
      </c>
      <c r="AQ34" s="11">
        <f>Construction!AQ14*AQ29*(Construction!AQ17+Inputs!$F$78)/100*(1/12)*1</f>
        <v/>
      </c>
      <c r="AR34" s="11">
        <f>Construction!AR14*AR29*(Construction!AR17+Inputs!$F$78)/100*(1/12)*1</f>
        <v/>
      </c>
      <c r="AS34" s="11">
        <f>Construction!AS14*AS29*(Construction!AS17+Inputs!$F$78)/100*(1/12)*1</f>
        <v/>
      </c>
      <c r="AT34" s="11">
        <f>Construction!AT14*AT29*(Construction!AT17+Inputs!$F$78)/100*(1/12)*1</f>
        <v/>
      </c>
      <c r="AU34" s="11">
        <f>Construction!AU14*AU29*(Construction!AU17+Inputs!$F$78)/100*(1/12)*1</f>
        <v/>
      </c>
      <c r="AV34" s="11">
        <f>Construction!AV14*AV29*(Construction!AV17+Inputs!$F$78)/100*(1/12)*1</f>
        <v/>
      </c>
      <c r="AW34" s="11">
        <f>Construction!AW14*AW29*(Construction!AW17+Inputs!$F$78)/100*(1/12)*1</f>
        <v/>
      </c>
      <c r="AX34" s="11">
        <f>Construction!AX14*AX29*(Construction!AX17+Inputs!$F$78)/100*(1/12)*1</f>
        <v/>
      </c>
      <c r="AY34" s="11">
        <f>Construction!AY14*AY29*(Construction!AY17+Inputs!$F$78)/100*(1/12)*1</f>
        <v/>
      </c>
      <c r="AZ34" s="11">
        <f>Construction!AZ14*AZ29*(Construction!AZ17+Inputs!$F$78)/100*(1/12)*1</f>
        <v/>
      </c>
      <c r="BA34" s="11">
        <f>Construction!BA14*BA29*(Construction!BA17+Inputs!$F$78)/100*(1/12)*1</f>
        <v/>
      </c>
      <c r="BB34" s="11">
        <f>Construction!BB14*BB29*(Construction!BB17+Inputs!$F$78)/100*(1/12)*1</f>
        <v/>
      </c>
      <c r="BC34" s="11">
        <f>Construction!BC14*BC29*(Construction!BC17+Inputs!$F$78)/100*(1/12)*1</f>
        <v/>
      </c>
      <c r="BD34" s="11">
        <f>Construction!BD14*BD29*(Construction!BD17+Inputs!$F$78)/100*(1/12)*1</f>
        <v/>
      </c>
      <c r="BE34" s="11">
        <f>Construction!BE14*BE29*(Construction!BE17+Inputs!$F$78)/100*(1/12)*1</f>
        <v/>
      </c>
      <c r="BF34" s="11">
        <f>Construction!BF14*BF29*(Construction!BF17+Inputs!$F$78)/100*(1/12)*1</f>
        <v/>
      </c>
      <c r="BG34" s="11">
        <f>Construction!BG14*BG29*(Construction!BG17+Inputs!$F$78)/100*(1/12)*1</f>
        <v/>
      </c>
      <c r="BH34" s="11">
        <f>Construction!BH14*BH29*(Construction!BH17+Inputs!$F$78)/100*(1/12)*1</f>
        <v/>
      </c>
      <c r="BI34" s="11">
        <f>Construction!BI14*BI29*(Construction!BI17+Inputs!$F$78)/100*(1/12)*1</f>
        <v/>
      </c>
      <c r="BJ34" s="11">
        <f>Construction!BJ14*BJ29*(Construction!BJ17+Inputs!$F$78)/100*(1/12)*1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Construction!J14*J30*(Construction!J17+Inputs!$F$79)/100*(1/12)*1</f>
        <v/>
      </c>
      <c r="K35" s="11">
        <f>Construction!K14*K30*(Construction!K17+Inputs!$F$79)/100*(1/12)*1</f>
        <v/>
      </c>
      <c r="L35" s="11">
        <f>Construction!L14*L30*(Construction!L17+Inputs!$F$79)/100*(1/12)*1</f>
        <v/>
      </c>
      <c r="M35" s="11">
        <f>Construction!M14*M30*(Construction!M17+Inputs!$F$79)/100*(1/12)*1</f>
        <v/>
      </c>
      <c r="N35" s="11">
        <f>Construction!N14*N30*(Construction!N17+Inputs!$F$79)/100*(1/12)*1</f>
        <v/>
      </c>
      <c r="O35" s="11">
        <f>Construction!O14*O30*(Construction!O17+Inputs!$F$79)/100*(1/12)*1</f>
        <v/>
      </c>
      <c r="P35" s="11">
        <f>Construction!P14*P30*(Construction!P17+Inputs!$F$79)/100*(1/12)*1</f>
        <v/>
      </c>
      <c r="Q35" s="11">
        <f>Construction!Q14*Q30*(Construction!Q17+Inputs!$F$79)/100*(1/12)*1</f>
        <v/>
      </c>
      <c r="R35" s="11">
        <f>Construction!R14*R30*(Construction!R17+Inputs!$F$79)/100*(1/12)*1</f>
        <v/>
      </c>
      <c r="S35" s="11">
        <f>Construction!S14*S30*(Construction!S17+Inputs!$F$79)/100*(1/12)*1</f>
        <v/>
      </c>
      <c r="T35" s="11">
        <f>Construction!T14*T30*(Construction!T17+Inputs!$F$79)/100*(1/12)*1</f>
        <v/>
      </c>
      <c r="U35" s="11">
        <f>Construction!U14*U30*(Construction!U17+Inputs!$F$79)/100*(1/12)*1</f>
        <v/>
      </c>
      <c r="V35" s="11">
        <f>Construction!V14*V30*(Construction!V17+Inputs!$F$79)/100*(1/12)*1</f>
        <v/>
      </c>
      <c r="W35" s="11">
        <f>Construction!W14*W30*(Construction!W17+Inputs!$F$79)/100*(1/12)*1</f>
        <v/>
      </c>
      <c r="X35" s="11">
        <f>Construction!X14*X30*(Construction!X17+Inputs!$F$79)/100*(1/12)*1</f>
        <v/>
      </c>
      <c r="Y35" s="11">
        <f>Construction!Y14*Y30*(Construction!Y17+Inputs!$F$79)/100*(1/12)*1</f>
        <v/>
      </c>
      <c r="Z35" s="11">
        <f>Construction!Z14*Z30*(Construction!Z17+Inputs!$F$79)/100*(1/12)*1</f>
        <v/>
      </c>
      <c r="AA35" s="11">
        <f>Construction!AA14*AA30*(Construction!AA17+Inputs!$F$79)/100*(1/12)*1</f>
        <v/>
      </c>
      <c r="AB35" s="11">
        <f>Construction!AB14*AB30*(Construction!AB17+Inputs!$F$79)/100*(1/12)*1</f>
        <v/>
      </c>
      <c r="AC35" s="11">
        <f>Construction!AC14*AC30*(Construction!AC17+Inputs!$F$79)/100*(1/12)*1</f>
        <v/>
      </c>
      <c r="AD35" s="11">
        <f>Construction!AD14*AD30*(Construction!AD17+Inputs!$F$79)/100*(1/12)*1</f>
        <v/>
      </c>
      <c r="AE35" s="11">
        <f>Construction!AE14*AE30*(Construction!AE17+Inputs!$F$79)/100*(1/12)*1</f>
        <v/>
      </c>
      <c r="AF35" s="11">
        <f>Construction!AF14*AF30*(Construction!AF17+Inputs!$F$79)/100*(1/12)*1</f>
        <v/>
      </c>
      <c r="AG35" s="11">
        <f>Construction!AG14*AG30*(Construction!AG17+Inputs!$F$79)/100*(1/12)*1</f>
        <v/>
      </c>
      <c r="AH35" s="11">
        <f>Construction!AH14*AH30*(Construction!AH17+Inputs!$F$79)/100*(1/12)*1</f>
        <v/>
      </c>
      <c r="AI35" s="11">
        <f>Construction!AI14*AI30*(Construction!AI17+Inputs!$F$79)/100*(1/12)*1</f>
        <v/>
      </c>
      <c r="AJ35" s="11">
        <f>Construction!AJ14*AJ30*(Construction!AJ17+Inputs!$F$79)/100*(1/12)*1</f>
        <v/>
      </c>
      <c r="AK35" s="11">
        <f>Construction!AK14*AK30*(Construction!AK17+Inputs!$F$79)/100*(1/12)*1</f>
        <v/>
      </c>
      <c r="AL35" s="11">
        <f>Construction!AL14*AL30*(Construction!AL17+Inputs!$F$79)/100*(1/12)*1</f>
        <v/>
      </c>
      <c r="AM35" s="11">
        <f>Construction!AM14*AM30*(Construction!AM17+Inputs!$F$79)/100*(1/12)*1</f>
        <v/>
      </c>
      <c r="AN35" s="11">
        <f>Construction!AN14*AN30*(Construction!AN17+Inputs!$F$79)/100*(1/12)*1</f>
        <v/>
      </c>
      <c r="AO35" s="11">
        <f>Construction!AO14*AO30*(Construction!AO17+Inputs!$F$79)/100*(1/12)*1</f>
        <v/>
      </c>
      <c r="AP35" s="11">
        <f>Construction!AP14*AP30*(Construction!AP17+Inputs!$F$79)/100*(1/12)*1</f>
        <v/>
      </c>
      <c r="AQ35" s="11">
        <f>Construction!AQ14*AQ30*(Construction!AQ17+Inputs!$F$79)/100*(1/12)*1</f>
        <v/>
      </c>
      <c r="AR35" s="11">
        <f>Construction!AR14*AR30*(Construction!AR17+Inputs!$F$79)/100*(1/12)*1</f>
        <v/>
      </c>
      <c r="AS35" s="11">
        <f>Construction!AS14*AS30*(Construction!AS17+Inputs!$F$79)/100*(1/12)*1</f>
        <v/>
      </c>
      <c r="AT35" s="11">
        <f>Construction!AT14*AT30*(Construction!AT17+Inputs!$F$79)/100*(1/12)*1</f>
        <v/>
      </c>
      <c r="AU35" s="11">
        <f>Construction!AU14*AU30*(Construction!AU17+Inputs!$F$79)/100*(1/12)*1</f>
        <v/>
      </c>
      <c r="AV35" s="11">
        <f>Construction!AV14*AV30*(Construction!AV17+Inputs!$F$79)/100*(1/12)*1</f>
        <v/>
      </c>
      <c r="AW35" s="11">
        <f>Construction!AW14*AW30*(Construction!AW17+Inputs!$F$79)/100*(1/12)*1</f>
        <v/>
      </c>
      <c r="AX35" s="11">
        <f>Construction!AX14*AX30*(Construction!AX17+Inputs!$F$79)/100*(1/12)*1</f>
        <v/>
      </c>
      <c r="AY35" s="11">
        <f>Construction!AY14*AY30*(Construction!AY17+Inputs!$F$79)/100*(1/12)*1</f>
        <v/>
      </c>
      <c r="AZ35" s="11">
        <f>Construction!AZ14*AZ30*(Construction!AZ17+Inputs!$F$79)/100*(1/12)*1</f>
        <v/>
      </c>
      <c r="BA35" s="11">
        <f>Construction!BA14*BA30*(Construction!BA17+Inputs!$F$79)/100*(1/12)*1</f>
        <v/>
      </c>
      <c r="BB35" s="11">
        <f>Construction!BB14*BB30*(Construction!BB17+Inputs!$F$79)/100*(1/12)*1</f>
        <v/>
      </c>
      <c r="BC35" s="11">
        <f>Construction!BC14*BC30*(Construction!BC17+Inputs!$F$79)/100*(1/12)*1</f>
        <v/>
      </c>
      <c r="BD35" s="11">
        <f>Construction!BD14*BD30*(Construction!BD17+Inputs!$F$79)/100*(1/12)*1</f>
        <v/>
      </c>
      <c r="BE35" s="11">
        <f>Construction!BE14*BE30*(Construction!BE17+Inputs!$F$79)/100*(1/12)*1</f>
        <v/>
      </c>
      <c r="BF35" s="11">
        <f>Construction!BF14*BF30*(Construction!BF17+Inputs!$F$79)/100*(1/12)*1</f>
        <v/>
      </c>
      <c r="BG35" s="11">
        <f>Construction!BG14*BG30*(Construction!BG17+Inputs!$F$79)/100*(1/12)*1</f>
        <v/>
      </c>
      <c r="BH35" s="11">
        <f>Construction!BH14*BH30*(Construction!BH17+Inputs!$F$79)/100*(1/12)*1</f>
        <v/>
      </c>
      <c r="BI35" s="11">
        <f>Construction!BI14*BI30*(Construction!BI17+Inputs!$F$79)/100*(1/12)*1</f>
        <v/>
      </c>
      <c r="BJ35" s="11">
        <f>Construction!BJ14*BJ30*(Construction!BJ17+Inputs!$F$79)/100*(1/12)*1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Construction!J14*J31*(Construction!J17+Inputs!$F$80)/100*(1/12)*(1/(1-Inputs!$F$91/100))</f>
        <v/>
      </c>
      <c r="K36" s="11">
        <f>Construction!K14*K31*(Construction!K17+Inputs!$F$80)/100*(1/12)*(1/(1-Inputs!$F$91/100))</f>
        <v/>
      </c>
      <c r="L36" s="11">
        <f>Construction!L14*L31*(Construction!L17+Inputs!$F$80)/100*(1/12)*(1/(1-Inputs!$F$91/100))</f>
        <v/>
      </c>
      <c r="M36" s="11">
        <f>Construction!M14*M31*(Construction!M17+Inputs!$F$80)/100*(1/12)*(1/(1-Inputs!$F$91/100))</f>
        <v/>
      </c>
      <c r="N36" s="11">
        <f>Construction!N14*N31*(Construction!N17+Inputs!$F$80)/100*(1/12)*(1/(1-Inputs!$F$91/100))</f>
        <v/>
      </c>
      <c r="O36" s="11">
        <f>Construction!O14*O31*(Construction!O17+Inputs!$F$80)/100*(1/12)*(1/(1-Inputs!$F$91/100))</f>
        <v/>
      </c>
      <c r="P36" s="11">
        <f>Construction!P14*P31*(Construction!P17+Inputs!$F$80)/100*(1/12)*(1/(1-Inputs!$F$91/100))</f>
        <v/>
      </c>
      <c r="Q36" s="11">
        <f>Construction!Q14*Q31*(Construction!Q17+Inputs!$F$80)/100*(1/12)*(1/(1-Inputs!$F$91/100))</f>
        <v/>
      </c>
      <c r="R36" s="11">
        <f>Construction!R14*R31*(Construction!R17+Inputs!$F$80)/100*(1/12)*(1/(1-Inputs!$F$91/100))</f>
        <v/>
      </c>
      <c r="S36" s="11">
        <f>Construction!S14*S31*(Construction!S17+Inputs!$F$80)/100*(1/12)*(1/(1-Inputs!$F$91/100))</f>
        <v/>
      </c>
      <c r="T36" s="11">
        <f>Construction!T14*T31*(Construction!T17+Inputs!$F$80)/100*(1/12)*(1/(1-Inputs!$F$91/100))</f>
        <v/>
      </c>
      <c r="U36" s="11">
        <f>Construction!U14*U31*(Construction!U17+Inputs!$F$80)/100*(1/12)*(1/(1-Inputs!$F$91/100))</f>
        <v/>
      </c>
      <c r="V36" s="11">
        <f>Construction!V14*V31*(Construction!V17+Inputs!$F$80)/100*(1/12)*(1/(1-Inputs!$F$91/100))</f>
        <v/>
      </c>
      <c r="W36" s="11">
        <f>Construction!W14*W31*(Construction!W17+Inputs!$F$80)/100*(1/12)*(1/(1-Inputs!$F$91/100))</f>
        <v/>
      </c>
      <c r="X36" s="11">
        <f>Construction!X14*X31*(Construction!X17+Inputs!$F$80)/100*(1/12)*(1/(1-Inputs!$F$91/100))</f>
        <v/>
      </c>
      <c r="Y36" s="11">
        <f>Construction!Y14*Y31*(Construction!Y17+Inputs!$F$80)/100*(1/12)*(1/(1-Inputs!$F$91/100))</f>
        <v/>
      </c>
      <c r="Z36" s="11">
        <f>Construction!Z14*Z31*(Construction!Z17+Inputs!$F$80)/100*(1/12)*(1/(1-Inputs!$F$91/100))</f>
        <v/>
      </c>
      <c r="AA36" s="11">
        <f>Construction!AA14*AA31*(Construction!AA17+Inputs!$F$80)/100*(1/12)*(1/(1-Inputs!$F$91/100))</f>
        <v/>
      </c>
      <c r="AB36" s="11">
        <f>Construction!AB14*AB31*(Construction!AB17+Inputs!$F$80)/100*(1/12)*(1/(1-Inputs!$F$91/100))</f>
        <v/>
      </c>
      <c r="AC36" s="11">
        <f>Construction!AC14*AC31*(Construction!AC17+Inputs!$F$80)/100*(1/12)*(1/(1-Inputs!$F$91/100))</f>
        <v/>
      </c>
      <c r="AD36" s="11">
        <f>Construction!AD14*AD31*(Construction!AD17+Inputs!$F$80)/100*(1/12)*(1/(1-Inputs!$F$91/100))</f>
        <v/>
      </c>
      <c r="AE36" s="11">
        <f>Construction!AE14*AE31*(Construction!AE17+Inputs!$F$80)/100*(1/12)*(1/(1-Inputs!$F$91/100))</f>
        <v/>
      </c>
      <c r="AF36" s="11">
        <f>Construction!AF14*AF31*(Construction!AF17+Inputs!$F$80)/100*(1/12)*(1/(1-Inputs!$F$91/100))</f>
        <v/>
      </c>
      <c r="AG36" s="11">
        <f>Construction!AG14*AG31*(Construction!AG17+Inputs!$F$80)/100*(1/12)*(1/(1-Inputs!$F$91/100))</f>
        <v/>
      </c>
      <c r="AH36" s="11">
        <f>Construction!AH14*AH31*(Construction!AH17+Inputs!$F$80)/100*(1/12)*(1/(1-Inputs!$F$91/100))</f>
        <v/>
      </c>
      <c r="AI36" s="11">
        <f>Construction!AI14*AI31*(Construction!AI17+Inputs!$F$80)/100*(1/12)*(1/(1-Inputs!$F$91/100))</f>
        <v/>
      </c>
      <c r="AJ36" s="11">
        <f>Construction!AJ14*AJ31*(Construction!AJ17+Inputs!$F$80)/100*(1/12)*(1/(1-Inputs!$F$91/100))</f>
        <v/>
      </c>
      <c r="AK36" s="11">
        <f>Construction!AK14*AK31*(Construction!AK17+Inputs!$F$80)/100*(1/12)*(1/(1-Inputs!$F$91/100))</f>
        <v/>
      </c>
      <c r="AL36" s="11">
        <f>Construction!AL14*AL31*(Construction!AL17+Inputs!$F$80)/100*(1/12)*(1/(1-Inputs!$F$91/100))</f>
        <v/>
      </c>
      <c r="AM36" s="11">
        <f>Construction!AM14*AM31*(Construction!AM17+Inputs!$F$80)/100*(1/12)*(1/(1-Inputs!$F$91/100))</f>
        <v/>
      </c>
      <c r="AN36" s="11">
        <f>Construction!AN14*AN31*(Construction!AN17+Inputs!$F$80)/100*(1/12)*(1/(1-Inputs!$F$91/100))</f>
        <v/>
      </c>
      <c r="AO36" s="11">
        <f>Construction!AO14*AO31*(Construction!AO17+Inputs!$F$80)/100*(1/12)*(1/(1-Inputs!$F$91/100))</f>
        <v/>
      </c>
      <c r="AP36" s="11">
        <f>Construction!AP14*AP31*(Construction!AP17+Inputs!$F$80)/100*(1/12)*(1/(1-Inputs!$F$91/100))</f>
        <v/>
      </c>
      <c r="AQ36" s="11">
        <f>Construction!AQ14*AQ31*(Construction!AQ17+Inputs!$F$80)/100*(1/12)*(1/(1-Inputs!$F$91/100))</f>
        <v/>
      </c>
      <c r="AR36" s="11">
        <f>Construction!AR14*AR31*(Construction!AR17+Inputs!$F$80)/100*(1/12)*(1/(1-Inputs!$F$91/100))</f>
        <v/>
      </c>
      <c r="AS36" s="11">
        <f>Construction!AS14*AS31*(Construction!AS17+Inputs!$F$80)/100*(1/12)*(1/(1-Inputs!$F$91/100))</f>
        <v/>
      </c>
      <c r="AT36" s="11">
        <f>Construction!AT14*AT31*(Construction!AT17+Inputs!$F$80)/100*(1/12)*(1/(1-Inputs!$F$91/100))</f>
        <v/>
      </c>
      <c r="AU36" s="11">
        <f>Construction!AU14*AU31*(Construction!AU17+Inputs!$F$80)/100*(1/12)*(1/(1-Inputs!$F$91/100))</f>
        <v/>
      </c>
      <c r="AV36" s="11">
        <f>Construction!AV14*AV31*(Construction!AV17+Inputs!$F$80)/100*(1/12)*(1/(1-Inputs!$F$91/100))</f>
        <v/>
      </c>
      <c r="AW36" s="11">
        <f>Construction!AW14*AW31*(Construction!AW17+Inputs!$F$80)/100*(1/12)*(1/(1-Inputs!$F$91/100))</f>
        <v/>
      </c>
      <c r="AX36" s="11">
        <f>Construction!AX14*AX31*(Construction!AX17+Inputs!$F$80)/100*(1/12)*(1/(1-Inputs!$F$91/100))</f>
        <v/>
      </c>
      <c r="AY36" s="11">
        <f>Construction!AY14*AY31*(Construction!AY17+Inputs!$F$80)/100*(1/12)*(1/(1-Inputs!$F$91/100))</f>
        <v/>
      </c>
      <c r="AZ36" s="11">
        <f>Construction!AZ14*AZ31*(Construction!AZ17+Inputs!$F$80)/100*(1/12)*(1/(1-Inputs!$F$91/100))</f>
        <v/>
      </c>
      <c r="BA36" s="11">
        <f>Construction!BA14*BA31*(Construction!BA17+Inputs!$F$80)/100*(1/12)*(1/(1-Inputs!$F$91/100))</f>
        <v/>
      </c>
      <c r="BB36" s="11">
        <f>Construction!BB14*BB31*(Construction!BB17+Inputs!$F$80)/100*(1/12)*(1/(1-Inputs!$F$91/100))</f>
        <v/>
      </c>
      <c r="BC36" s="11">
        <f>Construction!BC14*BC31*(Construction!BC17+Inputs!$F$80)/100*(1/12)*(1/(1-Inputs!$F$91/100))</f>
        <v/>
      </c>
      <c r="BD36" s="11">
        <f>Construction!BD14*BD31*(Construction!BD17+Inputs!$F$80)/100*(1/12)*(1/(1-Inputs!$F$91/100))</f>
        <v/>
      </c>
      <c r="BE36" s="11">
        <f>Construction!BE14*BE31*(Construction!BE17+Inputs!$F$80)/100*(1/12)*(1/(1-Inputs!$F$91/100))</f>
        <v/>
      </c>
      <c r="BF36" s="11">
        <f>Construction!BF14*BF31*(Construction!BF17+Inputs!$F$80)/100*(1/12)*(1/(1-Inputs!$F$91/100))</f>
        <v/>
      </c>
      <c r="BG36" s="11">
        <f>Construction!BG14*BG31*(Construction!BG17+Inputs!$F$80)/100*(1/12)*(1/(1-Inputs!$F$91/100))</f>
        <v/>
      </c>
      <c r="BH36" s="11">
        <f>Construction!BH14*BH31*(Construction!BH17+Inputs!$F$80)/100*(1/12)*(1/(1-Inputs!$F$91/100))</f>
        <v/>
      </c>
      <c r="BI36" s="11">
        <f>Construction!BI14*BI31*(Construction!BI17+Inputs!$F$80)/100*(1/12)*(1/(1-Inputs!$F$91/100))</f>
        <v/>
      </c>
      <c r="BJ36" s="11">
        <f>Construction!BJ14*BJ31*(Construction!BJ17+Inputs!$F$80)/100*(1/12)*(1/(1-Inputs!$F$91/100))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-1*Construction!J14*Inputs!J229*(Inputs!$F$95/100/12-Construction!J17/100*Construction!J11/360)</f>
        <v/>
      </c>
      <c r="K39" s="11">
        <f>-1*Construction!K14*Inputs!K229*(Inputs!$F$95/100/12-Construction!K17/100*Construction!K11/360)</f>
        <v/>
      </c>
      <c r="L39" s="11">
        <f>-1*Construction!L14*Inputs!L229*(Inputs!$F$95/100/12-Construction!L17/100*Construction!L11/360)</f>
        <v/>
      </c>
      <c r="M39" s="11">
        <f>-1*Construction!M14*Inputs!M229*(Inputs!$F$95/100/12-Construction!M17/100*Construction!M11/360)</f>
        <v/>
      </c>
      <c r="N39" s="11">
        <f>-1*Construction!N14*Inputs!N229*(Inputs!$F$95/100/12-Construction!N17/100*Construction!N11/360)</f>
        <v/>
      </c>
      <c r="O39" s="11">
        <f>-1*Construction!O14*Inputs!O229*(Inputs!$F$95/100/12-Construction!O17/100*Construction!O11/360)</f>
        <v/>
      </c>
      <c r="P39" s="11">
        <f>-1*Construction!P14*Inputs!P229*(Inputs!$F$95/100/12-Construction!P17/100*Construction!P11/360)</f>
        <v/>
      </c>
      <c r="Q39" s="11">
        <f>-1*Construction!Q14*Inputs!Q229*(Inputs!$F$95/100/12-Construction!Q17/100*Construction!Q11/360)</f>
        <v/>
      </c>
      <c r="R39" s="11">
        <f>-1*Construction!R14*Inputs!R229*(Inputs!$F$95/100/12-Construction!R17/100*Construction!R11/360)</f>
        <v/>
      </c>
      <c r="S39" s="11">
        <f>-1*Construction!S14*Inputs!S229*(Inputs!$F$95/100/12-Construction!S17/100*Construction!S11/360)</f>
        <v/>
      </c>
      <c r="T39" s="11">
        <f>-1*Construction!T14*Inputs!T229*(Inputs!$F$95/100/12-Construction!T17/100*Construction!T11/360)</f>
        <v/>
      </c>
      <c r="U39" s="11">
        <f>-1*Construction!U14*Inputs!U229*(Inputs!$F$95/100/12-Construction!U17/100*Construction!U11/360)</f>
        <v/>
      </c>
      <c r="V39" s="11">
        <f>-1*Construction!V14*Inputs!V229*(Inputs!$F$95/100/12-Construction!V17/100*Construction!V11/360)</f>
        <v/>
      </c>
      <c r="W39" s="11">
        <f>-1*Construction!W14*Inputs!W229*(Inputs!$F$95/100/12-Construction!W17/100*Construction!W11/360)</f>
        <v/>
      </c>
      <c r="X39" s="11">
        <f>-1*Construction!X14*Inputs!X229*(Inputs!$F$95/100/12-Construction!X17/100*Construction!X11/360)</f>
        <v/>
      </c>
      <c r="Y39" s="11">
        <f>-1*Construction!Y14*Inputs!Y229*(Inputs!$F$95/100/12-Construction!Y17/100*Construction!Y11/360)</f>
        <v/>
      </c>
      <c r="Z39" s="11">
        <f>-1*Construction!Z14*Inputs!Z229*(Inputs!$F$95/100/12-Construction!Z17/100*Construction!Z11/360)</f>
        <v/>
      </c>
      <c r="AA39" s="11">
        <f>-1*Construction!AA14*Inputs!AA229*(Inputs!$F$95/100/12-Construction!AA17/100*Construction!AA11/360)</f>
        <v/>
      </c>
      <c r="AB39" s="11">
        <f>-1*Construction!AB14*Inputs!AB229*(Inputs!$F$95/100/12-Construction!AB17/100*Construction!AB11/360)</f>
        <v/>
      </c>
      <c r="AC39" s="11">
        <f>-1*Construction!AC14*Inputs!AC229*(Inputs!$F$95/100/12-Construction!AC17/100*Construction!AC11/360)</f>
        <v/>
      </c>
      <c r="AD39" s="11">
        <f>-1*Construction!AD14*Inputs!AD229*(Inputs!$F$95/100/12-Construction!AD17/100*Construction!AD11/360)</f>
        <v/>
      </c>
      <c r="AE39" s="11">
        <f>-1*Construction!AE14*Inputs!AE229*(Inputs!$F$95/100/12-Construction!AE17/100*Construction!AE11/360)</f>
        <v/>
      </c>
      <c r="AF39" s="11">
        <f>-1*Construction!AF14*Inputs!AF229*(Inputs!$F$95/100/12-Construction!AF17/100*Construction!AF11/360)</f>
        <v/>
      </c>
      <c r="AG39" s="11">
        <f>-1*Construction!AG14*Inputs!AG229*(Inputs!$F$95/100/12-Construction!AG17/100*Construction!AG11/360)</f>
        <v/>
      </c>
      <c r="AH39" s="11">
        <f>-1*Construction!AH14*Inputs!AH229*(Inputs!$F$95/100/12-Construction!AH17/100*Construction!AH11/360)</f>
        <v/>
      </c>
      <c r="AI39" s="11">
        <f>-1*Construction!AI14*Inputs!AI229*(Inputs!$F$95/100/12-Construction!AI17/100*Construction!AI11/360)</f>
        <v/>
      </c>
      <c r="AJ39" s="11">
        <f>-1*Construction!AJ14*Inputs!AJ229*(Inputs!$F$95/100/12-Construction!AJ17/100*Construction!AJ11/360)</f>
        <v/>
      </c>
      <c r="AK39" s="11">
        <f>-1*Construction!AK14*Inputs!AK229*(Inputs!$F$95/100/12-Construction!AK17/100*Construction!AK11/360)</f>
        <v/>
      </c>
      <c r="AL39" s="11">
        <f>-1*Construction!AL14*Inputs!AL229*(Inputs!$F$95/100/12-Construction!AL17/100*Construction!AL11/360)</f>
        <v/>
      </c>
      <c r="AM39" s="11">
        <f>-1*Construction!AM14*Inputs!AM229*(Inputs!$F$95/100/12-Construction!AM17/100*Construction!AM11/360)</f>
        <v/>
      </c>
      <c r="AN39" s="11">
        <f>-1*Construction!AN14*Inputs!AN229*(Inputs!$F$95/100/12-Construction!AN17/100*Construction!AN11/360)</f>
        <v/>
      </c>
      <c r="AO39" s="11">
        <f>-1*Construction!AO14*Inputs!AO229*(Inputs!$F$95/100/12-Construction!AO17/100*Construction!AO11/360)</f>
        <v/>
      </c>
      <c r="AP39" s="11">
        <f>-1*Construction!AP14*Inputs!AP229*(Inputs!$F$95/100/12-Construction!AP17/100*Construction!AP11/360)</f>
        <v/>
      </c>
      <c r="AQ39" s="11">
        <f>-1*Construction!AQ14*Inputs!AQ229*(Inputs!$F$95/100/12-Construction!AQ17/100*Construction!AQ11/360)</f>
        <v/>
      </c>
      <c r="AR39" s="11">
        <f>-1*Construction!AR14*Inputs!AR229*(Inputs!$F$95/100/12-Construction!AR17/100*Construction!AR11/360)</f>
        <v/>
      </c>
      <c r="AS39" s="11">
        <f>-1*Construction!AS14*Inputs!AS229*(Inputs!$F$95/100/12-Construction!AS17/100*Construction!AS11/360)</f>
        <v/>
      </c>
      <c r="AT39" s="11">
        <f>-1*Construction!AT14*Inputs!AT229*(Inputs!$F$95/100/12-Construction!AT17/100*Construction!AT11/360)</f>
        <v/>
      </c>
      <c r="AU39" s="11">
        <f>-1*Construction!AU14*Inputs!AU229*(Inputs!$F$95/100/12-Construction!AU17/100*Construction!AU11/360)</f>
        <v/>
      </c>
      <c r="AV39" s="11">
        <f>-1*Construction!AV14*Inputs!AV229*(Inputs!$F$95/100/12-Construction!AV17/100*Construction!AV11/360)</f>
        <v/>
      </c>
      <c r="AW39" s="11">
        <f>-1*Construction!AW14*Inputs!AW229*(Inputs!$F$95/100/12-Construction!AW17/100*Construction!AW11/360)</f>
        <v/>
      </c>
      <c r="AX39" s="11">
        <f>-1*Construction!AX14*Inputs!AX229*(Inputs!$F$95/100/12-Construction!AX17/100*Construction!AX11/360)</f>
        <v/>
      </c>
      <c r="AY39" s="11">
        <f>-1*Construction!AY14*Inputs!AY229*(Inputs!$F$95/100/12-Construction!AY17/100*Construction!AY11/360)</f>
        <v/>
      </c>
      <c r="AZ39" s="11">
        <f>-1*Construction!AZ14*Inputs!AZ229*(Inputs!$F$95/100/12-Construction!AZ17/100*Construction!AZ11/360)</f>
        <v/>
      </c>
      <c r="BA39" s="11">
        <f>-1*Construction!BA14*Inputs!BA229*(Inputs!$F$95/100/12-Construction!BA17/100*Construction!BA11/360)</f>
        <v/>
      </c>
      <c r="BB39" s="11">
        <f>-1*Construction!BB14*Inputs!BB229*(Inputs!$F$95/100/12-Construction!BB17/100*Construction!BB11/360)</f>
        <v/>
      </c>
      <c r="BC39" s="11">
        <f>-1*Construction!BC14*Inputs!BC229*(Inputs!$F$95/100/12-Construction!BC17/100*Construction!BC11/360)</f>
        <v/>
      </c>
      <c r="BD39" s="11">
        <f>-1*Construction!BD14*Inputs!BD229*(Inputs!$F$95/100/12-Construction!BD17/100*Construction!BD11/360)</f>
        <v/>
      </c>
      <c r="BE39" s="11">
        <f>-1*Construction!BE14*Inputs!BE229*(Inputs!$F$95/100/12-Construction!BE17/100*Construction!BE11/360)</f>
        <v/>
      </c>
      <c r="BF39" s="11">
        <f>-1*Construction!BF14*Inputs!BF229*(Inputs!$F$95/100/12-Construction!BF17/100*Construction!BF11/360)</f>
        <v/>
      </c>
      <c r="BG39" s="11">
        <f>-1*Construction!BG14*Inputs!BG229*(Inputs!$F$95/100/12-Construction!BG17/100*Construction!BG11/360)</f>
        <v/>
      </c>
      <c r="BH39" s="11">
        <f>-1*Construction!BH14*Inputs!BH229*(Inputs!$F$95/100/12-Construction!BH17/100*Construction!BH11/360)</f>
        <v/>
      </c>
      <c r="BI39" s="11">
        <f>-1*Construction!BI14*Inputs!BI229*(Inputs!$F$95/100/12-Construction!BI17/100*Construction!BI11/360)</f>
        <v/>
      </c>
      <c r="BJ39" s="11">
        <f>-1*Construction!BJ14*Inputs!BJ229*(Inputs!$F$95/100/12-Construction!BJ17/100*Construction!BJ11/360)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MIN(($F$26*(J45-J44)+J44)/(1-Inputs!$F$92/100*Inputs!$F$73*$F$26),J46)</f>
        <v/>
      </c>
      <c r="K47" s="11">
        <f>MIN(($F$26*(K45-K44)+K44)/(1-Inputs!$F$92/100*Inputs!$F$73*$F$26),K46)</f>
        <v/>
      </c>
      <c r="L47" s="11">
        <f>MIN(($F$26*(L45-L44)+L44)/(1-Inputs!$F$92/100*Inputs!$F$73*$F$26),L46)</f>
        <v/>
      </c>
      <c r="M47" s="11">
        <f>MIN(($F$26*(M45-M44)+M44)/(1-Inputs!$F$92/100*Inputs!$F$73*$F$26),M46)</f>
        <v/>
      </c>
      <c r="N47" s="11">
        <f>MIN(($F$26*(N45-N44)+N44)/(1-Inputs!$F$92/100*Inputs!$F$73*$F$26),N46)</f>
        <v/>
      </c>
      <c r="O47" s="11">
        <f>MIN(($F$26*(O45-O44)+O44)/(1-Inputs!$F$92/100*Inputs!$F$73*$F$26),O46)</f>
        <v/>
      </c>
      <c r="P47" s="11">
        <f>MIN(($F$26*(P45-P44)+P44)/(1-Inputs!$F$92/100*Inputs!$F$73*$F$26),P46)</f>
        <v/>
      </c>
      <c r="Q47" s="11">
        <f>MIN(($F$26*(Q45-Q44)+Q44)/(1-Inputs!$F$92/100*Inputs!$F$73*$F$26),Q46)</f>
        <v/>
      </c>
      <c r="R47" s="11">
        <f>MIN(($F$26*(R45-R44)+R44)/(1-Inputs!$F$92/100*Inputs!$F$73*$F$26),R46)</f>
        <v/>
      </c>
      <c r="S47" s="11">
        <f>MIN(($F$26*(S45-S44)+S44)/(1-Inputs!$F$92/100*Inputs!$F$73*$F$26),S46)</f>
        <v/>
      </c>
      <c r="T47" s="11">
        <f>MIN(($F$26*(T45-T44)+T44)/(1-Inputs!$F$92/100*Inputs!$F$73*$F$26),T46)</f>
        <v/>
      </c>
      <c r="U47" s="11">
        <f>MIN(($F$26*(U45-U44)+U44)/(1-Inputs!$F$92/100*Inputs!$F$73*$F$26),U46)</f>
        <v/>
      </c>
      <c r="V47" s="11">
        <f>MIN(($F$26*(V45-V44)+V44)/(1-Inputs!$F$92/100*Inputs!$F$73*$F$26),V46)</f>
        <v/>
      </c>
      <c r="W47" s="11">
        <f>MIN(($F$26*(W45-W44)+W44)/(1-Inputs!$F$92/100*Inputs!$F$73*$F$26),W46)</f>
        <v/>
      </c>
      <c r="X47" s="11">
        <f>MIN(($F$26*(X45-X44)+X44)/(1-Inputs!$F$92/100*Inputs!$F$73*$F$26),X46)</f>
        <v/>
      </c>
      <c r="Y47" s="11">
        <f>MIN(($F$26*(Y45-Y44)+Y44)/(1-Inputs!$F$92/100*Inputs!$F$73*$F$26),Y46)</f>
        <v/>
      </c>
      <c r="Z47" s="11">
        <f>MIN(($F$26*(Z45-Z44)+Z44)/(1-Inputs!$F$92/100*Inputs!$F$73*$F$26),Z46)</f>
        <v/>
      </c>
      <c r="AA47" s="11">
        <f>MIN(($F$26*(AA45-AA44)+AA44)/(1-Inputs!$F$92/100*Inputs!$F$73*$F$26),AA46)</f>
        <v/>
      </c>
      <c r="AB47" s="11">
        <f>MIN(($F$26*(AB45-AB44)+AB44)/(1-Inputs!$F$92/100*Inputs!$F$73*$F$26),AB46)</f>
        <v/>
      </c>
      <c r="AC47" s="11">
        <f>MIN(($F$26*(AC45-AC44)+AC44)/(1-Inputs!$F$92/100*Inputs!$F$73*$F$26),AC46)</f>
        <v/>
      </c>
      <c r="AD47" s="11">
        <f>MIN(($F$26*(AD45-AD44)+AD44)/(1-Inputs!$F$92/100*Inputs!$F$73*$F$26),AD46)</f>
        <v/>
      </c>
      <c r="AE47" s="11">
        <f>MIN(($F$26*(AE45-AE44)+AE44)/(1-Inputs!$F$92/100*Inputs!$F$73*$F$26),AE46)</f>
        <v/>
      </c>
      <c r="AF47" s="11">
        <f>MIN(($F$26*(AF45-AF44)+AF44)/(1-Inputs!$F$92/100*Inputs!$F$73*$F$26),AF46)</f>
        <v/>
      </c>
      <c r="AG47" s="11">
        <f>MIN(($F$26*(AG45-AG44)+AG44)/(1-Inputs!$F$92/100*Inputs!$F$73*$F$26),AG46)</f>
        <v/>
      </c>
      <c r="AH47" s="11">
        <f>MIN(($F$26*(AH45-AH44)+AH44)/(1-Inputs!$F$92/100*Inputs!$F$73*$F$26),AH46)</f>
        <v/>
      </c>
      <c r="AI47" s="11">
        <f>MIN(($F$26*(AI45-AI44)+AI44)/(1-Inputs!$F$92/100*Inputs!$F$73*$F$26),AI46)</f>
        <v/>
      </c>
      <c r="AJ47" s="11">
        <f>MIN(($F$26*(AJ45-AJ44)+AJ44)/(1-Inputs!$F$92/100*Inputs!$F$73*$F$26),AJ46)</f>
        <v/>
      </c>
      <c r="AK47" s="11">
        <f>MIN(($F$26*(AK45-AK44)+AK44)/(1-Inputs!$F$92/100*Inputs!$F$73*$F$26),AK46)</f>
        <v/>
      </c>
      <c r="AL47" s="11">
        <f>MIN(($F$26*(AL45-AL44)+AL44)/(1-Inputs!$F$92/100*Inputs!$F$73*$F$26),AL46)</f>
        <v/>
      </c>
      <c r="AM47" s="11">
        <f>MIN(($F$26*(AM45-AM44)+AM44)/(1-Inputs!$F$92/100*Inputs!$F$73*$F$26),AM46)</f>
        <v/>
      </c>
      <c r="AN47" s="11">
        <f>MIN(($F$26*(AN45-AN44)+AN44)/(1-Inputs!$F$92/100*Inputs!$F$73*$F$26),AN46)</f>
        <v/>
      </c>
      <c r="AO47" s="11">
        <f>MIN(($F$26*(AO45-AO44)+AO44)/(1-Inputs!$F$92/100*Inputs!$F$73*$F$26),AO46)</f>
        <v/>
      </c>
      <c r="AP47" s="11">
        <f>MIN(($F$26*(AP45-AP44)+AP44)/(1-Inputs!$F$92/100*Inputs!$F$73*$F$26),AP46)</f>
        <v/>
      </c>
      <c r="AQ47" s="11">
        <f>MIN(($F$26*(AQ45-AQ44)+AQ44)/(1-Inputs!$F$92/100*Inputs!$F$73*$F$26),AQ46)</f>
        <v/>
      </c>
      <c r="AR47" s="11">
        <f>MIN(($F$26*(AR45-AR44)+AR44)/(1-Inputs!$F$92/100*Inputs!$F$73*$F$26),AR46)</f>
        <v/>
      </c>
      <c r="AS47" s="11">
        <f>MIN(($F$26*(AS45-AS44)+AS44)/(1-Inputs!$F$92/100*Inputs!$F$73*$F$26),AS46)</f>
        <v/>
      </c>
      <c r="AT47" s="11">
        <f>MIN(($F$26*(AT45-AT44)+AT44)/(1-Inputs!$F$92/100*Inputs!$F$73*$F$26),AT46)</f>
        <v/>
      </c>
      <c r="AU47" s="11">
        <f>MIN(($F$26*(AU45-AU44)+AU44)/(1-Inputs!$F$92/100*Inputs!$F$73*$F$26),AU46)</f>
        <v/>
      </c>
      <c r="AV47" s="11">
        <f>MIN(($F$26*(AV45-AV44)+AV44)/(1-Inputs!$F$92/100*Inputs!$F$73*$F$26),AV46)</f>
        <v/>
      </c>
      <c r="AW47" s="11">
        <f>MIN(($F$26*(AW45-AW44)+AW44)/(1-Inputs!$F$92/100*Inputs!$F$73*$F$26),AW46)</f>
        <v/>
      </c>
      <c r="AX47" s="11">
        <f>MIN(($F$26*(AX45-AX44)+AX44)/(1-Inputs!$F$92/100*Inputs!$F$73*$F$26),AX46)</f>
        <v/>
      </c>
      <c r="AY47" s="11">
        <f>MIN(($F$26*(AY45-AY44)+AY44)/(1-Inputs!$F$92/100*Inputs!$F$73*$F$26),AY46)</f>
        <v/>
      </c>
      <c r="AZ47" s="11">
        <f>MIN(($F$26*(AZ45-AZ44)+AZ44)/(1-Inputs!$F$92/100*Inputs!$F$73*$F$26),AZ46)</f>
        <v/>
      </c>
      <c r="BA47" s="11">
        <f>MIN(($F$26*(BA45-BA44)+BA44)/(1-Inputs!$F$92/100*Inputs!$F$73*$F$26),BA46)</f>
        <v/>
      </c>
      <c r="BB47" s="11">
        <f>MIN(($F$26*(BB45-BB44)+BB44)/(1-Inputs!$F$92/100*Inputs!$F$73*$F$26),BB46)</f>
        <v/>
      </c>
      <c r="BC47" s="11">
        <f>MIN(($F$26*(BC45-BC44)+BC44)/(1-Inputs!$F$92/100*Inputs!$F$73*$F$26),BC46)</f>
        <v/>
      </c>
      <c r="BD47" s="11">
        <f>MIN(($F$26*(BD45-BD44)+BD44)/(1-Inputs!$F$92/100*Inputs!$F$73*$F$26),BD46)</f>
        <v/>
      </c>
      <c r="BE47" s="11">
        <f>MIN(($F$26*(BE45-BE44)+BE44)/(1-Inputs!$F$92/100*Inputs!$F$73*$F$26),BE46)</f>
        <v/>
      </c>
      <c r="BF47" s="11">
        <f>MIN(($F$26*(BF45-BF44)+BF44)/(1-Inputs!$F$92/100*Inputs!$F$73*$F$26),BF46)</f>
        <v/>
      </c>
      <c r="BG47" s="11">
        <f>MIN(($F$26*(BG45-BG44)+BG44)/(1-Inputs!$F$92/100*Inputs!$F$73*$F$26),BG46)</f>
        <v/>
      </c>
      <c r="BH47" s="11">
        <f>MIN(($F$26*(BH45-BH44)+BH44)/(1-Inputs!$F$92/100*Inputs!$F$73*$F$26),BH46)</f>
        <v/>
      </c>
      <c r="BI47" s="11">
        <f>MIN(($F$26*(BI45-BI44)+BI44)/(1-Inputs!$F$92/100*Inputs!$F$73*$F$26),BI46)</f>
        <v/>
      </c>
      <c r="BJ47" s="11">
        <f>MIN(($F$26*(BJ45-BJ44)+BJ44)/(1-Inputs!$F$92/100*Inputs!$F$73*$F$26),BJ46)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J49</f>
        <v/>
      </c>
      <c r="K50" s="11">
        <f>K49</f>
        <v/>
      </c>
      <c r="L50" s="11">
        <f>L49</f>
        <v/>
      </c>
      <c r="M50" s="11">
        <f>M49</f>
        <v/>
      </c>
      <c r="N50" s="11">
        <f>N49</f>
        <v/>
      </c>
      <c r="O50" s="11">
        <f>O49</f>
        <v/>
      </c>
      <c r="P50" s="11">
        <f>P49</f>
        <v/>
      </c>
      <c r="Q50" s="11">
        <f>Q49</f>
        <v/>
      </c>
      <c r="R50" s="11">
        <f>R49</f>
        <v/>
      </c>
      <c r="S50" s="11">
        <f>S49</f>
        <v/>
      </c>
      <c r="T50" s="11">
        <f>T49</f>
        <v/>
      </c>
      <c r="U50" s="11">
        <f>U49</f>
        <v/>
      </c>
      <c r="V50" s="11">
        <f>V49</f>
        <v/>
      </c>
      <c r="W50" s="11">
        <f>W49</f>
        <v/>
      </c>
      <c r="X50" s="11">
        <f>X49</f>
        <v/>
      </c>
      <c r="Y50" s="11">
        <f>Y49</f>
        <v/>
      </c>
      <c r="Z50" s="11">
        <f>Z49</f>
        <v/>
      </c>
      <c r="AA50" s="11">
        <f>AA49</f>
        <v/>
      </c>
      <c r="AB50" s="11">
        <f>AB49</f>
        <v/>
      </c>
      <c r="AC50" s="11">
        <f>AC49</f>
        <v/>
      </c>
      <c r="AD50" s="11">
        <f>AD49</f>
        <v/>
      </c>
      <c r="AE50" s="11">
        <f>AE49</f>
        <v/>
      </c>
      <c r="AF50" s="11">
        <f>AF49</f>
        <v/>
      </c>
      <c r="AG50" s="11">
        <f>AG49</f>
        <v/>
      </c>
      <c r="AH50" s="11">
        <f>AH49</f>
        <v/>
      </c>
      <c r="AI50" s="11">
        <f>AI49</f>
        <v/>
      </c>
      <c r="AJ50" s="11">
        <f>AJ49</f>
        <v/>
      </c>
      <c r="AK50" s="11">
        <f>AK49</f>
        <v/>
      </c>
      <c r="AL50" s="11">
        <f>AL49</f>
        <v/>
      </c>
      <c r="AM50" s="11">
        <f>AM49</f>
        <v/>
      </c>
      <c r="AN50" s="11">
        <f>AN49</f>
        <v/>
      </c>
      <c r="AO50" s="11">
        <f>AO49</f>
        <v/>
      </c>
      <c r="AP50" s="11">
        <f>AP49</f>
        <v/>
      </c>
      <c r="AQ50" s="11">
        <f>AQ49</f>
        <v/>
      </c>
      <c r="AR50" s="11">
        <f>AR49</f>
        <v/>
      </c>
      <c r="AS50" s="11">
        <f>AS49</f>
        <v/>
      </c>
      <c r="AT50" s="11">
        <f>AT49</f>
        <v/>
      </c>
      <c r="AU50" s="11">
        <f>AU49</f>
        <v/>
      </c>
      <c r="AV50" s="11">
        <f>AV49</f>
        <v/>
      </c>
      <c r="AW50" s="11">
        <f>AW49</f>
        <v/>
      </c>
      <c r="AX50" s="11">
        <f>AX49</f>
        <v/>
      </c>
      <c r="AY50" s="11">
        <f>AY49</f>
        <v/>
      </c>
      <c r="AZ50" s="11">
        <f>AZ49</f>
        <v/>
      </c>
      <c r="BA50" s="11">
        <f>BA49</f>
        <v/>
      </c>
      <c r="BB50" s="11">
        <f>BB49</f>
        <v/>
      </c>
      <c r="BC50" s="11">
        <f>BC49</f>
        <v/>
      </c>
      <c r="BD50" s="11">
        <f>BD49</f>
        <v/>
      </c>
      <c r="BE50" s="11">
        <f>BE49</f>
        <v/>
      </c>
      <c r="BF50" s="11">
        <f>BF49</f>
        <v/>
      </c>
      <c r="BG50" s="11">
        <f>BG49</f>
        <v/>
      </c>
      <c r="BH50" s="11">
        <f>BH49</f>
        <v/>
      </c>
      <c r="BI50" s="11">
        <f>BI49</f>
        <v/>
      </c>
      <c r="BJ50" s="11">
        <f>BJ49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(Operations!J9+Inputs!$F$77+J9)/100*0.5</f>
        <v/>
      </c>
      <c r="K10" s="14">
        <f>(Operations!K9+Inputs!$F$77+K9)/100*0.5</f>
        <v/>
      </c>
      <c r="L10" s="14">
        <f>(Operations!L9+Inputs!$F$77+L9)/100*0.5</f>
        <v/>
      </c>
      <c r="M10" s="14">
        <f>(Operations!M9+Inputs!$F$77+M9)/100*0.5</f>
        <v/>
      </c>
      <c r="N10" s="14">
        <f>(Operations!N9+Inputs!$F$77+N9)/100*0.5</f>
        <v/>
      </c>
      <c r="O10" s="14">
        <f>(Operations!O9+Inputs!$F$77+O9)/100*0.5</f>
        <v/>
      </c>
      <c r="P10" s="14">
        <f>(Operations!P9+Inputs!$F$77+P9)/100*0.5</f>
        <v/>
      </c>
      <c r="Q10" s="14">
        <f>(Operations!Q9+Inputs!$F$77+Q9)/100*0.5</f>
        <v/>
      </c>
      <c r="R10" s="14">
        <f>(Operations!R9+Inputs!$F$77+R9)/100*0.5</f>
        <v/>
      </c>
      <c r="S10" s="14">
        <f>(Operations!S9+Inputs!$F$77+S9)/100*0.5</f>
        <v/>
      </c>
      <c r="T10" s="14">
        <f>(Operations!T9+Inputs!$F$77+T9)/100*0.5</f>
        <v/>
      </c>
      <c r="U10" s="14">
        <f>(Operations!U9+Inputs!$F$77+U9)/100*0.5</f>
        <v/>
      </c>
      <c r="V10" s="14">
        <f>(Operations!V9+Inputs!$F$77+V9)/100*0.5</f>
        <v/>
      </c>
      <c r="W10" s="14">
        <f>(Operations!W9+Inputs!$F$77+W9)/100*0.5</f>
        <v/>
      </c>
      <c r="X10" s="14">
        <f>(Operations!X9+Inputs!$F$77+X9)/100*0.5</f>
        <v/>
      </c>
      <c r="Y10" s="14">
        <f>(Operations!Y9+Inputs!$F$77+Y9)/100*0.5</f>
        <v/>
      </c>
      <c r="Z10" s="14">
        <f>(Operations!Z9+Inputs!$F$77+Z9)/100*0.5</f>
        <v/>
      </c>
      <c r="AA10" s="14">
        <f>(Operations!AA9+Inputs!$F$77+AA9)/100*0.5</f>
        <v/>
      </c>
      <c r="AB10" s="14">
        <f>(Operations!AB9+Inputs!$F$77+AB9)/100*0.5</f>
        <v/>
      </c>
      <c r="AC10" s="14">
        <f>(Operations!AC9+Inputs!$F$77+AC9)/100*0.5</f>
        <v/>
      </c>
      <c r="AD10" s="14">
        <f>(Operations!AD9+Inputs!$F$77+AD9)/100*0.5</f>
        <v/>
      </c>
      <c r="AE10" s="14">
        <f>(Operations!AE9+Inputs!$F$77+AE9)/100*0.5</f>
        <v/>
      </c>
      <c r="AF10" s="14">
        <f>(Operations!AF9+Inputs!$F$77+AF9)/100*0.5</f>
        <v/>
      </c>
      <c r="AG10" s="14">
        <f>(Operations!AG9+Inputs!$F$77+AG9)/100*0.5</f>
        <v/>
      </c>
      <c r="AH10" s="14">
        <f>(Operations!AH9+Inputs!$F$77+AH9)/100*0.5</f>
        <v/>
      </c>
      <c r="AI10" s="14">
        <f>(Operations!AI9+Inputs!$F$77+AI9)/100*0.5</f>
        <v/>
      </c>
      <c r="AJ10" s="14">
        <f>(Operations!AJ9+Inputs!$F$77+AJ9)/100*0.5</f>
        <v/>
      </c>
      <c r="AK10" s="14">
        <f>(Operations!AK9+Inputs!$F$77+AK9)/100*0.5</f>
        <v/>
      </c>
      <c r="AL10" s="14">
        <f>(Operations!AL9+Inputs!$F$77+AL9)/100*0.5</f>
        <v/>
      </c>
      <c r="AM10" s="14">
        <f>(Operations!AM9+Inputs!$F$77+AM9)/100*0.5</f>
        <v/>
      </c>
      <c r="AN10" s="14">
        <f>(Operations!AN9+Inputs!$F$77+AN9)/100*0.5</f>
        <v/>
      </c>
      <c r="AO10" s="14">
        <f>(Operations!AO9+Inputs!$F$77+AO9)/100*0.5</f>
        <v/>
      </c>
      <c r="AP10" s="14">
        <f>(Operations!AP9+Inputs!$F$77+AP9)/100*0.5</f>
        <v/>
      </c>
      <c r="AQ10" s="14">
        <f>(Operations!AQ9+Inputs!$F$77+AQ9)/100*0.5</f>
        <v/>
      </c>
      <c r="AR10" s="14">
        <f>(Operations!AR9+Inputs!$F$77+AR9)/100*0.5</f>
        <v/>
      </c>
      <c r="AS10" s="14">
        <f>(Operations!AS9+Inputs!$F$77+AS9)/100*0.5</f>
        <v/>
      </c>
      <c r="AT10" s="14">
        <f>(Operations!AT9+Inputs!$F$77+AT9)/100*0.5</f>
        <v/>
      </c>
      <c r="AU10" s="14">
        <f>(Operations!AU9+Inputs!$F$77+AU9)/100*0.5</f>
        <v/>
      </c>
      <c r="AV10" s="14">
        <f>(Operations!AV9+Inputs!$F$77+AV9)/100*0.5</f>
        <v/>
      </c>
      <c r="AW10" s="14">
        <f>(Operations!AW9+Inputs!$F$77+AW9)/100*0.5</f>
        <v/>
      </c>
      <c r="AX10" s="14">
        <f>(Operations!AX9+Inputs!$F$77+AX9)/100*0.5</f>
        <v/>
      </c>
      <c r="AY10" s="14">
        <f>(Operations!AY9+Inputs!$F$77+AY9)/100*0.5</f>
        <v/>
      </c>
      <c r="AZ10" s="14">
        <f>(Operations!AZ9+Inputs!$F$77+AZ9)/100*0.5</f>
        <v/>
      </c>
      <c r="BA10" s="14">
        <f>(Operations!BA9+Inputs!$F$77+BA9)/100*0.5</f>
        <v/>
      </c>
      <c r="BB10" s="14">
        <f>(Operations!BB9+Inputs!$F$77+BB9)/100*0.5</f>
        <v/>
      </c>
      <c r="BC10" s="14">
        <f>(Operations!BC9+Inputs!$F$77+BC9)/100*0.5</f>
        <v/>
      </c>
      <c r="BD10" s="14">
        <f>(Operations!BD9+Inputs!$F$77+BD9)/100*0.5</f>
        <v/>
      </c>
      <c r="BE10" s="14">
        <f>(Operations!BE9+Inputs!$F$77+BE9)/100*0.5</f>
        <v/>
      </c>
      <c r="BF10" s="14">
        <f>(Operations!BF9+Inputs!$F$77+BF9)/100*0.5</f>
        <v/>
      </c>
      <c r="BG10" s="14">
        <f>(Operations!BG9+Inputs!$F$77+BG9)/100*0.5</f>
        <v/>
      </c>
      <c r="BH10" s="14">
        <f>(Operations!BH9+Inputs!$F$77+BH9)/100*0.5</f>
        <v/>
      </c>
      <c r="BI10" s="14">
        <f>(Operations!BI9+Inputs!$F$77+BI9)/100*0.5</f>
        <v/>
      </c>
      <c r="BJ10" s="14">
        <f>(Operations!BJ9+Inputs!$F$77+BJ9)/100*0.5</f>
        <v/>
      </c>
      <c r="BK10" s="14">
        <f>(Operations!BK9+Inputs!$F$77+BK9)/100*0.5</f>
        <v/>
      </c>
      <c r="BL10" s="14">
        <f>(Operations!BL9+Inputs!$F$77+BL9)/100*0.5</f>
        <v/>
      </c>
      <c r="BM10" s="14">
        <f>(Operations!BM9+Inputs!$F$77+BM9)/100*0.5</f>
        <v/>
      </c>
      <c r="BN10" s="14">
        <f>(Operations!BN9+Inputs!$F$77+BN9)/100*0.5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(Operations!J9+Inputs!$F$78+J9)/100*0.5</f>
        <v/>
      </c>
      <c r="K11" s="14">
        <f>(Operations!K9+Inputs!$F$78+K9)/100*0.5</f>
        <v/>
      </c>
      <c r="L11" s="14">
        <f>(Operations!L9+Inputs!$F$78+L9)/100*0.5</f>
        <v/>
      </c>
      <c r="M11" s="14">
        <f>(Operations!M9+Inputs!$F$78+M9)/100*0.5</f>
        <v/>
      </c>
      <c r="N11" s="14">
        <f>(Operations!N9+Inputs!$F$78+N9)/100*0.5</f>
        <v/>
      </c>
      <c r="O11" s="14">
        <f>(Operations!O9+Inputs!$F$78+O9)/100*0.5</f>
        <v/>
      </c>
      <c r="P11" s="14">
        <f>(Operations!P9+Inputs!$F$78+P9)/100*0.5</f>
        <v/>
      </c>
      <c r="Q11" s="14">
        <f>(Operations!Q9+Inputs!$F$78+Q9)/100*0.5</f>
        <v/>
      </c>
      <c r="R11" s="14">
        <f>(Operations!R9+Inputs!$F$78+R9)/100*0.5</f>
        <v/>
      </c>
      <c r="S11" s="14">
        <f>(Operations!S9+Inputs!$F$78+S9)/100*0.5</f>
        <v/>
      </c>
      <c r="T11" s="14">
        <f>(Operations!T9+Inputs!$F$78+T9)/100*0.5</f>
        <v/>
      </c>
      <c r="U11" s="14">
        <f>(Operations!U9+Inputs!$F$78+U9)/100*0.5</f>
        <v/>
      </c>
      <c r="V11" s="14">
        <f>(Operations!V9+Inputs!$F$78+V9)/100*0.5</f>
        <v/>
      </c>
      <c r="W11" s="14">
        <f>(Operations!W9+Inputs!$F$78+W9)/100*0.5</f>
        <v/>
      </c>
      <c r="X11" s="14">
        <f>(Operations!X9+Inputs!$F$78+X9)/100*0.5</f>
        <v/>
      </c>
      <c r="Y11" s="14">
        <f>(Operations!Y9+Inputs!$F$78+Y9)/100*0.5</f>
        <v/>
      </c>
      <c r="Z11" s="14">
        <f>(Operations!Z9+Inputs!$F$78+Z9)/100*0.5</f>
        <v/>
      </c>
      <c r="AA11" s="14">
        <f>(Operations!AA9+Inputs!$F$78+AA9)/100*0.5</f>
        <v/>
      </c>
      <c r="AB11" s="14">
        <f>(Operations!AB9+Inputs!$F$78+AB9)/100*0.5</f>
        <v/>
      </c>
      <c r="AC11" s="14">
        <f>(Operations!AC9+Inputs!$F$78+AC9)/100*0.5</f>
        <v/>
      </c>
      <c r="AD11" s="14">
        <f>(Operations!AD9+Inputs!$F$78+AD9)/100*0.5</f>
        <v/>
      </c>
      <c r="AE11" s="14">
        <f>(Operations!AE9+Inputs!$F$78+AE9)/100*0.5</f>
        <v/>
      </c>
      <c r="AF11" s="14">
        <f>(Operations!AF9+Inputs!$F$78+AF9)/100*0.5</f>
        <v/>
      </c>
      <c r="AG11" s="14">
        <f>(Operations!AG9+Inputs!$F$78+AG9)/100*0.5</f>
        <v/>
      </c>
      <c r="AH11" s="14">
        <f>(Operations!AH9+Inputs!$F$78+AH9)/100*0.5</f>
        <v/>
      </c>
      <c r="AI11" s="14">
        <f>(Operations!AI9+Inputs!$F$78+AI9)/100*0.5</f>
        <v/>
      </c>
      <c r="AJ11" s="14">
        <f>(Operations!AJ9+Inputs!$F$78+AJ9)/100*0.5</f>
        <v/>
      </c>
      <c r="AK11" s="14">
        <f>(Operations!AK9+Inputs!$F$78+AK9)/100*0.5</f>
        <v/>
      </c>
      <c r="AL11" s="14">
        <f>(Operations!AL9+Inputs!$F$78+AL9)/100*0.5</f>
        <v/>
      </c>
      <c r="AM11" s="14">
        <f>(Operations!AM9+Inputs!$F$78+AM9)/100*0.5</f>
        <v/>
      </c>
      <c r="AN11" s="14">
        <f>(Operations!AN9+Inputs!$F$78+AN9)/100*0.5</f>
        <v/>
      </c>
      <c r="AO11" s="14">
        <f>(Operations!AO9+Inputs!$F$78+AO9)/100*0.5</f>
        <v/>
      </c>
      <c r="AP11" s="14">
        <f>(Operations!AP9+Inputs!$F$78+AP9)/100*0.5</f>
        <v/>
      </c>
      <c r="AQ11" s="14">
        <f>(Operations!AQ9+Inputs!$F$78+AQ9)/100*0.5</f>
        <v/>
      </c>
      <c r="AR11" s="14">
        <f>(Operations!AR9+Inputs!$F$78+AR9)/100*0.5</f>
        <v/>
      </c>
      <c r="AS11" s="14">
        <f>(Operations!AS9+Inputs!$F$78+AS9)/100*0.5</f>
        <v/>
      </c>
      <c r="AT11" s="14">
        <f>(Operations!AT9+Inputs!$F$78+AT9)/100*0.5</f>
        <v/>
      </c>
      <c r="AU11" s="14">
        <f>(Operations!AU9+Inputs!$F$78+AU9)/100*0.5</f>
        <v/>
      </c>
      <c r="AV11" s="14">
        <f>(Operations!AV9+Inputs!$F$78+AV9)/100*0.5</f>
        <v/>
      </c>
      <c r="AW11" s="14">
        <f>(Operations!AW9+Inputs!$F$78+AW9)/100*0.5</f>
        <v/>
      </c>
      <c r="AX11" s="14">
        <f>(Operations!AX9+Inputs!$F$78+AX9)/100*0.5</f>
        <v/>
      </c>
      <c r="AY11" s="14">
        <f>(Operations!AY9+Inputs!$F$78+AY9)/100*0.5</f>
        <v/>
      </c>
      <c r="AZ11" s="14">
        <f>(Operations!AZ9+Inputs!$F$78+AZ9)/100*0.5</f>
        <v/>
      </c>
      <c r="BA11" s="14">
        <f>(Operations!BA9+Inputs!$F$78+BA9)/100*0.5</f>
        <v/>
      </c>
      <c r="BB11" s="14">
        <f>(Operations!BB9+Inputs!$F$78+BB9)/100*0.5</f>
        <v/>
      </c>
      <c r="BC11" s="14">
        <f>(Operations!BC9+Inputs!$F$78+BC9)/100*0.5</f>
        <v/>
      </c>
      <c r="BD11" s="14">
        <f>(Operations!BD9+Inputs!$F$78+BD9)/100*0.5</f>
        <v/>
      </c>
      <c r="BE11" s="14">
        <f>(Operations!BE9+Inputs!$F$78+BE9)/100*0.5</f>
        <v/>
      </c>
      <c r="BF11" s="14">
        <f>(Operations!BF9+Inputs!$F$78+BF9)/100*0.5</f>
        <v/>
      </c>
      <c r="BG11" s="14">
        <f>(Operations!BG9+Inputs!$F$78+BG9)/100*0.5</f>
        <v/>
      </c>
      <c r="BH11" s="14">
        <f>(Operations!BH9+Inputs!$F$78+BH9)/100*0.5</f>
        <v/>
      </c>
      <c r="BI11" s="14">
        <f>(Operations!BI9+Inputs!$F$78+BI9)/100*0.5</f>
        <v/>
      </c>
      <c r="BJ11" s="14">
        <f>(Operations!BJ9+Inputs!$F$78+BJ9)/100*0.5</f>
        <v/>
      </c>
      <c r="BK11" s="14">
        <f>(Operations!BK9+Inputs!$F$78+BK9)/100*0.5</f>
        <v/>
      </c>
      <c r="BL11" s="14">
        <f>(Operations!BL9+Inputs!$F$78+BL9)/100*0.5</f>
        <v/>
      </c>
      <c r="BM11" s="14">
        <f>(Operations!BM9+Inputs!$F$78+BM9)/100*0.5</f>
        <v/>
      </c>
      <c r="BN11" s="14">
        <f>(Operations!BN9+Inputs!$F$78+BN9)/100*0.5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(Operations!J9+Inputs!$F$79+J9)/100*0.5</f>
        <v/>
      </c>
      <c r="K12" s="14">
        <f>(Operations!K9+Inputs!$F$79+K9)/100*0.5</f>
        <v/>
      </c>
      <c r="L12" s="14">
        <f>(Operations!L9+Inputs!$F$79+L9)/100*0.5</f>
        <v/>
      </c>
      <c r="M12" s="14">
        <f>(Operations!M9+Inputs!$F$79+M9)/100*0.5</f>
        <v/>
      </c>
      <c r="N12" s="14">
        <f>(Operations!N9+Inputs!$F$79+N9)/100*0.5</f>
        <v/>
      </c>
      <c r="O12" s="14">
        <f>(Operations!O9+Inputs!$F$79+O9)/100*0.5</f>
        <v/>
      </c>
      <c r="P12" s="14">
        <f>(Operations!P9+Inputs!$F$79+P9)/100*0.5</f>
        <v/>
      </c>
      <c r="Q12" s="14">
        <f>(Operations!Q9+Inputs!$F$79+Q9)/100*0.5</f>
        <v/>
      </c>
      <c r="R12" s="14">
        <f>(Operations!R9+Inputs!$F$79+R9)/100*0.5</f>
        <v/>
      </c>
      <c r="S12" s="14">
        <f>(Operations!S9+Inputs!$F$79+S9)/100*0.5</f>
        <v/>
      </c>
      <c r="T12" s="14">
        <f>(Operations!T9+Inputs!$F$79+T9)/100*0.5</f>
        <v/>
      </c>
      <c r="U12" s="14">
        <f>(Operations!U9+Inputs!$F$79+U9)/100*0.5</f>
        <v/>
      </c>
      <c r="V12" s="14">
        <f>(Operations!V9+Inputs!$F$79+V9)/100*0.5</f>
        <v/>
      </c>
      <c r="W12" s="14">
        <f>(Operations!W9+Inputs!$F$79+W9)/100*0.5</f>
        <v/>
      </c>
      <c r="X12" s="14">
        <f>(Operations!X9+Inputs!$F$79+X9)/100*0.5</f>
        <v/>
      </c>
      <c r="Y12" s="14">
        <f>(Operations!Y9+Inputs!$F$79+Y9)/100*0.5</f>
        <v/>
      </c>
      <c r="Z12" s="14">
        <f>(Operations!Z9+Inputs!$F$79+Z9)/100*0.5</f>
        <v/>
      </c>
      <c r="AA12" s="14">
        <f>(Operations!AA9+Inputs!$F$79+AA9)/100*0.5</f>
        <v/>
      </c>
      <c r="AB12" s="14">
        <f>(Operations!AB9+Inputs!$F$79+AB9)/100*0.5</f>
        <v/>
      </c>
      <c r="AC12" s="14">
        <f>(Operations!AC9+Inputs!$F$79+AC9)/100*0.5</f>
        <v/>
      </c>
      <c r="AD12" s="14">
        <f>(Operations!AD9+Inputs!$F$79+AD9)/100*0.5</f>
        <v/>
      </c>
      <c r="AE12" s="14">
        <f>(Operations!AE9+Inputs!$F$79+AE9)/100*0.5</f>
        <v/>
      </c>
      <c r="AF12" s="14">
        <f>(Operations!AF9+Inputs!$F$79+AF9)/100*0.5</f>
        <v/>
      </c>
      <c r="AG12" s="14">
        <f>(Operations!AG9+Inputs!$F$79+AG9)/100*0.5</f>
        <v/>
      </c>
      <c r="AH12" s="14">
        <f>(Operations!AH9+Inputs!$F$79+AH9)/100*0.5</f>
        <v/>
      </c>
      <c r="AI12" s="14">
        <f>(Operations!AI9+Inputs!$F$79+AI9)/100*0.5</f>
        <v/>
      </c>
      <c r="AJ12" s="14">
        <f>(Operations!AJ9+Inputs!$F$79+AJ9)/100*0.5</f>
        <v/>
      </c>
      <c r="AK12" s="14">
        <f>(Operations!AK9+Inputs!$F$79+AK9)/100*0.5</f>
        <v/>
      </c>
      <c r="AL12" s="14">
        <f>(Operations!AL9+Inputs!$F$79+AL9)/100*0.5</f>
        <v/>
      </c>
      <c r="AM12" s="14">
        <f>(Operations!AM9+Inputs!$F$79+AM9)/100*0.5</f>
        <v/>
      </c>
      <c r="AN12" s="14">
        <f>(Operations!AN9+Inputs!$F$79+AN9)/100*0.5</f>
        <v/>
      </c>
      <c r="AO12" s="14">
        <f>(Operations!AO9+Inputs!$F$79+AO9)/100*0.5</f>
        <v/>
      </c>
      <c r="AP12" s="14">
        <f>(Operations!AP9+Inputs!$F$79+AP9)/100*0.5</f>
        <v/>
      </c>
      <c r="AQ12" s="14">
        <f>(Operations!AQ9+Inputs!$F$79+AQ9)/100*0.5</f>
        <v/>
      </c>
      <c r="AR12" s="14">
        <f>(Operations!AR9+Inputs!$F$79+AR9)/100*0.5</f>
        <v/>
      </c>
      <c r="AS12" s="14">
        <f>(Operations!AS9+Inputs!$F$79+AS9)/100*0.5</f>
        <v/>
      </c>
      <c r="AT12" s="14">
        <f>(Operations!AT9+Inputs!$F$79+AT9)/100*0.5</f>
        <v/>
      </c>
      <c r="AU12" s="14">
        <f>(Operations!AU9+Inputs!$F$79+AU9)/100*0.5</f>
        <v/>
      </c>
      <c r="AV12" s="14">
        <f>(Operations!AV9+Inputs!$F$79+AV9)/100*0.5</f>
        <v/>
      </c>
      <c r="AW12" s="14">
        <f>(Operations!AW9+Inputs!$F$79+AW9)/100*0.5</f>
        <v/>
      </c>
      <c r="AX12" s="14">
        <f>(Operations!AX9+Inputs!$F$79+AX9)/100*0.5</f>
        <v/>
      </c>
      <c r="AY12" s="14">
        <f>(Operations!AY9+Inputs!$F$79+AY9)/100*0.5</f>
        <v/>
      </c>
      <c r="AZ12" s="14">
        <f>(Operations!AZ9+Inputs!$F$79+AZ9)/100*0.5</f>
        <v/>
      </c>
      <c r="BA12" s="14">
        <f>(Operations!BA9+Inputs!$F$79+BA9)/100*0.5</f>
        <v/>
      </c>
      <c r="BB12" s="14">
        <f>(Operations!BB9+Inputs!$F$79+BB9)/100*0.5</f>
        <v/>
      </c>
      <c r="BC12" s="14">
        <f>(Operations!BC9+Inputs!$F$79+BC9)/100*0.5</f>
        <v/>
      </c>
      <c r="BD12" s="14">
        <f>(Operations!BD9+Inputs!$F$79+BD9)/100*0.5</f>
        <v/>
      </c>
      <c r="BE12" s="14">
        <f>(Operations!BE9+Inputs!$F$79+BE9)/100*0.5</f>
        <v/>
      </c>
      <c r="BF12" s="14">
        <f>(Operations!BF9+Inputs!$F$79+BF9)/100*0.5</f>
        <v/>
      </c>
      <c r="BG12" s="14">
        <f>(Operations!BG9+Inputs!$F$79+BG9)/100*0.5</f>
        <v/>
      </c>
      <c r="BH12" s="14">
        <f>(Operations!BH9+Inputs!$F$79+BH9)/100*0.5</f>
        <v/>
      </c>
      <c r="BI12" s="14">
        <f>(Operations!BI9+Inputs!$F$79+BI9)/100*0.5</f>
        <v/>
      </c>
      <c r="BJ12" s="14">
        <f>(Operations!BJ9+Inputs!$F$79+BJ9)/100*0.5</f>
        <v/>
      </c>
      <c r="BK12" s="14">
        <f>(Operations!BK9+Inputs!$F$79+BK9)/100*0.5</f>
        <v/>
      </c>
      <c r="BL12" s="14">
        <f>(Operations!BL9+Inputs!$F$79+BL9)/100*0.5</f>
        <v/>
      </c>
      <c r="BM12" s="14">
        <f>(Operations!BM9+Inputs!$F$79+BM9)/100*0.5</f>
        <v/>
      </c>
      <c r="BN12" s="14">
        <f>(Operations!BN9+Inputs!$F$79+BN9)/100*0.5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(Operations!J9+J8+J9)/100*0.5/(1-Inputs!$F$91/100)</f>
        <v/>
      </c>
      <c r="K13" s="14">
        <f>(Operations!K9+K8+K9)/100*0.5/(1-Inputs!$F$91/100)</f>
        <v/>
      </c>
      <c r="L13" s="14">
        <f>(Operations!L9+L8+L9)/100*0.5/(1-Inputs!$F$91/100)</f>
        <v/>
      </c>
      <c r="M13" s="14">
        <f>(Operations!M9+M8+M9)/100*0.5/(1-Inputs!$F$91/100)</f>
        <v/>
      </c>
      <c r="N13" s="14">
        <f>(Operations!N9+N8+N9)/100*0.5/(1-Inputs!$F$91/100)</f>
        <v/>
      </c>
      <c r="O13" s="14">
        <f>(Operations!O9+O8+O9)/100*0.5/(1-Inputs!$F$91/100)</f>
        <v/>
      </c>
      <c r="P13" s="14">
        <f>(Operations!P9+P8+P9)/100*0.5/(1-Inputs!$F$91/100)</f>
        <v/>
      </c>
      <c r="Q13" s="14">
        <f>(Operations!Q9+Q8+Q9)/100*0.5/(1-Inputs!$F$91/100)</f>
        <v/>
      </c>
      <c r="R13" s="14">
        <f>(Operations!R9+R8+R9)/100*0.5/(1-Inputs!$F$91/100)</f>
        <v/>
      </c>
      <c r="S13" s="14">
        <f>(Operations!S9+S8+S9)/100*0.5/(1-Inputs!$F$91/100)</f>
        <v/>
      </c>
      <c r="T13" s="14">
        <f>(Operations!T9+T8+T9)/100*0.5/(1-Inputs!$F$91/100)</f>
        <v/>
      </c>
      <c r="U13" s="14">
        <f>(Operations!U9+U8+U9)/100*0.5/(1-Inputs!$F$91/100)</f>
        <v/>
      </c>
      <c r="V13" s="14">
        <f>(Operations!V9+V8+V9)/100*0.5/(1-Inputs!$F$91/100)</f>
        <v/>
      </c>
      <c r="W13" s="14">
        <f>(Operations!W9+W8+W9)/100*0.5/(1-Inputs!$F$91/100)</f>
        <v/>
      </c>
      <c r="X13" s="14">
        <f>(Operations!X9+X8+X9)/100*0.5/(1-Inputs!$F$91/100)</f>
        <v/>
      </c>
      <c r="Y13" s="14">
        <f>(Operations!Y9+Y8+Y9)/100*0.5/(1-Inputs!$F$91/100)</f>
        <v/>
      </c>
      <c r="Z13" s="14">
        <f>(Operations!Z9+Z8+Z9)/100*0.5/(1-Inputs!$F$91/100)</f>
        <v/>
      </c>
      <c r="AA13" s="14">
        <f>(Operations!AA9+AA8+AA9)/100*0.5/(1-Inputs!$F$91/100)</f>
        <v/>
      </c>
      <c r="AB13" s="14">
        <f>(Operations!AB9+AB8+AB9)/100*0.5/(1-Inputs!$F$91/100)</f>
        <v/>
      </c>
      <c r="AC13" s="14">
        <f>(Operations!AC9+AC8+AC9)/100*0.5/(1-Inputs!$F$91/100)</f>
        <v/>
      </c>
      <c r="AD13" s="14">
        <f>(Operations!AD9+AD8+AD9)/100*0.5/(1-Inputs!$F$91/100)</f>
        <v/>
      </c>
      <c r="AE13" s="14">
        <f>(Operations!AE9+AE8+AE9)/100*0.5/(1-Inputs!$F$91/100)</f>
        <v/>
      </c>
      <c r="AF13" s="14">
        <f>(Operations!AF9+AF8+AF9)/100*0.5/(1-Inputs!$F$91/100)</f>
        <v/>
      </c>
      <c r="AG13" s="14">
        <f>(Operations!AG9+AG8+AG9)/100*0.5/(1-Inputs!$F$91/100)</f>
        <v/>
      </c>
      <c r="AH13" s="14">
        <f>(Operations!AH9+AH8+AH9)/100*0.5/(1-Inputs!$F$91/100)</f>
        <v/>
      </c>
      <c r="AI13" s="14">
        <f>(Operations!AI9+AI8+AI9)/100*0.5/(1-Inputs!$F$91/100)</f>
        <v/>
      </c>
      <c r="AJ13" s="14">
        <f>(Operations!AJ9+AJ8+AJ9)/100*0.5/(1-Inputs!$F$91/100)</f>
        <v/>
      </c>
      <c r="AK13" s="14">
        <f>(Operations!AK9+AK8+AK9)/100*0.5/(1-Inputs!$F$91/100)</f>
        <v/>
      </c>
      <c r="AL13" s="14">
        <f>(Operations!AL9+AL8+AL9)/100*0.5/(1-Inputs!$F$91/100)</f>
        <v/>
      </c>
      <c r="AM13" s="14">
        <f>(Operations!AM9+AM8+AM9)/100*0.5/(1-Inputs!$F$91/100)</f>
        <v/>
      </c>
      <c r="AN13" s="14">
        <f>(Operations!AN9+AN8+AN9)/100*0.5/(1-Inputs!$F$91/100)</f>
        <v/>
      </c>
      <c r="AO13" s="14">
        <f>(Operations!AO9+AO8+AO9)/100*0.5/(1-Inputs!$F$91/100)</f>
        <v/>
      </c>
      <c r="AP13" s="14">
        <f>(Operations!AP9+AP8+AP9)/100*0.5/(1-Inputs!$F$91/100)</f>
        <v/>
      </c>
      <c r="AQ13" s="14">
        <f>(Operations!AQ9+AQ8+AQ9)/100*0.5/(1-Inputs!$F$91/100)</f>
        <v/>
      </c>
      <c r="AR13" s="14">
        <f>(Operations!AR9+AR8+AR9)/100*0.5/(1-Inputs!$F$91/100)</f>
        <v/>
      </c>
      <c r="AS13" s="14">
        <f>(Operations!AS9+AS8+AS9)/100*0.5/(1-Inputs!$F$91/100)</f>
        <v/>
      </c>
      <c r="AT13" s="14">
        <f>(Operations!AT9+AT8+AT9)/100*0.5/(1-Inputs!$F$91/100)</f>
        <v/>
      </c>
      <c r="AU13" s="14">
        <f>(Operations!AU9+AU8+AU9)/100*0.5/(1-Inputs!$F$91/100)</f>
        <v/>
      </c>
      <c r="AV13" s="14">
        <f>(Operations!AV9+AV8+AV9)/100*0.5/(1-Inputs!$F$91/100)</f>
        <v/>
      </c>
      <c r="AW13" s="14">
        <f>(Operations!AW9+AW8+AW9)/100*0.5/(1-Inputs!$F$91/100)</f>
        <v/>
      </c>
      <c r="AX13" s="14">
        <f>(Operations!AX9+AX8+AX9)/100*0.5/(1-Inputs!$F$91/100)</f>
        <v/>
      </c>
      <c r="AY13" s="14">
        <f>(Operations!AY9+AY8+AY9)/100*0.5/(1-Inputs!$F$91/100)</f>
        <v/>
      </c>
      <c r="AZ13" s="14">
        <f>(Operations!AZ9+AZ8+AZ9)/100*0.5/(1-Inputs!$F$91/100)</f>
        <v/>
      </c>
      <c r="BA13" s="14">
        <f>(Operations!BA9+BA8+BA9)/100*0.5/(1-Inputs!$F$91/100)</f>
        <v/>
      </c>
      <c r="BB13" s="14">
        <f>(Operations!BB9+BB8+BB9)/100*0.5/(1-Inputs!$F$91/100)</f>
        <v/>
      </c>
      <c r="BC13" s="14">
        <f>(Operations!BC9+BC8+BC9)/100*0.5/(1-Inputs!$F$91/100)</f>
        <v/>
      </c>
      <c r="BD13" s="14">
        <f>(Operations!BD9+BD8+BD9)/100*0.5/(1-Inputs!$F$91/100)</f>
        <v/>
      </c>
      <c r="BE13" s="14">
        <f>(Operations!BE9+BE8+BE9)/100*0.5/(1-Inputs!$F$91/100)</f>
        <v/>
      </c>
      <c r="BF13" s="14">
        <f>(Operations!BF9+BF8+BF9)/100*0.5/(1-Inputs!$F$91/100)</f>
        <v/>
      </c>
      <c r="BG13" s="14">
        <f>(Operations!BG9+BG8+BG9)/100*0.5/(1-Inputs!$F$91/100)</f>
        <v/>
      </c>
      <c r="BH13" s="14">
        <f>(Operations!BH9+BH8+BH9)/100*0.5/(1-Inputs!$F$91/100)</f>
        <v/>
      </c>
      <c r="BI13" s="14">
        <f>(Operations!BI9+BI8+BI9)/100*0.5/(1-Inputs!$F$91/100)</f>
        <v/>
      </c>
      <c r="BJ13" s="14">
        <f>(Operations!BJ9+BJ8+BJ9)/100*0.5/(1-Inputs!$F$91/100)</f>
        <v/>
      </c>
      <c r="BK13" s="14">
        <f>(Operations!BK9+BK8+BK9)/100*0.5/(1-Inputs!$F$91/100)</f>
        <v/>
      </c>
      <c r="BL13" s="14">
        <f>(Operations!BL9+BL8+BL9)/100*0.5/(1-Inputs!$F$91/100)</f>
        <v/>
      </c>
      <c r="BM13" s="14">
        <f>(Operations!BM9+BM8+BM9)/100*0.5/(1-Inputs!$F$91/100)</f>
        <v/>
      </c>
      <c r="BN13" s="14">
        <f>(Operations!BN9+BN8+BN9)/100*0.5/(1-Inputs!$F$91/100)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-1*Time!J30*Inputs!J222*J113*(Inputs!$F$95/100*0.5-Operations!J9/100*Time!J20/360)</f>
        <v/>
      </c>
      <c r="K114" s="11">
        <f>-1*Time!K30*Inputs!K222*K113*(Inputs!$F$95/100*0.5-Operations!K9/100*Time!K20/360)</f>
        <v/>
      </c>
      <c r="L114" s="11">
        <f>-1*Time!L30*Inputs!L222*L113*(Inputs!$F$95/100*0.5-Operations!L9/100*Time!L20/360)</f>
        <v/>
      </c>
      <c r="M114" s="11">
        <f>-1*Time!M30*Inputs!M222*M113*(Inputs!$F$95/100*0.5-Operations!M9/100*Time!M20/360)</f>
        <v/>
      </c>
      <c r="N114" s="11">
        <f>-1*Time!N30*Inputs!N222*N113*(Inputs!$F$95/100*0.5-Operations!N9/100*Time!N20/360)</f>
        <v/>
      </c>
      <c r="O114" s="11">
        <f>-1*Time!O30*Inputs!O222*O113*(Inputs!$F$95/100*0.5-Operations!O9/100*Time!O20/360)</f>
        <v/>
      </c>
      <c r="P114" s="11">
        <f>-1*Time!P30*Inputs!P222*P113*(Inputs!$F$95/100*0.5-Operations!P9/100*Time!P20/360)</f>
        <v/>
      </c>
      <c r="Q114" s="11">
        <f>-1*Time!Q30*Inputs!Q222*Q113*(Inputs!$F$95/100*0.5-Operations!Q9/100*Time!Q20/360)</f>
        <v/>
      </c>
      <c r="R114" s="11">
        <f>-1*Time!R30*Inputs!R222*R113*(Inputs!$F$95/100*0.5-Operations!R9/100*Time!R20/360)</f>
        <v/>
      </c>
      <c r="S114" s="11">
        <f>-1*Time!S30*Inputs!S222*S113*(Inputs!$F$95/100*0.5-Operations!S9/100*Time!S20/360)</f>
        <v/>
      </c>
      <c r="T114" s="11">
        <f>-1*Time!T30*Inputs!T222*T113*(Inputs!$F$95/100*0.5-Operations!T9/100*Time!T20/360)</f>
        <v/>
      </c>
      <c r="U114" s="11">
        <f>-1*Time!U30*Inputs!U222*U113*(Inputs!$F$95/100*0.5-Operations!U9/100*Time!U20/360)</f>
        <v/>
      </c>
      <c r="V114" s="11">
        <f>-1*Time!V30*Inputs!V222*V113*(Inputs!$F$95/100*0.5-Operations!V9/100*Time!V20/360)</f>
        <v/>
      </c>
      <c r="W114" s="11">
        <f>-1*Time!W30*Inputs!W222*W113*(Inputs!$F$95/100*0.5-Operations!W9/100*Time!W20/360)</f>
        <v/>
      </c>
      <c r="X114" s="11">
        <f>-1*Time!X30*Inputs!X222*X113*(Inputs!$F$95/100*0.5-Operations!X9/100*Time!X20/360)</f>
        <v/>
      </c>
      <c r="Y114" s="11">
        <f>-1*Time!Y30*Inputs!Y222*Y113*(Inputs!$F$95/100*0.5-Operations!Y9/100*Time!Y20/360)</f>
        <v/>
      </c>
      <c r="Z114" s="11">
        <f>-1*Time!Z30*Inputs!Z222*Z113*(Inputs!$F$95/100*0.5-Operations!Z9/100*Time!Z20/360)</f>
        <v/>
      </c>
      <c r="AA114" s="11">
        <f>-1*Time!AA30*Inputs!AA222*AA113*(Inputs!$F$95/100*0.5-Operations!AA9/100*Time!AA20/360)</f>
        <v/>
      </c>
      <c r="AB114" s="11">
        <f>-1*Time!AB30*Inputs!AB222*AB113*(Inputs!$F$95/100*0.5-Operations!AB9/100*Time!AB20/360)</f>
        <v/>
      </c>
      <c r="AC114" s="11">
        <f>-1*Time!AC30*Inputs!AC222*AC113*(Inputs!$F$95/100*0.5-Operations!AC9/100*Time!AC20/360)</f>
        <v/>
      </c>
      <c r="AD114" s="11">
        <f>-1*Time!AD30*Inputs!AD222*AD113*(Inputs!$F$95/100*0.5-Operations!AD9/100*Time!AD20/360)</f>
        <v/>
      </c>
      <c r="AE114" s="11">
        <f>-1*Time!AE30*Inputs!AE222*AE113*(Inputs!$F$95/100*0.5-Operations!AE9/100*Time!AE20/360)</f>
        <v/>
      </c>
      <c r="AF114" s="11">
        <f>-1*Time!AF30*Inputs!AF222*AF113*(Inputs!$F$95/100*0.5-Operations!AF9/100*Time!AF20/360)</f>
        <v/>
      </c>
      <c r="AG114" s="11">
        <f>-1*Time!AG30*Inputs!AG222*AG113*(Inputs!$F$95/100*0.5-Operations!AG9/100*Time!AG20/360)</f>
        <v/>
      </c>
      <c r="AH114" s="11">
        <f>-1*Time!AH30*Inputs!AH222*AH113*(Inputs!$F$95/100*0.5-Operations!AH9/100*Time!AH20/360)</f>
        <v/>
      </c>
      <c r="AI114" s="11">
        <f>-1*Time!AI30*Inputs!AI222*AI113*(Inputs!$F$95/100*0.5-Operations!AI9/100*Time!AI20/360)</f>
        <v/>
      </c>
      <c r="AJ114" s="11">
        <f>-1*Time!AJ30*Inputs!AJ222*AJ113*(Inputs!$F$95/100*0.5-Operations!AJ9/100*Time!AJ20/360)</f>
        <v/>
      </c>
      <c r="AK114" s="11">
        <f>-1*Time!AK30*Inputs!AK222*AK113*(Inputs!$F$95/100*0.5-Operations!AK9/100*Time!AK20/360)</f>
        <v/>
      </c>
      <c r="AL114" s="11">
        <f>-1*Time!AL30*Inputs!AL222*AL113*(Inputs!$F$95/100*0.5-Operations!AL9/100*Time!AL20/360)</f>
        <v/>
      </c>
      <c r="AM114" s="11">
        <f>-1*Time!AM30*Inputs!AM222*AM113*(Inputs!$F$95/100*0.5-Operations!AM9/100*Time!AM20/360)</f>
        <v/>
      </c>
      <c r="AN114" s="11">
        <f>-1*Time!AN30*Inputs!AN222*AN113*(Inputs!$F$95/100*0.5-Operations!AN9/100*Time!AN20/360)</f>
        <v/>
      </c>
      <c r="AO114" s="11">
        <f>-1*Time!AO30*Inputs!AO222*AO113*(Inputs!$F$95/100*0.5-Operations!AO9/100*Time!AO20/360)</f>
        <v/>
      </c>
      <c r="AP114" s="11">
        <f>-1*Time!AP30*Inputs!AP222*AP113*(Inputs!$F$95/100*0.5-Operations!AP9/100*Time!AP20/360)</f>
        <v/>
      </c>
      <c r="AQ114" s="11">
        <f>-1*Time!AQ30*Inputs!AQ222*AQ113*(Inputs!$F$95/100*0.5-Operations!AQ9/100*Time!AQ20/360)</f>
        <v/>
      </c>
      <c r="AR114" s="11">
        <f>-1*Time!AR30*Inputs!AR222*AR113*(Inputs!$F$95/100*0.5-Operations!AR9/100*Time!AR20/360)</f>
        <v/>
      </c>
      <c r="AS114" s="11">
        <f>-1*Time!AS30*Inputs!AS222*AS113*(Inputs!$F$95/100*0.5-Operations!AS9/100*Time!AS20/360)</f>
        <v/>
      </c>
      <c r="AT114" s="11">
        <f>-1*Time!AT30*Inputs!AT222*AT113*(Inputs!$F$95/100*0.5-Operations!AT9/100*Time!AT20/360)</f>
        <v/>
      </c>
      <c r="AU114" s="11">
        <f>-1*Time!AU30*Inputs!AU222*AU113*(Inputs!$F$95/100*0.5-Operations!AU9/100*Time!AU20/360)</f>
        <v/>
      </c>
      <c r="AV114" s="11">
        <f>-1*Time!AV30*Inputs!AV222*AV113*(Inputs!$F$95/100*0.5-Operations!AV9/100*Time!AV20/360)</f>
        <v/>
      </c>
      <c r="AW114" s="11">
        <f>-1*Time!AW30*Inputs!AW222*AW113*(Inputs!$F$95/100*0.5-Operations!AW9/100*Time!AW20/360)</f>
        <v/>
      </c>
      <c r="AX114" s="11">
        <f>-1*Time!AX30*Inputs!AX222*AX113*(Inputs!$F$95/100*0.5-Operations!AX9/100*Time!AX20/360)</f>
        <v/>
      </c>
      <c r="AY114" s="11">
        <f>-1*Time!AY30*Inputs!AY222*AY113*(Inputs!$F$95/100*0.5-Operations!AY9/100*Time!AY20/360)</f>
        <v/>
      </c>
      <c r="AZ114" s="11">
        <f>-1*Time!AZ30*Inputs!AZ222*AZ113*(Inputs!$F$95/100*0.5-Operations!AZ9/100*Time!AZ20/360)</f>
        <v/>
      </c>
      <c r="BA114" s="11">
        <f>-1*Time!BA30*Inputs!BA222*BA113*(Inputs!$F$95/100*0.5-Operations!BA9/100*Time!BA20/360)</f>
        <v/>
      </c>
      <c r="BB114" s="11">
        <f>-1*Time!BB30*Inputs!BB222*BB113*(Inputs!$F$95/100*0.5-Operations!BB9/100*Time!BB20/360)</f>
        <v/>
      </c>
      <c r="BC114" s="11">
        <f>-1*Time!BC30*Inputs!BC222*BC113*(Inputs!$F$95/100*0.5-Operations!BC9/100*Time!BC20/360)</f>
        <v/>
      </c>
      <c r="BD114" s="11">
        <f>-1*Time!BD30*Inputs!BD222*BD113*(Inputs!$F$95/100*0.5-Operations!BD9/100*Time!BD20/360)</f>
        <v/>
      </c>
      <c r="BE114" s="11">
        <f>-1*Time!BE30*Inputs!BE222*BE113*(Inputs!$F$95/100*0.5-Operations!BE9/100*Time!BE20/360)</f>
        <v/>
      </c>
      <c r="BF114" s="11">
        <f>-1*Time!BF30*Inputs!BF222*BF113*(Inputs!$F$95/100*0.5-Operations!BF9/100*Time!BF20/360)</f>
        <v/>
      </c>
      <c r="BG114" s="11">
        <f>-1*Time!BG30*Inputs!BG222*BG113*(Inputs!$F$95/100*0.5-Operations!BG9/100*Time!BG20/360)</f>
        <v/>
      </c>
      <c r="BH114" s="11">
        <f>-1*Time!BH30*Inputs!BH222*BH113*(Inputs!$F$95/100*0.5-Operations!BH9/100*Time!BH20/360)</f>
        <v/>
      </c>
      <c r="BI114" s="11">
        <f>-1*Time!BI30*Inputs!BI222*BI113*(Inputs!$F$95/100*0.5-Operations!BI9/100*Time!BI20/360)</f>
        <v/>
      </c>
      <c r="BJ114" s="11">
        <f>-1*Time!BJ30*Inputs!BJ222*BJ113*(Inputs!$F$95/100*0.5-Operations!BJ9/100*Time!BJ20/360)</f>
        <v/>
      </c>
      <c r="BK114" s="11">
        <f>-1*Time!BK30*Inputs!BK222*BK113*(Inputs!$F$95/100*0.5-Operations!BK9/100*Time!BK20/360)</f>
        <v/>
      </c>
      <c r="BL114" s="11">
        <f>-1*Time!BL30*Inputs!BL222*BL113*(Inputs!$F$95/100*0.5-Operations!BL9/100*Time!BL20/360)</f>
        <v/>
      </c>
      <c r="BM114" s="11">
        <f>-1*Time!BM30*Inputs!BM222*BM113*(Inputs!$F$95/100*0.5-Operations!BM9/100*Time!BM20/360)</f>
        <v/>
      </c>
      <c r="BN114" s="11">
        <f>-1*Time!BN30*Inputs!BN222*BN113*(Inputs!$F$95/100*0.5-Operations!BN9/100*Time!BN20/360)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IF(AND(Time!J17&gt;=Time!$F$11,Time!J17&lt;57),J126+J127+J128+J129+J130+J131+-1*Inputs!K222*K113*(Inputs!$F$95/100*0.5-Operations!K9/100*Time!K20/360)+(Inputs!$F$93/100*Inputs!$F$94/100)*J125*Time!K20/365,0)</f>
        <v/>
      </c>
      <c r="K132" s="11">
        <f>IF(AND(Time!K17&gt;=Time!$F$11,Time!K17&lt;57),K126+K127+K128+K129+K130+K131+-1*Inputs!L222*L113*(Inputs!$F$95/100*0.5-Operations!L9/100*Time!L20/360)+(Inputs!$F$93/100*Inputs!$F$94/100)*K125*Time!L20/365,0)</f>
        <v/>
      </c>
      <c r="L132" s="11">
        <f>IF(AND(Time!L17&gt;=Time!$F$11,Time!L17&lt;57),L126+L127+L128+L129+L130+L131+-1*Inputs!M222*M113*(Inputs!$F$95/100*0.5-Operations!M9/100*Time!M20/360)+(Inputs!$F$93/100*Inputs!$F$94/100)*L125*Time!M20/365,0)</f>
        <v/>
      </c>
      <c r="M132" s="11">
        <f>IF(AND(Time!M17&gt;=Time!$F$11,Time!M17&lt;57),M126+M127+M128+M129+M130+M131+-1*Inputs!N222*N113*(Inputs!$F$95/100*0.5-Operations!N9/100*Time!N20/360)+(Inputs!$F$93/100*Inputs!$F$94/100)*M125*Time!N20/365,0)</f>
        <v/>
      </c>
      <c r="N132" s="11">
        <f>IF(AND(Time!N17&gt;=Time!$F$11,Time!N17&lt;57),N126+N127+N128+N129+N130+N131+-1*Inputs!O222*O113*(Inputs!$F$95/100*0.5-Operations!O9/100*Time!O20/360)+(Inputs!$F$93/100*Inputs!$F$94/100)*N125*Time!O20/365,0)</f>
        <v/>
      </c>
      <c r="O132" s="11">
        <f>IF(AND(Time!O17&gt;=Time!$F$11,Time!O17&lt;57),O126+O127+O128+O129+O130+O131+-1*Inputs!P222*P113*(Inputs!$F$95/100*0.5-Operations!P9/100*Time!P20/360)+(Inputs!$F$93/100*Inputs!$F$94/100)*O125*Time!P20/365,0)</f>
        <v/>
      </c>
      <c r="P132" s="11">
        <f>IF(AND(Time!P17&gt;=Time!$F$11,Time!P17&lt;57),P126+P127+P128+P129+P130+P131+-1*Inputs!Q222*Q113*(Inputs!$F$95/100*0.5-Operations!Q9/100*Time!Q20/360)+(Inputs!$F$93/100*Inputs!$F$94/100)*P125*Time!Q20/365,0)</f>
        <v/>
      </c>
      <c r="Q132" s="11">
        <f>IF(AND(Time!Q17&gt;=Time!$F$11,Time!Q17&lt;57),Q126+Q127+Q128+Q129+Q130+Q131+-1*Inputs!R222*R113*(Inputs!$F$95/100*0.5-Operations!R9/100*Time!R20/360)+(Inputs!$F$93/100*Inputs!$F$94/100)*Q125*Time!R20/365,0)</f>
        <v/>
      </c>
      <c r="R132" s="11">
        <f>IF(AND(Time!R17&gt;=Time!$F$11,Time!R17&lt;57),R126+R127+R128+R129+R130+R131+-1*Inputs!S222*S113*(Inputs!$F$95/100*0.5-Operations!S9/100*Time!S20/360)+(Inputs!$F$93/100*Inputs!$F$94/100)*R125*Time!S20/365,0)</f>
        <v/>
      </c>
      <c r="S132" s="11">
        <f>IF(AND(Time!S17&gt;=Time!$F$11,Time!S17&lt;57),S126+S127+S128+S129+S130+S131+-1*Inputs!T222*T113*(Inputs!$F$95/100*0.5-Operations!T9/100*Time!T20/360)+(Inputs!$F$93/100*Inputs!$F$94/100)*S125*Time!T20/365,0)</f>
        <v/>
      </c>
      <c r="T132" s="11">
        <f>IF(AND(Time!T17&gt;=Time!$F$11,Time!T17&lt;57),T126+T127+T128+T129+T130+T131+-1*Inputs!U222*U113*(Inputs!$F$95/100*0.5-Operations!U9/100*Time!U20/360)+(Inputs!$F$93/100*Inputs!$F$94/100)*T125*Time!U20/365,0)</f>
        <v/>
      </c>
      <c r="U132" s="11">
        <f>IF(AND(Time!U17&gt;=Time!$F$11,Time!U17&lt;57),U126+U127+U128+U129+U130+U131+-1*Inputs!V222*V113*(Inputs!$F$95/100*0.5-Operations!V9/100*Time!V20/360)+(Inputs!$F$93/100*Inputs!$F$94/100)*U125*Time!V20/365,0)</f>
        <v/>
      </c>
      <c r="V132" s="11">
        <f>IF(AND(Time!V17&gt;=Time!$F$11,Time!V17&lt;57),V126+V127+V128+V129+V130+V131+-1*Inputs!W222*W113*(Inputs!$F$95/100*0.5-Operations!W9/100*Time!W20/360)+(Inputs!$F$93/100*Inputs!$F$94/100)*V125*Time!W20/365,0)</f>
        <v/>
      </c>
      <c r="W132" s="11">
        <f>IF(AND(Time!W17&gt;=Time!$F$11,Time!W17&lt;57),W126+W127+W128+W129+W130+W131+-1*Inputs!X222*X113*(Inputs!$F$95/100*0.5-Operations!X9/100*Time!X20/360)+(Inputs!$F$93/100*Inputs!$F$94/100)*W125*Time!X20/365,0)</f>
        <v/>
      </c>
      <c r="X132" s="11">
        <f>IF(AND(Time!X17&gt;=Time!$F$11,Time!X17&lt;57),X126+X127+X128+X129+X130+X131+-1*Inputs!Y222*Y113*(Inputs!$F$95/100*0.5-Operations!Y9/100*Time!Y20/360)+(Inputs!$F$93/100*Inputs!$F$94/100)*X125*Time!Y20/365,0)</f>
        <v/>
      </c>
      <c r="Y132" s="11">
        <f>IF(AND(Time!Y17&gt;=Time!$F$11,Time!Y17&lt;57),Y126+Y127+Y128+Y129+Y130+Y131+-1*Inputs!Z222*Z113*(Inputs!$F$95/100*0.5-Operations!Z9/100*Time!Z20/360)+(Inputs!$F$93/100*Inputs!$F$94/100)*Y125*Time!Z20/365,0)</f>
        <v/>
      </c>
      <c r="Z132" s="11">
        <f>IF(AND(Time!Z17&gt;=Time!$F$11,Time!Z17&lt;57),Z126+Z127+Z128+Z129+Z130+Z131+-1*Inputs!AA222*AA113*(Inputs!$F$95/100*0.5-Operations!AA9/100*Time!AA20/360)+(Inputs!$F$93/100*Inputs!$F$94/100)*Z125*Time!AA20/365,0)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IF(AND(Time!AA17&gt;=Time!$F$11,Time!AA17&lt;57),AA126+AA127+AA128+AA129+AA130+AA131+-1*Inputs!AB222*AB113*(Inputs!$F$95/100*0.5-Operations!AB9/100*Time!AB20/360)+(Inputs!$F$93/100*Inputs!$F$94/100)*AA125*Time!AB20/365,0)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IF(AND(Time!AB17&gt;=Time!$F$11,Time!AB17&lt;57),AB126+AB127+AB128+AB129+AB130+AB131+-1*Inputs!AC222*AC113*(Inputs!$F$95/100*0.5-Operations!AC9/100*Time!AC20/360)+(Inputs!$F$93/100*Inputs!$F$94/100)*AB125*Time!AC20/365,0)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IF(AND(Time!AC17&gt;=Time!$F$11,Time!AC17&lt;57),AC126+AC127+AC128+AC129+AC130+AC131+-1*Inputs!AD222*AD113*(Inputs!$F$95/100*0.5-Operations!AD9/100*Time!AD20/360)+(Inputs!$F$93/100*Inputs!$F$94/100)*AC125*Time!AD20/365,0)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IF(AND(Time!AD17&gt;=Time!$F$11,Time!AD17&lt;57),AD126+AD127+AD128+AD129+AD130+AD131+-1*Inputs!AE222*AE113*(Inputs!$F$95/100*0.5-Operations!AE9/100*Time!AE20/360)+(Inputs!$F$93/100*Inputs!$F$94/100)*AD125*Time!AE20/365,0)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IF(AND(Time!AE17&gt;=Time!$F$11,Time!AE17&lt;57),AE126+AE127+AE128+AE129+AE130+AE131+-1*Inputs!AF222*AF113*(Inputs!$F$95/100*0.5-Operations!AF9/100*Time!AF20/360)+(Inputs!$F$93/100*Inputs!$F$94/100)*AE125*Time!AF20/365,0)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IF(AND(Time!AF17&gt;=Time!$F$11,Time!AF17&lt;57),AF126+AF127+AF128+AF129+AF130+AF131+-1*Inputs!AG222*AG113*(Inputs!$F$95/100*0.5-Operations!AG9/100*Time!AG20/360)+(Inputs!$F$93/100*Inputs!$F$94/100)*AF125*Time!AG20/365,0)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IF(AND(Time!AG17&gt;=Time!$F$11,Time!AG17&lt;57),AG126+AG127+AG128+AG129+AG130+AG131+-1*Inputs!AH222*AH113*(Inputs!$F$95/100*0.5-Operations!AH9/100*Time!AH20/360)+(Inputs!$F$93/100*Inputs!$F$94/100)*AG125*Time!AH20/365,0)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IF(AND(Time!AH17&gt;=Time!$F$11,Time!AH17&lt;57),AH126+AH127+AH128+AH129+AH130+AH131+-1*Inputs!AI222*AI113*(Inputs!$F$95/100*0.5-Operations!AI9/100*Time!AI20/360)+(Inputs!$F$93/100*Inputs!$F$94/100)*AH125*Time!AI20/365,0)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IF(AND(Time!AI17&gt;=Time!$F$11,Time!AI17&lt;57),AI126+AI127+AI128+AI129+AI130+AI131+-1*Inputs!AJ222*AJ113*(Inputs!$F$95/100*0.5-Operations!AJ9/100*Time!AJ20/360)+(Inputs!$F$93/100*Inputs!$F$94/100)*AI125*Time!AJ20/365,0)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IF(AND(Time!AJ17&gt;=Time!$F$11,Time!AJ17&lt;57),AJ126+AJ127+AJ128+AJ129+AJ130+AJ131+-1*Inputs!AK222*AK113*(Inputs!$F$95/100*0.5-Operations!AK9/100*Time!AK20/360)+(Inputs!$F$93/100*Inputs!$F$94/100)*AJ125*Time!AK20/365,0)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IF(AND(Time!AK17&gt;=Time!$F$11,Time!AK17&lt;57),AK126+AK127+AK128+AK129+AK130+AK131+-1*Inputs!AL222*AL113*(Inputs!$F$95/100*0.5-Operations!AL9/100*Time!AL20/360)+(Inputs!$F$93/100*Inputs!$F$94/100)*AK125*Time!AL20/365,0)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IF(AND(Time!AL17&gt;=Time!$F$11,Time!AL17&lt;57),AL126+AL127+AL128+AL129+AL130+AL131+-1*Inputs!AM222*AM113*(Inputs!$F$95/100*0.5-Operations!AM9/100*Time!AM20/360)+(Inputs!$F$93/100*Inputs!$F$94/100)*AL125*Time!AM20/365,0)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IF(AND(Time!AM17&gt;=Time!$F$11,Time!AM17&lt;57),AM126+AM127+AM128+AM129+AM130+AM131+-1*Inputs!AN222*AN113*(Inputs!$F$95/100*0.5-Operations!AN9/100*Time!AN20/360)+(Inputs!$F$93/100*Inputs!$F$94/100)*AM125*Time!AN20/365,0)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IF(AND(Time!AN17&gt;=Time!$F$11,Time!AN17&lt;57),AN126+AN127+AN128+AN129+AN130+AN131+-1*Inputs!AO222*AO113*(Inputs!$F$95/100*0.5-Operations!AO9/100*Time!AO20/360)+(Inputs!$F$93/100*Inputs!$F$94/100)*AN125*Time!AO20/365,0)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IF(AND(Time!AO17&gt;=Time!$F$11,Time!AO17&lt;57),AO126+AO127+AO128+AO129+AO130+AO131+-1*Inputs!AP222*AP113*(Inputs!$F$95/100*0.5-Operations!AP9/100*Time!AP20/360)+(Inputs!$F$93/100*Inputs!$F$94/100)*AO125*Time!AP20/365,0)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IF(AND(Time!AP17&gt;=Time!$F$11,Time!AP17&lt;57),AP126+AP127+AP128+AP129+AP130+AP131+-1*Inputs!AQ222*AQ113*(Inputs!$F$95/100*0.5-Operations!AQ9/100*Time!AQ20/360)+(Inputs!$F$93/100*Inputs!$F$94/100)*AP125*Time!AQ20/365,0)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IF(AND(Time!AQ17&gt;=Time!$F$11,Time!AQ17&lt;57),AQ126+AQ127+AQ128+AQ129+AQ130+AQ131+-1*Inputs!AR222*AR113*(Inputs!$F$95/100*0.5-Operations!AR9/100*Time!AR20/360)+(Inputs!$F$93/100*Inputs!$F$94/100)*AQ125*Time!AR20/365,0)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IF(AND(Time!AR17&gt;=Time!$F$11,Time!AR17&lt;57),AR126+AR127+AR128+AR129+AR130+AR131+-1*Inputs!AS222*AS113*(Inputs!$F$95/100*0.5-Operations!AS9/100*Time!AS20/360)+(Inputs!$F$93/100*Inputs!$F$94/100)*AR125*Time!AS20/365,0)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IF(AND(Time!AS17&gt;=Time!$F$11,Time!AS17&lt;57),AS126+AS127+AS128+AS129+AS130+AS131+-1*Inputs!AT222*AT113*(Inputs!$F$95/100*0.5-Operations!AT9/100*Time!AT20/360)+(Inputs!$F$93/100*Inputs!$F$94/100)*AS125*Time!AT20/365,0)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IF(AND(Time!AT17&gt;=Time!$F$11,Time!AT17&lt;57),AT126+AT127+AT128+AT129+AT130+AT131+-1*Inputs!AU222*AU113*(Inputs!$F$95/100*0.5-Operations!AU9/100*Time!AU20/360)+(Inputs!$F$93/100*Inputs!$F$94/100)*AT125*Time!AU20/365,0)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IF(AND(Time!AU17&gt;=Time!$F$11,Time!AU17&lt;57),AU126+AU127+AU128+AU129+AU130+AU131+-1*Inputs!AV222*AV113*(Inputs!$F$95/100*0.5-Operations!AV9/100*Time!AV20/360)+(Inputs!$F$93/100*Inputs!$F$94/100)*AU125*Time!AV20/365,0)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IF(AND(Time!AV17&gt;=Time!$F$11,Time!AV17&lt;57),AV126+AV127+AV128+AV129+AV130+AV131+-1*Inputs!AW222*AW113*(Inputs!$F$95/100*0.5-Operations!AW9/100*Time!AW20/360)+(Inputs!$F$93/100*Inputs!$F$94/100)*AV125*Time!AW20/365,0)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IF(AND(Time!AW17&gt;=Time!$F$11,Time!AW17&lt;57),AW126+AW127+AW128+AW129+AW130+AW131+-1*Inputs!AX222*AX113*(Inputs!$F$95/100*0.5-Operations!AX9/100*Time!AX20/360)+(Inputs!$F$93/100*Inputs!$F$94/100)*AW125*Time!AX20/365,0)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IF(AND(Time!AX17&gt;=Time!$F$11,Time!AX17&lt;57),AX126+AX127+AX128+AX129+AX130+AX131+-1*Inputs!AY222*AY113*(Inputs!$F$95/100*0.5-Operations!AY9/100*Time!AY20/360)+(Inputs!$F$93/100*Inputs!$F$94/100)*AX125*Time!AY20/365,0)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IF(AND(Time!AY17&gt;=Time!$F$11,Time!AY17&lt;57),AY126+AY127+AY128+AY129+AY130+AY131+-1*Inputs!AZ222*AZ113*(Inputs!$F$95/100*0.5-Operations!AZ9/100*Time!AZ20/360)+(Inputs!$F$93/100*Inputs!$F$94/100)*AY125*Time!AZ20/365,0)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IF(AND(Time!AZ17&gt;=Time!$F$11,Time!AZ17&lt;57),AZ126+AZ127+AZ128+AZ129+AZ130+AZ131+-1*Inputs!BA222*BA113*(Inputs!$F$95/100*0.5-Operations!BA9/100*Time!BA20/360)+(Inputs!$F$93/100*Inputs!$F$94/100)*AZ125*Time!BA20/365,0)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IF(AND(Time!BA17&gt;=Time!$F$11,Time!BA17&lt;57),BA126+BA127+BA128+BA129+BA130+BA131+-1*Inputs!BB222*BB113*(Inputs!$F$95/100*0.5-Operations!BB9/100*Time!BB20/360)+(Inputs!$F$93/100*Inputs!$F$94/100)*BA125*Time!BB20/365,0)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IF(AND(Time!BB17&gt;=Time!$F$11,Time!BB17&lt;57),BB126+BB127+BB128+BB129+BB130+BB131+-1*Inputs!BC222*BC113*(Inputs!$F$95/100*0.5-Operations!BC9/100*Time!BC20/360)+(Inputs!$F$93/100*Inputs!$F$94/100)*BB125*Time!BC20/365,0)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IF(AND(Time!BC17&gt;=Time!$F$11,Time!BC17&lt;57),BC126+BC127+BC128+BC129+BC130+BC131+-1*Inputs!BD222*BD113*(Inputs!$F$95/100*0.5-Operations!BD9/100*Time!BD20/360)+(Inputs!$F$93/100*Inputs!$F$94/100)*BC125*Time!BD20/365,0)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IF(AND(Time!BD17&gt;=Time!$F$11,Time!BD17&lt;57),BD126+BD127+BD128+BD129+BD130+BD131+-1*Inputs!BE222*BE113*(Inputs!$F$95/100*0.5-Operations!BE9/100*Time!BE20/360)+(Inputs!$F$93/100*Inputs!$F$94/100)*BD125*Time!BE20/365,0)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IF(AND(Time!BE17&gt;=Time!$F$11,Time!BE17&lt;57),BE126+BE127+BE128+BE129+BE130+BE131+-1*Inputs!BF222*BF113*(Inputs!$F$95/100*0.5-Operations!BF9/100*Time!BF20/360)+(Inputs!$F$93/100*Inputs!$F$94/100)*BE125*Time!BF20/365,0)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IF(AND(Time!BF17&gt;=Time!$F$11,Time!BF17&lt;57),BF126+BF127+BF128+BF129+BF130+BF131+-1*Inputs!BG222*BG113*(Inputs!$F$95/100*0.5-Operations!BG9/100*Time!BG20/360)+(Inputs!$F$93/100*Inputs!$F$94/100)*BF125*Time!BG20/365,0)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IF(AND(Time!BG17&gt;=Time!$F$11,Time!BG17&lt;57),BG126+BG127+BG128+BG129+BG130+BG131+-1*Inputs!BH222*BH113*(Inputs!$F$95/100*0.5-Operations!BH9/100*Time!BH20/360)+(Inputs!$F$93/100*Inputs!$F$94/100)*BG125*Time!BH20/365,0)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IF(AND(Time!BH17&gt;=Time!$F$11,Time!BH17&lt;57),BH126+BH127+BH128+BH129+BH130+BH131+-1*Inputs!BI222*BI113*(Inputs!$F$95/100*0.5-Operations!BI9/100*Time!BI20/360)+(Inputs!$F$93/100*Inputs!$F$94/100)*BH125*Time!BI20/365,0)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IF(AND(Time!BI17&gt;=Time!$F$11,Time!BI17&lt;57),BI126+BI127+BI128+BI129+BI130+BI131+-1*Inputs!BJ222*BJ113*(Inputs!$F$95/100*0.5-Operations!BJ9/100*Time!BJ20/360)+(Inputs!$F$93/100*Inputs!$F$94/100)*BI125*Time!BJ20/365,0)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IF(AND(Time!BJ17&gt;=Time!$F$11,Time!BJ17&lt;57),BJ126+BJ127+BJ128+BJ129+BJ130+BJ131+-1*Inputs!BK222*BK113*(Inputs!$F$95/100*0.5-Operations!BK9/100*Time!BK20/360)+(Inputs!$F$93/100*Inputs!$F$94/100)*BJ125*Time!BK20/365,0)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IF(AND(Time!BK17&gt;=Time!$F$11,Time!BK17&lt;57),BK126+BK127+BK128+BK129+BK130+BK131+-1*Inputs!BL222*BL113*(Inputs!$F$95/100*0.5-Operations!BL9/100*Time!BL20/360)+(Inputs!$F$93/100*Inputs!$F$94/100)*BK125*Time!BL20/365,0)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IF(AND(Time!BL17&gt;=Time!$F$11,Time!BL17&lt;57),BL126+BL127+BL128+BL129+BL130+BL131+-1*Inputs!BM222*BM113*(Inputs!$F$95/100*0.5-Operations!BM9/100*Time!BM20/360)+(Inputs!$F$93/100*Inputs!$F$94/100)*BL125*Time!BM20/365,0)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IF(AND(Time!BM17&gt;=Time!$F$11,Time!BM17&lt;57),BM126+BM127+BM128+BM129+BM130+BM131+-1*Inputs!BN222*BN113*(Inputs!$F$95/100*0.5-Operations!BN9/100*Time!BN20/360)+(Inputs!$F$93/100*Inputs!$F$94/100)*BM125*Time!BN20/365,0)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IF(AND(Time!BN17&gt;=Time!$F$11,Time!BN17&lt;57),BN126+BN127+BN128+BN129+BN130+BN131+-1*0*0*(Inputs!$F$95/100*0.5-0/100*0/360)+(Inputs!$F$93/100*Inputs!$F$94/100)*BN125*0/365,0)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IF(J134=1,Inputs!$F$73*J10+Inputs!$F$74*J11+Inputs!$F$75*J12+Inputs!$F$76*(J13+(Inputs!$F$93/100*Inputs!$F$94/100)*Time!J20/365)+-1*Inputs!J222/(Funding!$F$25*J18)*(Inputs!$F$95/100*0.5-Operations!J9/100*Time!J20/360),0)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IF(K134=1,Inputs!$F$73*K10+Inputs!$F$74*K11+Inputs!$F$75*K12+Inputs!$F$76*(K13+(Inputs!$F$93/100*Inputs!$F$94/100)*Time!K20/365)+-1*Inputs!K222/(Funding!$F$25*K18)*(Inputs!$F$95/100*0.5-Operations!K9/100*Time!K20/360),0)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IF(L134=1,Inputs!$F$73*L10+Inputs!$F$74*L11+Inputs!$F$75*L12+Inputs!$F$76*(L13+(Inputs!$F$93/100*Inputs!$F$94/100)*Time!L20/365)+-1*Inputs!L222/(Funding!$F$25*L18)*(Inputs!$F$95/100*0.5-Operations!L9/100*Time!L20/360),0)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IF(M134=1,Inputs!$F$73*M10+Inputs!$F$74*M11+Inputs!$F$75*M12+Inputs!$F$76*(M13+(Inputs!$F$93/100*Inputs!$F$94/100)*Time!M20/365)+-1*Inputs!M222/(Funding!$F$25*M18)*(Inputs!$F$95/100*0.5-Operations!M9/100*Time!M20/360),0)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IF(N134=1,Inputs!$F$73*N10+Inputs!$F$74*N11+Inputs!$F$75*N12+Inputs!$F$76*(N13+(Inputs!$F$93/100*Inputs!$F$94/100)*Time!N20/365)+-1*Inputs!N222/(Funding!$F$25*N18)*(Inputs!$F$95/100*0.5-Operations!N9/100*Time!N20/360),0)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IF(O134=1,Inputs!$F$73*O10+Inputs!$F$74*O11+Inputs!$F$75*O12+Inputs!$F$76*(O13+(Inputs!$F$93/100*Inputs!$F$94/100)*Time!O20/365)+-1*Inputs!O222/(Funding!$F$25*O18)*(Inputs!$F$95/100*0.5-Operations!O9/100*Time!O20/360),0)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IF(P134=1,Inputs!$F$73*P10+Inputs!$F$74*P11+Inputs!$F$75*P12+Inputs!$F$76*(P13+(Inputs!$F$93/100*Inputs!$F$94/100)*Time!P20/365)+-1*Inputs!P222/(Funding!$F$25*P18)*(Inputs!$F$95/100*0.5-Operations!P9/100*Time!P20/360),0)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IF(Q134=1,Inputs!$F$73*Q10+Inputs!$F$74*Q11+Inputs!$F$75*Q12+Inputs!$F$76*(Q13+(Inputs!$F$93/100*Inputs!$F$94/100)*Time!Q20/365)+-1*Inputs!Q222/(Funding!$F$25*Q18)*(Inputs!$F$95/100*0.5-Operations!Q9/100*Time!Q20/360),0)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IF(R134=1,Inputs!$F$73*R10+Inputs!$F$74*R11+Inputs!$F$75*R12+Inputs!$F$76*(R13+(Inputs!$F$93/100*Inputs!$F$94/100)*Time!R20/365)+-1*Inputs!R222/(Funding!$F$25*R18)*(Inputs!$F$95/100*0.5-Operations!R9/100*Time!R20/360),0)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IF(S134=1,Inputs!$F$73*S10+Inputs!$F$74*S11+Inputs!$F$75*S12+Inputs!$F$76*(S13+(Inputs!$F$93/100*Inputs!$F$94/100)*Time!S20/365)+-1*Inputs!S222/(Funding!$F$25*S18)*(Inputs!$F$95/100*0.5-Operations!S9/100*Time!S20/360),0)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IF(T134=1,Inputs!$F$73*T10+Inputs!$F$74*T11+Inputs!$F$75*T12+Inputs!$F$76*(T13+(Inputs!$F$93/100*Inputs!$F$94/100)*Time!T20/365)+-1*Inputs!T222/(Funding!$F$25*T18)*(Inputs!$F$95/100*0.5-Operations!T9/100*Time!T20/360),0)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IF(U134=1,Inputs!$F$73*U10+Inputs!$F$74*U11+Inputs!$F$75*U12+Inputs!$F$76*(U13+(Inputs!$F$93/100*Inputs!$F$94/100)*Time!U20/365)+-1*Inputs!U222/(Funding!$F$25*U18)*(Inputs!$F$95/100*0.5-Operations!U9/100*Time!U20/360),0)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IF(V134=1,Inputs!$F$73*V10+Inputs!$F$74*V11+Inputs!$F$75*V12+Inputs!$F$76*(V13+(Inputs!$F$93/100*Inputs!$F$94/100)*Time!V20/365)+-1*Inputs!V222/(Funding!$F$25*V18)*(Inputs!$F$95/100*0.5-Operations!V9/100*Time!V20/360),0)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IF(W134=1,Inputs!$F$73*W10+Inputs!$F$74*W11+Inputs!$F$75*W12+Inputs!$F$76*(W13+(Inputs!$F$93/100*Inputs!$F$94/100)*Time!W20/365)+-1*Inputs!W222/(Funding!$F$25*W18)*(Inputs!$F$95/100*0.5-Operations!W9/100*Time!W20/360),0)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IF(X134=1,Inputs!$F$73*X10+Inputs!$F$74*X11+Inputs!$F$75*X12+Inputs!$F$76*(X13+(Inputs!$F$93/100*Inputs!$F$94/100)*Time!X20/365)+-1*Inputs!X222/(Funding!$F$25*X18)*(Inputs!$F$95/100*0.5-Operations!X9/100*Time!X20/360),0)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IF(Y134=1,Inputs!$F$73*Y10+Inputs!$F$74*Y11+Inputs!$F$75*Y12+Inputs!$F$76*(Y13+(Inputs!$F$93/100*Inputs!$F$94/100)*Time!Y20/365)+-1*Inputs!Y222/(Funding!$F$25*Y18)*(Inputs!$F$95/100*0.5-Operations!Y9/100*Time!Y20/360),0)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IF(Z134=1,Inputs!$F$73*Z10+Inputs!$F$74*Z11+Inputs!$F$75*Z12+Inputs!$F$76*(Z13+(Inputs!$F$93/100*Inputs!$F$94/100)*Time!Z20/365)+-1*Inputs!Z222/(Funding!$F$25*Z18)*(Inputs!$F$95/100*0.5-Operations!Z9/100*Time!Z20/360),0)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IF(AA134=1,Inputs!$F$73*AA10+Inputs!$F$74*AA11+Inputs!$F$75*AA12+Inputs!$F$76*(AA13+(Inputs!$F$93/100*Inputs!$F$94/100)*Time!AA20/365)+-1*Inputs!AA222/(Funding!$F$25*AA18)*(Inputs!$F$95/100*0.5-Operations!AA9/100*Time!AA20/360),0)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IF(AB134=1,Inputs!$F$73*AB10+Inputs!$F$74*AB11+Inputs!$F$75*AB12+Inputs!$F$76*(AB13+(Inputs!$F$93/100*Inputs!$F$94/100)*Time!AB20/365)+-1*Inputs!AB222/(Funding!$F$25*AB18)*(Inputs!$F$95/100*0.5-Operations!AB9/100*Time!AB20/360),0)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IF(AC134=1,Inputs!$F$73*AC10+Inputs!$F$74*AC11+Inputs!$F$75*AC12+Inputs!$F$76*(AC13+(Inputs!$F$93/100*Inputs!$F$94/100)*Time!AC20/365)+-1*Inputs!AC222/(Funding!$F$25*AC18)*(Inputs!$F$95/100*0.5-Operations!AC9/100*Time!AC20/360),0)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IF(AD134=1,Inputs!$F$73*AD10+Inputs!$F$74*AD11+Inputs!$F$75*AD12+Inputs!$F$76*(AD13+(Inputs!$F$93/100*Inputs!$F$94/100)*Time!AD20/365)+-1*Inputs!AD222/(Funding!$F$25*AD18)*(Inputs!$F$95/100*0.5-Operations!AD9/100*Time!AD20/360),0)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IF(AE134=1,Inputs!$F$73*AE10+Inputs!$F$74*AE11+Inputs!$F$75*AE12+Inputs!$F$76*(AE13+(Inputs!$F$93/100*Inputs!$F$94/100)*Time!AE20/365)+-1*Inputs!AE222/(Funding!$F$25*AE18)*(Inputs!$F$95/100*0.5-Operations!AE9/100*Time!AE20/360),0)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IF(AF134=1,Inputs!$F$73*AF10+Inputs!$F$74*AF11+Inputs!$F$75*AF12+Inputs!$F$76*(AF13+(Inputs!$F$93/100*Inputs!$F$94/100)*Time!AF20/365)+-1*Inputs!AF222/(Funding!$F$25*AF18)*(Inputs!$F$95/100*0.5-Operations!AF9/100*Time!AF20/360),0)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IF(AG134=1,Inputs!$F$73*AG10+Inputs!$F$74*AG11+Inputs!$F$75*AG12+Inputs!$F$76*(AG13+(Inputs!$F$93/100*Inputs!$F$94/100)*Time!AG20/365)+-1*Inputs!AG222/(Funding!$F$25*AG18)*(Inputs!$F$95/100*0.5-Operations!AG9/100*Time!AG20/360),0)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IF(AH134=1,Inputs!$F$73*AH10+Inputs!$F$74*AH11+Inputs!$F$75*AH12+Inputs!$F$76*(AH13+(Inputs!$F$93/100*Inputs!$F$94/100)*Time!AH20/365)+-1*Inputs!AH222/(Funding!$F$25*AH18)*(Inputs!$F$95/100*0.5-Operations!AH9/100*Time!AH20/360),0)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IF(AI134=1,Inputs!$F$73*AI10+Inputs!$F$74*AI11+Inputs!$F$75*AI12+Inputs!$F$76*(AI13+(Inputs!$F$93/100*Inputs!$F$94/100)*Time!AI20/365)+-1*Inputs!AI222/(Funding!$F$25*AI18)*(Inputs!$F$95/100*0.5-Operations!AI9/100*Time!AI20/360),0)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IF(AJ134=1,Inputs!$F$73*AJ10+Inputs!$F$74*AJ11+Inputs!$F$75*AJ12+Inputs!$F$76*(AJ13+(Inputs!$F$93/100*Inputs!$F$94/100)*Time!AJ20/365)+-1*Inputs!AJ222/(Funding!$F$25*AJ18)*(Inputs!$F$95/100*0.5-Operations!AJ9/100*Time!AJ20/360),0)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IF(AK134=1,Inputs!$F$73*AK10+Inputs!$F$74*AK11+Inputs!$F$75*AK12+Inputs!$F$76*(AK13+(Inputs!$F$93/100*Inputs!$F$94/100)*Time!AK20/365)+-1*Inputs!AK222/(Funding!$F$25*AK18)*(Inputs!$F$95/100*0.5-Operations!AK9/100*Time!AK20/360),0)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IF(AL134=1,Inputs!$F$73*AL10+Inputs!$F$74*AL11+Inputs!$F$75*AL12+Inputs!$F$76*(AL13+(Inputs!$F$93/100*Inputs!$F$94/100)*Time!AL20/365)+-1*Inputs!AL222/(Funding!$F$25*AL18)*(Inputs!$F$95/100*0.5-Operations!AL9/100*Time!AL20/360),0)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IF(AM134=1,Inputs!$F$73*AM10+Inputs!$F$74*AM11+Inputs!$F$75*AM12+Inputs!$F$76*(AM13+(Inputs!$F$93/100*Inputs!$F$94/100)*Time!AM20/365)+-1*Inputs!AM222/(Funding!$F$25*AM18)*(Inputs!$F$95/100*0.5-Operations!AM9/100*Time!AM20/360),0)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IF(AN134=1,Inputs!$F$73*AN10+Inputs!$F$74*AN11+Inputs!$F$75*AN12+Inputs!$F$76*(AN13+(Inputs!$F$93/100*Inputs!$F$94/100)*Time!AN20/365)+-1*Inputs!AN222/(Funding!$F$25*AN18)*(Inputs!$F$95/100*0.5-Operations!AN9/100*Time!AN20/360),0)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IF(AO134=1,Inputs!$F$73*AO10+Inputs!$F$74*AO11+Inputs!$F$75*AO12+Inputs!$F$76*(AO13+(Inputs!$F$93/100*Inputs!$F$94/100)*Time!AO20/365)+-1*Inputs!AO222/(Funding!$F$25*AO18)*(Inputs!$F$95/100*0.5-Operations!AO9/100*Time!AO20/360),0)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IF(AP134=1,Inputs!$F$73*AP10+Inputs!$F$74*AP11+Inputs!$F$75*AP12+Inputs!$F$76*(AP13+(Inputs!$F$93/100*Inputs!$F$94/100)*Time!AP20/365)+-1*Inputs!AP222/(Funding!$F$25*AP18)*(Inputs!$F$95/100*0.5-Operations!AP9/100*Time!AP20/360),0)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IF(AQ134=1,Inputs!$F$73*AQ10+Inputs!$F$74*AQ11+Inputs!$F$75*AQ12+Inputs!$F$76*(AQ13+(Inputs!$F$93/100*Inputs!$F$94/100)*Time!AQ20/365)+-1*Inputs!AQ222/(Funding!$F$25*AQ18)*(Inputs!$F$95/100*0.5-Operations!AQ9/100*Time!AQ20/360),0)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IF(AR134=1,Inputs!$F$73*AR10+Inputs!$F$74*AR11+Inputs!$F$75*AR12+Inputs!$F$76*(AR13+(Inputs!$F$93/100*Inputs!$F$94/100)*Time!AR20/365)+-1*Inputs!AR222/(Funding!$F$25*AR18)*(Inputs!$F$95/100*0.5-Operations!AR9/100*Time!AR20/360),0)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IF(AS134=1,Inputs!$F$73*AS10+Inputs!$F$74*AS11+Inputs!$F$75*AS12+Inputs!$F$76*(AS13+(Inputs!$F$93/100*Inputs!$F$94/100)*Time!AS20/365)+-1*Inputs!AS222/(Funding!$F$25*AS18)*(Inputs!$F$95/100*0.5-Operations!AS9/100*Time!AS20/360),0)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IF(AT134=1,Inputs!$F$73*AT10+Inputs!$F$74*AT11+Inputs!$F$75*AT12+Inputs!$F$76*(AT13+(Inputs!$F$93/100*Inputs!$F$94/100)*Time!AT20/365)+-1*Inputs!AT222/(Funding!$F$25*AT18)*(Inputs!$F$95/100*0.5-Operations!AT9/100*Time!AT20/360),0)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IF(AU134=1,Inputs!$F$73*AU10+Inputs!$F$74*AU11+Inputs!$F$75*AU12+Inputs!$F$76*(AU13+(Inputs!$F$93/100*Inputs!$F$94/100)*Time!AU20/365)+-1*Inputs!AU222/(Funding!$F$25*AU18)*(Inputs!$F$95/100*0.5-Operations!AU9/100*Time!AU20/360),0)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IF(AV134=1,Inputs!$F$73*AV10+Inputs!$F$74*AV11+Inputs!$F$75*AV12+Inputs!$F$76*(AV13+(Inputs!$F$93/100*Inputs!$F$94/100)*Time!AV20/365)+-1*Inputs!AV222/(Funding!$F$25*AV18)*(Inputs!$F$95/100*0.5-Operations!AV9/100*Time!AV20/360),0)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IF(AW134=1,Inputs!$F$73*AW10+Inputs!$F$74*AW11+Inputs!$F$75*AW12+Inputs!$F$76*(AW13+(Inputs!$F$93/100*Inputs!$F$94/100)*Time!AW20/365)+-1*Inputs!AW222/(Funding!$F$25*AW18)*(Inputs!$F$95/100*0.5-Operations!AW9/100*Time!AW20/360),0)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IF(AX134=1,Inputs!$F$73*AX10+Inputs!$F$74*AX11+Inputs!$F$75*AX12+Inputs!$F$76*(AX13+(Inputs!$F$93/100*Inputs!$F$94/100)*Time!AX20/365)+-1*Inputs!AX222/(Funding!$F$25*AX18)*(Inputs!$F$95/100*0.5-Operations!AX9/100*Time!AX20/360),0)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IF(AY134=1,Inputs!$F$73*AY10+Inputs!$F$74*AY11+Inputs!$F$75*AY12+Inputs!$F$76*(AY13+(Inputs!$F$93/100*Inputs!$F$94/100)*Time!AY20/365)+-1*Inputs!AY222/(Funding!$F$25*AY18)*(Inputs!$F$95/100*0.5-Operations!AY9/100*Time!AY20/360),0)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IF(AZ134=1,Inputs!$F$73*AZ10+Inputs!$F$74*AZ11+Inputs!$F$75*AZ12+Inputs!$F$76*(AZ13+(Inputs!$F$93/100*Inputs!$F$94/100)*Time!AZ20/365)+-1*Inputs!AZ222/(Funding!$F$25*AZ18)*(Inputs!$F$95/100*0.5-Operations!AZ9/100*Time!AZ20/360),0)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IF(BA134=1,Inputs!$F$73*BA10+Inputs!$F$74*BA11+Inputs!$F$75*BA12+Inputs!$F$76*(BA13+(Inputs!$F$93/100*Inputs!$F$94/100)*Time!BA20/365)+-1*Inputs!BA222/(Funding!$F$25*BA18)*(Inputs!$F$95/100*0.5-Operations!BA9/100*Time!BA20/360),0)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IF(BB134=1,Inputs!$F$73*BB10+Inputs!$F$74*BB11+Inputs!$F$75*BB12+Inputs!$F$76*(BB13+(Inputs!$F$93/100*Inputs!$F$94/100)*Time!BB20/365)+-1*Inputs!BB222/(Funding!$F$25*BB18)*(Inputs!$F$95/100*0.5-Operations!BB9/100*Time!BB20/360),0)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IF(BC134=1,Inputs!$F$73*BC10+Inputs!$F$74*BC11+Inputs!$F$75*BC12+Inputs!$F$76*(BC13+(Inputs!$F$93/100*Inputs!$F$94/100)*Time!BC20/365)+-1*Inputs!BC222/(Funding!$F$25*BC18)*(Inputs!$F$95/100*0.5-Operations!BC9/100*Time!BC20/360),0)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IF(BD134=1,Inputs!$F$73*BD10+Inputs!$F$74*BD11+Inputs!$F$75*BD12+Inputs!$F$76*(BD13+(Inputs!$F$93/100*Inputs!$F$94/100)*Time!BD20/365)+-1*Inputs!BD222/(Funding!$F$25*BD18)*(Inputs!$F$95/100*0.5-Operations!BD9/100*Time!BD20/360),0)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IF(BE134=1,Inputs!$F$73*BE10+Inputs!$F$74*BE11+Inputs!$F$75*BE12+Inputs!$F$76*(BE13+(Inputs!$F$93/100*Inputs!$F$94/100)*Time!BE20/365)+-1*Inputs!BE222/(Funding!$F$25*BE18)*(Inputs!$F$95/100*0.5-Operations!BE9/100*Time!BE20/360),0)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IF(BF134=1,Inputs!$F$73*BF10+Inputs!$F$74*BF11+Inputs!$F$75*BF12+Inputs!$F$76*(BF13+(Inputs!$F$93/100*Inputs!$F$94/100)*Time!BF20/365)+-1*Inputs!BF222/(Funding!$F$25*BF18)*(Inputs!$F$95/100*0.5-Operations!BF9/100*Time!BF20/360),0)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IF(BG134=1,Inputs!$F$73*BG10+Inputs!$F$74*BG11+Inputs!$F$75*BG12+Inputs!$F$76*(BG13+(Inputs!$F$93/100*Inputs!$F$94/100)*Time!BG20/365)+-1*Inputs!BG222/(Funding!$F$25*BG18)*(Inputs!$F$95/100*0.5-Operations!BG9/100*Time!BG20/360),0)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IF(BH134=1,Inputs!$F$73*BH10+Inputs!$F$74*BH11+Inputs!$F$75*BH12+Inputs!$F$76*(BH13+(Inputs!$F$93/100*Inputs!$F$94/100)*Time!BH20/365)+-1*Inputs!BH222/(Funding!$F$25*BH18)*(Inputs!$F$95/100*0.5-Operations!BH9/100*Time!BH20/360),0)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IF(BI134=1,Inputs!$F$73*BI10+Inputs!$F$74*BI11+Inputs!$F$75*BI12+Inputs!$F$76*(BI13+(Inputs!$F$93/100*Inputs!$F$94/100)*Time!BI20/365)+-1*Inputs!BI222/(Funding!$F$25*BI18)*(Inputs!$F$95/100*0.5-Operations!BI9/100*Time!BI20/360),0)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IF(BJ134=1,Inputs!$F$73*BJ10+Inputs!$F$74*BJ11+Inputs!$F$75*BJ12+Inputs!$F$76*(BJ13+(Inputs!$F$93/100*Inputs!$F$94/100)*Time!BJ20/365)+-1*Inputs!BJ222/(Funding!$F$25*BJ18)*(Inputs!$F$95/100*0.5-Operations!BJ9/100*Time!BJ20/360),0)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IF(BK134=1,Inputs!$F$73*BK10+Inputs!$F$74*BK11+Inputs!$F$75*BK12+Inputs!$F$76*(BK13+(Inputs!$F$93/100*Inputs!$F$94/100)*Time!BK20/365)+-1*Inputs!BK222/(Funding!$F$25*BK18)*(Inputs!$F$95/100*0.5-Operations!BK9/100*Time!BK20/360),0)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IF(BL134=1,Inputs!$F$73*BL10+Inputs!$F$74*BL11+Inputs!$F$75*BL12+Inputs!$F$76*(BL13+(Inputs!$F$93/100*Inputs!$F$94/100)*Time!BL20/365)+-1*Inputs!BL222/(Funding!$F$25*BL18)*(Inputs!$F$95/100*0.5-Operations!BL9/100*Time!BL20/360),0)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IF(BM134=1,Inputs!$F$73*BM10+Inputs!$F$74*BM11+Inputs!$F$75*BM12+Inputs!$F$76*(BM13+(Inputs!$F$93/100*Inputs!$F$94/100)*Time!BM20/365)+-1*Inputs!BM222/(Funding!$F$25*BM18)*(Inputs!$F$95/100*0.5-Operations!BM9/100*Time!BM20/360),0)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IF(BN134=1,Inputs!$F$73*BN10+Inputs!$F$74*BN11+Inputs!$F$75*BN12+Inputs!$F$76*(BN13+(Inputs!$F$93/100*Inputs!$F$94/100)*Time!BN20/365)+-1*Inputs!BN222/(Funding!$F$25*BN18)*(Inputs!$F$95/100*0.5-Operations!BN9/100*Time!BN20/360),0)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IF(J134=1,(Waterfall!J7+Tax!J27+K136)/(1+J135),0)</f>
        <v/>
      </c>
      <c r="K136" s="11">
        <f>IF(K134=1,(Waterfall!K7+Tax!K27+L136)/(1+K135),0)</f>
        <v/>
      </c>
      <c r="L136" s="11">
        <f>IF(L134=1,(Waterfall!L7+Tax!L27+M136)/(1+L135),0)</f>
        <v/>
      </c>
      <c r="M136" s="11">
        <f>IF(M134=1,(Waterfall!M7+Tax!M27+N136)/(1+M135),0)</f>
        <v/>
      </c>
      <c r="N136" s="11">
        <f>IF(N134=1,(Waterfall!N7+Tax!N27+O136)/(1+N135),0)</f>
        <v/>
      </c>
      <c r="O136" s="11">
        <f>IF(O134=1,(Waterfall!O7+Tax!O27+P136)/(1+O135),0)</f>
        <v/>
      </c>
      <c r="P136" s="11">
        <f>IF(P134=1,(Waterfall!P7+Tax!P27+Q136)/(1+P135),0)</f>
        <v/>
      </c>
      <c r="Q136" s="11">
        <f>IF(Q134=1,(Waterfall!Q7+Tax!Q27+R136)/(1+Q135),0)</f>
        <v/>
      </c>
      <c r="R136" s="11">
        <f>IF(R134=1,(Waterfall!R7+Tax!R27+S136)/(1+R135),0)</f>
        <v/>
      </c>
      <c r="S136" s="11">
        <f>IF(S134=1,(Waterfall!S7+Tax!S27+T136)/(1+S135),0)</f>
        <v/>
      </c>
      <c r="T136" s="11">
        <f>IF(T134=1,(Waterfall!T7+Tax!T27+U136)/(1+T135),0)</f>
        <v/>
      </c>
      <c r="U136" s="11">
        <f>IF(U134=1,(Waterfall!U7+Tax!U27+V136)/(1+U135),0)</f>
        <v/>
      </c>
      <c r="V136" s="11">
        <f>IF(V134=1,(Waterfall!V7+Tax!V27+W136)/(1+V135),0)</f>
        <v/>
      </c>
      <c r="W136" s="11">
        <f>IF(W134=1,(Waterfall!W7+Tax!W27+X136)/(1+W135),0)</f>
        <v/>
      </c>
      <c r="X136" s="11">
        <f>IF(X134=1,(Waterfall!X7+Tax!X27+Y136)/(1+X135),0)</f>
        <v/>
      </c>
      <c r="Y136" s="11">
        <f>IF(Y134=1,(Waterfall!Y7+Tax!Y27+Z136)/(1+Y135),0)</f>
        <v/>
      </c>
      <c r="Z136" s="11">
        <f>IF(Z134=1,(Waterfall!Z7+Tax!Z27+AA136)/(1+Z135),0)</f>
        <v/>
      </c>
      <c r="AA136" s="11">
        <f>IF(AA134=1,(Waterfall!AA7+Tax!AA27+AB136)/(1+AA135),0)</f>
        <v/>
      </c>
      <c r="AB136" s="11">
        <f>IF(AB134=1,(Waterfall!AB7+Tax!AB27+AC136)/(1+AB135),0)</f>
        <v/>
      </c>
      <c r="AC136" s="11">
        <f>IF(AC134=1,(Waterfall!AC7+Tax!AC27+AD136)/(1+AC135),0)</f>
        <v/>
      </c>
      <c r="AD136" s="11">
        <f>IF(AD134=1,(Waterfall!AD7+Tax!AD27+AE136)/(1+AD135),0)</f>
        <v/>
      </c>
      <c r="AE136" s="11">
        <f>IF(AE134=1,(Waterfall!AE7+Tax!AE27+AF136)/(1+AE135),0)</f>
        <v/>
      </c>
      <c r="AF136" s="11">
        <f>IF(AF134=1,(Waterfall!AF7+Tax!AF27+AG136)/(1+AF135),0)</f>
        <v/>
      </c>
      <c r="AG136" s="11">
        <f>IF(AG134=1,(Waterfall!AG7+Tax!AG27+AH136)/(1+AG135),0)</f>
        <v/>
      </c>
      <c r="AH136" s="11">
        <f>IF(AH134=1,(Waterfall!AH7+Tax!AH27+AI136)/(1+AH135),0)</f>
        <v/>
      </c>
      <c r="AI136" s="11">
        <f>IF(AI134=1,(Waterfall!AI7+Tax!AI27+AJ136)/(1+AI135),0)</f>
        <v/>
      </c>
      <c r="AJ136" s="11">
        <f>IF(AJ134=1,(Waterfall!AJ7+Tax!AJ27+AK136)/(1+AJ135),0)</f>
        <v/>
      </c>
      <c r="AK136" s="11">
        <f>IF(AK134=1,(Waterfall!AK7+Tax!AK27+AL136)/(1+AK135),0)</f>
        <v/>
      </c>
      <c r="AL136" s="11">
        <f>IF(AL134=1,(Waterfall!AL7+Tax!AL27+AM136)/(1+AL135),0)</f>
        <v/>
      </c>
      <c r="AM136" s="11">
        <f>IF(AM134=1,(Waterfall!AM7+Tax!AM27+AN136)/(1+AM135),0)</f>
        <v/>
      </c>
      <c r="AN136" s="11">
        <f>IF(AN134=1,(Waterfall!AN7+Tax!AN27+AO136)/(1+AN135),0)</f>
        <v/>
      </c>
      <c r="AO136" s="11">
        <f>IF(AO134=1,(Waterfall!AO7+Tax!AO27+AP136)/(1+AO135),0)</f>
        <v/>
      </c>
      <c r="AP136" s="11">
        <f>IF(AP134=1,(Waterfall!AP7+Tax!AP27+AQ136)/(1+AP135),0)</f>
        <v/>
      </c>
      <c r="AQ136" s="11">
        <f>IF(AQ134=1,(Waterfall!AQ7+Tax!AQ27+AR136)/(1+AQ135),0)</f>
        <v/>
      </c>
      <c r="AR136" s="11">
        <f>IF(AR134=1,(Waterfall!AR7+Tax!AR27+AS136)/(1+AR135),0)</f>
        <v/>
      </c>
      <c r="AS136" s="11">
        <f>IF(AS134=1,(Waterfall!AS7+Tax!AS27+AT136)/(1+AS135),0)</f>
        <v/>
      </c>
      <c r="AT136" s="11">
        <f>IF(AT134=1,(Waterfall!AT7+Tax!AT27+AU136)/(1+AT135),0)</f>
        <v/>
      </c>
      <c r="AU136" s="11">
        <f>IF(AU134=1,(Waterfall!AU7+Tax!AU27+AV136)/(1+AU135),0)</f>
        <v/>
      </c>
      <c r="AV136" s="11">
        <f>IF(AV134=1,(Waterfall!AV7+Tax!AV27+AW136)/(1+AV135),0)</f>
        <v/>
      </c>
      <c r="AW136" s="11">
        <f>IF(AW134=1,(Waterfall!AW7+Tax!AW27+AX136)/(1+AW135),0)</f>
        <v/>
      </c>
      <c r="AX136" s="11">
        <f>IF(AX134=1,(Waterfall!AX7+Tax!AX27+AY136)/(1+AX135),0)</f>
        <v/>
      </c>
      <c r="AY136" s="11">
        <f>IF(AY134=1,(Waterfall!AY7+Tax!AY27+AZ136)/(1+AY135),0)</f>
        <v/>
      </c>
      <c r="AZ136" s="11">
        <f>IF(AZ134=1,(Waterfall!AZ7+Tax!AZ27+BA136)/(1+AZ135),0)</f>
        <v/>
      </c>
      <c r="BA136" s="11">
        <f>IF(BA134=1,(Waterfall!BA7+Tax!BA27+BB136)/(1+BA135),0)</f>
        <v/>
      </c>
      <c r="BB136" s="11">
        <f>IF(BB134=1,(Waterfall!BB7+Tax!BB27+BC136)/(1+BB135),0)</f>
        <v/>
      </c>
      <c r="BC136" s="11">
        <f>IF(BC134=1,(Waterfall!BC7+Tax!BC27+BD136)/(1+BC135),0)</f>
        <v/>
      </c>
      <c r="BD136" s="11">
        <f>IF(BD134=1,(Waterfall!BD7+Tax!BD27+BE136)/(1+BD135),0)</f>
        <v/>
      </c>
      <c r="BE136" s="11">
        <f>IF(BE134=1,(Waterfall!BE7+Tax!BE27+BF136)/(1+BE135),0)</f>
        <v/>
      </c>
      <c r="BF136" s="11">
        <f>IF(BF134=1,(Waterfall!BF7+Tax!BF27+BG136)/(1+BF135),0)</f>
        <v/>
      </c>
      <c r="BG136" s="11">
        <f>IF(BG134=1,(Waterfall!BG7+Tax!BG27+BH136)/(1+BG135),0)</f>
        <v/>
      </c>
      <c r="BH136" s="11">
        <f>IF(BH134=1,(Waterfall!BH7+Tax!BH27+BI136)/(1+BH135),0)</f>
        <v/>
      </c>
      <c r="BI136" s="11">
        <f>IF(BI134=1,(Waterfall!BI7+Tax!BI27+BJ136)/(1+BI135),0)</f>
        <v/>
      </c>
      <c r="BJ136" s="11">
        <f>IF(BJ134=1,(Waterfall!BJ7+Tax!BJ27+BK136)/(1+BJ135),0)</f>
        <v/>
      </c>
      <c r="BK136" s="11">
        <f>IF(BK134=1,(Waterfall!BK7+Tax!BK27+BL136)/(1+BK135),0)</f>
        <v/>
      </c>
      <c r="BL136" s="11">
        <f>IF(BL134=1,(Waterfall!BL7+Tax!BL27+BM136)/(1+BL135),0)</f>
        <v/>
      </c>
      <c r="BM136" s="11">
        <f>IF(BM134=1,(Waterfall!BM7+Tax!BM27+BN136)/(1+BM135),0)</f>
        <v/>
      </c>
      <c r="BN136" s="11">
        <f>IF(BN134=1,(Waterfall!BN7+Tax!BN27+0)/(1+BN135),0)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IF(J134=1,(Waterfall!J7+Tax!J27)/$F$137,0)</f>
        <v/>
      </c>
      <c r="K140" s="11">
        <f>IF(K134=1,(Waterfall!K7+Tax!K27)/$F$137,0)</f>
        <v/>
      </c>
      <c r="L140" s="11">
        <f>IF(L134=1,(Waterfall!L7+Tax!L27)/$F$137,0)</f>
        <v/>
      </c>
      <c r="M140" s="11">
        <f>IF(M134=1,(Waterfall!M7+Tax!M27)/$F$137,0)</f>
        <v/>
      </c>
      <c r="N140" s="11">
        <f>IF(N134=1,(Waterfall!N7+Tax!N27)/$F$137,0)</f>
        <v/>
      </c>
      <c r="O140" s="11">
        <f>IF(O134=1,(Waterfall!O7+Tax!O27)/$F$137,0)</f>
        <v/>
      </c>
      <c r="P140" s="11">
        <f>IF(P134=1,(Waterfall!P7+Tax!P27)/$F$137,0)</f>
        <v/>
      </c>
      <c r="Q140" s="11">
        <f>IF(Q134=1,(Waterfall!Q7+Tax!Q27)/$F$137,0)</f>
        <v/>
      </c>
      <c r="R140" s="11">
        <f>IF(R134=1,(Waterfall!R7+Tax!R27)/$F$137,0)</f>
        <v/>
      </c>
      <c r="S140" s="11">
        <f>IF(S134=1,(Waterfall!S7+Tax!S27)/$F$137,0)</f>
        <v/>
      </c>
      <c r="T140" s="11">
        <f>IF(T134=1,(Waterfall!T7+Tax!T27)/$F$137,0)</f>
        <v/>
      </c>
      <c r="U140" s="11">
        <f>IF(U134=1,(Waterfall!U7+Tax!U27)/$F$137,0)</f>
        <v/>
      </c>
      <c r="V140" s="11">
        <f>IF(V134=1,(Waterfall!V7+Tax!V27)/$F$137,0)</f>
        <v/>
      </c>
      <c r="W140" s="11">
        <f>IF(W134=1,(Waterfall!W7+Tax!W27)/$F$137,0)</f>
        <v/>
      </c>
      <c r="X140" s="11">
        <f>IF(X134=1,(Waterfall!X7+Tax!X27)/$F$137,0)</f>
        <v/>
      </c>
      <c r="Y140" s="11">
        <f>IF(Y134=1,(Waterfall!Y7+Tax!Y27)/$F$137,0)</f>
        <v/>
      </c>
      <c r="Z140" s="11">
        <f>IF(Z134=1,(Waterfall!Z7+Tax!Z27)/$F$137,0)</f>
        <v/>
      </c>
      <c r="AA140" s="11">
        <f>IF(AA134=1,(Waterfall!AA7+Tax!AA27)/$F$137,0)</f>
        <v/>
      </c>
      <c r="AB140" s="11">
        <f>IF(AB134=1,(Waterfall!AB7+Tax!AB27)/$F$137,0)</f>
        <v/>
      </c>
      <c r="AC140" s="11">
        <f>IF(AC134=1,(Waterfall!AC7+Tax!AC27)/$F$137,0)</f>
        <v/>
      </c>
      <c r="AD140" s="11">
        <f>IF(AD134=1,(Waterfall!AD7+Tax!AD27)/$F$137,0)</f>
        <v/>
      </c>
      <c r="AE140" s="11">
        <f>IF(AE134=1,(Waterfall!AE7+Tax!AE27)/$F$137,0)</f>
        <v/>
      </c>
      <c r="AF140" s="11">
        <f>IF(AF134=1,(Waterfall!AF7+Tax!AF27)/$F$137,0)</f>
        <v/>
      </c>
      <c r="AG140" s="11">
        <f>IF(AG134=1,(Waterfall!AG7+Tax!AG27)/$F$137,0)</f>
        <v/>
      </c>
      <c r="AH140" s="11">
        <f>IF(AH134=1,(Waterfall!AH7+Tax!AH27)/$F$137,0)</f>
        <v/>
      </c>
      <c r="AI140" s="11">
        <f>IF(AI134=1,(Waterfall!AI7+Tax!AI27)/$F$137,0)</f>
        <v/>
      </c>
      <c r="AJ140" s="11">
        <f>IF(AJ134=1,(Waterfall!AJ7+Tax!AJ27)/$F$137,0)</f>
        <v/>
      </c>
      <c r="AK140" s="11">
        <f>IF(AK134=1,(Waterfall!AK7+Tax!AK27)/$F$137,0)</f>
        <v/>
      </c>
      <c r="AL140" s="11">
        <f>IF(AL134=1,(Waterfall!AL7+Tax!AL27)/$F$137,0)</f>
        <v/>
      </c>
      <c r="AM140" s="11">
        <f>IF(AM134=1,(Waterfall!AM7+Tax!AM27)/$F$137,0)</f>
        <v/>
      </c>
      <c r="AN140" s="11">
        <f>IF(AN134=1,(Waterfall!AN7+Tax!AN27)/$F$137,0)</f>
        <v/>
      </c>
      <c r="AO140" s="11">
        <f>IF(AO134=1,(Waterfall!AO7+Tax!AO27)/$F$137,0)</f>
        <v/>
      </c>
      <c r="AP140" s="11">
        <f>IF(AP134=1,(Waterfall!AP7+Tax!AP27)/$F$137,0)</f>
        <v/>
      </c>
      <c r="AQ140" s="11">
        <f>IF(AQ134=1,(Waterfall!AQ7+Tax!AQ27)/$F$137,0)</f>
        <v/>
      </c>
      <c r="AR140" s="11">
        <f>IF(AR134=1,(Waterfall!AR7+Tax!AR27)/$F$137,0)</f>
        <v/>
      </c>
      <c r="AS140" s="11">
        <f>IF(AS134=1,(Waterfall!AS7+Tax!AS27)/$F$137,0)</f>
        <v/>
      </c>
      <c r="AT140" s="11">
        <f>IF(AT134=1,(Waterfall!AT7+Tax!AT27)/$F$137,0)</f>
        <v/>
      </c>
      <c r="AU140" s="11">
        <f>IF(AU134=1,(Waterfall!AU7+Tax!AU27)/$F$137,0)</f>
        <v/>
      </c>
      <c r="AV140" s="11">
        <f>IF(AV134=1,(Waterfall!AV7+Tax!AV27)/$F$137,0)</f>
        <v/>
      </c>
      <c r="AW140" s="11">
        <f>IF(AW134=1,(Waterfall!AW7+Tax!AW27)/$F$137,0)</f>
        <v/>
      </c>
      <c r="AX140" s="11">
        <f>IF(AX134=1,(Waterfall!AX7+Tax!AX27)/$F$137,0)</f>
        <v/>
      </c>
      <c r="AY140" s="11">
        <f>IF(AY134=1,(Waterfall!AY7+Tax!AY27)/$F$137,0)</f>
        <v/>
      </c>
      <c r="AZ140" s="11">
        <f>IF(AZ134=1,(Waterfall!AZ7+Tax!AZ27)/$F$137,0)</f>
        <v/>
      </c>
      <c r="BA140" s="11">
        <f>IF(BA134=1,(Waterfall!BA7+Tax!BA27)/$F$137,0)</f>
        <v/>
      </c>
      <c r="BB140" s="11">
        <f>IF(BB134=1,(Waterfall!BB7+Tax!BB27)/$F$137,0)</f>
        <v/>
      </c>
      <c r="BC140" s="11">
        <f>IF(BC134=1,(Waterfall!BC7+Tax!BC27)/$F$137,0)</f>
        <v/>
      </c>
      <c r="BD140" s="11">
        <f>IF(BD134=1,(Waterfall!BD7+Tax!BD27)/$F$137,0)</f>
        <v/>
      </c>
      <c r="BE140" s="11">
        <f>IF(BE134=1,(Waterfall!BE7+Tax!BE27)/$F$137,0)</f>
        <v/>
      </c>
      <c r="BF140" s="11">
        <f>IF(BF134=1,(Waterfall!BF7+Tax!BF27)/$F$137,0)</f>
        <v/>
      </c>
      <c r="BG140" s="11">
        <f>IF(BG134=1,(Waterfall!BG7+Tax!BG27)/$F$137,0)</f>
        <v/>
      </c>
      <c r="BH140" s="11">
        <f>IF(BH134=1,(Waterfall!BH7+Tax!BH27)/$F$137,0)</f>
        <v/>
      </c>
      <c r="BI140" s="11">
        <f>IF(BI134=1,(Waterfall!BI7+Tax!BI27)/$F$137,0)</f>
        <v/>
      </c>
      <c r="BJ140" s="11">
        <f>IF(BJ134=1,(Waterfall!BJ7+Tax!BJ27)/$F$137,0)</f>
        <v/>
      </c>
      <c r="BK140" s="11">
        <f>IF(BK134=1,(Waterfall!BK7+Tax!BK27)/$F$137,0)</f>
        <v/>
      </c>
      <c r="BL140" s="11">
        <f>IF(BL134=1,(Waterfall!BL7+Tax!BL27)/$F$137,0)</f>
        <v/>
      </c>
      <c r="BM140" s="11">
        <f>IF(BM134=1,(Waterfall!BM7+Tax!BM27)/$F$137,0)</f>
        <v/>
      </c>
      <c r="BN140" s="11">
        <f>IF(BN134=1,(Waterfall!BN7+Tax!BN27)/$F$137,0)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70" customWidth="1" min="2" max="2"/>
    <col width="60" customWidth="1" min="3" max="3"/>
  </cols>
  <sheetData>
    <row r="1">
      <c r="A1" s="2" t="inlineStr">
        <is>
          <t>Audit exercise key (Chapter 44): sponsor model version 0.9 with ten seeded errors. Do not distribute with the exercise.</t>
        </is>
      </c>
    </row>
    <row r="2">
      <c r="A2" t="inlineStr">
        <is>
          <t>Contract terms on the Inputs sheet come from sizing this erroneous model. Effects (P-F17) are from case_p.py: each error alone, re-sized.</t>
        </is>
      </c>
    </row>
    <row r="4">
      <c r="A4" s="2" t="inlineStr">
        <is>
          <t>ID</t>
        </is>
      </c>
      <c r="B4" s="2" t="inlineStr">
        <is>
          <t>Seeded error</t>
        </is>
      </c>
      <c r="C4" s="2" t="inlineStr">
        <is>
          <t>Cells (sheet, row)</t>
        </is>
      </c>
      <c r="D4" s="2" t="inlineStr">
        <is>
          <t>Senior debt (USD m)</t>
        </is>
      </c>
      <c r="E4" s="2" t="inlineStr">
        <is>
          <t>Change vs correct</t>
        </is>
      </c>
      <c r="F4" s="2" t="inlineStr">
        <is>
          <t>Min DSCR base</t>
        </is>
      </c>
      <c r="G4" s="2" t="inlineStr">
        <is>
          <t>Min DSCR downside</t>
        </is>
      </c>
      <c r="H4" s="2" t="inlineStr">
        <is>
          <t>Equity IRR</t>
        </is>
      </c>
      <c r="I4" s="2" t="inlineStr">
        <is>
          <t>Binding</t>
        </is>
      </c>
    </row>
    <row r="5">
      <c r="A5" t="inlineStr">
        <is>
          <t>correct</t>
        </is>
      </c>
      <c r="B5" t="inlineStr">
        <is>
          <t>correct model</t>
        </is>
      </c>
      <c r="C5" t="inlineStr"/>
      <c r="D5" t="n">
        <v>633.26</v>
      </c>
      <c r="E5" t="n">
        <v>0</v>
      </c>
      <c r="F5" t="n">
        <v>1.35</v>
      </c>
      <c r="G5" t="n">
        <v>1.2</v>
      </c>
      <c r="H5" t="n">
        <v>13.27</v>
      </c>
      <c r="I5" t="inlineStr">
        <is>
          <t>DSCR</t>
        </is>
      </c>
    </row>
    <row r="6">
      <c r="A6" t="inlineStr">
        <is>
          <t>E1</t>
        </is>
      </c>
      <c r="B6" t="inlineStr">
        <is>
          <t>Capacity payment without the availability cap (A/90% not capped at 1)</t>
        </is>
      </c>
      <c r="C6" t="inlineStr">
        <is>
          <t>Operations row 42</t>
        </is>
      </c>
      <c r="D6" t="n">
        <v>641.91</v>
      </c>
      <c r="E6" t="n">
        <v>8.66</v>
      </c>
      <c r="F6" t="n">
        <v>1.37</v>
      </c>
      <c r="G6" t="n">
        <v>1.2</v>
      </c>
      <c r="H6" t="n">
        <v>14.13</v>
      </c>
      <c r="I6" t="inlineStr">
        <is>
          <t>downside</t>
        </is>
      </c>
    </row>
    <row r="7">
      <c r="A7" t="inlineStr">
        <is>
          <t>E2</t>
        </is>
      </c>
      <c r="B7" t="inlineStr">
        <is>
          <t>LTSA variable fee on one gas turbine instead of two</t>
        </is>
      </c>
      <c r="C7" t="inlineStr">
        <is>
          <t>Operations row 58</t>
        </is>
      </c>
      <c r="D7" t="n">
        <v>643.12</v>
      </c>
      <c r="E7" t="n">
        <v>9.859999999999999</v>
      </c>
      <c r="F7" t="n">
        <v>1.378</v>
      </c>
      <c r="G7" t="n">
        <v>1.228</v>
      </c>
      <c r="H7" t="n">
        <v>14.39</v>
      </c>
      <c r="I7" t="inlineStr">
        <is>
          <t>gearing</t>
        </is>
      </c>
    </row>
    <row r="8">
      <c r="A8" t="inlineStr">
        <is>
          <t>E3</t>
        </is>
      </c>
      <c r="B8" t="inlineStr">
        <is>
          <t>Tariff indexation reads the index at period end instead of the lagged (Sep/Mar) reading</t>
        </is>
      </c>
      <c r="C8" t="inlineStr">
        <is>
          <t>Operations row 18; Operations row 22</t>
        </is>
      </c>
      <c r="D8" t="n">
        <v>640.09</v>
      </c>
      <c r="E8" t="n">
        <v>6.83</v>
      </c>
      <c r="F8" t="n">
        <v>1.35</v>
      </c>
      <c r="G8" t="n">
        <v>1.201</v>
      </c>
      <c r="H8" t="n">
        <v>13.63</v>
      </c>
      <c r="I8" t="inlineStr">
        <is>
          <t>DSCR</t>
        </is>
      </c>
    </row>
    <row r="9">
      <c r="A9" t="inlineStr">
        <is>
          <t>E4</t>
        </is>
      </c>
      <c r="B9" t="inlineStr">
        <is>
          <t>Senior loan interest on 30/360 instead of ACT/360</t>
        </is>
      </c>
      <c r="C9" t="inlineStr">
        <is>
          <t>Funding row 19; Funding row 33; Funding row 34; Funding row 35; Funding row 36; Funding row 12 (col F); Funding row 13 (col F); Funding row 14 (col F); Funding row 15 (col F); Debt row 10; Debt row 11; Debt row 12; Debt row 13</t>
        </is>
      </c>
      <c r="D9" t="n">
        <v>636.01</v>
      </c>
      <c r="E9" t="n">
        <v>2.75</v>
      </c>
      <c r="F9" t="n">
        <v>1.35</v>
      </c>
      <c r="G9" t="n">
        <v>1.2</v>
      </c>
      <c r="H9" t="n">
        <v>13.39</v>
      </c>
      <c r="I9" t="inlineStr">
        <is>
          <t>DSCR</t>
        </is>
      </c>
    </row>
    <row r="10">
      <c r="A10" t="inlineStr">
        <is>
          <t>E5</t>
        </is>
      </c>
      <c r="B10" t="inlineStr">
        <is>
          <t>Full tax exemption applied to OY1-OY8 (15% band ignored)</t>
        </is>
      </c>
      <c r="C10" t="inlineStr">
        <is>
          <t>Tax row 7; Tax row 8; Tax row 11</t>
        </is>
      </c>
      <c r="D10" t="n">
        <v>639.86</v>
      </c>
      <c r="E10" t="n">
        <v>6.6</v>
      </c>
      <c r="F10" t="n">
        <v>1.35</v>
      </c>
      <c r="G10" t="n">
        <v>1.2</v>
      </c>
      <c r="H10" t="n">
        <v>13.73</v>
      </c>
      <c r="I10" t="inlineStr">
        <is>
          <t>DSCR</t>
        </is>
      </c>
    </row>
    <row r="11">
      <c r="A11" t="inlineStr">
        <is>
          <t>E6</t>
        </is>
      </c>
      <c r="B11" t="inlineStr">
        <is>
          <t>Deferred holiday depreciation lost (pool never credited)</t>
        </is>
      </c>
      <c r="C11" t="inlineStr">
        <is>
          <t>Tax row 21</t>
        </is>
      </c>
      <c r="D11" t="n">
        <v>614.1799999999999</v>
      </c>
      <c r="E11" t="n">
        <v>-19.08</v>
      </c>
      <c r="F11" t="n">
        <v>1.35</v>
      </c>
      <c r="G11" t="n">
        <v>1.2</v>
      </c>
      <c r="H11" t="n">
        <v>12.51</v>
      </c>
      <c r="I11" t="inlineStr">
        <is>
          <t>DSCR</t>
        </is>
      </c>
    </row>
    <row r="12">
      <c r="A12" t="inlineStr">
        <is>
          <t>E7</t>
        </is>
      </c>
      <c r="B12" t="inlineStr">
        <is>
          <t>DSRA initial funding drawn 100% from senior debt instead of pro rata</t>
        </is>
      </c>
      <c r="C12" t="inlineStr">
        <is>
          <t>Funding row 26 (col F); Funding row 47; Funding row 50</t>
        </is>
      </c>
      <c r="D12" t="n">
        <v>633.33</v>
      </c>
      <c r="E12" t="n">
        <v>0.07000000000000001</v>
      </c>
      <c r="F12" t="n">
        <v>1.35</v>
      </c>
      <c r="G12" t="n">
        <v>1.2</v>
      </c>
      <c r="H12" t="n">
        <v>13.23</v>
      </c>
      <c r="I12" t="inlineStr">
        <is>
          <t>DSCR</t>
        </is>
      </c>
    </row>
    <row r="13">
      <c r="A13" t="inlineStr">
        <is>
          <t>E8</t>
        </is>
      </c>
      <c r="B13" t="inlineStr">
        <is>
          <t>Sculpting on CFADS before tax</t>
        </is>
      </c>
      <c r="C13" t="inlineStr">
        <is>
          <t>Debt row 136; Debt row 140</t>
        </is>
      </c>
      <c r="D13" t="n">
        <v>641.24</v>
      </c>
      <c r="E13" t="n">
        <v>7.98</v>
      </c>
      <c r="F13" t="n">
        <v>1.34</v>
      </c>
      <c r="G13" t="n">
        <v>1.2</v>
      </c>
      <c r="H13" t="n">
        <v>13.4</v>
      </c>
      <c r="I13" t="inlineStr">
        <is>
          <t>DSCR</t>
        </is>
      </c>
    </row>
    <row r="14">
      <c r="A14" t="inlineStr">
        <is>
          <t>E9</t>
        </is>
      </c>
      <c r="B14" t="inlineStr">
        <is>
          <t>Fuel-charge revenue uses a typed 76.5% dispatch instead of the live dispatch</t>
        </is>
      </c>
      <c r="C14" t="inlineStr">
        <is>
          <t>Operations row 46</t>
        </is>
      </c>
      <c r="D14" t="n">
        <v>633.26</v>
      </c>
      <c r="E14" t="n">
        <v>0</v>
      </c>
      <c r="F14" t="n">
        <v>1.35</v>
      </c>
      <c r="G14" t="n">
        <v>1.2</v>
      </c>
      <c r="H14" t="n">
        <v>13.27</v>
      </c>
      <c r="I14" t="inlineStr">
        <is>
          <t>DSCR</t>
        </is>
      </c>
    </row>
    <row r="15">
      <c r="A15" t="inlineStr">
        <is>
          <t>E10</t>
        </is>
      </c>
      <c r="B15" t="inlineStr">
        <is>
          <t>Swap net settlement with legs reversed</t>
        </is>
      </c>
      <c r="C15" t="inlineStr">
        <is>
          <t>Funding row 21; Funding row 39; Funding row 17 (col F); Debt row 114; Debt row 132; Debt row 135</t>
        </is>
      </c>
      <c r="D15" t="n">
        <v>623.39</v>
      </c>
      <c r="E15" t="n">
        <v>-9.859999999999999</v>
      </c>
      <c r="F15" t="n">
        <v>1.35</v>
      </c>
      <c r="G15" t="n">
        <v>1.2</v>
      </c>
      <c r="H15" t="n">
        <v>12.88</v>
      </c>
      <c r="I15" t="inlineStr">
        <is>
          <t>DSCR</t>
        </is>
      </c>
    </row>
    <row r="16">
      <c r="A16" t="inlineStr">
        <is>
          <t>ALL</t>
        </is>
      </c>
      <c r="B16" t="inlineStr">
        <is>
          <t>all ten errors together</t>
        </is>
      </c>
      <c r="C16" t="inlineStr">
        <is>
          <t>all of the above</t>
        </is>
      </c>
      <c r="D16" t="n">
        <v>654.63</v>
      </c>
      <c r="E16" t="n">
        <v>21.38</v>
      </c>
      <c r="F16" t="n">
        <v>1.436</v>
      </c>
      <c r="G16" t="n">
        <v>1.262</v>
      </c>
      <c r="H16" t="n">
        <v>15.22</v>
      </c>
      <c r="I16" t="inlineStr">
        <is>
          <t>gearing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2026-10-03T21:04:31Z</dcterms:created>
  <dcterms:modified xsi:type="dcterms:W3CDTF">2026-10-03T21:04:32Z</dcterms:modified>
</cp:coreProperties>
</file>